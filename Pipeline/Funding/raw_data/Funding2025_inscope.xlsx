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irtable copy" sheetId="1" state="visible" r:id="rId3"/>
  </sheets>
  <definedNames>
    <definedName function="false" hidden="true" localSheetId="0" name="_xlnm._FilterDatabase" vbProcedure="false">'Airtable copy'!$A$1:$BK$1177</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<sst xmlns="http://schemas.openxmlformats.org/spreadsheetml/2006/main" count="24075" uniqueCount="5736">
  <si>
    <t xml:space="preserve">Title</t>
  </si>
  <si>
    <t xml:space="preserve">Abstract</t>
  </si>
  <si>
    <t xml:space="preserve">Original title</t>
  </si>
  <si>
    <t xml:space="preserve">Database</t>
  </si>
  <si>
    <t xml:space="preserve">Total amount</t>
  </si>
  <si>
    <t xml:space="preserve">Gov contribution</t>
  </si>
  <si>
    <t xml:space="preserve">Currency</t>
  </si>
  <si>
    <t xml:space="preserve">Total amount (USD)</t>
  </si>
  <si>
    <t xml:space="preserve">Gov contribution (USD)</t>
  </si>
  <si>
    <t xml:space="preserve">Total amount (EUR)</t>
  </si>
  <si>
    <t xml:space="preserve">Gov &amp; NP contribution (EUR)</t>
  </si>
  <si>
    <t xml:space="preserve">Funding decision</t>
  </si>
  <si>
    <t xml:space="preserve">copy to external database</t>
  </si>
  <si>
    <t xml:space="preserve">URL for announcement</t>
  </si>
  <si>
    <t xml:space="preserve">Identification code</t>
  </si>
  <si>
    <t xml:space="preserve">Notes (external)</t>
  </si>
  <si>
    <t xml:space="preserve">Notes (internal)</t>
  </si>
  <si>
    <t xml:space="preserve">Project lead (PI)</t>
  </si>
  <si>
    <t xml:space="preserve">PI department</t>
  </si>
  <si>
    <t xml:space="preserve">PI organisation</t>
  </si>
  <si>
    <t xml:space="preserve">PI organisation type</t>
  </si>
  <si>
    <t xml:space="preserve">PI organisation country</t>
  </si>
  <si>
    <t xml:space="preserve">PI organisation region</t>
  </si>
  <si>
    <t xml:space="preserve">PI organisation state</t>
  </si>
  <si>
    <t xml:space="preserve">PI organisation zip code</t>
  </si>
  <si>
    <t xml:space="preserve">PI organisation congressional district</t>
  </si>
  <si>
    <t xml:space="preserve">Collaborator names</t>
  </si>
  <si>
    <t xml:space="preserve">Collaborator institutions</t>
  </si>
  <si>
    <t xml:space="preserve">Multiple organisation recipients</t>
  </si>
  <si>
    <t xml:space="preserve">Date request submitted</t>
  </si>
  <si>
    <t xml:space="preserve">Year request submitted</t>
  </si>
  <si>
    <t xml:space="preserve">Date award announced</t>
  </si>
  <si>
    <t xml:space="preserve">Project start date</t>
  </si>
  <si>
    <t xml:space="preserve">Duration of award (months)</t>
  </si>
  <si>
    <t xml:space="preserve">Project status</t>
  </si>
  <si>
    <t xml:space="preserve">Annual expenditures</t>
  </si>
  <si>
    <t xml:space="preserve">Funder name</t>
  </si>
  <si>
    <t xml:space="preserve">Sub-funder</t>
  </si>
  <si>
    <t xml:space="preserve">Funding call</t>
  </si>
  <si>
    <t xml:space="preserve">Success rate</t>
  </si>
  <si>
    <t xml:space="preserve">Funder type</t>
  </si>
  <si>
    <t xml:space="preserve">Funder Country</t>
  </si>
  <si>
    <t xml:space="preserve">Funder region</t>
  </si>
  <si>
    <t xml:space="preserve">Production platform</t>
  </si>
  <si>
    <t xml:space="preserve">Sub-production pillar</t>
  </si>
  <si>
    <t xml:space="preserve">microalgae</t>
  </si>
  <si>
    <t xml:space="preserve">Award purpose</t>
  </si>
  <si>
    <t xml:space="preserve">End product type</t>
  </si>
  <si>
    <t xml:space="preserve">sub-end product</t>
  </si>
  <si>
    <t xml:space="preserve">Research category</t>
  </si>
  <si>
    <t xml:space="preserve">GFI grantee</t>
  </si>
  <si>
    <t xml:space="preserve">APP site</t>
  </si>
  <si>
    <t xml:space="preserve">Minority serving institution</t>
  </si>
  <si>
    <t xml:space="preserve">Date added</t>
  </si>
  <si>
    <t xml:space="preserve">Last modified</t>
  </si>
  <si>
    <t xml:space="preserve">GFI LOS</t>
  </si>
  <si>
    <t xml:space="preserve">Link to LOS</t>
  </si>
  <si>
    <t xml:space="preserve">GFI partner</t>
  </si>
  <si>
    <t xml:space="preserve">Tier</t>
  </si>
  <si>
    <t xml:space="preserve">Year project started</t>
  </si>
  <si>
    <t xml:space="preserve">End date</t>
  </si>
  <si>
    <t xml:space="preserve">Denmark announces 1 billion kroner for plant-based foods in historic climate agreement</t>
  </si>
  <si>
    <t xml:space="preserve">airtable</t>
  </si>
  <si>
    <t xml:space="preserve">DKK</t>
  </si>
  <si>
    <t xml:space="preserve">Committed</t>
  </si>
  <si>
    <t xml:space="preserve">checked</t>
  </si>
  <si>
    <t xml:space="preserve">https://gfieurope.org/blog/denmark-plant-based-investment-in-climate-agreement/</t>
  </si>
  <si>
    <t xml:space="preserve">Original award amount is DKK 1,250,000,000.</t>
  </si>
  <si>
    <t xml:space="preserve">In 2021 State of Global Policy Report.
12.04.23: I think this article is an update on this funding: https://www.forbes.com/sites/danieladelorenzo/2023/09/10/denmarks-195-millions-plant-based-fund-receives-overwhelming-number-of-applicants/?sh=3d41434eb034</t>
  </si>
  <si>
    <t xml:space="preserve">TBD</t>
  </si>
  <si>
    <t xml:space="preserve">n/a</t>
  </si>
  <si>
    <t xml:space="preserve">Multiple</t>
  </si>
  <si>
    <t xml:space="preserve">Denmark</t>
  </si>
  <si>
    <t xml:space="preserve">Europe</t>
  </si>
  <si>
    <t xml:space="preserve">Yes</t>
  </si>
  <si>
    <t xml:space="preserve">In progress</t>
  </si>
  <si>
    <t xml:space="preserve">Danish Government</t>
  </si>
  <si>
    <t xml:space="preserve">Government</t>
  </si>
  <si>
    <t xml:space="preserve">Plant-based</t>
  </si>
  <si>
    <t xml:space="preserve">Agnostic</t>
  </si>
  <si>
    <t xml:space="preserve">Research and development, Equipment and infrastructure</t>
  </si>
  <si>
    <t xml:space="preserve">Tier 4 (No GFI involvement)</t>
  </si>
  <si>
    <t xml:space="preserve">Plant2Food</t>
  </si>
  <si>
    <t xml:space="preserve">The new collaborative platform Plant2Food will accelerate the development of plant-based foods. Researchers and companies will collaborate in exploring complex challenges within plant and food science and sharing new knowledge across sectors – without taking out patents based on the results. The Novo Nordisk Foundation is supporting the platform with up to DKK 200 million (€27 million) over the next 5 years.
It is necessary to convert a big part of our food production to plant-based foods if we want to make the most appropriate use of our agricultural land as well as being able to feed a growing world population.
The key to accelerating this transition is developing a greater selection of tasty, nutritious and sustainable plant-based food products that are also affordable to consumers.
A new collaboration platform, Plant2Food, will be a hub for researchers and companies who want to collaborate to solve some of the complex issues of developing plant-based foods – without taking out patents based on the results.</t>
  </si>
  <si>
    <t xml:space="preserve">Awarded</t>
  </si>
  <si>
    <t xml:space="preserve">https://novonordiskfonden.dk/en/news/new-open-collaborative-platform-will-accelerate-the-development-of-plant-based-foods/</t>
  </si>
  <si>
    <t xml:space="preserve">Original award amount is DKK 200,000,000.</t>
  </si>
  <si>
    <t xml:space="preserve">Marie Louise Conradsen</t>
  </si>
  <si>
    <t xml:space="preserve">Natural Sciences</t>
  </si>
  <si>
    <t xml:space="preserve">Aarhus University</t>
  </si>
  <si>
    <t xml:space="preserve">University</t>
  </si>
  <si>
    <t xml:space="preserve">University of Copenhagen, Technical University of Denmark, Wageningen University and Research, Food and Bio Cluster Denmark</t>
  </si>
  <si>
    <t xml:space="preserve">Novo Nordisk Foundation</t>
  </si>
  <si>
    <t xml:space="preserve">Non-profit</t>
  </si>
  <si>
    <t xml:space="preserve">Research and development</t>
  </si>
  <si>
    <t xml:space="preserve">cross-cutting</t>
  </si>
  <si>
    <t xml:space="preserve">CO2 as a sustainable raw material in our future food production</t>
  </si>
  <si>
    <t xml:space="preserve">In a new consortium, companies and university researchers will create a sustainable source of proteins for human food derived from CO2. The aim is to help fight the rising global problems with food insecurity and greenhouse-gas emissions from agriculture. Two leading foundations are supporting the initiative with up to DKK 200 million (€27 million).</t>
  </si>
  <si>
    <t xml:space="preserve">https://novonordiskfonden.dk/en/news/co2-as-a-sustainable-raw-material-in-our-future-food-production/</t>
  </si>
  <si>
    <t xml:space="preserve">Original award amount is DKK 200,000,000. Halved to reflect removal of US portion
</t>
  </si>
  <si>
    <t xml:space="preserve">Claus Crone Fuglsang</t>
  </si>
  <si>
    <t xml:space="preserve">Novozymes A/S</t>
  </si>
  <si>
    <t xml:space="preserve">For profit</t>
  </si>
  <si>
    <t xml:space="preserve">Topsoe A/S, Washington University St. Louis, Novo Nordisk Foundation CO2 Research Center (CORC) at Aarhus University</t>
  </si>
  <si>
    <t xml:space="preserve">Europe, North America</t>
  </si>
  <si>
    <t xml:space="preserve">Fermentation</t>
  </si>
  <si>
    <t xml:space="preserve">PF</t>
  </si>
  <si>
    <t xml:space="preserve">Feedstocks</t>
  </si>
  <si>
    <t xml:space="preserve">Precision Technology: Biotechnology, smart sensors, and advanced data analysis</t>
  </si>
  <si>
    <t xml:space="preserve">The project has three sub-goals:
Developing modern biotechnology to produce food
Develop spectroscopic methods for food characterization, for the management and optimization of products and processes
Develop data analytical methods that convert complex data into relevant, reliable and useful information
Three enabling technologies
It is necessary to produce more sustainably, reduce food waste and make full use of our raw materials. To achieve this, there is a need for precision technology that enables the food industry to produce the products and qualities needed, while minimizing food waste. This research program will contribute to this by developing three enabling technologies:
New biotechnological processes that both provide better utilization of residual raw materials and can be used for the future production of important food components such as protein and fatty acids. We will develop new processes based on combinations of enzymatic protein hydrolysis, precision fermentation and meat cultivation.
Smart sensors for rapid measurement of food quality that enable measurement and control of production processes to minimize waste and optimize yield and final quality. We will develop spectroscopic methods for in-line quality control and chemical characterization, and study how these can be applied in systems that facilitate product differentiation, consumer satisfaction and personalized nutrition.
Data analytics tools that transform large and complex data into relevant, reliable and usable information. Such tools are essential to unlock the potential of technologies 1 and 2, as well as other scientific disciplines and a modern digitalized food industry. We will specifically work on challenges related to prediction and interpretation of data by combining methods from statistics, chemometrics and machine learning.
</t>
  </si>
  <si>
    <t xml:space="preserve">NOK</t>
  </si>
  <si>
    <t xml:space="preserve">https://nofima.no/prosjekt/precision-food-production/</t>
  </si>
  <si>
    <t xml:space="preserve">Original award amount is estimated to be NOK 75,000,000. This was determined from the overall pool of funding available for this call (NOK 300,000,000) and the fact that four programs were awarded funding (300 million / 4 = 75 million). https://www.forskningsradet.no/en/call-for-proposals/2020/nye-strategiske-programmer-for-nofima-2021-2024/. Updated amount - link from funder here: https://prosjektbanken.forskningsradet.no/en/project/FORISS/314111?Kilde=FORISS&amp;distribution=Ar&amp;chart=bar&amp;calcType=funding&amp;Sprak=no&amp;sortBy=score&amp;sortOrder=desc&amp;resultCount=30&amp;offset=30&amp;source=FORISS&amp;projectId=270048&amp;Fritekst=fermentation&amp;Ar=2025&amp;Ar=2024&amp;Ar=2023&amp;Ar=2022&amp;Ar=2021&amp;Ar=2020</t>
  </si>
  <si>
    <t xml:space="preserve">Jens Petter Wold</t>
  </si>
  <si>
    <t xml:space="preserve">Nofima</t>
  </si>
  <si>
    <t xml:space="preserve">Norway</t>
  </si>
  <si>
    <t xml:space="preserve">Ingrid Måge; Nils Kristian Afseth; Sissel Rønning; Lars Axelsson; Elin Katinka; Riiser Dankel</t>
  </si>
  <si>
    <t xml:space="preserve">No</t>
  </si>
  <si>
    <t xml:space="preserve">Foundation for Research Levy on Agricultural Products (FFL)</t>
  </si>
  <si>
    <t xml:space="preserve">https://www.forskningsradet.no/en/call-for-proposals/2020/nye-strategiske-programmer-for-nofima-2021-2024/</t>
  </si>
  <si>
    <t xml:space="preserve">CellAg</t>
  </si>
  <si>
    <t xml:space="preserve">Bioprocess design</t>
  </si>
  <si>
    <t xml:space="preserve">SEEDFOOD: Functional and palatable plant seed storage proteins for sustainable foods</t>
  </si>
  <si>
    <t xml:space="preserve">The Foundation has awarded one of the 2021 grants to Marianne Nissen Lund, Professor from the Department of Food Science, University of Copenhagen.
Marianne Nissen Lund has received a grant of DKK 56 million for the project SEEDFOOD: Functional and Palatable Plant Seed Storage Proteins for Sustainable Foods. The project aims to discover more efficient ways of utilizing protein from rapeseed, which is currently being used for animal feed.
Rapeseed is a very widespread crop in northern Europe, but rapeseed protein is mostly used as animal feed rather than as food for humans. The reasons for this include taste and undesirable components and also that rapeseed protein in its natural form is not good at forming the types of structures that are desirable in food.
The SEEDFOOD project aims to transform rapeseed protein into a food ingredient and to investigate how it can be processed to be more palatable, including taste and texture.
“Rapeseed is promising because it contains many essential amino acids – the ones that people cannot make themselves – and the content is also higher than in other plant sources. Today, however, rapeseed oil is the only rapeseed food product marketed for humans. Using rapeseed in human food requires the removal of the bitterness and creating a palatable texture from this protein source. For example, yogurt should be soft and creamy and not gritty and sticky. In this research, we will create knowledge about how to use rapeseed protein in food and develop techniques to do this. We will not actually develop specific rapeseed-based products, but we aim to create a protein ingredient the food industry can use in plant-based foods for people,” says Marianne Nissen Lund.</t>
  </si>
  <si>
    <t xml:space="preserve">https://novonordiskfonden.dk/en/news/major-grants-awarded-for-research-on-plant-proteins-as-meat-alternatives/</t>
  </si>
  <si>
    <t xml:space="preserve">Original award amount is DKK 55,900,000.</t>
  </si>
  <si>
    <t xml:space="preserve">Marianne Nissen Lund</t>
  </si>
  <si>
    <t xml:space="preserve">Food Science</t>
  </si>
  <si>
    <t xml:space="preserve">University of Copenhagen</t>
  </si>
  <si>
    <t xml:space="preserve">Ingredient optimisation</t>
  </si>
  <si>
    <t xml:space="preserve">National Alternative Proteins Innovation and Knowledge Centre (NAPIC)</t>
  </si>
  <si>
    <t xml:space="preserve"> To secure a continued supply of safe, tasty, affordable and functional/healthy proteins while supporting Net Zero goals and future-proofing UK food security, a phased-transition towards low-emission alternative proteins (APs) with a reduced reliance on animal agriculture is imperative. However, population-level access to and acceptance of APs is hindered by a highly complex marketplace challenged by taste, cost, health and safety concerns for consumers, and the fear of diminished livelihoods by farmers. Furthermore, complex regulatory pathways and limited access to affordable and accessible scale-up infrastructure impose challenges for industry and SMEs in particular. Synergistic bridging of the UK's trailblazing science and innovation strengths in AP with manufacturing power is key to realising the UK's ambitious growth potential in AP of £6.8B annually and could create 25,000 jobs across multiple sectors. The National Alternative Protein Innovation Centre (NAPIC), a cohesive pan-UK centre, will revolutionise the UK's agri-food sector by harnessing our world-leading science base through a co-created AP strategy across the Discovery?Innovation?Commercialisation pipeline to support the transition to a sustainable, high growth, blended protein bioeconomy using a consumer-driven approach, thereby changing the economics for farmers and other stakeholders throughout the supply chain.
 Built on four interdisciplinary knowledge pillars, PRODUCE, PROCESS, PERFORM and PEOPLE covering the entire value chain of AP, we will enable an efficacious and safe translation of new transformative technologies unlocking the benefits of APs. Partnering with global industry, regulators, investors, academic partners and policymakers, and engaging in an open dialogue with UK citizens, NAPIC will produce a clear roadmap for the development of a National Protein Strategy for the UK. NAPIC will enable us to PRODUCE tasty, nutritious, safe, and affordable AP foods and feedstocks necessary to safeguard present and future generations, while reducing concerns about ultra-processed foods and assisting a just-transition for producers. Our PROCESS Pillar will catalyse bioprocessing at scale, mainstreaming cultivated meat and precision fermentation, and diversify AP sources across the terrestrial and aquatic kingdoms of life, delivering economies of scale. Delivering a just-transition to an AP-rich future, we will ensure AP PERFORM, both pre-consumption, and post-consumption, safeguarding public health. Finally, NAPIC is all about PEOPLE, guiding a consumers' dietary transition, and identifying new business opportunities for farmers, future-proofing the UK's protein supply against reliance on imports.
 Working with UK industry, the third sector and academia, NAPIC will create a National Knowledge base for AP addressing the unmet scientific, commercial, technical and regulatory needs of the sector, develop new tools and standards for product quality and safety and simplify knowledge transfer by catalysing collaboration. NAPIC will ease access to existing innovation facilities and hubs, accelerating industrial adoption underpinned by informed regulatory pathways. We will develop the future leaders of this rapidly evolving sector with bespoke technical, entrepreneurial, regulatory and policy training, and promote knowledge exchange through our unrivalled international network of partners across multiple continents including Protein Industries Canada and the UK-Irish Co-Centre, SUREFOOD. NAPIC will provide a robust and sustainable platform of open innovation and responsible data exchange that mitigates risks associated with this emerging sector and addresses concerns of consumers and producers. Our vision is to make "alternative proteins mainstream for a sustainable planet" and our ambition is to deliver a world-leading innovation and knowledge centre to put the UK at the forefront of the fights for population health equity and against climate change.</t>
  </si>
  <si>
    <t xml:space="preserve">GBP</t>
  </si>
  <si>
    <t xml:space="preserve">https://www.ukri.org/news/national-alternative-protein-innovation-centre-launches/</t>
  </si>
  <si>
    <t xml:space="preserve">grant.14485806</t>
  </si>
  <si>
    <t xml:space="preserve">Original fund amount is GBP 15,000,000.</t>
  </si>
  <si>
    <t xml:space="preserve">Per GFI Europe August Report: BBSRC and Innovate UK announced a £15 million investment over 5 years to support the development of an Alternative Proteins Innovation and Knowledge Centre (IKC). The Alternative Proteins IKC will support collaborative research partnerships between businesses and academic researchers and create a nucleating point for the growth of the alternative protein industry in the UK. This announcement follows on from the work that GFI Europe (particularly Seren, Stella and Linus) has done over the past two years engaging with BBSRC and Innovate UK on funding priorities in this space, which led to alternative proteins going into their strategic plans as a priority area for co-investment, and which had already led to the £16m call on Novel Foods they launched earlier in the year.</t>
  </si>
  <si>
    <t xml:space="preserve">Anwesha Sarkar</t>
  </si>
  <si>
    <t xml:space="preserve">University Of Leeds</t>
  </si>
  <si>
    <t xml:space="preserve">UK</t>
  </si>
  <si>
    <t xml:space="preserve">UK Research and Innovation (UKRI)</t>
  </si>
  <si>
    <t xml:space="preserve">Biotechnology and Biological Sciences Research Council (BBSRC)</t>
  </si>
  <si>
    <t xml:space="preserve">https://www.ukri.org/opportunity/alternative-proteins-innovation-and-knowledge-centre/</t>
  </si>
  <si>
    <t xml:space="preserve">United Kingdom</t>
  </si>
  <si>
    <t xml:space="preserve">Research and development, Education and training, Research infrastructure, Networking</t>
  </si>
  <si>
    <t xml:space="preserve">Tier 2 (Significant GFI involvement)</t>
  </si>
  <si>
    <t xml:space="preserve">Germany Earmarks €38M Investment for Alt-Protein Transition in 2024 Federal Budget</t>
  </si>
  <si>
    <t xml:space="preserve">EUR</t>
  </si>
  <si>
    <t xml:space="preserve">https://www.greenqueen.com.hk/germany-federal-budget-bundestag-2024-38-million-investment-alt-protein-plant-based/?utm_source=foodtechweekly.beehiiv.com&amp;utm_medium=newsletter&amp;utm_campaign=foodtech-weekly-174-by-daniel-s-ruben</t>
  </si>
  <si>
    <t xml:space="preserve">Original amount committed is EUR 38,000,000.</t>
  </si>
  <si>
    <t xml:space="preserve">From Ivo's email on Nov. 17, 2023: "We have been closely supporting this path and, together with these MPs, we have been working on the topic in an "Alternative Proteins Roundtable" since September 2022 and have actively helped to shape and initiate the measures adopted this week. In particular, the topic of a competence centre and an alternative protein strategy was introduced to this group primarily by us as GFI, but of course we were also calling for all the other measures agreed."</t>
  </si>
  <si>
    <t xml:space="preserve">Germany</t>
  </si>
  <si>
    <t xml:space="preserve">Not started</t>
  </si>
  <si>
    <t xml:space="preserve">Federal Ministry of Food and Agriculture (BMEL)</t>
  </si>
  <si>
    <t xml:space="preserve">Research and development, Education and training, Equipment and infrastructure</t>
  </si>
  <si>
    <t xml:space="preserve">Solar Foods receives a €34 million grant to ramp-up Factory 01 and start preparations for Factory 02</t>
  </si>
  <si>
    <t xml:space="preserve">https://solarfoods.com/solar-foods-receives-a-34-million-grant-to-ramp-up-factory-01-and-start-preparations-for-factory-02/</t>
  </si>
  <si>
    <t xml:space="preserve">Original award amount is EUR 34,000,000.</t>
  </si>
  <si>
    <t xml:space="preserve">Pasi Vainikka</t>
  </si>
  <si>
    <t xml:space="preserve">Solar Foods</t>
  </si>
  <si>
    <t xml:space="preserve">Finland</t>
  </si>
  <si>
    <t xml:space="preserve">Business Finland</t>
  </si>
  <si>
    <t xml:space="preserve">Equipment and infrastructure</t>
  </si>
  <si>
    <t xml:space="preserve">Bioprocess design, Feedstocks, End product formulation, Food safety &amp; quality</t>
  </si>
  <si>
    <t xml:space="preserve">22/12/2025</t>
  </si>
  <si>
    <t xml:space="preserve">Green technology for plant-based food (GreenPlantFood)</t>
  </si>
  <si>
    <t xml:space="preserve">To maintain national food self-sufficiency and employment, and competitiveness of the Norwegian agricultural sector and food industry there is need for more knowledge on the selection of suitable plant material combined with green technology processing. The main objective in this project is to facilitate green technology towards plant-based food in Norway with a significant proportion of Nordic Raw Materials into attractive and healthy products with low environmental footprint.
Furthermore, a project looking at extended utilisation of protein sources, needs to focus on their complete utilization, including side streams. Pulses (peas and faba beans), together with cereals (oat and barley), are realistic candidates for extended food uses as is, or as protein sources.
It is also a goal to find replacement for soya, which is imported and have a negative environmental footprint. Pulses are high-quality protein sources but contain a range of different compounds (polysaccharides, fat, polyphenols, anti-nutrients etc) that needs attention through green processing solutions.
Farmers and advisors will benefit from understanding which varieties to grow, the best suited regions and quality parameters sought by the Norwegian food industry for plant-based products.</t>
  </si>
  <si>
    <t xml:space="preserve">https://nofima.com/projects/green-technology-for-plant-based-food/</t>
  </si>
  <si>
    <t xml:space="preserve">grant.9641296</t>
  </si>
  <si>
    <t xml:space="preserve">Original award amount is NOK 27,600,000 according to the Research Council of Norway website: https://prosjektbanken.forskningsradet.no/en/project/FORISS/319049?Kilde=FORISS&amp;distribution=Ar&amp;chart=bar&amp;calcType=funding&amp;Sprak=no&amp;sortBy=score&amp;sortOrder=desc&amp;resultCount=30&amp;offset=0&amp;Fritekst=GreenPlantFood</t>
  </si>
  <si>
    <t xml:space="preserve">Svein Halvor Knutsen</t>
  </si>
  <si>
    <t xml:space="preserve">Sveinung Grimsby; Stefan Sahlstrøm</t>
  </si>
  <si>
    <t xml:space="preserve">Nofima, Lantmännen Cerealia, AM Nutrition, Norgesmøllene, Hoff SA, Mills AS, Flowfood AS, Norwegian University of Life Sciences (NMBU), Norwegian Institute of Bioeconomy Research (NIBIO), NORSUS Norwegian Institute for Sustainability Research, Technical University of Denmark, Potsdam Institute for Climate Impact Research, "Instituto de Biologia Experimental e Tecnológica, Lisboa (iBET)", University of food technologies Plovdiv</t>
  </si>
  <si>
    <t xml:space="preserve">Research Council of Norway</t>
  </si>
  <si>
    <t xml:space="preserve">SYLPLANT</t>
  </si>
  <si>
    <t xml:space="preserve">Arbiom, an agricultural-biotech company developing solutions to deliver next generation protein ingredients, announced today the kick-off of SYLPLANT project. This European collaborative project gathers 17 partners covering the entire food and feed value chains from feedstock manufacturers to retailers. It is co-funded by the Circular Bio-based Europe Joint Undertaking (CBE JU), a public-private partnership between the European Commission and the Bio-based Industries Consortium. SYLPLANT is built on the success of Sylfeed, a 4-year project funded by the Bio-Based Industries Joint Undertaking (predecessor of CBE JU) where Arbiom successfully scaled-up its technology and validated the performance of SylPro®, its flagship ingredient. “This factory paves the way to Arbiom’s industrial deployment. It will bring 10.000 tons/year of alternative, highly nutritional and sustainable protein to the market to answer the future food needs.” said Marc CHEVREL, CEO of Arbiom.</t>
  </si>
  <si>
    <t xml:space="preserve">https://acrobat.adobe.com/link/review?uri=urn%3Aaaid%3Ascds%3AUS%3Ad4e64a40-4679-3c42-a80f-ca1d80a890fd</t>
  </si>
  <si>
    <t xml:space="preserve">Original award amount is EUR 23,000,000 with EUR 14,000,000 from EU government.</t>
  </si>
  <si>
    <t xml:space="preserve">Amélie Drouault</t>
  </si>
  <si>
    <t xml:space="preserve">Arbiom</t>
  </si>
  <si>
    <t xml:space="preserve">France</t>
  </si>
  <si>
    <t xml:space="preserve">FIBENOL, CENTRE DE RECHERCHE ET D’INNOVATION DE L’INSTITUT LYFE (EX INSTITUT PAUL BOCUSE) , SATT SAYENS, Bel, AGROMOUSQUETAIRES, Biozoon GmbH, CENTIV GMBH, NORMANDISE PET FOOD, BIOMAR AS, EUROFINS FOOD TESTING FRANCE, IFEU - INSTITUTE FOR ENERGY AND ENVIRONMENTAL RESEARCH HEIDELBERG, BIOECONOMY FOR CHANGE, PNO CONSULTANTS</t>
  </si>
  <si>
    <t xml:space="preserve">European Commission</t>
  </si>
  <si>
    <t xml:space="preserve">Circular Bio-based Europe Joint Undertaking</t>
  </si>
  <si>
    <t xml:space="preserve">Joint public/private partnership</t>
  </si>
  <si>
    <t xml:space="preserve">EU</t>
  </si>
  <si>
    <t xml:space="preserve">BF</t>
  </si>
  <si>
    <t xml:space="preserve">Equipment and infrastructure, Research and development</t>
  </si>
  <si>
    <t xml:space="preserve">End product formulation</t>
  </si>
  <si>
    <t xml:space="preserve">University of Bath Cellular Agriculture Manufacturing Hub (CARMA)</t>
  </si>
  <si>
    <t xml:space="preserve">Imagine being able to manufacture food anywhere in the world, or even in space, so everyone, everywhere, has enough nutritious food to eat!
This dream can be achieved through Cellular Agriculture (Cell Ag). Cell Ag enables the production of food products that would normally come from an animal, such as meat and milk from cows, or from monocultures of crops such as oil palm trees, without having to keep increasing animal or plant numbers to feed our growing global population.
Cell Ag, uses biological cell-level processes to create food via the 'building blocks of life' - the proteins, fats and carbohydrates. By delivering these building blocks, Cell Ag will transform food production by complementing traditional food production, so not only can we feed the world, but we can manufacture the food so that sustainability and social responsibility is embedded from the outset.
Why would we wish to use Cell Ag rather than animals? Let's take the example of the building block, protein, from traditional meat. Life Cycle Assessments have shown that when comparing traditional meat manufacturing against the expected benefits of using Cell Ag, there is a predicted reduction in greenhouse gas emissions, and land use, of up to 95%. The analysis also estimates that we could achieve up to 50% reduction in the use of water, compared to cattle farming. And we could reduce need for intensive farming so improving animal welfare too. So, with these benefits and the urgent need to achieve Net Zero Manufacturing and protect the planets resources.
Why do we not have Cell Ag manufacturing in our homes or across all our food manufacturing sectors? There are several reasons - and our research will remove these blockers to Cell Ag manufacturing.
Current status of Cell Ag Manufacturing research and outputs in the UK:
In the UK (and across the World), there are pockets of excellent research being done, but little that focuses on delivering useable and scalable manufacturing machinery, processes, and systems in a coherent manner. The research tends to be in silos and focussed on aspects of the Manufacturing Value Chain. There are fundamental areas of research that need to be delivered to enable us to realise the Cell Ag potential, as well as transforming current research outputs to be useable.
Through this Hub we will bring together the pockets of excellence in the UK, and deliver a coherent and targeted research programme that will ensure the UK Cell Ag research ecosystem is world-leading and has manufacturing impact. Rather than target a particular sector/type of food/product - the Hub will deliver manufacturing research which will enable production of food building blocks at local, regional and international levels.
Our vision is to be the world leader in delivering materials, manufacturing processes and skills to escalate the world's adoption of sustainable Cell Ag food production. We will achieve this through becoming the net exporter of the building blocks of life.</t>
  </si>
  <si>
    <t xml:space="preserve">https://gtr.ukri.org/projects?ref=EP%2FX038114%2F1</t>
  </si>
  <si>
    <t xml:space="preserve">grant.13519746</t>
  </si>
  <si>
    <t xml:space="preserve">Original award amount is GBP 21,214,469 with GBP 12,302,109 coming from government.</t>
  </si>
  <si>
    <t xml:space="preserve">GFI Europe helped with the proposal and will sit on the advisory board.</t>
  </si>
  <si>
    <t xml:space="preserve">Marianne Ellis</t>
  </si>
  <si>
    <t xml:space="preserve">Chemical Engineering</t>
  </si>
  <si>
    <t xml:space="preserve">University of Bath</t>
  </si>
  <si>
    <t xml:space="preserve">Royal Agricultural University, University College London (UCL), University of Aberystwyth, University of Birmingham, 3D Bio-Tissues Ltd, Campden BRI, Cellular Agriculture Ltd, Clean Food Group, Hoxton Farms, MilliporeSigma, Multus Biotechnology Limited, Naturbeads Ltd, Qkine Ltd, Quest Meat, Roslin Technologies Limited, Veolia Water Technologies, Ivy Farm Technologies Limited</t>
  </si>
  <si>
    <t xml:space="preserve">Engineering and Physical Sciences Research Council (EPSRC)</t>
  </si>
  <si>
    <t xml:space="preserve">research hub</t>
  </si>
  <si>
    <t xml:space="preserve">Research and development, Education and training</t>
  </si>
  <si>
    <t xml:space="preserve">ARRIVAL (ARRIVAL of Cellular Agriculture-Enabling biotechnology for Future Food Production)</t>
  </si>
  <si>
    <t xml:space="preserve">Global food production must increase more than 60% towards 2050, and as a result, there has been increasing pressure on the livestock sector to meet the growing demand for high-value animal protein. Although plant-based alternatives have a lot of potentials, these cannot truly mimic animal proteins, recreate the nutritional value, nor the mouthfeel, taste, or functionality. Also, from a circular bioeconomy perspective, increased recycling of waste streams from food production will be necessary. We will employ ground-breaking new, enabling, and fundamentally different technologies to produce food proteins by Cellular Agriculture (CellAg). There are two kinds of CellAg production systems, precision fermentation, and cultured meat, and in ARRIVAL we will use both to produce milk, egg, and meat proteins, homologous to proteins normally produced through conventional agriculture, using Norwegian raw materials and by-products as input. CellAg is a revolution in food production that can lead to major changes in agricultural production and ownership, land use, policymaking, food habits, and ethical questions. In ARRIVAL we aim to enable wider implementation of alternative animal protein sources in food production chains, as well as preparing society, consumers, and the food industry for the potential impacts of this radical shift in production methods. In addition to investigating the technological changes CellAg represents, we will through a transdisciplinary approach explore the foundations that must be laid before Norwegian consumers and society will and can adapt to this technology. Through ARRIVAL we will develop enabling biotechnology and knowledge, which will improve and modernize the existing land-based food industry. The novel biotechnological methodology to be developed will in long term potentially be the foundation of a new kind of Norwegian food industry that will produce tomorrow's food in a smart, sustainable, and innovative way.</t>
  </si>
  <si>
    <t xml:space="preserve">https://nofima.com/press-release/norwegian-focus-on-new-food-technology/</t>
  </si>
  <si>
    <t xml:space="preserve">grant.13201908</t>
  </si>
  <si>
    <t xml:space="preserve">Original award amount is NOK 20,000,000.</t>
  </si>
  <si>
    <t xml:space="preserve">Sissel Beate Rønning</t>
  </si>
  <si>
    <t xml:space="preserve">Sintef Industry, OsloMet, Ruralis, The Norwegian Board of Technology, Nortura AS, Norilia AS, TINE AS</t>
  </si>
  <si>
    <t xml:space="preserve">Cell culture media, Host strain development , Bioprocess design</t>
  </si>
  <si>
    <t xml:space="preserve">Sustainable use of marine and industrial waters to unlock the potential of seaweeds as a future food source</t>
  </si>
  <si>
    <t xml:space="preserve">Seaweed farming offers a unique possibility to feed the growing global population without putting further pressure on access to land and fresh water.Also, there is no need for fertilizers but rather a net uptake of nutrients, thereby mitigating eutrophication.
Seaweed farming offers a unique possibility to feed the growing global population without putting further pressure on access to land and fresh water. Also, there is no need for fertilizers but rather a net uptake of nutrients, thereby mitigating eutrophication. SUSWEED aims at releasing the potential of Swedish seaweed as a future sustainable food source according to models which have positive effects on both marine and industrial waters. This will be achieved via development of novel cultivation techniques for Ulva fenestrata and Palmaria palmata based both in the ocean and as part of a system to purify nutrient-rich food industry process waters. Harvested seaweed will be stabilized and pre-processed into tasty, nutritious, and safe intermediate raw materials to incorporate in new fish-based and vegan food products. These are developed to reach broad acceptance for seaweed as a new sustainable food commodity. SUSWEED puts great emphasis on solving non-technical challenges of the new industrial symbiosis between seaweed farmers and generators of process waters and other resources which can make the seaweed industry more sustainable. Safety is carefully addressed by monitoring levels of heavy metals and their accessibility for uptake. The project is built on a strong multidisciplinary partnership with industries and academia which has pioneered the development of state-of-the-art research and applications concerning seaweed in Sweden during the last 10 years.</t>
  </si>
  <si>
    <t xml:space="preserve">SEK</t>
  </si>
  <si>
    <t xml:space="preserve">https://research.chalmers.se/en/project/11357</t>
  </si>
  <si>
    <t xml:space="preserve">University of Gothenburg</t>
  </si>
  <si>
    <t xml:space="preserve">Sweden</t>
  </si>
  <si>
    <t xml:space="preserve">Ended</t>
  </si>
  <si>
    <t xml:space="preserve">Swedish Research Council for Environment Agricultural Sciences and Spatial Planning (FORMAS)</t>
  </si>
  <si>
    <t xml:space="preserve">Seafood</t>
  </si>
  <si>
    <t xml:space="preserve">End product formulation, Crop development, Ingredient optimisation</t>
  </si>
  <si>
    <t xml:space="preserve">GRAPHENE MEMBRANES - FUTURE ENABLER FOR BETTER PLANT-BASED FOODS AND BEVERAGES</t>
  </si>
  <si>
    <t xml:space="preserve">The aim of this project is to explore the application of graphene oxide (GO) membranes for more healthy, sustainable, and responsible plant-based food and beverages production. Graphene has unique applications in chemistry and biology due to possibility of attaching various chemical functional group. This allows construction of active membranes to form a perfect separation of organic molecule. A plant-based lifestyle can lower the impact of climate change, but exclusive plant-based diets could also have negative effect on humans. This project resolves these challenges by applying a novel membrane technology to plant-based foods and beverages separation. Obtained knowledge and scientific results could have multiple applications and far reaching impact.
The project will target selective removal of sugars, alcohol, and acids to obtain a more balanced plant-based diet, by investigating and applying novel membrane technology. Currently, the only way of reducing sugars is conversion into alcohol or acids and subsequent removal, resulting in reduced nutritional value due to micronutrient oxidation and degradation of bio-active proteins. Reduction of sugars will provide healthier variants, improve glycemic index and balance protein/carbohydrate/fiber ratios, which are problematic in many plant foods due to low protein/fiber content. Similarly, direct acid removal from juices or fermented foods will reduce risk of dental damage. Finally, any food and beverages produced by yeast fermentation could benefit from selective alcohol removal.
The challenges will be to develop and eventually improve membrane selectivity for the proposed targets, optimize flux potential, reduce fouling and increase chemical resistance during cleaning. Since the membrane composition is a key element in achieving the proposed results, a cross functional collaboration is necessary. GO membrane tasks will be addressed by the Graphene Engineering and Innovation Centre at UoM (UK) and DTU (DK) using state-of-the-art facilities equipped with different microscopies, electronic/optical measuring, Nanoscale Thermal Analysis, and chemical modification capabilities. Process understanding, validation and evaluation will take place at Carlsberg Research Laboratory (CRL) utilizing extensive analytical, fermentation, and beverage capabilities.
As part of SYLPLANT, the consortium will work on the sequent objectives for the next three years:  • Constructing &amp; operating Arbiom’s first plant in France to reach 10,000 ton per year of ingredient production.  • Validating the use of SylPro® in feed applications including aquafeed and petfood and insights.  gathering consumer Figure 1: Arbiom’s first plant design • Developing the next generation of foods such as cheese analogs, meat-analogs, and specialized nutrition products with Arbiom’s ingredient.  </t>
  </si>
  <si>
    <t xml:space="preserve">https://www.carlsbergfondet.dk/en/Forskningsaktiviteter/Bevillingsstatistik/Bevillingsoversigt/CF21_0677_Birgitte-Skadhauge</t>
  </si>
  <si>
    <t xml:space="preserve">need to check</t>
  </si>
  <si>
    <t xml:space="preserve">Original award amount is DKK 19,980,675.</t>
  </si>
  <si>
    <t xml:space="preserve">Birgitte Skadhauge</t>
  </si>
  <si>
    <t xml:space="preserve">Carlsberg Research Laboratory</t>
  </si>
  <si>
    <t xml:space="preserve">University of Manchester, Technical University of Denmark</t>
  </si>
  <si>
    <t xml:space="preserve">Completed</t>
  </si>
  <si>
    <t xml:space="preserve">Carlsberg Foundation</t>
  </si>
  <si>
    <t xml:space="preserve">TRL 1-3</t>
  </si>
  <si>
    <t xml:space="preserve">Cellular food for sustainable production and innovative food concepts (CellFood)</t>
  </si>
  <si>
    <t xml:space="preserve">- With CellFood, we can, over the next five years, support the development of projects ranging from technological solutions to consumer acceptance. This will generate more knowledge on both the development of cellular foods and how we – over time – will be able to sell the products to the consumers. One thing is to make the products, another thing is to encourage people that the products are something they should consider being a part of their future, sustainable diet.</t>
  </si>
  <si>
    <t xml:space="preserve">https://dca.au.dk/en/current-news/news/show/artikel/institut-for-foedevarer-saetter-skub-i-udviklingen-af-cellulaere-foedevarer</t>
  </si>
  <si>
    <t xml:space="preserve">Original award amount is DKK 15,000,000.</t>
  </si>
  <si>
    <t xml:space="preserve">GFI U.S. and GFI Europe provided letters of support.</t>
  </si>
  <si>
    <t xml:space="preserve">Jette Feveile Young</t>
  </si>
  <si>
    <t xml:space="preserve">Liisa Lähteenmäki; Stig Purup; Esben Skipper Sørensen; Clarissa Schwab; Steen Brock; Stella Spanou; Jesper Emborg; Mogens Sandø Lund</t>
  </si>
  <si>
    <t xml:space="preserve">Aarhus University Research Foundation (AUFF)</t>
  </si>
  <si>
    <t xml:space="preserve">Cell line development</t>
  </si>
  <si>
    <t xml:space="preserve">https://docs.google.com/document/d/1tLlVtTn3KFv7qG4X8ZMC2gpJaQ1j-sRhGUMvrdp5kOM/edit?usp=share_link</t>
  </si>
  <si>
    <t xml:space="preserve">Tier 3 (Minimal GFI involvement, e.g. LoS)</t>
  </si>
  <si>
    <t xml:space="preserve">Microbial Food Hub</t>
  </si>
  <si>
    <t xml:space="preserve"> We propose the creation of an Engineering Biology Hub for Microbial Foods. The aim of the Hub is to harness the joint potential of two important scientific fields - engineering biology and microbial foods - in order to transform our existing food production system into one that is better for the environment, more resilient to climatic or political shocks, and that gives consumers healthier and tastier products. 
 Background: Current food systems are unsustainable. Traditional farming and agriculture contribute significantly to climate change, and this is exacerbated by the alarming levels of food waste. Damage to the planet is mirrored by impacts on human health: a significant portion of the global population suffers malnutrition, while diseases linked to ultra-processed and high-calorie diets continue to rise. The way we produce and consume food has to change, and to change quickly if we are to have any chance of meeting targets for clean growth. Microbial foods - produced by microorganisms like yeast and fungi - offer a way to make this urgently needed transformation. 
 Microbial foods are produced using different types of fermentation, with this process employed to produce large quantities of protein and other nutrients (biomass fermentation), to modulate and process plant and animal-derived products (traditional fermentation) or to produce new food ingredients (precision fermentation). Microbes grow rapidly, don't need large amounts of land or water to grow, and can use food by-products ('food waste') as feedstocks. In addition, microbial foods are less affected by adverse weather and can be produced locally - reducing transport costs, carbon footprint, and our dependence on food imports.
 Engineering biology applies engineering principles to biology, enabling scientists to build and manufacture novel biological systems and products. Tools from engineering biology have recently been applied to optimise microbial food production, and microbes can now be manipulated to be more productive, tastier and more nutritious. Applying engineering biology to microbial foods has the potential to radically change the way food is produced, and this creates an important and timely opportunity to address some of the most critical health and sustainability challenges of our time. 
 The Hub:
 The first of its kind in the world, the new Hub will build on the UK's world-leading expertise and facilities in engineering biology and microbial foods. It will bring together academics, industrial partners, food organisations and consumers in a wide-ranging and ambitious programme of work that creates a clear route from scientific research to new food products on the shelf. 
 At the heart of the Hub's activity will be eleven research projects, each addressing a separate challenge that needs to be overcome if large-scale production of diverse microbial food products is to be achieved. Project will use cutting-edge engineering biology methods, and will benefit from the Hub's additional focus on education, regulation and commercialisation, to ensure research outputs are translated into meaningful benefits. 
 Overall, our objectives are :
 - To advance research into how engineering biology can be used to produce microbial foods 
 - To develop new capabilities for developing microbial foods using engineering biology 
 - To open new routes for this research to benefit human health and environmental sustainability 
 Meeting these objectives will establish the Hub as an internationally-recognised reference for research, innovation and translation in the application of engineering biology to microbial foods - demonstrating UK leadership in this field, attracting the best global talent, and delivering more sustainable, productive, resilient and healthy food systems.
 Technical Summary
 We propose an Engineering Biology Hub for Microbial Foods, integrating world-leading research and innovation, education, translation and commercialisation. The overarching vision is to harness the joint potentials of engineering biology and the microbial food revolution to create and deliver a more sustainable, productive, resilient and healthy food system. 
 The Hub's research programme encompasses projects focused on 'Applications' (biomass fermentation, traditional fermentation, precision fermentation), and 'Capabilities' (scale-up, artificial intelligence, strain engineering, food technology and nutrition) at the interface of engineering biology and microbial foods. Projects will be underpinned by a range of cutting-edge tools and approaches from engineering biology, including automation, microbial community design, bioprocessing, modelling, systems biology and strain engineering. To ensure research outputs are translated into meaningful change, projects are complemented by a range of different 'Paths' (e.g. commercialisation, education, regulation, communication, etc). 
 The Hub's objectives across these areas are:
 'Applications': To advance engineering biology research to produce microbial foods. 
 'Capabilities': To develop new capabilities for the development of microbial foods using engineering biology (for the members of the Hub and beyond). 
 'Paths': To support present and future research into engineering biology for microbial foods, and translation of this research into positive, real-world impacts. 
 Meeting these three objectives will establish UK leadership in the field, with the Hub an internationally-recognised reference for this application of engineering biology.</t>
  </si>
  <si>
    <t xml:space="preserve">https://www.foodingredientsfirst.com/news/uk-government-injects-%C2%A312m-into-microbial-food-hub-for-alt-protein-innovation.html</t>
  </si>
  <si>
    <t xml:space="preserve">grant.14049711</t>
  </si>
  <si>
    <t xml:space="preserve">Rodrigo Ledesma-Amaro</t>
  </si>
  <si>
    <t xml:space="preserve">Imperial College London</t>
  </si>
  <si>
    <t xml:space="preserve">Professors Paul Freemont (Department of Infectious Disease), Karen Polizzi (Department of Chemical Engineering), Gary Frost (Department of Metabolism, Digestion and Reproduction), Tom Ellis (Department of Bioengineering) and Geoff Baldwin (Department of Life Sciences).</t>
  </si>
  <si>
    <t xml:space="preserve">https://docs.google.com/document/d/197_vHTSaVQSB77rGsyhQRGBpcoXMK26A/edit</t>
  </si>
  <si>
    <t xml:space="preserve">Like-A-Pro: From niche to mainstream - alternative proteins for everybody and everywhere</t>
  </si>
  <si>
    <t xml:space="preserve">The interest of Europeans in alternative proteins is becoming clear and this trend is the perfect ground for the dietary shift towards sustainable and healthy nutrition and food systems, in line with the ambitions of the EU Green Deal, Farm to Fork strategy and EU’s climate goals. Yet, this interest is not reflected in the European dietary patterns, as alternative proteins are mainly consumed by early adopters, while the majority is less receptive towards alternatives or have limited possibilities to integrate them in the diets. This gap between interest and consumption is due to obstacles in the food environments such as product limited offering, suboptimal product taste, isolated product placement in shops or menus etc. Without overcoming these obstacles, alternative proteins will remain a niche. LIKE-A-PRO aims at mainstreaming alternative proteins, making them accessible, available, and acceptable to everybody (from children to elderly, vulnerable groups) and everywhere (across Europe, in urban, peri-urban, and rural areas). To achieve this, key representatives along the entire alternative protein value chain (growers, producers, cooks, retailers, consumers, researchers) will work together in a trans-disciplinary consortium. To improve European food environments towards fostering alternative protein consumption, practical solutions will be co-designed with citizens. This social innovation will take place in 11 living labs and in 4 real life food environments. For a diversified alternative protein offering, 16 new alternative protein products will be developed with 7 sustainable, healthy, and novel sources. To secure result deployment, the project will actively involve middle food system actors (+35,000 companies) – via co-creation and capacity building. For a maximised impact, innovative communication campaigns will be launched in 6 countries, reaching 8 M citizens in 4 years.</t>
  </si>
  <si>
    <t xml:space="preserve">https://cordis.europa.eu/project/id/101083961</t>
  </si>
  <si>
    <t xml:space="preserve">grant.13029417</t>
  </si>
  <si>
    <t xml:space="preserve">Original award amount is €13,909,092.76 with the EU government contribution being
€11,999,659.64.</t>
  </si>
  <si>
    <t xml:space="preserve">Robin Simsa</t>
  </si>
  <si>
    <t xml:space="preserve">ASOCIACION PARA LA INVESTIGACION DESARROLLO E INNOVACION DEL SECTOR AGROALIMENTARIO (ADISA)</t>
  </si>
  <si>
    <t xml:space="preserve">Spain</t>
  </si>
  <si>
    <t xml:space="preserve">Asociacion para la investigacion desarrollo e innovacion del sector agroalimentario , Proti Farm R&amp;D BV, Ynsect, Moreforsking AS, Rimfrost AS, Calidris Bio, Asociacion professional de productores de sustratos y hongos de la rioja Navarra y arragon, Kinoko-Tech , Celabor SCRL, Biozoon GmbH, Revo Foods GmbH, Flowfood AS, Carnes de teruel SA, Naturuel SL, Collaborating centre on sustainable consumption and production gGmbH, SWPS Uniwersytet Humanistycznospoleczny, The American College of Greece Research Center, ITC – inovacijsko tehnoloski grozd murska sobota, Zeytince ekolojik yasami desteklemedernegi, Demos Research Institute OY, Foodlab Proef, Basque culinary center fundazioa, Stichting Food Valley, FBCD AS, Spread European Safety GEIE, Federazione Italiana dell Industiaalimentare Associazione, Federacao das Industrias Portuguesas Agroalimentares, Federacion Espanola de Industrias de la Alimentacion y Bebidas, Syndesmos Ellinikon Viomichanion Trofimon Somateio, Tuerkiye Suet et Gida Sanayicileri ve Uereticileri Birligi Dernegi, Gospodarska Zbornica Slovenije, Lebensmittelversuchsanstalt, Potravinarska Komora Ceske Republiky, Association Nationale des Industries Alimentaires, Eurizon SL, Green Food Lab B.V., Fundacion Gaiker, Alimentos Sanygran S.L., Safe Food Advocacy Europe, 21 Markets BV</t>
  </si>
  <si>
    <t xml:space="preserve">TF</t>
  </si>
  <si>
    <t xml:space="preserve">Research and development, Education and training, Research infrastructure</t>
  </si>
  <si>
    <t xml:space="preserve">Consumer and market research, Env/impact assessments, Health/nutrition</t>
  </si>
  <si>
    <t xml:space="preserve">HealthFerm: Innovative pulse and cereal-based food fermentations for human health and sustainable diets</t>
  </si>
  <si>
    <t xml:space="preserve">Food fermentation is a natural process in which food components are converted by microbial growth of desired yeast and bacteria and enzymes. It is an ancient technique purported to promote the growth of beneficial bacteria in the gut. Food and health experts on the EU-funded HealthFerm project will advance fermentation technology and enable the transition from traditional to sustainable grain-based fermented foods. These will be rich in protein and designed to offer maximum health benefits to EU consumers. For optimal results, they will unravel the relationship between fermentation, the gut microbiome, grain-based foods and health. Moreover, they will identify and employ suitable microorganisms in the development of novel grain-based food sources and assess their impact on gut health.</t>
  </si>
  <si>
    <t xml:space="preserve">11 303 944.75</t>
  </si>
  <si>
    <t xml:space="preserve">https://cordis.europa.eu/project/id/101060247/reporting</t>
  </si>
  <si>
    <t xml:space="preserve">grant.12941144</t>
  </si>
  <si>
    <t xml:space="preserve">Original award amount is EUR 13,100,000 with EUR 11.3MM from European Union’s Horizon Europe Framework Programme for Research and Innovation.  EUR 1.8MM from the Swiss government listed separately</t>
  </si>
  <si>
    <t xml:space="preserve">Christophe Courtin</t>
  </si>
  <si>
    <t xml:space="preserve">Food and Microbial Technology</t>
  </si>
  <si>
    <t xml:space="preserve">Katholieke Universiteit Leuven (KU Leuven)</t>
  </si>
  <si>
    <t xml:space="preserve">Belgium</t>
  </si>
  <si>
    <t xml:space="preserve">Puratos Nv, Vib Vzw, Vrije Universiteit Brussel, Chr. Hansen A/S, Kobenhavns Universitet, Healthgrain Forum Ry, Helsingin Yliopisto, Ita-Suomen Yliopisto, VTT Technical Research Centre of Finland Ltd, Turun Yliopisto, Valio Oy, Centre de Recherche de l’Institut Paul Bocuse, EURICE - European Research and Project Office GmbH, Libera Universita Di Bolzano, Institutul De Biologie Bucuresti, Sveriges Lantbruksuniversitet, Chalmers Tekniska Hogskola Ab, Umea Universitet, Eidgenössische Technische Hochschule Zürich, Planted Foods AG, Bridge2Food (Foodcompanions BV)</t>
  </si>
  <si>
    <t xml:space="preserve">Ingredient optimisation, Health/nutrition, Consumer and market research</t>
  </si>
  <si>
    <t xml:space="preserve">Grant to Enifer for commercial-scale mycoprotein facility</t>
  </si>
  <si>
    <t xml:space="preserve">Finnish biotech startup Enifer announces that it has received a grant worth over €12 million from the European Union’s NextGenerationEU programme, to construct its first commercial-scale mycoprotein facility in the Uusimaa region (the exact location has not been revealed).</t>
  </si>
  <si>
    <t xml:space="preserve">https://vegconomist.com/investments-finance/enifer-e12m-eu-grant-mycoprotein-facility-finland/?utm_medium=email&amp;utm_source=rasa_io&amp;utm_campaign=newsletter</t>
  </si>
  <si>
    <t xml:space="preserve">Original award amount is EUR 12,000,000 from the European Union’s NextGenerationEU programme, approved by Business Finland.</t>
  </si>
  <si>
    <t xml:space="preserve">Simo Ellilä</t>
  </si>
  <si>
    <t xml:space="preserve">Enifer</t>
  </si>
  <si>
    <t xml:space="preserve">NextGenerationEU</t>
  </si>
  <si>
    <t xml:space="preserve">SYNAGRI: Developing synergies between the bioeconomy and regional food systems for a sustainable future</t>
  </si>
  <si>
    <t xml:space="preserve">The aim of SYNAGRI is to understand the capacity for integration between an emerging bioeconomy and regional food systems, and develop strategies to promote an integrated, sustainable food system. The project will contribute to theoretical developments in systems thinking, understand how food systems can be transformed through integration and its implications for social, environmental, and economic sustainability. Scenario evaluation will identify desirable trajectories and policy options to achieve them. The main outcome will be to advance a systems perspective on Norwegian food systems and assist Norway in identifying prospects for value creation through food system-bioeconomy integration.</t>
  </si>
  <si>
    <t xml:space="preserve">https://prosjektbanken.forskningsradet.no/en/project/FORISS/325403</t>
  </si>
  <si>
    <t xml:space="preserve">Richard Helliwell</t>
  </si>
  <si>
    <t xml:space="preserve">STIFTELSEN RURALIS INSTITUTT FOR RURAL- OG REGIONALFORSKNING</t>
  </si>
  <si>
    <t xml:space="preserve">All</t>
  </si>
  <si>
    <t xml:space="preserve">Env/impact assessments</t>
  </si>
  <si>
    <t xml:space="preserve">AlinOVeg: Innovating in plant-based food</t>
  </si>
  <si>
    <t xml:space="preserve">AlinOVeg's objective is to develop innovative solutions and products (pea and fava bean varieties, protein ingredients, plant-based alternatives to cheese and plant-based desserts) and to create a strong and sustainable French sector.
To achieve this, AlinOVeg relies upon a development driven by consumers’ expectations. AlinOVeg will offer products with optimal functional, nutritional, and organoleptic qualities. In addition, the project will rely on the development of more sustainable processes thanks to a large varietal selection, new valorization processes and more resilient local sectors. AlinOVeg will also address farmers directly to better meet their needs and enable them to optimize the value of pea and fava bean crops.
This 5-year project will be marked by key research and development milestones to remove technological barriers along the value chain.
Supported by France 2030 as part of the call for projects operated by Bpifrance "Food Needs of Tomorrow" of the "Sustainable and Healthy Food" acceleration strategy, AlinOVeg aims to be launched on the world market in the coming years.</t>
  </si>
  <si>
    <t xml:space="preserve">https://www.futureofproteinproduction.com/post/pea-and-fava-bean-focus-of-new-multi-million-dollar-french-project</t>
  </si>
  <si>
    <t xml:space="preserve">Original award amount is EUR 11,400,000 with EUR 8,300,000 coming from the French government. Pea and fava beans are the primary plant inputs that will be investigated as part of this research.</t>
  </si>
  <si>
    <t xml:space="preserve">Pierre Courduroux</t>
  </si>
  <si>
    <t xml:space="preserve">Roquette</t>
  </si>
  <si>
    <t xml:space="preserve">Agri Obtentions, Eurial, Greencell, INRAE, Université Lumière Lyon 2</t>
  </si>
  <si>
    <t xml:space="preserve">BpiFrance</t>
  </si>
  <si>
    <t xml:space="preserve">Dairy</t>
  </si>
  <si>
    <t xml:space="preserve">Cheese</t>
  </si>
  <si>
    <t xml:space="preserve">28/2/2028</t>
  </si>
  <si>
    <t xml:space="preserve">SOYSTAINABLE (ANR-22-PLEG-003): towards a source of local and sustainable soy protein in human food resilient to climate change</t>
  </si>
  <si>
    <t xml:space="preserve">Over the next six years, the SOYSTAINABLE scientific project, officially launched on Thursday, February 9, will help promote local soybean crops for human consumption that are sustainable and resilient to climate change. The project, funded by the ANR (National Agency for Research in the Environment) as part of France 2030, will be coordinated by Jean-Malo Couzigou, CNRS research fellow at the Plant Sciences Research Laboratory. It will be supported by the University of Toulouse III – Paul Sabatier, the coordinating institution.</t>
  </si>
  <si>
    <t xml:space="preserve">https://www.univ-tlse3.fr/un-projet-de-grande-envergure-pour-developper-la-culture-du-soja-germe-en-france</t>
  </si>
  <si>
    <t xml:space="preserve">Original award amount is EUR 11,209,955.38 with EUR 2,999,797.00 provided by the ANR and EUR 8,210,158.38 contributed by project partners.</t>
  </si>
  <si>
    <t xml:space="preserve">Jean-Malo Couzigou</t>
  </si>
  <si>
    <t xml:space="preserve">French National Center for Scientific Research (CNRS)</t>
  </si>
  <si>
    <t xml:space="preserve">Government research agency</t>
  </si>
  <si>
    <t xml:space="preserve">University of Toulouse III – Paul Sabatier, "National Research Institute for Agriculture, Food and the Environment (INRAE)", National Center for Scientific Research (CNRS), University of Caen Normandy, Paris-Saclay University, PURPAN School of Engineering (Toulouse INP-Purpan), UniLaSalle polytechnic institute, Lidea, RAGT 2N, De Sangosse, Terres Inovia, Opera Gardens</t>
  </si>
  <si>
    <t xml:space="preserve">French National Research Agency (ANR)</t>
  </si>
  <si>
    <t xml:space="preserve">https://anr.fr/fr/detail/call/developper-les-proteines-vegetales-et-diversifier-les-sources-de-proteines-volet-1-proteines-d/</t>
  </si>
  <si>
    <t xml:space="preserve">Crop development</t>
  </si>
  <si>
    <t xml:space="preserve">Harnessing the microbial potential of fermented foods for healthy and sustainable food systems (DOMINO)</t>
  </si>
  <si>
    <t xml:space="preserve">Food and beverage fermentation dates back 7 000 years. Despite this long history, we know very little about the benefits of such a diet. The EU-funded DOMINO project will study the health impacts of a diet based on fermented food (milk kefir) on a healthy population and a cohort suffering from metabolic syndrome to better focus on health biomarkers and inform dietary recommendations. We are also missing strategies to ensure food production sustainability. The project will thus carry out six plant-based fermented food case studies within the framework of citizen science. These food prototypes will help to develop an open-access database and new computational tools for profiling food microbiomes’ metabolic interaction during food fermentation and their overlap with the healthy gut microbiome.</t>
  </si>
  <si>
    <t xml:space="preserve">https://cordis.europa.eu/project/id/101060218</t>
  </si>
  <si>
    <t xml:space="preserve">Original award amount is EUR 10,815,148. The award is not focused solely toward the development of fermentation-derived meat, eggs, or dairy but on fermented foods more broadly.</t>
  </si>
  <si>
    <t xml:space="preserve">Stéphane Chaillou</t>
  </si>
  <si>
    <t xml:space="preserve">Food Microbial Ecology</t>
  </si>
  <si>
    <t xml:space="preserve">INSTITUT NATIONAL DE RECHERCHE POUR L'AGRICULTURE, L'ALIMENTATION ET L'ENVIRONNEMENT (INRAE)</t>
  </si>
  <si>
    <t xml:space="preserve">INSTITUT NATIONAL DES SCIENCES ET INDUSTRIES DU VIVANT ET DE L'ENVIRONNEMENT - AGROPARISTECH, CENTRE DE RECHERCHE EN NUTRITION HUMAINE D'AUVERGNE, TEAGASC - AGRICULTURE AND FOOD DEVELOPMENT AUTHORITY, UNIVERSITA DEGLI STUDI DI TORINO, UNIVERSITA DEGLI STUDI DI TRENTO, UNIVERSITA DEGLI STUDI DI NAPOLI FEDERICO II, AGENCIA ESTATAL CONSEJO SUPERIOR DE INVESTIGACIONES CIENTIFICAS, Technical University of Munich, STICHTING VU, AIT AUSTRIAN INSTITUTE OF TECHNOLOGY GMBH, EUROPEAN FOOD INFORMATION COUNCIL, INSTITUT DE RECHERCHE POUR LE DEVELOPPEMENT, INRAE TRANSFERT SAS, AKTSIASELTS TOIDU- JA FERMENTATSIOONITEHNOLOOGIA ARENDUSKESKUS, Green Spot Technologies, HERBEL CREST LIMITED, F.LLI MERANO SOCIETA PER AZIONI, LES NOUVEAUX AFFINEURS, MOOREPARK TECHNOLOGY LTD, IMPERIAL COLLEGE OF SCIENCE TECHNOLOGY AND MEDICINE</t>
  </si>
  <si>
    <t xml:space="preserve">Health/nutrition, End product formulation, Consumer and market research</t>
  </si>
  <si>
    <t xml:space="preserve">Umiami acquires Unilever factory to establish 'Made-in-France plant-based meat'</t>
  </si>
  <si>
    <t xml:space="preserve">The purchase of the new facility has been made possible by a $30 million funding round in April, which was claimed to be the largest ever of its kind in the European plant-based sector. At the time, Umiami said it had already acquired major clients in Northern Europe, North America, and South East Asia.
Speaking about the facility, the company’s CEO and co-founder Tristan Maurel said the location in France’s Alsace region had been a strategic choice.
“All the local authorities welcomed us with extraordinary professionalism and enthusiasm, emphasising the union of all political sides to promote local economic and industrial dynamism,” he said. “The industrial know-how of the region and the strategic positioning at the heart of Europe convinced us that Alsace was conducive to our development. We are delighted to be able to contribute to local job creation and national food sovereignty by establishing ourselves in Duppigheim.”</t>
  </si>
  <si>
    <t xml:space="preserve">https://www.futureofproteinproduction.com/post/umiami-acquires-unilever-factory-to-establish-made-in-france-plant-based-meat?utm_campaign=Future%20of%20Protein%20Production%20Newsletter&amp;utm_medium=email&amp;_hsmi=237582309&amp;_hsenc=p2ANqtz--ls134Q_DcfIXtZ0iaQCrzIsZibCzyZhRWcCiqD4NJp-FN4s_jil3nqi4CL4N5n9dw3QiuNcS1eqBk_6rgTgYOGwiS6Q&amp;utm_content=237580038&amp;utm_source=hs_email</t>
  </si>
  <si>
    <t xml:space="preserve">Original award amount is EUR 10,400,000 with EUR 7,400,000 coming from the French government and EUR 3,000,000 coming from the Grand-Est regional government.</t>
  </si>
  <si>
    <t xml:space="preserve">Tristan Maurel</t>
  </si>
  <si>
    <t xml:space="preserve">Umiami</t>
  </si>
  <si>
    <t xml:space="preserve">BpiFrance, Grand-Est Region</t>
  </si>
  <si>
    <t xml:space="preserve">https://www.bpifrance.fr/nos-appels-a-projets-concours/appel-a-projets-france-2030-premiere-usine</t>
  </si>
  <si>
    <t xml:space="preserve">Gap resolutIon in sAfety, NuTritional, alLergenicity and Environmental assessments to promote Alternative Protein utilization and the dietary Shift (GIANT LEAPS)</t>
  </si>
  <si>
    <t xml:space="preserve">https://cordis.europa.eu/project/id/101059632</t>
  </si>
  <si>
    <t xml:space="preserve">Original award amount is EUR 10,347,863 with EUR 10,272,862 coming from government.</t>
  </si>
  <si>
    <t xml:space="preserve">Paul Vos</t>
  </si>
  <si>
    <t xml:space="preserve">Food, Health, and Consumer Research</t>
  </si>
  <si>
    <t xml:space="preserve">Wageningen University and Research</t>
  </si>
  <si>
    <t xml:space="preserve">Netherlands</t>
  </si>
  <si>
    <t xml:space="preserve">INSTITUT DE RECERCA I TECNOLOGIA AGROALIMENTARIES, MATIS OHF, UNIVERSITY COLLEGE CORK, VTT Technical Research Centre of Finland Ltd, UNIVERSITA DEGLI STUDI DI NAPOLI FEDERICO II, LUONNONVARAKESKUS, Wageningen University and Research, German Institute for Food Technology eV (DIL), TEAGASC - AGRICULTURE AND FOOD DEVELOPMENT AUTHORITY, "INSTITUT NATIONAL DE RECHERCHE POUR L'AGRICULTURE, L'ALIMENTATION ET L'ENVIRONNEMENT", INSTITUT NATIONAL DES SCIENCES ET INDUSTRIES DU VIVANT ET DE L'ENVIRONNEMENT - AGROPARISTECH, MEDICAL UNIVERSITY SOFIA, FUNDACION AZTI - AZTI FUNDAZIOA, "IRIS TECHNOLOGY SOLUTIONS, SOCIEDAD LIMITADA", STICHTING EFFOST, Bridge2Food (Foodcompanions BV), VIVA MARIS GMBH, Solar Foods, ASSOCIACAO OCEANO VERDE LABORATORIO COLABORATIVO PARA O DESENVOLVIMENTO DE TECNOLOGIAS E PRODUTOS VERDES DO OCEANO, EUROPA MEDIA SZOLGALTATO NON PROFITKOZHASZNU KFT, VERHAGEN FRANCISCUS, Mosa Meat, NAPIFERYN BIOTECH SP ZOO, CAPACITY DEVELOPMENT IN NUTRITION RESEARCH-CAPNUTRA, FC CV, DEUTSCHER ALLERGIE- UND ASTHMABUND E.V., ROQUETTE FRERES SA, RUKOV JAKOB LEWIN, NUTRICIA RESEARCH BV, EIDGENOESSISCHE TECHNISCHE HOCHSCHULE ZUERICH, AGT Food and Ingredients, University of Manchester, UNILEVER U.K. CENTRAL RESOURCES LIMITED</t>
  </si>
  <si>
    <t xml:space="preserve">Health/nutrition, Food safety &amp; quality, Ingredient optimisation, Env/impact assessments</t>
  </si>
  <si>
    <t xml:space="preserve">Solar Foods accelerates production of climate-friendly protein with investment from The Finnish Climate Fund</t>
  </si>
  <si>
    <t xml:space="preserve">Solar Foods has received €10 million in funding from The Finnish Climate Fund. It is the first investment by the funding organisation. The subordinated loan now granted will go towards starting commercial-scale production of the innovative Solein® protein, which radically reduces the impact of food production on the climate. The funding from The Finnish Climate Fund brings the financing total for Solar Foods to €35 million.
Solar Foods has turned sci-fi into reality—it is now possible to produce nutritionally complete protein using carbon dioxide in the air and electricity as its primary raw materials. The innovation, rooted in the combined sresearch efforts of VTT Technical Research Centre of Finland and LUT University in Finland, is now in the commercialisation stage with industrial-scale production of the Solein protein about to get underway. The loan from The Finnish Climate Fund will be used to build the demonstrator facility. The facility will include the Solein Experience Hub and a future-food bar to provide citizens with an entirely new level of transparency in food production. This production facility, presently being designed, is scheduled to begin operations in early 2023.</t>
  </si>
  <si>
    <t xml:space="preserve">https://solarfoods.com/solar-foods-accelerates-production-of-climate-friendly-protein-with-investment-from-the-finnish-climate-fund/#:~:text=The%20funding%20from%20The%20Finnish,as%20its%20primary%20raw%20materials.</t>
  </si>
  <si>
    <t xml:space="preserve">Original award amount is EUR 10,000,000. This is a government loan.</t>
  </si>
  <si>
    <t xml:space="preserve">Finnish Climate Fund</t>
  </si>
  <si>
    <t xml:space="preserve">Umiami secures funding for US expansion</t>
  </si>
  <si>
    <t xml:space="preserve">https://tech.eu/2023/10/03/plant-based-meat-alternatives-firm-umiami-eur325m-us-expansion/</t>
  </si>
  <si>
    <t xml:space="preserve">Total fundraising amount was EUR 32,500,000 but here we are only including the government-backed amount, which we estimate at EUR 10,000,000.</t>
  </si>
  <si>
    <t xml:space="preserve">new VALue landscapes for plant PROtein Pathways (VALPRO Path)</t>
  </si>
  <si>
    <t xml:space="preserve">The current European plant-protein landscape is flawed. Heightened societal awareness of the environmental impact of consuming animal-based protein is driving the public’s awareness of alternative, sustainable sources of dietary protein. Yet, production systems are focussed heavily on the production of feedstock for direct transfer into animal sectors in an attempt to counter the EU’s over-dependency on imported feed. In essence, there is an absence of premium supply chains - farmers miss out on added-value opportunities that exist within the crops they already grow across Europe. There is a need to increase resilience in farming systems to mitigate against increasingly volatile climate patterns and to support farming systems to meet Farm-to-Fork strategic objectives. Built on the principles of co-creation, innovation and demonstration, VALPRO Path will design, validate and deliver sustainable and competitive plant protein crop systems and value chains. Focussed on underpinning economic value for all actors in the supply chain, it will exploit beyond state-of-the-art innovations, demonstrating and evaluating potential across 5 multi-stakeholder ‘living lab’ innovation production systems (IPSs). With strong industry involvement, the project will deliver a stronger ecosystem for plant protein production, supported with robust evidence of the social, economic, environmental, climate and health benefits. VALPRO Path will deliver new, sustainable business models, showing how focussed research can come into practice. Sustainable diversification of rotations with grain legumes will support the transition to more environmentally sustainable farming. European agriculture is at a juncture in regards to the sustainable provision of dietary protein. It can embrace opportunities presented through existing innovations that are integrated into real-life scenarios to support stakeholders realise the new market opportunities that exist for indigenous, fully traceable plant protein.</t>
  </si>
  <si>
    <t xml:space="preserve">https://cordis.europa.eu/project/id/101059824</t>
  </si>
  <si>
    <t xml:space="preserve">grant.12960983</t>
  </si>
  <si>
    <t xml:space="preserve">Original award amount is EUR 9,647,489 with EUR 8,662,360 coming from government.</t>
  </si>
  <si>
    <t xml:space="preserve">Ewen Mullins</t>
  </si>
  <si>
    <t xml:space="preserve">Crop Science</t>
  </si>
  <si>
    <t xml:space="preserve">Teagasc</t>
  </si>
  <si>
    <t xml:space="preserve">Ireland</t>
  </si>
  <si>
    <t xml:space="preserve">Aarhus University, UNIVERSITA DEGLI STUDI DI TORINO, ETHNICON METSOVION POLYTECHNION, FOODSCALE HUB GREECE ASSOCIATION FOR ENTREPREUNERSHIP AND INNOVATION ASTIKI MI KERDOSKOPIKI ETAIREIA, LEIBNIZ-ZENTRUM FUER AGRARLANDSCHAFTSFORSCHUNG (ZALF) e.V., AGENCIA ESTATAL CONSEJO SUPERIOR DE INVESTIGACIONES CIENTIFICAS, CONFEDERAZIONE GENERALE DELL AGRICOLTURA ITALIANA, AGRICOLUS S.R.L, Wageningen University and Research, BEOTANICS LIMITED, PORTFOLIO CONCENTRATE SOLUTIONS UNLIMITED COMPANY, DIGNITY IDIOTIKI KEFALAIOUXIKI ETAIREIA, MOOREPARK TECHNOLOGY LTD, MOLINO PEILA SOCIETA PER AZIONI SIGLABILE MOLINO PEILA SPA, GLOBAL NETWORKS GEMEINNUTZIGE UNTERNEHMERGESELLSCHAFT HAFTUNGSBESCHRANT, FARMB PSIFIAKI GEORGIA ANONIMI ETAIRIA, PROLUPIN GMBH, FATTORIA SOLIDALE DEL CIRCEO COOPERATIVA SOCIALE DI PRODUZIONE E LAVORO, TEALDI ROBERTO, KERRY GROUP SERVICES INTERNATIONAL LIMITED, KPAD LTD</t>
  </si>
  <si>
    <t xml:space="preserve">Ingredient optimisation, Crop development, Env/impact assessments</t>
  </si>
  <si>
    <t xml:space="preserve">SMART PROTEIN</t>
  </si>
  <si>
    <t xml:space="preserve">It is undeniable that protein is an indispensable part of the human diet, but the way we produce and consume it today presents many challenges, in terms of both global consumption patterns and their social, environmental and economic impacts. Providing a growing global population with healthy diets from sustainable food systems is therefore an immediate challenge. SMART PROTEIN aims to industrially validate and demonstrate innovative, cost-effective and resource-efficient, EU-produced, nutritious plant (fava bean, lentil, chickpea, quinoa) and microbial biomass proteins from edible fungi by up-cycling side streams from pasta (pasta residues), bread (bread crust) and beer (spent yeast and malting rootlets) industries. The alternative SMART protein will be used for the production of ingredients and products for direct human consumption, through developing future-proofed protein supply chains with a positive impact on bio-economy, environment, biodiversity, human nutrition, food and nutrition security and consumer trust and acceptance. These priorities will be addressed through global partnerships forged with consortium members from Europe, North America, Israel, Thailand and New Zealand to develop and demonstrate a climate-smart, sustainable protein-food system for a healthy Europe. We will harness plant and microbial protein knowledge to significantly enhance the sustainability and resilience of a new European protein supply chain, improve professional skills and competencies, and support the creation of new jobs in the food sector and bioeconomy.</t>
  </si>
  <si>
    <t xml:space="preserve">https://cordis.europa.eu/project/id/862957</t>
  </si>
  <si>
    <t xml:space="preserve">grant.8709639</t>
  </si>
  <si>
    <t xml:space="preserve">Original award amount is EUR 9,607,844 with EUR 8,179,215 from the EU government.</t>
  </si>
  <si>
    <t xml:space="preserve">Emanuele Zannini</t>
  </si>
  <si>
    <t xml:space="preserve">University College Cork</t>
  </si>
  <si>
    <t xml:space="preserve">TEAGASC - AGRICULTURE AND FOOD DEVELOPMENT AUTHORITY, GLANBIA IRELAND DESIGNATED ACTIVITY COMPANY, BEOTANICS LIMITED, UCC ACADEMY DESIGNATED ACTIVITY COMPANY, SOGUIMA COMERCIO INDUSTRIA ALIMENTAR SA, INSTITUTO NAVARRO DE TECNOLOGIAS E INFRAESTRUCTURAS AGROALIMENTARIAS SA, CONTROL DE PORCIONES SA, UNIVERSITEIT GENT, ANHEUSER-BUSCH INBEV, DELPHY BV, NUTRICIA RESEARCH BV, Kobenhavns Universitet, Chr. Hansen A/S, SICCADANIA A/S, NOVOZYMES A/S, FRAUNHOFER GESELLSCHAFT ZUR FORDERUNG DER ANGEWANDTEN FORSCHUNG EV, PROVEG, EURA AG, DOHLER GMBH, MULLER'S MUHLER GMBH, GEBRUDER WOERLE GESELLSCHAFT M B H, UNIVERSITA DEGLI STUDI DI UDINE, Libera Universita Di Bolzano, MOGU SRL, BARILLA G. E R. FRATELLI SPA, ARCA SOCIETA' A RESPONSABILITA' LIMITATA SOCIETA' BENEFIT, QUINOA MARCHE SRL SEMPLIFICATA, EQUI-NOM LTD, HAUTE ECOLE SPECIALISEE DE SUISSE OCCIDENTALE, THAI UNION GROUP PUBLIC COMPANY LIMITED, AGRESEARCH LIMITED, "THE GOOD FOOD INSTITUTE, INC."</t>
  </si>
  <si>
    <t xml:space="preserve">SOCIETAL CHALLENGES - Food security, sustainable agriculture and forestry, marine, maritime and inland water research, and the bioeconomy</t>
  </si>
  <si>
    <t xml:space="preserve">Polish Government Backs LabFarm With Grant for Cultivated Chicken</t>
  </si>
  <si>
    <t xml:space="preserve">The grant will enable LabFarm to optimize bioprocesses, scale up production, work on proprietary growth media, develop products, and expand its team.</t>
  </si>
  <si>
    <t xml:space="preserve">PLN</t>
  </si>
  <si>
    <t xml:space="preserve">https://vegconomist.com/politics-law/polish-government-labfarm-e2m-grant-cultivated-chicken/</t>
  </si>
  <si>
    <t xml:space="preserve">Original award amount is PLN 9,000,000.</t>
  </si>
  <si>
    <t xml:space="preserve">Stanisław Łoboziak</t>
  </si>
  <si>
    <t xml:space="preserve">LabFarm</t>
  </si>
  <si>
    <t xml:space="preserve">Poland</t>
  </si>
  <si>
    <t xml:space="preserve">National Centre for Research and Development (NCBR)</t>
  </si>
  <si>
    <t xml:space="preserve">TRL 4-6</t>
  </si>
  <si>
    <t xml:space="preserve">Cultivated</t>
  </si>
  <si>
    <t xml:space="preserve">Meat</t>
  </si>
  <si>
    <t xml:space="preserve">Chicken</t>
  </si>
  <si>
    <t xml:space="preserve">Cell culture media, Bioprocess design</t>
  </si>
  <si>
    <t xml:space="preserve">26/7/2026</t>
  </si>
  <si>
    <t xml:space="preserve">Intelligent Collections of Food Legumes Genetic Resources for European Agrofood Systems (INCREASE)</t>
  </si>
  <si>
    <t xml:space="preserve">https://cordis.europa.eu/project/id/862862</t>
  </si>
  <si>
    <t xml:space="preserve">grant.9065977</t>
  </si>
  <si>
    <t xml:space="preserve">not focused on APs, but extremely relevant</t>
  </si>
  <si>
    <t xml:space="preserve">Agricultural Institute of Slovenia</t>
  </si>
  <si>
    <t xml:space="preserve">Consortium</t>
  </si>
  <si>
    <t xml:space="preserve">Italy</t>
  </si>
  <si>
    <t xml:space="preserve">Banca de Resurse Genetice Vegetale Mihai Cristea Suceava, Centre National de la Recherche Scientifique CNRS, Communita del Mais Spinato di Gandino, Consiglio per la Ricera in Agricoltura e l'Analisi dell'Economia Agraria DCS-Fürth, European Research and Project Office GmbH, Federal Research Center the N.I. Vavilov All-Russian Institute of Plant Genetic Resources, Food and Agriculture Organization of the United Nations FAO, Institut National de Recherche pour l'Agriculture l'Alimentation et l'Environnement, Instituto Nacional de Investigation y Tecnologia Agraria y Alimentaria OA MP, Instytut Genetyki Roslin Poiskiej Akademii Nauk, Instytut Hodowli I Aklimayzacji Roslin - Panstwowy Instytut Badawczy, International Centre for Agricultural Research in the Dry Areas, International Crops Research Institute for the Semi-Arid Tropics Isea SRL, Leibniz-Institut für Pflanzengenetik und Kulturpflanzenforschung, Max-Planck-Gesellschaft zur Förderung der Wissenschaften e.V., North Dakota State University Servicio Regional de Investigation y Desarrollo Agroalimentario del Principado de Asturias, Statiunea de Cercetare Dezvoltare Pentru Legumicultura Bacau Terres Inovia, Universidad Nacional de la Plata - Instituto de Biotecnología y Biología Molecular, Universidade Catolica Portuguesa, Università degli Studi della Basilicata, Università Politecnica delle Marche, University of Saskatchewan, University of California Davis</t>
  </si>
  <si>
    <t xml:space="preserve">30/4/2026</t>
  </si>
  <si>
    <t xml:space="preserve">Solar Foods: Commercializing Solein</t>
  </si>
  <si>
    <t xml:space="preserve">https://solarfoods.com/business-finland-greenlights-solar-foods-e8-6m-project/</t>
  </si>
  <si>
    <t xml:space="preserve">Original award amount is EUR 8,600,000 with EUR 4,300,000 coming from Business Finland.</t>
  </si>
  <si>
    <t xml:space="preserve">I included this because my understanding is that this was non-dilutive financing from Business Finland.</t>
  </si>
  <si>
    <t xml:space="preserve">Blue fields for a green future -seaweed as a source of sustainable foods</t>
  </si>
  <si>
    <t xml:space="preserve">Chalmers University of Technology</t>
  </si>
  <si>
    <t xml:space="preserve">Crop development, Ingredient optimisation</t>
  </si>
  <si>
    <t xml:space="preserve">Tying blue and green resources via 3D food printing for diverse and sustainable future foods</t>
  </si>
  <si>
    <t xml:space="preserve">Texturisation methods</t>
  </si>
  <si>
    <t xml:space="preserve">‘ReSus’: Retail for change - Sustainable food production through collaborative commitments</t>
  </si>
  <si>
    <t xml:space="preserve">The Royal Swedish Academy of Sciences</t>
  </si>
  <si>
    <t xml:space="preserve">Consumer and market research</t>
  </si>
  <si>
    <t xml:space="preserve">AgriLoop: Pushing the frontier of circular agriculture by converting residues into novel economic, social and environmental opportunities</t>
  </si>
  <si>
    <t xml:space="preserve">https://cordis.europa.eu/project/id/101081776</t>
  </si>
  <si>
    <t xml:space="preserve">; ; Veneto; ; ; ; ; Languedoc-Roussillon; ; ; ; ; ; ; Lisboa; York; Syddanmark; Emilia-Romagna; ; ; Lazio;</t>
  </si>
  <si>
    <t xml:space="preserve">France; China; Italy; Belgium; Belgium; Switzerland; China; France; China; China; China; Spain; China; Spain; Portugal; United Kingdom; Denmark; Italy; China; China; Italy; Netherlands</t>
  </si>
  <si>
    <t xml:space="preserve">Cluster 6: Food, Bioeconomy Natural Resources, Agriculture and Environment</t>
  </si>
  <si>
    <t xml:space="preserve">Ingredient optimisation, Feedstocks</t>
  </si>
  <si>
    <t xml:space="preserve">Cultured meat and cultured seafood – state of play and future prospects in the EU</t>
  </si>
  <si>
    <t xml:space="preserve">https://gfieurope.org/blog/horizon-europe-announces-e25-million-for-sustainable-proteins/</t>
  </si>
  <si>
    <t xml:space="preserve">Original award commitment is EUR 7,000,000.</t>
  </si>
  <si>
    <t xml:space="preserve">https://ec.europa.eu/info/funding-tenders/opportunities/portal/screen/opportunities/topic-details/horizon-cl6-2023-farm2fork-01-13;callCode=null;freeTextSearchKeyword=HORIZON-CL6-2023-FARM2FORK-01-13;matchWholeText=true;typeCodes=0,1,2,8;statusCodes=31094501,31094502,31094503;programmePeriod=null;programCcm2Id=43108390;programDivisionCode=null;focusAreaCode=null;destinationGroup=null;missionGroup=null;geographicalZonesCode=null;programmeDivisionProspect=null;startDateLte=null;startDateGte=null;crossCuttingPriorityCode=null;cpvCode=null;performanceOfDelivery=null;sortQuery=sortStatus;orderBy=asc;onlyTenders=false;topicListKey=topicSearchTablePageState</t>
  </si>
  <si>
    <t xml:space="preserve">Meat, Seafood</t>
  </si>
  <si>
    <t xml:space="preserve">Center for Innovation in Alternative Proteins (CiPA)</t>
  </si>
  <si>
    <t xml:space="preserve">https://gfieurope.org/blog/catalonia-invest-e7-million-in-cipa-hub-to-lead-alternative-protein-science-in-southern-europe/</t>
  </si>
  <si>
    <t xml:space="preserve">Original award amount is EUR 7,000,000 from the Department of Climate Action, Food and Rural Agenda of the Generalitat of Catalonia and the Institute of Agri-Food Research and Technology (IRTA).</t>
  </si>
  <si>
    <t xml:space="preserve">Joan Tibau</t>
  </si>
  <si>
    <t xml:space="preserve">Institute of Agrifood Research and Technology (IRTA) Monells</t>
  </si>
  <si>
    <t xml:space="preserve">Department of Climate Action, Food and Rural Agenda of the Generalitat of Catalonia, Institute of Agri-Food Research and Technology (IRTA)</t>
  </si>
  <si>
    <t xml:space="preserve">Synbio Powerlabs scale up facility</t>
  </si>
  <si>
    <t xml:space="preserve">With the support of a €2.99 million grant from the Finnish government, Synbio Powerlabs is transforming a large food-grade facility, located near Helsinki, into a multi-purpose site for food innovation. 
The new facility, due to go live in early 2025, has been designed to help scale the production capabilities of start-ups operating in innovative industries such as precision fermentation, biomass fermentation and cell-based meat. Additional info: https://www.thecellbase.com/posts/ivy-farm-and-synbio-powerlabs-partner-to-produce-cultivated-meat-at-world-s-largest-facility </t>
  </si>
  <si>
    <t xml:space="preserve">https://advancedbiofuelsusa.info/synbio-powerlabs-secures-e-6-6-million-funding-to-build-a-revolutionary-biotechnology-plant-for-precision-fermentation</t>
  </si>
  <si>
    <t xml:space="preserve">Original award amount is EUR 6,600,000.</t>
  </si>
  <si>
    <t xml:space="preserve">Nina Pulkkis</t>
  </si>
  <si>
    <t xml:space="preserve">Synbio Powerlabs</t>
  </si>
  <si>
    <t xml:space="preserve">pilot facility</t>
  </si>
  <si>
    <t xml:space="preserve">15/5/2026</t>
  </si>
  <si>
    <t xml:space="preserve">Tasty pea and bean food products: An integrated approach of plant breeding, raw material processing and food product development</t>
  </si>
  <si>
    <t xml:space="preserve">Swedish University of Agricultural Sciences</t>
  </si>
  <si>
    <t xml:space="preserve">Tackling barriers to increased acceptance of meat analogues through taste enhancement using healthy fats</t>
  </si>
  <si>
    <t xml:space="preserve">Substituting meat with more environmentally friendly proteins such as meat analogues has become more accepted by consumers. However, resistance grounded in taste preferences persists. Fats are a key carrier of flavor and represent an opportunity for sensorial improvement in these products. Meat analogues often contain fats rich in healthy unsaturated fatty acids, which are typically liquid at room temperature (RT), affecting their mechanical and structural properties. The impact of this on the sensory experience is under-researched. The potential for using oleogels, which are more solid at RT and thus closer in mechanical terms to the fats found in meat, here is also relatively unknown. This project aims to assess the role of healthy vegetable fats and oleogels in enhancing the taste of meat analogues. Prototypes varying in fat type, content, and processing will be developed, evaluated sensorially (profiling and liking) and behaviorally (performance in meal preparation), and benchmarked against existing commercial products. The prototypes will also be comprehensively characterized instrumentally in order to describe the sensory data in physiochemical terms, increasing knowledge on the origin of the sensory experiences and expediting future product development.</t>
  </si>
  <si>
    <t xml:space="preserve">https://www.vr.se/swecris.html#/project/2022-01928_Formas</t>
  </si>
  <si>
    <t xml:space="preserve">grant.13285563</t>
  </si>
  <si>
    <t xml:space="preserve">Annika Krona</t>
  </si>
  <si>
    <t xml:space="preserve">RISE Research Institutes of Sweden</t>
  </si>
  <si>
    <t xml:space="preserve">Progress</t>
  </si>
  <si>
    <t xml:space="preserve">A strong pulse - resilient Swedish grain legume supply from field and factory to fork</t>
  </si>
  <si>
    <t xml:space="preserve">Resilient supply of domestic grain legumes for human food will increase Sweden’s disaster preparedness and feed the population in an uncertain future. Grain legume cultivation and processing will increase food system resilience by added nutrients, less need for fertilizer, low environmental impact, and exploiting growing conditions in Sweden. This project aims to create a more sustainable, resilient food system by expanding Swedish capacity for growing plant-based proteins; optimizing production chains by increasing primary production of grain legumes; and developing novel foods from a plant-based intermediary (hydrogel). In work package (WP1), we will simulate expanded Swedish grain legume production and assess economic and environmental impacts. In WP2, we will optimize potential Swedish grain legumes as model substrates and develop pre-treatments to reduce anti-nutritional factors and off-flavors, moderate particle size and improve gel stabilization in plant-based proteins. WP3 will investigate interactions between protein gel matrix and flavor additives to improve texture, sensory properties and flavor release in the food matrix. In WP4, we will assess the resilience of primary and secondary domestic grain legume production and evaluate effects on resilience of exposure to severe disturbances. Policy support will be developed in WP5, in close collaboration with researchers in food science, agricultural economics and policy, and environmental science and technology.</t>
  </si>
  <si>
    <t xml:space="preserve">https://www.vr.se/swecris.html#/project/2022-02407_Formas</t>
  </si>
  <si>
    <t xml:space="preserve">grant.13285726</t>
  </si>
  <si>
    <t xml:space="preserve">SensAlg - A sensory foundation for increased consumption of Swedish macroalgae</t>
  </si>
  <si>
    <t xml:space="preserve">Uppsala University</t>
  </si>
  <si>
    <t xml:space="preserve">IMPROVED VALORIZATION OF MARINE SOURCES AND PROCESSING WASTE FOR RESOURCE EFFICIENT BLUE FOOD/FEED AND ENVIRONMENTALLY SUSTAINABLE MATERIALS DEVELOPMENT</t>
  </si>
  <si>
    <t xml:space="preserve">KTH, Royal Institute of Technology</t>
  </si>
  <si>
    <t xml:space="preserve">HYDROCOW: generating milk from carbon dioxide and electricity</t>
  </si>
  <si>
    <t xml:space="preserve">https://tech.eu/2023/09/11/hydrocow-generating-milk-from-carbon-dioxide-and-electricity/</t>
  </si>
  <si>
    <t xml:space="preserve">Original award amount is EUR 5,500,000.</t>
  </si>
  <si>
    <t xml:space="preserve">University of Groningen, RWTH Aachen University, FGen AG</t>
  </si>
  <si>
    <t xml:space="preserve">European Innovation Council (EIC)</t>
  </si>
  <si>
    <t xml:space="preserve">Milk</t>
  </si>
  <si>
    <t xml:space="preserve">Feedstocks, Bioprocess design</t>
  </si>
  <si>
    <t xml:space="preserve">FERMI: FErmentations optimized by Rational Models to Improve plant-based substrates</t>
  </si>
  <si>
    <t xml:space="preserve">The food supply chain is responsible for 26% of the global greenhouse gas emissions. Switching to more plant-based diets is expected to have a considerable impact for the reduction of greenhouse gases but plant-proteins often do not have the desired sensory, techno-functional, or nutritional properties. Fermentation can improve these properties, but our understanding of the underlying biochemical reactions is limited. In this project we will combine high tech analytical methods with artificial intelligence to predict and validate the unknown microbial functions. This will allow to rationally design optimal fermentations to make more tasty, healthy, and sustainable plant-based foods.</t>
  </si>
  <si>
    <t xml:space="preserve">https://www.nwo.nl/en/researchprogrammes/perspectief/perspectief-grants/fermi-fermentations-optimized-by-rational-models-to-improve-plant-based-substrates</t>
  </si>
  <si>
    <t xml:space="preserve">grant.14369095</t>
  </si>
  <si>
    <t xml:space="preserve">Original award amount is EUR 5,300,000. Exact government contribution is unknown but is estimated based on RFA statement that the government contribution will be at least 50% of the total project cost.</t>
  </si>
  <si>
    <t xml:space="preserve">GFI grantee Eddy Smid is involved in this project. The Mediterranean Food Lab is a GFI grantee alum.</t>
  </si>
  <si>
    <t xml:space="preserve">Herwig Bachmann</t>
  </si>
  <si>
    <t xml:space="preserve">Systems Biology</t>
  </si>
  <si>
    <t xml:space="preserve">VU Amsterdam</t>
  </si>
  <si>
    <t xml:space="preserve">Delft University of Technology, VU University, Wageningen University and Research, Arla, Brannatura, Chr. Hansen A/S, Ferrero, FrieslandCampina, INTERNATIONAL FLAVORS &amp; FRAGRANCES IFF, Mediterranean Food Lab, NIZO Food Research, Roquette Canada, Upfield</t>
  </si>
  <si>
    <t xml:space="preserve">Dutch Research Council (NWO)</t>
  </si>
  <si>
    <t xml:space="preserve">CULTUREDMEAT</t>
  </si>
  <si>
    <t xml:space="preserve">https://www.bio-hk.com/news/industry-news/spains-biotech-foods-to-lead-us6-3m-government-backed-cultured-meat-project/</t>
  </si>
  <si>
    <t xml:space="preserve">Original award amount is EUR 5,200,000.</t>
  </si>
  <si>
    <t xml:space="preserve">Iñigo Charola</t>
  </si>
  <si>
    <t xml:space="preserve">Biotech Foods SL</t>
  </si>
  <si>
    <t xml:space="preserve">BDI Biotech, Neoalgae, Argal, Autonomous University of Madrid, Oviedo University, Barcelona Science Park, University of Seville, University of Granada</t>
  </si>
  <si>
    <t xml:space="preserve">Center for Industrial Technological Development (CDTI)</t>
  </si>
  <si>
    <t xml:space="preserve">Cell line development, Cell culture media</t>
  </si>
  <si>
    <t xml:space="preserve">21/1/2024</t>
  </si>
  <si>
    <t xml:space="preserve">New sustainable proteins for food, feed and non-food bio-based applications (InnoProtein)</t>
  </si>
  <si>
    <t xml:space="preserve">InnoProtein addresses this challenge by tapping into unexploited sustainable protein sources to accelerate Europe’s moves towards protein self-sufficiency. The project aims to obtain single-cell proteins from sources including microalgae, bacteria and fungi and proteins from insects. They will be used in food, animal feed and non-food bio-based products such as stimulants and plastics within a circular and zero-waste perspective. </t>
  </si>
  <si>
    <t xml:space="preserve">https://www.cbe.europa.eu/projects/innoprotein</t>
  </si>
  <si>
    <t xml:space="preserve">FUNDACION TECNALIA RESEARCH &amp; INNOVATION</t>
  </si>
  <si>
    <t xml:space="preserve">AIMPLAS - ASOCIACION DE INVESTIGACION DE MATERIALES PLASTICOS Y CONEXAS, BIOTREND-INOVACAO E ENGENHARIA EM BIOTECNOLOGIA SA, A4F ALGAFUEL SA, NATURSTOFF-TECHNIK GMBH, COMGRAF SAS, SUEROS Y DERIVADOS SL, PROMIC SA, VYZKUMNY USTAV VETERINARNIHO LEKARSTVI, TECHNOLOGICAL UNIVERSITY DUBLIN, BIOZOON GMBH, ENKOA SYSTEMS SL, ZERO EMISSIONS ENGINEERING BV, EUROPEAN FOOD INFORMATION COUNCIL, SCL ITALIA SPA</t>
  </si>
  <si>
    <t xml:space="preserve">Bioprocess design, Ingredient optimisation</t>
  </si>
  <si>
    <t xml:space="preserve">Leveraging Scaffolding-, Emulsion-, and Extrusion Technologies to Enable the Production of Healthy and Sustainable Composite Meat Alternatives</t>
  </si>
  <si>
    <t xml:space="preserve">This first generation of meat alternatives do not yet fulfill broad consumer demands on eating quality traits including structure, juiciness, and tenderness, and often contains high proportions of unhealthy saturated fatty acids. Thus, the aim of this project is to develop critical scientific understanding that could pave the way for production of the next generation of meat alternatives by leveraging scaffolding, emulsion, and extrusion technologies. In WP 1, we will investigate the possibility of integrating plant-based scaffolds and animal cells to produce structured cultivated meats. In WPs 2-3, we will combine emulsion and extrusion technologies to provide plant protein-based meat alternatives with the tenderness and juiciness they are lacking, which is currently an outstanding challenge the industry is facing. In addition, we will explore the possibilities of using cultivated meats to further provide them with muscle meat-like texture. In WP 4, we will use locally attractive Swedish ingredients to produce hybrid meat alternatives based on the newfound knowledge from WPs 1-3. WP 5 will be focused on dissemination of acquired knowledge, identification of potential collaborators, and preparation for taking the knowledge derived to higher TRL-levels together with industrial collaborators. The project is expected to uncover the potential of producing the next generation of healthy and sustainable meat alternatives applied to different raw materials from Sweden and beyond.</t>
  </si>
  <si>
    <t xml:space="preserve">https://www.vr.se/swecris.html#/project/2022-02804_Formas</t>
  </si>
  <si>
    <t xml:space="preserve">grant.13528598</t>
  </si>
  <si>
    <t xml:space="preserve">Mursalin Sajib</t>
  </si>
  <si>
    <t xml:space="preserve">Chalmers tekniska högskola</t>
  </si>
  <si>
    <t xml:space="preserve">CM for PB</t>
  </si>
  <si>
    <t xml:space="preserve">Fermented seaweed as a new high-value ingredient for the food and nutraceuticals markets</t>
  </si>
  <si>
    <t xml:space="preserve">Purpose and goal: 
  The growing occurrence of dietary and lifestyle-related diseases combined
 with climate change has
  urged the need to rethink what we eat. People want healthier, more
 sustainable and plant-based
  foods that offer health benefits paired with reduced emissions. Seaweed can
 perfectly fill this gap,
  but still has unsolved quality and supply chain issues. Through
 fermentation processing we will
  unlock seaweed health and flavour potential and solve the production
 bottlenecks needed to
  conquer the market. 
  Expected results and effects: 
  SEAPRO goals and results are two-fold:
  Scientific:
  1) Establish timing for the deployment and harvest of two species,
 Saccharina latissima (S.L.) and Alaria esculenta
  2) Formulation of the optimal fermentation conditions that ensures
 improved:
  - taste, flavour and increased microbiological stability (shelf-life up to
 &gt;2 months).
  Technological:
  1) A fully developed and scalable fermented seaweed production process,
 which allows storing seaweed over longer periods (2 months)
  2) Develop and validate the complete value chain with industrial-scale
 capability (WP6). 
  Approach and implementation: 
  SEAPRO’s unique fermentation concept will allow us to meet upcoming
 demand  using adapted cultivation. We
 will offer seaweed raw material with demonstrated functional benefits adapted
 to the needs of the food and nutraceutical markets.
  The features are:
  - a highly efficient method for stabilising wet biomass
  - a markedly reduced production cost
  - refining of sensorial (texture, taste and appearance) and health
 properties, 
  - improvement of food safety and shelf life of non-dried products, through
 a completely traceable and certified
  production pathway</t>
  </si>
  <si>
    <t xml:space="preserve">https://www.vr.se/swecris.html#/project/2021-03368_Vinnova</t>
  </si>
  <si>
    <t xml:space="preserve">grant.9881554</t>
  </si>
  <si>
    <t xml:space="preserve">Pulled from
 database</t>
  </si>
  <si>
    <t xml:space="preserve">Olof Böök</t>
  </si>
  <si>
    <t xml:space="preserve">Aventure AB</t>
  </si>
  <si>
    <t xml:space="preserve">Vinnova</t>
  </si>
  <si>
    <t xml:space="preserve">Onego Bio egg white technology</t>
  </si>
  <si>
    <t xml:space="preserve">https://www.labiotech.eu/trends-news/onego-bio-funding-sustainable-egg-white/</t>
  </si>
  <si>
    <t xml:space="preserve">Original award amount is EUR 4,500,000. Onego Bio is a biotech spin-off from VTT Technical Research Centre of Finland.</t>
  </si>
  <si>
    <t xml:space="preserve">Maija Itkonen</t>
  </si>
  <si>
    <t xml:space="preserve">Onego Bio</t>
  </si>
  <si>
    <t xml:space="preserve">Eggs</t>
  </si>
  <si>
    <t xml:space="preserve">E!381, FAVORIT, The Green Dairy Sweden Holding AB</t>
  </si>
  <si>
    <t xml:space="preserve"> Purpose and goal: 
 The project will develop plant-based dairy products based on fermented fava bean with a minimum of additives, as a resilient and sustainable alternative to soy. The goal is a market introduction of healthy and sustainable yogurt-like products from Nordic crops and natural bioprocesses. Partners: The Green Dairy, TFTAK (Estonia), Lund University. 
 Expected results and effects: 
 Competitors use questionable additives to create plant-based yogurt products instead of natural bioprocesses. A prestudy by the project partners has shown that fermented fava bean has great market potential for yogurt-like products. The project will scale this complex bioprocess from lab scale to mass production and market introduction. 
 Approach and implementation: 
 Raw materials and bacterial cultures are analyzed and selected. The production process is developed from lab scale to full scale, in dialogue with producers. Natural additives (berries, herbs, etc.) are evaluated. A human intervention study by Lund University will provide information about effects on gut microbiome, blood analytes and wellbeing compared to traditional products. A market strategy is developed.</t>
  </si>
  <si>
    <t xml:space="preserve">https://www.vr.se/swecris.html#/project/2022-00807_Vinnova</t>
  </si>
  <si>
    <t xml:space="preserve">grant.12896203</t>
  </si>
  <si>
    <t xml:space="preserve">The Green Dairy Sweden Holding AB</t>
  </si>
  <si>
    <t xml:space="preserve">Yoghurt</t>
  </si>
  <si>
    <t xml:space="preserve">Host strain development , End product formulation</t>
  </si>
  <si>
    <t xml:space="preserve">Marie Skłodowska-Curie Action Edible Soft Matter</t>
  </si>
  <si>
    <t xml:space="preserve"> Food and environmental transitions are worldwide major challenges as illustrated by the Farm to Fork Strategy, at the heart of the EU Green Deal, and by the United Nations Development Goals. Sustainable and healthy food requires an urgent shift from a diet rich in animal-based ingredients towards a diet enriched in plant-based ingredients. This is the challenge behind the Edible Soft Matter (ESM) project. Soft matter science has been tremendously successful in tackling complex problems involving multicomponent materials with a wide range of length and time scales and is now recognised as providing unique perspectives to understand the complexity of foods and to design new foods. ESM objective is to train and develop the employability of a new generation of eighteen young researchers, regulators, consultants and project leaders by providing them with a unique expertise in the design, production and quality assessment of innovative plant-based food products. The ESM Doctoral Candidates (DCs) will benefit from an international, interdisciplinary, and cross-sectoral training through research in basic and applied soft matter and food sciences. Through their Individual Research Projects and the network-wide training activities, characterised by a strong involvement of the non-academic partners, they will develop the hard and soft skills needed to face the current challenges related to food and environmental transitions.
 The consortium includes eleven Beneficiaries (including three from the non-academic sector) from seven countries and eleven Associated Partners (including four from the non-academic sector), with worldwide recognised and complementary expertise in food and soft matter sciences. All DCs will be exposed to both academic and non-academic working environments. 
 ESM objectives are timely and the ESM unique training programme holds a great promise for the advancement of the DCs careers as well as for scientifically, technologically and socially relevant outputs.
</t>
  </si>
  <si>
    <t xml:space="preserve">https://cordis.europa.eu/project/id/101168870</t>
  </si>
  <si>
    <t xml:space="preserve">grant.14099440</t>
  </si>
  <si>
    <t xml:space="preserve">AGENCIA ESTATAL CONSEJO SUPERIOR DE INVESTIGACIONES CIENTIFICAS, Lund University, Katholieke Universiteit Leuven (KU Leuven), Wageningen University, Cargill, Technion - Israel Institute of Technology, COMMUNAUTE D' UNIVERSITES ET ETABLISSEMENTS UNIVERSITE BOURGOGNE, Bel, Unilever</t>
  </si>
  <si>
    <t xml:space="preserve">Marie Skłodowska-Curie Actions (MSCA)</t>
  </si>
  <si>
    <t xml:space="preserve">Education and training</t>
  </si>
  <si>
    <t xml:space="preserve">New marketable, nutritious, and sustainable mycelium-based food from food industry residues</t>
  </si>
  <si>
    <t xml:space="preserve">Borås University College</t>
  </si>
  <si>
    <t xml:space="preserve">Plant-based protein isolates with low sodium content for production of healthy and sustainable foods</t>
  </si>
  <si>
    <t xml:space="preserve">The increasing demand for a healthy and sustainable diet can be met by eating more plant-based proteins. However, products with plant-based proteins often have high sodium levels, and contain anti-nutrients which may inhibit absorption of minerals. Sodium is added as salt (sodium chloride) to make the products palatable, but also originates from extraction of protein isolates.Excessive sodium intake impairs public health and entails significant healthcare costs for society. Thus, there is a need to reduce the sodium content in food, but a reduction must be done without negative effects on taste, texture, microbial safety, shelf-life and sustainability.The goal of the work is to contribute to healthier plant-based foods that fulfil the Swedish criteria for “The Keyhole” and comply with EU low-sodium claim level by developing methods to produce protein isolates from peas with a low content of sodium and anti-nutrients.Protein isolates are used for extruding texturised vegetable proteins, which in turn are the starting ingredient for many tasty and healthy plant-based meals. Multisensory solutions are used in the meal development to reduce the need for adding salt. The meals are evaluated in consumer studies performed in schools.Chemical, physical and sensory analyses are carried out for evaluating several different properties of the proteins to ensure their functionality and palatability. The sustainability of the processes and systems level is also evaluated.</t>
  </si>
  <si>
    <t xml:space="preserve">https://www.vr.se/swecris.html#/project/2023-02010_Formas</t>
  </si>
  <si>
    <t xml:space="preserve">grant.13759755</t>
  </si>
  <si>
    <t xml:space="preserve">Tim Nielsen</t>
  </si>
  <si>
    <t xml:space="preserve">Paving the way for microbial caseins - deciphering the importance of post-translational modifications - DECIPHER</t>
  </si>
  <si>
    <t xml:space="preserve">grant.13909917</t>
  </si>
  <si>
    <t xml:space="preserve">Lotte Bach Larsen</t>
  </si>
  <si>
    <t xml:space="preserve">University of Aarhus</t>
  </si>
  <si>
    <t xml:space="preserve">Target molecule selection</t>
  </si>
  <si>
    <t xml:space="preserve">ADAPTide: decrypting sustainable and responsive nutrition by mapping the effects of plant-based
foods on metabolic profiling</t>
  </si>
  <si>
    <t xml:space="preserve">Samira Prado</t>
  </si>
  <si>
    <t xml:space="preserve">Örebro universitet</t>
  </si>
  <si>
    <t xml:space="preserve">Health/nutrition</t>
  </si>
  <si>
    <t xml:space="preserve">Barley Biofarmed Growth Factors to Make Cell Cultured Meat an Affordable Reality</t>
  </si>
  <si>
    <t xml:space="preserve">ORF Genetics is a female-lead plant biotechnology company biofarming protein in barley for use in medical research, stem cell technology and skincare. Since 2001, we have produced over 50 proteins, specializing in human growth factors (GFs) which regulate the growth and development of cells. Our main focus has been on GFs for skincare use and now with our team of over 80 qualified scientists, researchers, marketers and more, we are aiming at a larger market, the cell-cultured meat (CCM) industry. The CCMeat project removes the biggest hurdle CCM producers are facing to bring their alternative meat products to market. With innovations in our technology we will produce affordable, endotoxin-free growth factors designed specifically for CCM: the MESOkine™ line (patent to be filed in June 2020). This will be done by scaling cultivation from our 2000m2 state-of-the-art geothermally powered greenhouse in Iceland to in-field cultivation sites. We will also introduce a protein processing technology (patent to be filed in July 2020) that will substantially decrease production costs and lead to greater GF yields. By 2030, our MESOkine™ line will drop GF prices from 3000€/kg of cultured meat to approximately 0.7€/kg meat at scales necessary to produce over 7 million tonnes of meat. We are already providing samples to CCM customers and expect to reach a 40% market share within 5 years with our strong first mover advantage. MESOkine™ sales are expected to rise exponentially and reach profitability of €19 million by 2026. As the demand for meat continues to grow, this innovation will have a profound impact on our planet, enabling CCM to avert many of the negative consequences of conventional meat production. This includes reducing greenhouse gases by more than 250 million tonnes of CO2-eq emissions, deforestation by producing 7-52 times as much meat with one hectare of land, and antibiotic resistance by sparing over 1000 tonnes of livestock antibiotic use.</t>
  </si>
  <si>
    <t xml:space="preserve">https://cordis.europa.eu/project/id/101010029</t>
  </si>
  <si>
    <t xml:space="preserve">grant.9488404</t>
  </si>
  <si>
    <t xml:space="preserve">Original award amount is EUR 3,809,356 with EUR 2,500,000 coming from the EU government.</t>
  </si>
  <si>
    <t xml:space="preserve">Björn Örvar</t>
  </si>
  <si>
    <t xml:space="preserve">ORF Genetics</t>
  </si>
  <si>
    <t xml:space="preserve">Iceland</t>
  </si>
  <si>
    <t xml:space="preserve">Cell culture media</t>
  </si>
  <si>
    <t xml:space="preserve">FAIRification of multiOmics data to link databases and create knowledge graphs for fermented foods</t>
  </si>
  <si>
    <t xml:space="preserve">A transition towards sustainable food systems is urgently needed to face challenges such as climate change or scarcity of resources. Food impact accounts for 26% of global greenhouse gas emissions. Animal-based food products in the European diet is the most important factor determining the footprint of food consumption. Plant-based dairy and meat alternatives have grown in popularity in recent years for various reasons, including sustainability and health benefits as well as lifestyle trends and dietary restrictions. However, plant-based food products can be nutritionally unbalanced, and their flavour profiles may limit their acceptance by consumers. Microorganisms have been used in making food products for millennia. Besides their primary role in food preservation, by virtue of their fermentative metabolism, they contribute to improving food safety and organoleptic properties and can provide additional health-promoting effects. However, the diversity of microbial communities driving plant-based fermentations, as well as their key genetic and phenotypic traits and potential synergies among community members, remain poorly characterized. Many data exist but they are spread into different literatures (scientific and grey) or in best case in different databases, but not always reusable because difficult to find, access and because databases are not systematically interoperable. The FAIROmics innovative interdisciplinary research programme will gather universities and private companies to enable the FAIRification of omics data and databases interoperability, and develop knowledge graphs for data-driven decision making to rationally design microbial communities for imparting desirable characteristics to plant-based fermented foods in the context of open science and its regulations. The FAIROmics training programme aims at developing Doctoral candidates’ skills at the interface between artificial intelligence, life sciences, humanities and social sciences.</t>
  </si>
  <si>
    <t xml:space="preserve">https://cordis.europa.eu/project/id/101120449</t>
  </si>
  <si>
    <t xml:space="preserve">INSTITUT NATIONAL DE RECHERCHE POUR L'AGRICULTURE, L'ALIMENTATION ET L'ENVIRONNEMENT</t>
  </si>
  <si>
    <t xml:space="preserve">NIZO FOOD RESEARCH BV, ETHNIKO KAI KAPODISTRIAKO PANEPISTIMIO ATHINON, CHR. HANSEN AS, STICHTING VU, AGENCIA ESTATAL CONSEJO SUPERIOR DE INVESTIGACIONES CIENTIFICAS, KATHOLIEKE UNIVERSITEIT LEUVEN, ALMA MATER STUDIORUM - UNIVERSITA DI BOLOGNA, UNIVERSITE PAUL SABATIER TOULOUSE III, UNIVERSITAET PADERBORN, UNIVERSITE LIBRE DE BRUXELLES</t>
  </si>
  <si>
    <t xml:space="preserve">Host strain development</t>
  </si>
  <si>
    <t xml:space="preserve">Foieture</t>
  </si>
  <si>
    <t xml:space="preserve">https://www.flandersfood.com/en/Lore%20Knaepen</t>
  </si>
  <si>
    <t xml:space="preserve">Original award amount is EUR 3,600,000. Award amount determined from this web page: https://en.wikipedia.org/wiki/MeaTech.</t>
  </si>
  <si>
    <t xml:space="preserve">Dirk von Heinrichshorst</t>
  </si>
  <si>
    <t xml:space="preserve">Peace of Meat</t>
  </si>
  <si>
    <t xml:space="preserve">Solina Belgium, Nauta's Meats, Katholieke Universiteit Leuven (KU Leuven), Bio Base Europe Pilot Plant, Flanders Food</t>
  </si>
  <si>
    <t xml:space="preserve">Flanders Innovation &amp; Entrepreneurship (VLAIO)</t>
  </si>
  <si>
    <t xml:space="preserve">ECOnti - Accelerated, low ecological footprint, manufacturing platform for continuous production of biotechnological products</t>
  </si>
  <si>
    <t xml:space="preserve">Initial situation: 
Microbial processes are essential for producing various products, e.g., biopharmaceuticals, vaccines, chemicals, or food ingredients. Continuous manufacturing is considered a game-changer with a high potential for increasing bioprocess efficiency and enabling low-footprint manufacturing. However, with the current state of the art, continuous, microbial-based bioprocessing is not possible due to the high mutation rate of bacteria. Furthermore, due to the technical complexity, not a single fully autonomous biotechnological manufacturing process for the production of biopharmaceuticals has been submitted to the EMA/FDA so far. Another problem is the high energy and water consumption of large-scale biotechnological plants. Hence, as of today, worldwide, not a single fully automated, continuous bioprocess is established applying microbial cells for the production of different materials.
Goals and innovation: 
With the ECOnti project, we aim to enable a faster, cheaper, and more efficient production of biotechnologically derived products. The problem of genetic instability is addressed in a patented technology from enGenes Biotech (WO2021123402A1) and is the basic building block for establishing a stable, continuous production process for recombinant proteins. 
In the project, two continuous fermentation reactors will be connected with a primary recovery unit, and continuous chromatography will be established (enGenes, Biotech and Tosoh). The individual unit operations will be connected and automated using the Qubicon® software solution (Qubicon AG). Using data-driven as well as mechanistic models, so-called hybrid models (Novasign), as well as fluid-dynamical models (SimVantage) “digital twins” will be developed and will serve as the basis for real-time monitoring and model-based predictive control. Such models will increase efficiency through time savings in the development as well as the production of biotechnologically produced materials. The targeted proof-of-concept is to be established at 1L to 10 L scale using the model Protein A, a high-value product used for the purification of monoclonal antibodies. In the medium and long term, however, the consortium envisions scales of &gt;100-1000L. Applying computational fluid dynamics models in feedback with the hybrid models will ensure an appropriate scale-up of the process. Furthermore, based on a techno-economic evaluation of the process, appropriate cost models for the developed unit operations will be established to quantify and visualize the added value in terms of manufacturing costs, efficiency, and environmental footprint (BOKU).
Results: 
By developing ECOnti, microbial manufacturing processes based on E. coli can be developed and implemented more economically and ecologically. We assume a downscaling factor of 10 concerning the manufacturing plant size. This downscaling significantly reduces energy and resource consumption and enables the production of products that currently cannot be manufactured cost-efficiently using biotechnology. Therefore, the full integration of this technology enables the production of molecules with very high price pressure, such as treatments for chronic disease or precision fermentation products (casein, meat). Through the cooperation of four Austrian companies, an Austrian research institution (BOKU), and Tosoh Bioscience, a leading supplier in the field of chromatography, an immanent problem is brought to a solution. The consortium represents companies all along the bioprocess (enGenes, Tosoh), modeling (Novasign, SimVantage), and automation (Qubicon) value chain. With the help of Novasign, Qubicon, and SimVantage, physical technology will be transformed into a digital environment. The digitalization of this production process is necessary due to the complexity of a continuous process. By integrating the different solutions of the individual companies, the added value is increased, and the companies mutually participate in the success of the developed technology solution.</t>
  </si>
  <si>
    <t xml:space="preserve">https://www.pharmaceutical-networking.com/engenes-secure-significant-funding-for-econti-e-coli-continuous-manufacturing-project/#:~:text=The%20project%20%E2%80%9CECOnti%20%E2%80%93%20Accelerated%2C,to%2010%20L%20batch%20size.</t>
  </si>
  <si>
    <t xml:space="preserve">grant.13727933</t>
  </si>
  <si>
    <t xml:space="preserve">University of Natural Resources and Life Sciences</t>
  </si>
  <si>
    <t xml:space="preserve">Austria</t>
  </si>
  <si>
    <t xml:space="preserve">Austrian Research Promotion Agency (FFG)</t>
  </si>
  <si>
    <t xml:space="preserve">30/4/2025</t>
  </si>
  <si>
    <t xml:space="preserve">Valorisation of food production side-streams as multifunctional ingredients by an innovative fermentation process.</t>
  </si>
  <si>
    <t xml:space="preserve">Green Spot Technologies</t>
  </si>
  <si>
    <t xml:space="preserve">The Protein Revolution</t>
  </si>
  <si>
    <t xml:space="preserve">Alba Ecological Information Institute</t>
  </si>
  <si>
    <t xml:space="preserve">Using biotechnology to create the next generation of sustainable foods from the roots of mushrooms</t>
  </si>
  <si>
    <t xml:space="preserve">MUSHLABS GMBH</t>
  </si>
  <si>
    <t xml:space="preserve">Unlocking the Protein Production Potential of Non-Conventional Yeasts with Artificial Intelligence</t>
  </si>
  <si>
    <t xml:space="preserve">Swedish Research Council</t>
  </si>
  <si>
    <t xml:space="preserve">E!2514 M3DS</t>
  </si>
  <si>
    <t xml:space="preserve">Mycorena AB</t>
  </si>
  <si>
    <t xml:space="preserve">Disrupting the food ingredient and protein markets: a breakthrough technology for large-scale microalgae cultivation.</t>
  </si>
  <si>
    <t xml:space="preserve">ARBOREABIOFOODS LDA</t>
  </si>
  <si>
    <t xml:space="preserve">Portugal</t>
  </si>
  <si>
    <t xml:space="preserve">Microalgae</t>
  </si>
  <si>
    <t xml:space="preserve">Functional processing of cultivated seaweeds for novel food products</t>
  </si>
  <si>
    <t xml:space="preserve">Lund University</t>
  </si>
  <si>
    <t xml:space="preserve">Feed for Meat</t>
  </si>
  <si>
    <t xml:space="preserve">In the Feed for Meat project, three companies, with close involvement from knowledge institutions, intend to collaborate intensively and focus on developing a sustainable, cost-efficient breeding ground for the various phases of cultured meat production.
For many, cultured meat could be a good alternative. Cultured meat is meat that is biologically produced in the same way as traditional meat. However, the process takes place outside the animal under controlled conditions. A major advantage of cultured meat compared to traditional meat is its lower environmental impact. Compared to plant-based alternatives, cultured meat meets nutritional needs much better, for example in the areas of protein quality, vitamins and trace elements.</t>
  </si>
  <si>
    <t xml:space="preserve">https://www.stimulus.nl/opzuid/avada_portfolio/feed-for-meat/</t>
  </si>
  <si>
    <t xml:space="preserve">Original award amount is EUR 3,211,053 with EUR 1,222,111 from private sector.</t>
  </si>
  <si>
    <t xml:space="preserve">Fulco van Lede</t>
  </si>
  <si>
    <t xml:space="preserve">Nutreco Netherlands BV</t>
  </si>
  <si>
    <t xml:space="preserve">Mosa Meat, Selko, Maastricht University, Brightlands Campus Greenport Venlo</t>
  </si>
  <si>
    <t xml:space="preserve">European Regional Development Fund (ERDF)</t>
  </si>
  <si>
    <t xml:space="preserve">Climate-ready faba beans for the Nordic and Baltic Region</t>
  </si>
  <si>
    <t xml:space="preserve">Food Provision through Sustainable Farming Systems and Value Chains</t>
  </si>
  <si>
    <t xml:space="preserve">UNIVERSITAT POLITECNICA DE VALENCIA</t>
  </si>
  <si>
    <t xml:space="preserve">COOPERATIVAS AGRO-ALIMENTARIAS DE ESPANA U DE COOP SOCIEDAD COOPERATIVA, LEIBNIZ-ZENTRUM FUER AGRARLANDSCHAFTSFORSCHUNG (ZALF) e.V., COPENHAGEN BUSINESS SCHOOL, KOBENHAVNS UNIVERSITET, UNIWERSYTET WARSZAWSKI, AKI AGRARKOZGAZDASAGI INTEZET NONPROFIT KFT, UNIVERSITA DEGLI STUDI DI TRENTO, FORSCHUNGSINSTITUT FUR BIOLOGISCHEN LANDBAU DEUTSCHLAND EV, HIGHCLERE CONSULTING SRL, GLOBAL NATURE FUND STIFTUNG</t>
  </si>
  <si>
    <t xml:space="preserve">Crop development, Env/impact assessments</t>
  </si>
  <si>
    <t xml:space="preserve">U-Protein (Unlocking Protein Resource Opportunities To Evolve Ireland’s Nutrition)</t>
  </si>
  <si>
    <t xml:space="preserve">Research on U-Protein spans the entire production process, from the identification and characterisation of proteins from crops and the marine, to the processing of these proteins, clinical studies and finally incorporation into a consumer product. In support of the circular bioeconomy, the residual biomass from these protein sources will be assessed for bioactive components or valorised to novel or renewable products through microbial biotransformation.</t>
  </si>
  <si>
    <t xml:space="preserve">https://www.teagasc.ie/food/research-and-innovation/research-areas/food-chemistry--technology/research-projects/u-protein/</t>
  </si>
  <si>
    <t xml:space="preserve">Original award amount is EUR 3,000,000.</t>
  </si>
  <si>
    <t xml:space="preserve">Mark Fenelon</t>
  </si>
  <si>
    <t xml:space="preserve">UNIVERSITY COLLEGE CORK, National University of Ireland (NUI) Maynooth, National University of Ireland (NUI) Galway, University of Limerick, Queens University Belfast</t>
  </si>
  <si>
    <t xml:space="preserve">Department of Agriculture, Food, and the Marine</t>
  </si>
  <si>
    <t xml:space="preserve">Towards a holistic and sustainable Swedish value chain for pea biorefinery (100%Pea)</t>
  </si>
  <si>
    <t xml:space="preserve">https://www.vinnova.se/en/p/towards-a-holistic-and-sustainable-swedish-value-chain-for-pea-biorefinery-100pea/</t>
  </si>
  <si>
    <t xml:space="preserve">Original award amount is SEK 3,000,000.</t>
  </si>
  <si>
    <t xml:space="preserve">Mehdi Abdollahi</t>
  </si>
  <si>
    <t xml:space="preserve">Life Sciences, Food, and Nutrition Science</t>
  </si>
  <si>
    <t xml:space="preserve">Swedish University of Agricultural Sciences, Lantmännen</t>
  </si>
  <si>
    <t xml:space="preserve">Standing Ovation Receives €3M from French Government and Bpifrance to Scale Non-Animal Caseins for Novel Dairy Products</t>
  </si>
  <si>
    <t xml:space="preserve">https://vegconomist.com/politics-law/standing-ovation-e3m-french-government-bpifrance-non-animal-caseins-novel-dairy-products/</t>
  </si>
  <si>
    <t xml:space="preserve">Original award amount is EUR 2,000,000 from the French government, plus a EUR 1,000,000 loan from Bpifrance.</t>
  </si>
  <si>
    <t xml:space="preserve">Romain Chayot</t>
  </si>
  <si>
    <t xml:space="preserve">Standing Ovation</t>
  </si>
  <si>
    <t xml:space="preserve">French government, BpiFrance</t>
  </si>
  <si>
    <t xml:space="preserve">FAB4FUTURE</t>
  </si>
  <si>
    <t xml:space="preserve">To feed a growing and aging world population and keep it healthy without being at the expense of the planet, realistic lab-made tissues are indispensable. However, current production methods are still too slow and too expensive and do not always lead to the desired properties. FAB4FUTURE combines artificial intelligence with knowledge and methods from the medical and food production sectors in a 'toolbox' for the scalable and configurable production of living material. Moroni and his team demonstrate their methods in three-dimensional heart models for cardiovascular disease research and in cultured meat with the same taste, texture and nutritional value as real meat.</t>
  </si>
  <si>
    <t xml:space="preserve">https://www.maastrichtuniversity.nl/nl/nieuws/perspectief-subsidie-voor-onderzoek-naar-gereedschapskist-om-levend-materiaal-te-maken</t>
  </si>
  <si>
    <t xml:space="preserve">The FAB4FUTURE project focuses on research into a 'toolbox' for the scalable production of living material, from tissue from stem cells for medical purposes to cultured meat. It was awarded more than 3 million euros. 
Perspectief is an NWO program, funded by the Ministry of Economic Affairs and Climate (EZK).</t>
  </si>
  <si>
    <t xml:space="preserve">Lorenzo Moroni</t>
  </si>
  <si>
    <t xml:space="preserve">Biofabrication for Regenerative Medicine</t>
  </si>
  <si>
    <t xml:space="preserve">Maastricht University</t>
  </si>
  <si>
    <t xml:space="preserve">Mosa Meat, ReGen Biomedical</t>
  </si>
  <si>
    <t xml:space="preserve">13/12/2025</t>
  </si>
  <si>
    <t xml:space="preserve">RETHINK</t>
  </si>
  <si>
    <t xml:space="preserve">Key details
- The project aims at creating globally competitive and healthy food solutions which are based on the new scalable plant protein ingredient processes that are optimized for maximal raw material use with minimized energy and other input usage.
- The new technologies for dry fractionation and wet separation will allow the use of local plants such as oat, pea and faba bean as food ingredients which will also increase security of supply.
- VTT’s approach combines machine learning with data on composition, functionality and flavour in a novel way to identify the most suitable raw materials and processes for different food applications.
- The project is expected to strengthen and increase the export by Finnish food industry by at least 500 M€
</t>
  </si>
  <si>
    <t xml:space="preserve">https://www.vttresearch.com/en/news-and-ideas/finnish-companies-aim-hitting-ballpark-new-plant-protein-processes</t>
  </si>
  <si>
    <t xml:space="preserve">Emilia Nordlund</t>
  </si>
  <si>
    <t xml:space="preserve">VTT Technical Research Center of Finland</t>
  </si>
  <si>
    <t xml:space="preserve">Anora, Apetit and Avena Nordic Grain, Fazer, Helsingin Mylly, Raisio, Valio Oy, Viking Malt</t>
  </si>
  <si>
    <t xml:space="preserve">23/11/2026</t>
  </si>
  <si>
    <t xml:space="preserve">Sustainable everyday nutrition with a taste of Gotland</t>
  </si>
  <si>
    <t xml:space="preserve">Purpose and goal: The project resulted in two organic plant-based minced products (växtfärs) under the brand name "Smak av SVEA". Through gentle manufacturing the products have good formability and structure and, in comparison with current corresponding products on the market, a good nutritional profile. The climate footprint at the industrial gate is below 0.4 kg CO2e/kg. The project has shown that all-Swedish production and Swedish organic ingredients can result in tasty, sustainable and nutritious products at a competitive price on the market. Expected results and effects: All objectives in the project have been met and several have been exceeded. The products meet the criteria for approved nutritional claims within high protein content, low fat content, low saturated fat content and high fiber content. Smak av Svea Växtfärs meets all the set criteria to be labeled with the Keyhole symbol. The climate impact of Smak by Svea Växtfärs is low in relation to nutritional content. By using completely natural ingredients, mild process and without industrial additives, the side streams from the manufacture are basically non-existent. Approach and implementation: The project was carried out in different work packages that focused on sustainable nutrition, product development, sustainable production and process implementation, customers and market and project management. The various work packages have been allowed to work partly in parallel. The area is relatively new and the project had to start with establishing terminology, methods and requirements for important quality aspects. Analysis of the climate impact was carried out by RISE at the end of the project when there was an industrial production with real quantitative data.</t>
  </si>
  <si>
    <t xml:space="preserve">grant.9970261</t>
  </si>
  <si>
    <t xml:space="preserve">Gotland Grönt Centrum AB (svb)</t>
  </si>
  <si>
    <t xml:space="preserve">End product formulation, Health/nutrition</t>
  </si>
  <si>
    <t xml:space="preserve">The mineral shift - unlocking the potential of mineral absorption from wholegrain</t>
  </si>
  <si>
    <t xml:space="preserve">Södertälje kommun</t>
  </si>
  <si>
    <t xml:space="preserve">Mechanisms for fibre formation in melts for meat analogues</t>
  </si>
  <si>
    <t xml:space="preserve">The food chain consumes substantial resources and contributes 25% of the total greenhouse gas emissions, with meat production alone contributing a staggering 14.5%. The consumption increases and this is alarming also from a nutritional perspective, as excessive consumption of meat has been linked to health problems, such as coronary heart disease and certain cancers. From environmental and health concerns there are clear motivations to decrease meat consumption.We propose a multidisciplinary project with food, materials science and modelling specialists, and advanced experimental techniques to explain the mechanisms responsible for fibre formation during extrusion of biopolymers. These mechanisms are the foundation for producing plant-based meat-analogues, but the mechanisms are not fully understood, thus making prediction of extrusion outcome impossible.New melt models combined with in-line flow monitoring in our extruder die enables simulation and experimental validation of a combination of dependent physical and chemical mechanisms. The project has access to all necessary tools, equipment and expertise. Knowledge of the mechanisms responsible for fibre formation will make it possible to predict extrusion outcome from raw material properties thus enabling new plant raw materials to be utilised. It will also enable design of novel extrusion dies for increased production efficiency.</t>
  </si>
  <si>
    <t xml:space="preserve">https://www.vr.se/swecris.html#/project/2022-00943_Formas</t>
  </si>
  <si>
    <t xml:space="preserve">grant.13284262</t>
  </si>
  <si>
    <t xml:space="preserve">Mats Stading</t>
  </si>
  <si>
    <t xml:space="preserve">Thermoresistant polysaccharide-based reinforcing fillers for the scalable mimicry of the myofibrillar hierarchy (REINFORCE)</t>
  </si>
  <si>
    <t xml:space="preserve">A dietary transition from primarily animal towards plant protein products is urgently required to avoid biodiversity loss and climate change. However, meat-eating consumers would prefer products that strongly resemble real meat and mirroring the structure of whole-muscle meat is far from accomplished. This project aims to replicate the texture of meat by understanding the interactions between fabricated polysaccharide nanofibers with outstanding reinforcing capabilities and less refined plant protein ingredients during extrusion.  A cross disciplinary approach, with biotechnology, glycomics, proteomics and physico-chemistry, is needed. This fundamental research will boost a plant-based diet through novel understanding and development of plant-based foods. This must be attained within planetary boundaries, where the use of less refined, protein-rich ingredients will take central stage in this project. This project also has the potential to add value to field peas and hemp side-streams.</t>
  </si>
  <si>
    <t xml:space="preserve">https://tech.au.dk/om-fakultetet/nyheder/vis/artikel/novo-millioner-til-forskning-i-baeredygtig-landbrugs-og-foedevareproduktion</t>
  </si>
  <si>
    <t xml:space="preserve">grant.13910089</t>
  </si>
  <si>
    <t xml:space="preserve">Original award amount is DKK 2,989,182.</t>
  </si>
  <si>
    <t xml:space="preserve">Mario Martinez</t>
  </si>
  <si>
    <t xml:space="preserve">Trade-offs between food safety and food security and its impacts towards the SDGs for children in South Africa, Sweden and Switzerland</t>
  </si>
  <si>
    <t xml:space="preserve">Food safety &amp; quality</t>
  </si>
  <si>
    <t xml:space="preserve">Mould growth and mycotoxin production in novel plant-based foods</t>
  </si>
  <si>
    <t xml:space="preserve">Su-Lin Hedén</t>
  </si>
  <si>
    <t xml:space="preserve">Sveriges lantbruksuniversitet</t>
  </si>
  <si>
    <t xml:space="preserve">Yeast - the protein source of the future; Part 2</t>
  </si>
  <si>
    <t xml:space="preserve">Orkla Foods Sverige AB</t>
  </si>
  <si>
    <t xml:space="preserve">Fish substitute from algae to preserve marine wildlife and develop algaculture</t>
  </si>
  <si>
    <t xml:space="preserve"> Owing to its success with its vegan mayonnaise, Algama launched a project aiming at creating an original seafood line based on non-animal compounds. After years of research and efforts, a set of four products has emerged and will constitute the next big launch for the company. Indeed, the unique skills of Algama in process and food engineering brought to light
 vegetal substitutes for smoked salmon, canned tuna, caviar, and tarama. Our products have now reached expectancies regarding the organoleptic and nutritional qualities. The point for a pioneer company is to achieve this program and to bring to market the fruits of this research. Reaching TRL 8 remains a challenge for emerging companies. Thanks to this call, we
 propose to overcome the last hurdles toward the market. Seafood Alg-Ternative will aim to prepare the compliance with regulations, scale the project to industrial operation, and bring it to the demands of the market. With this project, Algama will comfort its position and will continue its way to become the first key player of microalgae-based 100% plant-based food
 products in the mass agri-food market in Europe.</t>
  </si>
  <si>
    <t xml:space="preserve">https://emff.easme-web.eu/?p=101038453</t>
  </si>
  <si>
    <t xml:space="preserve">grant.13715880</t>
  </si>
  <si>
    <t xml:space="preserve">Original award amount is EUR 2,837,219 with EUR 1,986,053 coming from the EU government.</t>
  </si>
  <si>
    <t xml:space="preserve">Alvyn Severien</t>
  </si>
  <si>
    <t xml:space="preserve">Algama</t>
  </si>
  <si>
    <t xml:space="preserve">Simon Ferniot</t>
  </si>
  <si>
    <t xml:space="preserve">Seafood Reboot</t>
  </si>
  <si>
    <t xml:space="preserve">Industrialization and commercialization of a competitive, sustainable, and consumer oriented alternative animal protein source (Meat4All)</t>
  </si>
  <si>
    <t xml:space="preserve">Meat4All's goal is to scale up cultured meat production technology, work on market acceptance and perform safety assessment tests to allow the industrialization and commercialization of poultry cultured meat. This project will allow to supply the ever-increasing global demand for animal protein while addressing the main drawbacks of factory farming industry: Health issues, environmental sustainability and animal welfare. By scaling up this technology Meat4All will create a new area of development that makes possible for the European industry to harness this market high potential, fostering competitiveness and creating growth throughout the EU. BF, with the collaboration of OT (peptone-based supplements) and NOB (SIGMA group; meat processors) proposes this project in order to take Cultured Meat production a step closer to the market. This project will allow BF to become a worldwide leader in Cultured Meat with the necessary production capacity to supply the meat processing industry, starting with NOB’s final innovative products. The project objectives are: • Scale up production process from 135 Kg scale to 10 Tons scale per year by 2021 • Maintain large nutritional value for large scale produced quantities • 100% animal free origin culture media • Maintain Health claims up to the final processed products • &gt;80% bioreactor yields to keep prices within the acceptable level • 100% traceable Non-GMO animal cells • Meat4All will produce cultured meat in a raw format to be processed into consumer products as sausages or cold cuts. The average target selling price will be 6 €/kg in 2023 • Create markets leaders • Perform consumer product trials (tasting) aimed at ascertaining and predicting market and consumer demand.</t>
  </si>
  <si>
    <t xml:space="preserve">https://cordis.europa.eu/project/id/958660</t>
  </si>
  <si>
    <t xml:space="preserve">grant.9385200</t>
  </si>
  <si>
    <t xml:space="preserve">Original award amount is EUR 2,724,231 with EUR 1,906,961 coming from the EU. Funding program is Horizon 2020 Framework Programme.</t>
  </si>
  <si>
    <t xml:space="preserve">Organotechnie SAS, Nobre Alimentacao LDA, Campofrio Food Group SA</t>
  </si>
  <si>
    <t xml:space="preserve">https://docs.google.com/document/d/1ErpUhPPMas88ojI54tWPHCoJA_xmqZX96VMvjn0Iuis/edit?usp=sharing</t>
  </si>
  <si>
    <t xml:space="preserve">Biotech Foods Cultivated Meat Laboratory in San Sebastian</t>
  </si>
  <si>
    <t xml:space="preserve">https://www.euskadi.eus/web01-bopv/es/bopv2/datos/2023/04/2301848a.pdf</t>
  </si>
  <si>
    <t xml:space="preserve">Original award amount is EUR 2,692,505.</t>
  </si>
  <si>
    <t xml:space="preserve">Basque Government</t>
  </si>
  <si>
    <t xml:space="preserve">27/12/2024</t>
  </si>
  <si>
    <t xml:space="preserve">Enabling affordable and sustainable cultivated meat with a first-in-class growth medium</t>
  </si>
  <si>
    <t xml:space="preserve">Industrial meat production has a dramatic impact on our environment and health through GHG emissions, overuse of land, water and antibiotics, and zoonoses. Cultivated meat (CM) - the creation of meat from cultivated animal stem cells - promises to mitigate these problems provided it overcomes the key barrier of high feedstock cost. We have devised technology to reduce the cost of feedstock by through the development and production of new ingredients and formulations that enable price parity of CM with conventional meat, and will scale to bring this technology to market in this project. CM is projected to reach 35% of the global meat market by 2040.</t>
  </si>
  <si>
    <t xml:space="preserve">https://gtr.ukri.org/projects?ref=10061737</t>
  </si>
  <si>
    <t xml:space="preserve">grant.13252668</t>
  </si>
  <si>
    <t xml:space="preserve">Total amount was calculated using estimate of UKRI standard funding rate of 80% of full economic cost (FEC)</t>
  </si>
  <si>
    <t xml:space="preserve">Cai Linton</t>
  </si>
  <si>
    <t xml:space="preserve">Multus Media</t>
  </si>
  <si>
    <t xml:space="preserve">Horizon Europe Guarantee</t>
  </si>
  <si>
    <t xml:space="preserve">New Micro-extrusion Advanced Technology for plant-based whole-cut meat substitutes</t>
  </si>
  <si>
    <t xml:space="preserve">https://cordis.europa.eu/project/id/190112238</t>
  </si>
  <si>
    <t xml:space="preserve">grant.12959611</t>
  </si>
  <si>
    <t xml:space="preserve">NOVAMEAT TECH SL</t>
  </si>
  <si>
    <t xml:space="preserve">Sustainable production of Swedish plant-based protein concentrates and textured products</t>
  </si>
  <si>
    <t xml:space="preserve">Purpose and goal: 
Build knowledge and use new technology to produce dry fractionated protein concentrates with a high protein content and low antinutrient content, in a resource-efficient and sustainable way, using Swedish peas and fava beans. Build knowledge about extrusion of the protein concentrate in order to produce texturized raw
materials to the food industry on a large scale, which is required to produce so-called
meat analogues with the right texture. 
Expected results and effects: 
Satisfy the market´s great demand for Swedish-grown and Swedish-processed protein concentrates and textured products based on peas and field beans. With this project, we fill a large part of the gap between primary production and the food industry and increase Sweden´s self-sufficiency in these products. 
Approach and implementation: 
Literature search on antinutrients in peas and field beans.
Optimization of the dry fractionation to increase the protein content and minimize the antinutrient content.
Trial productions to be able to choose the right equipment, supplier and process conditions.
Sensory evaluation and application tests of concentrates and extrudates in different food matrices.
Analysis of antinutrients, solubility, water and fat holding capacity, emulsifying capacity, gelling etc.
Develop customized, plant-based meat analogues based on the protein products produced.</t>
  </si>
  <si>
    <t xml:space="preserve">https://www.vr.se/swecris.html#/project/2022-02593_Vinnova</t>
  </si>
  <si>
    <t xml:space="preserve">grant.13285812</t>
  </si>
  <si>
    <t xml:space="preserve">Uno Viberg</t>
  </si>
  <si>
    <t xml:space="preserve">GroPro AB</t>
  </si>
  <si>
    <t xml:space="preserve">Ingredient optimisation, Texturisation methods</t>
  </si>
  <si>
    <t xml:space="preserve">Raising the Pulse' (RtP): Systems analysis of the environmental, nutritional and health benefits of pulse-enhanced foods</t>
  </si>
  <si>
    <t xml:space="preserve">https://gtr.ukri.org/projects?ref=BB%2FW017946%2F1</t>
  </si>
  <si>
    <t xml:space="preserve">Julie Anne Lovegrove</t>
  </si>
  <si>
    <t xml:space="preserve">University of Reading</t>
  </si>
  <si>
    <t xml:space="preserve">Pasture to Plate (P2P): realising the enormous potential of UK grasslands</t>
  </si>
  <si>
    <t xml:space="preserve">https://gtr.ukri.org/projects?ref=BB%2FW018012%2F1</t>
  </si>
  <si>
    <t xml:space="preserve">Multiple project partners with no funding breakdown</t>
  </si>
  <si>
    <t xml:space="preserve">Richard Green</t>
  </si>
  <si>
    <t xml:space="preserve">Harper Adams University</t>
  </si>
  <si>
    <t xml:space="preserve">Multus Biotechnology Growth Media Production Plant</t>
  </si>
  <si>
    <t xml:space="preserve">USD</t>
  </si>
  <si>
    <t xml:space="preserve">https://thespoon.tech/multus-biotechnology-raises-9-5m-series-a-to-build-growth-media-production-plant/</t>
  </si>
  <si>
    <t xml:space="preserve">The full amount raised is $9.5 million, but most of that was VC investment which is not included in this database. This $2.5 million grant was funded through the Innovate UK EIC Accelerator program.</t>
  </si>
  <si>
    <t xml:space="preserve">Multus Biotechnology</t>
  </si>
  <si>
    <t xml:space="preserve">Innovate UK</t>
  </si>
  <si>
    <t xml:space="preserve">16/1/2025</t>
  </si>
  <si>
    <t xml:space="preserve">LETSPROSEED - Increasing the diversity of legumes on our plates, including fava beans</t>
  </si>
  <si>
    <t xml:space="preserve">https://www.vitagora.com/vitagora/actus-media/letsproseed/</t>
  </si>
  <si>
    <t xml:space="preserve">Exact award amount unknown, but total amount for this and two other awards (SOYSTAINABLE and JACK) equal EUR 7.9 million. SOYSTAINABLE received EUR 2,999,797. The remaining was split equally across LETSPROSEED and JACK to provide estimated project budgets. https://agriculture.gouv.fr/france-2030-premiers-laureats-et-2-nouveaux-appels-projets-pour-accelerer-les-transitions-agricoles</t>
  </si>
  <si>
    <t xml:space="preserve">Karine Gallardo</t>
  </si>
  <si>
    <t xml:space="preserve">Agroecology</t>
  </si>
  <si>
    <t xml:space="preserve">Dijon Agro Institute, Caen Normandy University, Agri Obtentions, Bel, Danone, Soredab, Terres Inovia, Via Végétale</t>
  </si>
  <si>
    <t xml:space="preserve">JACK - Just Adopt pulses from Cook to forK</t>
  </si>
  <si>
    <t xml:space="preserve">https://www.terresinovia.fr/-/legumes-secs-terres-inovia-se-mobilise-dans-le-projet-jack</t>
  </si>
  <si>
    <t xml:space="preserve">Ecole Superior of Agricultures ( ESA ) of Angers</t>
  </si>
  <si>
    <t xml:space="preserve">Terres Inovia, Robot Coupe, CTCPA, Research Center Institute Paul Bocuse, Tipiak, Atlantique Alimentaire, Sodexo, Bonduelle, Bordeau Chesnel, Inveja, CCI Maine-et-Loire, Symrise, University of Angers, Union Agricole Du Pays De Loire, INRAE, Campus de la Gastronomie</t>
  </si>
  <si>
    <t xml:space="preserve">16/1/2027</t>
  </si>
  <si>
    <t xml:space="preserve">PRInted Symbiotic Materials as a dynamic platform for Living Tissues production (PRISM-LT)</t>
  </si>
  <si>
    <t xml:space="preserve">need to add</t>
  </si>
  <si>
    <t xml:space="preserve">https://cordis.europa.eu/project/id/101070913</t>
  </si>
  <si>
    <t xml:space="preserve">Original award amount is EUR 2,318,811. Project website is: https://prism-livingtissues.eu/.</t>
  </si>
  <si>
    <t xml:space="preserve">Laura Martinelli</t>
  </si>
  <si>
    <t xml:space="preserve">In Society</t>
  </si>
  <si>
    <t xml:space="preserve">Nonprofit</t>
  </si>
  <si>
    <t xml:space="preserve">University of Glasgow, Chalmers University of Technology, CellInk, Radboud University, University of Aveiro</t>
  </si>
  <si>
    <t xml:space="preserve">tbd</t>
  </si>
  <si>
    <t xml:space="preserve">The source of dietary protein matters: plant-based proteins contributing to a healthy and sustainable diet – metagenomic and metabolomics approaches for human biomarkers identification</t>
  </si>
  <si>
    <t xml:space="preserve">Future Food Security in the Nordic-Baltic Region: Merging Past, Present, and Future (NorBalFoodSec)</t>
  </si>
  <si>
    <t xml:space="preserve">EXPRO, Globally competitive processing technologies for meat alternatives</t>
  </si>
  <si>
    <t xml:space="preserve">https://www.vttresearch.com/en/news-and-ideas/globally-competitive-plant-protein-based-foods-finland</t>
  </si>
  <si>
    <t xml:space="preserve">grant.13525293</t>
  </si>
  <si>
    <t xml:space="preserve">Original award amount is EUR 2,100,000.</t>
  </si>
  <si>
    <t xml:space="preserve">Nesli Sözer</t>
  </si>
  <si>
    <t xml:space="preserve">Industrial Biotechnology and Food</t>
  </si>
  <si>
    <t xml:space="preserve">University of Helsinki, Apetit and Avena Nordic Grain, Compass Group Suomi, Fazer, Foodwest, Gold and Green Foods, Lihel, Raisio, Ultima, West Mills</t>
  </si>
  <si>
    <t xml:space="preserve">Scaling a first-in-class biostructuring process for whole-cut meat alternatives</t>
  </si>
  <si>
    <t xml:space="preserve">Planted is a food-tech company with a mission to reduce excessive meat consumption by providing delicious, nutritive, and sustainable plant-based meat substitutes. With our proprietary biostructuring technology - MyFibre, we provide unmatched replication of the taste, texture, and juiciness of whole-cut meats. With the STEAKED project, we aim to drive a further shift in consumer choices and save up to 4 million animal lives equalling a CO2 reduction of 80% compared to animal meat consumption.</t>
  </si>
  <si>
    <t xml:space="preserve">CHF</t>
  </si>
  <si>
    <t xml:space="preserve">https://www.aramis.admin.ch/Grunddaten/?ProjectID=53697&amp;Sprache=en-US</t>
  </si>
  <si>
    <t xml:space="preserve">grant.13684882</t>
  </si>
  <si>
    <t xml:space="preserve">Krienbühl Lukas</t>
  </si>
  <si>
    <t xml:space="preserve">Innosuisse – Swiss Innovation Agency</t>
  </si>
  <si>
    <t xml:space="preserve">Switzerland</t>
  </si>
  <si>
    <t xml:space="preserve">CPI establish food grade facility with 2m investment</t>
  </si>
  <si>
    <t xml:space="preserve">https://www.insidermedia.com/news/north-east/cpi-to-establish-food-grade-facility-with-2m-investment</t>
  </si>
  <si>
    <t xml:space="preserve">CPI</t>
  </si>
  <si>
    <t xml:space="preserve">Tees Valley Mayor and Combined Authority</t>
  </si>
  <si>
    <t xml:space="preserve">Ferment2From</t>
  </si>
  <si>
    <t xml:space="preserve">STANDING OVATION, a key player in the food transition, announces €1.84 million in funding from bpifrance, as part of the PIA4 recovery plan and the "Tomorrow's Food Needs" call for projects, for its FERMENT2FROM project.
The aim of the FERMENT2FROM project is to develop new expertise in the use of fermentative caseins in cheese applications. This work will receive €1.83 million in funding from bpifrance, including €1.10 million in a repayable advance and €0.73 million in a grant. It will enable the company to diversify its commercial offering and move toward even higher value-added product lines.</t>
  </si>
  <si>
    <t xml:space="preserve">https://biotechinfo.fr/article/la-foodtech-standing-ovation-recoit-une-aide-de-183me-euros-de-bpifrance-dans-le-cadre-de-lappel-a-projet-besoins-alimentaires-de-demain/</t>
  </si>
  <si>
    <t xml:space="preserve">Original award amount is EUR 1,830,000.</t>
  </si>
  <si>
    <t xml:space="preserve">Frédéric Pâques</t>
  </si>
  <si>
    <t xml:space="preserve">The future of meat – storytelling and dialogues for improved decision making</t>
  </si>
  <si>
    <t xml:space="preserve">other</t>
  </si>
  <si>
    <t xml:space="preserve">AVV4G</t>
  </si>
  <si>
    <t xml:space="preserve">The AVV4G project presented by this northern company is developing the fourth generation of 100% plant-based meat alternatives, which provide similar pleasure in terms of taste, texture and cooking behaviour. </t>
  </si>
  <si>
    <t xml:space="preserve">https://www.gouvernement.fr/sites/default/files/contenu/piece-jointe/2023/03/20230306_-_dp_115_laureats_agriculture_alimentation_de_france2030.pdf</t>
  </si>
  <si>
    <t xml:space="preserve">Exact award amount unknown. The linked announcement indicates that EUR 194,000,000 was awarded in total across 115 projects. We have estimated this project budget assuming all 115 projects get an equal part of the overall funding pool.</t>
  </si>
  <si>
    <t xml:space="preserve">Renaud Saisset</t>
  </si>
  <si>
    <t xml:space="preserve">Nxtfood</t>
  </si>
  <si>
    <t xml:space="preserve">31/1/2025</t>
  </si>
  <si>
    <t xml:space="preserve">InGREENdient</t>
  </si>
  <si>
    <t xml:space="preserve">Platform that transforms plant co-products into a highly nutritious powder powder by a process that generates only water vapour and no additional inputs.</t>
  </si>
  <si>
    <t xml:space="preserve">Ninna Granucci</t>
  </si>
  <si>
    <t xml:space="preserve">PULSEAT 2</t>
  </si>
  <si>
    <t xml:space="preserve">The laboratory located in Meurthe-et-Moselle wants to transfer to a pilot scale the process (5 to 2000L) of lactic fermentation of legumes to degrade their anti-nutritional factors, their insoluble non-digestible fibres and to improve their organoleptic qualities. Products and services resulting from the programme: fermented legume flours (including broad bean) intended for agri-food companies; operating licences and transfer of know-how for manufacturing products based on fermented legume flours.</t>
  </si>
  <si>
    <t xml:space="preserve">Elise Bourcier</t>
  </si>
  <si>
    <t xml:space="preserve">C&amp;DAC Food R&amp;D Laboratory</t>
  </si>
  <si>
    <t xml:space="preserve">Sunshine</t>
  </si>
  <si>
    <t xml:space="preserve">The Sunshine project aims to develop a new range of ingredients rich in sunflower proteins (70%) for the human food and specialised nutrition markets. The objective is to validate the production process on a demonstrator scale and to initiate product application validation actions with potential customers, with a view to securing the investment in the first industrial unit. Range of ingredients containing 70% sunflower proteins. </t>
  </si>
  <si>
    <t xml:space="preserve">Jean-Philippe Puig</t>
  </si>
  <si>
    <t xml:space="preserve">Avril SCA</t>
  </si>
  <si>
    <t xml:space="preserve">EPIC-Oxford: benefits and risks of plant-based diets</t>
  </si>
  <si>
    <t xml:space="preserve">https://gtr.ukri.org/projects?ref=MR%2FY013662%2F1</t>
  </si>
  <si>
    <t xml:space="preserve">Tim Key</t>
  </si>
  <si>
    <t xml:space="preserve">University of Oxford</t>
  </si>
  <si>
    <t xml:space="preserve">Medical Research Council (MRC)</t>
  </si>
  <si>
    <t xml:space="preserve">FoodJams - speeding up the transition towards more locally produced plant-based protein in public school catering.</t>
  </si>
  <si>
    <t xml:space="preserve">Maria Ivansson</t>
  </si>
  <si>
    <t xml:space="preserve">Klimatkommunerna</t>
  </si>
  <si>
    <t xml:space="preserve">The role of algae in sustainable food systems- a knowledge synthesis of the nutritional quality and environmental impact</t>
  </si>
  <si>
    <t xml:space="preserve">Health/nutrition, Env/impact assessments</t>
  </si>
  <si>
    <t xml:space="preserve">Resilient Oats: Improving Drought Stress Resistance in a Changing Climate</t>
  </si>
  <si>
    <t xml:space="preserve">https://cordis.europa.eu/project/id/101116452</t>
  </si>
  <si>
    <t xml:space="preserve">TECHNISCHE UNIVERSITAET MUENCHEN</t>
  </si>
  <si>
    <t xml:space="preserve">ECHNISCHE UNIVERSITAET MUENCHEN, BAYERISCHE LANDESANSTALT FUR LANDWIRTSCHAFT, LEIBNIZ - INSTITUT FUER PFLANZENGENETIK UND KULTURPFLANZENFORSCHUNG, HELMHOLTZ ZENTRUM MUENCHEN DEUTSCHES FORSCHUNGSZENTRUM FUER GESUNDHEIT UND UMWELT GMBH</t>
  </si>
  <si>
    <t xml:space="preserve">Developing technologies to engineer plant genomes at the megabase scale</t>
  </si>
  <si>
    <t xml:space="preserve">VIB VZW</t>
  </si>
  <si>
    <t xml:space="preserve">Interdisciplinary research project on cultivated fish</t>
  </si>
  <si>
    <t xml:space="preserve">The research project is a joint project between BLUU Seafood, Reutlingen University and the University of Vechta. This brings together industrial research and commercial exploitation (BLUU Seafood), basic technological research (Reutlingen University) and basic social science research (Vechta University) in the project. The focus is on fat cells from salmon-like fish as a basis for foods rich in protein and omega-3 fatty acids. Prof. Dr. Nick Lin-Hi from the University of Vechta is responsible for the social science part of the project, which deals with the acceptance of in-vitro-produced fish foods and economic implementation opportunities. To this end, the professor of economics and ethics wants, among other things, to carry out an experimental study on the actual consumption behavior of cell-based fish. Data on willingness to pay should also be collected.</t>
  </si>
  <si>
    <t xml:space="preserve">https://www.mynewsdesk.com/de/universitaet-vechta/pressreleases/teilprojekt-an-der-universitaet-vechta-untersucht-akzeptanz-und-oekonomische-umsetzungschancen-von-zellbasierten-fischlebensmitteln-bundesministerium-bmel-foerdert-gesamtes-verbund-forschungsvorhaben-zu-innovativer-in-vitro-technologie-3279926</t>
  </si>
  <si>
    <t xml:space="preserve">Original award amount is EUR 1,300,000.</t>
  </si>
  <si>
    <t xml:space="preserve">Niki found this in a post on GFI Europe's LinkedIn page: https://www.linkedin.com/posts/gfi-europe_exciting-funding-news-the-bundesministerium-activity-7119990642096644096-JY9_?utm_source=share&amp;utm_medium=member_desktop</t>
  </si>
  <si>
    <t xml:space="preserve">Nick Lin-Hi</t>
  </si>
  <si>
    <t xml:space="preserve">Economics and Ethics</t>
  </si>
  <si>
    <t xml:space="preserve">University of Vechta</t>
  </si>
  <si>
    <t xml:space="preserve">BLUU Seafood, Reutlingen University</t>
  </si>
  <si>
    <t xml:space="preserve">17/10/2026</t>
  </si>
  <si>
    <t xml:space="preserve">Pilot plant for cultivated pork for sustainable food systems</t>
  </si>
  <si>
    <t xml:space="preserve">Alongside the world's increasing population, we are seeing a huge rise in Global meat consumption. Together these have a huge negative impact on the environment and are key drivers in climate change, land conversion and degradation. Cultivated meat willallow people to continue eating meat but without the carbon footprint associated with farm reared animals, helping the UK reach net zero by 2040\. Cultivated meat is the same as conventionalmeat, but instead of slaughtering a whole animal for useful parts, a few cells are taken from the animal e.g. from the skin or muscle, to extractcells which are then grown under very controlled conditions to produce the equivalent constituents of meat (namely muscle and fat). This technology willprovide us with sustainable, healthier meat products, which are nutritionally identical to conventionalmeat but with a greatly reduced carbon footprint. All multicellular organisms grow from stem cells; they are the source of all cell types in animals and plants. The current work replicates these natural physiological processes, producingmeat at a much lower cost to the environment, our health and the animals. With this project, HigherSteaks plans to develop the UK's first pilot plant for cultivated meat. This will also be the world's largest cultivated pork production - to date, only chicken, beef and fish products have been brought to pilot scale. This will put the UK at the forefront of a rapidly growing industry that will have a significant impact on reaching net zero by 2040\.</t>
  </si>
  <si>
    <t xml:space="preserve">https://gtr.ukri.org/projects?ref=10014261</t>
  </si>
  <si>
    <t xml:space="preserve">grant.12930932</t>
  </si>
  <si>
    <t xml:space="preserve">Andy Racher</t>
  </si>
  <si>
    <t xml:space="preserve">HigherSteaks Ltd</t>
  </si>
  <si>
    <t xml:space="preserve">Development and production of a vegan fish substitute (Mamy)</t>
  </si>
  <si>
    <t xml:space="preserve">https://foerderportal.bund.de/foekat/jsp/SucheAction.do?actionMode=view&amp;fkz=281A815X21</t>
  </si>
  <si>
    <t xml:space="preserve">Koralo GmbH</t>
  </si>
  <si>
    <t xml:space="preserve">CERAFIM - Cellular Agriculture for Sustainable Food and Materials (Part 2)</t>
  </si>
  <si>
    <t xml:space="preserve">Cellular agriculture produces proteins, fats and whole cell concepts in bioreactors under controlled conditions, with small resources and land compared to agriculture based on plants and animals. It has a great opportunity to become a significant part of today's agriculture and reduce its harm to the climate and the environment. CERAFIM's vision is that by 2030, cellular agriculture products in food and material applications will be available and generally accepted by European consumers as everyday commodities. The CERAFIM project focuses on developing scalable processes for the production of recombinant proteins, microbial fats and new whole cell concepts for food and material applications. In addition to the technical development of cell farming, the CERAFIM project also takes into account the industry's point of view and creates a common vision of cell farming-related business activity in Finland in 2030. The CERAFIM consortium is well networked and covers the entire value chain from producers of food industry and agricultural side streams (Fazer, Kemira, UPM, Valio, Fortum) to microbial breeding (Brightplus, eniferBio, Fazer, Kemira, Onego Bio, Valio, Fortum) to food production (eniferBio, Fazer, Onego Bio, Valio) and materials (Brightplus, Kemira, Spinnova, Fortum). Specialized process equipment is needed for the introduction of new technologies (High Metal). Cellular agriculture is a new way of producing food and materials, so strong networking between different stakeholders in the entire value chain is essential to increase competitiveness and shorten time to market. This project is expected to advance the scientific knowledge of cell agriculture for future concrete industrial applications. It also increases the visibility of the possibilities of cellular agriculture and strengthens Finland's role as a pioneer in sustainable development know-how and applications.</t>
  </si>
  <si>
    <t xml:space="preserve">https://research.fi/en/results/funding/78308</t>
  </si>
  <si>
    <t xml:space="preserve">grant.13525058</t>
  </si>
  <si>
    <t xml:space="preserve">Original award amount is EUR 1,266,000.</t>
  </si>
  <si>
    <t xml:space="preserve">Valio Oy, Fazer, UPM, Kemira, Fortum Bio2X, OnegoBio, Spinnova, eniferBio, High Metal, Brightplus</t>
  </si>
  <si>
    <t xml:space="preserve">Feedstocks, Ingredient optimisation</t>
  </si>
  <si>
    <t xml:space="preserve">Enhancing the nutritional values of wheat protein based products while avoiding over-processing</t>
  </si>
  <si>
    <t xml:space="preserve">Purpose and goal: 
  Through this project, we aim to bring innovative meat-substitutes to the
 market and offer consumers sustainable products that have been developed and
 produced in Sweden using Swedish raw materials. The products will be
 satisfying in taste and texture, while also having a clean label and being
 nutritionally complete: this will be achieved through the choice of raw
 materials, mainly gluten/wheat protein (seitan), pulses/legumes and seaweed,
 and their natural complementing properties.
  Moreover, we aim to create a strong and long-lasting partnership among the
 three Swedish SME´s (small and medium-sized enterprises) involved in the
 project. 
  Expected results and effects: 
  The expected results are to launch several plant-based products on the
 market, based on Swedish raw materials, produced in Sweden and with enhanced
 flavour and nutrients, while keeping a clean label. 
  Specifically:
  - To launch one product from the collaboration from Edgy Veggie and
 Färsodlarna
  - To develop a number of products in which seaweed is successfully combined
 with gluten/wheat protein (seitan) to enhance flavour and nutrients.
  Other expected effect: to inspire the further exploration on different
 applications and possibilities for these raw materials. 
  Approach and implementation: 
  The project will be carried out by a partnership among the three SME´s Edgy
 Veggie, Färsodlarna and Nordic Seafarm. The project will be divided in four
 parts and will last one year. It expands from the feasibility study where
 Edgy Veggie combined gluten/wheat protein (seitan) with pulses/legumes from
 Färsodlarna to develop an attractive product. Part 1 of the project will be
 focused on finalising that prototype; part 2 will focus on enhancing the
 nutritional content of our meat-substitutes through the usage of seaweed,
 maintaining a clean ingredient list and enhancing taste.</t>
  </si>
  <si>
    <t xml:space="preserve">https://www.vr.se/swecris.html#/project/2022-02588_Vinnova</t>
  </si>
  <si>
    <t xml:space="preserve">grant.13285808</t>
  </si>
  <si>
    <t xml:space="preserve">Katarina Furin</t>
  </si>
  <si>
    <t xml:space="preserve">Edgy Veggie AB</t>
  </si>
  <si>
    <t xml:space="preserve">CELLZERO Meat - Innovative solutions for the cell-based, GMO and antibiotic-free production of high-quality animal protein</t>
  </si>
  <si>
    <t xml:space="preserve">https://www.fbn-dummerstorf.de/en/research/projects/0070/</t>
  </si>
  <si>
    <t xml:space="preserve">Original award amount is EUR 1,186,942.</t>
  </si>
  <si>
    <t xml:space="preserve">From internal notes: The Federal Ministry of Education and Research (BMBF) is currently funding the research consortium "CELLZERO Meat", which is developing an alternative process for the production of cell-based meat without the use of fetal bovine serum (FBS). The grant amounts to 1,186,942 euros. In addition to the Research Institute for Farm Animal Biology (FBN), the Leibniz Institute for Plasma Research and Technology e. V. and the Anhalt University of Applied Sciences, the company PAN-Biotech GmbH is also involved in the consortium.</t>
  </si>
  <si>
    <t xml:space="preserve">Monika Röntgen</t>
  </si>
  <si>
    <t xml:space="preserve">Research Institute for Farm Animal Biology (FBN)</t>
  </si>
  <si>
    <t xml:space="preserve">Federal Ministry of Education and Research (BMBF)</t>
  </si>
  <si>
    <t xml:space="preserve">Cell culture media, Cell line development</t>
  </si>
  <si>
    <t xml:space="preserve">Innovation space: NewFoodSystems - Sustainable protein ingredients - implementation phase</t>
  </si>
  <si>
    <t xml:space="preserve">Fraunhofer-Gesellschaft zur Förderung der angewandten Forschung eingetragener Verein</t>
  </si>
  <si>
    <t xml:space="preserve">Towards sustainable cultured meat production by developing a novel biocatalyst</t>
  </si>
  <si>
    <t xml:space="preserve">The global meat consumption is substantial, with the average person consuming 45 kg of meat per year, and meat comprising 18% of the global food supply. This demand led to the slaughter of 80 billion animals in 2018, resulting in 340 million tons of meat production. However, despite animal-derived products providing only 17% of global food and 40-58% of proteins, animal agriculture has a disproportionate environmental impact. It occupies 77% of agricultural lands, utilizes 30% of water resources, and contributes 12-20% of human-induced greenhouse gas emissions. Concerns about meat consumption extend beyond environmental impacts. Epidemics like swine flu and avian flu have raised health concerns, and the use of antibiotics in the meat industry has led to antibiotic resistance in bacteria.
Cultured meat, also known as lab-grown or cell-cultured meat, has emerged as a potential solution to address sustainability challenges associated with traditional animal farming. The process involves isolating animal cells and allowing them to proliferate in a culture medium within a bioreactor. The cells differentiate into specialized cell types found in meat, and the matured cultured meat can be harvested, processed, and used to create various meat-based products. Currently, only Singapore and the US have approved the sale of cultured meat products, but their availability is limited due to high production costs and retail prices. The analysis indicates that the cell culture medium constitutes the majority of the costs, primarily attributed to the more expensive components such as recombinant proteins, essential amino acids, and growth factors.
Studies have shown that cultured meat has the potential to significantly reduce energy, land, and water use, as well as greenhouse gas emissions, however, recent research indicates that cultured meat may still have higher emissions than pork and poultry but considerably lower emissions compared to beef, primarily due to the production of the culture medium ingredients and energy use in bioreactors. 
The current research project's objective is to develop a simple cell (SimCell) -based biocatalyst that can convert metabolic wastes from animal cell culture, including ammonia and lactic acid, into those more expensive components such as essential amino acids and growth factors. SimCells are modified bacteria cells which cannot reproduce themselves but can perform certain functions as instructed by the designed gene circuits. The SimCells will then be placed in the animal cell culture bioreactor to convert the wastes into feed, which means less amount of cell culture medium need to be replaced, leading to reduced production cost and amount of waste. This project aims to enhance the sustainability of cultured meat production by reducing costs, improving resource efficiency, and potentially lowering environmental impacts.
Technical Summary
Traditional farming has been under increasing pressure to produce enough meat to feed the increasing world population. It has also disproportionate environmental impact which occupies 77% of agricultural lands, utilizes 30% of water resources, and contributes 12-20% of human-induced greenhouse gas emissions. Cultured meat, a product which comprises of cells or tissues grown in the controlled bioreactors from a biopsy taken initially from an animal, has the potential to significantly reduce energy, land and water use and also GHGE due to more efficient feed use, controlled environment, direct metabolism and absence of manure. However, it's availability has been hindered by high production cost, mainly due to the more expensive components used in the animal cell culture medium, such as essential amino acids and growth factors, and the amount of waste, mainly water, produced. 
In this project, we aim to develop a SimCell-based biocatalyst to reduce the cost of cell culture medium and the amount of waste in the cultured meat production process. SimCells are chromosome-free bacteria cells but can process various genetic circuits. They are non-dividing but can be instructed to perform certain functions, for example, feeding on animal cell metabolic wastes such as ammonia and lactic acid and produce essential amino acids (e.g. arginine) and growth factors (e.g. fibroblast growth factor-2). By optimising the ration of SimCells to animal cells in the bioreactor, it is envisaged that significantly less amount of cell culture medium is required, thus reducing the cost of cell culture and amount of waste produced.</t>
  </si>
  <si>
    <t xml:space="preserve">https://gtr.ukri.org/projects?ref=BB%2FY007859%2F1</t>
  </si>
  <si>
    <t xml:space="preserve">grant.14051807</t>
  </si>
  <si>
    <t xml:space="preserve">Hua Ye</t>
  </si>
  <si>
    <t xml:space="preserve">30/4/2048</t>
  </si>
  <si>
    <t xml:space="preserve">Vigna beans and more - screening of subtropical legume species for organic farming in Germany</t>
  </si>
  <si>
    <t xml:space="preserve">Universität Hohenheim</t>
  </si>
  <si>
    <t xml:space="preserve">Visualization of phase separation in extruded plant-based meat analogues through tomography</t>
  </si>
  <si>
    <t xml:space="preserve">grant.14683453</t>
  </si>
  <si>
    <t xml:space="preserve">Astrid Ahlinder</t>
  </si>
  <si>
    <t xml:space="preserve">Uncovering Protein Potential via Fermentation Technology</t>
  </si>
  <si>
    <t xml:space="preserve">https://www.gov.ie/pdf/?file=https://assets.gov.ie/278893/6f712254-7a63-4a60-8232-27e8309d2cf5.pdf#page=null</t>
  </si>
  <si>
    <t xml:space="preserve">Original award amount is EUR 1,036,361.20.
</t>
  </si>
  <si>
    <t xml:space="preserve">Press release listing all projects funded through this mechanism is here: https://www.gov.ie/en/press-release/787d3-ministers-mcconalogue-and-heydon-announce-242-million-in-research-grants/?. Only this one seems relevant to alt proteins.</t>
  </si>
  <si>
    <t xml:space="preserve">Olivia McAuliffe</t>
  </si>
  <si>
    <t xml:space="preserve">UNIVERSITY COLLEGE CORK, Technological University Dublin</t>
  </si>
  <si>
    <t xml:space="preserve">13/12/2026</t>
  </si>
  <si>
    <t xml:space="preserve">Roslin Technologies Cell Line Development</t>
  </si>
  <si>
    <t xml:space="preserve">https://gfieurope.org/blog/good-food-institute-welcomes-uk-investment-in-cultivated-meat-startup/</t>
  </si>
  <si>
    <t xml:space="preserve">Original award amount is GBP 1,000,000.</t>
  </si>
  <si>
    <t xml:space="preserve">Ernst van Orsouw</t>
  </si>
  <si>
    <t xml:space="preserve">Roslin Technologies Limited</t>
  </si>
  <si>
    <t xml:space="preserve">Meatable Jointly Secures €1M for Cultivated Meat Scaffolding R&amp;D</t>
  </si>
  <si>
    <t xml:space="preserve">https://vegconomist.com/cultivated-cell-cultured-biotechnology/meatable-e1m-cultivated-meat/?utm_medium=email&amp;utm_source=rasa_io&amp;utm_campaign=newsletter</t>
  </si>
  <si>
    <t xml:space="preserve">Original award amount is EUR 1,000,000.</t>
  </si>
  <si>
    <t xml:space="preserve">Gijsje Koenderink</t>
  </si>
  <si>
    <t xml:space="preserve">Bionanoscience</t>
  </si>
  <si>
    <t xml:space="preserve">TU Delft</t>
  </si>
  <si>
    <t xml:space="preserve">Jean-Marc Daran</t>
  </si>
  <si>
    <t xml:space="preserve">TU Delft, Meatable, DSM, VIVOLTA</t>
  </si>
  <si>
    <t xml:space="preserve">https://www.nwo.nl/en/researchprogrammes/open-technology-programme</t>
  </si>
  <si>
    <t xml:space="preserve">Scaffolding</t>
  </si>
  <si>
    <t xml:space="preserve">21/12/2027</t>
  </si>
  <si>
    <t xml:space="preserve">CULT-GRO: a game-changing growth enhancer to accelerate the affordable scale-up of cultivated meat</t>
  </si>
  <si>
    <t xml:space="preserve">Rising meat/protein demand and awareness for environmental protection needs are driving changed outlooks within the meat industry. The growing need for alternative protein sources to combat meat shortages along with a fast-growing population is enhancing the need for cultured meat production. However, persistent technical challenges in manufacturing and in deriving low-cost end-products hampers rapid growth potential. End-consumers are shifting their focus towards sustainable lifestyles, seeking meat with lower environmental impacts than resource-intensive traditionally-farmed meat. The UK is set to become a world-leading developer of cultured meat, with a predicted 31% (£1.7bn) market-share by 2030, supporting 9,200-16,500 new jobs. QuestMeat and Multus are pioneering biotechnology start-ups within the cultivated meats sector. Together with UCL, this consortium will develop 'CULT-GRO', a formulation for cultured meat production. This project will respond to the cultivated meat production need and deliver more sustainable, lower-emission alternative protein sources, with faster production and adaptive supply strategies of proven formulations at-scale. This will enable the UK's cultivated meat market to respond to food supply-chain demands more rapidly, reducing carbon emissions and addressing the shortages in meat globally. This project is anticipated to deliver transformative effects for QuestMeat and Multus, and will lead to a huge impact on the UK's cultured meat supply-chain. CULT-GRO is an enabler to catalyse/accelerate the commercial implementation of new cultivated meat products and provide multiple interface points for cell-line development, ingredient suppliers and cultured meat manufacturers. The project outputs will include taste-testing of ingredients that can be used to produce low-cost cultivated meat. This project will benefit the UK economy, generating local and export revenues and headcount growth across the cultivated meat sector.</t>
  </si>
  <si>
    <t xml:space="preserve">https://www.ukri.org/news/15-6-million-boost-for-low-emission-food-production-systems/</t>
  </si>
  <si>
    <t xml:space="preserve">grant.14051416</t>
  </si>
  <si>
    <t xml:space="preserve">Original award amount is GBP 1,000,000 as reported in this article: https://www.thecellbase.com/post/quest-meat-multus-and-ucl-partner-on-1m-cell-based-meat-scale-up-project.</t>
  </si>
  <si>
    <t xml:space="preserve">Ivan Wall</t>
  </si>
  <si>
    <t xml:space="preserve">Quest Meat Limited</t>
  </si>
  <si>
    <t xml:space="preserve">Multus Biotechnology Limited, University College London (UCL)</t>
  </si>
  <si>
    <t xml:space="preserve">Formulating encapsulated systems of bioactive ingredients from traditional plants: mountain germander and ground ivy for the development of innovative functional food products</t>
  </si>
  <si>
    <t xml:space="preserve">HRK</t>
  </si>
  <si>
    <t xml:space="preserve">grant.14706567</t>
  </si>
  <si>
    <t xml:space="preserve">Draženka Komes, Ksenija Marković, Krunoslav Žižek, Vesna Benković, Sofia Ana Blažević, Aleksandra Vojvodić Cebin, Anica Horvat Knežević, Danijela Šeremet, Joško Barbarić, Ana Mandura</t>
  </si>
  <si>
    <t xml:space="preserve">University of Zagreb, Faculty of Food Technology and Biotechnology</t>
  </si>
  <si>
    <t xml:space="preserve">Croatia</t>
  </si>
  <si>
    <t xml:space="preserve">Grad Zagreb</t>
  </si>
  <si>
    <t xml:space="preserve">Croatian Science Foundation</t>
  </si>
  <si>
    <t xml:space="preserve">Holistic utilization of mung beans and lentils – production of high-quality protein concentrates and use of the side streams</t>
  </si>
  <si>
    <t xml:space="preserve">Rheinische Friedrich-Wilhelms-Universität Bonn</t>
  </si>
  <si>
    <t xml:space="preserve">EAGLE: Enhanced Analytical and Genetics Tools for Improving UK Food Legumes</t>
  </si>
  <si>
    <t xml:space="preserve">Despite providing an excellent source of high-quality protein and featuring as important break-crops in arable cropping rotations improving sustainability, UK-grown pulses (dry pea and faba bean) are under-utilised for human consumption. Historic under-investment in pulse crop breeding and scientific R&amp;D has, until recently, limited scope for improving knowledge and for developing new, better-adapted cultivars. However, the rapid recent growth in plant-based foods and ingredients has led to greater demand for pulses in Western diets aiming to reduce meat and dairy consumption. The food production sector is currently reliant on imported grains such as soya, lentil, and chickpea, even though UK is one of the greatest producers of pulses in Europe. EAGLE will help to improve access to established collections of diverse germplasm, advanced breeding methodologies and analytical testing to characterise nutritional quality could have a profound effect on enhancing researcher's and the plant breeding industry's abilities to develop new resilient, nutritious UK-grown pulse varieties and develop greater understanding of how key traits can be manipulated to benefit society and the environment. This could be a extremely useful in helping to reduce the reliance on imported pulses like soya.
Technical Summary
The new resources will provide access to genetically and phenotypically characterised GWAS panels and improved transformation and gene-editing capability for pea and faba bean. This will facilitate the fundamental characterisation of genes contributing to nutritional composition, the manipulation of important agronomic and compositional traits, and expedite the breeding of new improved conventional and gene-edited pulse varieties. Re-sequencing and gene-alignment data will be hosted in the European Variation Archive, enabling researchers and stakeholders to quickly access information through standard graphical interfaces without the need for extensive bioinformatics training. Advanced analytical testing methods will be established to provide tools for characterising natural diversity and optimising methods to support industry. The project will focus strongly on stakeholder engagement across various research sectors to ensure the resources can be promoted effectively and the greatest number of end-users can access the project outputs to begin to exploit them. A scientific advisory board will be elected to oversee progress on an annual basis, whilst an academic stakeholder forum will be organised to provide a platform to exchange knowledge and promote exploitation of the new services and resources. Activities will be organised into five integrated work packages supporting the development of germplasm, improved breeding technologies, agronomic and physiological characterisation, analytical testing for nutrients and anti-nutritional components, and exploitation of the resources with key academic stakeholders.</t>
  </si>
  <si>
    <t xml:space="preserve">https://gtr.ukri.org/projects?ref=BB%2FW019221%2F1</t>
  </si>
  <si>
    <t xml:space="preserve">grant.12930078</t>
  </si>
  <si>
    <t xml:space="preserve">Thomas Wood</t>
  </si>
  <si>
    <t xml:space="preserve">National Institute of Agricultural Botany</t>
  </si>
  <si>
    <t xml:space="preserve">Non profit</t>
  </si>
  <si>
    <t xml:space="preserve">FGF2-STAB as a key component for the cell-cultured meat media</t>
  </si>
  <si>
    <t xml:space="preserve">CZK</t>
  </si>
  <si>
    <t xml:space="preserve">https://starfos.tacr.cz/en/projekty/TP03020019</t>
  </si>
  <si>
    <t xml:space="preserve">grant.9980474</t>
  </si>
  <si>
    <t xml:space="preserve">Czech Republic</t>
  </si>
  <si>
    <t xml:space="preserve">Technology Agency of the Czech Republic</t>
  </si>
  <si>
    <t xml:space="preserve">Czechia</t>
  </si>
  <si>
    <t xml:space="preserve">BBSRC Institute Strategic Programme: Food Microbiome and Health (FMH) - Partner Grant</t>
  </si>
  <si>
    <t xml:space="preserve">Globally, poor diet accounts for 10 million (22%) of all adult deaths (every year with cardiovascular disease as the leading cause. The UK has both the highest obesity rates and worst healthy life expectancy in Europe, hence the urgent need to switch to a more nutritionally balanced diet. Growing environmental, ethical and health concerns are motivating transition to plant-rich diets, a trend that will increase because of global population and climate change. The changes in our dietary habits provide unique opportunities for designing novel plantbased foods that improve health. However, this dietary shift also brings challenges as plant-based diets contain processed carbohydrate-rich foods with high glycaemic/ calorie content that tend to have lower availability of key macronutrients, such as protein, micronutrients including vitamins D and B12, and minerals such as iron, zinc and iodine. Many of the nutrient challenges associated with plant-based diets are being addressed through processes such as biofortification and new technologies such as gene-editing. There is need to understand the effect of these approaches not only on food structure and composition, but also how they impact the GI microbiome and host responses. Strategy, aims and objectives: A key, achievable strategy for addressing these challenges is to focus on the relationships between plant-based food, the GI microbiome and human health. Consequently, our overall aim is to unpick the complicated relationship between particular plant-based foods, GI microbes and health through mechanistic research into these interactions. The FMH ISP is organised into four themes (Ts) comprising targeted objectives that reflect the pathway and processing of plant-based food by the body to provide health benefits: - T1 Food structure/composition/digestion and nutrient release in the GIT; - T2 Role of plant-based foods and macro- and micro-nutrients on the GIT microbiota structure and function; - T3 How nutrients impact on the integrity and physiology of key organ systems e.g. the GIT itself, liver and brain; - T4 Exploiting the knowledge gained from our mechanistic studies to evaluate new food and microbiota-based interventions that promote or improve long-life health in proof-of-concept human trials. Our research aims to provide a mechanistic understanding of how the structure and composition of plant-based foods can be used to improve health and reduce the threat of disease through its interaction with the GIT microbiome. The ISP is organised into four themes (Ts) with state-of-the-art, specialist and enabling technologies. In T1, we will use plant-based foods that can be modified through gene editing/ biofortification/ processing to determine how these foods are digested and the released nutrients transformed and/or absorbed throughout the GIT using QIB's unique in vitro digestion and intestinal fermentation models (e.g. SHIME); food analytics; metabolomics and vitamin diagnostics. Technical Summary This project represents the University of Surrey's contribution to the delivery of the following Institute Strategic Programme Grant: BBSRC Institute Strategic Programme: Food Microbiome and Health BB/X011054/1 for which our expertise in strategies for improving vitamin D status in the general population and in 'at risk' groups is highly complementary (in Theme 4). We have over 30 years experience in designing and implementing human nutrition randomised controlled trials (RCT) to prevent micronutrient deficiency, with specific expertise in vitamin D. We have applied this knowledge extensively at the UK (H.M. Government SACN) and the EU (EFSA) level with respect to setting vitamin D dietary requirements (SACN) and tolerable upper limits for vitamin D (EFSA). Our three objectives are as follows: 1. Prepare the designed vitamin D biofortification RCT using gene-edited (GE) tomatoes and placebo tomatoes for submittance to the relevant Academic Institution(s) and NHS Ethic Committee(s) and register the Vitamin D RCT to Clinical Trials.Gov. 2. Implement the biofortified vitamin D GE tomato vs placebo tomato RCT including: (i) selection and screening of potential subjects; (ii) measurement of habitual dietary intake and lifestyle characteristics at baseline, 4 weeks and 8 weeks intervention; (iii) assessment of UVB exposure at baseline, 4 weeks and 8 weeks; (iv) determination of the health-benefits of the biofortified vitamin D GE tomato with specific reference to changes in vitamin D status and markers of calcium metabolism and musculo-skeletal health. 3. Define the benefits - (in relation to health, economic, sustainability) at the general population level and in 'at-risk' minority groups of increasing vitamin D intake and improving vitamin D status using plant-based approaches and undertake specific dietary vitamin D modelling work using 'BIG' datasets (including the UK Biobank, the UK NDNS and the USA NHANES).</t>
  </si>
  <si>
    <t xml:space="preserve">https://gtr.ukri.org/projects?ref=BB%2FX01889X%2F1</t>
  </si>
  <si>
    <t xml:space="preserve">grant.13307046</t>
  </si>
  <si>
    <t xml:space="preserve">Stephen Anthony Rushworth</t>
  </si>
  <si>
    <t xml:space="preserve">University of East Anglia</t>
  </si>
  <si>
    <t xml:space="preserve">Understanding hyphal branching in Fusarium venenatum to design improved strains</t>
  </si>
  <si>
    <t xml:space="preserve">https://gtr.ukri.org/projects?ref=BB%2FW008734%2F1</t>
  </si>
  <si>
    <t xml:space="preserve">Richard Harrison</t>
  </si>
  <si>
    <t xml:space="preserve">National Inst of Agricultural Botany</t>
  </si>
  <si>
    <t xml:space="preserve">Knowledge Transfer Network</t>
  </si>
  <si>
    <t xml:space="preserve">Improving adaptability and resilience of perennial ryegrass for safe and sustainable food systems through CRISPR-Cas9 technology - EditGrass4Food</t>
  </si>
  <si>
    <t xml:space="preserve">https://www.nmbu.no/en/research/projects/editgrass4food</t>
  </si>
  <si>
    <t xml:space="preserve">Nils Rostoks</t>
  </si>
  <si>
    <t xml:space="preserve">University of Latvia</t>
  </si>
  <si>
    <t xml:space="preserve">Latvia</t>
  </si>
  <si>
    <t xml:space="preserve">"Norwegian University of Life Sciences	
Lithuanian Research Centre for Agriculture and Forestry	
Tallinn University of Technology"</t>
  </si>
  <si>
    <t xml:space="preserve">Norwegian University of Life Sciences	
Lithuanian Research Centre for Agriculture and Forestry	
Tallinn University of Technology</t>
  </si>
  <si>
    <t xml:space="preserve">EEA and Norway Grants</t>
  </si>
  <si>
    <t xml:space="preserve">Legumes for a sufficient diet</t>
  </si>
  <si>
    <t xml:space="preserve">DIL Deutsches Institut für Lebensmitteltechnik e.V.</t>
  </si>
  <si>
    <t xml:space="preserve">Preparation of a strategy for international go-to-market for a novel food</t>
  </si>
  <si>
    <t xml:space="preserve">https://tietopankki.businessfinland.fi/anonymous/extensions/Julkisen_tutkimuksen_projektit/julkisen_tutkimuksen_projektit.html</t>
  </si>
  <si>
    <t xml:space="preserve">Original award amount is EUR 800,000.</t>
  </si>
  <si>
    <t xml:space="preserve">James had a note in the original research grants tracker that he confirmed the award amount via direct email.</t>
  </si>
  <si>
    <t xml:space="preserve">Mind the (protein) gap: applying new knowledge to improve muscle and fat cell differentiation for cultivated meat</t>
  </si>
  <si>
    <t xml:space="preserve">https://gtr.ukri.org/projects?ref=10031578</t>
  </si>
  <si>
    <t xml:space="preserve">Madeleine Carter</t>
  </si>
  <si>
    <t xml:space="preserve">Extruded and 3D printed vegan support structures for cultured meat</t>
  </si>
  <si>
    <t xml:space="preserve">No abstract</t>
  </si>
  <si>
    <t xml:space="preserve">https://foerderportal.bund.de/foekat/jsp/SucheAction.do?actionMode=view&amp;fkz=01IF22232N</t>
  </si>
  <si>
    <t xml:space="preserve">grant.13951916</t>
  </si>
  <si>
    <t xml:space="preserve">Research Association of the German Food Industry</t>
  </si>
  <si>
    <t xml:space="preserve">Federal Ministry for Economic Affairs and Climate Action (BMWK)</t>
  </si>
  <si>
    <t xml:space="preserve">31/12/2025</t>
  </si>
  <si>
    <t xml:space="preserve">STARS® x University of Leeds Better Food for All</t>
  </si>
  <si>
    <t xml:space="preserve">https://gtr.ukri.org/projects?ref=10075778</t>
  </si>
  <si>
    <t xml:space="preserve">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</si>
  <si>
    <t xml:space="preserve">Adam Thorpe</t>
  </si>
  <si>
    <t xml:space="preserve">Stars UK R&amp;D Limited</t>
  </si>
  <si>
    <t xml:space="preserve">University of Leeds</t>
  </si>
  <si>
    <t xml:space="preserve">InvestMEAT</t>
  </si>
  <si>
    <t xml:space="preserve">The investMEAT project is researching cell lines, cultured media, and biomaterials in order to scale up cultivated meat production to an industrial level. The funding will be provided through ICEX’s R&amp;D program Innova Invest. </t>
  </si>
  <si>
    <t xml:space="preserve">https://vegconomist.com/investments-finance/investments-acquisitions/biotech-foods-spanish-foreign-trade-institute/</t>
  </si>
  <si>
    <t xml:space="preserve">Original award amount is EUR 753,000.</t>
  </si>
  <si>
    <t xml:space="preserve">Spanish Foreign Trade Institute (ICEX)</t>
  </si>
  <si>
    <t xml:space="preserve">SUSTAINER: Sustainable production of structural proteins for medical and nutritional applications</t>
  </si>
  <si>
    <t xml:space="preserve">Biomaterials are materials engineered to interact with cells for medical or nutritional applications. Current biomaterials are mainly made from animal-derived proteins, limiting their customizability and raising environmental, health and cultural concerns. This project brings together synthetic biologists, materials scientists and companies active in food and biomedical technology with the aim to generate microbial cell factories based on yeast capable of the sustainable, low CO2-footprint production of natural and engineered structural proteins. We will use the proteins to engineer biomaterials enhanced with cell-instructive cues and test them as cell scaffolds for soft tissue repair and cell-based meat production.</t>
  </si>
  <si>
    <t xml:space="preserve">https://www.nwo.nl/en/projects/19739</t>
  </si>
  <si>
    <t xml:space="preserve">grant.13307338</t>
  </si>
  <si>
    <t xml:space="preserve">Using 1/6 of 4.5m as the figure, see here: https://www.tudelft.nl/en/2022/tnw/gijsje-koenderink-and-sjoerd-stallinga-receive-funding-from-nwo-open-technology-programme</t>
  </si>
  <si>
    <t xml:space="preserve">G.H. Koenderink, L. Hodes, C.M. Visser</t>
  </si>
  <si>
    <t xml:space="preserve">20/10/2027</t>
  </si>
  <si>
    <t xml:space="preserve">https://www.aramis.admin.ch/Grunddaten/?ProjectID=52687&amp;Sprache=en-US</t>
  </si>
  <si>
    <t xml:space="preserve">Federal Department of Economic Affairs Education and Research</t>
  </si>
  <si>
    <t xml:space="preserve">Fostering European cellular Agriculture for Sustainable Transition Solutions (FEASTS)</t>
  </si>
  <si>
    <t xml:space="preserve">The current food system is insufficient and unsustainable, generating 17% of the total GHG emissions for animal farming while only supplying 18% of the global calories and 37% of the global proteins. The cultured meat (CM) and cultured seafood (CSF) industry is emerging to meet the growing demand of protein with promises of lower environmental footprint. However, the current knowledge on the impact of this sector is limited, based on developments that have not happened yet and lacking important considerations such as its social impact or its adaptability to current and future demand. Current race-to-market pressures, fueled by recent market approvals overseas, highlight the need to define a roadmap that can develop the sector in an ethical, sustainable and cost-competitive way. This is a unique opportunity for an effective reorganisation of the food system to establish resilient value chains in the EU. Gathering a large set of independent food system actors, FEASTS will provide an unprecedented, unbiased and robust knowledge base for the assessment of the sustainability aspects of the CM/CSF sector by actively promoting multistakeholder engagement and co-creation activities grounded on transparent dialogue and open science practices. It will explore different production methods, product types, supply and value chains as well as business models to provide balanced solutions that are not only sustainable by design and cost-efficient, but also ethically responsible, safe and nutritious, fair and inclusive. FEASTS, designed as a think-tank, adopts a Food Systems Thinking approach and a multidimensional impact assessment including not only LCA, TEA and SLCA of CM/CSF products and their comparison to conventional counterparts but also systems dynamic modelling and integrated scenario analysis that will provide a decision support tool for informed policy- and decision-making in the EU.</t>
  </si>
  <si>
    <t xml:space="preserve">https://cordis.europa.eu/project/id/101136749</t>
  </si>
  <si>
    <t xml:space="preserve">grant.13862634</t>
  </si>
  <si>
    <t xml:space="preserve">Original award amount is EUR 7,000,000.</t>
  </si>
  <si>
    <t xml:space="preserve">Here is a GFI Europe blog about the project: https://gfieurope.org/blog/meet-the-researcher-expanding-the-tentacles-of-alternative-seafood-research-with-frederico-ferreira/</t>
  </si>
  <si>
    <t xml:space="preserve">Frederico Ferreira</t>
  </si>
  <si>
    <t xml:space="preserve">Bioengineering</t>
  </si>
  <si>
    <t xml:space="preserve">iBB - Institute for Biosciences and Bioengineering, Instituto Superior Técnico, University of Lisbon</t>
  </si>
  <si>
    <t xml:space="preserve">STICHTING NEW HARVEST NETHERLANDS, BRUNO CELL S.R.L., FRAUNHOFER GESELLSCHAFT ZUR FORDERUNG DER ANGEWANDTEN FORSCHUNG EV, Wageningen University and Research, NORD UNIVERSITET, S2AQUACOLAB, Technical University of Munich, UNIVERZA V MARIBORU, Austrian Centre of Industrial Biotechnology (acib), VITAL MEAT, CULTIMATE FOODS UG, GOURMEY, EURA AG, ECOINNOVAZIONE, RESPECTfarms, Aarhus University, Collaborating centre on sustainable consumption and production gGmbH, UNIVERSITA DI BOLOGNA, Lund University, UNIVERSIDAD DEL PAIS VASCO, MADL LUKAS, Safe Food Advocacy Europe, AGRICOLTURA CELLULARE ITALIA, ASTIKI MI KERDOSKOPIKI ETAIREIA CELLULAR AGRICULTURE GREECE, CELLAGRI PORTUGAL, CELLAG GERMANY, AGRICULTURE CELLULAIRE FRANCE, EIT FOOD CLC NORTH, SHAKE-UP FACTORY, RUGENWALDER MUHLE CARL MULLER GMBH &amp; CO. KG, AIDISA</t>
  </si>
  <si>
    <t xml:space="preserve">https://ec.europa.eu/info/funding-tenders/opportunities/portal/screen/opportunities/topic-details/horizon-cl6-2023-farm2fork-01-13</t>
  </si>
  <si>
    <t xml:space="preserve">Nutritional physiological evaluation of a diet rich in legumes in the nutritional pattern approach (planetary health concept) and in comparison to the western dietary pattern in a population at risk for cardiovascular and neurodegenerative diseases</t>
  </si>
  <si>
    <t xml:space="preserve">Protein supply between biopolitics and biotechnology. A sociological research project for the development of a sustainable and health-promoting nutritional culture (ProteinBioTech)</t>
  </si>
  <si>
    <t xml:space="preserve">Technische Universität Darmstadt</t>
  </si>
  <si>
    <t xml:space="preserve">Env/impact assessments, other</t>
  </si>
  <si>
    <t xml:space="preserve">Collaborative project: Matured cheese alternatives based on recombinant milk proteins and vegetable fats (REALKAE) - Subproject B</t>
  </si>
  <si>
    <t xml:space="preserve">Muscle generator - The key to unlock scalable and affordable cultivated meat production</t>
  </si>
  <si>
    <t xml:space="preserve">https://www.aramis-a.admin.ch/Texte/?ProjectID=48959</t>
  </si>
  <si>
    <t xml:space="preserve">Erin removed from external view on 10/1/24 because the URL link is broken and no other link to the award could be found. Many details are missing from the information we have.</t>
  </si>
  <si>
    <t xml:space="preserve">ZHAW</t>
  </si>
  <si>
    <t xml:space="preserve">Mirai Foods AG, Innosuisse</t>
  </si>
  <si>
    <t xml:space="preserve">Model demonstration network to expand and improve the cultivation and utilization of grain legumes in Germany</t>
  </si>
  <si>
    <t xml:space="preserve">Landesbetrieb Landwirtschaft Hessen</t>
  </si>
  <si>
    <t xml:space="preserve">Networking</t>
  </si>
  <si>
    <t xml:space="preserve">BioBetter growth factor production in tobacco plants - part 2</t>
  </si>
  <si>
    <t xml:space="preserve">https://gfieurope.org/blog/cultivated-meat-innovation-challenge-winners-unlock-e1-8-million-in-additional-funding/</t>
  </si>
  <si>
    <t xml:space="preserve">Original award amount estimated as EUR 600,000, which is 1/3 of the total EUR 1,800,000 awarded to three projects.</t>
  </si>
  <si>
    <t xml:space="preserve">Amit Yaari</t>
  </si>
  <si>
    <t xml:space="preserve">BioBetter</t>
  </si>
  <si>
    <t xml:space="preserve">Israel</t>
  </si>
  <si>
    <t xml:space="preserve">EIT Food </t>
  </si>
  <si>
    <t xml:space="preserve">13/9/2025</t>
  </si>
  <si>
    <t xml:space="preserve">3D Bio-Tissues Ltd growth factors from agroforestry byproducts - part 2</t>
  </si>
  <si>
    <t xml:space="preserve">Che Connon</t>
  </si>
  <si>
    <t xml:space="preserve">3D Bio-Tissues Ltd</t>
  </si>
  <si>
    <t xml:space="preserve">New Harvest, QKine</t>
  </si>
  <si>
    <t xml:space="preserve">Tailor-made ingredients 1-2 - Joint project: "Citizen Science meets Biodiversity: Improving soy product quality and environmental stability under increased biodiversity (1000Gaerten)</t>
  </si>
  <si>
    <t xml:space="preserve">Chickpeas from regional production in food value chains – the example of the Berlin/Brandenburg model region (CiceRegio)</t>
  </si>
  <si>
    <t xml:space="preserve">Hochschule für nachhaltige Entwicklung Eberswalde</t>
  </si>
  <si>
    <t xml:space="preserve">Bioeconomy International 2017: SmartProSun – extraction and evaluation of functional proteins, fiber and polyphenols from sunflower flour</t>
  </si>
  <si>
    <t xml:space="preserve">Fraunhofer-Institut für Verfahrenstechnik und Verpackung (IVV)</t>
  </si>
  <si>
    <t xml:space="preserve">Öko-BeratungsGesellschaft mbH</t>
  </si>
  <si>
    <t xml:space="preserve">High protein plant-based semi-hard cheese (PBC): Sustainable production by a traditional dairy company through alternative raw materials and technology</t>
  </si>
  <si>
    <t xml:space="preserve">In response to the increasing demand for more sustainable and nutritious foods, Emmi in collaboration with HES-SO VS, aims to improve the overall quality of PBC using plant proteins from pulses as the basic raw material and transform it by all-in-one processing on a twin screw extruder platform.</t>
  </si>
  <si>
    <t xml:space="preserve">https://www.aramis.admin.ch/Texte/?ProjectID=48459</t>
  </si>
  <si>
    <t xml:space="preserve">grant.9659332</t>
  </si>
  <si>
    <t xml:space="preserve">Michael Beyrer</t>
  </si>
  <si>
    <t xml:space="preserve">Zurich University of Applied Sciences</t>
  </si>
  <si>
    <t xml:space="preserve">David Nemecek</t>
  </si>
  <si>
    <t xml:space="preserve">Emmi Schweiz AG, Innosuisse</t>
  </si>
  <si>
    <t xml:space="preserve">Modular multi-die extrusion platform for meat-analogues</t>
  </si>
  <si>
    <t xml:space="preserve">https://www.aramis.admin.ch/Grunddaten/?ProjectID=50119&amp;Sprache=en-US</t>
  </si>
  <si>
    <t xml:space="preserve">grant.10055988</t>
  </si>
  <si>
    <t xml:space="preserve">Mirko Meboldt</t>
  </si>
  <si>
    <t xml:space="preserve">Model demonstration network to expand and improve the cultivation and utilization of grain legumes in Germany; Subproject conventional value chain management, human nutrition</t>
  </si>
  <si>
    <t xml:space="preserve">Fachhochschule Südwestfalen</t>
  </si>
  <si>
    <t xml:space="preserve">Use of genetic resources of the narrow-leaved lupine (Lupinus angustifolius L.) to ensure alkaloid poverty for feed and food use</t>
  </si>
  <si>
    <t xml:space="preserve">Julius Kühn-Institut Bundesforschungsinstitut für Kulturpflanzen (JKI)</t>
  </si>
  <si>
    <t xml:space="preserve">Influence of passage grinding and air sifting on the quality, safety and functionality of protein-enriched flour fractions of domestic grain legumes (field beans, peas, lentils) for use in baked goods and pasta</t>
  </si>
  <si>
    <t xml:space="preserve">Max Rubner-Institut (MRI), Bundesforschungsinstitut für Ernährung und Lebensmittel</t>
  </si>
  <si>
    <t xml:space="preserve">Roslin Technologies: Leading the Science of Sustainable Protein by Developing Tools for Cellular Agriculture</t>
  </si>
  <si>
    <t xml:space="preserve"> Roslin Technologies Limited (RTL) is a cutting-edge biotech company that aims to transform science innovations to provide solutions to global challenges in agriculture and animal health. The company, a joint venture between the University of Edinburgh and two investment partners with strong global networks, is based in the Midlothian Science Zone, one of the largest animal science innovation hubs in the world. This locale ensures that RTL is excellently placed to exploit ground-breaking innovations in the fields of animal science and biotechnology.
 The company's modus operandi is to translate ground-breaking innovations from academia to develop practical solutions that help address the increasing global protein gap and, in so doing, deliver products and services that support more sustainable food production. With this in mind, the company has three main technological platforms: Innovative Breeding Programmes, Animal Health Solutions and Animal Cells. The latter encompasses state-of-the-art technologies specialising in extracting, bio-banking, developing and cultivating animal stem cells. A key strand of this platform is the generation of animal induced pluripotent stem (iPS) cells. These are special types of cells, generated from mature cells, that have capacity for immortality and the ability to be differentiated into an array of target cell types. As such, iPS cells can be exploited for a wide range of purposes, including stem cell therapies and, now, cultured meat production.
 RTL's fully-validated, IP-protected iPS cell lines for livestock and companion animals have been shown to be capable of differentiation into a range of key cell types (muscle, fat, bone, cartilage), providing evidence of their potential commercial application. In particular, the livestock iPS cell lines show considerable promise to supply a much-needed resource for the rapidly-growing global Cellular Agriculture sector. Successful early work has been completed at laboratory scale and the company now has several commercial Cellular Agriculture clients identified, some of whom are already developing RTL's pig iPS cell lines into cultured meat prototypes. RTL is now poised to significantly scale up this iPS cell platform, including widening its animal species offering and tackling key bottleneck steps for the sector, such as reproducible culture scale-up for cost-effective cultured meat generation. This project supports the key steps in taking RTL's iPS cell platform technologies to the next stage in which the company will be poised to service the growing number of international cultured meat companies that have been launched in the flourishing Cellular Agriculture sector in the last 2-3 years.</t>
  </si>
  <si>
    <t xml:space="preserve">https://gtr.ukri.org/projects?ref=10014258#/tabOverview</t>
  </si>
  <si>
    <t xml:space="preserve">grant.14050312</t>
  </si>
  <si>
    <t xml:space="preserve">Karen Fairlie-Clarke</t>
  </si>
  <si>
    <t xml:space="preserve">Nutritional aspects of traditional and innovative legume products</t>
  </si>
  <si>
    <t xml:space="preserve">Max Rubner-Institut Bundesforschungsinstitut für Ernährung und Lebensmittel</t>
  </si>
  <si>
    <t xml:space="preserve">Greener, more sustainable platforms for high-value recombinant protein production</t>
  </si>
  <si>
    <t xml:space="preserve">Colin Robinson</t>
  </si>
  <si>
    <t xml:space="preserve">University of Kent</t>
  </si>
  <si>
    <t xml:space="preserve">Landesforschungsanstalt für Landwirtschaft und Fischerei Mecklenburg-Vorpommern</t>
  </si>
  <si>
    <t xml:space="preserve">Is cultured meat a threat or opportunity for UK farmers?</t>
  </si>
  <si>
    <t xml:space="preserve">https://www.cranfield.ac.uk/research-projects/is-cultured-meat-a-threat-or-opportunity-for-uk-farmers</t>
  </si>
  <si>
    <t xml:space="preserve">Original award amount is GBP 523,355.</t>
  </si>
  <si>
    <t xml:space="preserve">Erin removed from external view on 10/1/24 because the URL link is broken and no other link to the award could be found.</t>
  </si>
  <si>
    <t xml:space="preserve">David Rose</t>
  </si>
  <si>
    <t xml:space="preserve">Sustainable Agricultural Systems</t>
  </si>
  <si>
    <t xml:space="preserve">Cranfield University</t>
  </si>
  <si>
    <t xml:space="preserve">Royal Agricultural University, The Land Workers' Alliance, Green Alliance, The Good Food Institute Europe, "Food, Farming and Countryide Commission", Soil Association, Innovation for Agriculture, Multus Biotechnology Limited, RSPCA, J Sainsbury Plc, The Breakthrough Institute, Pasture-Fed Livestock Association, Cellular Agriculture Ltd, Campden BRI, ProVeg International, Agriculture and Horticulture Dev Board, Linking Env and Farming LEAF, AiiM Partners, Aleph Farms, Energineering Solutions Ltd, New Harvest</t>
  </si>
  <si>
    <t xml:space="preserve">From waste to taste - optimizing plant-based milk alternatives using upcycled oats (Innolink: 101.492 IP-LS)</t>
  </si>
  <si>
    <t xml:space="preserve">We aim to commercialize a plant-based milk alternative that has the same nutritional value, taste and texture as cow milk. This will be accomplished by a combination of upcycling, to reduce food waste, and AI-based ingredient selection, based on algorithmic screening of plant molecule databases.</t>
  </si>
  <si>
    <t xml:space="preserve">https://www.aramis.admin.ch/Grunddaten/?ProjectID=50850&amp;Sprache=en-US</t>
  </si>
  <si>
    <t xml:space="preserve">grant.12977330</t>
  </si>
  <si>
    <t xml:space="preserve">Katrien De Bock</t>
  </si>
  <si>
    <t xml:space="preserve">Surface-active algae protein isolates for vegan and sustainable fine baked goods</t>
  </si>
  <si>
    <t xml:space="preserve">https://foerderportal.bund.de/foekat/jsp/SucheAction.do?actionMode=view&amp;fkz=01IF23066N</t>
  </si>
  <si>
    <t xml:space="preserve">grant.13952541</t>
  </si>
  <si>
    <t xml:space="preserve">28/2/2026</t>
  </si>
  <si>
    <t xml:space="preserve">DuckWeed - The development of a raw material of the future</t>
  </si>
  <si>
    <t xml:space="preserve">Verein zur Förderung agrar- und stadtökologischer Projekte (ASP) e. V.</t>
  </si>
  <si>
    <t xml:space="preserve">Sächsisches Landesamt für Umwelt, Landwirtschaft und Geologie</t>
  </si>
  <si>
    <t xml:space="preserve">Joint project: Upgrading pulses and their side streams to vegan products through fermentation with edible mushrooms (MycoPea) - Subproject A</t>
  </si>
  <si>
    <t xml:space="preserve">https://foerderportal.bund.de/foekat/jsp/SucheAction.do?actionMode=view&amp;fkz=281A811A21</t>
  </si>
  <si>
    <t xml:space="preserve">14/4/2027</t>
  </si>
  <si>
    <t xml:space="preserve">Joint project: Process development for the production of functional oat protein concentrates (funHapro) - subproject A</t>
  </si>
  <si>
    <t xml:space="preserve">https://foerderportal.bund.de/foekat/jsp/SucheAction.do?actionMode=view&amp;fkz=281A807A21</t>
  </si>
  <si>
    <t xml:space="preserve">Hochschule Anhalt</t>
  </si>
  <si>
    <t xml:space="preserve">15/11/2026</t>
  </si>
  <si>
    <t xml:space="preserve">Germany’s Kynda Secures Government Grant for Mycelial Protein Production Services</t>
  </si>
  <si>
    <t xml:space="preserve">https://vegconomist.com/fungi-mushrooms-mycelium/germany-kynda-government-grant-mycelial-protein-production-services/?utm_source=foodtechweekly.beehiiv.com&amp;utm_medium=newsletter&amp;utm_campaign=foodtech-weekly-174-by-daniel-s-ruben</t>
  </si>
  <si>
    <t xml:space="preserve">Original award amount is EUR 500,000.</t>
  </si>
  <si>
    <t xml:space="preserve">Daniel MacGowan von Holstein</t>
  </si>
  <si>
    <t xml:space="preserve">Kynda</t>
  </si>
  <si>
    <t xml:space="preserve">Franziskus Schnabel</t>
  </si>
  <si>
    <t xml:space="preserve">Kynda, German Institute for Food Technology eV (DIL)</t>
  </si>
  <si>
    <t xml:space="preserve">20/11/2024</t>
  </si>
  <si>
    <t xml:space="preserve">Cicero – developing chickpea as a novel source of domestic UK protein</t>
  </si>
  <si>
    <t xml:space="preserve">Research will focus on the cool-season legume, chickpea (Cicer arietinum). In common with other nitrogen-fixing legumes, the crop has the potential to reduce on-farm fertiliser requirements and the high greenhouse gas emissions associated with fertiliser production and application. Current domestic legume production is mainly restricted to field beans and combinable peas, which are not necessarily optimised for human consumption, with a large proportion destined for animal feed. In contrast, chickpea is familiar to our food industry but is rarely grown in the UK, largely due to the scarcity of adapted varieties and the lack of knowledge both growers and advisors have of the crop. UK food companies annually import 60,000 tonnes for products including stand-alone tins, pouches of cooked chickpeas and packets of dried pulses, alongside use as ingredient in ready meals and bakery products.Cicero will explore the possibility of displacing imported chickpeas through domestic production.
Project lead and NIAB’s Head of Breeding Dr Phil Howell explains that Cicero will take a muti-faceted approach. Variety trials and agronomy testing will be carried out by NIAB and specialist seed company Premium Crops, ranging from small plots up to field-scale evaluation. End-use quality assessments will be undertaken by Norfolk-based grower Place UK, who has successfully grown chickpea crops to sell through its vertically-integrated food ingredients business.
“Whilst the two-year project timescale prohibits a full breeding cycle, new populations will be advanced rapidly through the glasshouse, with selections ready for their first field evaluation by spring 2025. NIAB has already assembled a diverse collection of chickpea material, which will be evaluated in field nurseries over the project duration. These will be complemented by a unique population of novel induced variants developed together with biotechnology start-up Viridian Seeds. These new sources of diversity will all feed into a second cycle of new crosses to kickstart the development of UK-adapted material,” says Dr Howell.</t>
  </si>
  <si>
    <t xml:space="preserve">https://www.aafarmer.co.uk/ag-tech/biotechnology/new-feasibility-study-on-domestic-chickpea-production.html</t>
  </si>
  <si>
    <t xml:space="preserve">need to check (grant.14050923?)</t>
  </si>
  <si>
    <t xml:space="preserve">Original award amount is GBP 500,000.</t>
  </si>
  <si>
    <t xml:space="preserve">Phil Howell</t>
  </si>
  <si>
    <t xml:space="preserve">National Institute of Agricultural Botany (NIAB)</t>
  </si>
  <si>
    <t xml:space="preserve">Premium Crops, Place UK, Viridian Seeds</t>
  </si>
  <si>
    <t xml:space="preserve">Department for Environment, Food and Rural Affairs (DEFRA)</t>
  </si>
  <si>
    <t xml:space="preserve">23/7/2025</t>
  </si>
  <si>
    <t xml:space="preserve">Ocean Bite</t>
  </si>
  <si>
    <t xml:space="preserve">Purpose and goal: The objectives of the project were: (1) Design a lab scale fabrication process; (2) Produce a seaweed-based food prototype with a texture that reassembles meat and/or seafoods; (3) Investigate the structure/morphology formation and related product characteristics; (4) Derive guidelines to scale up the process and product development. The project fulfilled the overall objectives,various prototypes have been produced that led to the identification of a plant-based seafood as targeted product. Two processes were tested and identified as potential for scaling-up. Expected results and effects: Prototypes, containing seaweed suspensions and extract, and plant proteins, were produced using a lab scale fabrication process. Their mechanical and sensory properties led to the identification of targeted products, which are plant-based seafood. Plant proteins suitable for this application were classified, based on their solubility and sensory properties. Two scale up processes were tested, and their challenges and benefits were assessed. Further development of the product prototypes and processes is needed to optimize the sensory perception and nutritional composition. Approach and implementation: The project was managed by RISE Research Institutes of Sweden AB. The work was performed experimentally, and it was organized in two work packages: WP1 process design and WP2 product design. The methodology consists in combining aspects like raw materials and products properties, process, and sensory characteristics. Process and product design scientists from RISE worked together with experts in seafood analogues from Hooked Foods AB.</t>
  </si>
  <si>
    <t xml:space="preserve">https://www.vr.se/swecris.html#/project/2021-03590_Vinnova</t>
  </si>
  <si>
    <t xml:space="preserve">grant.9970153</t>
  </si>
  <si>
    <t xml:space="preserve">Texturisation methods, End product formulation</t>
  </si>
  <si>
    <t xml:space="preserve">Collaborative project: In-vitro production of smart fish proteins: Establishment of fat precursor cells from salmon-like fish for the development of sustainable, high-quality fish foods (INVERS) - subproject A</t>
  </si>
  <si>
    <t xml:space="preserve">https://foerderportal.bund.de/foekat/jsp/SucheAction.do?actionMode=view&amp;fkz=281A818A21</t>
  </si>
  <si>
    <t xml:space="preserve">Bluu GmbH</t>
  </si>
  <si>
    <t xml:space="preserve">30/9/2026</t>
  </si>
  <si>
    <t xml:space="preserve">Basics for optimizing the Protein composition of Potato and Pea protein hydrolysates regarding the bitterness and "Regulation of satiety"</t>
  </si>
  <si>
    <t xml:space="preserve">Vegetable proteins and their hydrolysates are increasingly used in the food industry due to their lower ecological footprint. From a nutritional point of view, proteins and their hydrolysates also offer numerous advantages over carbohydrates and fats: For example, it has been shown in human studies that isocaloric administration of a protein-rich meal induces longer satiety than administration of other macronutrients. In addition, hydrolyzates lead to faster saturation than intact proteins. An increase in the feeling of satiety leads to a reduced energy intake and thus supports the maintenance of a healthy body weight. A disadvantage of protein-rich meals, however, is that they are often accompanied by a bitter off-taste, which limits their use depending on the food application.
The aim of the project is to identify and quantify the compounds responsible for the bitter bad taste at the molecular level.
The results open up the possibility for SMEs to develop foods based on pea and potato proteins, their hydrolysates or their amino acid profiles and to open up new markets.</t>
  </si>
  <si>
    <t xml:space="preserve">Grundlagen zur Optimierung der Proteinzusammensetzung von Kartoffel- und Erbsenproteinhydrolysaten bezüglich der Bitterkeit und Regulation der Sättigung</t>
  </si>
  <si>
    <t xml:space="preserve">grant.9736427</t>
  </si>
  <si>
    <t xml:space="preserve">Ernährungsindustrie</t>
  </si>
  <si>
    <t xml:space="preserve">Technical University of Munich; Leibniz-Institute for Food Systems Biology at the Technical University of Munich</t>
  </si>
  <si>
    <t xml:space="preserve">ProUpSide removing antinutritionals for protein upgrading in agroindustrial side streams</t>
  </si>
  <si>
    <t xml:space="preserve">Purpose and goal: Potato protein concentrate is currently produced as a side-product from potato starch production. This protein source is usually not used for food as it contains toxic antinutritional compounds. The goal of the project was to produce improved potato protein concentrates with reduced levels of antinutritional compounds using commercial potato starch production side streams. We were able to reduce compounds of most concern by almost 90% and a second class to about 55% compared to the usual level. This was done using processes that could be integrated into current production. Expected results and effects: The project resulted in improved potato protein concentrates from side streams of commercial potato starch production, with considerably lower levels of compounds that cause health concerns. These reductions were accomplished in a lab scale process mimicking current commercial production. It is expected that the developed clean-up step can be incorporated into future treatment of potato starch production side streams to provide a new source of locally produced food-grade protein from potatoes. Approach and implementation: The project utilized custom resins from partner Redstone Separations AB to treat commercial potato starch production side streams from partner the Swedish Starch Producers Association. These resins were used to remove undesirable compounds from the side streams before protein in them was recovered. All processes were performed in a way that is compatible with current potato protein production. This recovered potato protein concentrate showed up to almost 90% reduction in undesirable compounds compared to the untreated product.</t>
  </si>
  <si>
    <t xml:space="preserve">https://www.vinnova.se/en/p/proupside--removing-antinutritionals-for-protein-upgrading-in-agroindustrial-side-streams/</t>
  </si>
  <si>
    <t xml:space="preserve">grant.9970257</t>
  </si>
  <si>
    <t xml:space="preserve">Original award amount is SEK 492,958.</t>
  </si>
  <si>
    <t xml:space="preserve">Anders Carlsson</t>
  </si>
  <si>
    <t xml:space="preserve">Plant Breeding</t>
  </si>
  <si>
    <t xml:space="preserve">Redstone Separations AB, Swedish Starch Producers Association</t>
  </si>
  <si>
    <t xml:space="preserve">Joint project: Development of reduced-fat foods using microparticulated vegetable proteins (MiPro) - Subproject A</t>
  </si>
  <si>
    <t xml:space="preserve">https://foerderportal.bund.de/foekat/jsp/SucheAction.do?actionMode=view&amp;fkz=281A603A19</t>
  </si>
  <si>
    <t xml:space="preserve">grant.9463437</t>
  </si>
  <si>
    <t xml:space="preserve">Fraunhofer Society</t>
  </si>
  <si>
    <t xml:space="preserve">31/3/2024</t>
  </si>
  <si>
    <t xml:space="preserve">PROSPER - PROduction of Spirulina Protein through PEF-Enhanced Recovery</t>
  </si>
  <si>
    <t xml:space="preserve">Moving to alternative proteins is an essential part of achieving Net Zero in the UK. We are already making huge progress - Over the last decade, meat consumption in the UK has fallen 17% and alternative protein consumption has doubled. This is great news for both the environment and people's health.
However, it is not a simple task to replace animal protein across manufactured food. First, proteins need certain properties: they must be soluble and able to gel, emulsify or foam, to act as effective food ingredients. They also need to be cost-effective, nutritious and have low environmental impact. This is not currently the case. The vast majority of alternative protein is imported and, in the case of soya, is produced at huge expense to the environment. At Arborea, we believe UK food manufacturers should have access to nutritious alternative proteins, locally produced, with the properties they need to deliver the products consumers want.
Spirulina is a highly nutritious microalgae, high in soluble protein, which offers a solution to this challenge. However, current processing techniques result in an extract with strong colour and flavour, requiring further expensive and only partially effective postprocessing. As such, despite its many advantages, microalgae have achieved limited success as a mass-market food ingredient.
In the PROSPER project, Arborea, a developer of cutting-edge bioprocesses, is collaborating with world-leading experts in food production, Campden BRI, to tackle this challenge. We have identified a novel pre-processing technique with the potential to eliminate flavour and colour issues. However, although this technique is well-established in other fields, limited research has been done into its use with microalgae. With support from Innovate UK/UKRI, we can capitalise on the promise of this rapid, low-cost technology for producing high purity soluble proteins. We will use this project to optimise the growth, pre-treatment and extraction processes to maximise yield and minimise cost.
Arborea has developed the world's first 'breathing' bioreactor -- the BioSolar Leaf -- which significantly reduces production costs of microalgae. Project success will add the remaining piece of the jigsaw to complete an end-to-end protein manufacturing solution suitable for use in the UK, delivering highly nutritious, low-cost and consumer acceptable soluble proteins with almost zero environmental impact.
By producing directly and licensing the technology, PROSPER will create a multi-million pound UK value chain, displace environmentally unsound protein imports and provide UK consumers with a high quality, nutritious and affordable home-grown alternative protein.</t>
  </si>
  <si>
    <t xml:space="preserve">https://gtr.ukri.org/projects?ref=10073961</t>
  </si>
  <si>
    <t xml:space="preserve">grant.14048254</t>
  </si>
  <si>
    <t xml:space="preserve">Julian Melchiorri</t>
  </si>
  <si>
    <t xml:space="preserve">Arborea</t>
  </si>
  <si>
    <t xml:space="preserve">Tools and technologies for cultured meat production</t>
  </si>
  <si>
    <t xml:space="preserve">World meat consumption has tripled since 1970 and will increase a further 76% by 2050\. In the future, there will not be enough meat available for the world's population. This shortage will hit low-and-middle-income countries, where meat is an important but limited source of nutrient-dense protein, vitamins and minerals, especially hard. Over 80 billion animals are slaughtered annually for meat, the majority being factory-farmed. Increasing livestock production isn't the answer as this promotes climate change, environmental destruction and infectious disease spread. Livestock farming generates 15% of human-made greenhouse gas (GHG) and will contribute 0.5°C to global temperatures if continued. Cattle-ranching and animal-feed crops also account for most agricultural water use and 85% of rainforest clearance. Overcrowding and poor welfare standards help spread diseases, including swine and avian flu, and are major contributors to human food poisoning. Excessive livestock antibiotic use is fueling increases in antibiotic-resistant bacteria which render antibiotic medication useless: Alarmingly, antibiotic-resistant pathogens are forecast to cause greater mortality than cancer by 2050\. Cultivated meat (CM) grows animal cells in bioreactors to produce a product similar to conventional meat but without the need for any animal suffering. CM will also use fewer resources (energy, land and water) and produces less GHG, counteracting environmental issues. Since CM only requires a few cells from animals, it eliminates farming welfare issues and antibiotic use. CM, which appeals to consumers considerate of these issues, is undertaken in carefully controlled, sterile conditions vastly improving food safety. The global US$246.9Mn CM market is set to increase to $6.8Bn by 2030\. However, to achieve this forecast, this new approach needs to produce meat at a scale before it can then address future meat shortages. The first CM burger cost $330,000, demonstrating edible CM products are possible albeit at very high costs. The challenge is to make CM in large amounts, using a cost-effective and market-competitive process. Millions of tons of meat are consumed annually, so this will ultimately necessitate the development of massive (\&gt;10,000L) bioreactors capable of generating very high-density cell cultures. This requires cells capable of growing under demanding conditions and carefully balancing nutrients and cell-toxic by-products. These nutrients (such as growth factors) need to be cheap, well-characterised and perform consistently. This project combines the skills and capabilities of three UK universities and four UK companies developing livestock cell lines, recombinant protein technologies, hydrogels and bioreactor components to collaboratively develop technological solutions for CM production.</t>
  </si>
  <si>
    <t xml:space="preserve">grant.14050074</t>
  </si>
  <si>
    <t xml:space="preserve">Exact award amount unknown. Estimate comes from assumption that all 32 projects funded from a total pool of GBP 15,600,000 received an equal portion of GBP 487,500.</t>
  </si>
  <si>
    <t xml:space="preserve">Michael Jones</t>
  </si>
  <si>
    <t xml:space="preserve">Cell Guidance Systems Limited</t>
  </si>
  <si>
    <t xml:space="preserve">Aston University, MarraBio Limited, University of Manchester, Unicorn Biotechnologies Ltd, University of Birmingham, Zimmer and Peacock Limited</t>
  </si>
  <si>
    <t xml:space="preserve">Cell line development, Bioprocess design</t>
  </si>
  <si>
    <t xml:space="preserve">Next-generation adaptive evolution toolkit to increase protein production in precision fermentation</t>
  </si>
  <si>
    <t xml:space="preserve">For novel low-emission foods to reach customers in a way that is affordable and widely accessible (and therefore maximise the positive impact they can have on reducing the carbon emissions and climate impact of our agriculture systems) one of the major challenges that needs to be overcome is **price parity.** After taste, cost is the greatest blocker to public acceptance and adoption of alternative proteins. It is therefore vital that we develop production methods and technologies that decrease the manufacturing cost of novel low-emission proteins to allow them to compete on the market with incumbent products. These incumbent products (e.g. traditional cow's milk, beef, hen's eggs, etc) have decades or centuries of infrastructure and economies-of-scale behind them. Competing with these industries is no small challenge, but a challenge that is vitally necessary to overcome as we push towards Net Zero Ambitions. At Evolutor, our focus is on the production of food proteins using microbes (yeast and bacteria) in precision fermentation systems. Much like how we use yeast to convert sugar into alcohol for beer and wine production, we can engineer these microbial strains to produce meat, dairy and egg proteins. There are many companies around the world already focussed on doing just this (e.g. Better Dairy, Motif Foodworks, Imagindairy, The Every Company and Onego Bio), but they all face a major challenge: how to maximise the protein production capabilities of their precision fermentation manufacturing to drive down cost and hit price parity _v.s._ traditional proteins. Through the innovations of this project, Evolutor and The University of Sheffield are developing **Protein-Infinity:** a microbe optimisation toolkit that will solve this problem in an entirely new way that is **protein-agnostic** and can be applied across diverse precision fermentation sectors to **maximise the project's commercial value and climate impact.** We are doing this by linking protein production to evolutionary selection pressures, creating environments where _"survival-of-the-fittest"_ means _"survival-of-the-highest-protein-producer"_. This strategy and the ground-breaking way in which Protein-Infinity will execute it will rapidly accelerate the commercial viability of precision fermentation UK-wide and beyond. We aim to double protein production, driving novel proteins towards price parity and moving our economy closer to a Bio-Industrial Revolution: producing food proteins that are **affordable, delicious, nutritious, sustainable** and **accessible by all**.</t>
  </si>
  <si>
    <t xml:space="preserve">grant.14051005</t>
  </si>
  <si>
    <t xml:space="preserve">Joe Price</t>
  </si>
  <si>
    <t xml:space="preserve">Evolutor Limited</t>
  </si>
  <si>
    <t xml:space="preserve">University of Sheffield</t>
  </si>
  <si>
    <t xml:space="preserve">High potency food grade growth factor mimics for low cost cultivated meat manufacture</t>
  </si>
  <si>
    <t xml:space="preserve">Cultivated meat promises to revolutionize the food industry by providing a more ethical and greener alternative to animal products, whilst retaining the same taste and texture. However, these products are being held back by the technical complexity of production and, in particular, the high cost of materials used in their manufacture. It is estimated that costs need to be reduced by 99% or more. A major contributor to these costs are the proteins used in production which supply biological cues to stimulate growth and ensure that the right type of meat cells are produced. Unless the cost of these proteins can be reduced by 99% or more, the sector will not be economically viable. MarraBio has have developed a radically new way to make alternatives to the proteins currently used. Its materials can be made in very large quantities, and at a cost which will make cultivated meat economically viable. So far, MarraBio has produced "research grade" versions of the products and have preliminary evidence that they will meet the needs of the sector. In the project, MarraBio will demonstrate that the products can be produced at scale and at a quality where they will meet the regulatory requirements needed for their use in cultivated meat production. If successful, by the end of the project we will be in a position to launch our products on this rapidly growing market. To achieve these aims MarraBio are partnering with the Centre for Process Innovation (CPI) and Aelius Biotech. CPI is a leader in protein manufacturing and analysis and will assist MarraBio in refining its manufacturing techniques to provide tight control over product quality and potency. Aelius Biotech have developed a model of the gut that predicts how ingested substances will affect the digestive system. Their involvement will allow MarraBio to test how their products are processed on ingestion - a critical safety step -- whilst allowing Aelius to further develop their technology towards the needs of this sector. With all participants based in North East England, their collaboration will support the rapidly growing cultivated meat sector in the region. The outcomes of the project will have a significant impact on the ability to economically produce cultivated meat. This will provide a high quality, potent product that simplifies and reduces the cost of cultivated meat manufacture.</t>
  </si>
  <si>
    <t xml:space="preserve">grant.14050684</t>
  </si>
  <si>
    <t xml:space="preserve">Daniel Peters</t>
  </si>
  <si>
    <t xml:space="preserve">MarraBio Limited</t>
  </si>
  <si>
    <t xml:space="preserve">Aelius Biotech Limited, Centre for Process Innovation (CPI) Limited</t>
  </si>
  <si>
    <t xml:space="preserve">Unlocking the next-generation protein expression systems for animal-free cheese production</t>
  </si>
  <si>
    <t xml:space="preserve"> The demand for dairy products is growing globally due to the rising income, increasing population, and dietary changes. Concerningly, dairy production is one of the biggest methane emitters in the world. Animal-free alternatives for dairy products have the potential to reduce pollution by offering sustainable production practices. However, while plant-based alternatives for milk have nearly reached price, taste, and convenience parity to animal-derived milk, plant-based cheese still fails to offer an adequate consumer experience.
 In the last 10 years, the potential use of precision fermentation -- a process where genetically modified microorganisms are used as cell factories to produce desired biomolecules, such as pharmaceuticals and biofuels -- has been investigated for food protein production. While in principle precision fermentation offers a sustainable and ethical way of producing food proteins, to date no major alternative protein company has been able to offer affordable and scalable solutions to casein -- the main cheese protein -- production.
 We argue that the lack of progress is mainly due to the attempts to genetically engineer conventional industrial microorganisms such as _E. coli_ and _S. cerevisiae_ that require multiple modifications to utilise cheap food sources, withstand environmental pressures in bioreactors, and produce complex proteins. Indeed, since 2014 the alternative protein sector already saw great improvements after expanding optimisation efforts to less popular but scientifically well-established species of _P. pastoris_ and _T. reesei_. We propose that even larger gains can be achieved by adopting unconventional yeast species that might be naturally more suitable for food production but currently lack the necessary genetic engineering tools.
 We aim to develop the next-generation microbial factories using unconventional microbial species. Our methodology will be validated in pilot-scale bioreactors evaluating the novel strains for the industrial production of casein proteins. This proof-of-principle project will serve the whole precision fermentation sector by massively expanding the choice of protein expression systems, tailored for industrial level scalability.</t>
  </si>
  <si>
    <t xml:space="preserve">grant.14052838</t>
  </si>
  <si>
    <t xml:space="preserve">Deimena Drąsutytė</t>
  </si>
  <si>
    <t xml:space="preserve">High Efficiency Research Laboratory (HERLab)</t>
  </si>
  <si>
    <t xml:space="preserve">Developing novel animal cell lines and processes incorporating engineered caf1 to scale cultured meat protein manufacturing</t>
  </si>
  <si>
    <t xml:space="preserve">World meat consumption has tripled since 1970 and will increase a further 76% by 2050, posing a significant sustainability challenge. Livestock farming contributes to 15% of human-made greenhouse gas (GHG) emissions, which further exacerbates climate change, environmental destruction, and infectious disease outbreaks. Cultivated meat (CM) is an approach that rather than utilising animal agriculture as a source of proteins for human consumption, uses cell-based technologies to grow protein in a slaughter-free way. CM requires fewer resources, including energy, land, and water, and generates fewer GHG emissions compared to traditional livestock farming. It also eliminates concerns related to animal welfare and excessive antibiotic use. The major barriers preventing this approach from entering the consumer market relate to a mixture of economic and technical barriers. For this technological approach to be realized three principle components are needed, cells, growth media, and machines. This project seeks to develop panels of cell lines (the starting basis of all cultivated meat, Unicorn Bio, Trading as Dragon Bio) that will be released for sale to cultivated meat R&amp;D tool developers and commercial manufacturers. Furthermore, we seek to develop growth media additives (MarraBio) that, simultaneously, significantly extend the variety of cell types amenable to be manufactured at industrial scales and vastly reduce the cost of such production. Thereby enabling the industry to move towards techno-economic feasibility, as well as the mass manufacture and consumer market entry of such products</t>
  </si>
  <si>
    <t xml:space="preserve">grant.14050251</t>
  </si>
  <si>
    <t xml:space="preserve">Jack Reid</t>
  </si>
  <si>
    <t xml:space="preserve">Unicorn Biotechnologies Limited</t>
  </si>
  <si>
    <t xml:space="preserve">AdvanceYeastPro-Advanced and sustainable yeast-based novel food, grown in vegetable derived scaffolds for a high-structured and protein rich product</t>
  </si>
  <si>
    <t xml:space="preserve">**-AdvanceYeastProt** aims to create an unprecedented low-emission, indulgent, highly structured protein and vitamin enriched yeast-based "whole-cut" food product, to answer consumers' and market demands, while boosting the reduction of food loss and freshwater usage by promoting the recovery of vegetable retailers' side-streams while creating -The necessity for such product derives from the increased governmental and general-public awareness, and demand, for more sustainable and healthier non-meat derived protein-sources. This to feed the growing population, and provide the consumers with more nutritious, healthier, environmentally-friendly and committed to animal welfare choices. -The development of this innovative biotechnology and a new high-protein product locally will aid UK's reliance on imports and help deliver stated government targets on net-zero and environmental obligations. **Our Product:** Will offer an indulgent experience hitting expectations of consumer quality (flavour, texture and mouthfeel), improved nutrient value, clean-label, reproducibility and affordability than the current alternative-protein products in the market: i) more nutritious and healthier than the competitors: in high quality protein (with all essential amino acids, including methionine, tryptophan, leucine and tyrosine, and enriched in key vitamins, especially Vit B12 and Vit D. These amino acids and vitamins are not present in other alternative proteins and so remain a deficit in certain diets. ii) other attributes are a) no use of antibiotics or growth hormones, b) be associated with a meaty umami flavour c) less processed and d) with less additives, than the competitors. iii) it is a raw "whole-cut" alternative which will provide the domestic consumer with the opportunity to cook as they desire. -We will further innovate by engineering the technological process to make it more **sustainable and economic**, providing marketing solutions to prevent and reduce food loss: We will incorporate vegetable industry side-streams that otherwise would normally be disposed of on the soil, which will add the texture, nutrients and the required water (expensive resource and in short supply) to the product. -Once proven this innovative approach will fast forward the development for upcycling vegetable loss initially using Industrial side-streams but ultimately including those produced from domestic gardens, small-holdings, and allotments, respectively.</t>
  </si>
  <si>
    <t xml:space="preserve">grant.14053493</t>
  </si>
  <si>
    <t xml:space="preserve">Alan Javier Hernandez Alvarez</t>
  </si>
  <si>
    <t xml:space="preserve">Food Science and Nutrition</t>
  </si>
  <si>
    <t xml:space="preserve">AgriFoodX Limited, G’s Fresh Limited</t>
  </si>
  <si>
    <t xml:space="preserve">Stability and shelf life of regenerative raw materials for cultivated meat</t>
  </si>
  <si>
    <t xml:space="preserve">Thomas Mills</t>
  </si>
  <si>
    <t xml:space="preserve">University of Birmingham</t>
  </si>
  <si>
    <t xml:space="preserve">Quest Meat Ltd</t>
  </si>
  <si>
    <t xml:space="preserve">Pulses 4 Foods: pulse-based ingredients for high-protein cheese alternatives</t>
  </si>
  <si>
    <t xml:space="preserve">Cesar Torres</t>
  </si>
  <si>
    <t xml:space="preserve">The Good Pulse Company</t>
  </si>
  <si>
    <t xml:space="preserve">University of Nottingham</t>
  </si>
  <si>
    <t xml:space="preserve">Use of crop leaves for high-value animal protein production</t>
  </si>
  <si>
    <t xml:space="preserve">This project is a demonstration of feasibility for a sustainable food ingredient production platform in crops beginning with bovine-identical proteins for the rapidly growing alternative meat industry. By enabling the production of identical meat proteins entirely produced within the biomass of plants, and designed and produced to enhance the taste, nutritional benefits and quality of existing plant-based offerings, we enable wider adoption of products that directly contribute to bettering of our climate emergency. Moreover, we are demonstrating an entirely new production platform and ecosystem, ultimately powered by photosynthesis, directly addressing the future of agricultural production and the alternative meat industry</t>
  </si>
  <si>
    <t xml:space="preserve">grant.14050689</t>
  </si>
  <si>
    <t xml:space="preserve">Meir Wachs</t>
  </si>
  <si>
    <t xml:space="preserve">Kyomei Limited</t>
  </si>
  <si>
    <t xml:space="preserve">Building UK capability to deliver innovative alternative proteins</t>
  </si>
  <si>
    <t xml:space="preserve">SPG Innovation Limited, The University of Leeds and Baker Perkins Limited are exploring the feasibility of developing new products for the protein sector. This project will explore the boundaries of current low emission processes for texturizing proteins and the feasibility of alternative technologies to produce alternative proteins in support the UK's capability to supply and advance the alternative protein market.</t>
  </si>
  <si>
    <t xml:space="preserve">grant.14052650</t>
  </si>
  <si>
    <t xml:space="preserve">Sarah Gaunt</t>
  </si>
  <si>
    <t xml:space="preserve">SPG Innovation Limited</t>
  </si>
  <si>
    <t xml:space="preserve">Baker Perkins Ltd, University of Leeds</t>
  </si>
  <si>
    <t xml:space="preserve">CLEAN palm: scale-up and genetic tools for sustainable UK palm oil production</t>
  </si>
  <si>
    <t xml:space="preserve">Alex Neves</t>
  </si>
  <si>
    <t xml:space="preserve">Clean Food Group (CFG) Limited</t>
  </si>
  <si>
    <t xml:space="preserve">Prototyping and validating novel scalable biomimetic bioreactors for low carbon cultivated meat production</t>
  </si>
  <si>
    <t xml:space="preserve">Global food systems need to produce 50% more food to sustain growing populations over the next 40years, whilst substantially reducing greenhouse gas (GHG) emissions associated with food production and consumption (Social Market Foundation, 2020). According to the Independent Panel on Climate Change, 14% of total GHG emissions are attributable to the world's meat supply, without changes throughout the value chain, food systems emissions are likely to increase by 30-40% by 2050 (IPCC,2020).
Research shows that within a decade Cultivated Meat will reduce 17% GHG for the creation of chicken, reduce by 52% to make pork and reduce by 92% to make beef. It will also reduce land use by 63% for chicken, 72% for pork and 95% for beef (Good Food Institute,2021). While production costs are currently between 100-10,000 times higher than for comparable animal meat products, with the right scale up technologies and prices could reach a competitive point earlier than 2030\. Progress in the industry has been slow but in the last decade cultivated meat has gone form the first lab grown burger costing \&gt;$250,000 in 2013 to cultivated chicken being approved in the USA and sold in Singapore restaurants/markets in 2023\.
Animal Alternative Technologies is an engineering B2B company based in the University of Cambridge. We are creating a scalable, end-to-end ecosystem for Cultivated Meat production, including specialist processes, enabling technologies, software, hardware and raw materials. Our mission is to democratise access to sustainable food and tackle some of the world's biggest sustainability and food security challenges. Our collaboration with the University of Manchester and University of Cambridge during this R&amp;D project aims to develop a novel bioreactor technology that enables meat producers to create their own tailored, cultivated meat products for market at scale. We will do this by developing our novel scaffold and bioreactor system which enables cultivated meat producers to produce a plethora of affordable meat products (starting with lamb and pork), that are scalable, nutritious, delicious, for general consumption, with a lower environmental impact, higher quality meat, stronger local supply chains, and ethically sources.
To date, we have raised over £3million from VCs and strategic investors, and have developed several patents/pioneering technologies, including hydrogels, cell lines, and bioelectronic sensors. Our work has received multiple awards, and AAT has participated in 4 accelerators. We have received coverage from TechCrunch, Food Navigator, The Spoon, etc., and are driven to tackle food security and sustainability challenges.</t>
  </si>
  <si>
    <t xml:space="preserve">grant.14048766</t>
  </si>
  <si>
    <t xml:space="preserve">Clarisse Beurrier</t>
  </si>
  <si>
    <t xml:space="preserve">CellCraft Limited</t>
  </si>
  <si>
    <t xml:space="preserve">University of Manchester, University of Cambridge</t>
  </si>
  <si>
    <t xml:space="preserve">Protein RecOvery for Food using Ionic Liquid Extraction (PROFILE)</t>
  </si>
  <si>
    <t xml:space="preserve">Imperial College London, University of Greenwich</t>
  </si>
  <si>
    <t xml:space="preserve">Development of hollow-fibre bioreactor technology to enable resource-efficient cultivated meat production</t>
  </si>
  <si>
    <t xml:space="preserve">For years, meat has been the main source of protein globally. However, the health, environmental and animal welfare concerns of traditional meat production have driven the search for alternatives. Cultivated meat products represent an incredible opportunity to provide an alternative (and complementary) method to traditional farming methods to keep up with the growing demand of the global population. It is the alternative that would meet customer's expectations the most accurately. It frees up land and requires less water than livestock farming. Cultivated meat could address the protein shortage for a global population projected to reach 9.5bn by 2050\. However, the cultivated meat industry is still in its infancy and although processes have been tested and validated, scaling the technology at low-cost remains an immense challenge. This consortium brings together innovative tissue engineering and bioreactor specialist, Cellular Agriculture (CellAg), and Campden BRI (CBRI), the UK's largest independent food and drinks R&amp;D organisation. This project intends to optimise, test and validate the scalability of hollow-fibre bioreactors (HFB) to produce cultivated meat products. HFB has significant advantages compared to current state-of-the-art bioreactors (e.g.stirred-tank/fixed-bed) with increased cell density, compact design, cost-efficiency and lower emissions which would unlock the commercial viability of cultivated meat production. Building on proof-of-concept work led by CellAg, the consortium will develop an HFB system prototype demonstrator that will be optimised at CBRI's facilities. CBRI will then collaborate with CellAg to test production samples and develop food quality, safety, regulatory, economic and sustainability assessments. This project will enable CellAg to further develop and test the HFB to rapidly commercialise their technology post-project to food manufacturers and cultivated meat companies. This project will put CBRI at the forefront of innovative food research by developing a cutting-edge cultivated meat production system. The knowledge acquired during the project will also be productised by CBRI in the form of e-learning courses and supporting services.</t>
  </si>
  <si>
    <t xml:space="preserve">grant.14054221</t>
  </si>
  <si>
    <t xml:space="preserve">Illtud Llyr Dunsford</t>
  </si>
  <si>
    <t xml:space="preserve">Cellular Agriculture Limited</t>
  </si>
  <si>
    <t xml:space="preserve">Campden BRI (Chipping Campden) Limited</t>
  </si>
  <si>
    <t xml:space="preserve">Scaling up a novel low-emission fungal fermentation-based production system to commercialise ultra-realistic meat whole-cuts alternatives</t>
  </si>
  <si>
    <t xml:space="preserve">We aim to decrease UK meat consumption, causing climate change(14.5% GHGs) and diet-related disease(WHO), by scaling up our novel low-emission production system to commercialise the UK's first ultra-realistic meat whole-cuts alternatives.
With growing sustainability/health concerns around meat, meat-alternatives are fast-growing; worth $12bn globally today (BCG;Bloomberg), reaching $103bn (7% of meat) by 2030\. Whole-cuts (steaks/fillets/etc) represent 85% of meat, but are near-absent from meat-alternatives; a huge untapped opportunity.
Plant-proteins have short fibres, with which it is difficult to replicate the fibrous texture of meat whole-cuts, and most products mimic processed meats (burgers/mince/sausages).
Mycoprotein has huge potential for meat whole-cuts alternatives, with long fibres (hyphae), exceptional protein quality, fibre and micronutrients (highly nutritious), and sustainability benefits (our products emit 93% lower GHGs than beef).
However, conventional mycelium production processes deliver products with limited textural appeal. Incumbent Quorn's high-shear process and short-fibre strain produce a disordered hyphal structure, rendering their whole-cuts unappealing to meat eaters, and requiring 15+ ingredients including non-vegan binders/stabilisers. To continue reducing meat consumption we need better quality, more innovative alternatives.
Adamo Foods has developed a ground-breaking mycelium-based steak, for which we have developed a game-changing, novel low-emission production process to address this challenge. We now need to design our commercial-scale production system. To do this, we aim to significantly shift the state-of-the-art.
We have developed a comprehensive 15-month project plan with UK-based leading experts in fungal fermentation, leveraging UK strengths and expertise to create new production systems and technologies.
Technical innovations: We will design a scaled-up production process, prototype core aspects of it, and run a demonstrator proof of concept.
Progressing commercial viability: A techno-economic assessment and commercially-oriented exploitation work package will align innovation with the commercial opportunity, accelerating innovation towards commercial reality.</t>
  </si>
  <si>
    <t xml:space="preserve">grant.14049742</t>
  </si>
  <si>
    <t xml:space="preserve">Pierre Dupuis</t>
  </si>
  <si>
    <t xml:space="preserve">Adamo Foods</t>
  </si>
  <si>
    <t xml:space="preserve">CPI Limited</t>
  </si>
  <si>
    <t xml:space="preserve">Collaborative project: Process development for vegetable protein sources and establishment of new B2B relationships for the food trade (ProHand) - subproject 1</t>
  </si>
  <si>
    <t xml:space="preserve">https://foerderportal.bund.de/foekat/jsp/SucheAction.do?actionMode=view&amp;fkz=281A402217</t>
  </si>
  <si>
    <t xml:space="preserve">grant.8836720</t>
  </si>
  <si>
    <t xml:space="preserve">31/12/2022</t>
  </si>
  <si>
    <t xml:space="preserve">Collaborative project: Modern stimulation methods for the differentiation of adult stem cells into functional tissue for the production of cell-based meat products for the food sector (MOSTIME) - Subproject A</t>
  </si>
  <si>
    <t xml:space="preserve">Investigations into the influence of applied and possibly novel technological and biotechnological processes, market structure and legal framework conditions on the production chain and the quality of food and feed</t>
  </si>
  <si>
    <t xml:space="preserve">https://foerderportal.bund.de/foekat/jsp/SucheAction.do?actionMode=view&amp;fkz=281A819A21</t>
  </si>
  <si>
    <t xml:space="preserve">grant.13735334</t>
  </si>
  <si>
    <t xml:space="preserve">Original award amount is EUR 472,068.</t>
  </si>
  <si>
    <t xml:space="preserve">Laura Gertenbach</t>
  </si>
  <si>
    <t xml:space="preserve">Innocent Meat GmbH</t>
  </si>
  <si>
    <t xml:space="preserve">15/10/2025</t>
  </si>
  <si>
    <t xml:space="preserve">Plant breeding research P3 joint project: 'Rapeseed as a domestic source of high-quality protein for human nutrition (RaPEQ3) - subproject B'</t>
  </si>
  <si>
    <t xml:space="preserve">Universität Bielefeld - Centrum für Biotechnologie (CeBiTec) - AG Genetik und Genomik der Pflanzen</t>
  </si>
  <si>
    <t xml:space="preserve">Progress in process scale-up and product quality optimization for plant protein-based meat analogues by intelligent high moisture extrusion process control (SensAI)</t>
  </si>
  <si>
    <t xml:space="preserve">https://www.aramis.admin.ch/Texte/?ProjectID=47912</t>
  </si>
  <si>
    <t xml:space="preserve">Erich Josef Windhab</t>
  </si>
  <si>
    <t xml:space="preserve">ETH Zürich</t>
  </si>
  <si>
    <t xml:space="preserve">Patrick Rühs</t>
  </si>
  <si>
    <t xml:space="preserve">Planted Foods AG, Innosuisse</t>
  </si>
  <si>
    <t xml:space="preserve">KMUi-BÖ05: MyScaleUm - Sustainable production of vegetative mycelium for meat alternatives</t>
  </si>
  <si>
    <t xml:space="preserve">Bosque Foods GmbH</t>
  </si>
  <si>
    <t xml:space="preserve">STAR | Start Healthy - Stay Healthy | Aligning Public and Planetary Health Through Precision Plant-Based Dietary Solutions across the Life-course</t>
  </si>
  <si>
    <t xml:space="preserve">https://gtr.ukri.org/projects?ref=BB%2FX010872%2F1</t>
  </si>
  <si>
    <t xml:space="preserve">Multiple universities + Defra involved, not sure of funding distribution</t>
  </si>
  <si>
    <t xml:space="preserve">Kourosh Ahmadi</t>
  </si>
  <si>
    <t xml:space="preserve">University of Surrey</t>
  </si>
  <si>
    <t xml:space="preserve">Importance of protein and lipid phase in the development of vegan milk and cream alternatives</t>
  </si>
  <si>
    <t xml:space="preserve">https://foerderportal.bund.de/foekat/jsp/SucheAction.do?actionMode=view&amp;fkz=01IF23169N</t>
  </si>
  <si>
    <t xml:space="preserve">grant.13952580</t>
  </si>
  <si>
    <t xml:space="preserve">Milk, cream</t>
  </si>
  <si>
    <t xml:space="preserve">Lab-grown steak and insect burgers – who will eat the food of the future? Acceptance of meat substitutes depending on motivation to avoid meat in the diet.</t>
  </si>
  <si>
    <t xml:space="preserve">Dominika Maison</t>
  </si>
  <si>
    <t xml:space="preserve">Uniwersytet Warszawski, Wydział Psychologii
woj. Mazowieckie</t>
  </si>
  <si>
    <t xml:space="preserve">National Science Center</t>
  </si>
  <si>
    <t xml:space="preserve">Consumer</t>
  </si>
  <si>
    <t xml:space="preserve">Collaborative project: Modern stimulation methods for the differentiation of adult stem cells into functional tissue for the production of cell-based meat products for the food sector (MOSTIME) - Subproject B</t>
  </si>
  <si>
    <t xml:space="preserve">https://foerderportal.bund.de/foekat/jsp/SucheAction.do?actionMode=view&amp;fkz=281A819B21</t>
  </si>
  <si>
    <t xml:space="preserve">grant.13735335</t>
  </si>
  <si>
    <t xml:space="preserve">Original award amount is EUR 427,650.</t>
  </si>
  <si>
    <t xml:space="preserve">Unknown</t>
  </si>
  <si>
    <t xml:space="preserve">University of Rostock</t>
  </si>
  <si>
    <t xml:space="preserve">Collaborative project: Development of a biotechnological and food technological process for the production of a vegan meat analogue based on extruded mycelia of edible mushrooms (basidiomycetes) (BASOMEAT) - subproject A</t>
  </si>
  <si>
    <t xml:space="preserve">https://foerderportal.bund.de/foekat/jsp/SucheAction.do?actionMode=view&amp;fkz=281A814A21</t>
  </si>
  <si>
    <t xml:space="preserve">Kynda Biotech GmbH</t>
  </si>
  <si>
    <t xml:space="preserve">31/10/2026</t>
  </si>
  <si>
    <t xml:space="preserve">MykoMeat – Production of proteins of non-animal origin containing vitamin B12 and vitamin D2 for the production of sustainable food and as a contribution to the reduction of intensive livestock farming</t>
  </si>
  <si>
    <t xml:space="preserve">https://www.dbu.de/projektdatenbank/34451-01/</t>
  </si>
  <si>
    <t xml:space="preserve">Hochschule Hamm-Lippstadt</t>
  </si>
  <si>
    <t xml:space="preserve">German Federal Environmental Foundation (DBU)</t>
  </si>
  <si>
    <t xml:space="preserve">Collaborative project: Establishment of innovative breeding approaches to make sunflowers competitive as an oil and protein fruit for the German market (ProSun) - Subproject C</t>
  </si>
  <si>
    <t xml:space="preserve">Technische Universität München</t>
  </si>
  <si>
    <t xml:space="preserve">Collaborative project: In-vitro production of smart fish proteins: Establishment of fat precursor cells from salmon-like fish for the development of sustainable, high-quality fish foods (INVERS) - Subproject B</t>
  </si>
  <si>
    <t xml:space="preserve">https://foerderportal.bund.de/foekat/jsp/SucheAction.do?actionMode=view&amp;fkz=281A818B21</t>
  </si>
  <si>
    <t xml:space="preserve">Hochschule Reutlingen</t>
  </si>
  <si>
    <t xml:space="preserve">Revolutionising development of cultivated meat products through synergistic optimisation of growth-media fomulations</t>
  </si>
  <si>
    <t xml:space="preserve">The Food and Agriculture Organisation (FAO) of the United Nations predicts that food production must increase by 50% by 2050 to feed a global population of 10bn. Feeding this growing population with finite land and water resources is one of the greatest challenges facing humankind. Livestock agriculture currently consumes 70% of available arable land and 27% of global freshwater, and is one of the major contributors to climate change, air and water pollution, land degradation, loss of biodiversity, animal welfare concerns, and human health risks such as zoonotic disease and antibiotic resistance. Cultivated meat and seafood offer a sustainable alternative, produced through cultivation of terrestrial, avian, and aquatic animal cells and indistinguishable from conventional meat. Cultivated meat represents an enormous opportunity to decarbonise meat production, reduce land and water usage, slow biodiversity loss, and feed more people with fewer resources. Furthermore, cultivated meat alleviates ethical concerns over the treatment of animals, does not require any use of antibiotics, and has positive implications for food security in an evolving geopolitical climate. Despite this vast opportunity, development and scale-up of cultivated meat products is critically constrained by a lack of food-grade ingredients, long product development cycles, and the huge cost of equipment/manufacturing facilities. Extracellular is the first dedicated manufacturing partner to support cellular agriculture, accelerating the development and commercialisation of cultivated meat products. Our unique integrated approach consolidates a fragmented value-chain, enabling cultivated meat companies to develop better products faster, cheaper, and achieve scale at significantly lower risk. The Innovate UK project will deliver a range of proprietary food-grade growth-media solutions that enable product development costs and lead-times to be reduced by \&gt;50%.</t>
  </si>
  <si>
    <t xml:space="preserve">https://gtr.ukri.org/projects?ref=10046475</t>
  </si>
  <si>
    <t xml:space="preserve">grant.13252732</t>
  </si>
  <si>
    <t xml:space="preserve">Jamie Thompson</t>
  </si>
  <si>
    <t xml:space="preserve">Extracellular Ltd</t>
  </si>
  <si>
    <t xml:space="preserve">Standardising food safety testing for the cultivated meat industry: feasibility study to accelerate innovation</t>
  </si>
  <si>
    <t xml:space="preserve">https://gtr.ukri.org/projects?ref=10074183</t>
  </si>
  <si>
    <t xml:space="preserve">Reka Tron</t>
  </si>
  <si>
    <t xml:space="preserve">MULTUS BIOTECHNOLOGY LIMITED</t>
  </si>
  <si>
    <t xml:space="preserve">Value-creating plant-based residues</t>
  </si>
  <si>
    <t xml:space="preserve">https://www.vr.se/english/swecris.html#/project/2021-03716_Vinnova</t>
  </si>
  <si>
    <t xml:space="preserve">Bo Funeteg</t>
  </si>
  <si>
    <t xml:space="preserve">The Green Dairy Sweden Holding Ab</t>
  </si>
  <si>
    <t xml:space="preserve">30/10/2023</t>
  </si>
  <si>
    <t xml:space="preserve">Shaping the future of the alt protein waste: A fungi - algae partnership</t>
  </si>
  <si>
    <t xml:space="preserve">Collaborative project: In-vitro production of smart fish proteins: Establishment of fat precursor cells from salmon-like fish for the development of sustainable, high-quality fish foods (INVERS) - Subproject C</t>
  </si>
  <si>
    <t xml:space="preserve">https://foerderportal.bund.de/foekat/jsp/SucheAction.do?actionMode=view&amp;fkz=281A818C21</t>
  </si>
  <si>
    <t xml:space="preserve">Universität Vechta</t>
  </si>
  <si>
    <t xml:space="preserve">Protein fibers for vegan meat substitutes</t>
  </si>
  <si>
    <t xml:space="preserve">Thüringisches Institut für Textil- und Kunststoff-Forschung Rudolstadt e.V.</t>
  </si>
  <si>
    <t xml:space="preserve">Development of an innovative grinding module for resource-efficient protein enrichment of legumes as part of dry-wet extraction (EcoProMill)</t>
  </si>
  <si>
    <t xml:space="preserve">https://foerderportal.bund.de/foekat/jsp/SucheAction.do?actionMode=view&amp;fkz=281A806X21</t>
  </si>
  <si>
    <t xml:space="preserve">Tietjen Verfahrenstechnik GmbH</t>
  </si>
  <si>
    <t xml:space="preserve">30/9/2025</t>
  </si>
  <si>
    <t xml:space="preserve">From genetic resource to contemporary food with prebreeding approaches in the dry edible bean Phaseolus vulgaris L. var. nanus</t>
  </si>
  <si>
    <t xml:space="preserve">FiBL Projekte GmbH</t>
  </si>
  <si>
    <t xml:space="preserve">Development and optimization of a process for the gentle and quality-enhancing extraction of high-quality protein concentrates and ethanol from legume flour, which are then made available for food processing.
</t>
  </si>
  <si>
    <t xml:space="preserve">Verein zur Förderung des Technologietransfers an der Hochschule Bremerhaven</t>
  </si>
  <si>
    <t xml:space="preserve">Collaborative project: Hybrid Mycoprotein Meat Products for Sustainable and Healthy Nutrition ( fv) - Subproject A</t>
  </si>
  <si>
    <t xml:space="preserve">Quh-Lab Lebensmittelsicherheit</t>
  </si>
  <si>
    <t xml:space="preserve">Engineered Protein Polymers for Industrial Cell Culture (EPPICC)</t>
  </si>
  <si>
    <t xml:space="preserve"> Worldwide, human consumption of meat is approximately 450 million tonnes per year and is increasing by 1% annually. This habit is fuelling the climate crisis, as meat production is responsible for 57% of all food related greenhouse gas emissions. To provide an authentic meat experience in an environmentally friendly manner, businesses are developing cultivated meat, using animal cells grown in bioreactors and formed into meat products.
 However, to achieve the quantities necessary, cells must be grown on a hitherto unimaginable industrial scale. To ensure the healthy growth of the cells, they need the correct biological cues - a matrix to adhere to and signalling molecules called growth factors. Currently, production of these individual components is complicated, expensive and difficult to scale. These components vastly increase the cost of cultivated meat production, rendering it far more expensive than traditional meat.
 Our radical solution uses an engineered protein called Caf1, which we produce in large quantities using bacteria. Caf1 forms modular, inert polymers which can be modified by the insertion of small fragments of either growth or adhesion factors. This supplies the need for growth factors and a matrix in a single cost-effective product. Caf1 is inexpensive to produce, robust, easy-to-use and requires no animal products.
 In this project we will demonstrate that Caf1 can be produced at large-scale and validate the functionality of several key variants. If successful we will have demonstrated that our technology can remove a major blockage holding back the development of the cultivated meat sector.
 These same materials could be used to produce cells for therapy, but to do so our Caf1 products must meet stringent regulatory requirements. As a first step to investigate the use of the technology for clinical cell therapy applications we will review the regulatory requirements which Caf1 based products must meet before they can be used in clinical cell therapy manufacture.
 By the end of this 12-month project, we will have established the evidence that shows that Caf1 is a hugely disruptive technology which will have a profound impact on people's lives and the health of the planet.</t>
  </si>
  <si>
    <t xml:space="preserve">https://gtr.ukri.org/projects?ref=10046064</t>
  </si>
  <si>
    <t xml:space="preserve">grant.13251905</t>
  </si>
  <si>
    <t xml:space="preserve">MarraBio</t>
  </si>
  <si>
    <t xml:space="preserve">Cell Therapy Catapult</t>
  </si>
  <si>
    <t xml:space="preserve">Innovate UK Better Food for All: Brunel University London</t>
  </si>
  <si>
    <t xml:space="preserve">https://www.linkedin.com/posts/gfi-europe_174m-funding-for-better-food-for-all-activity-7118230845726838784-CsCg/?utm_source=share&amp;utm_medium=member_desktop</t>
  </si>
  <si>
    <t xml:space="preserve">Brunel University London</t>
  </si>
  <si>
    <t xml:space="preserve">Joint project: Development of ripened cheese alternatives based on local peas (KERBSE) - subproject 1</t>
  </si>
  <si>
    <t xml:space="preserve">Enhancing the nutritional quality of novel whole-cut meat alternatives, using fungal fermentation, biofortification and process innovation</t>
  </si>
  <si>
    <t xml:space="preserve">Meat provides 40% of UK protein intake, but red meat is a Group 2A carcinogen and leading cause of diet-related disease(WHO;Oxford University). We aim to reduce UK red meat consumption by developing healthier mycelium-based meat whole-cuts alternatives. With increasing health concerns around meat, plant-based alternatives are fast-growing; worth $12bn globally today, $100bn by 2030(BCG;Bloomberg). 40% of Europeans are now flexitarian, citing health(ProVeg). Plant-based alternatives are marketed as healthy, but often have lower protein content and quality, and are often highly-processed products (burgers/sausages/mince) with 20+ ingredients, including arti?cial binders (methylcellulose). Some are synthetically fortified with vitamins and minerals, but with low bioavailability of these nutrients and high phytates/antinutritional factors blocking uptake(Hurrel;Singh&amp;Satyanarayana). To incentivise meat reduction we need healthier, more innovative alternatives. Mycelium-alternatives have huge potential; high in protein and fibre, with a PDCAAS higher than plant proteins and even beef. However, they have lower content than beef in specific nutrients, and some protein is lost during processing. This feasibility study will develop innovative methods to make our ground-breaking mycelium steak the most nutritious meat-alternative available. The innovations will be applied to Adamo Foods' steak alternative, with an ultra-realistic fibrous structure mimicking meat's muscle tissue. Our "steak" will be characterised with World-leading data, against which successful nutrition enhancements will be assessed, with recommendations for scale-up. Success will close the nutrient "gap" on beef, attracting more customers by addressing positive (protein/micronutrients) and negative (carcinogenic/cholesterol/antinutritional) nutritional drivers.</t>
  </si>
  <si>
    <t xml:space="preserve">https://gtr.ukri.org/projects?ref=10075636</t>
  </si>
  <si>
    <t xml:space="preserve">grant.14052394</t>
  </si>
  <si>
    <t xml:space="preserve">Fraunhofer-IME</t>
  </si>
  <si>
    <t xml:space="preserve">Hochschule für Angewandte Wissenschaften Hamburg</t>
  </si>
  <si>
    <t xml:space="preserve">Collaborative project: Development of a biotechnological and food technological process for the production of a vegan meat analogue based on extruded mycelia of edible mushrooms (Basidiomycetes) (BASOMEAT) - Subproject B</t>
  </si>
  <si>
    <t xml:space="preserve">https://foerderportal.bund.de/foekat/jsp/SucheAction.do?actionMode=view&amp;fkz=281A814B21</t>
  </si>
  <si>
    <t xml:space="preserve">Obtaining sensory-neutral fiber from legumes (field beans, peas, soy) and their use as a food ingredient</t>
  </si>
  <si>
    <t xml:space="preserve">Joint project: Upcycling of side streams with basidiomycetes to obtain sensory-usable legume and mycoproteins as new vegan protein alternatives (LegPlusMyk) - Subproject B</t>
  </si>
  <si>
    <t xml:space="preserve">https://foerderportal.bund.de/foekat/jsp/SucheAction.do?actionMode=view&amp;fkz=281A802B21</t>
  </si>
  <si>
    <t xml:space="preserve">grant.13982585</t>
  </si>
  <si>
    <t xml:space="preserve">Excellence Cluster Universe</t>
  </si>
  <si>
    <t xml:space="preserve">28/2/2027</t>
  </si>
  <si>
    <t xml:space="preserve">Joint project: Upcycling of side streams with basidiomycetes to obtain sensory-usable legume and mycoproteins as new vegan protein alternatives (LegPlusMyk) - Subproject A</t>
  </si>
  <si>
    <t xml:space="preserve">https://foerderportal.bund.de/foekat/jsp/SucheAction.do?actionMode=view&amp;fkz=281A802A21</t>
  </si>
  <si>
    <t xml:space="preserve">grant.13982584</t>
  </si>
  <si>
    <t xml:space="preserve">University of Hohenheim</t>
  </si>
  <si>
    <t xml:space="preserve">Developing the world’s 1st scalable, end-to-end system for cost-efficient, sustainable cultivated pork meat production</t>
  </si>
  <si>
    <t xml:space="preserve">Global food systems need to produce 50% more food to sustain growing populations over the next 40 years, whilst substantially reducing greenhouse gas (GHG) emissions (Social Market Foundation,2020). 14% of total emissions are attributable to animal farming. Without changes throughout the value chain, these emissions are likely to increase by 30-40% by 2050(IPCC,2020).
Cultivated meat (CM) can be a safe and sustainable alternative to animal farming. Pork is the most widely consumed meat(UN-FAO,2020). Cultivated pork is estimated to have -75% GHG emissions and -72% land requirements(Good Food Institute,2021). While production costs are currently 100-10,000x higher than for animal-farmed products, with the right scale-up technologies, prices could reach a competitive point before 2030\. Progress in the industry has been slow, but in the last decade, CM has gone from its 1st burger costing \&gt;$250,000 in 2013 to cultivated chicken being approved in the USA and sold in Singapore by 2023\.
Animal Alternative Technologies(AAT) is a B2B company located at the University of Cambridge. We are creating a scalable, end-to-end system for CM production, including specialist bioprocesses, enabling technologies, and software. Our mission is to democratise access to sustainable food and tackle the world's biggest sustainability and food security challenges. Our collaboration with Cellivate during this R&amp;D project aims to develop the world's 1st end-to-end, cost-efficient cultivated pork production system that enables meat producers to commercially manufacture at large scales their own tailored, cultivated pork products, which are nutritious, delicious for general consumption, with lower environmental impact, higher quality, stronger local supply chains, and ethical sources. We will do this by optimizing and combining our non-GMO cell lines with Cellivate's proprietary 10x cheaper animal-component-free media and customized edible scaffolds in our novel, scalable purpose-built bioreactors, and then scaling up.
To date, we have raised \&gt;£3 million from VCs and strategic investors, and have developed several patents/pioneering technologies, including cell lines and bioelectronic sensors. Our work has received multiple awards, and AAT has participated in 4 accelerators. We have been featured in TechCrunch, Food Navigator, The Spoon, etc., and are focused on food security and sustainability. Cellivate has developed patented nanotech technologies that enable cells to grow better and faster. Their portfolio includes edible scaffolds, biomaterials and serum-free media, which accelerate CM development. Cellivate was in the Good Food Institute's "2020 Asia Alt 100" list. It has received awards/recognition from Mitsui Chemicals, ASPIRE Labs and has been featured in multiple publications and podcasts.</t>
  </si>
  <si>
    <t xml:space="preserve">https://gtr.ukri.org/projects?ref=10079403</t>
  </si>
  <si>
    <t xml:space="preserve">grant.13878027</t>
  </si>
  <si>
    <t xml:space="preserve">Original award amount is GBP 349,555.</t>
  </si>
  <si>
    <t xml:space="preserve">Yash Mishra</t>
  </si>
  <si>
    <t xml:space="preserve">31/1/2026</t>
  </si>
  <si>
    <t xml:space="preserve">Model-driven de-novo lipogenesis for optimised production of cultivated fat, the hero ingredient for next-generation meat-alternative products</t>
  </si>
  <si>
    <t xml:space="preserve">Large-scale animal agriculture is inefficient and damaging to humans, animals, and the environment. Demand for plant-based meat is soaring, but products still do not match the sensory properties and cooking performance of traditional meat. Plant-based meat is missing one crucial ingredient: real animal fat. Fat is the secret to delicious food. The plant oils used in many meat alternatives aren't a suitable substitute because they are structurally and chemically different to animal fat, resulting in a low melting temperature, poor taste and greasy mouthfeel. The world needs a clean source of real animal fat to create plant-based meats that look, cook and taste like the real thing. Hoxton Farms' cultivated fat, sold as a B2B ingredient, is the key to unlocking the next generation of meat alternatives. Their revolutionary technology platform combines mathematical modelling and synthetic biology to redesign mammalian cell-culture from the ground up and grow high-performance, cost-effective cultivated fat. This model-driven approach will produce cultivated fat at a lower cost than that of competitors, and will allow Hoxton Farms to offer customers exclusive fats with customised sensory, nutritional and cooking profiles.</t>
  </si>
  <si>
    <t xml:space="preserve">https://gtr.ukri.org/projects?ref=10065794</t>
  </si>
  <si>
    <t xml:space="preserve">grant.13881807</t>
  </si>
  <si>
    <t xml:space="preserve">Ciara Cronin-Albert</t>
  </si>
  <si>
    <t xml:space="preserve">HOXTON FARMS LTD</t>
  </si>
  <si>
    <t xml:space="preserve">Directly to resistance, quality and yield with faba bean lines</t>
  </si>
  <si>
    <t xml:space="preserve">Georg-August-Universität Göttingen</t>
  </si>
  <si>
    <t xml:space="preserve">Model-driven development of cell culture media for optimised production of cultivated fat, the hero ingredient for next-generation meat-alternative products</t>
  </si>
  <si>
    <t xml:space="preserve">https://gtr.ukri.org/projects?ref=10018494</t>
  </si>
  <si>
    <t xml:space="preserve">grant.14052031</t>
  </si>
  <si>
    <t xml:space="preserve">Original award amount is GBP 342,068.</t>
  </si>
  <si>
    <t xml:space="preserve">Katherine Uhlman</t>
  </si>
  <si>
    <t xml:space="preserve">Hoxton Farms</t>
  </si>
  <si>
    <t xml:space="preserve">ProMo HD: protein modification through high pressure</t>
  </si>
  <si>
    <t xml:space="preserve">Low-Cost Mycelium for Meat Alternatives</t>
  </si>
  <si>
    <t xml:space="preserve">https://vegconomist.com/cultivated-cell-cultured-biotechnology/fermentation/libre-foods-wins-grant-pioneer-low-cost-mycelium-meat-alternatives/?utm_source=foodtechweekly.beehiiv.com&amp;utm_medium=newsletter&amp;utm_campaign=foodtech-weekly-178-by-daniel-s-ruben</t>
  </si>
  <si>
    <t xml:space="preserve">Original award amount is EUR 335,000.</t>
  </si>
  <si>
    <t xml:space="preserve">Alan Iván Ramos</t>
  </si>
  <si>
    <t xml:space="preserve">Libre Foods</t>
  </si>
  <si>
    <t xml:space="preserve">NEOTEC Program of the Spanish Centre for Industrial Technological Development (CDTI)</t>
  </si>
  <si>
    <t xml:space="preserve">19/12/2025</t>
  </si>
  <si>
    <t xml:space="preserve">Precision fermentation alternative to palm oil</t>
  </si>
  <si>
    <t xml:space="preserve">Palm oil is everywhere. It's in food, cosmetics and biofuels. It's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\&gt;1% global emissions, from 19 million hectares of tropical land. It has caused significant habitat loss, including for the Orangutan and Sun Bear, and all too often the smallholders do not receive a fair price for their produce.
The UK Government has committed to reaching Net Zero by 2050; 20% of UK emissions stem from agriculture and the food chain and they must be tackled if we are to reach these targets.
Sun Bear Bioworks is using precision fermentation to make an alternative to palm oil at scale. We are optimising a naturally oil-producing yeast strain to produce our oil from food waste quickly and efficiently. Our process saves over 4kg CO2 and 2000m2 land for every kg of palm oil - a saving in both cases of 80%. Our project is to make our current strain and process ready for 500L-scale production. This will involve both improving our strain and experimenting with bioreactors and feedstock processing. This builds on the work we carried out as part of our Fast Start award, project 10045430 "Alternative feedstock for precision fermentation of oil", which has allowed us to prove expression of key enzymes in our yeast strain for the metabolism of starch.</t>
  </si>
  <si>
    <t xml:space="preserve">https://gtr.ukri.org/projects?ref=10062619</t>
  </si>
  <si>
    <t xml:space="preserve">grant.13873770</t>
  </si>
  <si>
    <t xml:space="preserve">Ben Wilding</t>
  </si>
  <si>
    <t xml:space="preserve">SUN BEAR BIOWORKS LTD</t>
  </si>
  <si>
    <t xml:space="preserve">Collaborative project: Research resources for field bean adaptation: Accelerating breeding progress through modern genome information to increase yield stability under changing climatic conditions (FABA) - Subproject B</t>
  </si>
  <si>
    <t xml:space="preserve">Justus-Liebig-Universität Gießen</t>
  </si>
  <si>
    <t xml:space="preserve">Methods for texturing Swedish protein raw materials and the impact on taste, texture, function and sustainability</t>
  </si>
  <si>
    <t xml:space="preserve">Purpose and goal: 
The overall purpose of the study has been to investigate how methods for texturing Swedish plant-based protein raw material affect taste, texture and shelf life in different foods. Our goal has been to increase knowledge and competence in order to be able to compile a basis for optimized domestic processing of Swedish protein raw materials. The study was carried out as partly literature studies and partly through pilot experiments at two different plants for extrusion as a method for texturing. The results have contributed to increasing understanding and will be important in the continued work. 
Expected results and effects: 
Our results from the various pilot experiments show that the parameters that have the greatest impact on the extruded product are temperature, water content, shear and pressure. By adjusting these, the end product can be optimized. Furthermore, our analyzes show that it is possible to optimize resource utilization in the form of energy and chemical use through the chosen method for processing the protein raw material before texturing and that it is possible to achieve good results on the extruded product with a concentrate produced by mechanical concentration. 
Approach and implementation: 
The project was carried out in three work packages, the first of which was to map and describe available processes for texturing plant-based proteins. This was carried out as a literature study and in dialogue with various partners. 
Work package 2 involved a number of pilot trials at two different extrusion plants (RISE, LTH) with different types and composition of plant-based proteins as starting material and subsequent analysis.
Work package 3 involved an overall analysis of which factors in the value chain contribute to energy consumption and chemical consumption.</t>
  </si>
  <si>
    <t xml:space="preserve">https://www.vr.se/swecris.html#/project/2021-03612_Vinnova</t>
  </si>
  <si>
    <t xml:space="preserve">grant.9970155</t>
  </si>
  <si>
    <t xml:space="preserve">Lyckeby Culinar AB</t>
  </si>
  <si>
    <t xml:space="preserve">Developing sustainable, nutritious, and delicious alternatives to meat whole-cuts, using biomass fermentation</t>
  </si>
  <si>
    <t xml:space="preserve">As there is more and more evidence that intensive meat production is **unsustainable, unhealthy,** and most of the time **unethical**, the plant-based food market has significantly grown over the past decade. But these products are also coming under close scrutiny from health-conscious consumers due to their long list of ingredients, which include artificial binders and preservatives. As a result, consumers are increasingly suspicious of these **ultra-processed** plant-based products which are **unhealthy and lack a convincing 'meaty' texture.** This project aims to change that. We will build an innovative fermentation process that will allow us to create and launch a **whole new category of sustainable, healthy and gourmet alternatives to meat whole-cuts**. We will explore various novel technologies, and identify the most efficient fermentation process to grow and scale fungal mycelium. Mycelium, which will form the base of our products, has immense benefits compared to traditional meat and existing plant-based food ingredients. Early estimates show that our mycelium steak would require **90% less greenhouse gas emissions** compared to its meat counterpart, and that our end-price could be roughly similar to a standard steak. This demonstrates a significant potential in reducing the UK's emissions induced by beef consumption, in line with the government's net-zero objective. With regards to existing plant-based products, mycelium is much healthier. Mycelium is **packed with fibre, is low in fat and sodium, and contains all 9 essential amino acids.** Our products will be the first healthy whole-cut alternatives truly grown from nature, not just labelled 'natural'. Secondly, mycelium has a **unique** structure that resembles the fibres of textured muscle, so is a great natural product base. Instead of having to stick powdered proteins (e.g soy) with artificial binders, we aim to develop a steak-like structure from this single ingredient. Through this project, we will focus on making these theoretical benefits a reality. Working with a team of experienced scientists, including 3 PhDs in biotechnology, we will have access to **significant knowledge** in the fermentation field. Although this project is ultimately risky because establishing a new food category can be very challenging, our **experienced team** will significantly increase our chances of success. Following this project, we will scale-up ultra-realistic &amp; sustainable alternatives to beef steak and chicken breasts. With our subsequent launch, we aim to promote a **sustainable and environmentally-conscious** lifestyle where people no longer have to choose between their favourite foods and preserving the environment and their health.</t>
  </si>
  <si>
    <t xml:space="preserve">https://gtr.ukri.org/projects?ref=10034876</t>
  </si>
  <si>
    <t xml:space="preserve">grant.13024065</t>
  </si>
  <si>
    <t xml:space="preserve">Original award amount is GBP 327,722.</t>
  </si>
  <si>
    <t xml:space="preserve">Nick Wood</t>
  </si>
  <si>
    <t xml:space="preserve">Leibniz-Zentrum für Agrarlandschaftsforschung (ZALF) e.V.</t>
  </si>
  <si>
    <t xml:space="preserve">Collaborative project: Hybrid Mycoprotein Meat Products for Sustainable and Healthy Nutrition (HyMycoMeat) - Subproject E</t>
  </si>
  <si>
    <t xml:space="preserve">Rheinisch-Westfälische Technische Hochschule Aachen</t>
  </si>
  <si>
    <t xml:space="preserve">Collaborative project: Research resources for field bean adaptation: Accelerating breeding progress through modern genome information to increase yield stability under changing climatic conditions (FABA) - Subproject A</t>
  </si>
  <si>
    <t xml:space="preserve">Plant breeding research P3 joint project: 'Rapeseed as a domestic source of high-quality protein for human nutrition (RaPEQ3) - subproject D'</t>
  </si>
  <si>
    <t xml:space="preserve">School of Life Sciences Forschungsdepartment Molecular Life Sciences Lehrstuhl für Lebensmittelchemie u.Molekulare Sensorik</t>
  </si>
  <si>
    <t xml:space="preserve">Technical University of Munich (TUM)</t>
  </si>
  <si>
    <t xml:space="preserve">Joint project: Development and evaluation of a concept for the extraction and processing of proteins from brewer's yeast in the highest possible native and functional form on a pilot scale (Hepro2) - Subproject A</t>
  </si>
  <si>
    <t xml:space="preserve">https://foerderportal.bund.de/foekat/jsp/SucheAction.do?actionMode=view&amp;fkz=281A816A21</t>
  </si>
  <si>
    <t xml:space="preserve">31/3/2027</t>
  </si>
  <si>
    <t xml:space="preserve">Joint project: Development of a cryogenic peeling process as an innovative and sustainable key technology for the use of rapeseed proteins in human nutrition (CryoHusking) - Subproject B</t>
  </si>
  <si>
    <t xml:space="preserve">https://foerderportal.bund.de/foekat/jsp/SucheAction.do?actionMode=view&amp;fkz=281A804B21</t>
  </si>
  <si>
    <t xml:space="preserve">Union Zur Förderung von Oel- und Proteinpflanzen (UFOP) e.V.</t>
  </si>
  <si>
    <t xml:space="preserve">KMUi-BÖ03: PISUM – Starter co-culture for pea fermentation to produce sustainable, sensory and nutritional alternatives to dairy products; TP A</t>
  </si>
  <si>
    <t xml:space="preserve">TU Berlin</t>
  </si>
  <si>
    <t xml:space="preserve">Extrusion of protein-based filaments for 3D printing</t>
  </si>
  <si>
    <t xml:space="preserve">Plant breeding research P3 joint project: 'Rapeseed as a domestic source of high-quality protein for human nutrition (RaPEQ3) - subproject C'</t>
  </si>
  <si>
    <t xml:space="preserve">Justus-Liebig-Universität Giessen - Professur für Pflanzenzüchtung</t>
  </si>
  <si>
    <t xml:space="preserve">Bringing sustainable crustacean food products to the market through international partnership</t>
  </si>
  <si>
    <t xml:space="preserve">https://gtr.ukri.org/projects?ref=10033703</t>
  </si>
  <si>
    <t xml:space="preserve">Connor Ross</t>
  </si>
  <si>
    <t xml:space="preserve">Development of a value chain for organically produced peas and beans from the field to the commercial kitchen and catering industry (WKErBo)</t>
  </si>
  <si>
    <t xml:space="preserve">Forschungsinstitut für biologischen Landbau Deutschland</t>
  </si>
  <si>
    <t xml:space="preserve">Federal Organic Farming Scheme (BÖL)</t>
  </si>
  <si>
    <t xml:space="preserve">This project aims to produce and process an alternative protein source in a sustainable and economical process. Side streams from the sugar industry are converted into biomass by an edible mushroom, which is then further processed into mushroom/meat hybrid products.</t>
  </si>
  <si>
    <t xml:space="preserve">Edgy Veggie plant based meat</t>
  </si>
  <si>
    <t xml:space="preserve"> Purpose and goal: 
 The partnership with Movement Sales partners (now Conaxess trade) has successfully met its purpose. The project had the aim to increase our customer base and increase our visibility as a well-established Swedish brand, in order for the consumers to have a bigger range of sustainable and Swedish meat-substitutes to choose from. 
 The project has developed in parallel to the sales conducted by our sales officer, and to the work done on our marketing channels to increase our attractiveness. 
 Expected results and effects: 
 The project has allowed us to increase our customer base, predominantly in the area of Stockholm, followed by Skåne and Göteborg. The project has also led us to increase our brand recognition and brand awareness with the final consumers, and the increased visibility and interest in our brand and products has had a positive impact on our brand validation within the industry, which has allowed us to attract the interest of several players. 
 Approach and implementation: 
 The partnership financed with the project was extended from being a 10-month partnership to a 12-month partnership due to a setback experienced during the summer months. The project was administered by Edgy Veggie and carried out in collaboration with Movement Sales Partner (now Conaxess trade). Edgy Veggie’s team worked in parallel with Movement to facilitate the implementation of the project.</t>
  </si>
  <si>
    <t xml:space="preserve">https://www.vinnova.se/en/p/edgy-veggie-plant-based-meat/</t>
  </si>
  <si>
    <t xml:space="preserve">grant.9731428</t>
  </si>
  <si>
    <t xml:space="preserve">Original award amount is SEK 300,000.</t>
  </si>
  <si>
    <t xml:space="preserve">Edgy Veggie</t>
  </si>
  <si>
    <t xml:space="preserve">Movement Sales Partner</t>
  </si>
  <si>
    <t xml:space="preserve">Re:meat Cultivator</t>
  </si>
  <si>
    <t xml:space="preserve">Aim and goal: Re:meat's mission is to contribute to radically reducing greenhouse gas emissions by redefining how meat ends up on our plates. Re:meat will build production for farmed meat in Sweden, which has the potential beyond the climate to contribute to societal innovation, reduced imports and increase food safety in northern Europe. The project aims to strengthen relevance by developing with selected partners a prototype of a cultivator with new sterilization technology to drastically reduce costs and be able to adapt for future cost-effective meat production. Expected effects and results: According to the UN, global food systems account for 23-42% of global greenhouse gas emissions (IPCC's Sixth Assessment Report). Farmed beef has the potential on an industrial scale to reduce the CO2 footprint by 92% compared to conventional beef. Re:meat's vision is to offer all people to enjoy sustainable meat. To achieve that, our mission is to redefine how meat ends up on our plates, not to change what's on them. To limit the need for behavioral change and create demand, the farmed meat must be affordable, which this project aims to prove. Design and execution: The project aims to prove a functional new sterilization technique of a cultivator/bioreactor. The data should demonstrate that the new sterilization technique is capable of maintaining sterility at par with conventional methods such as "steam in place". This is measured in the number of bacterial colonies. The new sterilization aims to radically reduce costs by at least 2.5x compared to conventional bioreactors. Together with a biotech partner, we will estimate the cost reduction based on Re:meat's IP and the new bioreactor design.</t>
  </si>
  <si>
    <t xml:space="preserve">https://www.vr.se/swecris.html#/project/2023-02161_Vinnova</t>
  </si>
  <si>
    <t xml:space="preserve">grant.13759825, grant.14500641</t>
  </si>
  <si>
    <t xml:space="preserve">Birgitta Schiöld</t>
  </si>
  <si>
    <t xml:space="preserve">Re:Meat</t>
  </si>
  <si>
    <t xml:space="preserve">30/10/2024</t>
  </si>
  <si>
    <t xml:space="preserve">Inktelligent Foods – enabling cultivated seafood products</t>
  </si>
  <si>
    <t xml:space="preserve">Cultivated meat and seafood are a sustainable and animal-friendly method to produce food using cell culture and offers an alternative to the currently intensive farming and fishing practices. A crucial step in cultivated meat/seafood is the development of cell lines with robust proliferation and differentiation capability. In nature, octopuses display an innate capacity for muscle growth and regeneration. By leveraging their muscle regeneration capacity, I will establish octopus-derived muscle cell lines aiming at producing cultivated octopus meat. The generated knowledge and methodologies could be applied to other species, ultimately enabling, and fostering the cultivated meat and seafood industries.</t>
  </si>
  <si>
    <t xml:space="preserve">https://www.wur.nl/nl/nieuws/tien-veni-beurzen-voor-wur.htm</t>
  </si>
  <si>
    <t xml:space="preserve">grant.14368878</t>
  </si>
  <si>
    <t xml:space="preserve">Joao Marques Garcia</t>
  </si>
  <si>
    <t xml:space="preserve">Nutritious Food ingredients from Fermented Plant-based fibrous side-strems</t>
  </si>
  <si>
    <t xml:space="preserve">Fredrik Jonsson</t>
  </si>
  <si>
    <t xml:space="preserve">Tekinn AB</t>
  </si>
  <si>
    <t xml:space="preserve">Olik plantbased cheese</t>
  </si>
  <si>
    <t xml:space="preserve">Advancing the protein shift using chickpea protein for the people and the planet</t>
  </si>
  <si>
    <t xml:space="preserve">Purpose and goal: 
The purpose of our project was to address the need for improved sensory and texture properties in plant-based products by developing a high-quality chickpea protein isolate. 
Objectives:
Research and Literature Review: Our objective was to conduct comprehensive research and literature review on the extraction process of chickpea protein isolate. 
Optimization of Extraction Process: We aimed to optimize the extraction process to obtain high-quality chickpea protein isolate. 
Validation with Customers: Our objective was to validate the labscale samples with potential customers. 
Expected results and effects: 
Research and Literature Review
We successfully conducted extensive research and literature review on the extraction process of chickpea protein isolate. 
Optimization of Extraction Process
Through our dedicated efforts, we achieved the goal of optimizing the extraction process. This resulted in the production of high-quality chickpea protein isolate.
Validation with Customers
We aimed to validate the labscale samples with potential customers. We engaged with a diverse range of customers and received positive feedback and interest in our product. 
Approach and implementation: 
** Denna text är maskinöversatt ** 
Throughout the project, we executed a well-structured plan to achieve our goals. Our research and literature review on chickpea protein isolate extraction provided valuable insights. We optimized the process, surpassing industry benchmarks in purity, functionality, and sensory attributes. Collaborations with companies of various sizes resulted in letters of intent, affirming market demand. The upcoming pilot production phase in September aims to validate our product with customers.</t>
  </si>
  <si>
    <t xml:space="preserve">https://www.vr.se/swecris.html#/project/2022-02122_Vinnova</t>
  </si>
  <si>
    <t xml:space="preserve">grant.13285640</t>
  </si>
  <si>
    <t xml:space="preserve">18/11/2029</t>
  </si>
  <si>
    <t xml:space="preserve">Organic mung bean based taste innovation for plant based growth</t>
  </si>
  <si>
    <t xml:space="preserve">Purpose and goal: ** Denna text är maskinöversatt ** Aim of the project was to, with increased sales efforts and underlying market support, start an export towards the German market with Oh Mungood as a brand. A way to get more people to eat plant-based and organic. With successful results. Both direct deals, agreements with wholesalers, presence on site, an established work with a distributor and the award "Internorga future food award". A prestigious award that we are very proud of and which, together with the project´s support, has given us a good start for continued establishment in this market. Expected results and effects: The project has resulted in sales materials, a German website, German packaging design, direct sales efforts, German distributor, two fairs and other sales consultants. This in turn has given a successful results in the form of actual deals, agreements and awards. Approach and implementation: Through project management, we have mainly been able to make direct sales efforts and efforts for the production of materials by consultants. We have also been able to be present at two fairs. We have both worked with old collaborations and partners but also had the opportunity to dare to go in with a new German distributor. It has proven to give very good results and we feel very satisfied with the outcome. We would not have been able to make this effort without this support.</t>
  </si>
  <si>
    <t xml:space="preserve">https://www.vr.se/swecris.html#/project/2023-02435_Vinnova</t>
  </si>
  <si>
    <t xml:space="preserve">grant.13759889</t>
  </si>
  <si>
    <t xml:space="preserve">Breakthrough Dairy Innovation</t>
  </si>
  <si>
    <t xml:space="preserve">Cirkulär AB</t>
  </si>
  <si>
    <t xml:space="preserve">Transforming Brewers spend grains into Nutritious Food Ingredients through Novel Fermentation Techniques"</t>
  </si>
  <si>
    <t xml:space="preserve">Purpose and goal: Together with a leading food retailer and a pioneer in plant-based alternatives, we will refine fiber residues from beverage production. Through advanced fermentation, the remains are converted into high-quality ingredients, while bitter substances and other unwanted substances are eliminated. The goal is to optimize the use of resources, promote circular flows and contribute to a more sustainable and diversified food market. The project addresses the need to reduce waste and utilize underutilized resources, which is crucial for future food production. Expected results and effects: Overall, the project is expected to result in an optimized fermentation process for the specific fiber residue, a carefully evaluated and functionally appropriate ingredient for plant-based food products, and evaluation of the ingredient´s potential in a larger food chain and market potential for finished end products based on the ingredient, all while contributing to sustainability and innovation in the food sector. Approach and implementation: - Tekinn will process and analyze the fiber material, striving for efficiency and quality - Conduct business development and network building, with market analysis and partnership as a priority. - Collaborate with a producer of plant-based alternatives to create new plant-based nutritional products, - Collaborate with a leading food retailer focusing on sustainable product concepts and an integration into broader sustainability initiatives.</t>
  </si>
  <si>
    <t xml:space="preserve">https://www.vr.se/swecris.html#/project/2023-02049_Vinnova</t>
  </si>
  <si>
    <t xml:space="preserve">grant.13759778</t>
  </si>
  <si>
    <t xml:space="preserve">Food truck as a portable educational environment around plant-based food and blue proteins</t>
  </si>
  <si>
    <t xml:space="preserve">Gunilla Martinsson</t>
  </si>
  <si>
    <t xml:space="preserve">Munkedals kommun</t>
  </si>
  <si>
    <t xml:space="preserve">Plant-based protein cereal as a breakfast alternative to animal proteins</t>
  </si>
  <si>
    <t xml:space="preserve">Andrea Lindgren</t>
  </si>
  <si>
    <t xml:space="preserve">Lindsing AB</t>
  </si>
  <si>
    <t xml:space="preserve">Co-creation and didactics, step 2 in the Hofors model for sustainable school meals</t>
  </si>
  <si>
    <t xml:space="preserve">Swedish Plant-based Meat Analogues - Generation 2</t>
  </si>
  <si>
    <t xml:space="preserve"> Purpose and goal: 
 The aim of the project was to produce a healthier and more attractive second generation of plant-based, meat-like products based on an all-Swedish raw material, protein extraction and product processing. Improved healthiness and liking were achieved by fermentation. This was made possible by cooperation between two main Swedish stakeholders (Lantmännen R&amp;D, Orkla Foods Sverige) and RISE.
 Protein fermentation combined with enzymatic treatment of the protein concentrate resulted in removal of phytic acid thus greatly improving bioavailability of iron and zinc, and a decrease in oligosaccharide and starch content. 
 Expected results and effects: 
 Fermentation, extraction and extrusion was developed and upscaled to 100 kg scale and was proven to be efficient.
 One of the stakeholders is currently preparing for large scale processing of pea protein and will utilize the project results.
 Improvement of iron and zinc bioavailability is expected to significant effect on general health especially for women in reproductive ages.
 Reduction of oligosaccharide content will significantly reduce the negative effects of legume protein such as stomachache. 
 Approach and implementation: 
 The cooperation between two major commercial stakeholders (Lantmännen R&amp;D, Orkla Foods Sverige) and a research institute provided a fast route to implementation. Frequent project meetings ensured efficient knowledge transfer. An open seminar at the end of the project further disseminated the positive findings from the project.
 Involvement of food scientists, material and simulation specialists, microbiology experts and production engineers contributed to smooth progress in the project in all areas.</t>
  </si>
  <si>
    <t xml:space="preserve">https://www.vr.se/english/swecris.html#/project/2021-03556_Vinnova</t>
  </si>
  <si>
    <t xml:space="preserve">grant.9970255</t>
  </si>
  <si>
    <t xml:space="preserve">RISE Research Institutes of Sweden AB</t>
  </si>
  <si>
    <t xml:space="preserve">Lantmännen, Orkla</t>
  </si>
  <si>
    <t xml:space="preserve">31/10/2023</t>
  </si>
  <si>
    <t xml:space="preserve">UNLEASHING THE POTENTIAL OF MICROALGAE AS A MULTIPURPOSE CROP FOR FOOD AND ENERGY PRODUCTION</t>
  </si>
  <si>
    <t xml:space="preserve">Depleting fossil fuels, soaring oil prices and alarming climate changes drive an urgent need for renewable and sustainable sources of energy and food production. One of the best prospects are microalgae whose lipids and biomass provide enormous opportunities to meet the global energy and food demand sustainably without competing for arable land. However, exploiting their potential in industrial production remains limited because their overall yields are low. We will solve this problem by developing unique microalgae through which massive flows of carbon and energy are directed towards biomass and lipid production via rational strain engineering. The increased yields lower production costs as a prerequisite for cost-efficient large-scale cultivation for biofuel and food purposes.</t>
  </si>
  <si>
    <t xml:space="preserve">https://www.carlsbergfondet.dk/en/what-we-have-funded/cf22-1151/</t>
  </si>
  <si>
    <t xml:space="preserve">Original award amount is DKK 299,255.</t>
  </si>
  <si>
    <t xml:space="preserve">Hussam Hassan Nour-Eldin</t>
  </si>
  <si>
    <t xml:space="preserve">Molecular Plant Biology</t>
  </si>
  <si>
    <t xml:space="preserve">FiBL Deutschland e.V.</t>
  </si>
  <si>
    <t xml:space="preserve">Vegan cold cuts made from fermented root vegetables (FerBeet)</t>
  </si>
  <si>
    <t xml:space="preserve">Obtaining proteins from alfalfa for human nutrition</t>
  </si>
  <si>
    <t xml:space="preserve">Oceanium: Biorefining UK seaweed to produce sustainable functional protein products</t>
  </si>
  <si>
    <t xml:space="preserve">Biorefineries are integrated facilities that convert renewable biomass raw materials (e.g., wood, crops, manure) into fuel, power, and chemicals. Biorefineries have the potential to play an important role in reducing our reliance on fossil fuels, reducing global greenhouse gas emissions, and delivering sustainable, carbon-neutral biobased products and energy to meet the needs of our rising global population. Seaweed has recently received significant attention as a potential biomass raw material that does not require land during production; thus, avoiding the "fuel versus food" debate in Europe associated with land-based biomass raw materials such as oilseed rape. In addition, seaweed production does not require freshwater, fertiliser, or insecticides. However, numerous studies to date (Bruhn et al., 2011; Adams et al., 2017) have demonstrated that the increased costs associated with cultivating, harvesting, transporting, and processing seaweed make seaweed uneconomic as a sole source of biofuel (value of less than £1/kg; Cefas, 2016). A biorefinery approach addresses this economic challenge by co-extracting biochemicals from seaweed. These biochemicals create a "pyramid of value" for seaweed (Cefas, 2016), encompassing added-value commodities (value of £1-£5/kg), speciality products (value of £5-£1,000/kg seaweed), bioactives (value of more than £2,000/kg), and special applications (more than £5,000/kg). Based in the European Marine Science Park in Oban, Oceanium is a biotech start-up developing an innovative seaweed biorefinery process for the sustainable production of food ingredients, nutraceuticals, and biopackaging from UK farmed kelp. Kelps are large brown seaweeds, which grow in dense growths or forests, providing habitats for numerous invertebrates, fish, marine mammals, and birds. With funding from Innovate UK/Sky Ocean Ventures, we are currently developing the biorefinery process steps for producing marine-safe biopackaging from farmed kelp, as a replacement for plastics. We rely on sustainably farmed kelp to avoid the environmental damage potentially associated with large-scale wild harvesting of kelp. In this proposed project, we will develop the biorefinery process steps for co-extraction of protein and fibre from kelp, delivering novel alternative protein and fibre sources. We will sell these new products to key speciality chemicals/food ingredient suppliers, who are urgently looking for new, sustainable, clean-label, allergy-free, and vegan sources of protein and fibre to meet growing consumer demand. By developing the processing infrastructure for extracting value from seaweed, we will enable and support the sustainable seaweed farming industry in the UK/EU to scale.</t>
  </si>
  <si>
    <t xml:space="preserve">https://gtr.ukri.org/projects?ref=10030074</t>
  </si>
  <si>
    <t xml:space="preserve">grant.9452603</t>
  </si>
  <si>
    <t xml:space="preserve">Joanne Robinson</t>
  </si>
  <si>
    <t xml:space="preserve">Oceanium Ltd</t>
  </si>
  <si>
    <t xml:space="preserve">Sustainable Hemp innovations - From waste to win</t>
  </si>
  <si>
    <t xml:space="preserve">Purpose and goal: ** Denna text är maskinöversatt ** The project mainly aimed to acquire new knowledge and new skills about hemp, its cultivation ability and the extraction possibility of hemp protein, properties and potential for use in new foods The aim was to use this knowledge to develop new or improved types of processes and product prototypes in the dairy and meat analogue segment for the vegan and vegetarian market, thereby increasing the resource efficiency of Swedish-grown hemp and creating economic and environmental sustainability. Expected results and effects: The project resulted in new knowledge and the development of an extraction process that was tested in scale-up trials. The properties of the extracted protein proved to have great potential to be used for various types of food applications. The protein has been used in the production of extruded meat analogs for which a new type of extrusion process has been developed that reduces energy consumption by over 70%, as well as the production of ice cream prototypes. In addition, meat analogs based on commercial hemp concentrate and gluten or chickpea have been developed and sensory tested. Approach and implementation: All participants of the project team ensured that the content, structure, and implementation both maintained a high scientific level and that the results were relevant to the activities of the industrial partners. The work packages were carried out according to the plans and well anchored in the project´s overall objective, and the project team´s knowledge and skills were utilized and strengthened. Regular project meetings and activities created an open and equal atmosphere where everyone had a say and everyone´s opinions and ideas were well received.</t>
  </si>
  <si>
    <t xml:space="preserve">https://www.vinnova.se/en/p/sustainable-hemp-innovations---from-waste-to-win/</t>
  </si>
  <si>
    <t xml:space="preserve">grant.9970259</t>
  </si>
  <si>
    <t xml:space="preserve">Mäteria Technologies Ab</t>
  </si>
  <si>
    <t xml:space="preserve">Meat, Dairy</t>
  </si>
  <si>
    <t xml:space="preserve">Icecream</t>
  </si>
  <si>
    <t xml:space="preserve">Ingredient optimisation, End product formulation</t>
  </si>
  <si>
    <t xml:space="preserve">KMUi-BÖ04: WETEXsea - Wet extrusion as a key technology for the production of fish and seafood substitutes from alternative proteins</t>
  </si>
  <si>
    <t xml:space="preserve">Fraunhofer-IVV</t>
  </si>
  <si>
    <t xml:space="preserve">Target group-specific strategies for more domestic legume consumption</t>
  </si>
  <si>
    <t xml:space="preserve">From fields to shelves, locally produced and processed fava beans for meat and dairy analogues</t>
  </si>
  <si>
    <t xml:space="preserve">Purpose and goal: In total the project was successful in some parts. We were able to decrease the antinutrients of phytic acid, lectins, vicine and convicine However the consumer analysis showed that the final products are not good enough in taste and texture. Expected results and effects: The decrease of antinutrients were: Convicin from 660 to 250 mg/kg Visin from 1590 to 940 mg/kg Phyctic acid measured less than 0,1 g/100g This will have a positive impact in the nutrient content of the plant based products using our method. Consumers will hopefully see the reduction of antinutrients as positive. Regarding the selection of varieties, the choice fell on Tiffany. Tiffany is well suited to grow in the Swedish climate and has a good nutrient profile, as well as containing low levels of the substances that cause "favism". Approach and implementation: We divided the project into five work packages. Each work package was followed by an analysis of the results. Each work package project leader disseminate the results to the rest of the group. Hence the next work package leader could take the results into account for their work package.</t>
  </si>
  <si>
    <t xml:space="preserve">https://www.vinnova.se/en/p/from-fields-to-shelves-locally-produced-and-processed-fava-beans-for-meat-and-dairy-analogues/</t>
  </si>
  <si>
    <t xml:space="preserve">grant.9970154</t>
  </si>
  <si>
    <t xml:space="preserve">Havredals Biodevelop Ab</t>
  </si>
  <si>
    <t xml:space="preserve">Kompetenzzentrum Ökolandbau Niedersachsen GmbH</t>
  </si>
  <si>
    <t xml:space="preserve">VAN HEES GmbH</t>
  </si>
  <si>
    <t xml:space="preserve">Plant breeding research P2 joint project: 'Rapeseed as a domestic source of high-quality protein for human nutrition (RaPEQ - P2)', sub-project D</t>
  </si>
  <si>
    <t xml:space="preserve">Department of Nutrition and Food Sciences - Chair of Food Chemistry and Molecular Sensory Science</t>
  </si>
  <si>
    <t xml:space="preserve">Joint project: Process development for the production of functional oat protein concentrates (funHapro) - subproject B</t>
  </si>
  <si>
    <t xml:space="preserve">https://foerderportal.bund.de/foekat/jsp/SucheAction.do?actionMode=view&amp;fkz=281A807B21</t>
  </si>
  <si>
    <t xml:space="preserve">H. &amp; J. Brüggen KG</t>
  </si>
  <si>
    <t xml:space="preserve">Development of novel Penicillium strains optimised for mould-ripened plant-based cheese manufacturing</t>
  </si>
  <si>
    <t xml:space="preserve"> _Penicillium_ fungi are used in mould-ripened dairy cheese production. Frequently used strains include _P. roqueforti_ and _P. camemberti_. These are typically commercial strains purchased from a select few dedicated strain manufacturers that service the global market or are historical strains that have been cultured by the dairy or cheesemakers themselves.
 Plant-based (vegan) cheese represents the fastest growing sector of the global cheese market. However, existing commercial _Penicillium_ strains optimised for dairy milk frequently give poor results on plant-based substrates, producing high levels of mycotoxins, driven by the relatively high carbohydrate content of plant-based substrates (as compared to dairy milk). This limits the quality and variety of vegan cheeses available.
 There is an unmet need for optimised _Penicillium_ strains exhibiting improved and novel phenotypic traits to support the production of 'authentic' mould-ripened vegan cheesemaking.
 Myconeos are a UK SME exploiting IP developed with previous Innovate UK Smart funding. They have developed innovative GM-free methods for expanding genetic diversity in fungal strains. This is based on the discovery of a mechanism to induce sexual reproduction of 'asexual fungal strains', enabling natural breeding alongside established strain development techniques.
 Using a mixture of angel investment, private equity, and the previous Innovate UK Smart award, Myconeos have created entirely novel strains of _P. roqueforti, P. biforme,_ and _P. camemberti_. These have been proven to create innovative flavour and colour profiles for dairy cheese manufacturers and are being commercialised.
 Myconeos will now create novel _Penicillium_ strains optimised for plant-based cheesemaking. These strains will exhibit higher cellulase and amylase activity (for plant and starch-based substrates) and higher protease activity (for nut-based substrates) to create higher-quality vegan cheeses. The project outputs create an unparalleled opportunity to expand the UK's cheese manufacturing industry, and further support the UK's first cheesemaking fungal strain developer to create another unique market offering.</t>
  </si>
  <si>
    <t xml:space="preserve">https://gtr.ukri.org/projects?ref=10061661</t>
  </si>
  <si>
    <t xml:space="preserve">grant.13887622</t>
  </si>
  <si>
    <t xml:space="preserve">Jacek Obuchowicz</t>
  </si>
  <si>
    <t xml:space="preserve">MYCONEOS LIMITED</t>
  </si>
  <si>
    <t xml:space="preserve">Plant breeding research P2 joint project: 'Rapeseed as a domestic source of high-quality protein for human nutrition (RaPEQ - P2)', sub-project A</t>
  </si>
  <si>
    <t xml:space="preserve">Plant breeding research P2 joint project: 'Rapeseed as a domestic source of high-quality protein for human nutrition (RaPEQ - P2)', sub-project B</t>
  </si>
  <si>
    <t xml:space="preserve">Justus-Liebig-Universität Gießen - FB 09 - Agrarwissenschaften</t>
  </si>
  <si>
    <t xml:space="preserve">Plant breeding research P2 joint project: 'Rapeseed as a domestic source of high-quality protein for human nutrition (RaPEQ - P2)', sub-project C</t>
  </si>
  <si>
    <t xml:space="preserve">Faculty of Agricultural Sciences - Department of Crop Sciences</t>
  </si>
  <si>
    <t xml:space="preserve">Spore-reduced vegetable protein concentrates with low degree of denaturation through sequential membrane filtration</t>
  </si>
  <si>
    <t xml:space="preserve">https://foerderportal.bund.de/foekat/jsp/SucheAction.do?actionMode=view&amp;fkz=01IF23019N</t>
  </si>
  <si>
    <t xml:space="preserve">grant.13952522</t>
  </si>
  <si>
    <t xml:space="preserve">31/3/2026</t>
  </si>
  <si>
    <t xml:space="preserve">Levelling up: cultured meat bioprocess intensification for scalable commercial production</t>
  </si>
  <si>
    <t xml:space="preserve">Cultured Meat offers enormous potential for addressing concerns around sustainability, animal welfare and environmental impact of the traditional meat industry. However, technoeconomic challenges remain in scaling production to meet market demand, estimated to reach $20Bn by 2030\.
Cultured meat is produced by directly culturing animal cells. This production method eliminates the need to raise and farm animals for food, meaning that cultured meat production has a considerably lower environmental impact than its conventional counterpart. Cultured meat consists of the same cell types that can be arranged in the same structure as animal tissues to replicate the taste, texture and nutritional profiles of conventional meat.
Producing cultured meat can be challenging due to longevity of most cell lines and their abilities to differentiate into required cell types, including muscle and fat.
Roslin Technologies (RTL) are the first and leading provider of high quality cell lines for the cultivated meat sector. We develop induced pluripotent stem cell lines (iPSC) that can differentiate into muscle and fat, supported by customised cell culture media and processes. Our cells are well suited to the cultured meat industry as they are non-GMO, grow quickly, are genetically stable and can grow in suspension culture without the need for additional scaffolds. At RTL we have demonstrated our cells can grow in small-scale benchtop bioreactors, but the next step is to transfer this to industry relevant pilot-scale bioreactors.
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 Researchers will work to optimise cell yields, quality and safety through media and bioprocess development. The data and know how generated by this project will help demonstrate the commercial potential of RTL cells and position TCH as a leading CDMO for cultured meat bioprocess development. The projects focus on cultured meat safety will also provide valuable information to regulators and policy makers to help define UK CM quality and safety standards. We believe this will benefit cultured meat producers and the industry as a whole to reach mass consumer markets faster. Ultimately this will support a more resilient food system and contribute to Paris Agreement goals and the UN Framework Convention on Climate Change.</t>
  </si>
  <si>
    <t xml:space="preserve">https://www.ukri.org/news/uk-switzerland-collaborations-announced-for-emerging-technology-projects/</t>
  </si>
  <si>
    <t xml:space="preserve">grant.14052701</t>
  </si>
  <si>
    <t xml:space="preserve">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t>
  </si>
  <si>
    <t xml:space="preserve">The Cultured Hub</t>
  </si>
  <si>
    <t xml:space="preserve">Cultured Hub</t>
  </si>
  <si>
    <t xml:space="preserve">Roslin</t>
  </si>
  <si>
    <t xml:space="preserve">KMUi-BÖ03: FUTURE – Cell carriers to support cultivated, new meat technology</t>
  </si>
  <si>
    <t xml:space="preserve">Modulation of the organoleptic properties of vegan yogurt alternatives using a pectin-based structuring approach</t>
  </si>
  <si>
    <t xml:space="preserve">https://www.fei-bonn.de/gefoerderte-projekte/projektdatenbank/aif-21325-n.projekt</t>
  </si>
  <si>
    <t xml:space="preserve">Original award amount is EUR 270,530.</t>
  </si>
  <si>
    <t xml:space="preserve">Heike P. Karbstein</t>
  </si>
  <si>
    <t xml:space="preserve">Food Process Engineering</t>
  </si>
  <si>
    <t xml:space="preserve">Karlsruhe Institute of Technology (KIT)</t>
  </si>
  <si>
    <t xml:space="preserve">Ulrike van der Schaaf</t>
  </si>
  <si>
    <t xml:space="preserve">Tailor-made ingredients 2 - Joint project: 'Carotenoid pathway design: a synthetic biology approach with Rhodospirillum rubrum as production manager (RhoCrt)' - subproject B</t>
  </si>
  <si>
    <t xml:space="preserve">https://foerderportal.bund.de/foekat/jsp/SucheAction.do?actionMode=view&amp;fkz=031B0835B</t>
  </si>
  <si>
    <t xml:space="preserve">Hochschule Biberach</t>
  </si>
  <si>
    <t xml:space="preserve">Fermented cheese substitute made from local raw materials (LinCheese)</t>
  </si>
  <si>
    <t xml:space="preserve">Evaluation of the technofunctional potential of oil press cakes in textured vegetable proteins (TVP)</t>
  </si>
  <si>
    <t xml:space="preserve">https://foerderportal.bund.de/foekat/jsp/SucheAction.do?actionMode=view&amp;fkz=01IF21340N</t>
  </si>
  <si>
    <t xml:space="preserve">grant.13951255</t>
  </si>
  <si>
    <t xml:space="preserve">30/4/2024</t>
  </si>
  <si>
    <t xml:space="preserve">Cheese from Peas: Maximising Use and Nutritional Value of UK Pulses for Dairy Alternatives</t>
  </si>
  <si>
    <t xml:space="preserve"> Cheese from Peas focuses on physical processing of whole legume seeds driving their natural nutrients to an unparalleled high degree of functionality with zero-waste generation. It enables rapid physical transformation of starch together with protein activation to achieve a pea flour delivering the desired texture and oil binding for vegan cheeses, removing the need of synthetic emulsifiers, unsustainable tropical fats, and gelling agents.
 Our technology also significantly reduces the negative beany flavour and taste typical of legume seeds, and enhances their natural colour, reducing artificial flavourings and colourings content in vegan cheese. Additionally, our technological solution is applicable to different yellow pea varieties and designed to enable rapid scale-up. Given the compositional and structural similarities across legume seeds (pea, lentils, fava bean) it is expected that our solution can be readily applied to all legumes, thus maximising its potential of applications and business growth.
 The outputs include a new process (platform) for making ingredients in the form of functional flours for cheeses from pulses, benchmarking of results, early NDP trails, and validation of ingredients applications; all at laboratory scale. These will validate our technology, its application, and market fit, while simultaneously significantly improving the company profile and attractiveness for raising private investment.
 The project outputs will inform the next development stage of pilot trials and prototyping of cheese applications with large potential customers. Project results will also be used in the future on other applications which we have already trialled into early laboratory-scale prototypes, enabling us to develop more products in other segments from the same ingredients' development platform.</t>
  </si>
  <si>
    <t xml:space="preserve">https://gtr.ukri.org/projects?ref=10072090</t>
  </si>
  <si>
    <t xml:space="preserve">grant.14050646</t>
  </si>
  <si>
    <t xml:space="preserve">Collaborative project: Matured cheese alternatives based on recombinant milk proteins and vegetable fats (REALKAE) - Subproject A</t>
  </si>
  <si>
    <t xml:space="preserve">Formo Bio GmbH</t>
  </si>
  <si>
    <t xml:space="preserve">https://gtr.ukri.org/projects?ref=BB%2FW01923X%2F1</t>
  </si>
  <si>
    <t xml:space="preserve">Lars Ostergaard</t>
  </si>
  <si>
    <t xml:space="preserve">John Innes Centre</t>
  </si>
  <si>
    <t xml:space="preserve">Hochschule Fulda</t>
  </si>
  <si>
    <t xml:space="preserve">AI-Optimised Fermentation for Sustainable Protein Production from Food Side Streams</t>
  </si>
  <si>
    <t xml:space="preserve">https://gtr.ukri.org/project/41249181-D241-4DD8-8A99-DFD59E83C742</t>
  </si>
  <si>
    <t xml:space="preserve">Nicholas Watson</t>
  </si>
  <si>
    <t xml:space="preserve">International Science Partnerships Fund (ISPF)</t>
  </si>
  <si>
    <t xml:space="preserve">Tailor-made ingredients 2 - Joint project: 'Carotenoid pathway design: a synthetic biology approach with Rhodospirillum rubrum as production manager (RhoCrt)' - subproject A</t>
  </si>
  <si>
    <t xml:space="preserve">https://foerderportal.bund.de/foekat/jsp/SucheAction.do?actionMode=view&amp;fkz=031B0835A</t>
  </si>
  <si>
    <t xml:space="preserve">Universität Stuttgart</t>
  </si>
  <si>
    <t xml:space="preserve">Landwirtschaftliches Technologiezentrum Augustenberg</t>
  </si>
  <si>
    <t xml:space="preserve">Joint project: Use of side streams from bioethanol production to provide proteins for human nutrition (BioProHuman) - subproject A</t>
  </si>
  <si>
    <t xml:space="preserve">https://foerderportal.bund.de/foekat/jsp/SucheAction.do?actionMode=view&amp;fkz=281A803A21</t>
  </si>
  <si>
    <t xml:space="preserve">Technische Universität Hamburg</t>
  </si>
  <si>
    <t xml:space="preserve">Novameat Gets €250,000 From Spanish Govt, Partners With Culinary Gastronomy All-Star Team From Disfrutar</t>
  </si>
  <si>
    <t xml:space="preserve">https://thespoon.tech/novameat-gets-e250000-funding-from-spanish-govt-partners-with-culinary-gastronomy-all-star-team-from-disfrutar/</t>
  </si>
  <si>
    <t xml:space="preserve">Original award amount is EUR 250,000.</t>
  </si>
  <si>
    <t xml:space="preserve">Giuseppe Scionti</t>
  </si>
  <si>
    <t xml:space="preserve">Novameat</t>
  </si>
  <si>
    <t xml:space="preserve">Disfrutar</t>
  </si>
  <si>
    <t xml:space="preserve">New strategies for sustainable cellular fish production</t>
  </si>
  <si>
    <t xml:space="preserve">To this end, CleanFish aims to revolutionize traditional processes for obtaining fish-based food products, using cellular agriculture strategies based on 3 innovative factors: 1. In vitro production of fish muscle/adipose tissue through electrical stimulation and delivery of key molecules CleanFish adopts a new approach to the differentiation of fish cells into muscle tissue, exploiting the effect of electrical stimulation to enhance their formation. In addition, previous studies indicate that certain key molecules (e.g. vitamins and specific ions) can stimulate the production of fat and collagen. Thus, bioinks and scaffolds will be manufactured with conductive biomolecules or materials obtained from plants and algae, rich in these key molecules. 2. Production of edible materials by combining algae and fish cells Fish meat produced by cellular agriculture and in the body of a fish are biologically identical. The nutritional and sensory properties of fish meat of animal origin result from the bioaccumulation of compounds, such as long-chain polyunsaturated β3 fatty acids, obtained from consumed algae. CleanFish explores the revolutionary idea of ​​co-culturing and/or bioprinting fish cells and microalgae to improve the organoleptic properties of fish products obtained from cell culture. The co-culture of autotrophic and heterotrophic species can mitigate GHG emissions and contribute to the development of more sustainable and nutritious food products. 3. 3D bioprinting of fish tissue and optimizing the consumer experience CleanFish will produce the adipose and muscle sections of fish tissue using bioprinting techniques, allowing a precise deposition of the different components recreating, with a high level of detail, the texture of a fish fillet, building on the existing knowledge of iBB/IST-ID. The aligned electroconductive fiber meshes composed of edible proteins will be combined with 3D bioprinted fish cells in order to complement the biological, nutritional and organoleptic properties of the obtained tissues. </t>
  </si>
  <si>
    <t xml:space="preserve">https://sciproj.ptcris.pt/175916PRJ</t>
  </si>
  <si>
    <t xml:space="preserve">grant.13264195</t>
  </si>
  <si>
    <t xml:space="preserve">Original award amount is EUR 247,610.</t>
  </si>
  <si>
    <t xml:space="preserve">Telecommunications Institute (IT), Portuguese Institute of the Sea and Atmosphere (IPMA), Brazilian Agricultural Research Company (Embrapa), Nanyang Technical University</t>
  </si>
  <si>
    <t xml:space="preserve">Fundação para a Ciência e Tecnologia (FCT)</t>
  </si>
  <si>
    <t xml:space="preserve">Cell line development, End product formulation</t>
  </si>
  <si>
    <t xml:space="preserve">Collaborative project: Establishment of innovative breeding approaches to make sunflowers competitive as an oil and protein fruit for the German market (ProSun) - Subproject A</t>
  </si>
  <si>
    <t xml:space="preserve">KWS SAAT SE &amp; Co. KGaA</t>
  </si>
  <si>
    <t xml:space="preserve">Optimization of organically produced pea starch for use in innovative foods</t>
  </si>
  <si>
    <t xml:space="preserve">Technische Universität Berlin</t>
  </si>
  <si>
    <t xml:space="preserve">Fish fillet substitute product (FiFi)</t>
  </si>
  <si>
    <t xml:space="preserve">https://gtr.ukri.org/projects?ref=10058186</t>
  </si>
  <si>
    <t xml:space="preserve">Gail Shuttleworth</t>
  </si>
  <si>
    <t xml:space="preserve">THE BIORENEWABLES DEVELOPMENT CENTRE LIMITED</t>
  </si>
  <si>
    <t xml:space="preserve">Development of a biotechnological process for the production of aggregated fish cells for the industrial production of animal-free, fish-substituting foods</t>
  </si>
  <si>
    <t xml:space="preserve">Bayerische Landesanstalt für Landwirtschaft (LfL)</t>
  </si>
  <si>
    <t xml:space="preserve">Landwirtschaftskammer Nordrhein-Westfalen</t>
  </si>
  <si>
    <t xml:space="preserve">Cultural entrepreneurship in vegan meat markets</t>
  </si>
  <si>
    <t xml:space="preserve">https://gtr.ukri.org/projects?ref=ES%2FY003667%2F1</t>
  </si>
  <si>
    <t xml:space="preserve">Yanfei Hu</t>
  </si>
  <si>
    <t xml:space="preserve">Economic and Social Research Council (ESRC)</t>
  </si>
  <si>
    <t xml:space="preserve">Happy Ocean Foods GmbH</t>
  </si>
  <si>
    <t xml:space="preserve">Towards Commercial Protein Production through Co-Engineering Marine Microorganisms and Feedstocks for Precision Fermentation</t>
  </si>
  <si>
    <t xml:space="preserve">https://gtr.ukri.org/projects?ref=10086903</t>
  </si>
  <si>
    <t xml:space="preserve">James Dunce</t>
  </si>
  <si>
    <t xml:space="preserve">BRAVELYCULTURED LTD</t>
  </si>
  <si>
    <t xml:space="preserve">Technology Missions Fund (TMF)</t>
  </si>
  <si>
    <t xml:space="preserve">Feedstocks, Host strain development</t>
  </si>
  <si>
    <t xml:space="preserve">Strategies to promote the lupin proteins as a new and safe functional food ingredient: Assessment of oxidative and physical stability of food emulsions and allergenic potential</t>
  </si>
  <si>
    <t xml:space="preserve">The demand of the ever-growing world population for dietary protein is no longer sustainable through animal products alone. In this context, the food industry is urged to find methods to meet the demands of high-quality plant-based proteins. Lupins are an interesting crop that produce large seeds containing high protein level (30- 40%). Nevertheless, the commercial value of lupins is primarily based on lupin seed production as stock feed for ruminant and monogastric livestock. Recently, some research has suggested that pulsed electric fields (PEF) processing could significantly alter the microstructure and macromolecular interactions of proteins and improve their functional and biological properties in a chemical-free and low-heat environment. The aims of this project are to develop a sustainable method to obtain high-quality lupin seed proteins with biological antioxidant activity and improved functional and emulsifying properties; in addition, to generate reliable data about the impact of the PEF treatment on the allergenic potential of lupin proteins. Systematic analyzes will be carried out to evaluate the effect of PEF on the physical (secondary structure), chemical (protein content and amino acid profile), biological (antioxidant activity and allergenic properties), functional and emulsifying properties of lupin proteins. The antioxidant potential of the treated proteins will also be investigated to stabilize fish oil-in-water (O/W) emulsions. The process proposed in this study has many advantages, such as being clean-label, free of chemical side-reactions, safe, and efficiency. The data obtained after the execution of this project will support regulatory food agencies aiming to improve the health benefits of lupin-derived products and further expand plant proteins' uses in broader food applications and better meet the increasing protein demands.</t>
  </si>
  <si>
    <t xml:space="preserve">https://cordis.europa.eu/project/id/101106463</t>
  </si>
  <si>
    <t xml:space="preserve">grant.13717680</t>
  </si>
  <si>
    <t xml:space="preserve">DANMARKS TEKNISKE UNIVERSITET</t>
  </si>
  <si>
    <t xml:space="preserve">AALBORG UNIVERSITET</t>
  </si>
  <si>
    <t xml:space="preserve">Fiber-based process for the production of cell fiber-based, textured meat substitutes</t>
  </si>
  <si>
    <t xml:space="preserve">Rheinisch-Westfälische Technische Hochschule Aachen - Fakultät 4 - Maschinenwesen - Institut für Textiltechnik der RWTH Aachen University</t>
  </si>
  <si>
    <t xml:space="preserve">Integrated assessment of the sustainability of alternative protein sources and analogues and transformation paths of two selected alternatives</t>
  </si>
  <si>
    <t xml:space="preserve">corsus - corporate sustainability GmbH, Projektleitung: Dr. Ulrike Eberle</t>
  </si>
  <si>
    <t xml:space="preserve">Federal Ministry for Environment, Nature Conservation and Nuclear Safety (BMVU)</t>
  </si>
  <si>
    <t xml:space="preserve">Collaborative project: Establishment of innovative breeding approaches to make sunflowers competitive as an oil and protein fruit for the German market (ProSun) - Subproject D</t>
  </si>
  <si>
    <t xml:space="preserve">Gesellschaft zur Förderung der Lupine e.V.</t>
  </si>
  <si>
    <t xml:space="preserve">Development of a continuous process for the chromatographic purification of plant proteins</t>
  </si>
  <si>
    <t xml:space="preserve">Hochschule Mannheim Institut für Biochemie</t>
  </si>
  <si>
    <t xml:space="preserve">Development of a preparatory process for the fermentation of starting substrates with non-ideal carbon sources</t>
  </si>
  <si>
    <t xml:space="preserve">woresan GmbH</t>
  </si>
  <si>
    <t xml:space="preserve">FoodTecZYME / Enzyme-based degradation of off-flavors in plant-based milk products - Sub-project: Development of enzyme libraries for the large-scale degradation of off-flavors</t>
  </si>
  <si>
    <t xml:space="preserve">Karlsruher Institut für Technologie</t>
  </si>
  <si>
    <t xml:space="preserve">Development of a process for efficient membrane filtration of plant protein solutions</t>
  </si>
  <si>
    <t xml:space="preserve">Pilot Pflanzenöltechnologie Magdeburg e.V. (PPM e.V.)</t>
  </si>
  <si>
    <t xml:space="preserve">DecodingFood / Interactive, AI-based analysis and planning tool for functional ingredients of complex foods - sub-projects: ML-based methods for the visualization of functional ingredients of complex foods</t>
  </si>
  <si>
    <t xml:space="preserve">Hasso Plattner gGmbH</t>
  </si>
  <si>
    <t xml:space="preserve">Landwirtschaftskammer Niedersachsen</t>
  </si>
  <si>
    <t xml:space="preserve">hempTVP / Textured hemp protein for the production of vegan food - Sub-project: Raw material processing and extrusion process for hemp protein extrudates on a laboratory scale</t>
  </si>
  <si>
    <t xml:space="preserve">With prebreeding approaches for the dry food bean Phaseolus vulgaris L. var. nanus from a genetic resource to a contemporary food</t>
  </si>
  <si>
    <t xml:space="preserve">Johann Heinrich von Thünen-Institut Bundesforschungsinstitut für Ländliche Räume, Wald und Fischerei</t>
  </si>
  <si>
    <t xml:space="preserve">Collaborative project: Development of a biorefinery concept for onshore production of protein-rich algae biomass using nitrate-containing surface waters (BiOProtAlgeiNO3) - subproject A</t>
  </si>
  <si>
    <t xml:space="preserve">Gesellschaft zur Förderung von 
Medizin-, Bio- und Umwelttechnologien e.V. (GMBU e.V.)</t>
  </si>
  <si>
    <t xml:space="preserve">Unlocking mushroom protein functionality and improving circularity by valorising the fibre side stream.</t>
  </si>
  <si>
    <t xml:space="preserve">There is a current need to explore diverse alternative protein sources with improved technological functionality and digestibility. Mushrooms are a relatively low-cost and environmentally sustainable horticultural product, which are valued for their taste, fibre and protein content and several other health benefits. Surprisingly, few mushroom derived ingredients are commercially available e.g., mushroom powders. Their relatively high protein and fibre content have largely been overlooked, leaving an opportunity to explore these nutrients to generate mushroom based value-added ingredients. MUSH4FUN aims to go beyond the state-of-the-art by extracting mushroom protein and optimising the protein's technological and digestive functionality while creating circularity through valorisation of the side-stream generated during protein extraction. This research work is comprised of four parts and will adopt multidisciplinary approaches. (1) Protein concentrates/isolates will be extracted from three mushroom varieties, i.e., white button, oyster and shiitake. Fibre will be isolated and purified from the residue. The technological functionality of the obtained proteins will be determined (WP1). (2) The in vitro protein digestibility of the protein concentrates in model emulsions and gel systems will be evaluated (WP2). (3) Innovative food products will be developed using protein and fibre obtained, as proof-of-concept (WP3). (4) The textural properties of the developed products will be evaluated instrumentally and through sensory evaluation by a consumer panel (WP5). This project addresses European Union's FOOD 2030 policy pathway 4 aimed at increasing the diversification of alternative protein sources and encouraging a dietary shift towards plant-based diets. Knowledge and concepts from this research work are expected to increase competitiveness of the mushroom sector and create opportunities for new markets.</t>
  </si>
  <si>
    <t xml:space="preserve">https://cordis.europa.eu/project/id/101107486</t>
  </si>
  <si>
    <t xml:space="preserve">grant.13717870</t>
  </si>
  <si>
    <t xml:space="preserve">TEAGASC - AGRICULTURE AND FOOD DEVELOPMENT AUTHORITY</t>
  </si>
  <si>
    <t xml:space="preserve">UNIVERSITY COLLEGE DUBLIN</t>
  </si>
  <si>
    <t xml:space="preserve">BioPro - Low emission protein production from anaerobic digestion gases</t>
  </si>
  <si>
    <t xml:space="preserve">https://gtr.ukri.org/projects?ref=10077731</t>
  </si>
  <si>
    <t xml:space="preserve">Konstantin Loponov</t>
  </si>
  <si>
    <t xml:space="preserve">NOVATICA TECHNOLOGIES LTD</t>
  </si>
  <si>
    <t xml:space="preserve">Smart design of well-function algae-plant-based powder: green spray-drying, characterization and rehydration</t>
  </si>
  <si>
    <t xml:space="preserve">INSTITUT NATIONAL DES SCIENCES ET INDUSTRIES DU VIVANT ET DE L'ENVIRONNEMENT - AGROPARISTECH</t>
  </si>
  <si>
    <t xml:space="preserve">Using macromolecular crowding to increase cellular meat production and feed a low-emission bioeconomy</t>
  </si>
  <si>
    <t xml:space="preserve"> 3D Bio-Tissues Ltd (3DBT) is a Newcastle University spin-out company that is translating recent developments in cell biology and tissue engineering into medical and food-related products. The company has developed a process that produces highly organised collagenous tissue. The similarity in structure between these engineered tissues and their natural counterparts is remarkable and allows for significantly improved function of the resulting tissue. For example 3DBT is currently creating organised collagenous tissues for skin and corneal replacements, but has recently shown that this process is also relevant to cellular meat. A challenge remains in driving down the costs of producing these tissues, especially if intended as food alternatives (cellular meat will necessarily have to be affordable for mass consumers), while eliminating at the same time the use of animal-derived ingredients from the process. Thus, this project explores the development of simple, inexpensive, and readily-available media supplements to feed cells in culture and enable the production of tissues recreating the texture and composition of meat whilst meeting central market demands i.e. low price and absence of serum.
 Several research groups and companies in Europe, the US, and elsewhere are developing serum-free media alternatives for enhanced production of cellular meat. However, most of these strategies focus on finding natural and synthetic substitutes for the relevant serum factors. We propose to take a different approach that focuses on the use of novel supplements derived from existing agro-industrial by-products. Use of these in the culture medium will represent a new animal/xenobiotic-free method to increase the efficiency of cellular meat production, a strategy that aims to reduce (or even eliminate) the need for serum supplementation - making the product truly animal-free. Ultimately, the results from this feasibility study used in conjunction with our tissue production methods will deliver a new _in vitro_ system to produce highly-organised, multi-stratified equivalents to bovine, ovine, and porcine meat with a texture and taste that consumers know and love. We therefore expect these innovations to directly address some of the main 'pains' of the cellular meat market, namely by providing natural-looking products with similar characteristics, at a lower production price, and grown without the need of animal slaughter nor use of antibiotics. Ultimately, we expect that a greater adoption of cellular meat by general consumers will eliminate the need for intensive animal farming, thus contributing to lower greenhouse gas emissions worldwide.</t>
  </si>
  <si>
    <t xml:space="preserve">https://gtr.ukri.org/projects?ref=51577#/tabOverview</t>
  </si>
  <si>
    <t xml:space="preserve">grant.9451081</t>
  </si>
  <si>
    <t xml:space="preserve">Ricardo Gouveia</t>
  </si>
  <si>
    <t xml:space="preserve">3D Biotissues</t>
  </si>
  <si>
    <t xml:space="preserve">Centre for Process Innovation Limited</t>
  </si>
  <si>
    <t xml:space="preserve">Thüringer Landesamt für Landwirtschaft und Ländlichen Raum (TLLLR)</t>
  </si>
  <si>
    <t xml:space="preserve">Development of a protein powder for vegan foams</t>
  </si>
  <si>
    <t xml:space="preserve">Institut für Lebensmittel- u. Umweltforschung e.V. - Standort Bad Belzig</t>
  </si>
  <si>
    <t xml:space="preserve">VF Nutrition GmbH</t>
  </si>
  <si>
    <t xml:space="preserve">EVALUation of heAlthy-susTainable fOod pRoteins</t>
  </si>
  <si>
    <t xml:space="preserve">Access to healthy and sustainable foods is an existential priority as recognized by the UN, WHO, and EU. Replacing animal-based proteins with their plant-based counterparts is expected to be a major step forward, due to a 2-8 fold (depending on the species) increase in protein efficiency. In order to speed up this protein transition, methods need to become available to allow for high-throughput evaluation of protein ingredients, in terms of technical functionality that rules food properties, and physiological functionality that ultimately decides on effects taking place in the body. The EVALUATOR project focusses on plant protein properties in colloidal emulsion systems, for which a tailor-made microfluidic platform will be developed to dynamically assess technical emulsion stability and digestibility. For this, we choose to work with pea and bean proteins that are readily available at low cost within the EU. The microfluidic platform allows real-time investigation at micro and nanometre levels, the scales at which basic food structure elements are formed and degraded, and within very short time spans through high-speed recording, therewith closely mimicking the actual process conditions. EVALUATOR will not only lead to the design of healthier and greener food systems but also supply a versatile microfluidic platform that allows design from first principles, i.e., the actual protein properties as they are relevant for food production and digestion. This brings food design, that currently revolves around trial and error, into a completely different realm, and even more importantly, establishes the currently missing link between technological functionality and digestion. The key for success is the combination of my background in microfluidic design and digestion, that of the hosts in emulsions (WUR, The Netherlands) and the secondment (INRAE, France) in advanced digestive systems, which allows me to cover all aspects of the EVALUATOR project in a ground-breaking way.</t>
  </si>
  <si>
    <t xml:space="preserve">https://cordis.europa.eu/project/id/101062730</t>
  </si>
  <si>
    <t xml:space="preserve">grant.12960352</t>
  </si>
  <si>
    <t xml:space="preserve">WAGENINGEN UNIVERSITY</t>
  </si>
  <si>
    <t xml:space="preserve">Development of the process control for protein-rich algae cultivation using exhaust air from malting processes</t>
  </si>
  <si>
    <t xml:space="preserve">Malzfabrik Rheinpfalz Gesellschaft mit beschränkter Haftung</t>
  </si>
  <si>
    <t xml:space="preserve">Czech Government Supports Mewery with Grant to Cultivate Pork</t>
  </si>
  <si>
    <t xml:space="preserve">With the funds, Mewery will conduct comprehensive studies to improve the efficiency of its platform as it prepares to scale up. According to the announcement, the studies will focus on cell characterization, exploring the metabolites involved in their growth, and analyzing gene expression patterns (transcriptomics) to gain insights into cellular processes and interactions.</t>
  </si>
  <si>
    <t xml:space="preserve">https://vegconomist.com/politics-law/czech-government-mewery-e200k-grant-cultivate-pork/</t>
  </si>
  <si>
    <t xml:space="preserve">Original award amount is EUR 200,000.</t>
  </si>
  <si>
    <t xml:space="preserve">Roman Lauš</t>
  </si>
  <si>
    <t xml:space="preserve">Mewery</t>
  </si>
  <si>
    <t xml:space="preserve">CzechInvest</t>
  </si>
  <si>
    <t xml:space="preserve">26/1/2026</t>
  </si>
  <si>
    <t xml:space="preserve">Evaluation and Manipulation of the Mechanisms and Interactions of Protein-Carbohydrates-Ingredients for Formulating Novel Plant-Based Cheese</t>
  </si>
  <si>
    <t xml:space="preserve">Today, there is a considerable desire to consume sustainable products due to healthy and ethical reasons, environmental sustainability, and issues related to greenhouse gas emissions. Ireland now specializes in producing beef, lamb, and dairy—which are the most emission-intensive foods—but plans to cut greenhouse emissions (50%) by 2030 and reach net zero emissions by 2050. Cheese manufacturing consumes significant quantities of energy (4.9-8.9 MJ/kg) and the study on the novel dairy-free cheeses has gained high interest due to the new opportunities offered by the worldwide market where it is predicted to rise to 3.90 billion USD by 2024. The dairy-free industry faces major challenges to formulate dairy-free cheeses with excellent nutritional properties, functionality, flavour, and texture—compared with the dairy-based cheeses. This study proposes to evaluate and manipulate interactions of plant proteins/carbohydrates/relevant ingredients through food material science, aiming to design an innovative dairy-free cheese with similar physicochemical, rheological, and sensory properties to the dairy-based cheese. This project will be carried out during a 2-year period at Teagasc with a 3-month secondment in University College Cork. Firstly, the physico-chemical interactions, structures and functional properties of materials will be studied and the most appropriate materials and their ranges will be determined (WP1). After producing some prototypes of dairy-free cheeses, the properties of them will be determined (WP2), and then, formulation(s) will be optimized (WP3). Finally, the quality of the optimized sample will be compared with commercially available cheeses (WP4). Results of this study will contribute to the industrial/sustainable production of dairy-free cheeses; thus, it will provide food security, sustainable lifestyles, and consumption patterns in alignment with current Teagasc goals, Horizon 2022, EU, and Irish government research initiatives.</t>
  </si>
  <si>
    <t xml:space="preserve">https://cordis.europa.eu/project/id/101105558</t>
  </si>
  <si>
    <t xml:space="preserve">grant.13717519</t>
  </si>
  <si>
    <t xml:space="preserve">Model demonstration network to expand and improve the cultivation and utilization of grain legumes in Germany (LeguNet)</t>
  </si>
  <si>
    <t xml:space="preserve">Dienstleistungszentrum Ländlicher Raum Rheinhessen-Nahe-Hunsrück -Abteilung Landwirtschaft-</t>
  </si>
  <si>
    <t xml:space="preserve">Collaborative project: Development of a biorefinery concept for onshore production of protein-rich algae biomass using nitrate-containing surface waters (BiOProtAlgeiNO3) - subproject C</t>
  </si>
  <si>
    <t xml:space="preserve">Knufmann GmbH</t>
  </si>
  <si>
    <t xml:space="preserve">Sustainable ingredients for the plant based food market</t>
  </si>
  <si>
    <t xml:space="preserve">SPG Innovation, Baker Perkins and the University of Leeds, will develop sustainable ingredients for the plant-based food market. Meat free textured vegetable proteins is a market which is beginning to gain traction and widespread growth is predicted over the next 5-10 years as consumers become more health and environmentally aware. This project aims to address the over-reliance on soy-based isolates which are not UK grown and have less favourable environmental credentials. We will demonstrate a UK sourced protein can be a cheaper, sustainable and healthier alternative to imported protein isolates supporting the continued growth of this market with the UK leading the market innovations.</t>
  </si>
  <si>
    <t xml:space="preserve">https://gtr.ukri.org/projects?ref=10009430</t>
  </si>
  <si>
    <t xml:space="preserve">grant.14053775</t>
  </si>
  <si>
    <t xml:space="preserve">Rebecca Mcdowell</t>
  </si>
  <si>
    <t xml:space="preserve">Baker Perkins Limited, Spg Innovation Limited</t>
  </si>
  <si>
    <t xml:space="preserve">Bioland Beratung GmbH</t>
  </si>
  <si>
    <t xml:space="preserve">Screening and characterization for fast rubisco activating and heat stable rubisco activase to enhance crop photosynthesis and productivity in the future warm climate.</t>
  </si>
  <si>
    <t xml:space="preserve">HEINRICH-HEINE-UNIVERSITAET DUESSELDORF</t>
  </si>
  <si>
    <t xml:space="preserve">UNIVERSITY OF LANCASTER</t>
  </si>
  <si>
    <t xml:space="preserve">Universität Rostock</t>
  </si>
  <si>
    <t xml:space="preserve">FB Food GmbH Cerealien und Getreideerzeugnisse</t>
  </si>
  <si>
    <t xml:space="preserve">U2HT / recipe development for fresh algae biomass, obtained through gentle heating and establishment of a hurdle concept - sub-project: heating process and scale-up on a pilot scale including development-accompanying, quality-assessing analytics</t>
  </si>
  <si>
    <t xml:space="preserve">corsus research gUG</t>
  </si>
  <si>
    <t xml:space="preserve">Systematic studies on the growth behavior of lactic acid bacteria in vegan media</t>
  </si>
  <si>
    <t xml:space="preserve">Technische Universität Dresden Institut für Naturstofftechnik</t>
  </si>
  <si>
    <t xml:space="preserve">Joint project: Resource-efficient production of high-quality proteins and fibers from narrow-leaved bitter lupins for (vegan) human nutrition (Luprocess) - subproject A</t>
  </si>
  <si>
    <t xml:space="preserve">https://foerderportal.bund.de/foekat/jsp/SucheAction.do?actionMode=view&amp;fkz=281A805A21</t>
  </si>
  <si>
    <t xml:space="preserve">grant.13735327</t>
  </si>
  <si>
    <t xml:space="preserve">German Institute of Food Technologies</t>
  </si>
  <si>
    <t xml:space="preserve">14/10/2026</t>
  </si>
  <si>
    <t xml:space="preserve">Development of a process and a system for the filtration of plant protein solutions for chromatographic use</t>
  </si>
  <si>
    <t xml:space="preserve">SHP Services GmbH</t>
  </si>
  <si>
    <t xml:space="preserve">Establishment of a 100% selection marker for vicine poverty in faba bean</t>
  </si>
  <si>
    <t xml:space="preserve">RLP AgroScience GmbH</t>
  </si>
  <si>
    <t xml:space="preserve">Bösch Boden Spies GmbH &amp; Co.KG</t>
  </si>
  <si>
    <t xml:space="preserve">candidum GmbH</t>
  </si>
  <si>
    <t xml:space="preserve">Unraveling the natural complexity of protein secretion to optimise novel robust yeast strains</t>
  </si>
  <si>
    <t xml:space="preserve">Providing Risk-benefit Insights of Shifting to Meat Alternatives</t>
  </si>
  <si>
    <t xml:space="preserve">CHALMERS TEKNISKA HOGSKOLA AB</t>
  </si>
  <si>
    <t xml:space="preserve">Collaborative project: Development of a biorefinery concept for onshore production of protein-rich algae biomass using nitrate-containing surface waters (BiOProtAlgeiNO3) - subproject B</t>
  </si>
  <si>
    <t xml:space="preserve">KTS Alge GmbH</t>
  </si>
  <si>
    <t xml:space="preserve">AVEGru</t>
  </si>
  <si>
    <t xml:space="preserve">Frankenförder Forschungsgesellschaft mbH für Betriebswirtschaft, Ernährung und ökologischen Landbau</t>
  </si>
  <si>
    <t xml:space="preserve">Textured Fava Bean (Vicia faba): Manufactured at Scale for Nutrition, Quality and Sustainability</t>
  </si>
  <si>
    <t xml:space="preserve">https://gtr.ukri.org/projects?ref=10067076</t>
  </si>
  <si>
    <t xml:space="preserve">Sandra Hill</t>
  </si>
  <si>
    <t xml:space="preserve">Biopolymer Solutions Limited</t>
  </si>
  <si>
    <t xml:space="preserve">International conference on precision fermentation of milk proteins</t>
  </si>
  <si>
    <t xml:space="preserve">The current food system is unsustainable in terms of carbon footprint, land-use, water consumption, and biodiversity. Replacing meat and dairy products with alternative proteins is one of the most effective tools in the food system to combat the climate crisis. Plant-based proteins are a good and inexpensive alternative, but have certain taste, nutritional and functional deficiencies that can be improved with animal proteins produced by precision fermentation. The technology of precision fermentation is well established in the pharmaceutical and enzyme industries. Using the same technology for food production requires huge volumes with a low price point, a new production infrastructure, robust cell factories and cheap and sustainable growth media. The Conference addresses these challenges. The objective of this conference is to enlighten potentials and barriers for precision fermentation of milk proteins as a means to radically reduce GHG emissions from our food system.</t>
  </si>
  <si>
    <t xml:space="preserve">grant.13910213</t>
  </si>
  <si>
    <t xml:space="preserve">Mette Lübeck</t>
  </si>
  <si>
    <t xml:space="preserve">Aalborg University</t>
  </si>
  <si>
    <t xml:space="preserve">Collaborative project: Optimization of the process for obtaining protein-containing powder from grass juice (bio20039Gruenland) - Sub-project: Analytics</t>
  </si>
  <si>
    <t xml:space="preserve">Development of high-performance cutter knives with improved mixing properties and significantly higher stability against breakage</t>
  </si>
  <si>
    <t xml:space="preserve">BE Maschinenmesser GmbH &amp; Co. KG</t>
  </si>
  <si>
    <t xml:space="preserve">Exploring the potential of algal-derived (chromo)peptides as serum replacement components for meat cultivation (Pep4Meat)</t>
  </si>
  <si>
    <t xml:space="preserve">Cultured meat requires less land and water, is less polluting, but is still costly to produce. The critical problem in cultivated meat science is to identify/develop fetal bovine serum (FBS) alternatives as growth supplements. Peptides, obtained by protein hydrolysis from different sources are promising alternatives to the FBS, with ability to improve the proliferation and differentiation potential of muscle cells for meat cultivation. However, usual poor water of solubility of industry-relevant (plant) proteins and the lack in knowledge of the structure-activity relationship of obtained peptides limit the application potential of peptides as FBS alternative. On the other hand, phycobiliproteins (PBPs), the most abundant proteins in algae, are characterised with a good water solubility and the unique presence of covalently attached tetrapyrrole chromophores. These chromophores have an excellent antioxidant activities and strong redox active metal binding properties. Hence, the PBPs digestion releases the chromopeptides with substantially stronger bioactive properties than “regular” peptide, giving them a strong potential as FBS alternative.</t>
  </si>
  <si>
    <t xml:space="preserve">https://pep4meat.com/</t>
  </si>
  <si>
    <t xml:space="preserve">Original award amount is EUR 149,995. Determined from this document: https://fondzanauku.gov.rs/wp-content/uploads/2023/11/PROMIS-2023-Site-1.pdf.</t>
  </si>
  <si>
    <t xml:space="preserve">Stella learned of this from a grantee midterm report.</t>
  </si>
  <si>
    <t xml:space="preserve">Simeon Minić</t>
  </si>
  <si>
    <t xml:space="preserve">Chemistry</t>
  </si>
  <si>
    <t xml:space="preserve">University of Belgrade</t>
  </si>
  <si>
    <t xml:space="preserve">Serbia</t>
  </si>
  <si>
    <t xml:space="preserve">Science Fund of the Republic of Serbia</t>
  </si>
  <si>
    <t xml:space="preserve">https://fondzanauku.gov.rs/2023/11/promis-2023-supported-30-research-projects-for-young-researchers/?lang=en</t>
  </si>
  <si>
    <t xml:space="preserve">To create cultivated meat product prototypes (pâté and haggis) via scalable transformation of animal pluripotent stem cells to liver tissue</t>
  </si>
  <si>
    <t xml:space="preserve">To create cultivated meat product prototypes (pâté and haggis) via scalable transformation of animal pluripotent stem cells to liver tissue.</t>
  </si>
  <si>
    <t xml:space="preserve">https://info.ktponline.org.uk/action/details/partnership.aspx?id=13974</t>
  </si>
  <si>
    <t xml:space="preserve">grant.13984491</t>
  </si>
  <si>
    <t xml:space="preserve">Original award amount is GBP 149,872.</t>
  </si>
  <si>
    <t xml:space="preserve">University of Edinburgh</t>
  </si>
  <si>
    <t xml:space="preserve">Knowledge transfer partnership</t>
  </si>
  <si>
    <t xml:space="preserve">16/2/2025</t>
  </si>
  <si>
    <t xml:space="preserve">Joint project: Development of a cryogenic peeling process as an innovative and sustainable key technology for the use of rapeseed proteins in human nutrition (CryoHusking) - Subproject A</t>
  </si>
  <si>
    <t xml:space="preserve">https://foerderportal.bund.de/foekat/jsp/SucheAction.do?actionMode=view&amp;fkz=281A804A21</t>
  </si>
  <si>
    <t xml:space="preserve">VT Research GmbH</t>
  </si>
  <si>
    <t xml:space="preserve">Collaborative project: Matured cheese alternatives based on recombinant milk proteins and vegetable fats (REALKAE) - Subproject C</t>
  </si>
  <si>
    <t xml:space="preserve">optiferm GmbH</t>
  </si>
  <si>
    <t xml:space="preserve">University of Leeds (The) and Plant Meat Limited (THIS)</t>
  </si>
  <si>
    <t xml:space="preserve">To develop, test and commercialise an innovative plant-based liquid egg product with similar properties to natural egg for the plant-based and flexitarian market, using latest technologies from food chemistry, plant proteins and value-added food processing.</t>
  </si>
  <si>
    <t xml:space="preserve">https://gtr.ukri.org/projects?ref=512077</t>
  </si>
  <si>
    <t xml:space="preserve">grant.14051631</t>
  </si>
  <si>
    <t xml:space="preserve">Plant Meat Ltd (THIS)</t>
  </si>
  <si>
    <t xml:space="preserve">mHycoprotein Project</t>
  </si>
  <si>
    <t xml:space="preserve">The UK Food &amp; Drink sector consumes circa 24TWh of energy annually, accounting for around 9 million tonnes of CO2 or 1% of all UK [emissions][0]. Approximately 80% of the direct emissions from food manufacturing result from high heat requirements from drying, baking and evaporation operations. The mHycoprotein Project focuses on delivering significant emissions reductions to the food and beverage sector through the use of green hydrogen. The feasibility study will investigate deploying dual fuel boilers at Quorn's main manufacturing site near Billingham to meet the facility's growing heating requirements. Quorn is a meat alternative company that uses fermentation to extract mycoprotein from a naturally occurring fungus, resulting in 90% lower carbon footprint compared to alternative meat products. As part of Quorn's mandate to achieve net zero GHG emissions at all manufacturing sites by 2030\. The results of the study could be used to decarbonise heating operations at other food manufacturing facilities across the UK. Protium, a UK green hydrogen developer will lead the overall project and will be supported by Petrofac, an engineering company that will undertake detailed technical feasibility work, and Quorn, who will provide information about the site's processes. The mHycoprotein feasibility study is an important step towards demonstrating the commercial and technical viability of hydrogen boilers at a food manufacturing facility, which could pave the way for additional installations across the UK. [0]: https://assets.publishing.service.gov.uk/government/uploads/system/uploads/attachment_data/file/651970/food-and-drink-decarbonisation-action-plan.pdf</t>
  </si>
  <si>
    <t xml:space="preserve">https://gtr.ukri.org/projects?ref=89876</t>
  </si>
  <si>
    <t xml:space="preserve">grant.13252332</t>
  </si>
  <si>
    <t xml:space="preserve">Rodgers Hunt Bibi</t>
  </si>
  <si>
    <t xml:space="preserve">Marlow Foods</t>
  </si>
  <si>
    <t xml:space="preserve">Petrofac Engineering Ltd, Protium Green Solutions Ltd</t>
  </si>
  <si>
    <t xml:space="preserve">Env/impact assessments, Bioprocess design</t>
  </si>
  <si>
    <t xml:space="preserve">Joint project: Resource-efficient production of high-quality proteins and fibers from narrow-leaved bitter lupins for (vegan) human nutrition (Luprocess) - Subproject C</t>
  </si>
  <si>
    <t xml:space="preserve">https://foerderportal.bund.de/foekat/jsp/SucheAction.do?actionMode=view&amp;fkz=281A805C21</t>
  </si>
  <si>
    <t xml:space="preserve">grant.13735329</t>
  </si>
  <si>
    <t xml:space="preserve">Joint project: Upgrading pulses and their side streams to vegan products through fermentation with edible mushrooms (MycoPea) - Subproject B</t>
  </si>
  <si>
    <t xml:space="preserve">https://foerderportal.bund.de/foekat/jsp/SucheAction.do?actionMode=view&amp;fkz=281A811B21</t>
  </si>
  <si>
    <t xml:space="preserve">live2give gemeinnützige GmbH</t>
  </si>
  <si>
    <t xml:space="preserve">Proliferum M: Reinventing growth media for the cultivated meat industry.</t>
  </si>
  <si>
    <t xml:space="preserve">Current animal agriculture is highly unsustainable, it is one of the biggest contributors to climate change and has a significant resource uptake. Furthermore, global meat demand continues to increase at 3% per year. Current methods of meat production must be changed in order to prevent the impending global food crisis and hinder the further progression of climate change. The concept of reducing meat consumption in order to reduce the climate impact of agriculture has been around for a long time. Many people have decided to become flexitarian, vegetarian or vegan fueled by the success of plant-based meat replicas such as Beyond Meat and Impossible Foods. However, many people still struggle with eliminating meat from their diet because meat consumption is a part of their culture, and thus cannot easily be changed. Cultivated meat is the food of the future and companies are making this meat because it means we don't have to slaughter millions of animals every year to meet our growing demand for protein. It is also healthier, requiring no antibiotics and grown in a sterile environment without contaminants. But most importantly, cultivated meat is going to be one of the most powerful ways to mitigate the ongoing climate crisis. Growing meat this way releases up to 87% fewer greenhouse gases than conventional meat and uses just a fraction of the land and water. The key challenge holding back this entire industry is the cost of feeding the cells, where over 80% of production costs come from the growth media alone. Current solutions we're never designed for the food industry, for example, animal-derived blood serum is often used in biomedical research to grow cells, which goes totally against the ethical and sustainability aspirations of the cultivated meat industry. We are reinventing growth media specifically for the cultivated meat industry. During this Project, we will develop MediOP - a novel way to optimise growth media to achieve high performance across multiple stem cell types. MediOP will be used to develop Proliferum M - growth medium designed for growing cow and pig cells, which we test and validate with prospective customers.Through developing a replacement for expensive, animal-derived feed ingredients, our technology will shorten routes to market, lower entry barriers, and provide a collective benefit to the cultivated meat industry. But most importantly we will be accelerating the forefront of an industry that will replace the devastating impacts of livestock agriculture.</t>
  </si>
  <si>
    <t xml:space="preserve">https://gtr.ukri.org/projects?ref=89176</t>
  </si>
  <si>
    <t xml:space="preserve">grant.9530490</t>
  </si>
  <si>
    <t xml:space="preserve">Multus Biotechnology Limited</t>
  </si>
  <si>
    <t xml:space="preserve">Collaborative project: Establishment of innovative breeding approaches to make sunflowers competitive as an oil and protein fruit for the German market (ProSun) - Subproject E</t>
  </si>
  <si>
    <t xml:space="preserve">SGS INSTITUT FRESENIUS GmbH</t>
  </si>
  <si>
    <t xml:space="preserve">Joint project: Upcycling of side streams with basidiomycetes to obtain sensory-usable legume and mycoproteins as new vegan protein alternatives (LegPlusMyk) - Subproject C</t>
  </si>
  <si>
    <t xml:space="preserve">https://foerderportal.bund.de/foekat/jsp/SucheAction.do?actionMode=view&amp;fkz=281A802C21</t>
  </si>
  <si>
    <t xml:space="preserve">grant.13982586</t>
  </si>
  <si>
    <t xml:space="preserve">CONVENIENCE GmbH</t>
  </si>
  <si>
    <t xml:space="preserve">Optimising microbial protein biotechnology using machine learning and mathematical optimisation for protein sustainability</t>
  </si>
  <si>
    <t xml:space="preserve">This project draws upon cross-disciplinary expertise from King's College London (KCL) and well supported by Quorn Foods. Prof Rob Johnson from Quorn and Miao Guo from KCL have developed strong collaboration to drive exciting and timely research. They have been collaborating on lignocellulosic mycoprotein research and co-supervising 3 PhDs. The lab and modelling research in Guo's lab and Lam's intelligent control lab form the foundation for this programme. The plant-sourced and animal-sourced proteins are carbon-intensive, resource-demanding, and vulnerable to pandemic impacts due to long-production cycles. This combined with increasing protein demands and pandemic of hunger highlight the challenges on providing sustainable protein solutions. Microbial proteins produced under controlled fermentation with advanced optimisation- aided design enable rapid biotechnology advancement for future protein security and sustainability. This project aims to couple machine learning and advanced optimisation approach to enable step- change in microbial protein biotechnologies to achieve zero-waste, zero-emissions, where sustainable Mycoprotein innovation will be tested as a representative study. The research objectives (Obj) are - Obj-1 Novel integration of machine learning with model predictive control (MPC) to enable optimised and autonomous Mycoprotein biotechnology. This objective, underpinned by process control, optimisation theory and machine learning techniques, will develop a learning-based controller to harness real-time data and optimise mycoprotein fermentation to achieve maximised resource efficiency and minimised waste; such fermentation represents an advanced industrial biotechnology with multivariable dynamics, nonlinearities, and constraints. The data-driven machine learning techniques will play a significant role to deal with the highly-nonlinear and complex process of mycoprotein biotechnology that the analytical methods are difficult to be applied. The data-driven approach offers a feasibale alternative to reveal undercovered characteristics through machine learning. The developed learning-based MPC approach will advance microbial protein technologies and enable autonomous fermentation with waste recovery and optimised resource utilisation. Obj-2 Advanced optimiation to enable precision decision on net-zero Mycoprotein supply chains. Coupling data value chains and advanced computational modelling has the potential to bring tremendous opportunities to protein biotechnology to enable real-time data acquisition, analysis and data-informed responsive optimisation to achieve sustainability across supply chains. Underpinned by this new concept, Obj-2 will couple simulation, life cycle sustainability, mathematical optimiation and learning algorithms to develop a novel data-driven optimisation with hybrid solution search algorithms to bring real-time supply chain data (e.g. sensor data) to precision decision-support; the optimisation approach will be tested on Mycorpotein supply chains to achieve zero-emissions. Obj-2 approach is expected to catalyse protein sector transformation by shifting isolated technologies towards performance-optimised and machinery-interconnected ecosystem</t>
  </si>
  <si>
    <t xml:space="preserve">https://gtr.ukri.org/projects?ref=studentship-2725958</t>
  </si>
  <si>
    <t xml:space="preserve">grant.13024170</t>
  </si>
  <si>
    <t xml:space="preserve">Tom Vinestock</t>
  </si>
  <si>
    <t xml:space="preserve">King's College London</t>
  </si>
  <si>
    <t xml:space="preserve">Development of scalable animal-free bioprocesses for cultivated meat production</t>
  </si>
  <si>
    <t xml:space="preserve">https://gtr.ukri.org/projects?ref=studentship-2733838</t>
  </si>
  <si>
    <t xml:space="preserve">grant.13028518</t>
  </si>
  <si>
    <t xml:space="preserve">William Gordon</t>
  </si>
  <si>
    <t xml:space="preserve">University College London</t>
  </si>
  <si>
    <t xml:space="preserve">Generating meaty flavour in emulsions made from vegetable oil and water</t>
  </si>
  <si>
    <t xml:space="preserve">Worldwide, more and more people are shifting to flexitarian diets - generally understood as largely plant-based with occasional meat. One route to convince people to eat less meat is if 'meat' from plants possesses similar sensory quality, particularly flavour, to real meat. Meaty flavours are made on an industrial scale but using vegetable oils to prepare high quality meaty flavours in vegan foods is a challenge. Fat provides aroma-active oxidation products and also forms a hydrophobic phase for reaction and storage of aroma-active molecules, while at the fat/water interface other flavour-forming reactions might be possible. In this project, ingredients, conditions, and target molecules will be screened to find the variables with highest impact on meaty flavour. Predictive models will be made for target molecules, and sensory evaluation of selected products will indicate their impact on flavour. Analysis of the target molecules will be done using state-of-the art analytical techniques. The obtained models produced will predict if and how the creation of meaty flavour using vegan ingredients is possible. Flavours successfully created using the model will be tested in plant-based substrates that imitate meat. Objectives: 1. To develop and evaluate a model that will predict meaty aroma formation, by studying the Maillard reaction in a biphasic system. This work will involve the examination of different types of vegetable oils and fats, in combination with polar lipids and emulsion stabilizers. 2. To use this model to create meaty vegan flavour formulations, that can be assessed in food applications. Major Skills/Techniques the PhD student will be trained on: Flavour extraction and analysis Statistical modelling Advanced food chemistry Sensory analysis This studentship is an opportunity to be part of a team that includes a University Department highly regarded for its research in food chemistry, alongside two companies internationally renowned for their approach to food innovation.</t>
  </si>
  <si>
    <t xml:space="preserve">https://gtr.ukri.org/projects?ref=studentship-2745746</t>
  </si>
  <si>
    <t xml:space="preserve">grant.13021907</t>
  </si>
  <si>
    <t xml:space="preserve">Suleyman Yiltorak</t>
  </si>
  <si>
    <t xml:space="preserve">Comparing the Physical Properties of Plant Lipid Droplets (Oleosomes) with Milk Lipid Droplets (Milk Fat Globules) in Model Food Systems</t>
  </si>
  <si>
    <t xml:space="preserve">Comparing the Physical Properties of Plant Lipid Droplets (Oleosomes) with Milk Lipid Droplets (Milk Fat Globules) in Model Food Systems
In nature, oils and fats are mostly stored in the form of 0.1-10 micron-sized lipid droplets coated by a membrane of phospholipids and proteins. Milk fat globules (MFG) are an example of lipid droplets whose structure and properties are harnessed to create a range of dairy products. Whilst plant-based lipid droplets (oleosomes) have been less studied than MFGs, they represent a natural, sustainable, and nutritious ingredient. Oleosomes are therefore attracting much interest in the food sector globally, but little is known about their physical properties. This work will identify the relationship between oleosome composition and microstructure, and their physical properties in model food systems and in-mouth; this will allow industry take significant steps to replace dairy fat with a plant alternative in a range of products. 
Specific objectives, analytical techniques, and student skill development:
1. Recover oleosomes from sunflower, rapeseed, soy, and echium seeds using a wet-milling and solid-liquid separation method developed at the UoN4
2. Establish the fatty acid composition of the core oil that makes up the majority of these oleosomes
3. Analyse the composition of the surface lipids (phospholipids and phytonutrients) and proteins of candidate oleosomes 
4. Establish the impact of seed type on droplet morphology, size distribution, and surface charge of target oleosomes
5. Measure the interfacial tension, interfacial rheology, and emulsifying ability of oleosomes
6. Evaluate the impact of thermal treatment (pasteurisation and UHT) on the physical properties of oleosomes and their interfacial behaviour
7. Compare the response of oleosomes and milk fat globules when exposed to a range of model food processes that depend on interfacial interactions such as mixing, aeration, crystallisation, and homogenisation.
8. Monitor the digestive fate of oleosomes and milk fat globules using an in-vitro human model
9. Determine the in-body responses, both in mouth (consumer acceptability) and in the gut (MRI imaging), on consuming oleosomes or milk fat globules.</t>
  </si>
  <si>
    <t xml:space="preserve">https://gtr.ukri.org/projects?ref=studentship-2669969</t>
  </si>
  <si>
    <t xml:space="preserve">grant.12888447</t>
  </si>
  <si>
    <t xml:space="preserve">Mohammad Amin Aliyariboroujeni</t>
  </si>
  <si>
    <t xml:space="preserve">Designer plant burgers - use of targeted biochemistry and chemistry to generate flavour (taste and aroma) during extrusion of plant protein</t>
  </si>
  <si>
    <t xml:space="preserve">This is an exciting opportunity to work at the interface of engineering and flavour science to develop and improve the taste of plant-based meat products, providing tasty and sustainable alternatives for flexitarian and vegetarian consumers. The interdisciplinary supervisory team comprises academics from their respective centres of expertise (Wolfson Centre for Sustainable Materials Development and Processing at Brunel and The Flavour Centre at the University of Reading) and is supported by Unilever. Although meat consumption has decreased by 17% over the last decade, the recent National Food Strategy recommends a further drop in 30% by 2032 to meet health, climate and environmental commitments. In order to achieve these targets, the development of sustainable nutritious and tasty non-meat-based alternatives to proteins is essential, and a market for meat mimics driven mostly by flexitarian consumers has evolved. However, achieving a credible and sustainable meaty flavour that persists throughout the whole eating experience is still a challenge for industries producing affordable plant-based protein alternatives for every-day use. The amino acid profile of pea protein isolate (~70% protein) meets the nutritional requirements as recommended by the WHO/FAO/UNU, providing a sustainable and nutritionally balanced alternative to meat protein. This 4-year PhD studentship involves development of a sustainable, nutritious tasty burger with fresh long-lasting meaty aroma using extrusion technology. A number of different enzymes and different extrusion process conditions will be investigated to generate the required taste, aroma and texture. Chemical, nutritional and sensorial analyses will be carried out using laboratories at both Universities.</t>
  </si>
  <si>
    <t xml:space="preserve">https://gtr.ukri.org/projects?ref=studentship-2743988</t>
  </si>
  <si>
    <t xml:space="preserve">grant.13021327</t>
  </si>
  <si>
    <t xml:space="preserve">Chloe Victoria Mayo</t>
  </si>
  <si>
    <t xml:space="preserve">Brunel University</t>
  </si>
  <si>
    <t xml:space="preserve">Predictive modelling and control of nutrients for the cost-effective production of cultivated meat</t>
  </si>
  <si>
    <t xml:space="preserve">https://gtr.ukri.org/projects?ref=studentship-2747870</t>
  </si>
  <si>
    <t xml:space="preserve">grant.13028315</t>
  </si>
  <si>
    <t xml:space="preserve">Hazel Ling Wee</t>
  </si>
  <si>
    <t xml:space="preserve">A New Approach to the Production of Cultured Meat with Enhanced Texture - Project 1</t>
  </si>
  <si>
    <t xml:space="preserve">Future food production needs to meet a growing demand for food and changing diets, as the human population is predicted to reach 9 billion by 2050. Use of resources such as phosphorous and nitrogen are already exceeded sustainable limits, with agriculture placing large requirements on these resources. Further demands on the earth systems to increase food production will not be able to be supported. However current livestock production systems are major contributors to anthropogenic climate change and so, significant increases in production to meet growing demands will be unsustainable using current systems. Yet livestock products are nutrient dense and so cannot be discounted from diets without a suitable, healthy replacement. Therefore, transformative and disruptive production methods are needed to sustainably increase food production. Cultured meat is attracting great interest as a candidate for production of livestock products with reduced environmental impacts. This exciting project is to develop a new bioreactor method to prepare cultured meat. This technology produces aligned self-releasing tissue using a templating approach within the bioreactor. The approach has exceptional potential to produce aligned tissue for cultured meat tissue production with enhanced structural and textural properties. This is a collaborative project involving the University of Reading, Aberystwyth University and CASE partner Cellular Agriculture, a UK Small enterprise based in Llanelli, Wales.
This cutting-edge project will investigate the production of aligned extracellular matrix within self-releasing tissue produced from myoblasts. This will use peptide amphiphile coatings on aligned templates in cell culture plates. The peptide amphiphiles stimulate cell adhesion and facilitate release of tissue using cell-expressed matrix metalloproteases (MMPs). The alignment template is a micropatterned Teflon substrate. This is prepared by a controlled rubbing process which leads to the production of microgrooves in the substrates. This templates the alignment of extracellular matrix produced by cells including collagen and other extracellular matrix proteins. The project involves the use of commercially available mouse myoblast cell lines for this initial work before extending the research to porcine cell lines. You will culture cells and examine the extracellular matrix produced using histochemical assays of extracellular matrix components, along with morphology and property studies and meat texture analysis, at the University of Reading. The project work at Aberystwyth will utilise the knowledge and expertise within the UK small company Cellular Agriculture's currently funded research projects at Aberystwyth and Bath on myoblast muscle cell sources and bioreactor designs to test the aligned extracellular matrix.</t>
  </si>
  <si>
    <t xml:space="preserve">https://gtr.ukri.org/projects?ref=studentship-2441223</t>
  </si>
  <si>
    <t xml:space="preserve">grant.9470888</t>
  </si>
  <si>
    <t xml:space="preserve">Christian Chernev</t>
  </si>
  <si>
    <t xml:space="preserve">Ian Hamley</t>
  </si>
  <si>
    <t xml:space="preserve">University of Reading, Aberystwyth University, Cellular Agriculture Ltd</t>
  </si>
  <si>
    <t xml:space="preserve">Studentship (Project Category)</t>
  </si>
  <si>
    <t xml:space="preserve">Rethinking Cultured Meat (CM) Growth Medium: Can Grassland Plant-Derived Supplements Sustainably Support CM Production?</t>
  </si>
  <si>
    <t xml:space="preserve">We are at the beginning of a fifth era of agriculture. One at the convergence of data, precision agriculture and biotechnology. Cultured protein/cultivated meat heralds an age of biological innovations that can provide alternative nutritious, flavourful and high-quality protein that is indistinguishable to the traditional. Cultured Meat (CM) research focusses on scalable production system bottlenecks i.e. bioreactor design, scaffolds, cell source and media formulation. The growth medium used for the proliferation and differentiation of the cells used in CM is essential to be able to produce the final product efficiently. Furthermore, formulation of the medium should also be considered in the carbon footprint of the final product, in order to produce a carbon neutral alternative meat protein. CM media is provided through commercially available base media products, containing an energy source, such as glucose, amino acids (AA, i.e. L-glutamine) and vitamins, but must also be supplemented with additional nutrients such as, hormones and growth factors, amongst others. These are usually provided through foetal bovine serum (FBS) supplementation, dependent on the slaughter of pregnant cows. For meaningful global impact, CM protein production needs be both scalable and environmentally sustainable, which is the focus of Cellular Agriculture Ltd to reach large scale cultured protein production. There is considerable uncertainty over the environmental impacts of CM production; although global warming will be less with CM than with cattle initially, this may not apply in the long term because the methane (CH4) associated with cattle production does not accumulate in the atmosphere, unlike CO2, the main greenhouse gas associated with CM production[1]. Future impacts of CM will therefore depend on the availability of renewable systems of energy generation and current/future production systems in animal agriculture[2]. Moreover, assessments of CM to date have tended to overlook the multiple ecosystem services provided by livestock farming systems (e.g. socio-cultural benefits such as tourism provision), through a single-issue focus, limiting the applicability of the results to policy makers and practitioners alike[3]. Approximately 70% of the UK's commercial forage crops are grasses (Loillium/Festuca spp.) and clover (Trifolium spp.) from which a fructose and protein nutrient rich juice can be readily extracted. In cattle and sheep fructose and protein undergo metabolism in the rumen producing volatile fatty acids (VFA's) and microbial cellular protein (MCP) which undergoes proteolysis to AA for nutritional uptake along with VFAs. Both VFA's and MCP can be produced during the acidogenic phase of anaerobic digestion (AD), prior to production of CH4, and following proteolysis and downstream processing (DSP) could potentially ne a media for CM production. The student will undergo interdisciplinary training in biorefining and grassland science, anaerobic fermentation, population dynamics, bioinformatics and biotechnology to investigate protein and carbohydrate bioconversion to media formulations. Specific cell culture experimental design, methodological skills and analysis for CM production (i.e. cell culturing, biological analysis, microscopy) will be developed through experimental work. The student will be trained in LCA and approaches for sustainability indicator evaluation and uncertainty analysis. The training will be supported by expertise in AD, cell biology, statistical design of experiments, analytical chemistry and manufacturing design.</t>
  </si>
  <si>
    <t xml:space="preserve">https://gtr.ukri.org/projects?ref=studentship-2749680</t>
  </si>
  <si>
    <t xml:space="preserve">grant.13025736</t>
  </si>
  <si>
    <t xml:space="preserve">William Barnes</t>
  </si>
  <si>
    <t xml:space="preserve">Animal Sciences</t>
  </si>
  <si>
    <t xml:space="preserve">Aberystwyth University</t>
  </si>
  <si>
    <t xml:space="preserve">Ruth Elizabeth Wonfor</t>
  </si>
  <si>
    <t xml:space="preserve">Optimising the sensorial and nutritional value of plant based milk alternatives</t>
  </si>
  <si>
    <t xml:space="preserve">Plant based milk alternative (PBMA) sales increased 33% between 2015 and 2017 (Wired, 2018) and according to a recent Mintel report almost a quarter (23%) of Brits are using these products, with many now choosing oat-based alternatives that are considered the most sustainable. Sensory quality (aroma, taste &amp; mouthfeel) Oat milk-alternatives (OMAs) contain a variety of non-volatile tastants (sugars, polyphenolics) and volatile aroma compounds (predominantly lipid and Maillard derived) that contribute to the product's aroma and taste, and that are affected by thermal treatment. However, crucial to acceptability of OMAs is the extent of astringency and mouthdrying. Oats contain aventhramides (phenolic alkaloids) and avenacosides (saponins), which may contribute to astringency through binding to salivary proteins, thus reducing lubrication. In addition, protein fortification leads to an alternative form of mouthdrying. Previous research at the University of Reading has shown that fortification of beverages with whey protein causes a drying sensation, building over repeated consumption, which correlates with the adhesion of protein to the oral cavity (mucoadhesion) and is influenced by salivary flow. We propose that plant proteins may also cause mucoadhesion and contribute to the mouth drying phenomena. Nutritional quality Bovine milk makes a substantial positive impact on the nutritional composition of western diets, particularly through the provision of high quality protein with a complete amino acid profile, calcium in a bioavailable form, and iodine. UoS have expertise in protein quality and mineral bioavailability. Protein: In comparison to plant proteins, whey and casein are complete protein sources, which lead more readily to muscle synthesis. Bovine milk contains 3.4% protein compared to just 0.3 to 1.0 % (w/v) typically in commercial OMAs. Oat protein consists predominantly of globulin; characterised by its high lysine content making it nutritionally superior to other cereal proteins. Calcium in bovine milk is more bioavailable than from other sources because the lactose and calcium phosphopeptides in the milk promote its absorption (as does vitamin D), whereas absorption is hindered in plant sources by substances such as oxalates and phytates. These anti-nutritional compounds form insoluble complexes reducing absorption. Beta-glucans: Oats are high in b-glucans, soluble fibre leading to slower absorption of carbohydrates with benefits such as improved blood sugar control, lowering cholesterol, improved immune function. These benefits need to be considered alongside the known positive effect that bovine milk proteins have on blood pressure and on insulin stimulation in relation to type 2 diabetes. Polyphenolics and Sterols: The aventhramides in oats have anti-inflammatory, antiatherosclerosis and anticancer effects whilst the avenacosides have been noted for cholesterol lowering effects.</t>
  </si>
  <si>
    <t xml:space="preserve">https://gtr.ukri.org/projects?ref=studentship-2506051</t>
  </si>
  <si>
    <t xml:space="preserve">grant.9642180</t>
  </si>
  <si>
    <t xml:space="preserve">Roisin Mccarron</t>
  </si>
  <si>
    <t xml:space="preserve">Engineered Recombinant Strategies to Organogel Design for Food Product Formulations</t>
  </si>
  <si>
    <t xml:space="preserve"> Novel strategies enabling the engineering of food products are essential to allow a shift towards plant-based food products and the replacement of animal origin products. Molecules such as globulins, albumins and casein are commonly used for the formulation and stabilisation of emulsions in the food industry. The control of setting and associated rheological properties, in the absence of thermal processing is important for stable formulation of food products, however few industrially-viable strategies allow such process.
 In addition, the field of tissue engineering also requires novel strategies for the design of hydrogel scaffolds that can be applied to repair and heal soft tissues. Emulsions and organogels are attractive materials for such applications, as they enable the control of nano- to micro-structure, in addition to mechanics and viscoelastic properties, but require the engineering of novel scafold proteins enabling the control of interacial as well as bulk rheological properties.
 This project will exploit supramolecular interactions to assemble and formulate food products and organogel scaffolds for tissue engineering. Protein-based starting materials allowing such design have not been engineered yet. This project will investigate multi-scale assembly processes regulating the bulk rheological and mechanical properties of emulsions and organo-gels. Three major gaps in knowledge will be addressed: (a) the ability to control the phase transition and gellation of organo-hydrocolloids; (b) the ability to regulate the nano-to-macroscale mechanical properties of resulting organo-gels; and (c) the ability to replicate the multiscale complex architecture of natural meat-based foods. Our approach will consists in initially evaluating different types of supramolecular assemblies, based on short peptide moieties, prior to engineering recombinant scaffold proteins with relevant target peptides identified. These insights will establish a set of rules guiding the rational design of hierarchical protein-based organogel food biomaterials.
 The advances that will be enabled by this project will open new avenues for the discovery of high functionality ingredients (e.g. enzymes and binding partners for supramolecular coupling) and structuring proteins that will be at the core of molecular assembly processes. The industry partner will embed these components within industrially viable formulations, through the use of synthetic biology approaches, with the goal of boosting sensory experience and potentially improve the nutritional profile of sustainable plant-based foods. For example, commercial viability of these strategies could be expanded, by moving expression to plant-based systems such as rice or other seeds.
 Through the design of novel strategies for the processing of food products, based on organogels, this project will address the BBSRC strategic priority in Food, Nutrition and Health. In addition, through the design of recombinant proteins underlying the self-assembly and control of rheological properties of organogels, it will address the priority on Synthetic Biology. The close collaboration with industry will enable translation of systems developed and address the priority on New Strategic Approaches to Industrial Biotechnology. Finally, organogels designed may find application in other fields, such as tissue engineering, aligned with the priority on Healthy Ageing Across the Lifecourse</t>
  </si>
  <si>
    <t xml:space="preserve">https://gtr.ukri.org/projects?ref=studentship-2725955</t>
  </si>
  <si>
    <t xml:space="preserve">grant.13023306</t>
  </si>
  <si>
    <t xml:space="preserve">Tsung-Yen Lee</t>
  </si>
  <si>
    <t xml:space="preserve">Queen Mary's University London</t>
  </si>
  <si>
    <t xml:space="preserve">Bioprocess development for production of 3D tissues to underpin creation of engineered meat</t>
  </si>
  <si>
    <t xml:space="preserve">The way we feed ourselves is becoming a growing problem, growing population and income growth in many developing countries is fueling an increase in global meat demand. Animal agriculture has been responsible for around 14.5% of total man-made greenhouse gas emissions, takes up 70% of arable land and 27% of fresh water usage for maintaining livestock and feed production1. Traditional meat production and its role in perpetuating the climate crisis is a clear problem which is currently affecting the climate and is set to get worse. Cultured meat represents a solution to this problem, by producing laboratory grown animal tissue from a small cell sample using laboratory techniques rather than livestock rearing and slaughtering. This technology has many benefits over livestock farming with drastic reductions in land and fresh water requirements as well as greenhouse gas emissions. Further, being manufactured under controlled conditions, the meat can be produced free from bacteria and viruses which could infect consumers. This is achieved without the excessive antibiotic usage that occurs in livestock farming which perpetuates the rise of antibiotic resistant diseases. Controlled manufacturing conditions also support customisable nutrient profiles which can be enriched in desired nutrients to eliminate deficiencies and have reduced levels of certain compounds such as cholesterol which are potentially harmful. Cultured meat has come a long way since the first 250,000 Euro burger in 2013 with a recent Good Food Institute report depicting a growing industry with 366 million dollars of investment in 2020 alone. With the company Good Meat selling cultured chicken in a Singapore restaurant the race to bring commercially viable large scale cultured meat to consumers is under way. Despite the GFI reports encouraging statement that there are no more fundamental technological breakthroughs required for commercially viable large scale cultured meat, there is still much research needed to tackle the biochemical and engineering challenges of increasing affordability, scaling up production and mimicking the texture and nutritional profile of slaughtered meat. This project aims to produce cultured meat tissues by engineering hydrogel capsules that will act as a 3D scaffold on which cells can grow into a 3D network. These encapsulated cells can be cultured within a bioreactor and the co-culture of different cell types can help replicate the complexity of meat tissue. In order to imitate livestock meat, cultivated meat will need a complex structure consisting of muscle, fat and connective cells which together provide the taste and nutritional value of meat. Bovine mesenchymal stem cells (bMSCs) will therefore be used in this project as not only are they easy and cheap to grow and easy to isolate but they also have the ability to differentiate into both muscle and fat cells, both of which are necessary for the co-culture of a complex meat-mimicking tissue2. The hydrogel capsules on which these bMSCs will be grown will need to fit a range of parameters. They will need to be edible and provide a 3D structure suitable to allow adhered cell growth, these characteristics will be defined by the hydrogels biochemical make up and to thoroughly investigate ideal growth conditions a range of hydrogels and capsule sizes will be explored. Capsule size can be altered through fine tuning of production parameters, such as hydrogel injection rate and shearing force, and specific size ranges can be selected using membrane extrusion techniques. This project aims to define an optimized process by which complex bovine tissue can be cultured using 3D hydrogel capsules, grown within a bioreactor for the scalable production of cultured meat. 1Stephens, N. et al. (2018) Trends in Food Science &amp; Tech 2Hanga MP et al (2020) Biotech Bioeng; 117(10):3029-3039.</t>
  </si>
  <si>
    <t xml:space="preserve">https://gtr.ukri.org/projects?ref=studentship-2602076</t>
  </si>
  <si>
    <t xml:space="preserve">grant.9957811</t>
  </si>
  <si>
    <t xml:space="preserve">Adam Efrat</t>
  </si>
  <si>
    <t xml:space="preserve">A New Approach to the Production of Cultured Meat with Enhanced Texture - Project 2</t>
  </si>
  <si>
    <t xml:space="preserve">Future food production needs to meet a growing demand for food and changing diets, as the human population is predicted to reach 9 billion by 2050. Use of resources such as phosphorous and nitrogen are already exceeded sustainable limits, with agriculture placing large requirements on these resources. Further demands on the earth systems to increase food production will not be able to be supported. However current livestock production systems are major contributors to anthropogenic climate change and so, significant increases in production to meet growing demands will be unsustainable using current systems. Yet livestock products are nutrient dense and so cannot be discounted from diets without a suitable, healthy replacement. Therefore, transformative and disruptive production methods are needed to sustainably increase food production. Cultured meat is attracting great interest as a candidate for production of livestock products with reduced environmental impacts. This exciting project is to develop a new bioreactor method to prepare cultured meat. This technology produces aligned self-releasing tissue using a templating approach within the bioreactor. The approach has exceptional potential to produce aligned tissue for cultured meat tissue production with enhanced structural and textural properties. This is a collaborative project involving the University of Reading, Aberystwyth University and CASE partner Cellular Agriculture, a UK Small enterprise based in Llanelli, Wales.
This cutting-edge project will investigate the production of aligned extracellular matrix within self-releasing tissue produced from myoblasts. This will use peptide amphiphile coatings on aligned templates in cell culture plates. The peptide amphiphiles stimulate cell adhesion and facilitate release of tissue using cell-expressed matrix metalloproteases (MMPs). The alignment template is a micropatterned Teflon substrate. This is prepared by a controlled rubbing process which leads to the production of microgrooves in the substrates. This templates the alignment of extracellular matrix produced by cells including collagen and other extracellular matrix proteins. The project involves the use of commercially available mouse myoblast cell lines for this initial work before extending the research to porcine cell lines. You will culture cells and examine the extracellular matrix produced using histochemical assays of extracellular matrix components, along with morphology and property studies and meat texture analysis, at the University of Reading. The project work at Aberystwyth will utilise the knowledge and expertise within the UK small company Cellular Agriculture's currently funded research projects at Aberystwyth and Bath on myoblast muscle cell sources and bioreactor designs to test the aligned extracellular matrix</t>
  </si>
  <si>
    <t xml:space="preserve">https://gtr.ukri.org/projects?ref=studentship-2742212</t>
  </si>
  <si>
    <t xml:space="preserve">grant.13025529</t>
  </si>
  <si>
    <t xml:space="preserve">Callum Wilkinson</t>
  </si>
  <si>
    <t xml:space="preserve">Exploitation of Fungi for Improved Food Quality</t>
  </si>
  <si>
    <t xml:space="preserve">https://gtr.ukri.org/projects?ref=studentship-2594259</t>
  </si>
  <si>
    <t xml:space="preserve">Asaph Kuria</t>
  </si>
  <si>
    <t xml:space="preserve">Evaluating the Sustainability and Nutritional Benefits of Alternative Production Systems and Foods</t>
  </si>
  <si>
    <t xml:space="preserve">https://gtr.ukri.org/projects?ref=studentship-2628791</t>
  </si>
  <si>
    <t xml:space="preserve">Ciara Elizabeth Byford</t>
  </si>
  <si>
    <t xml:space="preserve">Biorefining Protein from UK Grasslands - Can We Combine Novel Protein with Surplus Bread Crusts to Sustainably Feed Healthier Food to More People?</t>
  </si>
  <si>
    <t xml:space="preserve">British grassland farming covers 72% (12.6 million ha) of the utilised agricultural area, supporting 9.7 and 34 million cattle and sheep respectively1. Coupled with the drive towards zero-carbon 2040, diversification away from livestock production and plant-protein imports (e.g. Soya and other pulses) to alternative on-shore grown plant-protein fit for human consumption may provide longer-term environmentally beneficial economic security for UK farmers. The opportunity for plant-protein production on an existing agricultural level exists within the UK. Approximately 70% of the UK's commercial forage grass (Loillium/Festuca spp. &lt;10% crude protein) and clover (Trifolium spp. &lt;20% crude protein) varieties have been bred at Aberystwyth University (AU). Previous research has demonstrated that this protein is readily extractable as a liquid stream following pressing of grass and/or clover, while the remaining fibre can be used as an animal feed showing nutritional equivalence with the original grass (lamb trials-STARS project AU, beef trials-Aarhus University2,3). Furthermore, grass contains soluble fructan (-2,1 and -2,6-fructosylpolysaccharides, 20% DM), an effective pre-biotic (AU; UK &amp; European Patent, US patent filed). Red clover juice, also contains secondary metabolites (phytoestrogens and pinitol etc.) with known nutraceutical/functional properties. Both of these perennial crops sequester carbon, while clovers have the added advantage of nitrogen fixation, thereby reducing fertiliser inputs. A method to convert this protein-rich material into a protein-rich food ingredient and/or product is through co-fermentation processes (e.g. tempeh production). However, most of the native bacteria used are pathogenic (i.e. Klebsiella pneumoniae)4, thus the investigation of alternative co-culture with a GRAS status organism, will not only be of nutritional value, but also regulatory and marketing benefit. Vegetarian and flexitarian diets are a growing, long-term trend, with the latter achieving 9% growth per annum. Among the future needs of these discerning consumers are a strong preference for non-GM, ethically sourced plant-protein supported by traceable supply chain credentials ensuring environmental and socially responsible farm to fork manufacture. Samworth Brothers Ltd (SBL) are a leading UK sandwich provider; producing 30-50 tonnes per week of excess bread crusts from their manufacturing operations whose disposal route is as animal feed. Using plant-protein from UK grown crops to keep this bread in the human food chain is a future aspiration of Samworth Brothers. The development of new protein-rich ingredients involves many challenges to the food industry as the product must have a high nutritional value (amino acid profile and digestibility), no allergenicity, adequate technological properties (e.g. solubility, foamability etc.), acceptable flavour and mouthfeel (astringency). Through co-fermentation anti-nutritional factors can be degraded, protein structures are developed, and other metabolites (vit B12) and flavours (umami) are produced; thus, controlling the substrate, organism and process could help develop a novel biorefining process producing high quality vegetable protein-rich food product(s). The hypothesis to be tested in this studentship is: Protein-rich juice extracted from forage grass/clover and combined with surplus bread crusts can undergo bioconversion by mixed microbial consortia producing a safe, sustainable, novel human food ingredient from grasslands (fig1). The objectives of this studentship are: 1) Optimisation of extraction, concentration and purification of grass/clover juice rich in protein and nutraceuticals (fructans, phytoeostrogens and pinitol). 2) Development of a biorefining process for protein-rich juice through solid-state Lactobacillus spp., Propionibacterium freundenreichii (GRAS) and Rhizopus spp fermentation, using excess bread crusts as a scaffold (laboratory and pilot plant s</t>
  </si>
  <si>
    <t xml:space="preserve">https://gtr.ukri.org/projects?ref=studentship-2644513</t>
  </si>
  <si>
    <t xml:space="preserve">grant.10018918</t>
  </si>
  <si>
    <t xml:space="preserve">Juan Felipe Sandoval Rueda</t>
  </si>
  <si>
    <t xml:space="preserve">Development of a Multi-Modal StimulationPlatform for the 3D Culture of Wholly EdibleSkeletal Muscle Tissue</t>
  </si>
  <si>
    <t xml:space="preserve">This project falls within the EPSRC Innovative technologies for regenerative medicine research area, within the Healthcare Technologies Theme. ndustrial livestock farming is responsible for approximately 14.5 % of global greenhouse gas emissions. With an increasing number of nations committing to net zero carbon targets by 2050, covering 88 % of total global emissions, reducing the impact of meat production is critical to meeting these aims. For production to match the ramping demand, widespread deforestation has been deployed. In the first 6 months of 2022 over 1200 square kilometers of the Brazilian Amazon were cleared, with 36 % of agricultural deforestation allotted to cattle pastures alone, the largest single utilisation case for the cleared land. This has disastrous effects on local ecosystems and biodiversity as well as removing one of the largest global carbon sinks. Additionally, there are significant ethical dilemmas attached to the rearing and slaughter of animals for human consumption, with over 70 billion animals killed each year. One of the methods proposed to tackle the environmental and ethical issues associated with meat production is the development of cultured meat. Cultured meat is produced by taking a biopsy from a living animal and, using tissue engineering techniques, these cells are cultivated to form a product which replicates traditionally available meat options. Ivy Farm are a company at the forefront of this research and are the industrial partner for this project. This project proposes that hollow fibre membrane bioreactors are deployed for this application. These offer a scalable, low-cost platform for cultured meat production when compared to 3D bioprinting alternatives. Additionally, stirred tank bioreactors are used for large volume cell production, but lack the differentiation potential of other bioreactor designs, making them less well suited to replicating the complex structures and textures of meat.The overarching aim for the project is to design a hollow fibre membrane bioreactor platform which utilises a wholly edible internal structure and requires minimal downstream processing before it is suitable for a cultured meat product. Hollow fibre membrane bioreactors are ideally suited to this application as they facilitate the replication of the in-vivo environment. Hollow fibres serve the role of blood vessels for 1 nutrient and oxygen transport, while providing a scaffold onto which cells can be seeded. Multiple models of cell stimulation, such as electrical signalling, will be utilised to promote cell differentiation to achieve the desired final structure and texture. The application of these techniques to cultured meat production is highly novel and will be developed from the ground up alongside Ivy Farm. The central steps are seen as the evaluation of different materials and manufacturing techniques for the hollow fibre membranes. These must be compared against a set of parameters that best represent the performance of genuine animal tissue. This is also a unique challenge to cultured meat, as considerations of texture and flavour are not required for strictly biomedical applications. Consequently, bioreactor design and manufacture can be commenced, factoring in stimulation methods to best facilitate differentiation. Furthermore, there will be a significant mathematical modelling aspect, enabling future design iterations to optimised. Building on mass transport models developed by collaborators, these will be applied to the specific conditions within each bioreactor, and validated experimentally. Additionally, this project is closely linked to the Oxford humanoid bioreactor lab group. Not only does this bring expertise in the field of in-vitro modelling techniques, but also a close link to the biomedical industry, meaning any potential applications to novel therapy development can be explored.</t>
  </si>
  <si>
    <t xml:space="preserve">https://gtr.ukri.org/projects?ref=studentship-2745877</t>
  </si>
  <si>
    <t xml:space="preserve">grant.13026125</t>
  </si>
  <si>
    <t xml:space="preserve">Alexander Witt</t>
  </si>
  <si>
    <t xml:space="preserve">University of Oxford; Ivy Farm</t>
  </si>
  <si>
    <t xml:space="preserve">Integrating data intelligence and hybrid modelling to develop continuous CHO cell lines for recombinant protein production</t>
  </si>
  <si>
    <t xml:space="preserve">https://gtr.ukri.org/projects?ref=studentship-2898720</t>
  </si>
  <si>
    <t xml:space="preserve">University of Manchester</t>
  </si>
  <si>
    <t xml:space="preserve">The shape of sustainable crop production - re-engineering plant architecture for sustainable food production</t>
  </si>
  <si>
    <t xml:space="preserve">https://gtr.ukri.org/projects?ref=studentship-2878037</t>
  </si>
  <si>
    <t xml:space="preserve">Synthetic biology of methane oxidising bacteria for the production of high-quality feed protein</t>
  </si>
  <si>
    <t xml:space="preserve">https://gtr.ukri.org/projects?ref=studentship-2748055</t>
  </si>
  <si>
    <t xml:space="preserve">Alternative protein sources: growing the next generation computational modelling framework</t>
  </si>
  <si>
    <t xml:space="preserve">The alternative protein space represents one of the most dynamic scientific areas at present. Shrinking usable land mass, even accounting for agricultural advances, means a sustainable future is tightly linked with our ability to create and support clean food sources. Computational modelling has an immense (and largely untapped) potential to innovate a technological space still in its infancy. We will use a combination of state-of-the-art techniques - multi-physics fluid mechanics, high performance computing and data-driven approaches - to design a versatile open-source modelling framework supported by fantastic experimental and industrial collaborators from around the world.</t>
  </si>
  <si>
    <t xml:space="preserve">https://gtr.ukri.org/projects?ref=studentship-2886049</t>
  </si>
  <si>
    <t xml:space="preserve">University of Warwick</t>
  </si>
  <si>
    <t xml:space="preserve">Continuous processing of fibrous plant-based meat structure</t>
  </si>
  <si>
    <t xml:space="preserve">https://gtr.ukri.org/projects?ref=studentship-2889902</t>
  </si>
  <si>
    <t xml:space="preserve">grant.13876078</t>
  </si>
  <si>
    <t xml:space="preserve">Electrospun hollow fibres for muscle tissue engineering in a soft bioreactor chamber</t>
  </si>
  <si>
    <t xml:space="preserve">https://gtr.ukri.org/projects?ref=NC%2FY500604%2F1</t>
  </si>
  <si>
    <t xml:space="preserve">National Centre for the Replacement Refinement and Reduction of Animals in Research</t>
  </si>
  <si>
    <t xml:space="preserve">Optimisation of scaffolds for the bioprocessing of lab-grown meat</t>
  </si>
  <si>
    <t xml:space="preserve">https://gtr.ukri.org/projects?ref=studentship-2886145</t>
  </si>
  <si>
    <t xml:space="preserve">Aston University</t>
  </si>
  <si>
    <t xml:space="preserve">A synthetic biology platform for sustainable, climate-friendly conversion of CO2 to products using cyanobacteria</t>
  </si>
  <si>
    <t xml:space="preserve">https://gtr.ukri.org/projects?ref=studentship-2746407</t>
  </si>
  <si>
    <t xml:space="preserve">High moisture extrusion technology assisted by enzymatic protein-protein crosslinking approach to improve the texture of plant-based meat analalogues</t>
  </si>
  <si>
    <t xml:space="preserve">Currently plant-based meat industry heavily relies on using additives, including, flavourings, colouring, oil and binding &amp; texturizing agents The binding &amp; texturizing additives such as methylcellulose, gums (e.g. carrageenan, guar, gellan, xanthan, alginate) and fibres (e.g. pea, oat, bamboo) are to create the meat-like texture for cold &amp; hot consumption. There is a growing desire from consumers to have clean label and heathier plant-based food. A significant number of studies already shown that additives, such as methyl cellulose (MC) is not digestible, doesn't have a nutritional benefit, &amp; may have an adverse heath effect after prolonged ingestion Modifying the plant protein structure by enzymatic crosslinking is gaining an interest due to mild reaction conditions and the specificity of the enzymes. Since the functionality of a protein is determined by its molecular structure the enzymatic crosslinking of the protein has great potential to create different intra and inter molecular bonding to achieve texture and consumption experience without the need of using MC, gums and other additives. Exploring the effects of protein-protein crosslinking catalysed by enzymes such as transglutaminase, will be useful in understanding the effects it has on gelling, emulsifying, foaming, texturing properties of the extruded plant proteins. A recent study showed that faba bean and oat proteins were successfully crosslinked by transglutaminase which improved the electrostatic stability. Transglutaminase-induced gels were also shown to have a high final storage modulus &amp; strain hardening response indicating mechanically strong texture. This demonstrates the high potential of enzyme crosslinked proteins with good gelling capability which can be an alternative to commonly used gelling additives. Proteins are converted to gels by a range of processes that increase intermolecular interactions. The prominent covalent interaction is disulfide bonds; however plant protein has limited amount of cysteine that contribute to the gel strength. Transglutaminase &amp; other oxidative enzymes such as tyrosinase &amp; laccase can potentially induce crosslinking of food proteins to improve textural properties A lack of understanding on the optimum way of crosslinking the proteins by enzymes remains a challenge as food systems contain complex ingredients and involves a lot of processing. We aim to develop a novel and chemical-free binding system for plant-based meat products as a replacement of currently used commercial binders/additives. We will conduct a systematic study on the interactions between proteins and selected additives at molecular level to understand exactly how to create suitable textures for meat analogues. We will then focus on protein-protein crosslinking technologies, as a pre-treatment step to extrusion, to replicate such interactions and re-create the meat-like texture without additives. We will also evaluate different plant based proteins for crosslinking performance, nutritional benefits, and costs to achieve the most optimal clean label solution.Research objectives 1.Achieve in-depth understanding of the chemistry of different proteins (e.g. pea, soy, chickpea, faba), enzymes (crosslinkers), &amp; how the texture of current meat-alternative products is developed using additives. 2.Screen the tested proteins, enzymes, and processing parameters, via a structured design of experiment methodology. Generate predictive models to achieve optimal performance (e.g. texture, brittleness, elasticity) of crosslinked protein matrix. 3.Understand how crosslinked protein matrix behaves in model plant-based meat formula, &amp; the impact of manufacturing process parameters (e.g. extrusion, high shear mixing, pasteurisation). 4.Conduct an extensive product validation program (in collaboration with industry partner), including large scale manufacture trials and sensory testing.</t>
  </si>
  <si>
    <t xml:space="preserve">https://gtr.ukri.org/projects?ref=studentship-2886464</t>
  </si>
  <si>
    <t xml:space="preserve">grant.13875252</t>
  </si>
  <si>
    <t xml:space="preserve">Sameer Khalil Ghawi, Daniele Patrizio</t>
  </si>
  <si>
    <t xml:space="preserve">27/9/2071</t>
  </si>
  <si>
    <t xml:space="preserve">Synthetic biology for sustainable biomanufacturing</t>
  </si>
  <si>
    <t xml:space="preserve">https://gtr.ukri.org/projects?ref=studentship-2747962</t>
  </si>
  <si>
    <t xml:space="preserve">Transient expression of sustainable food proteins in alternative plant species.</t>
  </si>
  <si>
    <t xml:space="preserve">https://gtr.ukri.org/projects?ref=studentship-2888035</t>
  </si>
  <si>
    <t xml:space="preserve">Should the UK go plant-based to support its' green recovery? An environmental, economic and health analysis</t>
  </si>
  <si>
    <t xml:space="preserve">https://gtr.ukri.org/projects?ref=studentship-2570538</t>
  </si>
  <si>
    <t xml:space="preserve">3D printing of edible biomimetic scaffolds for the engineering of animal muscle tissue</t>
  </si>
  <si>
    <t xml:space="preserve">The demand for animal-based foods will increase by 70% in 2050 to meet the 22.5% growth in global population. Yet, 800 million people worldwide already suffer from hunger and malnutrition, and the livestock industry contributes 12-18% of the world's annual greenhouse gas emissions. Cultivated' meat is an alternative way to produce meat which is safer and kinder to the animals and the planet compared to traditional methods. Replicating meat in vitro, however, is very challenging because of the complex nature of the final product. Furthermore, cultivated meat needs to match the organoleptic properties of conventionally produced meat in order to gain consumer acceptance. Additive manufacturing using 3D printing has already been explored in tissue engineering for the creation of artificial tissues and organs and therefore holds promise for the fabrication of scaffolds to support the formation of structured cultivated meat products. There are two different approaches to 3D printing in this context: (a) building porous acellular 3D structures which are seeded with cells post-printing; and (b) direct bioprinting of cell-laden biomaterials. Although 3D bioprinting can achieve accurate cell distribution, designing a suitable bioink is not an easy task. This project aims to combine edible polymers and 3D printing to create a scaffold material which possess structural and mechanical properties that support and maintain cellular viability and function, with the production of whole cut cultivated meat as the ultimate goal.</t>
  </si>
  <si>
    <t xml:space="preserve">https://gtr.ukri.org/projects?ref=studentship-2887956</t>
  </si>
  <si>
    <t xml:space="preserve">grant.13884734</t>
  </si>
  <si>
    <t xml:space="preserve">Matthew Dalby, Ewan Ross, Eirini Theodosiou, Louis Hutchings</t>
  </si>
  <si>
    <t xml:space="preserve">30/9/2027</t>
  </si>
  <si>
    <t xml:space="preserve">Choosing sustainable meat? Understanding and fostering consumer adoption of alternative meat</t>
  </si>
  <si>
    <t xml:space="preserve">Reducing meat consumption is crucial to transition to a more sustainable food system, but contemporary dietary interventions have been relatively ineffective due to two key limitations. Firstly, behavioural intervention research to date has failed to consider wider contextual factors, such as personal (e.g., moments of change in lifestyle), socio-cultural (e.g., food tradition) and geographical (e.g., availability of food) factors. Secondly, studies on novel food products such as plant-based and cell-cultured meat are lacking. In fact, efforts to encourage consumer adoption of these alternative meats is further limited by concerns over the safety of these novel food products, and perceptions of unnaturalness and disgust towards the synthetic production methods.
Overall, these limitations present a novel opportunity to warrant an interdisciplinary approach to better understand our food behaviour surrounding alternative meat. Drawing on the food geography literature, the concept of "foodscapes" examines how physical (e.g., food availability and accessibility) and socio-cultural (e.g., food tradition and practices) environments influence, and are influenced by, the process in which we acquire, prepare and consume food. When applied to alternative meat, this suggests that the adoption of alternative meat is largely determined by the availability, accessibility, affordability, convenience and acceptance of alternative meat in the foodscape. How we conceptualise and experience such novel food products is thus inherently embedded within our (individualised) foodscape (Clary et al., 2017), which may vary according to changes in geographical, cultural and economic contexts over time, but such variations have hardly been explored.
By applying a foodscape perspective, this proposal aims to (a) examine what geographical, sociological and psychological factors shape consumer acceptance and consumption of alternative meat (including plant-based and cell-cultured meat), and (b) design and test behavioural change interventions for fostering the adoption of alternative meat.
Method
Phase 1 will apply a qualitative focus group method to understand (a) the perception of availability, attractiveness and affordability of meat and meat alternatives, (b) social, geographical, and psychological drivers of and barriers to acceptance, and (c) consumer expectations of meat alternatives. Phases 2 and 3 then test 'upstream' and 'downstream' (i.e., contextual and individual) interventions for promoting alternative meat consumption. Phase 2 will manipulate (a) price and characteristics of meat and meat alternatives, (b) framing of food product information, and (c) use of eco-labels to test consumers' willingness to pay as a method to quantify acceptance, alongside examining the impacts of psychological values and barriers, geographical, cultural and economic factors on the interventions used. Phase 3 will investigate default options on food menus using online and field experiments. Overall, representative samples of participants from the UK public will be recruited via social media, gatekeeper organisations and Prolific where necessary.
Impact
Given imminent changes to the regulatory landscape of novel food items, this proposal will be timely and crucial in providing evidence-based research on consumer behaviour to inform future policy and industrial needs. The Food Standards Agency and Bryant Research will collaborate to provide insights and experience through co-supervision to ensure this research is impactful and applicable to policy. 3DBT and Aleph Farm will co-design studies to inform the production and marketing of alternative meat. Bryant Research has also offered a 6-month placement opportunity to gain working experience with industrial clients.</t>
  </si>
  <si>
    <t xml:space="preserve">https://gtr.ukri.org/project/A6436C3B-E6F5-4E25-A726-B8EB6108FCFF</t>
  </si>
  <si>
    <t xml:space="preserve">grant.13881610</t>
  </si>
  <si>
    <t xml:space="preserve">Catherine Butler, Lorraine Whitmarsh, Yu Shuang Gan</t>
  </si>
  <si>
    <t xml:space="preserve">29/9/2026</t>
  </si>
  <si>
    <t xml:space="preserve">Saatzucht Steinach GmbH &amp; Co KG</t>
  </si>
  <si>
    <t xml:space="preserve">Joint project: Upgrading pulses and their side streams to vegan products through fermentation with edible mushrooms (MycoPea) - Subproject D</t>
  </si>
  <si>
    <t xml:space="preserve">https://foerderportal.bund.de/foekat/jsp/SucheAction.do?actionMode=view&amp;fkz=281A811D21</t>
  </si>
  <si>
    <t xml:space="preserve">The Plantly Butchers GmbH &amp; Co. KG</t>
  </si>
  <si>
    <t xml:space="preserve">Sustainable and 100% plant-based recipe kit vending machine</t>
  </si>
  <si>
    <t xml:space="preserve">https://gtr.ukri.org/projects?ref=84687</t>
  </si>
  <si>
    <t xml:space="preserve">Martin Holden-White</t>
  </si>
  <si>
    <t xml:space="preserve">Grubby Ltd</t>
  </si>
  <si>
    <t xml:space="preserve">Plant-based infant formula and toddler drink product development</t>
  </si>
  <si>
    <t xml:space="preserve">https://gtr.ukri.org/projects?ref=85563</t>
  </si>
  <si>
    <t xml:space="preserve">Sophie Paynter</t>
  </si>
  <si>
    <t xml:space="preserve">Plant Powered Babies Ltd</t>
  </si>
  <si>
    <t xml:space="preserve">Infant formula</t>
  </si>
  <si>
    <t xml:space="preserve">3D printed next-generation synthetic biology hardware for sustainable food production and reduction of climate change</t>
  </si>
  <si>
    <t xml:space="preserve">Humanity today faces three enormous challenges. The first is feeding 9.8 billion people by 2050\. The second is mitigating climate change. The third is mitigating the existential threat of zoonotic diseases such as COVID19\. COVID19 has significantly disrupted organisations that are working to solve such challenges. However, the recovery from COVID19 brings a once in a generation opportunity to accelerate solutions that were already in motion. The potential for beneficial economic and social impact is enormous. According to a May 2020 report from McKinsey Global Institute, as much as 60 percent of the physical inputs to the global economy could, in principle, be produced biologically. Around one-third of these inputs are biological materials, including animals bred for food. Improving food production methods will help us address the biggest challenges of our time. One of the most promising new innovations is cultivated meat. By cultivating only the desired meat directly from cells, rather than growing animals with all of their associated overhead, we can produce meat with fewer resources and significantly less environmental impact. For instance, compared with conventional beef which is one of the largest contributors to climate change, cultivated beef is estimated to reduce climate change emissions by 74%--87%. The main challenges for making cultivated meat affordable for mass markets are the advancement of synthetic biology research, scaling up production and reducing ingredient costs. These challenges are poorly served by classical approaches and require a new generation of powerful new biological hardware. BiologIC Technologies (Cambridge UK) is developing the next-generation of life science automation fabricated from, and exploiting, the digital benefits of 3D-printing. BiologIC's pioneering and highly integrated digital hardware architectures allow the creation of powerful and affordable 3D-printed bio-processing units ("BPUs"). These BPUs allow rapid development and execution of novel, high-value and high-volume biological workflows. The project will reinstate development that was disrupted by COVID19 and result in a highly innovative solution for synthetic biology food production, reducing the likelihood of new pandemics and increasing the resilience and localisation of a next-generation sustainable food supply chain that reduces a major cause of climate change.</t>
  </si>
  <si>
    <t xml:space="preserve">https://gtr.ukri.org/projects?ref=84594</t>
  </si>
  <si>
    <t xml:space="preserve">grant.9642233</t>
  </si>
  <si>
    <t xml:space="preserve">Richard Vellacott</t>
  </si>
  <si>
    <t xml:space="preserve">Biologic Technology Limited</t>
  </si>
  <si>
    <t xml:space="preserve">Engineering plant organelles for food ingredient production</t>
  </si>
  <si>
    <t xml:space="preserve">Livestock farming has an enormous environmental impact and contributes to land and water degradation, biodiversity loss, and deforestation. Demand for animal meat alternatives has grown and will continue to rise, however current alternative systems like fermentation or laboratory cultivation still have a net negative impact on the environment, releasing undesirable by-products. This project employs plant molecular farming, an emerging field that utilises photosynthetic organisms to produce commercial and pharmaceutical proteins and in particular, chloroplast transformation technologies to configure food and meat alternative ingredient production in both plants and algae. Chloroplast transformation technology carries attractive features such as the specific integration of transgenes -either individually or as operons- into the plastid genome through homologous recombination, the potential for high level protein expression based on a prokaryotic gene expression system and environmental containment because of the maternal inheritance of the plastids.
The successful applicant will address these challenges by developing the synthetic biology tools for plastid transformation such as efficient configuration of promoters, UTRs, integration sites, signal peptides and multigene expression cassette for optimal protein expression in both plant and algae systems. Subsequently, the phenotype of the transplastomic plants will be characterised by using biochemical and physiological analysis methods. Furthermore, the downstream processing procedure will be investigated for the successfully expressed protein for further commercialisation. Moreover, the developed tools will be further optimised and applied for crop plants.</t>
  </si>
  <si>
    <t xml:space="preserve">https://gtr.ukri.org/projects?ref=studentship-2602606</t>
  </si>
  <si>
    <t xml:space="preserve">grant.9945725</t>
  </si>
  <si>
    <t xml:space="preserve">Alexia Groff</t>
  </si>
  <si>
    <t xml:space="preserve">Kyomei Ltd</t>
  </si>
  <si>
    <t xml:space="preserve">Identifying key interactions to reduce astringency of novel food proteins</t>
  </si>
  <si>
    <t xml:space="preserve">The development of new plant-based or synthetic sources of protein for human consumption is a major aim of the BBSRC as part of the Bioscience for sustainable agriculture theme. To date the need for high protein foods has been achieved by increased animal farming but the environmental impact of this is now being realised. As a consequence a recent development has been the formulating of synthetic proteins and the increased use of plant derived proteins in the creation of structured foods. Improving the consumer liking of these new foods is essential to their acceptance and growth of this new industry, in which the UK is a leading player. However, the development of novel food proteins has reached a bottleneck as many of these types of protein cause excessive oral astringency when consumed. Astringency is the dry, puckering sensation in the mouth often associated with tannins in tea and wine. At low levels astringency can be a refreshing sensation which is enjoyed by the consumer but at higher levels it is inhibitory to ingestion. The mechanism of how tannins cause astringency is reasonably well understood. Phenol rings within the catechins (which are the main polyphenols in tea and wine) stack onto proline-rings within salivary proteins such as Prolinerich proteins and mucins by hydrophobic-hydrophobic interactions. This binding then causes a reduction in oral lubrication possibly by depleting the hydration layer around the salivary proteins and a loss of lubrication. This loss of lubrication is perceived as dryness, even though liquid is still in abundance. For protein induced astringency we only have limited data for whey protein, derived from milk, which is commonly used for muscle-building/ nutrition drinks. Whey proteins are astringent by forming electrostatic interactions with salivary proteins although the evidence relates only to in vitro experiments and not completely understood. It is likely that electrostatic interactions are important in causing astringency as a number of chemicals can also cause the same sensation. Alum, for example, is a hydrated aluminium sulphate salt which is widely known to cause astringency and does so by affecting the conformation of salivary proteins to affect their lubrication. As yet there are no known receptors for astringency and the perceived dryness is assumed to be detected by altered touch and proprio-receptor activation in the mouth. If we can understand the nature of the interactions between food proteins and salivary proteins it may be possible to screen potential new food proteins for astringency and develop methods to modify the protein to reduce these interactions. This is of particular importance to Motif as they will be screening large numbers of potential proteins from their partner Gingko for development as food proteins. Thus the overall aim of this project is to identify the mechanism of oral astringency caused by food proteins. To achieve this aim we will test the hypothesis that electrostatic interactions are the main interface between food proteins and salivary proteins. To achieve this the objectives for the project are: 1) To vary electrostatic interactions between food proteins and salivary proteins 2) Identify protein motifs that create charge interactions 3) Examine the role of counter ions in disrupting astringency To conduct this project the student will combine physiology with protein biochemistry and use structural biology to examine the nature of the interactions in detail.</t>
  </si>
  <si>
    <t xml:space="preserve">https://gtr.ukri.org/projects?ref=studentship-2547521</t>
  </si>
  <si>
    <t xml:space="preserve">grant.9748436</t>
  </si>
  <si>
    <t xml:space="preserve">Nishat Tahsin</t>
  </si>
  <si>
    <t xml:space="preserve">Kings College London</t>
  </si>
  <si>
    <t xml:space="preserve">Motif Foodworks</t>
  </si>
  <si>
    <t xml:space="preserve">Investigation of the interactions of proteins with fibrils in composite gel: a multiscale approach</t>
  </si>
  <si>
    <t xml:space="preserve">https://gtr.ukri.org/projects?ref=studentship-2437214</t>
  </si>
  <si>
    <t xml:space="preserve">Mary Chioma Okeudo</t>
  </si>
  <si>
    <t xml:space="preserve">Leeds University</t>
  </si>
  <si>
    <t xml:space="preserve">Sustainable Future Foods: Mechano-Enzymatic Assembly of Complex Food Structures</t>
  </si>
  <si>
    <t xml:space="preserve">Soft Matter Biomaterials and Biointerfaces Team in collaboration with Diamond Light Source, Sir Peter Mansfield Imaging Centre and Motif FoodWorks, a Massachusetts-based animal-free ingredient innovation company, are looking forward to train an early stage researcher to PhD level as part of a highly prestigious BBSRC DTP CASE PhD Studentship Programme. Designing sustainable foods requires novel plant-based ingredients that enable creating new textures, whilst unlocking product's functionality in the body. This calls for discovery and development of new fibre materials with highly ordered structures that mimic some of nature's most wondrous fibres such as silk, collagen and myofibrils. This project seeks to discover and develop new methods for controlling enzymatic cross-linking during extensional flow and characterise ordered structures using small angle scattering and nuclear magnetic resonance imaging, as well as diving into understanding fibre's mechanical and functional properties, focusing on applications in foods. The successful candidate will: 1) Research cross-linking reaction between proteins and polysaccharides (dietary fibre) and evaluate the impact of crosslinking on the rheological (flow) and mechanical properties of fibre. 2) Develop a new extensional flow sample environment system at the I22 Small Angle Scattering and Diffraction Beamline, Diamond Light Source, thus enabling measurements of biopolymer structuring during fluid elongation and formation of a fibre filament. 3) Characterise polymer and water dynamics using NMR spin relaxation and multi-scale imaging techniques at the Sir Peter Mansfield Imaging Centre. 4) During a research experience placement at the lab facilities of Motif FoodWorks (Boston, MA, USA), research on enzyme functionality and synthetic biology-based approaches for identifying new targets for strain engineering and designing enzymes with targeted activity and specificity will be undertaken. The primary host of this Studentship is the Soft Matter Biomaterials and Biointerfaces (SMBB) Team at the University of Nottingham, School of Biosciences. SMBB is a highly dynamic, interdisciplinary team focusing on biomolecular composites, which underpin development of sustainable and healthy foods. The successful candidate will be encouraged to participate in the activities of the British Society of Rheology, Institute of Physics Food Physics Group and European Polysaccharide Network of Excellence (EPNOE). Previous experience in (bio)polymers, soft matter systems or colloids is highly appropriate. Experience of bimolecular characterisation and some level of COMSOL/MATLAB/Python skills are highly beneficial. The successful candidate will have a positive approach to collaborative research and the drive to make a significant contribution to innovation and sustainable food systems.</t>
  </si>
  <si>
    <t xml:space="preserve">https://gtr.ukri.org/projects?ref=studentship-2604202</t>
  </si>
  <si>
    <t xml:space="preserve">grant.9944449</t>
  </si>
  <si>
    <t xml:space="preserve">Lathika Vaniyan</t>
  </si>
  <si>
    <t xml:space="preserve">University Of Nottingham</t>
  </si>
  <si>
    <t xml:space="preserve">Novel Microcarriers for Scalable Clean Meat Production</t>
  </si>
  <si>
    <t xml:space="preserve">https://gtr.ukri.org/projects?ref=studentship-2499941#/tabOverview</t>
  </si>
  <si>
    <t xml:space="preserve">Benjamin Dages</t>
  </si>
  <si>
    <t xml:space="preserve">Novel strain development for the mycoprotein fungus Fusarium venenatum</t>
  </si>
  <si>
    <t xml:space="preserve">There is ever growing demand for meat replacement protein sources on environmental and health grounds. The fungus Fusarium venenatum is used in the production of mycoprotein, a high-protein, low cholesterol meat substitute sold under the trade name 'Quorn', which has been very commercially successful. A particular strain A3/5 was identified in the 1960s, being chosen for mycoprotein production as it yields a high protein textured product with negligible toxins under industrial growth conditions. However, there are inefficiencies and problems. For example after prolonged growth the fungus is prone to excess branching unsuitable for Quorn production, has low levels of certain vitamins, and there remains a risk of mycotoxin production. Perhaps surprisingly the same strain A3/5 has been used since the 1970s with no strain development. Therefore there is now commercial and environmental interest in obtaining novel strains with improved characteristics for mycoprotein production. In parallel, scientific advances have recently been made in fungal genomics and genetic manipulation meaning that F. venenatum is an attractive model organism for biotechnological exploitation, with research having the potential for significant fundamental scientific and real world applied impact. Experimental Approaches, Methodology and Techniques We plan to use leading genomic, molecular biology, biochemical and classical culturing techniques to explore strain improvement in F. venenatum. A genome sequence of A3/5 is already available to facilitate investigations. (1) Sexual biology of F. venenatum. The species is only known to reproduce asexually, which has impeded strain improvement. However, we have recently developed a molecular sex-test diagnostic, which has identified F. venenatum isolates of different MAT1-1 and MAT1-2 mating type needed for sexual reproduction. We plan to screen isolates by qRT-PCR for expression of genes required for sexual development and then mate chosen isolates under conditions favourable for sexual reproduction, using a range of microscopy to monitor development. If sex can be induced, there is the exciting prospect that strains with desirable characteristics (e.g. higher growth rate and vitamin content, absence of mycotoxins) can be crossed and offspring identified with combinations of favourable traits; the sexual cycle may also generate completely novel, favourable genotypes. This approach is attractive as sexual breeding is a natural, rather than GM, method of strain development allowing exploitation of strains. The discovery of a sexual cycle in F. venenatum would be a world first and provide general insights into fungal sexuality and asexuality. (2) Manipulation of F. venenatum - classical genetics. Pilot studies suggest that diploid strains are more stable under prolonged fermenter growth than the haploid strain A3/5 in current use. We will generate diploid strains to see if more stable production strains with less branching can be obtained, drawing on cutting-edge microscopy and proteomic methods developed at Marlow Foods to monitor hyphal branching and protein composition. We will also develop parasexual crossing to generate novel combinations of traits in haploid strains. (3) Manipulation of F. venenatum - genome editing. GM and CRISPR genome-editing tools will be used to try and alter traits of interest e.g. mycotoxin synthesis and vitamin production. Electronic nose GC-MS will be used to identify undesirable flavour volatiles that also might be removed. Although arising strains could not yet be used commercially, they will provide key insights which might be exploited by (1+2) above.</t>
  </si>
  <si>
    <t xml:space="preserve">https://gtr.ukri.org/projects?ref=studentship-2593581</t>
  </si>
  <si>
    <t xml:space="preserve">grant.9944022</t>
  </si>
  <si>
    <t xml:space="preserve">Alex Pate</t>
  </si>
  <si>
    <t xml:space="preserve">Process development of an organic certified vegan starter culture from lactic acid bacteria</t>
  </si>
  <si>
    <t xml:space="preserve">Pre-project on product development for innovative and sustainable organic plant-based drinks (oats, hemp and legumes) from thuringia</t>
  </si>
  <si>
    <t xml:space="preserve">https://eu-cap-network.ec.europa.eu/projects/pre-project-product-development-innovative-and-sustainable-organic-plant-based-drinks-oats_en</t>
  </si>
  <si>
    <t xml:space="preserve">Agrargenossenschaft Bösleben e.G</t>
  </si>
  <si>
    <t xml:space="preserve">Rural development 2014-2020 for Operational Groups</t>
  </si>
  <si>
    <t xml:space="preserve">Social sustainable diets: Supporting the transition to plant-based foods through close relationships</t>
  </si>
  <si>
    <t xml:space="preserve">https://gtr.ukri.org/projects?ref=ES%2FY01040X%2F1</t>
  </si>
  <si>
    <t xml:space="preserve">Tess Davis</t>
  </si>
  <si>
    <t xml:space="preserve">University of Glasgow</t>
  </si>
  <si>
    <t xml:space="preserve">BioBetter growth factor production in tobacco plants</t>
  </si>
  <si>
    <t xml:space="preserve">https://gfieurope.org/blog/algae-and-tobacco-plant-researchers-among-winners-of-e400000-prize-to-commercialise-cultivated-meat/</t>
  </si>
  <si>
    <t xml:space="preserve">Original award amount is EUR 100,000.</t>
  </si>
  <si>
    <t xml:space="preserve">Non-profit/Gov</t>
  </si>
  <si>
    <t xml:space="preserve">26/10/2023</t>
  </si>
  <si>
    <t xml:space="preserve">S2AQUAcoLAB microalgae for cultivated seafood media</t>
  </si>
  <si>
    <t xml:space="preserve">Pedro Pousão-Ferreira</t>
  </si>
  <si>
    <t xml:space="preserve">S2AQUAcoLAB</t>
  </si>
  <si>
    <t xml:space="preserve">LenioBio plant-based growth factors</t>
  </si>
  <si>
    <t xml:space="preserve">Remberto Martis</t>
  </si>
  <si>
    <t xml:space="preserve">LenioBio</t>
  </si>
  <si>
    <t xml:space="preserve">3D Bio-Tissues Ltd growth factors from agroforestry byproducts</t>
  </si>
  <si>
    <t xml:space="preserve">IP Strategy for The Green Dairy</t>
  </si>
  <si>
    <t xml:space="preserve">Foodtech cooperation with Israel</t>
  </si>
  <si>
    <t xml:space="preserve">INNOVATION SKÅNE AB</t>
  </si>
  <si>
    <t xml:space="preserve">codABLE: Data-driven optimised protein production using Pichia pastoris</t>
  </si>
  <si>
    <t xml:space="preserve">https://gtr.ukri.org/projects?ref=10108143</t>
  </si>
  <si>
    <t xml:space="preserve">Ian Fotheringham</t>
  </si>
  <si>
    <t xml:space="preserve">INGENZA LIMITED</t>
  </si>
  <si>
    <t xml:space="preserve">Unearthing synthetic biology food futures and the changing 'nature' of production. A global ethnography of stevia ka'a he'e</t>
  </si>
  <si>
    <t xml:space="preserve">https://gtr.ukri.org/projects?ref=ES%2FX006735%2F1</t>
  </si>
  <si>
    <t xml:space="preserve">Molly Rose Bond</t>
  </si>
  <si>
    <t xml:space="preserve">UNIVERSITY OF EXETER</t>
  </si>
  <si>
    <t xml:space="preserve">Kalle GmbH</t>
  </si>
  <si>
    <t xml:space="preserve">Joint project: Process development for the production of functional oat protein concentrates (funHapro) - subproject C</t>
  </si>
  <si>
    <t xml:space="preserve">https://foerderportal.bund.de/foekat/jsp/SucheAction.do?actionMode=view&amp;fkz=281A807C21</t>
  </si>
  <si>
    <t xml:space="preserve">Keine Anzeige aufgrund datenschutzrechtlicher Regelungen.</t>
  </si>
  <si>
    <t xml:space="preserve">Hydrosol GmbH &amp; Co. KG</t>
  </si>
  <si>
    <t xml:space="preserve">endori food GmbH &amp; Co. KG</t>
  </si>
  <si>
    <t xml:space="preserve">Joint project: Development of reduced-fat foods using microparticulate vegetable proteins (MiPro) - Subproject F</t>
  </si>
  <si>
    <t xml:space="preserve">https://foerderportal.bund.de/foekat/jsp/SucheAction.do?actionMode=view&amp;fkz=281A603F19</t>
  </si>
  <si>
    <t xml:space="preserve">grant.9463438</t>
  </si>
  <si>
    <t xml:space="preserve">Topic: Holistic chia and oyster mushroom system for a sustainable food value chain in Africa (CHIAM)</t>
  </si>
  <si>
    <t xml:space="preserve">Max-Rubner-Institut</t>
  </si>
  <si>
    <t xml:space="preserve">Joint project: Resource-efficient production of high-quality proteins and fibers from narrow-leaved bitter lupins for (vegan) human nutrition (Luprocess) - Subproject D</t>
  </si>
  <si>
    <t xml:space="preserve">https://foerderportal.bund.de/foekat/jsp/SucheAction.do?actionMode=view&amp;fkz=281A805D21</t>
  </si>
  <si>
    <t xml:space="preserve">grant.13735330</t>
  </si>
  <si>
    <t xml:space="preserve">Julius Kühn-Institut</t>
  </si>
  <si>
    <t xml:space="preserve">Collaborative project: Hybrid Mycoprotein Meat Products for Sustainable and Healthy Nutrition (HyMycoMeat) - Subproject C</t>
  </si>
  <si>
    <t xml:space="preserve">Metten Fleischwaren GmbH &amp; Co. KG</t>
  </si>
  <si>
    <t xml:space="preserve">Cultivari Getreidezüchtungsforschung Darzau gGmbH</t>
  </si>
  <si>
    <t xml:space="preserve">Real Deal Milk</t>
  </si>
  <si>
    <t xml:space="preserve">https://www.realdealmilk.com/ournews/real-deal-milk-wins-grant</t>
  </si>
  <si>
    <t xml:space="preserve">Original award amount is EUR 75,000.</t>
  </si>
  <si>
    <t xml:space="preserve">Zoltan Toth-Czifra</t>
  </si>
  <si>
    <t xml:space="preserve">Government of Catalonia (ACCIO)</t>
  </si>
  <si>
    <t xml:space="preserve">Patent-pending co-fermentation technology that mimics nature to create natural, delicious and nutritious vegan seafood products.</t>
  </si>
  <si>
    <t xml:space="preserve">KORALO GMBH</t>
  </si>
  <si>
    <t xml:space="preserve">The Oater develops a compact machine for hyper-local fresh oat milk production to reduce waste and emissions.</t>
  </si>
  <si>
    <t xml:space="preserve">OIY SOLUTIONS GMBH</t>
  </si>
  <si>
    <t xml:space="preserve">Advanced decisional tools for large-scale cultured meat facilities</t>
  </si>
  <si>
    <t xml:space="preserve">With a rise in ethical and environmental concerns regarding meat farming, there is an urgent need to find novel and sustainable alternatives to traditional animal protein sources. Cultured meat is meat that has been grown in vitro by engineering muscle and fat tissues from stem cells. It is a cruelty-free and environmentally friendly alternative to traditional meat production methods. However, cultivated meat currently faces pressing challenges regarding the manufacture of commercially viable products, as the unit operations (bioreactors) involved are novel and not well characterized. Mathematical models, coupled with decisional tools, can provide valuable insights into the challenges faced by production facilities of novel biological products. However, until now, these methods have mainly focussed on manufacturing processes of biopharmaceuticals, as well as of gene and cell therapies, which incorporate well characterized unit operations. To help with commercialization of novel meat products, there is a need for development of mathematical models of biological systems involved in the production of cultured meat. The aim of this project is to develop mathematical models of unit operations used during the production of cultivated meat. This will include a hybrid (mechanistic and non-mechanistic) model of biochemical reactions and physical processes (fluid dynamics, heat and mass transport) occurring within a stem cell bioreactor. The model will be used to characterize nutrient conversion into biomass. The impact of process parameters on product quality and cell phenotype will also be considered. These models will be then coupled with a computational decisional tool, which will enable prediction of different economical parameters such as cost of goods, facility footprint, and fixed capital investment. The research methodology will involve development of novel models of stem cell bioreactors, as well as novel applications of well-established methods. The integrated unit operation model will facilitate decision-making regarding key process parameters during process development, enhancing economic feasibility and productivity. This project is highly interdisciplinary and falls within the EPSRC biomaterials and tissue engineering, mathematical biology, mathematical analysis, manufacturing technologies, engineering design, operational research, and synthetic biology research areas. It also aligns with the "Manufacturing the Future" broader research area. The project will be carried out in collaboration with scientists and engineers at Ivy Farm Technologies Limited (Oxford, United Kingdom).</t>
  </si>
  <si>
    <t xml:space="preserve">https://gtr.ukri.org/projects?ref=studentship-2445126#/tabOverview</t>
  </si>
  <si>
    <t xml:space="preserve">grant.9470806</t>
  </si>
  <si>
    <t xml:space="preserve">Original award amount is estimated to be GBP 71,941. This was determined by taking the total amount available for the traineeship program (GBP 5,395,559) and dividing by the total number of students (15 each in 5 cohorts = 75) expected to be supported by the program: https://gtr.ukri.org/projects?ref=EP/S024093/1</t>
  </si>
  <si>
    <t xml:space="preserve">Julia Krol</t>
  </si>
  <si>
    <t xml:space="preserve">Sustainable Approaches to Biomedical Science (SABS)</t>
  </si>
  <si>
    <t xml:space="preserve">Oxford University</t>
  </si>
  <si>
    <t xml:space="preserve">Sarah Waters</t>
  </si>
  <si>
    <t xml:space="preserve">Oxford University, Ivy Farm Technologies Limited</t>
  </si>
  <si>
    <t xml:space="preserve">Joint project: Use of side streams from bioethanol production to provide proteins for human nutrition (BioProHuman) - Subproject B</t>
  </si>
  <si>
    <t xml:space="preserve">https://foerderportal.bund.de/foekat/jsp/SucheAction.do?actionMode=view&amp;fkz=281A803B21</t>
  </si>
  <si>
    <t xml:space="preserve">Verbio SE</t>
  </si>
  <si>
    <t xml:space="preserve">Developing Atlantic Seafood Alternatives From Seaweeds Within NI Through Sustainable Reverse Engineering Techniques Following Post Covid-19 Trends</t>
  </si>
  <si>
    <t xml:space="preserve">Two of the burning issues of our time are how to reduce CO2 emissions and sustainably feed the forecasted 10 billion population by 2050 and the current model of producing just won't work moving forward. We at Born Maverick aim to redefine food innovation by exploring newer sources within eco system by developing sustainable food solutions within UK. We are willing to get into the roots of what causes overall disruption of supply chains and provide sustainable solutions. The over-exploitation of particular species needs to be stopped and we need solutions which would help maintain ecological balance in the system. Hence we have started to target species which are underutilised as compared to their natural production and turn them into our favourite edible products where consumers don't have to compromise on overall taste, texture and compatibility while being kind on nature and species besides being able to stay healthy in an ethical way. We have already developed unique plant-based milk, multi nutritional blend and uniquely fortified popsicles and this project is our further attempt to contribute towards creating a sustainable model post COVID-19\. Seaweed is naturally available within NI in abundance and is sustainably harvested through local farms. This is a least explored source of sea food when it comes to developing unique seafood alternatives despite the fact it carries immense nutrients and health benefits which could be used to form both edible and ethical food structure. Given the implications of Post-COVID-19 and rising trend of plant based diets has made it a basic necessity to develop food supply chain system within close proximity which would help us sustain and provide high quality locally sourced food to consumers in a continual way even during disrupting times and to generate exports of high quality innovative food in long term. There is an ever-growing appetite for seafood alternatives but the lack of innovation in this field as compared to milk and meat alternatives has hindered the rise of this particular segment when compared to the overall growth of plant-based products. The seafood alternatives currently present within the market are a random combination of soy, pea, rice and other grains formed in a shape of shrimp which questions the sustainable choice of consumer shifting to plant-based diet from actual seafood in long term. Our project aims in overcoming these shortcomings by providing solutions through reverse engineering technology and in a scientific way. In this project we aim to identify potential variety of edible sea weeds within NI which have nutritional configuration similar to prawns through reverse engineering methods and then constructing taste, texture and compatibility similar to prawns found in the oceans around UK. We would then identify process to optimise the upscaling of these products through sustainable packaging and shelf life development in order to deliver a final finished product. This would all be delivered over a time frame of six months by collaborating with the expertise within food research organisations which will be strategically contributing towards different phases of project.</t>
  </si>
  <si>
    <t xml:space="preserve">https://gtr.ukri.org/projects?ref=84835</t>
  </si>
  <si>
    <t xml:space="preserve">grant.9642088</t>
  </si>
  <si>
    <t xml:space="preserve">Azhar Murtuza</t>
  </si>
  <si>
    <t xml:space="preserve">Born Maverick Vegan Beverages Ltd</t>
  </si>
  <si>
    <t xml:space="preserve">AlgExtreme / Testing a sustainable concept for low-energy microalgae production in systematic seasonal operation</t>
  </si>
  <si>
    <t xml:space="preserve">Protewiener / Investigations into the production of a novel protein-rich boiled sausage using phototrophic biomass</t>
  </si>
  <si>
    <t xml:space="preserve">D.u.S. Fleisch- und Wurstwaren Gesellschaft mbH</t>
  </si>
  <si>
    <t xml:space="preserve">IBÖ-09: AlternateFysch – fish alternative made from biomass of the oil yeast Yarrowia lipolytica</t>
  </si>
  <si>
    <t xml:space="preserve">Plant-based composite bio-leather (Mykkö)</t>
  </si>
  <si>
    <t xml:space="preserve">https://gtr.ukri.org/projects?ref=86899</t>
  </si>
  <si>
    <t xml:space="preserve">Aurélie Fontan</t>
  </si>
  <si>
    <t xml:space="preserve">Aurelie Fontan Studio Ltd</t>
  </si>
  <si>
    <t xml:space="preserve">Collaborative project: Research resources for field bean adaptation: Accelerating breeding progress through modern genome information to increase yield stability under changing climatic conditions (FABA) - Subproject C</t>
  </si>
  <si>
    <t xml:space="preserve">NPZ Innovation GmbH</t>
  </si>
  <si>
    <t xml:space="preserve">Microfluidics as a solution to harvesting cultured meat</t>
  </si>
  <si>
    <t xml:space="preserve">By 2030, our planet will not be able to feed the people living on it. New solutions for food production as well as new food sources are pressingly needed. According to several reports, such as https://www.bcg.com/publications/2022/combating-climate-crisis-with-alternative-protein, using cell cultures is one of the most promising solutions to combat future population hunger. However, scaling up those productions has been shown as a massive technological bottleneck.uFraction8 developed novel bio-separation instruments that can effectively, sustainably, and at low cost, harvest and dewater cellular biomass. uFraction8 has already proven this with cultures of yeast and microalgae - microscopic seaweeds. Today's world is excited about the next big thing - cultured meat - where just a few cells taken from the animal can allow the production of thousands of burgers. However, working with animal cells is much more complex than culturing or fermenting yeast and microalgae. Mammalian cells are not only notoriously difficult to grow but also very sensitive to external factors, making processing cultured meat an extremely difficult task. Results collected to date from testing uFraction8's microfluidics bio-separation instruments give great bases to believe that uFraction8 microfluidics devices will be a perfect solution for handling meat cultures, enabling industrial production of non-kill meat. The ecological and ethical benefits of such meat production are beyond imagining. Reduction of cruelty, reduction of greenhouse gas emissions, reduction of antibiotics and other chemicals used in industrial meat production. All that is possible only if companies like uFraction8 can support cultured meat innovators with emerging technologies for industrial production which will allow them not only to prove that cultured meat is possible but also to scale productions to the capacity needed to feed our constantly growing population.</t>
  </si>
  <si>
    <t xml:space="preserve">https://gtr.ukri.org/projects?ref=10050215</t>
  </si>
  <si>
    <t xml:space="preserve">grant.13307063</t>
  </si>
  <si>
    <t xml:space="preserve">Monica Tomecka</t>
  </si>
  <si>
    <t xml:space="preserve">uFraction8 Limited</t>
  </si>
  <si>
    <t xml:space="preserve">Fortified plant-based growing up drink</t>
  </si>
  <si>
    <t xml:space="preserve">I'm Amy, I'm a teacher, mum of two and co-founder of Plant Powered Babies. I live in Hampshire. Our products are a range plant-based 'growing-up' drinks for toddlers aged 12 months - 3 years. They are born from a personal story (my daughter Iris had numerous allergies including milk, egg, oats, nuts and sesame as a baby), and have been developed especially for children with allergies. Importantly, they are suitable for young children who are being raised vegan. 10% of children in the UK have two or more allergies. The rate of hospital admissions is highest in those aged 0-4, with cow's milk being the most common food allergy in children. The number of vegans in the UK has increased by 445,428 people (40%) over the past 12 months (2021) and is only set to continue to increase. Our products provide an alternative to dairy toddler growing-up milks and are fortified with vitamins and minerals, eliminating the need for separate multi-vitamins. They use hydrolysed pea-protein roquette which is more sustainable than dairy or soya-based formulas. We aim to radically disrupt the market for 'growing up' milk formulas and introduce an accessible choice for parents of immuno-compromised and plant-based children, where there is currently very little. Both vegan diets and food allergy can be extremely challenging and pose risks of nutritional deficiencies, particularly during childhood. There is both a clinical and market need for an affordable, safe and nutritious food product which delivers supportive complimentary nutrition for young children to reduce dietary deficiency risks. Our products have been through focus groups but now we require a further round of product development and testing to validate them before we can seek investment and commercialise. We are also solving a wider societal need -- alleviating stress for parents who are desperate to find a milk alternative their child can drink. We're making the products that I wish Iris could have had when she was little.</t>
  </si>
  <si>
    <t xml:space="preserve">https://gtr.ukri.org/projects?ref=10024699</t>
  </si>
  <si>
    <t xml:space="preserve">grant.14051188</t>
  </si>
  <si>
    <t xml:space="preserve">Sophie Paytner</t>
  </si>
  <si>
    <t xml:space="preserve">Alternative feedstock for precision fermentation of oil</t>
  </si>
  <si>
    <t xml:space="preserve">Laura Van Marrewijk</t>
  </si>
  <si>
    <t xml:space="preserve">Sun Bear Bioworks Ltd</t>
  </si>
  <si>
    <t xml:space="preserve">Cell factory of the future - scaling up culture of cells on bioemulsions</t>
  </si>
  <si>
    <t xml:space="preserve">Meat production accounts for 60% of greenhouse gas emissions generated by global food production, which translates to 17.5B metric tonnes of emissions per year. This is on par with those from transportation. Replacing just 20% of farmed meat translates to removing emissions generated by 760M cars. To feed these animals, land has to be cleared for animal grazing and growing their feed. While more people turn vegetarian or vegan, a large majority still cannot forego meat in their daily diets. In the past decade, the cultivated meat (CM) industry has grown. Its ethos is to develop meat that is indistinguishable from farmed meat and aid us in reaching net-zero emissions through reduced land usage and more sustainable production processes. However, biomanufacturing capacity cannot keep up. Global bioreactor capacity is only at 15 million litres and by 2030, it is estimated that the demand will be 250 million litres. While most of the CM industry is focusing on bringing down cost through cell feed optimisation, the limitations and inefficiencies of current bioreactors and bioprocessing is often overlooked. Most of these bioreactors are adapted from the cell therapy industry with great losses at every bioprocessing step and fragmented overall process. As a result, price parity is still difficult to achieve due to the high cost of growing CM compared to farmed meat. We are transforming how we routinely grow mammalian cells in the lab by growing them on the surface of liquid droplets rather than solid substrates such as microcarriers. This project will focus on developing a bioreactor to complement the technology we have developed. This will allow us to showcase the scale up capabilities and streamlined bioprocessing required with our technology. As a cell manufacturing platform, new types of food can be developed, giving more variety, and allowing the gradual shift from traditional meat consumption. By accelerating product development, Liquibio aids in building a more resilient food system and lowering CO2 emissions.</t>
  </si>
  <si>
    <t xml:space="preserve">https://gtr.ukri.org/projects?ref=10044539</t>
  </si>
  <si>
    <t xml:space="preserve">grant.14049454</t>
  </si>
  <si>
    <t xml:space="preserve">Elijah Mojares</t>
  </si>
  <si>
    <t xml:space="preserve">Liquibio</t>
  </si>
  <si>
    <t xml:space="preserve">Cultivated meat cells to advance cellular agriculture research in the UK</t>
  </si>
  <si>
    <t xml:space="preserve"> With a growing global population and increasing global consumption of meat, it is essential to move to more sustainable methods of food production to mitigate our climate impact. Cultivated meat has the potential to significantly reduce our environmental impact by growing meat directly from a sample of cells taken from an animal. This reduces land use, antibiotic use, greenhouse gas emissions, energy and water use, as well as reducing the need for intensive animal farming practices.
 Most cultivated meat research starts with samples of cells from species relevant for consumption, however these cells are expensive to source and are challenging to obtain for most researchers, stifling innovation and growth of the sector in the UK. This project aims to accelerate the development of cultivated meat products and enabling technologies by generating cultivated meat cell banks for research purposes.</t>
  </si>
  <si>
    <t xml:space="preserve">need to find</t>
  </si>
  <si>
    <t xml:space="preserve">grant.14053154</t>
  </si>
  <si>
    <t xml:space="preserve">Towards massive scale-up of low-cost growth factor production for meat cultivation</t>
  </si>
  <si>
    <t xml:space="preserve">Industrial livestock farming methods are associated with undesirable environmental impacts including greenhouse gas emissions, high water/land usage, and animal welfare/ public health concerns such as overuse of antibiotics and zoonoses. The worldwide population is expected to reach 8 billion by 15/11/2022, and 10 billion by 2050\. Finite resources and increasing worldwide meat consumption create conditions for global food insecurity. Cost-effective, disruptive innovations in production technology for nutritional proteins are therefore required for the industrialization of meat alternatives. Such a shift to **cultivated meat** (**CM**) production will disrupt this highly valuable global industry ($467 billion for beef in 2021). CM is meat grown from animal stem cells in a bioreactor using tissue engineering approaches. Stem cells are differentiated into cell types found in meat such as muscle and fat in specialized nutrient-enriched cell culture medium containing **growth factor** (**GF**) proteins. These cells are combined with scaffolds to form meat products. Thus, CM is produced in a controlled environment without farming animals for food, mitigating many of the concerns associated with conventional farming. **However, economic feasibility and scale-up are major barriers to the adoption and public acceptance of CM.** **Key cost drivers** are the **GF components** of culture media. Existing GF protein production and separation methods (a critical purification step) are prohibitively expensive to transition from laboratory to commercial production scale. _Indeed, modelling studies show current CM production costs between $50,000-400,000USD per kg using the growth factor FGF-2, at a cost of $5,000/mg in a 20,000L bioreactor. Only by reducing FGF-2 to nominal costs can we approach commodity level prices of $2 per kg._ **Our vision is to target this bottleneck enabling massive scale-up of low-cost growth factor production for meat cultivation**. To generate low-cost GFs, we will deploy our plant-based GF bulk-expression platform, and combine with novel low-cost alternatives for bioseparation/purification. This is achieved using an inexpensive approach exploiting sustainable commercially-available industrial food-grade substrates. Pilot data has shown this is an effective method for purifying crude protein extracts with high recovery of biological activity. Significant cost reductions for GF production are envisaged, with profound commercial, economic, sustainability and environmental impacts.</t>
  </si>
  <si>
    <t xml:space="preserve">https://gtr.ukri.org/projects?ref=10042925</t>
  </si>
  <si>
    <t xml:space="preserve">grant.14053420</t>
  </si>
  <si>
    <t xml:space="preserve">Gareth Sullivan</t>
  </si>
  <si>
    <t xml:space="preserve">Occam Biosciences Limited</t>
  </si>
  <si>
    <t xml:space="preserve">Scheid AG &amp; Co. KG</t>
  </si>
  <si>
    <t xml:space="preserve">Upcycled plant based proteins</t>
  </si>
  <si>
    <t xml:space="preserve"> Our vision is to develop novel bioengineering techniques and plant based ingredient applications in the UK to supply the world with sufficient, nutritious, delicious, sustainable and affordable plant based proteins for a growing population. 
 FoodSquared aims to facilitate a shift towards plant based diets by creating delicious, nutritious, sustainable and affordable plant based proteins and help create a more circular food system which maintains raw material sources and reduces the environmental impacts of food production and consumption in the UK and globally. 
 Our team of scientists will focus on bringing these new plant based protein ingredients to market here in the UK in collaboration with the Medway Food Innovation Centre (MFIC). Their research expertise and cutting-edge facilities will provide us support from proof of concept to scale and bring these new plant based ingredients to market.</t>
  </si>
  <si>
    <t xml:space="preserve">https://gtr.ukri.org/projects?ref=10044673</t>
  </si>
  <si>
    <t xml:space="preserve">grant.14054288</t>
  </si>
  <si>
    <t xml:space="preserve">Wesley Yland</t>
  </si>
  <si>
    <t xml:space="preserve">Food Squared Limited</t>
  </si>
  <si>
    <t xml:space="preserve">Edible Microcarriers for Cultivated Meat Produced from Organic Waste Material</t>
  </si>
  <si>
    <t xml:space="preserve">Livestock farming is a major contributor to global warming and depletes water and land resources. There is demand for alternative approaches to meat production, such as cultivated meat that involves culturing animal cells to produce meat-like products. The goal of cultivated meat is for it to be indistinguishable from conventional meat in terms of appearance, texture and taste. Growing cultivated meat requires materials that cells can grow on. Currently there are very few materials suitable for doing this and most are not suitable for eating and are produced using environmentally unfriendly methods. For the cultivated meat industry to develop into a producer of mainstream products requires new, game-changing materials that are abundant, affordable, and food-safe. Cellulose is a material widely found in nature and is an insoluble dietary fibre, helping to push food through the digestive system. Once source of cellulose is from bacteria. Growth of bacterial cellulose requires liquid feed that is costly when used at scale. Alternatively, it is possible to produce bacterial cellulose using liquid feed derived from organic waste material produced by the brewing industry. We intend to use this bacterial cellulose produced using this waste material to create innovative materials that can be used in production of cultivated meat. This will provide a sustainable approach to material manufacturing that will help the cultured meat industry 'go green', adding to the beneficial impact that this sector is already delivering towards net zero CO2 emission targets. The project will utilise existing expertise at Luna for the production of novel materials. It will enable Luna to establish whether it is feasible to produce the required materials from bacterial-derived cellulose, something that has not previously been reported. Characterisation of the materials and estimates of manufacturing costs will enable Luna to establish whether this is a viable business opportunity and create useful data that will be used to start meaningful dialogue with potential customers and/or business partners.</t>
  </si>
  <si>
    <t xml:space="preserve">https://gtr.ukri.org/projects?ref=10044330</t>
  </si>
  <si>
    <t xml:space="preserve">grant.14050708</t>
  </si>
  <si>
    <t xml:space="preserve">Richard Day</t>
  </si>
  <si>
    <t xml:space="preserve">Luna Theraputics Ltd</t>
  </si>
  <si>
    <t xml:space="preserve">Südzucker AG</t>
  </si>
  <si>
    <t xml:space="preserve">Collaborative project: Establishment of innovative breeding approaches to make sunflowers competitive as an oil and protein fruit for the German market (ProSun) - Subproject B</t>
  </si>
  <si>
    <t xml:space="preserve">Baker Perkins: New technology for the production of meat substitutes from whole grain pulses</t>
  </si>
  <si>
    <t xml:space="preserve">There is increasing demand in the UK and elsewhere for protein-rich meat substitutes that have the appearance, texture and taste of real meat products. This growth in demand is driven primarily by consumer concerns about the impact of meat production on the environment, leading many to look for ways of reducing meat consumption without compromising on nutrition or the gastronomic experience of eating meat. Health concerns and animal welfare are other reasons cited for adopting a plant-based diet. This has seen UK sales of plant-based meat substitutes increasing 18% to £475m1 in 2019 while between 2015 and 2019 worldwide sales grew at a CAGR of 7.1% to £3.2bn2 Texturised vegetable protein (TVP) is one of the ways of making plant-based meat substitutes and a number of products are already on the market. Low-moisture TVP has a slightly spongy texture and is used in a range of meat products, primarily by the food industry, where it is rehydrated before being incorporated into burgers, sausages and ready meals. High moisture TVP is ready to use and gives a firmer, more meat-like texture to the products and could be sold to foodservice outlets or consumers as an ingredient for their own dishes. Current technology uses highly-processed protein isolates to make TVP. However, many of these products contain unfamiliar ingredients such as methyl cellulose to modify the texture and could be categorised as ultra-processed, two things that could hinder further growth. This project will investigate new processes using twin-screw extruder technology that will enable either high-or low-moisture TVP to be manufactured using flours obtained by processing the whole bean, rather than an isolate. It will also investigate ways of achieving the desired range of textures using purely processing techniques or label-friendly ingredients. The UK food industry will benefit from this project by being able to respond to demand for environmentally-friendly and clean-label meat substitutes using ingredients that could be grown and/or processed in the UK. This will build resilience into the food supply chain and address concerns about food security in the event of future disruption to imports or domestic production of meat. Also, as the demand for these products is increasing worldwide, UK food processing and equipment companies will benefit from export opportunities. 1 Kantar World Panel via The Grocer 2 Innova Market Insights -- Meat Substitutes Trends Analysis Dec 2019</t>
  </si>
  <si>
    <t xml:space="preserve">https://gtr.ukri.org:443/projects?ref=58496</t>
  </si>
  <si>
    <t xml:space="preserve">grant.9287978</t>
  </si>
  <si>
    <t xml:space="preserve">Keith Graham</t>
  </si>
  <si>
    <t xml:space="preserve">Baker Perkins Limited</t>
  </si>
  <si>
    <t xml:space="preserve">Extraction of Seaweed Functional Proteins through eco innovative methods by understanding cell structure</t>
  </si>
  <si>
    <t xml:space="preserve"> The UK food system contributes 20% of total GHG emission and use 70% of arable land. The land footprint and dietary GHG emissions per capita for animal protein production and consumption is approximately twice that of plant protein production and consumption. The independent UK Committee on Climate Change has stressed the need for a sustainable diet shift to achieve net zero carbon emissions by 2050\. The adoption of _alternative proteins enables a sustainable diet shift_ where seaweed (containing up to 47% protein on a dry weight basis) as sustainable food protein source can play a transformative role. However, there are three major barriers to overcome -- (1) poor protein extractability due to cell wall structure (= high cost), (2) restricted knowledge of metalloid content e.g. metalloids (=food safety concern) and (3) potential quality issue (= sensory) of the extracted protein. _This project will deliver initial leads for eco-innovative solutions to improve extractability and sensory quality of protein from the UK-sourced seaweed_.
 **Why important**: 50-70% more food needs to be produced by 2050 within planetary boundaries to maintain current consumption trends. Seaweed proteins do not compete with food crops for land and natural resources; and seaweed cultivation counteracts eutrophication and remediates carbon dioxide. Maximal protein yields from seaweed (2.5-7.5 ton/ha/year) could be 2x and 5x compared to wheat or legume. Europe and UK contribute &lt;1% of global seaweed production with room for further innovation, particularly for the UK with an extensive coastline. Improving extractability of seaweed proteins will make them more affordable alternative protein sources with greater market penetration.</t>
  </si>
  <si>
    <t xml:space="preserve">https://gtr.ukri.org/projects?ref=10043374</t>
  </si>
  <si>
    <t xml:space="preserve">grant.14048447</t>
  </si>
  <si>
    <t xml:space="preserve">Born Maverick Alt Pro Ltd</t>
  </si>
  <si>
    <t xml:space="preserve">Joint project: Development of a cryogenic peeling process as an innovative and sustainable key technology for the use of rapeseed proteins in human nutrition (CryoHusking) - Subproject C</t>
  </si>
  <si>
    <t xml:space="preserve">https://foerderportal.bund.de/foekat/jsp/SucheAction.do?actionMode=view&amp;fkz=281A804C21</t>
  </si>
  <si>
    <t xml:space="preserve">Messer SE &amp; Co. KGaA</t>
  </si>
  <si>
    <t xml:space="preserve">Joint project: Resource-efficient production of high-quality proteins and fibers from narrow-leaved bitter lupins for (vegan) human nutrition (Luprocess) - Subproject B</t>
  </si>
  <si>
    <t xml:space="preserve">https://foerderportal.bund.de/foekat/jsp/SucheAction.do?actionMode=view&amp;fkz=281A805B21</t>
  </si>
  <si>
    <t xml:space="preserve">grant.13735328</t>
  </si>
  <si>
    <t xml:space="preserve">Mining extremophile genomes for synthetic biology</t>
  </si>
  <si>
    <t xml:space="preserve">https://gtr.ukri.org/projects?ref=BB%2FV018094%2F1</t>
  </si>
  <si>
    <t xml:space="preserve">Nigel Richards</t>
  </si>
  <si>
    <t xml:space="preserve">CARDIFF UNIVERSITY</t>
  </si>
  <si>
    <t xml:space="preserve">GoCreate</t>
  </si>
  <si>
    <t xml:space="preserve">So delighted to receive confirmation from the team at OxLEP (the Oxfordshire Local Enterprise Partnership) that we have been approved for a grant of approximately £50k of EU Regional Development Funds. This will go towards us getting the team and operations of Fermtech (www.fermtech.co.uk) up and running!
This is the first time that I have applied for and been awarded a government grant, and I'm so grateful to receive this support. We're committed to using the amazing power of biotechnology to produce sustainable foods. The hashtag#alternativeprotein faces a big challenge in producing food affordably, which we are determined solve, using the great talent in and around Oxford.</t>
  </si>
  <si>
    <t xml:space="preserve">https://www.linkedin.com/feed/update/urn:li:activity:7013096423403454464/</t>
  </si>
  <si>
    <t xml:space="preserve">Original award amount is GBP 50,000.</t>
  </si>
  <si>
    <t xml:space="preserve">Andy Clayton</t>
  </si>
  <si>
    <t xml:space="preserve">Fermtech</t>
  </si>
  <si>
    <t xml:space="preserve">BOOST ALTERNATIVE PROTEINS FOR HEALTHY FOOD WITH LOW ECOIMPACT AND HIGH REGIONAL GROWTH IN BSR (BALT-PRO)</t>
  </si>
  <si>
    <t xml:space="preserve">https://interreg-baltic.eu/project/balt-pro/</t>
  </si>
  <si>
    <t xml:space="preserve">Original award amount is EUR 50,000 with EUR 40,000 from the EU government.</t>
  </si>
  <si>
    <t xml:space="preserve">Leif-Alexander Garbe</t>
  </si>
  <si>
    <t xml:space="preserve">Agriculture and Food Sciences</t>
  </si>
  <si>
    <t xml:space="preserve">Hochschule Neubrandenburg University of Applied Sciences</t>
  </si>
  <si>
    <t xml:space="preserve">Research Institutes of Sweden (RISE), ScanBalt</t>
  </si>
  <si>
    <t xml:space="preserve">European Regional Development Fund (ERDF), Interreg Baltic Sea Region</t>
  </si>
  <si>
    <t xml:space="preserve">Discovery and optimisation of unconventional yeasts to enable the industrial scaling of alternative protein production using precision fermentation</t>
  </si>
  <si>
    <t xml:space="preserve"> Our food system is facing challenges that require innovative solutions. One emerging solution is alternative proteins, which have the potential to reduce the environmental, ethical, and health impacts of animal agriculture. However, to be a viable alternative, these proteins must achieve taste and price parity with conventional animal-based products.
 Our innovative yeast technology is designed to meet this challenge. We're using cutting-edge synthetic biology and machine learning tools to identify and develop next-generation yeast strains that are highly efficient and scalable for industrial-scale protein production.
 Our project focuses on demonstrating the viability of this approach by focusing on two of the most promising species identified by us in the lead-up to this project. Our goal is to use them to produce two biomolecules of economical and environmental significance in food production. If successful, this proof of concept will validate the promise of our yeast screening platform, unlocking the possibility for developing multiple next-generation yeast strains for a more sustainable and more affordable food, cosmetics, and even pharmaceutical ingredient production. Moreover, our approach carries broader implications for the biotechnology industry, as our unique yeast screening platform bears a transformative value for a wide range of active applications.
 Our innovative approach to sustainable protein production will have a significant positive impact on the environment, public health, and the economy. By reducing dependence on animal agriculture and petroleum-derived ingredients, we can create more sustainable food and health systems that benefit our society.</t>
  </si>
  <si>
    <t xml:space="preserve">https://gtr.ukri.org/projects?ref=10074091</t>
  </si>
  <si>
    <t xml:space="preserve">grant.13874174</t>
  </si>
  <si>
    <t xml:space="preserve">Deimena Drasutyte</t>
  </si>
  <si>
    <t xml:space="preserve">HERLAB LTD</t>
  </si>
  <si>
    <t xml:space="preserve">Yeast- the protein source of the future</t>
  </si>
  <si>
    <t xml:space="preserve">Purpose and goal: The project has fulfilled its goal by utilizing innovative combinations of technologies to investigate the possibilities of creating food products with high sensory quality. The project has shown that yeast has a great potential to become a significant source of protein in human diets in the future. Expected results and effects: The project has shown promising results for extracting the proteins in the yeast by innovative combinations of techniques. However, more investigations are required to find the optimal extraction method. The functionality of yeast proteins was investigated, and the results showed that the proteins have great potential to act as the main protein source in meat analogues. Large-scale cultivation of yeast can provide unique conditions for a new Swedish-grown protein source. Approach and implementation: This project was as a collaborative project between Orkla Food Sweden, Jästbolaget, and RISE. The project was carried out through practical experiments, on yeast protein extraction and prototype development for meat analogues, in which all parties participated. In addition, theoretical aspects of the business case, such as financial viability and patented technology, was investigated. Regular meetings for review of results and discussion of the next steps was conducted within the project group.</t>
  </si>
  <si>
    <t xml:space="preserve">https://www.vinnova.se/en/p/yeast--the-protein-source-of-the-future/</t>
  </si>
  <si>
    <t xml:space="preserve">grant.9970262</t>
  </si>
  <si>
    <t xml:space="preserve">RISE</t>
  </si>
  <si>
    <t xml:space="preserve">Isolating and optimising salt-tolerant marine microbes for sustainable and clean protein production</t>
  </si>
  <si>
    <t xml:space="preserve"> Our global food system needs transformational change. Today, animal-derived protein production occupies 83% of farmland and accounts for 60% of agriculture GHG emissions. If the world shifted to a plant-based diet, we would reduce global land use for agriculture by 75%, as well as decrease its impacts on deforestation and freshwater use. However, drastic dietary changes are difficult to achieve, and current vegan alternatives do not meet consumers' expectations in terms of taste and texture.
 At BravelyCultured, we are bravely cultivating the future of sustainable protein production. We use precision fermentation and collaborate with existing plant-based food manufacturers to produce delicious foods that taste and feel like the foods we know and love, but at a reduced cost to both people and planet. Our solution emits 81% less carbon and uses 97% less freshwater than mainstream agriculture and is 31% cheaper than current traditional precision fermentation techniques.
 BravelyCultured are harnessing the power of the ocean to cultivate the next generation of alt-proteins by precision fermentation. By using sustainable feedstocks containing seawater, seaweed, and food waste we will dramatically reduce the environmental impact of protein production. In order to use such feedstocks, however, we must identify novel marine species of yeast or fungi that can naturally produce high yields of protein in these conditions. Marine environments offer a treasure trove of untapped potential. It is thought that less than 1% of marine fungi have been discovered! During this project, we will isolate and cultivate a vast panel of marine yeast and fungi and assess their potential for protein production.
 Ultimately, we will genetically engineer our top candidate species such that they produce high-quality protein ingredients that are sustainable, nutritious, and delicious. We will collaborate with existing plant-based dairy and meat manufacturers to bring to the market alternative foods that are a perfect replica of their animal-derived counterparts but have a net-positive impact on the planet.</t>
  </si>
  <si>
    <t xml:space="preserve">https://gtr.ukri.org/projects?ref=10076364</t>
  </si>
  <si>
    <t xml:space="preserve">grant.13877385</t>
  </si>
  <si>
    <t xml:space="preserve">ZENTIS GmbH &amp; Co. KG</t>
  </si>
  <si>
    <t xml:space="preserve">Study on wheat-based alternative protein products combined with other raw materials</t>
  </si>
  <si>
    <t xml:space="preserve"> Purpose and goal: 
 The purpose of the project was to study the potential of sustainable meat-substitutes based on a combination of wheat-protein together with hemp protein, mushrooms, or other raw materials. The goal was to stimulate partnerships among different actors in the value chain and to encourage efficient resource use, while studying possible applications and combinations of different locally sourced raw materials.
 The purpose and goal were met through newly created partnerships and through the development of a product prototype which will be brought to the next development phase. 
 Expected results and effects: 
 Results: the development of prototypes of attractive and sustainable products based on a combination of raw materials that have short ingredient lists and have high and enhanced nutritional values.
 Fulfilled effect: to create fruitful partnerships among different actors focusing on different raw materials in the food sector. Such partnerships will have a positive outcome for the Swedish food industry, increasing Sweden’s food security and self-sufficiency through the development of sustainable and nutritious meat-substitutes based on Swedish raw material. 
 Approach and implementation: 
 The project was divided in 3 work packages. 
 1: focused on the planning of the activities and on the coordination and organisation of the study.
 2: focused on the research and development of prototypes with different combinations and quantities of raw materials and different techniques.
 3: focused on the sensory analyses of the developed prototypes.
 The project was extended from 6 months to 8, due to unexpected, external delays faced in the first 2 months.
 To launch the prototypes on the market the project will need to be further expanded, sealing a partnership between Swedish SMEs.</t>
  </si>
  <si>
    <t xml:space="preserve">https://www.vr.se/english/swecris.html#/project/2021-03597_Vinnova</t>
  </si>
  <si>
    <t xml:space="preserve">grant.9970265</t>
  </si>
  <si>
    <t xml:space="preserve">Ilaria Di Meo</t>
  </si>
  <si>
    <t xml:space="preserve">Edgy Veggie Ab</t>
  </si>
  <si>
    <t xml:space="preserve">29/4/2022</t>
  </si>
  <si>
    <t xml:space="preserve">Joint project: Development and evaluation of a concept for the extraction and processing of proteins from brewer's yeast in the highest possible native and functional form on a pilot scale (HePro2) - Subproject C</t>
  </si>
  <si>
    <t xml:space="preserve">https://foerderportal.bund.de/foekat/jsp/SucheAction.do?actionMode=view&amp;fkz=281A816C21</t>
  </si>
  <si>
    <t xml:space="preserve">Elea Technology GmbH</t>
  </si>
  <si>
    <t xml:space="preserve">Joint project: Development and evaluation of a concept for the extraction and processing of proteins from brewer's yeast in the highest possible native and functional form on a pilot scale (HePro2) - Subproject B</t>
  </si>
  <si>
    <t xml:space="preserve">https://foerderportal.bund.de/foekat/jsp/SucheAction.do?actionMode=view&amp;fkz=281A816B21</t>
  </si>
  <si>
    <t xml:space="preserve">Leiber GmbH</t>
  </si>
  <si>
    <t xml:space="preserve">Industrial cultivation of microalgae with CO2 exhaust gases</t>
  </si>
  <si>
    <t xml:space="preserve">Algoliner GmbH &amp; Co. KG</t>
  </si>
  <si>
    <t xml:space="preserve">Joint project: Production of an optimized protein and sugar-rich nutrient base from organic residues for the growth of mushroom mycelia (sub-project Mushlabs GmbH)</t>
  </si>
  <si>
    <t xml:space="preserve">Mushlabs GmbH</t>
  </si>
  <si>
    <t xml:space="preserve">CERAFIM - Cellular Agriculture for Sustainable Food and Materials (Part 1)</t>
  </si>
  <si>
    <t xml:space="preserve">Our current agricultural practices have a significant impact on climate change. Up to 26% of the world's greenhouse gas emissions come from food production. The population of the earth is growing, and with it the need for food in the future will be even greater. Current practices are unsustainable and insufficient to meet this challenge. The unsustainability of the modern lifestyle is also increased by food packaging and other materials that cause a significant burden on the earth's resources. Consumers are also increasingly aware of animal welfare and the health effects of food. More and more people are questioning the conditions of farm animals and the use of animals in the production of food or materials. Cell culture produces proteins and other ingredients for food, materials and other applications. Production takes place in laboratories and bioreactors instead of fields and animals. The products have similar properties to animal-derived products, but without production animals, with fewer resources and smaller environmental impacts. Cell culture offers sustainable alternatives to our modern food and material industry. The use of side streams from the agricultural and food industry as raw material for cell culture supports the industry's transition to more sustainable practices. Cell culture is a rapidly growing industry worldwide and numerous start-up companies have been founded around the topic. There is already significant demand for cell culture products and technologies, and the market potential is predicted to grow rapidly in the coming years. The CERAFIM project focuses on proteins produced by cell culture for food and material applications. The project covers the entire value chain from food processing and agricultural side streams as raw materials, to pre-treatment of these raw materials, microbial cultivation to produce proteins, cell or cell-isolated proteins, further processing of process flows and finally the manufacture of consumer products.</t>
  </si>
  <si>
    <t xml:space="preserve">https://research.fi/en/results/funding/70438</t>
  </si>
  <si>
    <t xml:space="preserve">grant.13522991</t>
  </si>
  <si>
    <t xml:space="preserve">Original award amount is EUR 36,100.</t>
  </si>
  <si>
    <t xml:space="preserve">30/8/2022</t>
  </si>
  <si>
    <t xml:space="preserve">Integrating industrial side streams into food production based on cellular agriculture</t>
  </si>
  <si>
    <t xml:space="preserve">https://research.fi/en/results/funding/26483</t>
  </si>
  <si>
    <t xml:space="preserve">Characterising BiologIC’s disruptive bioprocessing platform for synthetic biology including therapies, foods and diagnostics</t>
  </si>
  <si>
    <t xml:space="preserve"> Humanity faces three enormous challenges: feeding 9.8 billion people by 2050, mitigating climate change and eliminating the existential threat of diseases including zoonotic pandemics.
 BiologIC is developing the world's first biocomputer. BiologIC's ambition is to build a world leading UK biocomputing industry to unleash the full potential of synthetic biology. BiologIC's technology aims to revolutionise bioprocessing in the way the integrated circuit revolutionised information processing. The outcome would be a paradigm shift in the detection and mitigation of diseases, the production of foods, the development of new biofuels and biomaterials and DNA data processing.
 BiologIC's breakthrough digital hardware architectures use multi-material 3D-printing to fabricate fluidics, electronics, thermals, optics and pneumatic circuits into integrated bioprocessors. These bioprocessors are assembled within biocomputing devices that increase the processing power of synthetic biology. The devices also incorporate a dense network of biosensors, such as pH and dissolved oxygen, generating rich data to drive adaptive workflows.
 Products are being developed to advance applications in research, diagnostics, therapies such as new vaccines, cultured meat and biofuels and are designed to power the next generation of synthetic biology at scale.
 The scope of work is to couple the performance of the bioprocesses with appropriate analytes and metrics to help monitor the quality of the biologic produced or detected under defined operating conditions. Establishing relations between the process and product would require bespoke, non-trivial analysis, possibly using different and complementary measurements.
 The analysis will investigate and validate the feasibility of BiologIC's architectures and support development of high-throughput bioprocessing systems. In the longer term, this work is expected to underpin a scheme for continuous monitoring of product quality, leading to next generations of our 3D-printed devices.</t>
  </si>
  <si>
    <t xml:space="preserve">https://gtr.ukri.org/projects?ref=10022593</t>
  </si>
  <si>
    <t xml:space="preserve">grant.10004533</t>
  </si>
  <si>
    <t xml:space="preserve">Biologic Technologies Limited</t>
  </si>
  <si>
    <t xml:space="preserve">Machine learning assisted construct design to accelerate protein production.</t>
  </si>
  <si>
    <t xml:space="preserve">https://gtr.ukri.org/projects?ref=74918</t>
  </si>
  <si>
    <t xml:space="preserve">Dilrini De Silva</t>
  </si>
  <si>
    <t xml:space="preserve">UNIVERSITY OF CAMBRIDGE</t>
  </si>
  <si>
    <t xml:space="preserve">UKRI</t>
  </si>
  <si>
    <t xml:space="preserve">Collaborative project: Process development for vegetable protein sources and establishment of new B2B relationships for the food trade (ProHand) - subproject 3</t>
  </si>
  <si>
    <t xml:space="preserve">https://foerderportal.bund.de/foekat/jsp/SucheAction.do?actionMode=view&amp;fkz=281A402417</t>
  </si>
  <si>
    <t xml:space="preserve">grant.8836722</t>
  </si>
  <si>
    <t xml:space="preserve">Characterisation of BiologIC’s 3D printed biocomputer platform for advanced therapies, cellular agriculture and diagnostics</t>
  </si>
  <si>
    <t xml:space="preserve">BiologIC Technologies is developing the first world's biocomputer leveraging foundational IP and the latest additive manufacturing (3D printing) technologies. The first generation of the biocomputer is being developed to advance applications in diagnostics, advanced therapies, new vaccines and cultured meat and is designed to power the next generation of synthetic biology at scale. We use 3D printing as the fabrication process of the biocomputer platform. Multi-material 3D printing enables digital blending of materials (polymers and elastomers) that lets us produce a single system that integrates fluidics, electronics, optics and pneumatics into a single system. One of the challenges in bringing these systems to regulated markets such as manufacturing of advanced therapies is controlling the materials. BiologIC has developed proprietary knowhow regarding biocompatibility of the 3D printed system across each layer of its technology. Previous work has shown that BiologIC's post-processing methodologies can efficiently increase the biocompatibility of the 3D printed systems enabling molecular and cellular biology applications although further optimisation is desirable. By collaborating with external expertise through this project BiologIC will characterise the 3D printed components necessary for the further development of the biocomputer platform that will enable a paradigm shift in the production of synthetic biology, advanced therapies and diagnostics.</t>
  </si>
  <si>
    <t xml:space="preserve">https://gtr.ukri.org/projects?ref=10039696</t>
  </si>
  <si>
    <t xml:space="preserve">grant.14050506</t>
  </si>
  <si>
    <t xml:space="preserve">Laura Ruiz Cantu</t>
  </si>
  <si>
    <t xml:space="preserve">Joint project: Optimization of the process for obtaining protein-containing powder from grass juice (bio20039Gruenland) - Sub-project: Use of the system</t>
  </si>
  <si>
    <t xml:space="preserve">Landwirtschaftlicher Betrieb Christoph Geil</t>
  </si>
  <si>
    <t xml:space="preserve">Feasibility of developing and exporting novel fungal strains for the mould ripened cheese market in Italy</t>
  </si>
  <si>
    <t xml:space="preserve">Less</t>
  </si>
  <si>
    <t xml:space="preserve">https://gtr.ukri.org/projects?ref=10020396</t>
  </si>
  <si>
    <t xml:space="preserve">Myconeos Ltd</t>
  </si>
  <si>
    <t xml:space="preserve">DÖHLER GmbH</t>
  </si>
  <si>
    <t xml:space="preserve">Biomeat - Manufacturing cultured meat through a scalable and cost-effective bioprocess</t>
  </si>
  <si>
    <t xml:space="preserve">grant.13259697</t>
  </si>
  <si>
    <t xml:space="preserve">Hélder David Bandarra Tavares</t>
  </si>
  <si>
    <t xml:space="preserve">Rabo Sustainable Innovation Award 2020</t>
  </si>
  <si>
    <t xml:space="preserve">https://www.rabobank.com/nl/press/search/2020/rival-foods-susphos-en-bilihome-winnen-rabo-duurzame-innovatieprijs-2020.html</t>
  </si>
  <si>
    <t xml:space="preserve">Birgit Dekkers</t>
  </si>
  <si>
    <t xml:space="preserve">Rival Foods</t>
  </si>
  <si>
    <t xml:space="preserve">Rabobank</t>
  </si>
  <si>
    <t xml:space="preserve">27/11/2021</t>
  </si>
  <si>
    <t xml:space="preserve">Biocontrol of fermented meat alternatives: Evaluation of protective cultures for biocontrol and development of a multiplex qPCR method for the quantification of Bacillus spp. and protective culture strains</t>
  </si>
  <si>
    <t xml:space="preserve">https://www.aramis.admin.ch/Grunddaten/?ProjectID=53530&amp;Sprache=en-US</t>
  </si>
  <si>
    <t xml:space="preserve">grant.13573186</t>
  </si>
  <si>
    <t xml:space="preserve">Susanne Miescher Schwenninger</t>
  </si>
  <si>
    <t xml:space="preserve">Host strain development , Bioprocess design</t>
  </si>
  <si>
    <t xml:space="preserve">Using customer insights analysis for business growth in the plant-based meat and fish alternatives sector</t>
  </si>
  <si>
    <t xml:space="preserve">Anna-Maria Strässner</t>
  </si>
  <si>
    <t xml:space="preserve">Joint project: Development of ripened cheese alternatives based on local peas (KERBSE) - subproject 2</t>
  </si>
  <si>
    <t xml:space="preserve">Axel Brinkhaus GmbH &amp; Co. KG</t>
  </si>
  <si>
    <t xml:space="preserve">Joint project: Upgrading pulses and their side streams to vegan products through fermentation with edible mushrooms (MycoPea) - Subproject C</t>
  </si>
  <si>
    <t xml:space="preserve">https://foerderportal.bund.de/foekat/jsp/SucheAction.do?actionMode=view&amp;fkz=281A811C21</t>
  </si>
  <si>
    <t xml:space="preserve">Müller's Mühle GmbH</t>
  </si>
  <si>
    <t xml:space="preserve">Collaborative project: Hybrid Mycoprotein Meat Products for Sustainable and Healthy Nutrition (HyMycoMeat) - Subproject B</t>
  </si>
  <si>
    <t xml:space="preserve">Nordzucker AG</t>
  </si>
  <si>
    <t xml:space="preserve">AGRAVIS RAIFFEISEN AG</t>
  </si>
  <si>
    <t xml:space="preserve">Collaborative project: Process development for vegetable protein sources and establishment of new B2B relationships for the food trade (ProHand) - subproject 4</t>
  </si>
  <si>
    <t xml:space="preserve">https://foerderportal.bund.de/foekat/jsp/SucheAction.do?actionMode=view&amp;fkz=281A402617</t>
  </si>
  <si>
    <t xml:space="preserve">grant.8836723</t>
  </si>
  <si>
    <t xml:space="preserve">Collaborative project: Process development for vegetable protein sources and establishment of new B2B relationships for the food trade (ProHand) - subproject 2</t>
  </si>
  <si>
    <t xml:space="preserve">https://foerderportal.bund.de/foekat/jsp/SucheAction.do?actionMode=view&amp;fkz=281A402317</t>
  </si>
  <si>
    <t xml:space="preserve">grant.8836721</t>
  </si>
  <si>
    <t xml:space="preserve">Nurmiproteiini: Grass protein for food and feed ingredients</t>
  </si>
  <si>
    <t xml:space="preserve">The primary aim of the project is to demonstrate the possibility to technically and economically produce grass protein, which is suitable for protein feeds and for direct human use. The research focuses on the selection of suitable raw materials, scaling up the production process from laboratory to pilot-scale, and testing the properties of the produced grass protein. Also the antinutrients, which need to be followed in the raw material, are identified. The research within the project will be performed in co-operation between Luke, VTT, Valio and Atria.
The project provides new research results about the suitability of Northern grass species for feed and food ingredients. At is best, the project will improve the protein self-sufficiency and the overall sustainability of food production, provide agricultural companies and farms new business opportunities and new export possibilities in the form of expertise, equipment, process input and food products.</t>
  </si>
  <si>
    <t xml:space="preserve">https://www.luke.fi/en/projects/nurmiproteiini</t>
  </si>
  <si>
    <t xml:space="preserve">Original award amount is unknown.</t>
  </si>
  <si>
    <t xml:space="preserve">Marketta Rinne</t>
  </si>
  <si>
    <t xml:space="preserve">Natural Resources Institute Finland (Luke)</t>
  </si>
  <si>
    <t xml:space="preserve">VTT, Valio Oy, Atria</t>
  </si>
  <si>
    <t xml:space="preserve">Ministry for Agriculture and Forestry in Finland (Makera)</t>
  </si>
  <si>
    <t xml:space="preserve">Food safety aspects of plant-based milk alternatives</t>
  </si>
  <si>
    <t xml:space="preserve">Consumption of dairy analogues made of oats, soy, nuts, rice, or other plants has increased in recent years. In addition to the increase in supply, the use is increased by recommendations from various sources to promote public health and mitigate climate change by limiting the consumption of food of animal origin. Currently, there is only a limited amount of information on the chemical or microbiological food hazards of plant-based dairy analogues, as they are not controlled under food safety regulations similarly to cow's milk and they are mostly fairly new arrivals on the market.
The aim of this study is to
- determine the concentrations in dairy analogues of spore-forming pathogenic bacteria and several contaminants such as heavy metals and mycotoxins,
- assess the consumer's exposure to these food hazards,
- assess the limits of safe use for different consumer groups,
- assess the impact of different production processes on the quality of the finished product,
- estimate the current consumption and the effect of the storage of oats products on the microbiological risk, and
- compare the differences in the composition of the products of vegetable and animal origin.
Food safety results are useful to the planning of control and self-control measures in industry as well as to national decision-making, and the amounts of safe use and nutritional information support the development of national recommendations. In addition, the results provide consumers with studied, independent information to support their choices.</t>
  </si>
  <si>
    <t xml:space="preserve">https://www.ruokavirasto.fi/en/vegeturva</t>
  </si>
  <si>
    <t xml:space="preserve">Johanna Suomi</t>
  </si>
  <si>
    <t xml:space="preserve">Risk Assessment</t>
  </si>
  <si>
    <t xml:space="preserve">Finnish Food Authority</t>
  </si>
  <si>
    <t xml:space="preserve">Petra Pasonen; Antti Mikkelä; Pirkko Tuominen; Marjo Kolmonen; Marjo Pulkkinen; Marja Raatikainen; Tiina Ritvanen; Janne Järvinen; Kati Hakala; Annikki Welling; Maria Aarnio; Satu Hakola; Saija Hallanvuo; Anna-Liisa Myllyniemi; Hanna-Leena Alakomi; Elina Sohlberg; Pekka Lehtinen; Ulla Holopainen-Mantila</t>
  </si>
  <si>
    <t xml:space="preserve">Finnish Food Authority, VTT, Fazer, Raisio, Valio Oy</t>
  </si>
  <si>
    <t xml:space="preserve">food safety / risk assessment</t>
  </si>
  <si>
    <t xml:space="preserve">Cell2Eat</t>
  </si>
  <si>
    <t xml:space="preserve">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</si>
  <si>
    <t xml:space="preserve">https://cris.vtt.fi/en/projects/protein-quality-of-plant-cell-cultures-in-relation-to-digestive-p</t>
  </si>
  <si>
    <t xml:space="preserve">University of Eastern Finland</t>
  </si>
  <si>
    <t xml:space="preserve">IPSUS: 'Innovative Upcycled Plant Proteins for Sustainable Food Systems</t>
  </si>
  <si>
    <t xml:space="preserve">The IPSUS project will use inter-disciplinary and eco-innovative approaches to upcycle plant and seaweed proteins from agri-food raw materials otherwise destined to join the ~1.6 billion tonnes of annual global FLW. IPSUS is focusing on six protein-rich commodities – pumpkin, hazelnut, grape, potato, brewers’ spent grain, and seaweeds – foods which are often wasted in large quantities. The team will be examining the quantity, quality of FLW and upcycling opportunities across the value chains of these commodities in the UK, Italy, Romania, Turkey and Morocco, supporting progress towards achieving Net Zero by linking sustainable protein dietary shifts (from animal proteins to plant proteins) and food waste valorisation – the process of converting food waste materials into useful products including chemicals, materials, and fuels.
The team will assess novel protein extraction methods to identify and optimise the less energy-intensive and more sustainable techniques. The project will also assess the nutritional quality and safety of the plant and seaweed sources and upcycled proteins, taking bio-accessibility (the amount of an ingested nutrient that is available for absorption in the gut after digestion), and its potential to cause an allergy into account.</t>
  </si>
  <si>
    <t xml:space="preserve">https://www.nri.org/latest/news/2022/upcycling-food-waste-for-innovative-plant-based-meat-and-dairy-alternatives</t>
  </si>
  <si>
    <t xml:space="preserve">Parag Acharya</t>
  </si>
  <si>
    <t xml:space="preserve">Engineering and Science</t>
  </si>
  <si>
    <t xml:space="preserve">University of Greenwich</t>
  </si>
  <si>
    <t xml:space="preserve">Tanya Stathers; Delia Randolph; Mofakkarul Islam</t>
  </si>
  <si>
    <t xml:space="preserve">University of Greenwich, University of Parma, SSICA, Istanbul Sabahattin Zaim University, Kaanlar Food Inc, Ecole Nationale d’Agriculture de Meknes, Mohammed V University, BEIA Consultant, KEDGE Business School</t>
  </si>
  <si>
    <t xml:space="preserve">FunTomP - FUNCTIONALIZED TOMATO PRODUCTS (DBA.AD005.205)</t>
  </si>
  <si>
    <t xml:space="preserve">FunTomP - FunTomP - Functionalized tomato products In recent years there has been a growing and significant demand for products based on vegetable proteins also as a consequence of the so-called "Greta Thunberg effect", which denotes a movement of great consensus among young people, sensitive to sustainable productions aimed at implementing use of vegetable proteins to replace animal ones, with a strong environmental impact. Considering the changing expectations of consumers and the lower adherence to the Mediterranean Diet, it is now becoming important to formulate new foods that can exert a beneficial effect on health using a sustainable approach that contributes to the achievement of the objectives set by the 2030 Agenda. FunTomP will enable the production of various functional foods such as juices, sauces, bars and powdered mixes with potential health benefits. If on the one hand the products developed will be able to satisfy consumer demand, on the other they will respond to the growing demand for sustainable foods obtained through a process cycle that enhances Mediterranean agricultural production. FunTomP - FunTomP - Functionalized tomato products FunTomP's goal is to formulate new functional foods based on the traditional Mediterranean tomato, to which proteins extracted from sugar beet leaves, which represent a waste product, and olive powder will be added. Eco-friendly processing technologies (MW, HHP, UV-C and HPU) will be applied, which will have a minimal impact on nutrients, evaluated in terms of effects on microbial load and nutritional quality compared to conventional methods. Green technologies such as supercritical fluid extraction (SFE), ultrasound-based techniques (US) and high voltage electrical discharge (HVED) will be used for the extraction of bioactive compounds from tomato and beet waste. Advanced techniques including nuclear magnetic resonance will be used for quality control of the developed products. Finally, thanks to in vitro and in vivo studies, it will be possible to verify the health effect of the products obtained, with particular attention to the antioxidant, anti-inflammatory and anti-tumor action</t>
  </si>
  <si>
    <t xml:space="preserve">https://www.cnr.it/en/research-projects/project/45495/funtomp-functionalized-tomato-products-dba-ad005-205</t>
  </si>
  <si>
    <t xml:space="preserve">grant.13030437</t>
  </si>
  <si>
    <t xml:space="preserve">LAURA PUCCI</t>
  </si>
  <si>
    <t xml:space="preserve">Institute of Agricultural Biology and Biotechnology</t>
  </si>
  <si>
    <t xml:space="preserve">National Research Council</t>
  </si>
  <si>
    <t xml:space="preserve">Regulating Food Innovation – Technical Innovation requires Regulatory Innovation</t>
  </si>
  <si>
    <t xml:space="preserve">Innovation is critical to enable the UN World Food Programme to deliver on its mandate to reach Zero Hunger. Innovations occur along the food value chain. Various dietary trends trigger product developments such as meatless products, plant-based drinks and supplements or new categories of food such as insects. Consumers’ demand for functional food along with their choice of healthier and “greener” products has boosted the offer of food innovations, which promise beneficial health and environmental effects. The potential of plants, their compounds and derivatives in food production and preservation has been rapidly explored and led to applications such as the mimicking of hemoglobin proteins in plant-based products or the extraction of triterpenic acids from apples and other traditional plants. Scientific progress in molecular genetics is stimulating the development of more efficient and precise plant breeding. Starting with transgenesis in the 1980s, later developments have greatly expanded the toolbox available for plant breeders to work with genetic material to optimise trait management and develop elite cultivars of high nutritional quality. The 2020 Nobel Prize in chemistry was awarded to researchers that developed the CRISPR/Cas technology, emphasizing that technical progress in molecular biology and genetics is being rapidly incorporated in practical applications. These developments are interlinked with regulatory challenges. In the EU, novel foods require the positive completion of an authorisation procedure prior to being placed on the market. As for GMOs, heavy requirements are imposed not only as regards their placing on the market, but also their use, labelling, traceability and co-existence. Both novel foods and GMOs are subject to risk assessment under the auspices of EFSA, and to a Committee procedure. This is costly in terms of time and money. Little has been written on how a regulatory regime can be designed to both enable innovations that deliver on existential societal challenges as well as protect human health, safety and the environment. Research must therefore address the question of linkages between different regulatory objectives. It must also address the question of regulatory effectiveness. It must equally address numerous assumptions behind the regulatory design – why certain innovations are regulated and on which scientific criteria to decide whether an innovation should fall within the remit of a regulation. Different regulatory objectives represent analytical accounts of various disciplines, requiring research from a number of angles: This project will provide a clear and tangible analysis whether, and how, the current legal regimes strike a balance between the protection of health, safety and the environment and innovation in the food sector. It will suggest new and innovative regulatory solutions, which enable innovations and protect the society from potential risks from those innovations.</t>
  </si>
  <si>
    <t xml:space="preserve">https://gepris.dfg.de/gepris/projekt/465588286?language=en</t>
  </si>
  <si>
    <t xml:space="preserve">grant.9882272</t>
  </si>
  <si>
    <t xml:space="preserve">Kai Purnhagen, Samuel Becher, Hans-W. Micklitz, Justus Wesseler, Detlef Bartsch, Stephan Clemens, Laura König, Markus Möstl, Martin Schmidt-Kessel, Julia von Thienen</t>
  </si>
  <si>
    <t xml:space="preserve">University of Bayreuth; Victoria University of Wellington; European University Institute; Wageningen University &amp; Research; RWTH Aachen University; University of Vienna; Hasso Plattner Institute</t>
  </si>
  <si>
    <t xml:space="preserve">Germany; New Zealand; Italy; Netherlands; Germany; Austria; Germany</t>
  </si>
  <si>
    <t xml:space="preserve">German Research Foundation (DFG)</t>
  </si>
  <si>
    <t xml:space="preserve">CirCasein - Enabling Circular Economy through Novel Caseins</t>
  </si>
  <si>
    <t xml:space="preserve">Dairy farming contributes significantly to global greenhouse gas emissions. Yet, there is high demand for dairy products. Cheese is the second most consumed dairy product globally, with Europe being the most popular region. Cheese is enjoyed by many people for its taste and texture, including stretchiness. The desired properties of cheese are largely due to milk proteins - caseins. Caseins serve as the fundamental structure for various types of cheese. In cow's milk, caseins constitute 80% of all milk proteins. However, the current manufacturing of caseins has significant ecological impacts. Therefore, it is important to introduce novel technologies that offer highly effective proteins while enhancing circularity. Our organization employs precision fermentation to develop innovative caseins with identical amino acid sequences to bovine caseins.
In this proposed project, we will unveil the food-relevant functionality of these novel caseins, covering length scales from micro to macro-scale. We aim to compare them with their native counterparts, bovine-derived, that are known to follow the linear economy. There are three research questions addressed in the project: (1) How do the physicochemical properties of recombinant caseins compar to bovine caseins?; (2) What is the relationship between the phase behavior in terms of sol-gel transition of a single recombinant casein fraction and mixtures thereof and their rheological and microstructural properties?; and (3) How are the rheological, mechanical, and microstructural properties of acid-induced emulsion protein gels produced from recombinant caseins? Together, these three will cover different length scales relevant to food systems, from molecular to macroscopic scale. The methods used will include protein characterization methods and food-relevant functionalities (e.g., gelation). Techniques involving the use of a nanosizer, DSC, and X-ray scattering. A rheometer will be used to determine rheological properties of gels. Furthermore, the microstructure of the resulting gels will be visualized, e.g., by a confocal microscopy (CSLM).
The proposed topic will fall under Rethink and Reduce in accordance with the goals of the present call. The goal is to optimize the use of resources, in this case, recombinant caseins for their application in cheese manufacturing. There is no prior knowledge available close to the scope of this proposed project. Precision fermentation is acknowledged to have great potential for fostering efficient and sustainable vertical production of ingredients in urban settings such as Vienna. Thus, it supports the ambition of the Austrian economy and society to a climate-neutral and sustainable circular economy by 2050.</t>
  </si>
  <si>
    <t xml:space="preserve">https://projekte.ffg.at/projekt/5120938</t>
  </si>
  <si>
    <t xml:space="preserve">grant.13863023</t>
  </si>
  <si>
    <t xml:space="preserve">30/11/2026</t>
  </si>
  <si>
    <t xml:space="preserve">New synthetic materials for the development of pharmaceuticals, medicine, veterinary medicine, aquaculture and agriculture of the Irkutsk region</t>
  </si>
  <si>
    <t xml:space="preserve">The project aims to solve the fundamental problem of creating innovative synthetic materials. The objectives of the Project are synthesis, study of the structure, properties, as well as the physiological (pharmacological) and sorption activity of new complex chemical compounds.  Based on the previously obtained preliminary data, it is proposed to identify among the new compounds inexpensive, absolutely non-toxic, effective protective agents and growth biostimulants of various microorganisms, plants, fish and animals, as well as preventive, diagnostic and medicinal products with protective (adaptogenic), immunostimulating, anti-cancer and sorption activity.  The results obtained (together with colleagues from biological, medical and agricultural institutes) the results will be the basis for the production of popular biologically active and sorption substances, which will find application in pharmacology (pharmaceuticals), microbiology, biotechnology, ecology, aquaculture (fish farming), veterinary medicine, rural economy and others - In pharmacology (pharmaceuticals): adaptogens, antidotes, drugs for the treatment of immunodeficiency, atherosclerosis, allergies, oncological diseases. - In microbiology: growth biostimulants:  a) beneficial microorganisms (vaccines, prophylactic drugs);  b) pathogenic microorganisms (early rapid diagnosis of diseases and timely treatment);  c) bacteria of oil destructors (cleaning the soil and water from oil spills; improving the ecology of the Angara region and Lake Baikal). - In biotechnology:  a) biosynthesis activators (products: brewing malt, baker's yeast, fodder and food protein, citric acid, biofuel, lactic acid bifidumbacterin, biomass of ginseng and stem cells);  b) sorbents and enterosorbents of heavy and toxic metals (purification of living organisms, as well as wastewater; improving human health and the ecology of the Angara region and Lake Baikal). - In aquaculture (fish farming): stimulants; an increase in the population (artificial insemination of eggs and reproduction of fry), growth, weight and stress resistance, as well as a decrease in the mortality of whitefish, salmon fish species of Lake Baikal and Angara. - In veterinary medicine: early diagnosis, prevention and elimination of diseases of farm animals, birds, fish and bees, as well as the prevention of human infection with food (milk, cheese, butter, meat, fish, vegetables, “fast food”). - In agriculture: increasing crop yields and weight gain in livestock.  According to the results of the project, it is planned to publish articles in chemical, biological and medical journals (Web of Science, Scopus), abstracts at Russian and international conferences, as well as obtain a patent for the invention.  Thus, the results of the Project will contribute to the social and economic development of the Russian Federation, including the Irkutsk region, as well as improving the ecological status of the Angara region and Lake Baikal.</t>
  </si>
  <si>
    <t xml:space="preserve">grant.8746351</t>
  </si>
  <si>
    <t xml:space="preserve">E.N. Oborina</t>
  </si>
  <si>
    <t xml:space="preserve">Russian Foundation for Basic Research</t>
  </si>
  <si>
    <t xml:space="preserve">Russia</t>
  </si>
  <si>
    <t xml:space="preserve">31/12/2020</t>
  </si>
  <si>
    <t xml:space="preserve">Understanding 'protein valuation - the key to reducing meat consumption?</t>
  </si>
  <si>
    <t xml:space="preserve">Protein is a critical component of our diet, essential for numerous physiological processes like cell tissue maintenance (Casteneda et al., 1995). As such, protein is central to the debate about meat consumption, and consumers often have concerns about the lack of protein in vegetarian/vegan ('vegan') diets (Reipurth et al., 2019). It is likely these concerns have a biological basis. Evidence for this would support the broader concept that humans possess 'nutritional wisdom': the ability to unconsciously recognise and seek out different foods that together provide optimal nutritional intake. Three groups of protein sources will be compared: meat, meat-alternative products (e.g. the Vegetarian Butcher) and naturally-occurring plant-based sources (e.g. legumes).
Protein valuation
In non-human animals there is strong support for the ability to ensure dietary protein requirements are met. This behaviour is observed in the Chacma baboon (Johnson et al., 2013), spider monkeys (Felton et al., 2009), and even insects such as caterpillars (Dussutour et al., 2007). Many suspect that the same mechanism has been conserved and is expressed in humans. However, this remains to be demonstrated conclusively, and novel methods are needed.
One approach is to feed people a low protein-diet, placing them in a state of protein depletion. However, these studies are expensive, and the results can be difficult to interpret. For instance, Griffieon-Roose et al. (2012) reported that protein depletion caused a preference for savoury foods, but this might just reflect a general tendency to select foods that have been missing from the diet. More recently, Buckley et al. (2019) trialed a new food-choice paradigm, providing stronger evidence for 'protein valuation' in humans. Specifically, they demonstrated preferential selection of foods based on protein content and argued that this reflects a capacity to detect and respond to small differences in protein. Interestingly, they also found participants who showed stronger protein valuation were more likely to have higher fat-free muscle mass later in life.
Critical questions about protein valuation remain unanswered. Does protein valuation exist (do humans unconsciously select foods based on protein content)? Do individuals express different levels of protein valuation and what methods are best suited to detect this hidden human capacity? Theoretically, these questions are novel and exciting, and their resolution has the potential to explain resistance to a vegan diet, further exposing ways to encourage a dietary transition that delivers a healthier and more sustainable future.
Objectives
This project will be the first to systematically expose evidence for protein valuation in humans. Building on this, it will show how this understanding can be used to promote the adoption of sustainable diets.
Section 1: Methods for measuring protein valuation will be developed from online decision-making tasks. Contributions of current diet, different sources of protein, and different amino acid combinations will be examined.
Section 2: The role of protein valuation in dietary transition will be investigated in two ways:
a. A longitudinal study will investigate the temporal dynamics of dietary transition and whether this is predicted by individual differences in valuation.
b. A two-month exposure study will assess whether meat-alternative products can promote changes in protein valuation and improved or earlier dietary transition.</t>
  </si>
  <si>
    <t xml:space="preserve">https://gtr.ukri.org/projects?ref=studentship-2573007</t>
  </si>
  <si>
    <t xml:space="preserve">grant.9945337</t>
  </si>
  <si>
    <t xml:space="preserve">Jeffrey Brunstrom, Taro Takahashi, Eleanor Underhill</t>
  </si>
  <si>
    <t xml:space="preserve">University of Bristol</t>
  </si>
  <si>
    <t xml:space="preserve">30/12/2025</t>
  </si>
  <si>
    <t xml:space="preserve">A global assessment of aquaculture products from a food systems and value chain perspective towards the development of a personal environmental/health</t>
  </si>
  <si>
    <t xml:space="preserve">Globally, aquaculture produces more than 70 million tonnes of fish per annum with an estimated value of $160billion. It has increased 5-fold over the last 30 years and is predicted to represent 40% of global fisheries (by tonnage) by 2025 (http://www.fao.org/3/a-i5555e.pdf).
Recently, trends in consumption indicate a shift away from red meat consumption towards alternative sources of protein as more people adopt pescatarian, vegetarian, and flexitarian diets. But, while the human health benefits of a diet rich in oily fish and seafood have been well publicised, the consequences of such a trend on our food system are poorly understood, particularly in respect of the need to provide plant-based feeds to support the necessary growth in aquaculture and the environmental consequences of this (Shepherd et al 2017,) .
A recent Seafood Intelligence transparency report (http://www.seafoodintell.com/wp-content/uploads/2014/09/Top-16-Organisations-Transparency-Synoptic-Table-Oct-13-2016.jpg) highlights a range of environmental, social, and societal areas in which knowledge is lacking in terms of the impacts of aquaculture, including areas concern energy and GHG emissions, biodiversity, ecosystem function, waste, and water consumption.
Of the limited number of studies on impacts of global aquaculture, they are especially lacking in contextual information related to post harvest, processing and consumption of seafood resources. These factors have a considerable impact on efficiency of resource use and the nutrition that is delivered to the consumer.
The student will develop methods to allow assessment of aquaculture in different countries, including the contribution of feed, and will develop tools which allow individual consumers to explore the contribution of their own diets in terms of environmental impacts and health.
The student will develop extensive Life Cycle Inventories of aquaculture products, following their value chains from feed production to finished product at the retailer. The student will be trained in Life Cycle Assessment modelling and interpretation to deliver meaningful and impactful results to policy makers and industry. The student and project team will develop the results to be accessible to empower multiple audiences to make informed, responsible purchase and policy decisions.
Primary data will be collected from industrial collaborators and standards' organisations.. We expect collaboration agreement with the Cool Farm Tool organisation.</t>
  </si>
  <si>
    <t xml:space="preserve">https://gtr.ukri.org/projects?ref=studentship-2666143</t>
  </si>
  <si>
    <t xml:space="preserve">grant.12914884</t>
  </si>
  <si>
    <t xml:space="preserve">Clare Blackburn, Alejandro Gutierrez</t>
  </si>
  <si>
    <t xml:space="preserve">University of Stirling</t>
  </si>
  <si>
    <t xml:space="preserve">29/9/2028</t>
  </si>
  <si>
    <t xml:space="preserve">Obtaining High Value-Added Bioactive Food Components from Tomato Seed as a Food Waste, Characterization and Determination of Functional Properties</t>
  </si>
  <si>
    <t xml:space="preserve">In today's world, where food resources are decreasing and the population is increasing inversely, the evaluation of food waste has an important place in government policies and emerges as a main research area. In addition to the serious ecological damage and economic dimension caused by food wastes, failure to evaluate the possibility of producing by-products with high added value from these wastes can also lead to a significant cost loss. In our current study, it was aimed to obtain oil, protein and hydrolyzate/peptide from tomato seeds, which is a tomato waste. Two different extraction methods were used to obtain oil. These methods are cold pressed and enzyme-assisted aqueous extraction methods, which are two of the environmentally friendly, green extraction methods. In order to obtain the highest possible amount of oil and protein, the optimum conditions of the extractions were determined by the Response Surface Method. For the purpose of characterization, determination of physical, chemical and thermal properties and biochemical analyzes were carried out in tomato seed oils obtained under optimum conditions. In addition, the properties of the oils obtained from the two extraction methods were compared and thus it was aimed to contribute to the literature. Tomato seed proteins obtained under optimum conditions have been investigated as a potential protein/bioactive peptide source and an important contribution has been made to the very few literature on this subject. As a result of the study, 189.58±1.10 and 201.88±0.00 mgTE/kg fat antioxidant activity, 2.97±0.01 and 3.3±0.00 mgGAE/L phenolic components, Fe, Mg, Cu It has been determined that tomato seed oil can be an alternative to other vegetable oils due to its high content of minerals such as , Zn, Na, K, Ca. In addition, 24 bioactive peptides with antioxidant, antihypertensive and antidiabetic effects have been identified as a result of the hydrolysis of the core protein, and it has been predicted that it may be an alternative to other plant sources as a vegetable protein/bioactive peptide source. In our study, revealing an alternative source of oil, protein/bioactive peptide from plant-derived food waste, and the fact that the selected extraction methods can be used to recover valuable components from other food wastes will guide the applications that can be made in the relevant industry in the evaluation of wastes and it can be brought to our economy if it is deemed worthwhile for production. is considered.</t>
  </si>
  <si>
    <t xml:space="preserve">https://search.trdizin.gov.tr/yayin/detay/621930/bir-gida-atigi-olarak-domates-cekirdegindenkatma-degeri-yuksek-biyoaktif-gida-bilesenlerielde-edilmesi-karakterizasyonu-ve-fonksiyonelozelliklerinin-belirlenmesi</t>
  </si>
  <si>
    <t xml:space="preserve">grant.13219908</t>
  </si>
  <si>
    <t xml:space="preserve">Semih ÖTLEŞ, Burcu KAPLAN TÜRKÖZ, Vasfiye Hazal ÖZYURT</t>
  </si>
  <si>
    <t xml:space="preserve">Ege University</t>
  </si>
  <si>
    <t xml:space="preserve">Turkey</t>
  </si>
  <si>
    <t xml:space="preserve">Scientific and Technological Research Council of Turkey</t>
  </si>
  <si>
    <t xml:space="preserve">Animal-free milk proteins</t>
  </si>
  <si>
    <t xml:space="preserve">Milk from cows is an essential source of proteins in the Western diet. The major protein fraction in this milk consists of caseins that are assembled into supramolecular protein structures, named casein micelles. These protein clusters are unique to animal milk and are essential to obtain the structure of dairy products such as cheese and yogurt. Unfortunately, dairy production has a large impact on the environment. Concerns on sustainability and animal-welfare are two important motivations for consumers to replace animal-based proteins by plant-based protein sources such as soy, almond and coconut. Currently, none of these substitutes have a nutritional quality or physical functionality comparable with cowâ??s milk, because they do not contain a similar amino acid composition or protein structures. The major scientific breakthrough and societal impact we want to achieve in this program is to produce a sustainable alternative for milk proteins using a new animal-free yeast-based source and assemble these individual yeast-based caseins into casein micelles so that they can be used to make dairy products with a similar nutritional and physical functionality as cowâ??s milk. In order to achieve this we will: 1) develop a yeast-based casein production system, 2) develop a controlled co-assembly strategy for casein micelles, 3) compare societal, nutritional and environmental aspects of animal and animal-free milk proteins in order to facilitate the potential protein transition. Our consortium consists of academic experts in the field of molecular biology, chemistry, physics, social science and sustainability and societal partners with expertise on biotechnology, food and nutrition. Using our additive expertise, we will create animal-free milk proteins and casein micelles as a unique new source for animal-free dairy products. Our yeast-based dairy protein production technology can evolve into a sustainable production platform, flexibly geared towards application in a variety of landscapes and societies.</t>
  </si>
  <si>
    <t xml:space="preserve">https://www.nwo.nl/en/projects/nwa129219302</t>
  </si>
  <si>
    <t xml:space="preserve">grant.9994353</t>
  </si>
  <si>
    <t xml:space="preserve">E. Bijl, T. de Groot, L. Iaria, R. Bouma, B. Fehér, M.H.U. Hase Ueta</t>
  </si>
  <si>
    <t xml:space="preserve">Host strain development , Env/impact assessments</t>
  </si>
  <si>
    <t xml:space="preserve">31/12/2026</t>
  </si>
  <si>
    <t xml:space="preserve">Valuation of proteins from agricultural residual flows</t>
  </si>
  <si>
    <t xml:space="preserve">During the processing of potatoes and other agricultural products, large quantities of peels are released, which are now only given a low-value destination. These shells contain, among other things, a fraction of proteins. The meat substitutes industry is interested in such proteins from vegetable residual flows as a functional raw material for vegetarian products. To enable the use of protein from agricultural residual flows, research is needed into the technical and economic aspects of extracting the protein. Potato processor Schaap Holland, consultancy firm Food for Impact, technical company Bodec (separation and processing techniques) and meat substitute producer Vegafit (part of Bodeldijk Food Group) want to focus in a partnership on the valorisation of proteins from residual flows. In this project, a new partnership is being realized that includes the production of residual flows up to and including the sale of meat substitute products in the chain. This brings the socially desirable protein transition one step closer. The duration of the project is from January 2020 to June 2020. HBO students and lecturer-researchers from Aeres University of Applied Sciences are involved in the project. The project provides an answer to the feasibility of extracting and using proteins from agricultural residual flows in meat substitute products.</t>
  </si>
  <si>
    <t xml:space="preserve">https://www.nwo.nl/en/projects/kiemvrij04168</t>
  </si>
  <si>
    <t xml:space="preserve">grant.9461225</t>
  </si>
  <si>
    <t xml:space="preserve">30/9/2020</t>
  </si>
  <si>
    <t xml:space="preserve">Tastes differ - detection of substances on an artificial tongue</t>
  </si>
  <si>
    <t xml:space="preserve">Flavors in liquids can be detected with an artificial tongue. We call this approach with a unique tongue-on-a-chip technology receptomics. In this process, human taste receptors are expressed in modified human cells. The technology is promising and is already exploring various applications in the food and health sector. Currently, bitter substances in coffee, beer, tea, vegetables and mushrooms and pharmacologically active substances and hormones in plant extracts and blood serum can be measured. More applications will come into view if the tongue-on-a-chip can be further improved. Background signals from samples and from on-chip host cells now limit functionality. This application aims to expand the potential of the tongue-on-a-chip technology for various applications by measuring receptor activation more directly. We want to develop new sensor proteins to prevent background signals from host cells and to adapt the measurement method so that the background signals from samples are no longer detected. This could expand the repertoire of receptors on the tongue-on-a-chip. With the KIEM grant, the Genome-based Health (GBH) lectorate of the Leiden Center for Applied Biosciences (LCAB) can start a pilot to develop and test constructs for new receptors and sensor proteins together with Wageningen Plant Research (WPR). In addition to carrying out this project, the KIEM grant will be used to form a consortium, with which a joint project proposal for the further development of the tongue-on-a-chip technology can be drawn up.</t>
  </si>
  <si>
    <t xml:space="preserve">https://www.nwo.nl/en/projects/kiemvrij04137</t>
  </si>
  <si>
    <t xml:space="preserve">grant.9461884</t>
  </si>
  <si>
    <t xml:space="preserve">31/5/2022</t>
  </si>
  <si>
    <t xml:space="preserve">Prefer vegetable and healthy!</t>
  </si>
  <si>
    <t xml:space="preserve">A diet based on more plant-based instead of animal sources is becoming increasingly important. It not only has positive health effects that are important in the prevention of chronic diseases, but also has a positive impact on the climate. With this knowledge, it is important to investigate how consumers can be stimulated to consume more plant-based food sources and also how this can be done in a healthy way. In particular, consumers who are willing to switch from a diet rich in animal protein sources to a diet rich in vegetable protein sources are often insufficiently informed about how vegetable protein sources in particular can be used in a healthy and balanced diet. The aim of this project is to help this consumer with a healthy diet based on more vegetable protein sources by developing useful tools that meet the wishes and needs of the consumer. To this end, research is being conducted into: 1) the consumer's knowledge of vegetable protein sources (including types of vegetable sources, composition, preparation, health and the environment); 2) consumer needs and barriers to a more plant-based diet; 3) how healthy a plant-based diet is in terms of protein intake and quality, vitamins, minerals and salt content; 4) the development of new (information) tools and nutritional concepts to stimulate a healthy plant-based diet.</t>
  </si>
  <si>
    <t xml:space="preserve">https://www.nwo.nl/en/projects/kiemk2001084</t>
  </si>
  <si>
    <t xml:space="preserve">grant.9606290</t>
  </si>
  <si>
    <t xml:space="preserve">30/6/2022</t>
  </si>
  <si>
    <t xml:space="preserve">f00d2g0 - Green Food to Go</t>
  </si>
  <si>
    <t xml:space="preserve">The FFG Innovation Camp "Green Food to go" offered participating corporate partners the opportunity to develop product innovations that represent an attractive and high-quality solution for sustainable nutrition. An interdisciplinary team of experts from the fields of nutritional science, food technology and packaging, sensory science and communication explained and discussed current research results on various aspects of a health-promoting and sustainable diet with the corporate partners. Through the exchange of technical and practical expertise between the scientific and corporate partners as well as between the companies, in addition to a great gain in knowledge, cooperations were established that have a lasting effect. By strengthening a tasty, sustainable food offering, the project makes a significant contribution to supporting consumers in implementing the new Austrian nutritional recommendations.</t>
  </si>
  <si>
    <t xml:space="preserve">https://projekte.ffg.at/projekt/4809622</t>
  </si>
  <si>
    <t xml:space="preserve">grant.13728216</t>
  </si>
  <si>
    <t xml:space="preserve">University of Vienna</t>
  </si>
  <si>
    <t xml:space="preserve">31/7/2024</t>
  </si>
  <si>
    <t xml:space="preserve">New coloring agents from Basidiomycetes for food</t>
  </si>
  <si>
    <t xml:space="preserve">In addition to the feel and sensory perception, the color of food plays an important role in consumer acceptance. The consumer draws conclusions about the quality of the food from the visual appearance. This is why food manufacturers often prefer synthetic food colors over natural food colors because they produce a more stable color. Products with natural ingredients are increasingly preferred by consumers. Coloring food extracts are mainly used in SME-dominated growth markets, such as for coloring vegan and vegetarian foods, e.g. B in alternative protein burgers. There is therefore a great demand for new natural coloring agents and coloring foods. The aim of the project is to develop a biotechnological process that generates natural dyes that can be used in food and cosmetics. The dyes are obtained from mushrooms, the basidiomycetes, and their structure and toxicological harmlessness are clarified. Based on the results, SMEs in particular can manufacture new sustainable products and open up new sales markets</t>
  </si>
  <si>
    <t xml:space="preserve">https://igf.aif.de/innovationsfoerderung/industrielle-gemeinschaftsforschung/igf-steckbrief.php?id=25588&amp;suchtext=</t>
  </si>
  <si>
    <t xml:space="preserve">grant.9736422</t>
  </si>
  <si>
    <t xml:space="preserve">University of Giessen</t>
  </si>
  <si>
    <t xml:space="preserve">German Association of Joint Industrial Applied Research Institutes</t>
  </si>
  <si>
    <t xml:space="preserve">Research Institute</t>
  </si>
  <si>
    <t xml:space="preserve">Systems Biology of Hydrogen Oxidising Bacteria for the Production of High Quality Feed Protein and Other Feed Ingredients</t>
  </si>
  <si>
    <t xml:space="preserve">The world's population is predicted to reach 10 billion by 2050, requiring significant increases in food production. The intake of protein per person is also expected to rise sharply. Hence, a substantial increase in food protein production is needed to meet demands. Conventional sources of protein are linked to greenhouse gas emissions and impact on biodiversity. Hence, there is an urgent need for innovative, sustainable protein production at scale. Hydrogen oxidising bacteria are a promising alternative as a sustainable source of so-called single cell protein. These bacteria fix CO2 and generate protein-rich biomass using hydrogen as a source of energy.
Aims and approach: The proposed study will be undertaken in close collaboration with our industrial partner, Deep Branch Biotechnology Ltd (www.deepbranchbio.com), a Nottingham based company that is revolutionising the use of bacteria to capture industrial carbon into feed ingredients. The nutritional value of a feed or food product strongly depends on cellular protein content and composition. A deeper understanding of how different bacterial growth conditions impact these parameters would be beneficial to industry and further our scientific understanding of bacterial cell metabolism. Using a set of model organisms and industrial strains, the project will seek to address this by systematic variation of culturing conditions, compositional analysis of the created biomass and omics analysis of bacterial cells grown under the different conditions. In combination with predictive modelling the generated data will help to establish the molecular basis of the observed changes and potential underlying mechanisms. Conditions found to be favourable in the laboratory will be tested at large scale with industrially produced CO2. As part of the offered training, Deep Branch Biotechnology will offer the opportunity to gain experience at an industrial site.</t>
  </si>
  <si>
    <t xml:space="preserve">https://gtr.ukri.org/projects?ref=studentship-2432083</t>
  </si>
  <si>
    <t xml:space="preserve">grant.9452322</t>
  </si>
  <si>
    <t xml:space="preserve">Klaus Winzer, Ying Zhang</t>
  </si>
  <si>
    <t xml:space="preserve">29/9/2024</t>
  </si>
  <si>
    <t xml:space="preserve">BiochAIn - BiochAIn is a software project for optimizing an entire biotechnological process chain using AI</t>
  </si>
  <si>
    <t xml:space="preserve">Biotechnological production processes are widely used in the pharmaceutical industry, for the production of fine chemicals, in environmental technology and in the food industry and generate high added value. Due to the high complexity of these processes, due to the complex interaction of biology and process engineering, in many cases there is only a very limited understanding of the process. This in turn leads to inefficient and therefore expensive processes, limits the possibilities for process optimization and is also a key reason why the enormous progress in the area of digitalization, artificial intelligence methods and modeling/simulation has not been made available to the extent necessary for the design and Management of bioprocesses can be used. As part of the planned project, a generic software toolbox is to be developed to make the aforementioned advances in the field of digitalization accessible to experts in the domain of bioprocess technology and to enable implementation of digitalization in accordance with Industry 4.0 in biomanufacturing. With the BiochAIn project, Novasign has set itself the goal of developing the world's first digital process modeling toolbox for the optimization of all biotechnologically relevant process steps. This software suite is intended to make it possible for the first time for biotechnologists and bioprocess engineers to use a user-centered graphical user interface to manage all individual steps of the process chain, both individually and as a whole, with the help of models and simulation, independently of highly specialized software developers and Data scientists can optimize. The software will also enable process engineers across departments to optimize manufacturing processes for products (e.g. an antibody for cancer therapy) in an integrative approach in order to make life-saving medicine available to patients earlier and more cheaply. The software development will be divided into 4 blocks and should take place over a period of 4 years. In the first step, a suitable software architecture must be defined which, on the one hand, can overcome all technical challenges and, on the other hand, is easy to use for users. In a data preprocessing/visualization block, online data (process system) and offline data (measurements) are preprocessed using methods of statistical data preparation and analysis, linked and thus prepared for visualization and modeling. The modeling block is set up in such a way that a wide variety of state-of-the-art machine learning (ML) methods are implemented and the most suitable method can be used to model different bioprocess steps. In the final step, the digital twin, each of the model blocks can be optimized individually or linked to other units using drag-and-drop to form a process chain according to a specific target (e.g. highest possible product yield or shorter process duration) and for which online monitoring can be applied. In order to provide users with the best possible support, the software will have a self-learning function (artificial intelligence), which makes it possible to optimize each individual process step as well as the entire process chain quickly, specifically and automatically along a workflow. In addition to the biopharmaceutical industry, the software will also be used for industrial biotechnology (production of enzymes and bio-based polymers from waste streams) as well as in the food industry for the production of protein substitutes (cultured meat, precision fermentation). The name BiochAIn is therefore derived from Bio (for bioprocess), chain (for process chain) and AI (for the artificial intelligence of the self-learning function).</t>
  </si>
  <si>
    <t xml:space="preserve">https://projekte.ffg.at/projekt/4695468</t>
  </si>
  <si>
    <t xml:space="preserve">grant.13728161</t>
  </si>
  <si>
    <t xml:space="preserve">Innovation in the field of functional foods and nutraceuticals to improve the health and well-being of the consumer with synergy between research and company (DSB.AD006.290)</t>
  </si>
  <si>
    <t xml:space="preserve">The project sees the collaboration between the University of Padua (Dept. of Biomedical Sciences), the CNR-Institute of Neurosciences (Padua section) and two partner companies from the Veneto region (Centrale del Latte di Vicenza and +Watt), in SMART AGRIFOOD scope. We intend to develop and exploit the field of bioactive peptides from food matrices such as milk and fermented vegetable drinks, as well as nutraceutical products capable of activating the adiponectin signaling pathway and therefore able to mimic or enhance some of the beneficial effects produced by a regular physical activity. Solid scientific foundations are an essential prerequisite for placing effective, competitive and safe functional foods and nutraceutical products on the market. The main objective is the acquisition of a solid scientific background necessary to support the efficacy of food supplements already in use, or to develop new ones. The biochemical processes triggered by muscle exercise also have an important and beneficial impact on traits such as cognition/memory, mood (stress relief), metabolism, longevity. Adiponectin is the most abundant of the protein hormones secreted by adipocytes, but is also produced by skeletal muscle, in activity-related amounts. Its levels are chronically reduced in obese subjects, while they increase as a result of physical exercise. This suggests that the beneficial effects of muscle activity could be reproduced, at least partially, by stimulating adiponectin receptors. The activation of these receptors triggers a well-defined signaling pathway, which leads to insulin sensitization (anti-diabetic action) and has anti-inflammatory and anti-atherogenic effects (anti-atherosclerosis action). The aim of the project will be to identify and characterize the biochemical action of natural compounds that can act as adiponectin substitutes.</t>
  </si>
  <si>
    <t xml:space="preserve">https://www.cnr.it/en/research-projects/project/40716/innovazione-nel-campo-dei-functional-foods-e-della-nutraceutica-per-migliorare-la-salute-ed-il-benessere-del-consumatore-con-sinergia-tra-ricerca-e-azienda-dsb-ad006-290</t>
  </si>
  <si>
    <t xml:space="preserve">grant.13032794</t>
  </si>
  <si>
    <t xml:space="preserve">LUCIA BIASUTTO</t>
  </si>
  <si>
    <t xml:space="preserve">Ratio2FoodDesign - Application of Rational Food Design for product development in the area of innovative protein sources</t>
  </si>
  <si>
    <t xml:space="preserve">The development of outstanding, non-animal products that are intended to imitate animal products requires interdisciplinary expertise in the areas of food physics, process engineering, sensory evaluation and consumer studies, which is a challenge for small and medium-sized enterprises (SMEs) and start-ups. In the Ratio2Food innovation camp, a tailor-made training program was developed to equip the participating companies with the tools of rational food design and enable them to develop innovative analog products. The program combined theoretical and practical units with discussion opportunities to generate applicable knowledge. Impulse lectures by international speakers also provided new ideas and suggestions.</t>
  </si>
  <si>
    <t xml:space="preserve">https://projekte.ffg.at/projekt/5031027</t>
  </si>
  <si>
    <t xml:space="preserve">grant.13728466</t>
  </si>
  <si>
    <t xml:space="preserve">Investigation of Uses of Chestnut Milk in Fermented Dairy Production</t>
  </si>
  <si>
    <t xml:space="preserve">The awareness that diet directly affects human health has increased the tendency of consumers to turn to functional foods. Fermented dairy products constitute the most important group of functional foods that contain the physiological benefits of probiotics and prebiotics. In addition, fermented milk products contain nutritional and biotherapeutic components including vitamins, bioactive peptides, oligosaccharides and organic acids. Yogurt and kefir containing probiotic bacteria are the most important fermented milk products and are produced in different countries of the world with traditional and industrial methods. The development of new functional dairy products is one of the leading trends in the world food industry today. Milk and plant-based milk replacer mixes, along with plant-based milk alternatives, have gained popularity in the last few years. The most notable of the vegetable milks currently on the market are produced from soy, almond, rice, oat and coconut. These herbal milks contain carbohydrates, proteins, fats, vitamins, minerals, phenolic compounds and dietary fibers with prebiotic properties, which have a synergistic effect on the viability of probiotics. Chestnut fruit is the most important agricultural product of Turkey. While chestnut fruit is consumed less as fresh fruit, it is mostly used as confectionery, jam, frozen and dried. Fruit starch, protein, fat, vitamins (E, C, B1, B2, B3, B5, B6, B9), minerals (Ca, P, K, Mg), polyunsaturated fatty acids (PUFA), phenolic compounds (gallic acid and ellagic acid), dietary fiber and gamma-aminobutyric acid. Since chestnut fruits do not contain gluten, they also have a potential use for individuals with celiac disease. In this study, i) production and optimization of chestnut milk, ii) determination of the composition of the milk produced, iii) Probiotic yogurt, kefir grain and kefir production using commercial starter culture by using chestnut milk and reconstituted milk, iv) probiotic yogurt and kefir produced with chestnut milk. It was aimed to determine the microbiological, physicochemical, textural properties and nutritional content, v) to determine the sensory acceptability of the produced probiotic yogurt and kefir for the consumer. According to the results obtained, it was determined that chestnut milk improved the properties of probiotic yogurt and kefir in terms of functional composition and technology. It is thought that by enriching the widely consumed functional dairy products with chestnut milk, products with high preference and acceptability for the consumer and beneficial for health can be produced.</t>
  </si>
  <si>
    <t xml:space="preserve">https://search.trdizin.gov.tr/yayin/detay/622132/fermente-sut-urunleri-uretiminde-kestane-sutu-kullanim-olanaklarinin-arastirilmasi</t>
  </si>
  <si>
    <t xml:space="preserve">grant.13219651</t>
  </si>
  <si>
    <t xml:space="preserve">LÜTFİYE YILMAZ ERSAN, TÜLAY ÖZCAN, ARZU AKPINAR BAYİZİT</t>
  </si>
  <si>
    <t xml:space="preserve">Uludağ University</t>
  </si>
  <si>
    <t xml:space="preserve">Occurrence and thermal stability of the mycotoxin citrinin</t>
  </si>
  <si>
    <t xml:space="preserve">Citrinin is a mycotoxin produced by Aspergillus, Penicillium and Monascus species found predominantly in the lower µg/kg range in cereals and in much lower concentrations in processed cereal samples. This difference clearly demonstrates that food processing has a strong impact on citrinin levels. Furthermore, recent human biomonitoring data show that citrinin is detectable in the majority of the analyzed European urine samples in the lower ng/mL range. The human biomonitoring data and the discrepancy between citrinin levels in raw material and processed cereals clearly demonstrate that there is a gap between exposure calculated from food intake and occurrence data. It has been shown that citrinin is a reactive mycotoxin which can be converted to degradation products when heated in pure solutions or as solid. However, studies describing thermal reactions of citrinin in the presence of realistic food matrices as well as the potential binding of citrinin to matrix-components have not been performed yet and are the subject of this proposal. Using model compounds mimicking food constituents such as carbohydrates, reducing sugars and proteins the formation of degradation and reaction products of citrinin will be investigated. In a second step, the thermal degradation of citrinin in complex matrices will be studied during classical thermal processing such as baking and extrusion cooking. The identification of degradation products will be first performed based on HPLC-HRMS followed by isolation and NMR-based structure elucidation. For the detection of matrix-bound forms of citrinin, samples obtained from baking and extrusion cooking with high reduction rates of citrinin will be enzymatically or chemically hydrolyzed and analyzed for monomers of matrix-bound forms of citrinin. Furthermore, the release (and metabolism) of matrix-bound forms of citrinin in the gastrointestinal tract will be studied using the pig cecum model. The cytotoxicity of formed degradation products will be investigated in cell culture experiments. Finally, citrinin, potential thermal degradation products as well as matrix-bound forms of citrinin will be quantified in commercially available food samples in order to estimate the relevance for human exposure.</t>
  </si>
  <si>
    <t xml:space="preserve">https://gepris.dfg.de/gepris/projekt/465450389?language=en</t>
  </si>
  <si>
    <t xml:space="preserve">grant.9767774</t>
  </si>
  <si>
    <t xml:space="preserve">Hans-Ulrich Humpf</t>
  </si>
  <si>
    <t xml:space="preserve">University of Münster</t>
  </si>
  <si>
    <t xml:space="preserve">Plant-based milk substitute products based on the Carioca bean and its fractions</t>
  </si>
  <si>
    <t xml:space="preserve">The market for plant based dairy alternatives grows disproportionally with a predicted annual growth rate of 8 % over the next 9 years (Ahuja and Rawat, 2019). Thus, high quality dairy alternatives with superior taste and nutritional profiles are of high interest for consumers and possesses high potential for SMEs to differentiate their portfolio from multinational companies. However, most currently available dairy alternatives are of low nutritional quality due to lower protein contents and higher sugar contents in comparison to cow milk products. High amounts of sugar are usually added to mask plant specific off-flavours. Additionally, the use of emulsifiers and stabilizers are regularly necessary to meet technological requirements like a prolonged storage stability, reduction of creaming or improvement of gel strengths and reduction of syneresis. These features of currently available products greatly impair consumer acceptance and might affect the sustained growth of this market segment in a mid- to long-term. Therefore, the main objective of ProBean is the development of optimized processing techniques for the production of dairy alternatives with improved techno-functional and nutritional properties based on an agri-food industry sidestream, namely carioca beans, which have been sorted out due to damages or defects (e.g. broken beans) after harvesting. The ProBean project approach addresses several unsolved requirements of the dairy alternatives market. This includes the use of a low allergen and GMO- free agri-food industry sidestream, as well as the application of dry and wet fractionation techniques and physico-chemical separation processes for the production of dairy alternatives. Thereby, the impact of those technologies on the reduction of antinutritional compounds and nutrient bioavailability will be monitored and used to optimize the preparation methods to receive tasty as well as nutritionally improved dairy alternatives having a high bioavailability of nutrients. Plant biopolymer emulsification and gel formation will be studied in detail for enabling the use of the intrinsic protein characteristics rather than including food additives like emulsifiers and stabilizers. Thus, an experimental design will be applied to elucidate protein-starch interactions for optimized techno-functionality aiming to mimic the rheological attributes and texture of dairy products. To demonstrate the feasibility of the developed processes and the application range, two model food applications, a yogurt alternative and a custard-like product, will be created. The fermentation process for yogurt alternative production will be adapted for improved sensory and texture by targeted strain selection. The associated SMEs will benefit from the Probean project by receiving results they can implement for their own developments for new dairy alternatives and the use of a yet unknown ingredient for their production. This will enable the marketing of a broader range of dairy alternatives. Furthermore, food retailers and consumers will benefit indirectly from more sustainable, healthy and less expensive dairy alternatives being superior in taste and nutritional profile compared to the currently existing ones. ProBean will provide comprehensive know-how on the required production steps on a molecular and processing level. By this means, the envisaged project will compensate the limited research capacities of SMEs and strengthen their competitiveness against global food companies. By including both partners from Germany and Brazil the complementary knowledge of the two research institutes (i.e. Fraunhofer IVV and Unicamp) will facilitate a fast time-to-market strategy after the end of the project. Furthermore, the use of carioca bean, a typical protein source for South America, and the readily availability of this sidestream in Brazil, fosters the development of a non-GMO, low-allergenic and yet underutilized protein source and enables the German SMEs to exploit an alternative source of proteins.</t>
  </si>
  <si>
    <t xml:space="preserve">https://igf.aif.de/innovationsfoerderung/industrielle-gemeinschaftsforschung/igf-steckbrief.php?id=24514&amp;suchtext=</t>
  </si>
  <si>
    <t xml:space="preserve">grant.9608520</t>
  </si>
  <si>
    <t xml:space="preserve">31/3/2023</t>
  </si>
  <si>
    <t xml:space="preserve">Understanding the functional properties of microbial proteins</t>
  </si>
  <si>
    <t xml:space="preserve">Abstract
There is growing demand for sustainable protein across the food, feed and allied chemical sector in response to increasing population and environmental footprint concerns. This had led to a demand for alternative sources of proteins, other than those from animal origin. Single-cell proteins (SCPs) from microbial biomass show potential to help fill the protein gap while also providing micronutrients and other health benefits. Strains of bacteria, fungi (such as yeast) and microalgae have been used safely in food and feed applications for centuries and are being explored as sources of alternate proteins. Hence, it is important to understand how these SCPs work mechanistically in terms of functional and mouthfeel performance. This work aims to review the current understanding of techno-functional performance of SCPs and pinpoint the knowledge gap in the field.
Preliminary findings from literature reveal that whole microbial cells from bacteria, microalgae and yeast can function as colloidal particles to stabilise Pickering emulsions (1). Although extensive work on functional performance such as interfacial property and rheology have been carried out on algal biomass, work on SCPs from other microbial origin such as yeast remain principally unexplored. More importantly, the tribological and mouthfeel performance of SCPs from alternative sources such as those of yeast are rarely investigated. Detailed investigation of physio-chemical, mechanical and sensorial properties of SCPs is necessary before such biomass can be used to create low emission foods to tackle nutrition demands of growing population, while also ensuring food security and planetary health. By exploring their mechanism of action, their range of application can be broadened to other allied areas in the chemical sector.
Planned Impact
The CDT in Molecules to Product has the potential to make a real impact as a consequence of the transformative nature of the underpinning 'design and supply' paradigm. Through the exploitation of the generated scientific knowledge, a new approach to the product development lifecycle will be developed. This know-how will impact significantly on productivity, consistency and performance within the speciality chemicals, home and personal care (HPC), fast moving consumer goods (FMCG), food and beverage, and pharma/biopharma sectors.
UK manufacturing is facing a major challenge from competitor countries such as China that are not constrained by fixed manufacturing assets, consequently they can make products more efficiently and at significantly lower operational costs. For example, the biggest competition for some well recognised 'high-end' brands is from 'own-brand' products (simple formulations that are significantly cheaper). For UK companies to compete in the global market, there is a real need to differentiate themselves from the low-cost competition, hence the need for uncopiable or IP protected, enhanced product performance, higher productivity and greater consistency. The CDT is well placed to contribute to addressing this shift in focus though its research activities, with the PGR students serving as ambassadors for this change. The CDT will thus contribute to the sustainability of UK manufacturing and economic prosperity.
The route to ensuring industry will benefit from the 'paradigm' is through the PGR students who will be highly employable as a result of their unique skills-set. This is a result of the CDT research and training programme addressing a major gap identified by industry during the co-creation of the CDT. Resulting absorptive capacity is thus significant. In addition to their core skills, the PGR students will learn new ones enabling them to work across disciplinary boundaries with a detailed understanding of the chemicals-continuum. Importantly, they will also be trained in innovation and enterprise enabling them to challenge the current status quo of 'development and manufacture' and become future leaders.
The outputs of the research projects will be collated into a structured database. This will significantly increase the impact and reach of the research, as well as ensuring the CDT outputs have a long-term transformative effect. Through this route, the industrial partners will benefit from the knowledge generated from across the totality of the product development lifecycle. The database will additionally provide the foundations from which 'benchmark processes' are tackled demonstrating the benefits of the new approach to transitioning from molecules to product.
The impact of the CDT training will be significantly wider than the CDT itself. By offering modules as Continuing Professional Development courses to industry, current employees in chemical-related sectors will have the opportunity to up-skill in new and emerging areas. The modules will also be made available to other CDTs, will serve as part of company graduate programmes and contribute to further learning opportunities for those seeking professional accreditation as Chartered Chemical Engineers.
The CDT, through public engagement activities, will serve as a platform to raise awareness of the scientific and technical challenges that underpin many of the items they rely on in daily life. For example, fast moving consumer goods including laundry products, toiletries, greener herbicides, over-the-counter drugs and processed foods. Activities will include public debates and local and national STEM events. All events will have two-way engagement to encourage the general public to think what the research could mean for them. Additionally these activities will provide the opportunity to dispel the myths around STEM in terms of career opportunities and to promote it as an activity to be embraced by all thereby contributing to the ED&amp;I agenda.</t>
  </si>
  <si>
    <t xml:space="preserve">https://gtr.ukri.org/projects?ref=studentship-2746491</t>
  </si>
  <si>
    <t xml:space="preserve">grant.13022069</t>
  </si>
  <si>
    <t xml:space="preserve">Reem El-Gendy, Celia Ferreira, Nicole Hondow, Elaine Martin, Anwesha Sarkar, Sowmya Narsipur</t>
  </si>
  <si>
    <t xml:space="preserve">3D food printing - 3D texturing of plant-based fish substitute products</t>
  </si>
  <si>
    <t xml:space="preserve">As part of the project, the world's first method for 3D texturing of plant-based protein alternatives was successfully developed. The resulting product, a plant-based salmon fillet (other products are under development), offers consumers a real alternative to conventional fish - with the same nutritional value, greater health safety due to the absence of environmentally harmful substances such as heavy metals and a lower price. This created a socially affordable, sustainable and environmentally friendly option for a broader target group. This contributes to a future food supply that addresses population growth and food shortages without burdening natural resources and ecosystems through intensive fishing. The technical and scientific challenges of the project were successfully mastered. This included the development of novel 3D printer components that enable the texturing of plant proteins, such as the new print head technology, an innovative feeding system and a new material guidance system. The appropriate plant-based ingredients and mixtures for 3D printing plant-based protein products were also developed and optimized for taste. The overall process was integrated in the spirit of additive manufacturing, and a lab-scale prototype of the system, which enables automated texturing of plant-based ingredients, was successfully implemented. This project provides important new research findings that are also relevant in other areas. These include the integration of protein texturing into a 3D food printing process and new approaches to scaling 3D food printing. As a showcase project at the research location Austria, the project makes a significant contribution to food technology, Industry 4.0 (additive manufacturing) and the field of alternative proteins. Overall, this project was the first to demonstrate additive manufacturing of food in a scalable process. As a result of the project, a production facility in Vienna was built and operated by Revo Foods, which led this project directly to commercial utilization.</t>
  </si>
  <si>
    <t xml:space="preserve">https://projekte.ffg.at/projekt/4851371</t>
  </si>
  <si>
    <t xml:space="preserve">grant.13728542</t>
  </si>
  <si>
    <t xml:space="preserve">31/10/2024</t>
  </si>
  <si>
    <t xml:space="preserve">Recovery and characterisation of high value functional proteins from leaf and vegetable sources for applications in the food sector</t>
  </si>
  <si>
    <t xml:space="preserve">The project explores the application of innovative processing technologies (including microwaves and scCO2) to convert UFSCW and renewable resources e.g lignocellulosic and agricultural residues into high-value chemicals. Application of a biorefinery model to a range of bioresources will yield a portfolio of useful chemicals including sugars, proteins, platform molecules and monomeric building blocks (for polymer production e.g PHAs, di-acids etc).The project will advance knowledge into novel processing methodologies and explore how they can be applied to renewable resources.</t>
  </si>
  <si>
    <t xml:space="preserve">https://gtr.ukri.org/projects?ref=studentship-2685518</t>
  </si>
  <si>
    <t xml:space="preserve">grant.12914803</t>
  </si>
  <si>
    <t xml:space="preserve">Ian Graham, Gavin Thomas, Darren Phillips</t>
  </si>
  <si>
    <t xml:space="preserve">University of York</t>
  </si>
  <si>
    <t xml:space="preserve">30/8/2026</t>
  </si>
  <si>
    <t xml:space="preserve">Protein transition in the elderly</t>
  </si>
  <si>
    <t xml:space="preserve">The environmental impact of our current food system is huge. It is internationally recognized that a shift towards more plant-based diets is needed. The aim is to reverse the animal-plant protein ratio in the diet from 60% animal and 40% plant protein to 40% animal and 60% plant protein. In this PhD project the possibilities and effects of this protein transition are investigated. Is the diet complete, are there any effects on (muscle)health and what is the practical feasibility for the elderly? The project provides essential knowledge, as well as applicable guidelines and aids for dieticians in practice.</t>
  </si>
  <si>
    <t xml:space="preserve">https://www.nwo.nl/en/projects/023019042</t>
  </si>
  <si>
    <t xml:space="preserve">grant.12957291</t>
  </si>
  <si>
    <t xml:space="preserve">A. Rotteveel
A. Rotteveel</t>
  </si>
  <si>
    <t xml:space="preserve">The Hague University of Applied Sciences</t>
  </si>
  <si>
    <t xml:space="preserve">31/8/2027</t>
  </si>
  <si>
    <t xml:space="preserve">STUDY OF ALLERGY TO VEGETABLE FOODS DUE TO SENSITIZATION TO PR-10 PROTEINS IN THE HEALTH AREA OF SALAMANCA AND THE ROLE OF Quercus spp POLLEN AS A PRIMARY SENSITIZER</t>
  </si>
  <si>
    <t xml:space="preserve">https://www.saludcastillayleon.es/sanidad/cm/investigacion/tkContent?idContent=1465000&amp;locale=es_ES</t>
  </si>
  <si>
    <t xml:space="preserve">grant.13611638</t>
  </si>
  <si>
    <t xml:space="preserve">FRANCISCO JAVIER MUÑOZ BELLIDO, M ASUNCIÓN GARCÍA SÁNCHEZ, CRISTINA MARTÍN GARCÍA, ESTHER MORENO RODILLA, M JESUS MARTÍN MARTÍN, MIGUEL ESTRAVÍS SASTRE, MIRIAM SOBRINO GARCÍA, M TERESA GRACIA BARA, EVA M MACÍAS IGLESIAS, ELENA LAFFOND YGES</t>
  </si>
  <si>
    <t xml:space="preserve">Complejo Hospitalario de Salamanca</t>
  </si>
  <si>
    <t xml:space="preserve">Salud Castilla y León</t>
  </si>
  <si>
    <t xml:space="preserve">Novel functional foods with biologically active substances produced from food industry by-products and plant materials for preventive medicine, health and longevity</t>
  </si>
  <si>
    <t xml:space="preserve">Nutrition is the most important environmental factor that determines the proper development, health status, human working ability. According to WHO experts, approximately 60-70% of human health depends on nutrition, all the rest are issues of genetics, ecology, heredity. Currently, there is a shortage of nutrients and biologically active substances in modern food, unbalanced nutrition, poor quality of food products in the consumer market. The problem is especially acute with regard to special foods for the age groups of the population and people with a tendency to socially significant diseases, such as metabolic syndrome, obesity, type 2 diabetes, precancerous and oncological diseases. They should receive a complex of biologically active substances in an easily digestible form to reduce the risk of the aforementioned diseases. The personalized approach of preventive medicine using the latest advances in nutritional genomics, using nano- and microcapsulation technologies to improve the bioavailability and digestibility of biologically active substances in the composition of the foods is of particular importance. In this case, a set of active compounds is selected for each patient individually, taking into account the characteristics of his (her) genetic profile. In this regard, a design of new specialized foods enriched with biologically active substances is of particular interest. Such products are called functional, as they are designed to maintain and improve health and reduce the risk of developing diseases due to the presence of functional ingredients in their composition. And the functionality of the ingredients and foods enriched with these substances should consist in nutrient adequacy and be proved by preclinical trials with the study of their effect on biochemical, hematological, hormonal and histological indicators of laboratory animals, using various patterns of disease injection. A multidisciplinary approach that combines scientific research in the field of food biotechnology, chemical technology, food systems, nutrition and biomedicine allows to solve the problems of designing new functional foods. The project is aimed to create new safe and high-quality foods of plant and animal origin with biologically active substances in traditional and nano- and microencapsulated forms isolated from by-products of the food industry and available plant materials with the use of aquabiotics for the prevention and treatment of socially significant diseases, maintaining health and increasing longevity. We will be the first to develop new technologies 1) extraction of biologically active substances, namely, isoflavones from soy molasses (kudzu roots and red clover) using deep natural eutectic solvents (NADES) and supercritical fluid extraction, resveratrol from plant materials such as Fallopia baldschanica (highlander Boljuana); galactooligosaccharides using betagalagalactosidases immobilized on zeolites using solid binding peptides (SBP); extractive nutrients from the algae Ascophyllus nodosum, Fucus vesiculosus and Chlorella vulgaris; 2) biotransformation of the nutrient medium components using Phaffia rhodozyma yeast to produce astaxanthin on media containing by-products of brewing, sugar production and production of soy protein concentrate; 3) biotransformation of the components of the food (yogurt) by the Lactobacillus sp microorganisms, vitamins B producers in the food. For the first time, new methods will be developed for the preparation of submicron capsules based on liposomes and nanosomes using original approaches to the processing of by-products of plant materials. A new technology will be elaborated for the production of pectin from beet pulp, which will achieve high surface activity of the final products. For the first time, technologies will be developed for loading nanosomes and liposomes coated with polysaccharides (pectin, carboxymethylated starch and cellulose) with targeted biologically active compounds. First, virtual models of functional foods of plant and animal origin (milk yogurt, vegetable milk, cheese, vegetable oil, sausages and paste products) will be designed using computer simulation and their nutritional adequacy will be evaluated. For the first time, the design of the nutrient profile and the study of the functional properties of food systems of animal origin will be carried out through the combined use of aquabiotics and biologically active substances, and the medical and biological requirements for functional food systems (products) containing biologically active complexes (isoflavones, bioiodine, bioselenium, Chlorella growth factor (CGF), resveratrol, astaxanthin, vitamins B and D, seaweed extract, galactooligosaccharides) and aquabiotics in animal food systems. For the first time, testing and assessment of the degree of reproducibility of virtual models in practical food technology will be carried out, having a functional orientation in the field of metabolic correction of age-related non-infectious diseases, maintaining health and increasing life expectancy. New foods of plant and animal origin will be designed enriched with the above biologically active substances in traditional and nano - and microencapsulated forms with optimization of consumer and physicochemical properties for the purpose of further preclinical tests. Comprehensive assessment of biochemical, morphological, hematological and other indicators as well as the identification of the mechanisms of action of biologically active substances and new functional foods in the experimental correction of diseases such as metabolic syndrome, obesity, type 2 diabetes mellitus, precancerous and oncological diseases (which biological models (laboratory animals) of metabolic syndrome and diabetes mellitus, mastopathy and breast cancer, benign prostatic hyperplasia and prostate cancer), will be carried out in order to formulate optimal protocols for their application. Clinical trials of developed functional foods for patients at risk for breast and prostate cancer with concomitant metabolic syndrome and diabetes mellitus 2 will be conducted for the first time. A new regulatory and technical documentation for the developed functional foods will be developed and the Ministry of Health of the Russian Federation’s approval for the application of these products as therapeutic and functional in metabolic correction programs will be received. The expected results of the study are as follows: 1) Developed new technologies for the production of biologically active substances from by-products of the food industry and plant materials, using chemical and enzymatic extraction, natural deep eutectic dissolvers (NADES), supercritical fluid extraction, enzymatic and microbial transformation of the nutrient medium and raw materials in the composition of the food. 2) Isolated and characterized biologically active substances, such as isoflavones, bioiodine, bioselenium, Chlorella growth factor (CGF), resveratrol, astaxanthin, vitamins B and D, galactooligosaccharides, seaweed extract from food by-products and plant materials. 3) New methods for obtaining submicron capsules based on liposomes and nanosomes using original approaches to the processing of plant by-products. New technology for producing pectin from beet pulp. Patents for submicron encapsulation technology using modified polysaccharides. 4) Virtual models of functional foods using computer modeling and assessment of their nutritional adequacy. 5) Technologies for enrichment of demanded food products, such as milk yogurt, vegetable milk, cheese, vegetable oil and products of animal origin, such as sausages and paste products, due to the additional introduction of aquabiotics, in certain proportions with the aforementioned biologically active substances in traditional and nano- and microencapsulated forms, in certain proportions. Patents on the technology of producing a line of new functional foods. 6) Medical and biological requirements for the composition and properties of functional foods with biologically active substances and biologically active substances with aquabiotics, prototypes of functional foods, their standardization. 7) Regularities of the effect of the isolated biologically active substances and the designed functional foods on biochemical, hematological, hormonal blood parameters, and on morphological changes in organ tissues in laboratory animal models. Patents for the results of preclinical trials of biologically active substances of foods. The significance of the interdisciplinary approach is that the designed functional foods in Russia only can be used by tens of millions of women and men, and the widespread use of these foods will reverse the negative trends in the incidence of metabolic syndrome, type 2 diabetes, breast cancer and prostate cancer, to improve the quality of life, to reduce mortality from pathologies that are widespread today, and thereby extend active longevity.</t>
  </si>
  <si>
    <t xml:space="preserve">http://www.rscf.ru/en/enprjcard?rid=20-66-47017</t>
  </si>
  <si>
    <t xml:space="preserve">grant.9048768</t>
  </si>
  <si>
    <t xml:space="preserve">Elena Kovaleva</t>
  </si>
  <si>
    <t xml:space="preserve">Ural Federal University</t>
  </si>
  <si>
    <t xml:space="preserve">Russian Science Foundation</t>
  </si>
  <si>
    <t xml:space="preserve">31/12/2023</t>
  </si>
  <si>
    <t xml:space="preserve">ComMEATted - Committed to the responsible development of meat replacement products and practices: comparing barriers and potentials</t>
  </si>
  <si>
    <t xml:space="preserve">This project aims at answering the following question: Under which conditions are European consumers and stakeholders in five national contexts (Austria, France, Ireland, Norway and Romania) ready to opt for diets that include alternative proteins (cell-based, plant-based and insect-based meat)? It thus ambitions to build knowledge to facilitate a transition towards the responsible production, provision and consumption of novel meat replacements in Europe. Our project innovates by considering consumer choices in context: social, cultural, regulatory, economic, psychological and ethical, religious or ideological grounds because of complex food practices in Europe. Our objective is to thereby map a range of levers that may facilitate a transition to producing, making, selling, cooking and eating healthy alternative proteins in Europe. This proposal includes exploratory research engaging end-users: consumers but also all stakeholders in the food chain. It also aims at building more knowledge on narratives and discourses around meat-alternatives promoted by stakeholders in various national contexts (the Industry, the agricultural sector, consumers’ associations, scientists, the media), on the domestic and EU regulatory framework, on labelling as well as on consumers’ attitudes towards novel foods (considering their current food regime, trust in institutions and innovations, religious, ethical and cultural values, political opinions, capabilities, permeability to discourses vehiculated by the social media…). By offering a comparison between national contexts, it will better inform national and European stakeholders, in particular policy-makers. The consortium’s strength results from a strong and pluridisciplinary collaboration between partners from the five national contexts with the collaboration of socio-professional actors.</t>
  </si>
  <si>
    <t xml:space="preserve">https://projekte.ffg.at/projekt/4856653</t>
  </si>
  <si>
    <t xml:space="preserve">grant.13862087</t>
  </si>
  <si>
    <t xml:space="preserve">Tailor-made cultivation of stem cells for meat</t>
  </si>
  <si>
    <t xml:space="preserve">Cellular agriculture is a promising avenue for sustainably contributing to the growing food demand. In this respect, cultured or in vitro meat receives increasing attention. Yet, there is currently no scientific evidence that animal myofibers equivalent to meat as a nutrient dense, highly structured food, can be made in vitro. This proposal will address several existing hurdles. A major challenge is to obtain a suitable cell type capable of both sufficient proliferation and robust differentiation. Muscle adult progenitor cells have a very good differentiation capacity, yet weak proliferation capacity, whereas mesenchymal and embryonic stem cells display the opposite behavior. First, we will compare and enhance the proliferation and differentiation capacity of these three cell types, resulting in an informed choice of cell type for myofiber generation. Secondly, we will design a ‘smart matrix’, including food-grade components that contribute to texture, flavor and a good nutritional profile. This involves a proper choice of materials which is mutually dependent on the technological approaches to create a 3D structure. Physicochemical stability of, and cellular adhesion and survival on these new matrices will be investigated. The best performing smart matrices will be tested on their potential to support muscle cell differentiation. These insights will be subsequently used to increase muscle fiber size and to study in vitro muscle development in a 3D architecture. In addition, strategies for stimulating the build-up of contractile proteins will be investigated. Finally, public acceptance, consumer attitudes, perceptions and intentions, as well as impact on sustainability will be assessed. This project will deliver a sound scientific basis and assessment of key technologies for advancing knowledge in this field and allowing informed decision making for downstream valorization strategies.</t>
  </si>
  <si>
    <t xml:space="preserve">grant.10020020</t>
  </si>
  <si>
    <t xml:space="preserve">Stefaan De Smet</t>
  </si>
  <si>
    <t xml:space="preserve">Research Foundation – Flanders (FWO)</t>
  </si>
  <si>
    <t xml:space="preserve">30/9/2024</t>
  </si>
  <si>
    <t xml:space="preserve">Bioengineering Sustainable Microgel Particles and Multiscale Characterization of Material Properties</t>
  </si>
  <si>
    <t xml:space="preserve">Microgel particles are deformable functional soft materials made by crosslinking polymers in a solvent with sizes of these particles ranging from hundreds of nanometers to several micrometers. Microgels have a wide range of industrial applications, such as emulsion and foam stabilization, drug delivery, biosensing and they also serve as lubricants, switchable materials, diagnostics, viscosity modifiers, cell substrates etc. Although advances in synthesis, experimental and simulation methodologies have clarified design principles and put microgels at the forefront of soft matter research, little focus has been placed in designing sustainable microgels using plant-based materials. Designing microgels with plant proteins is challenging because of their poor aqueous solubility arising from the complex quaternary structure, and their strong tendency for self-aggregation and association with other metabolites such as polyphenols in the natural state. In this interdisciplinary PhD project involving academics from Food Colloids, Nutrition, Biophysics, Theoretical Physics and Collaborators from Oatly, we aim to design new plant-based sustainable microgel and create new fundamental understanding of the relationship between structural features and mechanical properties relevant to industrial processing as well as oral processing in the mouth. The student will create novel sustainable microgels using oat protein polysaccharides and ions using an array of biotechnological and physical approaches. In addition to experimental work on structure-property relationship at macro-to-nanoscale combining multiple techniques (e.g. light scattering, SAXS, SANS, confocal and electron microscopy imaging, rheology, tribology, Rheo-SANS), coarse grain modelling of microgels at single particle level as well as microgel-microgel interaction levels will be carried out to provide a predictive theoretical indication of bulk properties. There will be also an interesting opportunity for the student to also do a placement at Sweden in the R&amp;D facility.</t>
  </si>
  <si>
    <t xml:space="preserve">https://gtr.ukri.org/projects?ref=studentship-2826717</t>
  </si>
  <si>
    <t xml:space="preserve">grant.13519773</t>
  </si>
  <si>
    <t xml:space="preserve">Anwesha Sarkar, Arwen Tyler, Jennifer McLauchlan</t>
  </si>
  <si>
    <t xml:space="preserve">Ecologically sustainable food for obese elderly</t>
  </si>
  <si>
    <t xml:space="preserve">The research of this postdoc focuses on ecologically sustainable nutritional concepts for improving the muscle health, general health and vitality of elderly people with obesity. The specific focus on the ecologically sustainable aspect of nutrition is a new line of research within the Nutrition &amp; Exercise Lectorate (Center of Expertise Urban Vitality), in addition to and in line with the existing line aimed at frail elderly people and muscle preservation. This postdoc position is very relevant for practice: obese elderly people are a rapidly growing target group with 1 million people in the near future. Until now, animal proteins are often recommended for this target group because of the high quality and the positive effect on the muscles. However, animal proteins are not sustainable. Smart combinations of vegetable protein sources are also expected to have a high protein quality, with a much lower ecological footprint. In addition, plant-based diets are associated with a lower risk of chronic diseases. Very little practice-oriented research has been done on this, even though it is very relevant for future practice. From September 2020, the Nutrition &amp; Dietetics program will roll out a new curriculum in which students will work in and with practice for a deeper learning experience. New research projects within the Nutrition &amp; Exercise Lectorate - including this postdoc - are embedded in different phases of education in which there is collaboration in co-creation with teachers, professional field partners and other stakeholders to design suitable solutions for different target groups. In summary: the postdoc line of research is very valuable and necessary for the protein transition and dietitian's practice, and relevant for the learning of students and teachers. The postdoc is currently the designer of the new curriculum of the Nutrition &amp; Dietetics program and is in the final phase of her PhD trajectory in which she has already gained a lot of experience with this subject.</t>
  </si>
  <si>
    <t xml:space="preserve">https://www.nwo.nl/en/projects/hbopd201805007</t>
  </si>
  <si>
    <t xml:space="preserve">grant.9549928</t>
  </si>
  <si>
    <t xml:space="preserve">Alternative raw materials for nutritional proteins from leaves</t>
  </si>
  <si>
    <t xml:space="preserve">The German-Brazilian consortium of the LeaFood project aims to develop sustainable processes for the production of protein concentrates and/or isolates comprising soluble and membrane bound proteins with protein contents of up to 90 % by reducing adjacent compounds from the leaves of cassava and sugar beet.The applied research method includes the whole value chain. At first, field tests for the optimization of leave biomass production and harvesting of cassava will be executed. Different post-harvest treatments including different washing, sorting and preserving procedures will be applied to receive stable raw materials for protein isolation. In order to improve the extraction yield and purity, protein losses due to enzymatic deterioration will be prevented by the use of agents with different mechanisms of action (scavenging phenolic compounds, acidify extraction medium, reduce oxidized phenolic compounds), solubilization of membrane-bound proteins will be facilitated by salts and detergents. Besides, cell disintegration will be improved by enzymatic, mechanical, or electrical means. Resulting protein extracts will be ultrafiltered or precipitated under acidic conditions for purification. Finally, the application potential of the resulting protein ingredients will be tested in different model foods. The outcome of LeaFood will be a process for the profitable exploitation of underutilized post-harvest residues of cassava and sugar beets and will contribute to increase the income of farmers by using an under-utilized sidestream. Thereby, novel proteins, which might bring new functionalities for an application in food products, will be processed. These proteins offer SMEs a substitution of animal-based protein or conventional plant-based protein in new food products and the possibility to enter new markets and acquire new customers. Thus, LeaFood as a precompetitive project lays the basis for further economic exploitation of the project results and advanced process optimizations to be performed prior to marketing.</t>
  </si>
  <si>
    <t xml:space="preserve">https://igf.aif.de/innovationsfoerderung/industrielle-gemeinschaftsforschung/igf-steckbrief.php?id=25191&amp;suchtext=</t>
  </si>
  <si>
    <t xml:space="preserve">grant.9708264</t>
  </si>
  <si>
    <t xml:space="preserve">30/6/2023</t>
  </si>
  <si>
    <t xml:space="preserve">Clarification of the causes of the bitter-astringent bad taste of potato protein isolates and depletion of their toxic glycoalkaloids</t>
  </si>
  <si>
    <t xml:space="preserve">Protein isolates and concentrates are used in the manufacture of many foods. The industry is endeavoring to use more vegetable proteins, as they have a smaller ecological footprint and a high nutritional value due to the approx. 5-10 times lower energy and water consumption. In particular, the extraction of proteins from the potato fruit water, which occurs as a by-product stream in the production of potato starch, appears economically interesting. The use of potato protein isolates in food is currently very limited due to their sensory deficiencies and their sometimes high levels of toxic glycoalkaloids (TGAs). The aim of the research project is to develop a new generation of these protein isolates. The content of the TGAs and the key compounds responsible for the sensory false impression are to be identified and options for removing or depleting these compounds are shown. SMEs from the field of potato starch production as well as processing companies from the B2B and B2C sectors, which could open up a new market with corresponding products, will particularly benefit from the results.</t>
  </si>
  <si>
    <t xml:space="preserve">https://igf.aif.de/innovationsfoerderung/industrielle-gemeinschaftsforschung/igf-steckbrief.php?id=24350&amp;suchtext=</t>
  </si>
  <si>
    <t xml:space="preserve">grant.9608491</t>
  </si>
  <si>
    <t xml:space="preserve">Technical University of Munich</t>
  </si>
  <si>
    <t xml:space="preserve">On the road to cultured meat for astronauts (and Earthlings) - German project</t>
  </si>
  <si>
    <t xml:space="preserve">https://www.esa.int/Enabling_Support/Preparing_for_the_Future/Discovery_and_Preparation/On_the_road_to_cultured_meat_for_astronauts_and_Earthlings</t>
  </si>
  <si>
    <t xml:space="preserve">Daniela Bezdan</t>
  </si>
  <si>
    <t xml:space="preserve">yuri</t>
  </si>
  <si>
    <t xml:space="preserve">Reutlingen University</t>
  </si>
  <si>
    <t xml:space="preserve">European Space Agency (ESA)</t>
  </si>
  <si>
    <t xml:space="preserve">On the road to cultured meat for astronauts (and Earthlings) - UK project</t>
  </si>
  <si>
    <t xml:space="preserve">Ramón Nartallo</t>
  </si>
  <si>
    <t xml:space="preserve">Kayser Space</t>
  </si>
  <si>
    <t xml:space="preserve">Campden BRI, Cellular Agriculture Ltd</t>
  </si>
  <si>
    <t xml:space="preserve">Diversification of the Nordic protein sources (DIVERSIPROT)</t>
  </si>
  <si>
    <t xml:space="preserve">https://www.luke.fi/en/projects/diversiprot</t>
  </si>
  <si>
    <t xml:space="preserve">Award amount unknown.</t>
  </si>
  <si>
    <t xml:space="preserve">Anne Pihlanto</t>
  </si>
  <si>
    <t xml:space="preserve">Food and Bioproducts</t>
  </si>
  <si>
    <t xml:space="preserve">Aarhus University, Lund University, Norwegian University of Life Sciences, Copenhagen University, University of Iceland, University of Warmia and Mazury in Olsztyn, Kaunas University of Food Technology, Latvia University of Life Sciences and Technologies</t>
  </si>
  <si>
    <t xml:space="preserve">Nordic Joint Committee for Agricultural and Food Research</t>
  </si>
  <si>
    <t xml:space="preserve">Denmark, Norway, Sweden, Finland, Iceland</t>
  </si>
  <si>
    <t xml:space="preserve">Bio-Purification of Plant Proteins</t>
  </si>
  <si>
    <t xml:space="preserve">https://www.consortiums.eu/articles/eu-consortium-to-develop-bio-purification-techniques-based-on-fermentation</t>
  </si>
  <si>
    <t xml:space="preserve">Kerensa Broersen</t>
  </si>
  <si>
    <t xml:space="preserve">NIZO</t>
  </si>
  <si>
    <t xml:space="preserve">Wageningen University and Research, Vrije Universiteit Amsterdam, HAS University of Applied Sciences, Queens University Belfast, DMK/DOC, GeneralMills, Glanbia Ireland DAC, INTERNATIONAL FLAVORS &amp; FRAGRANCES IFF, Ruitenberg Ingredients</t>
  </si>
  <si>
    <t xml:space="preserve">Dutch Government</t>
  </si>
  <si>
    <t xml:space="preserve">26/10/2024</t>
  </si>
  <si>
    <t xml:space="preserve">The impact of processing steps on the techno-functional and nutritional properties of soy protein</t>
  </si>
  <si>
    <t xml:space="preserve">Reducing meat consumption and shifting to a more plant-based diet in the context of climate change and health are currently hot topics. To facilitatethis shift, research concerning meat alternativesand plant-based protein sources should increase. Soybeans (Glycine max) have already been used as aningredient in meat alternativesfor a long time,because of their high protein content and the presence of all essential aminoacids. However, the production of soy has been associated with a negative impact on the environmentin its main producingcountries, because ofthe high rate of deforestation and transport. Therefore, locally grown soy, which will be used as the starting point of this project, has gained attention and especially for theuse in newly developed meat-like food products. Toobtain these products, many processing steps areconducted, such as the extraction of the soy proteins andthe subsequent texturization using high moistureextrusion (HME). With a selection of locally grownsoy varieties, the impact of different extractiontechniques will be explored and used to produce soy protein with high quality on lab scale as wellas pilot scale. The nutritional quality will be based on the macronutrient composition, aminoacid composition, anti-nutritional factors, allergens and digestibility. An estimation of the functional properties will be made by measuring proteinsolubility and thermal stability. The knowledge of the HME technique for the texturization of soy protein, on the other hand, will be expanded byassessing the effect of the processing parametersonthe micro- and macrotexture of commercially available soy isolates and/or concentrates. Finally, with the optimal processing parameters in mind, texturized products will be produced from the locally cultivated soy proteins using HME and theseproducts will again be characterized based on their nutritional and functional properties. This will allowto link the overall protein quality obtained withthe different extraction techniques with their behavior during the HME process.</t>
  </si>
  <si>
    <t xml:space="preserve">https://www.belspo.be/belspo/invent/dproj.asp?l=en&amp;inst=KU%20Leuven&amp;code=9c00e7b4-8acf-469b-9cec-34f18208fa6f&amp;hi=meat%20analogues%20OR%20vegan%20meat%20OR%20plant-based%20protein</t>
  </si>
  <si>
    <t xml:space="preserve">grant.14063479, grant.14064240</t>
  </si>
  <si>
    <t xml:space="preserve">Diete Verfaillie</t>
  </si>
  <si>
    <t xml:space="preserve">Microbial and Molecular Systems</t>
  </si>
  <si>
    <t xml:space="preserve">Arno Wouters</t>
  </si>
  <si>
    <t xml:space="preserve">Federal Science Policy Department (BELSPO)</t>
  </si>
  <si>
    <t xml:space="preserve">Production of cultured meat with the use of bovine pluripotent stem cells and a smart matrix in a 3D environment</t>
  </si>
  <si>
    <t xml:space="preserve"> Cellular agriculture is a promising avenue forsustainably contributing to the growing food demand.In this respect, cultured or in vitro meatreceives increasing attention. Yet, there is currently noscientific evidence that animal myofibers equivalent to meat as a nutrient-dense, highly structuredfood, can be made in vitro. This proposal will address several existing hurdles.First, we will compare and enhance the proliferation and differentiation capacity of these three cell types, resultingin an informed choice of cell type for myofiber generation. Secondly, we will design a ‘smart matrix’, including food-grade components that contribute to texture, flavour and a good nutritional profile. Physicochemical stability of, and cellular adhesion and survival on these new matrices will be investigated. The best performing smart matrices will be tested ontheir potential to support musclecell differentiation. These insights will be subsequently used to increase muscle fiber size and tostudyin vitro muscle development in a 3D architecture.In addition, strategies for stimulating thebuild-up of contractile proteins will be investigated.
</t>
  </si>
  <si>
    <t xml:space="preserve">https://www.belspo.be/belspo/invent/dproj.asp?l=en&amp;inst=KU%20Leuven&amp;code=5c815b68-13e0-43ae-a30a-8d03b6898cb1&amp;hi=Egg%20replacement%20OR%20Cultivated%20meat%20OR%20Cultured%20meat</t>
  </si>
  <si>
    <t xml:space="preserve">grant.14063453</t>
  </si>
  <si>
    <t xml:space="preserve">Lieven Thorrez</t>
  </si>
  <si>
    <t xml:space="preserve">Tissue Engineering</t>
  </si>
  <si>
    <t xml:space="preserve">Insight into the contribution of proteins, fats and ingredients to the structure and physical stability of vegetarian meat analogues</t>
  </si>
  <si>
    <t xml:space="preserve">This project aims to gain insight into the structure and physical stability (the ability of the products to retain water and fat in the matrix) ofvegetarian meat analogues. The main constituents thatcontribute to these properties are proteins, fatsand functional ingredients. In a first phase simple model systems will be used to investigate structure formation (gelation) of varioustypes of proteins. In a second phase, fats will beadded to themodel systems. Liquid oil willbe compared with (partially) solid fat. In a thirdphase functionalingredients such as hydrocolloids, fiber and starches are added. This step-by-step approach will allow to gain insight into therelative role of eachof the constituents. In the future, this knowledgecan be used by producers of meat analogues, whereby they can obtain an optimal structure and stability of their products through intelligent choice of constituents.</t>
  </si>
  <si>
    <t xml:space="preserve">https://www.belspo.be/belspo/invent/dproj.asp?l=en&amp;inst=KU%20Leuven&amp;code=15361370-8f65-462a-acd5-8a122636e9bc&amp;hi=meat%20analogues%20OR%20vegan%20meat%20OR%20plant-based%20protein</t>
  </si>
  <si>
    <t xml:space="preserve">grant.14062527</t>
  </si>
  <si>
    <t xml:space="preserve">Ilse Fraeye</t>
  </si>
  <si>
    <t xml:space="preserve">21/9/2024</t>
  </si>
  <si>
    <t xml:space="preserve">Cultured stem cells for customized meat design</t>
  </si>
  <si>
    <t xml:space="preserve">https://www.belspo.be/belspo/invent/dproj.asp?l=en&amp;inst=UGent&amp;code=31eaea8a-9658-4b73-8a26-158772d0fb2e&amp;hi=Egg%20replacement%20OR%20Cultivated%20meat%20OR%20Cultured%20meat</t>
  </si>
  <si>
    <t xml:space="preserve">grant.14064241, grant.14067553</t>
  </si>
  <si>
    <t xml:space="preserve">Catharina De Schauwer</t>
  </si>
  <si>
    <t xml:space="preserve">Translational Physiology, Infectiology, and Public Health</t>
  </si>
  <si>
    <t xml:space="preserve">Ghent University</t>
  </si>
  <si>
    <t xml:space="preserve">Stefaan De Smet; Benedikt Sas; John Van Camp; Koen Dewettinck; Wim Verbeke</t>
  </si>
  <si>
    <t xml:space="preserve">MicroCoCoNut: Microbial community control for nutritional protein</t>
  </si>
  <si>
    <t xml:space="preserve">https://www.belspo.be/belspo/invent/dproj.asp?l=en&amp;inst=UAntwerpen&amp;code=fac070de-8b97-4ca3-91ba-22c9b9edbea3&amp;hi=sustainable%20protein%20OR%20alternative%20protein%20OR%20novel%20protein%20sources</t>
  </si>
  <si>
    <t xml:space="preserve">Siegfried Vlaeminck</t>
  </si>
  <si>
    <t xml:space="preserve">Bioscience Engineering</t>
  </si>
  <si>
    <t xml:space="preserve">University of Antwerp</t>
  </si>
  <si>
    <t xml:space="preserve">Unravelling mycoprotein bioproduction by Neurospora crassa towards development of a vegan steak</t>
  </si>
  <si>
    <t xml:space="preserve">https://www.belspo.be/belspo/invent/dproj.asp?l=en&amp;inst=KU%20Leuven&amp;code=d5fa67c9-efd7-4697-a955-33591f9217be&amp;hi=insect%20protein%20OR%20fake%20meat%20OR%20meat%20substitutes</t>
  </si>
  <si>
    <t xml:space="preserve">Ilse Van de Voorde</t>
  </si>
  <si>
    <t xml:space="preserve">28/1/2025</t>
  </si>
  <si>
    <t xml:space="preserve">Impact of processing steps on the quality of microalgae protein from raw material to extruded product</t>
  </si>
  <si>
    <t xml:space="preserve">https://www.belspo.be/belspo/invent/dproj.asp?l=en&amp;inst=KU%20Leuven&amp;code=5e492b6e-a3ca-4fe1-886d-61139dfd7a99&amp;hi=insect%20protein%20OR%20fake%20meat%20OR%20meat%20substitutes</t>
  </si>
  <si>
    <t xml:space="preserve">Koenraad Muylaert</t>
  </si>
  <si>
    <t xml:space="preserve">Biology</t>
  </si>
  <si>
    <t xml:space="preserve">30/3/2025</t>
  </si>
  <si>
    <t xml:space="preserve">Developing tasty and nutritious Swedish pea proteins (TastyPeas)</t>
  </si>
  <si>
    <t xml:space="preserve">https://research.chalmers.se/en/project/11020</t>
  </si>
  <si>
    <t xml:space="preserve">Büsra Gültekin Subasi</t>
  </si>
  <si>
    <t xml:space="preserve">Lantmännen's Research Foundation</t>
  </si>
  <si>
    <t xml:space="preserve">Plant-based meat analogues produced by innovative pre-processing and extrusion (PlantEAT)</t>
  </si>
  <si>
    <t xml:space="preserve">We envision to create extruded plant-based meat analogues with unique organoleptic properties, i.e. flavour and texture, through innovative pre-processing. The meat-mimicking products will embody boosted juiciness and savory flavour, all natural and clean-label, without additives.</t>
  </si>
  <si>
    <t xml:space="preserve">https://www.aramis.admin.ch/Texte/?ProjectID=47720</t>
  </si>
  <si>
    <t xml:space="preserve">grant.9550955</t>
  </si>
  <si>
    <t xml:space="preserve">Planted Foods AG, Swiss Innovation Agency</t>
  </si>
  <si>
    <t xml:space="preserve">Protein-rich, vegan meat alternative based on mushroom mycelium - Fermentative production of protein biomass for food from waste and by-products of refinery production</t>
  </si>
  <si>
    <t xml:space="preserve">Exploring the potential of water-soluble cereal proteins for stabilizing air-in-water dispersions in food products</t>
  </si>
  <si>
    <t xml:space="preserve">https://research.kuleuven.be/portal/en/project/3E200763</t>
  </si>
  <si>
    <t xml:space="preserve">Wouters Arno, Janssen Frederik</t>
  </si>
  <si>
    <t xml:space="preserve">KU Leuven</t>
  </si>
  <si>
    <t xml:space="preserve">Microbial protein production through valorization of side streams originating from the dairy industry and agriculture</t>
  </si>
  <si>
    <t xml:space="preserve">https://research.ugent.be/web/result/project/d3b6899f-0fb3-11eb-89fc-81e15036b2fa/details/en</t>
  </si>
  <si>
    <t xml:space="preserve">Rabaey Korneel</t>
  </si>
  <si>
    <t xml:space="preserve">UGent</t>
  </si>
  <si>
    <t xml:space="preserve">Opportunities for targeted fat tissue cultivation in the formulation of plant-based meat analogues.</t>
  </si>
  <si>
    <t xml:space="preserve">Fraeye Ilse</t>
  </si>
  <si>
    <t xml:space="preserve">Knowledge matrix and prototypes for targeted production of highquality innovative meat alternatives (MEATMIMIC)</t>
  </si>
  <si>
    <t xml:space="preserve">https://research.kuleuven.be/portal/en/project/3E200944</t>
  </si>
  <si>
    <t xml:space="preserve">GLO-Conuts: Towards recombinant protein manufacturing in coconut water</t>
  </si>
  <si>
    <t xml:space="preserve">https://www.nwo.nl/en/projects/gochkiemkgc02043</t>
  </si>
  <si>
    <t xml:space="preserve">GLO Biotics</t>
  </si>
  <si>
    <t xml:space="preserve">Aachen Maastricht Institute for Biobased Materials (AMIBM) Zuyd University of Applied Sciences (Zuyd)</t>
  </si>
  <si>
    <t xml:space="preserve">Investigation of the formation of mycotoxins by Alternaria alternata on various plant-based foods</t>
  </si>
  <si>
    <t xml:space="preserve">Investigation and evaluation of alternative food sources</t>
  </si>
  <si>
    <t xml:space="preserve">MRI</t>
  </si>
  <si>
    <t xml:space="preserve">Wood2Food: Converting wood into edible mycelium as an alternative and sustainable protein source</t>
  </si>
  <si>
    <t xml:space="preserve">Taking Control of Metabolism in Microbial Cell Factories by Applying Noncanonical Redox Cofactors</t>
  </si>
  <si>
    <t xml:space="preserve">https://www.nwo.nl/en/projects/ocenwxl21xl21007</t>
  </si>
  <si>
    <t xml:space="preserve">ir. N van Wijk
ing. T.IJ.S.A. Althuis
ir. M. S. Remeijer
N.D. Travnicek MSc
A.A. Ingram MSc
E.M. Leijten</t>
  </si>
  <si>
    <t xml:space="preserve">Wageningen University &amp; Research</t>
  </si>
  <si>
    <t xml:space="preserve">Chickpea: Protein grown in Flanders</t>
  </si>
  <si>
    <t xml:space="preserve">Baeyens Jana, Muylle Hilde</t>
  </si>
  <si>
    <t xml:space="preserve">Institute for Agricultural and Fisheries Research (ILVO)</t>
  </si>
  <si>
    <t xml:space="preserve">Flemish Government</t>
  </si>
  <si>
    <t xml:space="preserve">SAMARITaN: Sustainable Anaerobic MicrobiAl pRoteIn producTioN</t>
  </si>
  <si>
    <t xml:space="preserve">Wageningen University &amp;amp</t>
  </si>
  <si>
    <t xml:space="preserve">Fundamental understanding of juiciness of fibrous meat analogues from structural and sensory perspectives (FUnMeat)</t>
  </si>
  <si>
    <t xml:space="preserve">Reduction of meat consumption benefits both planet and society. Current plant-based meat analogues do not fully convince consumers, among others due to lack of attractive texture and juiciness. The production of current meat analogues relies on the use of binding agents, leading to long ingredient lists that are not appreciated by consumers. This project combines expertise and techniques from food technology, sensory and consumer science and soft matter physics to deliver new insights into structure-property relationships of fibrous plant-based meat analogues. The new insights can be used to rationally design meat analogues with desired sensory properties and increased consumer acceptance.</t>
  </si>
  <si>
    <t xml:space="preserve">https://www.nwo.nl/en/projects/20759</t>
  </si>
  <si>
    <t xml:space="preserve">grant.14043814</t>
  </si>
  <si>
    <t xml:space="preserve">M. Habibi</t>
  </si>
  <si>
    <t xml:space="preserve">Two-stage fermentation of plant-based raw materials for the production of plant-based alternatives to raw sausage and raw milk cheese</t>
  </si>
  <si>
    <t xml:space="preserve">Universität Hohenheim Institut für Lebensmittelwissenschaft und Biotechnologie Fachgebiet Lebensmittelmaterialwissenschaften</t>
  </si>
  <si>
    <t xml:space="preserve">Universität Hohenheim Institut für Lebensmittelwissenschaft und Biotechnologie Fachgebiet Lebensmittelmikrobiologie und -hygiene, Universität Hohenheim Institut für Lebensmittelwissenschaft und Biotechnologie Fachgebiet Milchwissenschaft und -technologie</t>
  </si>
  <si>
    <t xml:space="preserve">Accelerating the transition to plant-based proteins</t>
  </si>
  <si>
    <t xml:space="preserve">Wageningen University &amp;amp; Research , UU , Universiteit Utrecht , TU Delft</t>
  </si>
  <si>
    <t xml:space="preserve">Combinatorial solidification approaches for the production of high-quality plant protein-based foods</t>
  </si>
  <si>
    <t xml:space="preserve">Institute for Food Science and Biotechnology Department of Food Materials Science</t>
  </si>
  <si>
    <t xml:space="preserve">University of Hohenheim Institute for Food Science and Biotechnology</t>
  </si>
  <si>
    <t xml:space="preserve">Technische Universität Berlin Institut für Lebensmitteltechnologie und Lebensmittelchemie Fachgebiet Food Colloids</t>
  </si>
  <si>
    <t xml:space="preserve">Study and evaluation of the relationships between composition, structure and functional properties of food</t>
  </si>
  <si>
    <t xml:space="preserve">Use of Pisum sativum as a foodstuff: Establishment / review of a criteria catalogue for quality</t>
  </si>
  <si>
    <t xml:space="preserve">Foiture: Foie gras of the Future: The first cultured meat initiative in Flanders</t>
  </si>
  <si>
    <t xml:space="preserve">The general objective of this project is a significant knowledge building on the creation of an animal-free hydride paté de pâté de foie gras based on cultured duck liver cells and vegetable proteins and / or fats.</t>
  </si>
  <si>
    <t xml:space="preserve">https://research.kuleuven.be/portal/en/project/3M210158</t>
  </si>
  <si>
    <t xml:space="preserve">grant.14063882</t>
  </si>
  <si>
    <t xml:space="preserve">Lluis Vinas Frederic</t>
  </si>
  <si>
    <t xml:space="preserve">Realising next generation plant-based protein foods</t>
  </si>
  <si>
    <t xml:space="preserve">Plant Meat Makers BV</t>
  </si>
  <si>
    <t xml:space="preserve">Acknowledging stress to increase protein production in plants</t>
  </si>
  <si>
    <t xml:space="preserve">https://www.nwo.nl/en/projects/ocenwxs222193</t>
  </si>
  <si>
    <t xml:space="preserve">Understanding structure formation during high moisture extrusion of protein-rich soy products</t>
  </si>
  <si>
    <t xml:space="preserve">Li Jiashu, Delcour Jan, Wouters Arno</t>
  </si>
  <si>
    <t xml:space="preserve">RTG 2654: Sustainable Food Systems</t>
  </si>
  <si>
    <t xml:space="preserve">Optimization of structure formation in mixed plant proteins</t>
  </si>
  <si>
    <t xml:space="preserve">Institute of Food Technology and Food Chemistry, Department of Food Technology and Materials Science</t>
  </si>
  <si>
    <t xml:space="preserve">Technical University of Berlin (TU Berlin)</t>
  </si>
  <si>
    <t xml:space="preserve">Clarification of the molecular causes of the bitter-astringent off-flavor and off-flavor of protein concentrates and protein isolates from field beans (Vicia faba L.)</t>
  </si>
  <si>
    <t xml:space="preserve">Leibniz-Institut für Lebensmittel-Systembiologie an der Technischen Universität München</t>
  </si>
  <si>
    <t xml:space="preserve">Tailoring Pulse Proteins for targeted development of Sustainable Foods</t>
  </si>
  <si>
    <t xml:space="preserve">L.M.C. Sagis</t>
  </si>
  <si>
    <t xml:space="preserve">Studying the digestibility of different protein sources</t>
  </si>
  <si>
    <t xml:space="preserve">A' propos - sustainable algal proteins produced on potato and other controlled agrifood streams</t>
  </si>
  <si>
    <t xml:space="preserve">Lehmann Sébastien</t>
  </si>
  <si>
    <t xml:space="preserve">Efficiency, sustainability and technology of circular food production from straw using fungi and earthworms.</t>
  </si>
  <si>
    <t xml:space="preserve">Techno-economic analysis of microbial protein production in an agricultural context</t>
  </si>
  <si>
    <t xml:space="preserve">De Vrieze Jo</t>
  </si>
  <si>
    <t xml:space="preserve">KU Leuven; UGhent</t>
  </si>
  <si>
    <t xml:space="preserve">Better informed decision making in consumers' food choice, breeders' crop design and protein transition</t>
  </si>
  <si>
    <t xml:space="preserve">dr. ir. O.E. Scholten
dr. ir. J.V.M. Vogelezang</t>
  </si>
  <si>
    <t xml:space="preserve">VOMRestructuring the food system</t>
  </si>
  <si>
    <t xml:space="preserve">Antje Gonera</t>
  </si>
  <si>
    <t xml:space="preserve">"Paula Varela-Tomasco
Laura Carraresi
Grethe Iren Andersen Borge"</t>
  </si>
  <si>
    <t xml:space="preserve">CICERO, NMBU, UiO, NTNU, NLR, Ruralis, RISE, S-FOOD, Orkla, Dagens, Oda, Entusiast AS, Klimastiftelsen, Fremtiden i våre Hender and Etisk Handel Norge.</t>
  </si>
  <si>
    <t xml:space="preserve">Securing and improving product and process quality for food through applied processing methods</t>
  </si>
  <si>
    <t xml:space="preserve">Microbiological status of meat substitute products</t>
  </si>
  <si>
    <t xml:space="preserve">https://www.fisaonline.de/en/find-projects/research-projects-by-subject/details/?tx_fisaresearch_projects%5Baction%5D=projectDetails&amp;tx_fisaresearch_projects%5Bcontroller%5D=Projects&amp;tx_fisaresearch_projects%5Bp_id%5D=15956&amp;cHash=55d3e4f173ef3dbf33b01715c35151f4#fundingprogramme</t>
  </si>
  <si>
    <t xml:space="preserve">Development of mass spectrometric methods to examine vegetarian and vegan foods for the presence of animal components</t>
  </si>
  <si>
    <t xml:space="preserve">Sterolife, a new plant-based food ingredient for saturated fat reduction while retaining functional properties</t>
  </si>
  <si>
    <t xml:space="preserve">Sterolife is an unsaturated edible fat that is solid at room temperature. The scientific goals of this mandate are to fine-tune the manufacturing process and gain insights into the Sterolife properties and its applications. The commercial goal of this mandate is to create a spin-off that produces and sells Sterolife to food companies. Those food companies will use Sterolife as an ingredient in cholesterol-lowering food products, such as spreadable margarines and bakery products.</t>
  </si>
  <si>
    <t xml:space="preserve">https://research.kuleuven.be/portal/en/project/3E210285</t>
  </si>
  <si>
    <t xml:space="preserve">grant.14064313</t>
  </si>
  <si>
    <t xml:space="preserve">Daels Eva, Foubert Imogen</t>
  </si>
  <si>
    <t xml:space="preserve">Evaluation of the technofunctional potential of oil press cake in texturized plant proteins (TVP)</t>
  </si>
  <si>
    <t xml:space="preserve">Technische Universität Berlin Institut für Lebensmitteltechnologie und Lebensmittelchemie FG Lebensmittelbiotechn. u.-prozesstechnik</t>
  </si>
  <si>
    <t xml:space="preserve">FunSea</t>
  </si>
  <si>
    <t xml:space="preserve">One of our most pressing societal challenges today is feeding the growing world population in a sustainable manner. The present global food system causes major environmental problems, including land degradation, loss of biodiversity, greenhouse gas emissions, water usage and pollution. There is thus a great need for novel food resources that are healthy, safe, and nutritious, and at the same time cause less emission of greenhouse gases, pollutants, and excess nutrients, and do not further compromise the sustainability and biodiversity of natural resources. Cultivated macroalgae are a staple of the Asian diets and can have a bigger contribution to more sustainable food systems, but still faces challenges in penetrating western markets due to an inherently low nutritional content, low versatility and inclusion rates in foods because of sensory properties, lacking innovation in product development, and knowledge gaps regarding safety and health benefits. 
The FunSea project aims to enhance nutritional quality, safety and functional properties of cultivated brown and green algae as food ingredients, through development of new sustainable processing technologies and utilization of side streams and residual biomass from seaweed production as well as other aquaculture industries and fisheries. The project will further develop and characterize novel food prototypes toward a wide European market, and assess environmental, economic, and regulatory aspects along the value chain from biomass production to finished products. The consortium consists of four research partners (SINTEF, Lund University, Aalborg University, Fraunhofer IMTE), one public body (Marine centre Simrishams municipality) and two industry partners (Seaweed Solutions, Bettafish) representing four countries (Norway, Sweden, Denmark, and Germany) and will utilize marine resources from the Atlantic Ocean and Baltic Sea. Key technologies in the project include biomass cultivation and pre-processing, enzymatic and microbial processing, food technology, and environmental analysis. The FunSea project will develop new knowledge, methodology and prototypes based on renewable and sustainable marine biomasses, contributing to the growth of the blue economy, development of scientific excellence, and solutions toward key societal challenges.</t>
  </si>
  <si>
    <t xml:space="preserve">https://bluepartnership.eu/projects/functional-processing-cultivated-seaweeds-novel-food-products</t>
  </si>
  <si>
    <t xml:space="preserve">SINTEF AS</t>
  </si>
  <si>
    <t xml:space="preserve">Independent research organization</t>
  </si>
  <si>
    <t xml:space="preserve">AALBORG UNIVERSITET, Fraunhofer Gesellschaft Zur Förderung Der Angewandten Forschung EV (FHG), Lund University, Marine Centre Simrishamns Municipality, Seaweed Solutions AS, Wunderfish GmbH</t>
  </si>
  <si>
    <t xml:space="preserve">Sustainable Blue Economy Partnership</t>
  </si>
  <si>
    <t xml:space="preserve">Collaborative project: Advanced stimulation methods to differentiate adult stem cells into functional tissues for the production of cell-based meat products for the food sector (MOSTIME) - Subproject A</t>
  </si>
  <si>
    <t xml:space="preserve">Innocent Meat GmbH is a company in the development and distribution of cell-based meat products. This is real meat grown directly from animal cells, avoiding the rearing and slaughter of animals. The cells can be obtained from the living animal. In the case of Innocent Meat, the cells are adult porcine stem cells, further specified as porcine myo-satellite cells. The meat is produced in a bioprocess in which the cells are isolated from the extracted tissue and propagated to a high density in large volumes in bioreactors. These cells are then differentiated into the major cellular components of the meat, including skeletal muscle cells (myotubes), adipocytes, and connective tissue fibroblasts, either in the presence or absence of scaffold materials. In order to convert the obtained stem/progenitor cells into meat, the cells must undergo the process of differentiation. The differentiation of the progenitor cells into the final tissue is a critical process step to achieve the appearance, taste and texture of native meat. Currently, the precursor cells are stimulated to differentiate with complex mixtures of various growth factors, addition of animal sera, and deprivation of key nutrients. Commercially available media and ready-to-use solutions often achieve differentiation rates of only about 50 % and are very cost-intensive, which does not qualify them for potential applications in food production. Innocent Meat GmbH and its partner University Medical Center Rostock are working on the establishment of modern stimulation methods based on directed reprogramming and electrical stimulation for the differentiation of stem cells (myo-satellite cells) into functional muscle tissue.</t>
  </si>
  <si>
    <t xml:space="preserve">https://service.ble.de/ptdb/index2.php?detail_id=92708924&amp;ssk=5123229d68&amp;site_key=293&amp;zeilenzahl_zaehler=2683&amp;NextRow=1700</t>
  </si>
  <si>
    <t xml:space="preserve">University Medical Center Rostock</t>
  </si>
  <si>
    <t xml:space="preserve">Innovation, consumer understanding and food processing knowledge for increased sustainability and  health</t>
  </si>
  <si>
    <t xml:space="preserve">The project FoodForFuture aims to contribute
 to research-driven innovation in the Norwegian food industry in line with the
 UN Sustainable Development Goals through understanding innovation processes,
 consumers, and product and process interactions.
  WP1 “Innovation” will focus on generating a deeper understanding of the
 Norwegian food industry from an innovation system perspective and how
 adaptation to new demands and capabilities can be a driver of innovation for
 small and large firms. Effects of changing framework conditions (crisis) and
 public procurement for innovation will be studied. We focus on
 transdisciplinary collaboration and improving knowledge transfer from
 research to industry. 
  WP2 “Consumer and Sensory Science” will increase knowledge about sensory
 and consumer perception, eating behavior, and involving consumers in research
 and innovation to support more healthy and sustainable diets. We will study
 the relation of consumers perception, preferences and food intake barriers
 and drivers for overeating and unhealthy eating. We will also focus on food
 experiences and preferences for special groups of consumers (e.g. age groups,
 special diets) and advance methodological aspects of sensory and consumer
 research and associated statistical methods (sensometrics).
  WP3 “Food Technology” will build a knowledge base to improve taste,
 texture, nutritional quality, health impact and sustainability of different
 product categories. We will study ingredient and process interactions to
 ensure good functional properties, sensory quality, storage stability and
 nutritional quality in Norwegian plant-based products. Research will also
 focus on products with improved nutritional quality and products contributing
 to reduced glycaemic load as well as healthier and more sustainable meat
 products with sustainable protein replacements and strategies to reduce
 saturated fat.
  We collaborate interdisciplinary on joint topics across all WPs.</t>
  </si>
  <si>
    <t xml:space="preserve">https://prosjektbanken.forskningsradet.no/en/project/FORISS/314318</t>
  </si>
  <si>
    <t xml:space="preserve">grant.9522399</t>
  </si>
  <si>
    <t xml:space="preserve">NOFIMA AS</t>
  </si>
  <si>
    <t xml:space="preserve">Tromsø</t>
  </si>
  <si>
    <t xml:space="preserve">31/12/2024</t>
  </si>
  <si>
    <t xml:space="preserve">Dutch government building full cellular agriculture ecosystem</t>
  </si>
  <si>
    <t xml:space="preserve">https://en.cellulaireagricultuur.nl/news</t>
  </si>
  <si>
    <t xml:space="preserve">Cellular Agriculture Netherlands Foundation will oversee the distribution of the award. Original award amount is EUR 85,000,000 with EUR 60,000,000 coming from the Dutch government.</t>
  </si>
  <si>
    <t xml:space="preserve">Dutch National Growth Fund</t>
  </si>
  <si>
    <t xml:space="preserve">PROFERMENT: Solid-state fermentations for protein transformations and palatability of plant-based foods</t>
  </si>
  <si>
    <t xml:space="preserve">A transition to a more plant-based diet is
 vital to feed the increasing world population while reducing greenhouse gas
 emissions. Replacing meat is, however,
 challenging as it contains high amounts
 of bioavailable protein rich in essential amino acids
 (EAA) and sensory attributes considered
 attractive by most consumers. Several meat substitutes are on the
 market but often characterized by being highly processed and with
 added emulsifiers and flavours. Traditional products exist,
 however, where microorganisms transform plant material into foods
 with meat-like
 characteristics. The cross-disciplinary centre will explore
 this huge potential by clarifying fundamental mechanisms
 of fungal and Bacillus-driven transformations of
 plant materials. The goal is to increase plant protein
 bioavailability and EAA content, flavour formation and texture, thereby
 enabling a rational design of clean-label, nutritious, and palatable
 alternatives for meat consumption.</t>
  </si>
  <si>
    <t xml:space="preserve">grant.13909619</t>
  </si>
  <si>
    <t xml:space="preserve">Dennis Nielsen</t>
  </si>
  <si>
    <t xml:space="preserve">Copenhagen</t>
  </si>
  <si>
    <t xml:space="preserve">31/12/2027</t>
  </si>
  <si>
    <t xml:space="preserve">Food from precision fermentation and algae</t>
  </si>
  <si>
    <t xml:space="preserve">https://eic.ec.europa.eu/system/files/2023-12/EIC-workprogramme-2024.pdf</t>
  </si>
  <si>
    <t xml:space="preserve">Page 90-92 from the linked document contain the relevant information about the "Food from precision fermentation and algae" challenge area, which is one of six challenges that the European Innovation Council (EIC) Accelerator plans to address in its 2024 Work Programme, backed by an indicative budget of €50 million. The EIC Accelerator is a funding programme under Horizon Europe that offers support to innovative start-ups and SMEs that have the ambition to scale up (TRL 5 to 8).</t>
  </si>
  <si>
    <t xml:space="preserve">Towards controllable structuring processes of plant seed proteins (SeedStructuring)</t>
  </si>
  <si>
    <t xml:space="preserve">Proteins from pea seeds could be a future
 source of a balanced, more sustainable plant-based nutrition. To reach this
 goal, alternatives for typical food products of animal origin need to be
 developed.
  While proteins in animals are abundant in fluids, and thus ready to be
 processed, plants store proteins mainly in compact and dry conditions in
 grains, which makes fluid processing complicated. This project aims for
 a  understanding how to in a first step optimize the extraction of
 proteins from the grains without destroying their structure, so that in a
 second step structures with desired properties can be formed. Typical
 examples would include novel plant-based food products with similar
 resemblance and mouth feel as diary products.
  We will combine special solvents for grain dissolution with advanced
 characterization methods, to understand the principles of structure
 formation. We will use established concepts from soft materials to guide our
 investigations towards future food products.</t>
  </si>
  <si>
    <t xml:space="preserve">grant.13908860</t>
  </si>
  <si>
    <t xml:space="preserve">Felix Roosen-Runge</t>
  </si>
  <si>
    <t xml:space="preserve">Lund</t>
  </si>
  <si>
    <t xml:space="preserve">31/7/2027</t>
  </si>
  <si>
    <t xml:space="preserve">Development of high quality food protein through sustainable production and processing</t>
  </si>
  <si>
    <t xml:space="preserve">PROTEIN2FOOD’s aim is to develop innovative,
 cost-effective and resource-efficient plant proteins –rich food sources with
 positive impact on human health, the environment and biodiversity. The
 quality and quantity of protein from selected highly nutritious seed crops
 (quinoa, amaranth and buckwheat), and legumes with high protein quantity
 (lupin, faba beans, pea, chickpea, lentil) will be significantly
 enhanced  by using a multi-disciplinary
 approach that will include genetic, agronomic, food process engineering,
 sensory, socio-economic,  and
 environmental assessment.
  Research is expected to improve the quality of plant proteins, produced in
 Europe, and of the sustainability of their production and processing. Through
 a better understanding of the: i) genetic mechanisms driving the protein
 formation and accumulation in the seed, ii) plant performance towards biotic
 and abiotic stresses, and iii) protein interactions with other components in
 the food matrix and its sensory repercussions in the final food products,
 this research should lead to the development of adapted plant protein sources
 with positive impact on environment and biodiversity as well as human health.
  Expected results in the project are: i) enhance the protein production by
 25% through new effective breeding techniques and optimised crop management
 with an increase by 10% of the EU’s arable land destined to protein-crop
 production, using also marginal soils, ii) accelerate protein transition from
 animal-based protein to plant based protein in Europe with clear impact on
 reduction of carbon footprint, iii) increase EU agro-biodiversity by
 introducing promising high quality crops and legumes. Further, activities
 will support the prototypes of new protein-rich-protein food with exceptional
 market potential. Finally, we will improve the EU’s visibility in the area of
 food processing and technology through high impact factors scientific
 publications.</t>
  </si>
  <si>
    <t xml:space="preserve">https://cordis.europa.eu/project/id/635727</t>
  </si>
  <si>
    <t xml:space="preserve">grant.3938253</t>
  </si>
  <si>
    <t xml:space="preserve">FUNDATIA SATEAN; MARIET FOOD HOLLAND;
 Instytut Rozrodu Zwierzat i Badan Zywnosci Polskiej Akademii Nauk;
 CYBERCOLLOIDS LIMITED; UNIVERSIDAD NACIONAL AGRARIA LA MOLINA; NATURECROPS
 EUROPE BV; FRAUNHOFER GESELLSCHAFT ZUR FORDERUNG DER ANGEWANDTEN FORSCHUNG
 EV; KOBENHAVNS UNIVERSITET; MAKERERE UNIVERSITY; PROLUPIN GMBH; SVERIGES
 LANTBRUKSUNIVERSITET; IFEU - INSTITUT FUR ENERGIE- UND UMWELTFORSCHUNG
 HEIDELBERG GGMBH; STICHTING LOUIS BOLK INSTITUUT; CONSIGLIO NAZIONALE DELLE
 RICERCHE; NOVOLYZE; CONTROL DE PORCIONES SA; UNIVERSITY COLLEGE CORK -  NATIONAL UNIVERSITY OF IRELAND, CORK;
 UNIVERSIDAD POLITECNICA DE MADRID; EUROPEAN FOOD INFORMATION COUNCIL</t>
  </si>
  <si>
    <t xml:space="preserve">Copenhagen; Olsztyn; Carrigaline; Lima;
 Munich; Kampala; Uppsala; Heidelberg; Driebergen-Rijsenburg; Rome; Cork;
 Madrid; Brussels</t>
  </si>
  <si>
    <t xml:space="preserve">Denmark;
 Poland; Ireland; Peru; Germany; Uganda; Sweden; Germany; Netherlands; Italy;
 Ireland; Spain; Belgium</t>
  </si>
  <si>
    <t xml:space="preserve">29/2/2020</t>
  </si>
  <si>
    <t xml:space="preserve">Enhanced utilization of an industrial side stream for a circular biobased economy – food grading of superior nutritional protein</t>
  </si>
  <si>
    <t xml:space="preserve">The present project aims to contribute with a
 novel highly nutritious protein source, which will facilitate the ongoing
 protein shift. We will utilize the novel ground-breaking genome editing
 CRISPR-Cas9 technology, developed for potato within the defined research
 group, to breed for slightly changed potato protein composition to allow
 functional properties for recovery of this highly nutritious protein from a
 bulk side-stream process. With the same technology, we will also reduce the
 content of the toxic glycoalkaloids from the potato protein fraction.
 Thereby, we will provide a domestic, plant based protein source for the food
 industry with similar nutritional value as animal protein sources. To secure
 a sustainable contribution of this project to the circular bioeconomy, we
 further intend to evaluate consumer and social impact of novel food products
 from this novel protein source as well as the impact on energy use, use of
 agricultural landscape and emissions from industry by use of life cycle assessment
 (LCA). Therefore, this project combines unique competences, including the
 most advanced competence in the world for CRISPR-Cas9 technology in potatoes,
 world-leading competences in plant protein structure and functionality, LCA
 and consumer acceptance studies and industry for potato processing. Thus,
 chances are high to reach the target of this project; a sustainable,
 domestic, nutritious, functional and consumer accepted protein source for the
 Swedish food industry.</t>
  </si>
  <si>
    <t xml:space="preserve">https://www.vr.se/swecris.html#/project/2018-01846_Formas</t>
  </si>
  <si>
    <t xml:space="preserve">grant.8446385</t>
  </si>
  <si>
    <t xml:space="preserve">Mariette Andersson, Folke Sitbon, Per
 Hofvander, Eva Johansson, Carl-Johan Lagerkvist, Mathias Samuelsson, Mattias
 Eriksson</t>
  </si>
  <si>
    <t xml:space="preserve">Uppsala</t>
  </si>
  <si>
    <t xml:space="preserve">30/11/2021</t>
  </si>
  <si>
    <t xml:space="preserve">Texturized legume-based food product by recombining fractions</t>
  </si>
  <si>
    <t xml:space="preserve">Legumes such as Vici faba beans (referred to
 as faba beans) are protein-rich, gluten-free crops representing sustainable
 alternatives to animal-based protein sources. Usually soy is used for
 vegetable products, but has limited cultivation in Sweden. Development of
 novel foods based on non-soy legumes is hampered by lack of knowledge
 regarding the functional properties of the individual compounds in the
 bean.In the proposed project faba beans, today mainly cultivated for animal
 feed, will be used as the model for novel textured plant based food.
 Fractionation of the faba will yield neutral tasting ingredients, low in
 oligosaccharides, which will form the basis for texturized foods or act as a
 functional or nutritional components in food products. A new hybrid process,
 combining dry (more sustainable) and wet fractionation together with novel
 innovative pre-processing techniques such as pulsed electric field (PEF) will
 be evaluated. Functional properties such as foaming, protein fibril formation
 and fiber types will be characterized. We aim to utilize all streams
 generated during fractionation why they will be tested singly and in
 combination, at various conditions.The project group is highly
 multidisciplinary with actors with agricultural and processing expertise,
 experts in physico-chemical characterization of food components as well as
 whole food products. Researchers from academia, institute will work closely
 together with reference group containing industrial partners.</t>
  </si>
  <si>
    <t xml:space="preserve">https://www.vr.se/swecris.html#/project/2018-01869_Formas</t>
  </si>
  <si>
    <t xml:space="preserve">grant.8446386</t>
  </si>
  <si>
    <t xml:space="preserve">Maud Langton, Anna Ström, Xinmei Feng,
 Christofer Lendel, Daniel Johansson</t>
  </si>
  <si>
    <t xml:space="preserve">Optimal processing of macroalgae as a new sustainable food ingredient</t>
  </si>
  <si>
    <t xml:space="preserve">The growing seaweed farming in Norway
 provides raw materials of high quality, with an unutilised potential as food
 and food ingredients. Seaweed has attractive properties as a taste booster
 (umami), salt replacer, texture-provider, other functions and as a source of
 essential nutrients. The trend towards reduced meat consumption, for both
 sustainability and health reasons, imposes an increased demand for attractive
 and tasty plant-based foods. Orkla Foods Norge produces around 1300 food
 products, with a potential use of seaweed-based ingredients in a wide
 spectre, like dried soups and sauces, meat products, meat substitutes, pizza
 and bakery products. Orkla aims to be in the forefront in development of more
 sustainable and healthy foods. The project partner SES is one of Norway's
 largest producers of high-quality cultivated seaweed and a pioneer in seaweed
 cultivation in Europe. SES aims to become a leading producer of high quality,
 organic seaweed for the food industry.
  The main idea of OptiAlgae is to develop Norwegian, cultivated brown algae
 as a natural part of the everyday diet. A first step towards introducing
 large-volume, seaweed-based food ingredients to the Norwegian market, is to
 develop use of seaweed as an ingredient beyond flavour. An aim is therefore
 to utilise the seaweed's functional properties, in particular as
 texture-provider and binder. This will require more knowledge about the
 interactions between e.g. alginate and other components of the seaweed and
 the food matrix. Another main research task will be the development of
 separation processes for enrichment of desired flavour components, nutrients
 and polysaccharides, and for removal of undesired components, like too high
 levels of iodine.
  The wide range of food products and thorough market knowledge Orkla holds,
 provides an ideal arena for testing the technological and sensory qualities
 of seaweed ingredients and introduce large scale products to the Norwegian,
 Nordic and international markets.</t>
  </si>
  <si>
    <t xml:space="preserve">https://prosjektbanken.forskningsradet.no/en/project/FORISS/317864</t>
  </si>
  <si>
    <t xml:space="preserve">grant.9522366</t>
  </si>
  <si>
    <t xml:space="preserve">Rita Nilsen McStay</t>
  </si>
  <si>
    <t xml:space="preserve">ORKLA FOODS NORGE AS</t>
  </si>
  <si>
    <t xml:space="preserve">Oslo</t>
  </si>
  <si>
    <t xml:space="preserve">Fungal protein and lipids from lignocellulose</t>
  </si>
  <si>
    <t xml:space="preserve">This project aims to convert non- edible
 residues from forestry and agriculture (lignocellulose, i.e. residues of wood
 and straw) to food and high- value food ingredients. This will be achieved by
 first growing edible fungi (Pleurotus spp and Lentinula spp) on selected
 substrates, with an optimisation towards producing the optimal amounts of
 mushroom protein (fruiting bodies) and facilitating down-stream extraction
 and production of bioactives and microbial oil. From the spent mushroom
 substrate (SMS) bioactive compounds (phenolics, proteins and β-glucans) will
 be extracted. After treatment with cellulose- and hemicellulose degrading
 enzymes, the SMS will be used as substrate for oleaginous yeasts, which will
 produce oil (which can replace non-sustainable vegetable oil such as palm
 oil), antioxidants, β-glucans, biosurfactants and exopolysaccharides. In the
 course of optimising cultivations both for mushroom production and oleaginous
 yeasts, the project will provide valuable insights into the physiology of
 these . Extraction of bioactive compounds from SMS has not been regarded yet
 and is, therefore, an important step beyond the state of the art. The project
 is approaching important challenges of food supply, including supply of
 proteins and lipids, as well as decreasing waste production. It is mainly
 directed towards the UN- sustainable goals Responsible consumption and
 production, No hunger and Industry, innovation and infrastructure.</t>
  </si>
  <si>
    <t xml:space="preserve">https://www.vr.se/swecris.html#/project/2022-02404_Formas</t>
  </si>
  <si>
    <t xml:space="preserve">grant.13285723</t>
  </si>
  <si>
    <t xml:space="preserve">SL: not sure what pillar this should be</t>
  </si>
  <si>
    <t xml:space="preserve">Volkmar Passoth, Carlos Orestes Martín
 Medina, Shaojun Xiong, Johanna Blomqvist</t>
  </si>
  <si>
    <t xml:space="preserve">Strengthening the Capacity of Excellence Hubs of Türkiye, Greece, and Ukraine to Support Innovation Ecosystem of Novel Foods Based on Plant Proteins</t>
  </si>
  <si>
    <t xml:space="preserve">Three key global drivers underpin the increased interest in plant protein-based diets: population-growth, important role of proteins in a healthy diet, and the environmental impact of animal-based food chains. While an increasing trend in proportion of plant sources included in diet is obvious, the current generation of commercial plant-based alternatives is suboptimal. Therefore, more research is needed to develop mild processing techniques for plant proteins and to obtain a comprehensive understanding on the impact of plant proteins on technological and nutritional functionality. 
Addressing current challenges and shortcomings, Excel4Pro aims to support, with underpinning research and knowledge exchange, the capacity of the national Excellence Hubs of Türkiye, Greece, and Ukraine as a regional launch pad for plant-protein-based novel food economies. Excel4Pro will be used as a critical tool to connect and scale up the strategically selected plant-based protein ecosystems in a single, interconnected and cross-border Excellence Hub dedicated to growing and changing the agri-food sector in Türkiye, Greece and Ukraine by developing novel food products based on plant-based proteins. 
Collaborative R&amp;I strategies, mentoring programmes, action plans to attract dedicated investment, and an array of upskilling activities for researchers and entrepreneurs will help close knowledge gaps between place-based innovation ecosystems and support the development of more sustainable food systems. 
Excel4Pro's consortium contains 17 partners (4 Academic, 8 Business, 2 Public Authorities, and 3 Societal Actors) that are well balanced and fully completes the quadruple helix. Excel4Pro is a 4 years project with 6 carefully designed Work Packages that efficiently exploit the consortium's diverse knowledge and expertise to develop solutions to Global Challenges in line with EUGreen Deal, the Farm to fork strategy for a fair, healthy and environment-friendly food system.</t>
  </si>
  <si>
    <t xml:space="preserve">https://cordis.europa.eu/project/id/101186662</t>
  </si>
  <si>
    <t xml:space="preserve">grant.14473588</t>
  </si>
  <si>
    <t xml:space="preserve">Pulled from database</t>
  </si>
  <si>
    <t xml:space="preserve">Turkey, Greece, Ukraine</t>
  </si>
  <si>
    <t xml:space="preserve">Widening participation and spreading excellence</t>
  </si>
  <si>
    <t xml:space="preserve">31/12/2028</t>
  </si>
  <si>
    <t xml:space="preserve">Tackling the off-flavor challenge of Swedish legume protein concentrates and widening their application area in Swedish plant-based foods</t>
  </si>
  <si>
    <t xml:space="preserve">A reduction in animal product consumption is
 a world-wide goal to counter climate change. It is a critical task for food
 industry and scientific research to develop food products that shift
 consumption towards a more plant-based diet. While there are multiple factors
 contributing to consumers’ behaviors towards their food product selection,
 one of the major limiting factors is the flavour (taste, aroma, and texture).
 Currently, there is a variety of meat analogues on the market, many of which
 suffer from undesirable off-flavours and are made of environmentally
 impacting protein isolates. An all-Sweden-based supply chain for a more
 sustainable production of legume protein concentrates and the food products
 thereof is a step towards better sustainability. The main challenge with
 using legume protein concentrates is reducing their off-flavours without
 impairing other protein properties. Therefore, it is the aim of this project
 to adapt the manufacturing process of protein concentrates to improve the
 flavour. Simultaneously, a better understanding of the impacts of the various
 processing steps on the flavour and antinutrients will be gained by applying
 a multi-disciplinary, applied research approach looking at sensory
 properties, volatile and non-volatile compositional data, as well as physical
 and chemical functional property analyses. The results from this research
 project will increase the applicability of these concentrates in food
 products on the ever-competing market.</t>
  </si>
  <si>
    <t xml:space="preserve">https://www.vr.se/swecris.html#/project/2022-01910_Formas</t>
  </si>
  <si>
    <t xml:space="preserve">grant.13285558</t>
  </si>
  <si>
    <t xml:space="preserve">Patrik Libander, Leyla Dahl, Rickard Albin,
 Bengt Persson, Evelina Höglund, Julia Granung, Claudia Niimi, Lena Brive,
 Greta Geldenhuys, Camilla Öhgren</t>
  </si>
  <si>
    <t xml:space="preserve">Gothenburg</t>
  </si>
  <si>
    <t xml:space="preserve">Novel production method for boosting texture and binding of Nordic plant-based meat [PlantBoost]</t>
  </si>
  <si>
    <t xml:space="preserve">The plant-based meat analogue (PbMA) market
 is expected to triple by 2027 due to a rise in protein demand (+50%  by 2050) and increased concerns about
 environmental effects of meat production (14.5% of greenhouse gas emissions),
 issues on animal welfare during husbandry and negative effects of meat (e.g.
 saturated fatty acids, cholesterol, etc.). While vegetarian and flexitarians
 lifestyle is increasing, consumers are becoming more demanding on the quality
 of the food they eat. For PbMA to reach market acceptance by all consumers
 (vegetarian and non), there is a need to: 1) mimic meat appearance with
 fibrous and layered structures; 2) enhance taste and experience to obtain red
 and juicy meat resemblance after cooking; 3) use healthy ingredients
 different from synthetic additives to provide binding and structure; 4) find
 alternative protein sources to soy that provide good texture without causing
 deforestation or emissions from long-distance transport.
  Our aim within PlantBoost is to R&amp;D new methods to produce PbMA made of
 exclusively Nordic-grown ingredients that truly resemble high-grade seafood
 and meat cuts in terms of nutritional composition, taste and appearance. Our
 innovative concept builds on novel formulations based on Nordic proteins
 (e.g. potatoes, oats or pulses like peas or beans) and natural additives
 (e.g. beetroot, linseed flour, citric pectin, etc.). Protein fractions are
 first extruded into textured vegetable proteins (TVPs) and further processed
 with Twin Booster. This equipment is the only one in the world providing, in
 a continuous manner, fibrous slabs (i.e. thick and flat pieces of solids
 resembling steaks) instead of chunks as in current state-of-the-art high moisture
 extrusion. This innovation will come as a result of a collaboration between
 Flowfood and R&amp;D suppliers such as Nofima, the German Institute of food
 technologies and SP Steel and lead raw materials suppliers such as Vestkorn
 Milling, Skjelfoss Korn, Lantmannen Cerealia or Nisco.</t>
  </si>
  <si>
    <t xml:space="preserve">https://prosjektbanken.forskningsradet.no/en/project/FORISS/332243</t>
  </si>
  <si>
    <t xml:space="preserve">grant.12851376</t>
  </si>
  <si>
    <t xml:space="preserve">Christer Heimtoft</t>
  </si>
  <si>
    <t xml:space="preserve">FLOWFOOD AS</t>
  </si>
  <si>
    <t xml:space="preserve">Biorefineries for the valorisation of macroalgal residual biomass and legume processing by-products to obtain new protein value chains for high-value food and feed applications</t>
  </si>
  <si>
    <t xml:space="preserve">ALEHOOP provides the demonstration at pilot
 scale of both sustainable macroalgae and legume-based biorefineries for the
 recovery of low-cost dietary proteins from alga-based and plant residual
 biomass and their validation to meet market requirements of consumers and
 industry in the food and feed sectors. In these sectors, consumers are
 demanding affordable functional natural proteins from alternative sources and
 industry is demanding low-cost bio-based protein formulations with better
 performance and higher sustainability. 
  Current protein demand for the 7.3 billion inhabitants of the world is
 approximately 202 Mt.  Due to the rise
 in meat consumption more proteins are therefore required for animal feeding. To
 satisfy the current protein demand, Europe imports over 30 Mt of soy from the
 Americas each year mainly for animal feeding, entailing 95% dependency of EU
 on imported soy. Current sources of proteins are becoming unsustainable from
 an economic and environmental perspective for Europe resulting in concerns
 for sustainability and food security and leading to search for new
 alternative proteins. 
  ALEHOOP addresses the obtaining of proteins from green macroalgal blooms,
 brown seaweed by-products from algae processors and legume processing
 by-products (peas, lupines, beans and lentils) as alternative protein sources
 for animal feeding (case of green seaweed) and food applications (case of
 brown seaweed and legume by-products), since they are low cost and
 under-exploited biomass that do not compete with traditional food crops for
 space and resources. This will reduce EU´s dependency on protein imports and
 contribute to our raw material security. The new proteins will be validated
 in foods for elderly, sporty and overweight people, vegetarians and healthy
 consumers as well as for animal feed creating cross-sectorial interconnection
 between these value chains and supporting the projected business plan.</t>
  </si>
  <si>
    <t xml:space="preserve">https://cordis.europa.eu/project/id/887259</t>
  </si>
  <si>
    <t xml:space="preserve">grant.9065859</t>
  </si>
  <si>
    <t xml:space="preserve">CENTIV GMBH; ALGINOR ASA; FUNDACION TECNALIA
 RESEARCH &amp; INNOVATION; VIDARA LIFE INGREDIENTS, S.A.U.; ASOCIACION
 NACIONAL DE FABRICANTES DE CONSERVAS DE PESCADOS Y MARISCOS-CENTRO TECNICO
 NACIONAL DE CONSERVACION DE PRODUCTOS DE LA PESCA; CONTACTICA SL; BIOZOON
 GMBH; EIGEN VERMOGEN VAN HET INSTITUUT VOOR LANDBOUW- EN VISSERIJONDERZOEK;
 BIOSURYA SL; VYZKUMNY USTAV VETERINARNIHO LEKARSTVI; NUTRITION SCIENCES;
 TECHNOLOGICAL UNIVERSITY DUBLIN; GARLAN, S.COOP.; WILD FLORIAN; ISANATUR
 SPAIN SL; UNIVERSIDAD DE VIGO; UNIVERSIDAD DE CADIZ</t>
  </si>
  <si>
    <t xml:space="preserve">Madrid; Stuhr; San Sebastian; Vigo;
 Bremerhaven; Merelbeke; Brno; Ghent; Dublin; Vigo; Cadiz</t>
  </si>
  <si>
    <t xml:space="preserve">Spain;
 Germany; Spain; Spain; Germany; Belgium; Czechia; Belgium; Ireland; Spain;
 Spain</t>
  </si>
  <si>
    <t xml:space="preserve">28/2/2025</t>
  </si>
  <si>
    <t xml:space="preserve">PROPELLING HEALTH AND SUSTAINABILITY THROUGH INNOVATIVE FOOD PRODUCTS AND PROCESSES</t>
  </si>
  <si>
    <t xml:space="preserve">Sustain-a-bite has the ambition to develop innovative, affordable, energy and water efficient minimal processing solutions for plant-based ingredient and food production. The produced food prototypes will ensure maximal nutritional quality and health benefits, taking into account consumer perspectives. Our approach is to combine bioprocesses and non-thermal treatments that enable reduction of &gt;30% energy and &gt;50% water consumption, compared to highly processed plant-protein isolates. The technology concepts developed will reduce the consumer prices of plant-based foods by 25% compared to the commodity meat and dairy products making them more affordable. This novel co-(bio)processing concept will make a paradigm shift by disrupting the traditional plant ingredient processes, which generate substantial side-streams during production of highly refined isolates or concentrates. Sustain-a-bite food prototypes aim to diversify the use of plant ingredients in various forms, including liquids, semi-solids, and solids. This goes beyond addressing just the "protein challenge," as it utilizes the entire plant matrix to provide not only protein but also dietary fibre, essential minerals, antioxidants, and vitamins. This approach maximizes nutritional quality and offers associated health benefits. The minimal processing solutions developed in Sustain-a-bite will aim at tailoring the structural architecture of the raw materials towards reduced anti-nutritional factors, enhanced satiety, nutrient bio-accessibility, and sensory quality. We will evaluate the effect of processing on macro- and micronutrient bioavailability, protein, and starch digestibility as well as gut microbiome by developing improved realistic predictive in vitro models. Sustainability, health and economic impacts of minimal processing will be assessed both at the product and system scales.</t>
  </si>
  <si>
    <t xml:space="preserve">https://cordis.europa.eu/project/id/101180399</t>
  </si>
  <si>
    <t xml:space="preserve">grant.14473452</t>
  </si>
  <si>
    <t xml:space="preserve">31/3/2028</t>
  </si>
  <si>
    <t xml:space="preserve">Verification and upscaling of microbial biomass production by anaerobic respiration</t>
  </si>
  <si>
    <t xml:space="preserve">The way we produce food is about to change
 profoundly as micro-organisms are domesticated to produce single cell
 proteins (SCP) in large scale fermenters. Such microbial biomass production
 in submerged cultures has already been implemented for production of food and
 feed, and new processes utilizing autotrophic organisms growing on hydrogen
 is underway. So far, SCP production has been based on aerobic respiration,
 and the provision of O2 to these systems is a significant cost and a
 bottleneck which limits the rate of biomass production.  This limitation can be circumvented by
 ANAPRO, a newly patented method for production of microbial biomass using
 NO3- instead of O2 to sustain anaerobic respiration. ANAPRO will allow much
 higher production rate per volume than aerobic cultivation since acids can be
 provided at any rate desired. The VERIAN project will also develop, together
 with industrial partners, a new technology for onsite production of =5M
 acids, to a much lower price than commercially available. 
  The VERIAN project will develop a proof-of-concept technology for producing
 microbial biomass from glucose syrup produced by enzymatic hydrolysis of
 wood, previously used for producing yeast. The VERIAN project opens an avenue
 towards a much needed efficient and sustainable SCP-production for the
 Norwegian aquaculture industry, in vitro meat production, and a new market
 for this novel technology.</t>
  </si>
  <si>
    <t xml:space="preserve">https://prosjektbanken.forskningsradet.no/en/project/FORISS/333879</t>
  </si>
  <si>
    <t xml:space="preserve">grant.12911957</t>
  </si>
  <si>
    <t xml:space="preserve">Elin Christine Andersen</t>
  </si>
  <si>
    <t xml:space="preserve">ARD INNOVATION
 AS</t>
  </si>
  <si>
    <t xml:space="preserve">Flavour, odour and texture improvements of plant-based dairy products using microbial fermentation products (DELICIOUS)</t>
  </si>
  <si>
    <t xml:space="preserve">DELICIOUS proposes a novel production technology to create affordable, tasty and safe plant-based dairy analogues (cheese and kefir) with high nutritional value, by combining microbial products with plant-based raw materials. The project has the ambition to accelerate the dietary shift, acting like a paradigm for the whole plant-based food sector. DELICIOUS contributes to a better nutrition for everybody by developing products with high protein content, rich in vitamins, fibres and probiotics. The project aims also to decrease the environmental footprint of food industry not only by replacing conventional dairy products in peoples’ diets but also by introducing microbial products which acquire less fresh water, less land use and inexpensive residual raw materials. Having as starting point the perceptions of culinary experts (chefs), the project will improve the sensory characteristics of the current, commercial plant-based products in order to improve their placement in the market. To that end, we will use tailor-made microbial fat, produced via precision fermentation, yeast biomass and fibre-producing microbial strains to achieve the desired organoleptic properties without additives, artificial flavours and avoiding ultra-processing methodologies. To accelerate the commercialisation of the developed products, DELICIOUS will perform various analyses and evaluations: Safety assessments, nutrition simulations, consumers testing and technoeconomic evaluation of the processes combined with behavioural economics to define the profit and price margins for such products. Capitalising on the great capacity and experience of the consortium on High Throughput methodologies, the project has also the great ambition to empower fermentation industry with a bioinformatic tool to predict flavour, odour, and texture of a product, based on the initial raw materials and the microorganisms used in fermentation, significantly decreasing the costs of product development.</t>
  </si>
  <si>
    <t xml:space="preserve">https://cordis.europa.eu/project/id/101181822</t>
  </si>
  <si>
    <t xml:space="preserve">grant.14473481</t>
  </si>
  <si>
    <t xml:space="preserve">31/10/2028</t>
  </si>
  <si>
    <t xml:space="preserve">Unleashing the flavour potential of plant-based foods via fermentation (FLAVOURFERM)</t>
  </si>
  <si>
    <t xml:space="preserve">FLAVOURFERM aims to optimize, demonstrate, and deploy fermentation technologies to unlock the flavor potential of plant-based foods and respond to consumer demand for tasty, nutritious, and healthy plant-based products. Precision fermentation, biomass fermentation, and traditional fermentation techniques will be optimized to improve the sensory properties (flavor and texture) as well as the protein content and bioavailability in plant-based foods. Innovative fermented foods will be developed by incorporating ingredients from the optimized fermentation techniques into food products. The production will involve animal-free recombinant casein obtained by precision fermentation, as well as fungal mycelia obtained from legume fermentation, to produce an array of novel food products in three business cases: plant-based cheese, plant-based meat, and plant-based milk. All novel ingredients and final products will be scaled-up and produced at pilot and pre-commercial scale in collaboration with industrial partners, which include both innovative SMEs and established manufacturers from different EU regions.</t>
  </si>
  <si>
    <t xml:space="preserve">https://cordis.europa.eu/project/id/101181661</t>
  </si>
  <si>
    <t xml:space="preserve">grant.14473476</t>
  </si>
  <si>
    <t xml:space="preserve">30/4/2028</t>
  </si>
  <si>
    <t xml:space="preserve">Identifying and understanding obstacles for sustainable food consumption with meat substitutes as a case study</t>
  </si>
  <si>
    <t xml:space="preserve">To achieve a sustainable food consumption, it
 is important that consumers reduces his/her meat consumption in favor of
 plant-based protein products. The last ten years the steady increase of meat
 consumption has subsided, but previous 50 years of unprecedented increase in
 meat consumption this is not enough. The main objective of the project is to
 obtain knowledge on how to increase the consumption of meat substitutes. The
 target goal is that consumers should have two-three vegetarian alternatives
 among their most common everyday dishes.Earlier defined obstacles for a
 decreased meat consumption shows that they can be divided into three types:
 affective, i.e., how we feel about the product; cognitive, i.e., how we think
 about the product and the information on e.g., labels and third the sensory
 profile, i.e., how the food taste and smell. Using a transdisciplinary
 approach covering economics, psychology and sensory science we intend for a
 holistic understanding of the obstacles facing the consumer. The project will
 be conducted using a set of studies on humans, including focus groups,
 surveys, cooking observations, home-use tests, sensory profiling and
 experimental measures. With ingoing measurements, the most salient parameters
 will be defined.This enables a continued product development for improved
 meat substitute products as well as information to stakeholders on how
 stronger incitements for a sustainable food consumption can be targeted.</t>
  </si>
  <si>
    <t xml:space="preserve">https://www.vr.se/swecris.html#/project/2018-01867_Formas</t>
  </si>
  <si>
    <t xml:space="preserve">grant.8448666</t>
  </si>
  <si>
    <t xml:space="preserve">Elizabeth Collier, Mihaela Mihnea, Anne
 Normann, Penny Bergman, Tim Nielsen, Fredrik Carlsson</t>
  </si>
  <si>
    <t xml:space="preserve">Taking the last steps to realize Swedish peas as a local protein source (SwedPea)</t>
  </si>
  <si>
    <t xml:space="preserve">Almost all the peas farmed in Sweden
 currently goes to feed while peas are among the most sustainable local
 protein sources adapted to the Swedish climate. Urgent actions are therefore
 needed to shift the Swedish pea value chain from animal feed to food. The
 goal of the SwedPea project is to build upon the knowledge generated in a
 series of collaborations between Chalmers and Lantmännen to fill in the
 remaining crucial gaps and realize Swedish peas as a local protein source.
 Using an interdisciplinary team and 3 work packages, we will (i) engineer the
 Swedish pea value chain to mitigate off-flavors and antinutrients in pea
 proteins, (ii) demonstrate and optimize our developed pea stabilization and
 biorefinery technologies on a pilot scale, and finally (iii) validate Swedish
 pea proteins as an alternative protein source by exploring their application
 potential across various market segments, assessing their sensory and
 consumer acceptance, and evaluating their competitiveness compared to other
 commercially available ingredients. SwedPea outcomes will be adapted by
 Lantmännen for the industrial production of pea proteins in their upcoming
 pea biorefinery factory. SwedPea will also promote the adaption of locally
 produced pea protein ingredients by both the food industry and Swedish
 consumers, driving the shift towards plant-based foods and making a
 real-world impact.</t>
  </si>
  <si>
    <t xml:space="preserve">https://www.vr.se/swecris.html#/project/2023-02041_Formas</t>
  </si>
  <si>
    <t xml:space="preserve">grant.13759771</t>
  </si>
  <si>
    <t xml:space="preserve">Less is more: Less-refined pea ingredients for more plant-based food</t>
  </si>
  <si>
    <t xml:space="preserve">Due to the increasing awareness on climate
 change and human health, consumers’ choices are gradually shifting from
 animal-based proteins to plant-based proteins for the pursuit of
 sustainability. The current legume protein used for human consumption is mainly
 produced by intensive protein fractionation with huge environmental impact to
 ensure the proper gelation of food product. Different from conventional
 protein enrichment, alternative strategies based on the utilization of
 natural genetic diversity of pea accessions and composite protein/starch
 system for gelation will be investigated. This project will identify pea
 accessions with excellent gelation properties that requires low level of
 fractionation, which has a huge potential to be used as environmental-friendly
 food ingredients for future human consumption.</t>
  </si>
  <si>
    <t xml:space="preserve">grant.13909576</t>
  </si>
  <si>
    <t xml:space="preserve">René Lametsch</t>
  </si>
  <si>
    <t xml:space="preserve">30/6/2026</t>
  </si>
  <si>
    <t xml:space="preserve">Fermentation of Swedish faba beans for foods with improved texture, flavour and nutritional properties</t>
  </si>
  <si>
    <t xml:space="preserve">A growing body of evidence is pointing at the
 need for more sustainable diets and methods of food production. Plant based
 milk analogues, which generally represents more sustainable alternatives to
 their dairy counterparts, is one such alternative. However, plant based dairy
 substitutes often suffer from comparably poor nutritional and organoleptic
 quality. These issues we will solve or reduce through processing, e.g. heat
 treatment, homogenization and fermentation.The project aims to establish a
 relationship between processing, fermentation and the nutritional and
 organoleptic quality of a yoghurt-like food, based on a Swedish legume such
 as faba bean.To achieve this we will combine different types of
 pre-treatments such as milling, soaking, homogenization, pulsed electric
 fields, heating and enzymatic treatment to reduce off-flavors and
 anti-nutritional factors, improve texture and produce a faba bean milk
 analogue suitable for fermentation. We will utilize existing microbial
 consortia from traditional fermented foods and feed such as kefir, sourdough
 and silage to identify and design suitable mixed starter cultures. An
 investigation of consumer preferences will guide the development of prototype
 foods which will be evaluated with regard to physico-chemical and sensory
 characteristics.</t>
  </si>
  <si>
    <t xml:space="preserve">https://www.vr.se/swecris.html#/project/2020-00861_Formas</t>
  </si>
  <si>
    <t xml:space="preserve">grant.12896274</t>
  </si>
  <si>
    <t xml:space="preserve">Hanna Eriksson Röhnisch, Volkmar Passoth,
 Karin Wendin, Maud Langton, Daniel Johansson</t>
  </si>
  <si>
    <t xml:space="preserve">HYDROPHOBINS: Specialized Proteins for Food (HFBfood)</t>
  </si>
  <si>
    <t xml:space="preserve">Our food production and consumption is a
 major problem in terms of environmental impact and need of arable land. On
 the other hand, many side-streams from the plant-based food industry are
 poorly utilized and is wasted due to lack of knowledge and technology for
 transforming into food materials. The demand for sustainable foods grows
 exponentially and has increased the need to supply the food industry with
 sustainable, functional protein ingredients. This project provides an
 important and essential knowledge to the sustainable food production by
 delivering the proof-of-principle for obtaining hydrophobin proteins in a
 quality and with techno-functionalities that can be used to produce the
 future healthy and tasty plant-based foods. We use the sustainable, low
 resource solid-state fermentation technology on the side-stream (spent grain)
 from beer production to create novel, highly functional hydrophobins which
 are only produced by filamentous fungi.</t>
  </si>
  <si>
    <t xml:space="preserve">grant.13909455</t>
  </si>
  <si>
    <t xml:space="preserve">Vibeke Orlien</t>
  </si>
  <si>
    <t xml:space="preserve">SBEP - SEAFOODTURE, Integral valorisation of seaweed biomass for the development of sustainable, high nutritional quality food products</t>
  </si>
  <si>
    <t xml:space="preserve">The global food system is currently facing
 great challenges, motivated by climate change, population growth,
 environmental and health-related concerns. Existing food resources are not
 efficiently exploited, and the unhealthy dietary habits of modern societies
 are leading to a dramatic increase in diet-related chronic diseases. The food
 industry is actively looking for new food sources with added health benefits.
 In particular, alternative non-animal-based protein sources are of interest
 to comply with special dietary habits and promote healthier and more
 diversified diets. 
  Seaweeds present great potential as alternative sources of dietary
 proteins, being also rich in polysaccharides with remarkable functional and
 health-related properties. Currently, seaweeds are mostly used in the food
 industry to extract polysaccharides, whilst other seaweed components are less
 exploited. In SEAFOODTURE, we aim to valorize the whole seaweed biomass as a
 source of alternative proteins to produce sustainable, high value and high
 nutritional quality food products, while utilizing the polysaccharide-rich
 residues generated through the process to produce bio-based packaging
 materials. 
  The consortium is composed of research institutions and SMEs from European
 countries covering different sea basins, and the project will explore
 cultivated and wildly harvested seaweeds accessible in these regions. The
 Norwegian partner SINTEF Ocean will lead the work package dedicated to
 developing food prototypes incorporating protein-rich ingredients from
 seaweed. All partners will be involved in evaluation of the environmental,
 nutritional, and socio-economic footprints of the developed processes and
 products. In parallel, all partners will be involved in effective and
 impactful dissemination and communication of project outputs to relevant,
 diverse stakeholders to create scientific, social and commercial value.</t>
  </si>
  <si>
    <t xml:space="preserve">https://prosjektbanken.forskningsradet.no/en/project/FORISS/351740</t>
  </si>
  <si>
    <t xml:space="preserve">grant.14031642</t>
  </si>
  <si>
    <t xml:space="preserve">Guro Møen Tveit</t>
  </si>
  <si>
    <t xml:space="preserve">SINTEF OCEAN AS</t>
  </si>
  <si>
    <t xml:space="preserve">Trondheim</t>
  </si>
  <si>
    <t xml:space="preserve">Develop good and healthy HMMA textured plant proteins for the food industry</t>
  </si>
  <si>
    <t xml:space="preserve">Purpose and goal: 
  Peter o Bolinder AB together with Peas of Heaven AB, Swedish University of
 Agricultural Sciences (SLU) and Örebro University (ORU) will carry out an
 innovation project to develop plant-based foods that have equivalent or
 better nutritional values than animal products. The project has three areas
 of innovation: to identify the most suitable crops, to improve the
 nutritional values, and develop two good and healthy plant-based foods.
  Expected results and effects: 
  The project has three areas of innovation: to identify the most suitable
 crops, to improve the nutritional values and finally to develop two good and
 useful plant-based foods. With the results from the innovation project, we
 will design and build a facility to develop and produce HMMA (High Moisture
 Meat Analogs) textured plant proteins for Swedish and international customers
 for better health, a sustainable climate and contribute to increased speed in
 the food transition. 
  Approach and implementation: 
  The project is divided into the following work packages:
  1 Knowledge gathering
  2 Develop protein blends and HMMA (High Moisture Meat Analogs) textured
 material
  3 Nutrition and bioavailability analyses
  4 Develop foods, plant-based meat and chicken alternatives.</t>
  </si>
  <si>
    <t xml:space="preserve">https://www.vr.se/swecris.html#/project/2022-02589_Vinnova</t>
  </si>
  <si>
    <t xml:space="preserve">grant.13285809</t>
  </si>
  <si>
    <t xml:space="preserve">Peter Bolinder</t>
  </si>
  <si>
    <t xml:space="preserve">Peter O
 Bolinder AB</t>
  </si>
  <si>
    <t xml:space="preserve">VINNOVA</t>
  </si>
  <si>
    <t xml:space="preserve">Machine-learned Design and Bioxolography of Functional 3D Skeletal Muscle Tissues</t>
  </si>
  <si>
    <t xml:space="preserve">Background. Engineered 3D skeletal muscle tissue (SMT) is an important tool to study muscle physiology and disease. SMT engineering has applications in regenerative medicine, in vitro drug screening, bio-hybrid robotics, and cultured meat. However, state-of-the-art engineered muscle tissue does not effectively mimic the cellular heterogeneity, architecture, and performance of biological muscle. To address this, researchers are developing techniques to bioprint, differentiate, and mature functional muscle architectures. Machine Learning (ML) approaches could streamline SMT design by rapidly exploring the ideal conditions for muscle biofabrication, computationally capturing the complex interplay between biofabrication parameters (bioprinting, differentiation, and mechanical and electrical maturation), and the resulting functionality of the contractile SMT.Objectives. This project consists of four key objectives: (1) Adaptation of xolography1 to muscle bioprinting. We will develop the bioxolography technique to fabricate highly aligned and anisotropic cell-laden hydrogels without constraints on the achievable shapes. (2) Biofabrication and differentiation of 3D heterocellular muscle constructs. We will develop a protocol to bioprint, culture, and differentiate arrays of muscle bundles which contain multiple cell types, thereby mimicking the natural muscle. (3) Maturation and characterization of engineered muscle tissues. We will mechanically stimulate our engineered muscle tissues for maturation and characterize their cellular morphology and contractile performance. (4) Development of an ML pipeline to guide the biofabrication and design of muscle actuators. Finally, we will develop an ML pipeline which maps biofabrication and tissue engineering parameters to performance metrics of engineered muscle (structure and function), leveraging a differentiable simulation approach originally developed to model soft material and actuator deformation in soft robotics. We will demonstrate proof-of-concept of this model by designing a centimeter-scale asymmetric, antagonistically actuated skeletal muscle construct.Methods. (1) We will print highly aligned, multinucleated and large (2 to 3-cm-long) bundles of muscle fibers by developing bioxolography: a linear volumetric bioprinting process (LVBP), realized by designing new photoresins and photoinitiators for previously established xolographic printing. (2) Primary murine myoblasts will be co-printed with fibro-adipogenic progenitors (FAPs), and cell culture will be optimized to promote myogenesis, myogenic cell differentiation, and tissue maturation in three dimensional tissue. (3) Muscle tissue will be mechanically stimulated under varying conditions, and characterized for structure and response to electrical stimulation. In a further iteration, we will also characterize muscle tissue co-cultured with optogenetically modified motor neurons to realize a light-controllable innervation system for remote neural actuation of muscle tissue. (4) We will create an in-silico-to-in-vitro platform to optimize muscle design by using ML and our differentiable finite element method (FEM) to map biofabrication parameters to SMT’s contractility. Expected results and impact. This project will accelerate and improve the design and fabrication of functional SMTs by providing an in-silico-to-in-vitro platform for 3D muscle construct design. Our work will provide insights into biofabrication, soft materials, 3D cell culture techniques, hetero-cellular models, bio-hybrid technologies, robotic design, and biophysical cell stimulation. We anticipate multidisciplinary advancements in tissue engineering, muscle physiopathology, 3D bioprinting, the development of new therapeutics, biological machine learning, bio-hybrid robotics, and engineering with living materials.</t>
  </si>
  <si>
    <t xml:space="preserve">https://data.snf.ch/grants/grant/216727</t>
  </si>
  <si>
    <t xml:space="preserve">grant.13504915</t>
  </si>
  <si>
    <t xml:space="preserve">Robert Kevin Katzschmann, Stefan Hecht, Matteo Moretti, Markus Rüegg, Aiste Balciunaite, Alexander Ham, Manuel Mekkattu</t>
  </si>
  <si>
    <t xml:space="preserve">Swiss National Science Foundation (SNSF)</t>
  </si>
  <si>
    <t xml:space="preserve">Sinergia (Funding Instrument); Programmes (Funding Instrument Hierarchy)</t>
  </si>
  <si>
    <t xml:space="preserve">AI-driven design of hierarchical food structures</t>
  </si>
  <si>
    <t xml:space="preserve">High meat consumption is associated with
 problems related to sustainability, zoonotic diseases and animal welfare.
 Meat analogues, with high similarity to texture and taste of meat, can help
 consumers to lower their meat intake. But there is a challenge: replicating
 meat's hierarchical, fibrous structure from plant proteins to achieve a
 satisfying texture. We combine artificial intelligence (AI) with a
 comprehensive structural characterization of meat and meat analogues to solve
 this challenge. Structural properties will be characterized over different
 length scales (macro-nanoscale). Differences and similarities in structure
 between meat and meat analogues will then be identified. This helps us to
 understand how the products are built up and which structural properties are
 crucial for making meat analogues similar to meat. AI will then be used to
 predict which ingredients and processing conditions will lead to meat
 analogues with desired structural properties, like beef’s texture.
  </t>
  </si>
  <si>
    <t xml:space="preserve">grant.13910538</t>
  </si>
  <si>
    <t xml:space="preserve">Miek Schlangen</t>
  </si>
  <si>
    <t xml:space="preserve">University of Southern Denmark, Odense</t>
  </si>
  <si>
    <t xml:space="preserve">Odense</t>
  </si>
  <si>
    <t xml:space="preserve">30/4/2027</t>
  </si>
  <si>
    <t xml:space="preserve">Innovative patented dry fermentation technology for cost-effective and highly nutritious production of hybrid mycelium-plant meat analogues</t>
  </si>
  <si>
    <t xml:space="preserve">In a public enquiry made by the European
 Commission, 80% of respondents were willing to reduce their meat intake to
 help reduce the emission of greenhouse gases (GHG), and 74% intended to
 change their diet to improve their health. However, current meat analogues in
 the market are not a healthy alternative, since they are ultra-processed,
 full of binders and additives, and among their ingredients, we can find high
 amounts of sugars and sodium, maltodextrins or soy isolate, that are not
 indicated for a healthy diet. In addition, these products are nor ecological,
 since they are highly resource-demanding, mainly in terms of water
 consumption, wastewater generation and energy use, and also cause important
 GHG emissions. On top of that, the existing meat analogues are rejected by
 consumers due to their off-taste &amp; bad texture that does not resemble to
 meat.
  In response to this situation, Millow has developed to TRL6 a novel solid
 state dry fermentation production technology for mycelium-plant meat
 analogues. This highly scalable and cost-effective innovative process
 accelerates mycelium growth from most typical 3-7 days periods to &lt;24h,
 reducing required water input by 97%, energy use requirements by 67%, and CO2
 footprint by 95% compared to benchmark methods based on liquid fermentation.
 The resulting products have neutral taste, pleasant texture that mimics meat
 attributes without the use of artificial binders, is minimally processed,
 healthy, nutritional and eco-friendly.
  In the MEATLOW project, we aim to optimise and automate its innovative
 technology to reach TRL8 and commercial status, and introduce our disruptive
 plant-fungi products in the EU meat substitute market by 2026. To do that,
 our highly skilled team of scientific, management and marketing professionals
 is determined to lead this project to success.</t>
  </si>
  <si>
    <t xml:space="preserve">https://cordis.europa.eu/project/id/101165614</t>
  </si>
  <si>
    <t xml:space="preserve">grant.14044065</t>
  </si>
  <si>
    <t xml:space="preserve">MILLOW AB</t>
  </si>
  <si>
    <t xml:space="preserve">Mushlabs is a biotech company that produces
 meat replacement from mushroom roots called mycelium. We have developed our
 proprietary fermentation technology to create mushroom biomass: a meat
 replacement ingredient revolutionizing plant-based alternative proteins. Our
 mission is to change the way people eat by producing tastier, healthier and
 more sustainable foods. We take pieces of (mycelium) and cultivate them in a
 controlled and optimal environment. These serve as the “seed” for the
 mushroom biomass we harvest. We feed the mycelium with side streams of
 agro-and food industries. In large bioreactors, the mushroom mycelial cells
 ferment the side streams and multiply. This biological process accumulates
 biomass rich in protein, dietary fiber and micronutrients with a savoury
 flavour, which serves as the main raw ingredient for all of our products.
 With very few ingredients and little food processing we create delicious,
 healthy and sustainable everyday foods that replaces meat.</t>
  </si>
  <si>
    <t xml:space="preserve">https://cordis.europa.eu/project/id/190118690</t>
  </si>
  <si>
    <t xml:space="preserve">grant.13029693</t>
  </si>
  <si>
    <t xml:space="preserve">INDUSTRIAL LEADERSHIP - Innovation In SMEs</t>
  </si>
  <si>
    <t xml:space="preserve">Nanocapsules and recombinant proteins for nutritious vegan cheese making</t>
  </si>
  <si>
    <t xml:space="preserve">With increasing world population and limited
 resources, it becomes more and more evident that plant-based foods must
 provide optimal nutritional value besides being produced with high yield and
 low cost. Several meat alternatives are available in the market and some
 efforts are now made for dairy products. Even though there are plant based
 milk substitutes based on oats, almonds and soja, these milk substitutes
 cannot be used to produce cheese. The reason is that specific proteins only
 present in milk are needed to form cheese. There are currently several
 initiatives to produce these milk proteins via fermentation of bugs rather
 than by using animal milk. However, making cheese requires not only having
 milk proteins but also formulating optimal milks. By combining molecular
 biology and colloidal science, this application will pave the way for an
 optimised plant based milk for making vegan cheese of high nutritional
 value with similar mouth feeling to animal based cheese.</t>
  </si>
  <si>
    <t xml:space="preserve">grant.13911079</t>
  </si>
  <si>
    <t xml:space="preserve">Marité Cárdenas</t>
  </si>
  <si>
    <t xml:space="preserve">Malmö University</t>
  </si>
  <si>
    <t xml:space="preserve">Malmo</t>
  </si>
  <si>
    <t xml:space="preserve">Upcycling of Rapeseed cake climate smart protein and raw materials for new bio-based products (Rapssåddi)</t>
  </si>
  <si>
    <t xml:space="preserve">Purpose and goal: 
The aim was to develop process strategies to upcycle protein from rapeseed press cake to novel plant-based foods. We now know how extraction parameters affect the isolation process in both laboratory- and pilot-scale. We can prepossess how the proteins are distributed in the different fractions and thereby make use of the different protein fractions. Some proteins are better for emulsion applications whereas other are better suited for meat analogs. A meat analog prototype based on rapeseed protein has been formulated within the project. 
Expected results and effects: 
The project has generated several research grants both from Stiftelsen Lantbruksforskning, where the aim is to reduce the dark colour and the bitter taste, and from Vinnova where the aim is to use the fibre-rest from the isolation process in cardboard production. A postdoctoral position and a PhD student position with focus on rapeseed has been established. A patent process will be initiated during 2021. 
Approach and implementation: 
The structure has been followed, sometimes in another order. The largest deviation from the plan was that pasteurization with heat did not work, and high-pressure pasteurization was evaluated instead. We have had close communication with the industrial partner, both through meetings and an annual letter where the projects’ progression was reported. We have presented the project to personnel at the partner companies and participated in the annual BioInnovation meetings including study visits and inspiring meetings with other project constellations.</t>
  </si>
  <si>
    <t xml:space="preserve">https://www.vr.se/swecris.html#/project/2017-02715_Vinnova</t>
  </si>
  <si>
    <t xml:space="preserve">grant.7098250</t>
  </si>
  <si>
    <t xml:space="preserve">Ingegerd Sjöholm</t>
  </si>
  <si>
    <t xml:space="preserve">16/11/2020</t>
  </si>
  <si>
    <t xml:space="preserve">Scientific Exchange to assess QUality and Risks of FOODs obtained by novel processing and Packaging Technologies</t>
  </si>
  <si>
    <t xml:space="preserve">The goal of SEQUR FOOD is to build an international scientific network including researchers from EU and South America that will work on the development of novel food processing technologies, (i.e. UV treatment, cold plasma processing, nanoemulsification, freeze concentration and drying) and/or active bioactive packaging (i.e. bacterial cellulose, antibacterial paper, etc.) to obtain safe products for the EU market with higher shelf-life and high nutritional and functional properties. This includes optimization of the novel food processing technologies, nutritional and risk assessment of these technologies and obtained products as novel foods within EFSA’s framework, and documenting their health claims, if relevant. To achieve this objective, a consortium of 5 universities from EU (Greece, Poland, Romania, and Spain) with expertise in all the aspects of EU risk assessment, 1 plant-based products processing company based in Poland together with 1 university and 1 research institute from South America (Colombia) with extended expertise in novel food processing techniques will work on a variety of case studies spread across several novel food processing technologies and products relevant for Colombia: fruit (passionfruit, uchuva (Physalis peruviana L.), blueberries); cold brewed coffee; oat milk (including oat grains and nuts needed for its production); and high oleic palm oil as compared to olive oil. These case studies will be a proof of concept for the holistic assessment of each technology-foodstuff pair and will constitute the basis for further research, but also for food processors, the principal stakeholders of the project. The activities proposed in SEQUR FOOD are innovative in many aspects. The most important innovation is the holistic approach of new food product development in terms of the complete physico-chemical, microbiological, nutritional and functional properties, but also sensory evaluation and multicultural consumer acceptance.</t>
  </si>
  <si>
    <t xml:space="preserve">https://cordis.europa.eu/project/id/101182843</t>
  </si>
  <si>
    <t xml:space="preserve">grant.14473519</t>
  </si>
  <si>
    <t xml:space="preserve">UNIVERSITATEA DE STIINTE AGRICOLE SI</t>
  </si>
  <si>
    <t xml:space="preserve">Romania</t>
  </si>
  <si>
    <t xml:space="preserve">Research and development, Networking</t>
  </si>
  <si>
    <t xml:space="preserve">The seedcake of oilseed rape as novel healthy, protein-rich food source</t>
  </si>
  <si>
    <t xml:space="preserve">A recent report from the UN International
 Panel on Climate Change (IPCC) dictates an urgent need to change towards
 plant-based rather than meat-based protein sources in human diet. Rapeseed
 (Brassica napus) is the world’s third largest oilseed crop, and the seedcake
 that remains after extraction of the oil contains 30-40% protein with an
 excellent amino acid composition. However, it is largely unexploited as human
 food due to its content of pungent, anti-nutritional compounds. As an
 innovative idea, we will use GMO-free advanced breeding technology to develop
 a rapeseed that, instead of the anti-nutritional compounds, will contain
 non-pungent, health-promoting compounds. Unleashing the potential of rapeseed
 seedcake as a healthy, plant-based protein source for human consumption will
 contribute to the green transition by providing a more sustainable food
 production. This innovation has the potential to be a game changer for one of
 the world’s leading oil crops.
  </t>
  </si>
  <si>
    <t xml:space="preserve">grant.13909343</t>
  </si>
  <si>
    <t xml:space="preserve">Barbara Ann Halkier</t>
  </si>
  <si>
    <t xml:space="preserve">31/8/2024</t>
  </si>
  <si>
    <t xml:space="preserve">Sustainable European Vegetarian protein production via fermentation of wastes stream</t>
  </si>
  <si>
    <t xml:space="preserve">Nordic Green Food (NGF) is the only tofu
 producer in Sweden since 1997 in Vallentuna. Its Yipin tofu is made from
 french soybeans from 300 organic farms. It has become a vegan favorite
 throughout Sweden today, e.g. sold via ICA, Hemköp, COOP, Willy´s and many
 Asian shops. This leads to rapid expansion, from 2017 to 2018 increased by
 almost 30% to ca. 690 tons. However, the residue okara, corresponds to over
 20% of the used soybeans in dry weight, which is underutilized in Sweden.
 Therefore, the tofu production process is not sustainable as it would be.
 Okara contains valuable components such as fat, protein, dietary fiber and
 micronutrients, but also contains nutritional inhibitors. In order to use
 these waste products as food ingredients, special processes and techniques
 must be developed. Fermentation of okara can increase the availability of
 nutrients and elevate the taste while breaking down the nutrient inhibitors.
 New foods can, therefore, be formulated. This project can result in a
 dramatic reduction in waste to almost zero. Expanding of small food companies
 needs knowledge, close collaboration between researchers and companies can
 promote business development. To the best of our knowledge, there are no
 efficient waste conversion processes implemented in the tofu production
 process in the world. This project could create the possibility for Swedish
 enterprises to expand its international markets.</t>
  </si>
  <si>
    <t xml:space="preserve">https://www.vr.se/swecris.html#/project/2019-02025_Formas</t>
  </si>
  <si>
    <t xml:space="preserve">grant.8834734</t>
  </si>
  <si>
    <t xml:space="preserve">Xinmei Feng</t>
  </si>
  <si>
    <t xml:space="preserve">A novel ultrafiltration process to extract valuable proteins from potato peelings and waste</t>
  </si>
  <si>
    <t xml:space="preserve">This project aims to develop a new process to
 extract valuable complete undenatured proteins from potato waste (whole
 stockfeed grade potatoes and peel), for use as high quality food grade
 vegan/vegetarian protein supplements, sport protein sources and as functional
 food processing ingredients. B-Hive Innovations Ltd are set to be first to
 market with this UK-sourced process and material. Our novel extraction
 process promises a step change in simplicity and cost effectiveness for
 handling complex waste compared to industrial chromatography, the only
 currently available technique. The project will build upon our existing
 proof-of-concept work and will solve the challenges we have identified in our
 initial scale-up investigations - dealing with variability of the complex
 input materials, eliminating the flow and membrane fouling problems, and
 optimising the balance between the two innovative modes at the extraction
 stage. The consortium members, who carried out parts ot the initial work,
 have come together to provide an integrated end-to-end group, with partners
 who own the waste problem, can scientifically progress the scale-up work, can
 build and operate at pilot scale, and who can take the final products and use
 them in New Product Developments.</t>
  </si>
  <si>
    <t xml:space="preserve">https://gtr.ukri.org/projects?ref=103919</t>
  </si>
  <si>
    <t xml:space="preserve">grant.7157562</t>
  </si>
  <si>
    <t xml:space="preserve">B-Hive</t>
  </si>
  <si>
    <t xml:space="preserve">Lincoln; York; Swindon</t>
  </si>
  <si>
    <t xml:space="preserve">30/11/2019</t>
  </si>
  <si>
    <t xml:space="preserve">International Cellular Agriculture Network (ICAN)</t>
  </si>
  <si>
    <t xml:space="preserve">Original award amount is DKK 891,230.</t>
  </si>
  <si>
    <t xml:space="preserve">Amy made this connection with the Innovation Centre Denmark located in Boston. She provided a letter of commitment.</t>
  </si>
  <si>
    <t xml:space="preserve">Food and Bio Cluster Denmark</t>
  </si>
  <si>
    <t xml:space="preserve">Danish Agency for Higher Education and Science</t>
  </si>
  <si>
    <t xml:space="preserve">https://docs.google.com/document/d/12Hw1wlumvULUfj2jdoEKGMXu-89LUtv3/edit?usp=sharing&amp;ouid=112921949693677010543&amp;rtpof=true&amp;sd=true</t>
  </si>
  <si>
    <t xml:space="preserve">Novel food compliant single-cell protein</t>
  </si>
  <si>
    <t xml:space="preserve">Used 2024 exchange rate</t>
  </si>
  <si>
    <t xml:space="preserve">Solar Foods Oy</t>
  </si>
  <si>
    <t xml:space="preserve">PeaProtein</t>
  </si>
  <si>
    <t xml:space="preserve">The biggest consumer trend in the UK food
 sector is in plant-based food, with sales of meat alternatives expected to be
 £1.1 billion by 2024, with a 30% year to year growth, and £565 million for
 dairy alternatives (48% and 38% growth year on year for milk and cheese
 alternatives, respectively). Currently the largest source of plant-based
 protein is soy derived, with around 70% of UK soy imports (c.2.7million t
 soybean equivalents in 2021) coming from South America with associated
 problems of environmental sustainability. The production of soy in England is
 not practicable due to a lack of suitable varieties and sub-optimal growing
 conditions to reliably produce harvestable crops of even the earliest
 maturing varieties.
  **PeaProtein addresses the urgent need** to replace soy imported protein
 with English grown protein crops that can meet the market demand for quality
 and sustainability. However, problems of cultivation and of nutritional value
 limit their uses as a protein crop and their value to end-users which limits
 market opportunities and consequently their attractiveness to farmers. While
 pulses such as pea are more suited to English agriculture and provide an
 attractive alternative to soy protein, a major limiting factor to widespread
 use in processed meat and dairy alternatives is their flavour profile and the
 presence of anti-nutritional and allergenic proteins. Volatile organic
 compounds associated with the aroma and flavour of the pulse in its
 unprocessed state are detected as off-flavours in processed food. Overcoming
 the barriers of agronomic performance and residual flavours will enable the
 wider use of pea protein in plant-based foods is the primary objective of
 this project.
  **PeaProtein** will exploit innovative and game changing research in pea
 genetics as the basis for a new pea breeding programme that will breed novel
 pea varieties without the problems of grain composition, creating a new
 resource efficient and low emission source of proteins for the UK market.
 Robust testing of potential varieties for grain composition and agronomic
 performance will ensure that only varieties which have the attributes for the
 UK protein industry and end-users and meet the needs of English farmers will
 be entered into official trials. Extensive dissemination and KE of the
 potential of these new varieties to farmers and industry end-users will
 demonstrate the opportunities and how this novel approach matches industry
 priorities.</t>
  </si>
  <si>
    <t xml:space="preserve">https://gtr.ukri.org/projects?ref=10046667</t>
  </si>
  <si>
    <t xml:space="preserve">grant.14053851</t>
  </si>
  <si>
    <t xml:space="preserve">Paul Billings</t>
  </si>
  <si>
    <t xml:space="preserve">OPENFOLDE LIMITED; PROCESSORS &amp; GROWERS
 RESEARCH ORGANISATION; INNOVATE UK; JOHN INNES CENTRE; ABERYSTWYTH UNIVERSITY</t>
  </si>
  <si>
    <t xml:space="preserve">Peterborough; Swindon; Norwich; Aberystwyth</t>
  </si>
  <si>
    <t xml:space="preserve">Industrial Strategy Challenge Fund</t>
  </si>
  <si>
    <t xml:space="preserve">30/3/2028</t>
  </si>
  <si>
    <t xml:space="preserve">VIP Leaf (Vertical Indoor Protein from Leaf)</t>
  </si>
  <si>
    <t xml:space="preserve">Current consumption of meat is unsustainable
 for the planet and public health. Alternative protein sources are essential
 and **demand for plant-based protein is increasing**. Plant proteins used in
 UK food are mainly from imported soy and pea. The market is shifting away
 from soy due to deforestation and allergy concerns, and UK pea protein
 production remains low (4% arable land) due to perceptions of high-risk,
 low-yield and unprofitability. **CEA offers an alternative production space**
 and the advantage of enabling **new crops** to be grown in the UK that are
 incompatible with our climate, allowing a better diversification of our
 food-protein-sources.
  CEA systems are not yet commercially used in the production of
 plant-derived proteins, yet offer huge potential to **localise protein
 production** to food manufacturing sites, **reduce reliance on imports** and
 enable low water-use/agrochemical-free production. The economics of plant
 protein production and the uptake in the UK are significantly better than
 insect protein (nearest competitor) due to no feed-to-food conversion loss. A
 number of leafy crops including spinach, sunflower shoots and amaranth leaf
 **contain \&gt;20% protein**. Amaranth has high lysine content (high-value
 amino acid to the vegan protein market), as well as health-promoting
 vitamins, minerals and antioxidants. CEA offers economically viable
 production with short time to harvest, reduced resource use and reduced land
 footprint.
  Our project will access leaf-derived protein for the burgeoning alternative
 protein market. We will test new sources of leaf protein, as well as further
 develop varieties, production and downstream processing methods for amaranth
 to open up vertical farming to the alternative protein sector and enable
 localizing of protein production to sites of food manufacture. This work will
 help meet UK challenges of i) **Net Zero Carbon** by 2050 (landuse change -
 plant protein production requires far less land/kg than meat protein; CEA has
 high yield/m2 and doesn't require agricultural-quality land), ii) **tackling
 growing obesity** with associated NHS costs (consumption of plant protein is
 linked to improved health), and iii) **Green Recovery** (CEA enables reduced
 food-miles, low waste/environmental pollution).</t>
  </si>
  <si>
    <t xml:space="preserve">https://gtr.ukri.org/projects?ref=10050842</t>
  </si>
  <si>
    <t xml:space="preserve">grant.14050344</t>
  </si>
  <si>
    <t xml:space="preserve">Corrie-Anne Halliwell</t>
  </si>
  <si>
    <t xml:space="preserve">VERTICAL FUTURE LIMITED; INNOVATE UK; CROP
 HEALTH AND PROTECTION LIMITED; UNIVERSITY OF YORK</t>
  </si>
  <si>
    <t xml:space="preserve">Swindon; York; York</t>
  </si>
  <si>
    <t xml:space="preserve">GREEN PROTEIN DERIVED TEXTURIZED FOOD: UPGRADING THE PRODUCT ACCEPTANCE THROUGH INNOVATIVE EXTRUDER DESIGN AND FLAVOUR TECHNOLOGIES (GREENXPROT)</t>
  </si>
  <si>
    <t xml:space="preserve">Delivering appealing food proteins to
 consumers with a reduced environmental footprint is still challenging. This
 project aims to innovate manufacturing of meat substitutes via the
 construction of a new texturing machine and tailoring raw materials including
 flavor delivery systems for this process.</t>
  </si>
  <si>
    <t xml:space="preserve">https://www.aramis.admin.ch/Grunddaten/?ProjectID=44477&amp;Sprache=en-US</t>
  </si>
  <si>
    <t xml:space="preserve">grant.9372200</t>
  </si>
  <si>
    <t xml:space="preserve">Igor Bodnàr</t>
  </si>
  <si>
    <t xml:space="preserve">Firmenich SA</t>
  </si>
  <si>
    <t xml:space="preserve">Geneva</t>
  </si>
  <si>
    <t xml:space="preserve">Vegan skyr from Scandinavian ingredients everyone can eat</t>
  </si>
  <si>
    <t xml:space="preserve">Purpose and goal: 
  Every year 160 000 tons of rapeseed press cake is generated in Sweden from
 the production of rapeseed oil, a waste product that contains high-quality
 proteins. Despite this, press cake has at best gone to animal feed. We have
 shown that it is possible to extract protein from the press cake in relevant
 industrial and sanitary conditions resulting in a creamy product with 13%
 protein. The product can be flavored in different ways or used as an
 ingredient in new climate-friendly foods. 
  Expected results and effects: 
  We have shown that it is possible to scale up the extraction process to
 pilot scale (200 kg / run). We have created links in the value chain from
 primary producer through University researchers to contract manufacturers.
 All participants see the value of the accrued collaborations that will
 continue after the end of the project. 
  Approach and implementation: 
  The project was organized in several work packages with continuous
 communication and feedback: 
  Optimization of the process in the lab: To increase yield and minimize
 off-flavors. 
  Microbial control and fermentation: Food Hygiene. 
  Scale: from lab (100 g) to pilot scale (200 kg) 
  Product: sensory analysis of both the protein extract, and product flavors
  The product was presented in a taste-testing contest where the idea to take
 advantage of an agricultural bi-product was met with great interest.</t>
  </si>
  <si>
    <t xml:space="preserve">https://www.vr.se/swecris.html#/project/2016-02364_Vinnova</t>
  </si>
  <si>
    <t xml:space="preserve">grant.7115903</t>
  </si>
  <si>
    <t xml:space="preserve">Marilyn Rayner</t>
  </si>
  <si>
    <t xml:space="preserve">Skyr</t>
  </si>
  <si>
    <t xml:space="preserve">18/11/2016</t>
  </si>
  <si>
    <t xml:space="preserve">Animal-Identical, Plant-Grown: Molecular Farming for healthy and natural alternative meat ingredients</t>
  </si>
  <si>
    <t xml:space="preserve">This project is for the delivery of
 sustainably produced ingredients for healthier alternative proteins, We grow
 our animal-identical proteins inside the biomass of crop plants in a
 molecular farming approach. Project outcomes are prototypes of animal-identical
 protein to enhance the taste and quality of existing meat alternative
 offerings, In so doing, we enable wider adoption of products that directly
 contribute to bettering of our climate emergency and greater health of
 existing plant-based alternative meat offerings.</t>
  </si>
  <si>
    <t xml:space="preserve">https://gtr.ukri.org/projects?ref=10087096</t>
  </si>
  <si>
    <t xml:space="preserve">grant.14048419</t>
  </si>
  <si>
    <t xml:space="preserve">Suzanne Robinson</t>
  </si>
  <si>
    <t xml:space="preserve">INNOVATE UK</t>
  </si>
  <si>
    <t xml:space="preserve">Swindon</t>
  </si>
  <si>
    <t xml:space="preserve">30/3/2026</t>
  </si>
  <si>
    <t xml:space="preserve">Fermentation optimisation for a palm oil alternative</t>
  </si>
  <si>
    <t xml:space="preserve">Palm oil is everywhere. It is in food, cosmetics and biofuels. It is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over 1% global emissions, from 19 million hectares of tropical land. It has caused significant habitat loss, including for the Orangutan and Sun Bear, and all too often smallholder farmers do not receive a fair price for their produce.
The UK Government has committed to reaching Net Zero by 2050; 20% of UK emissions stem from agriculture and the food supply chain. These emissions must be tackled if we are to reach net zero.
Sun Bear Bioworks is a UK-based company using synthetic biology and precision fermentation to make an alternative to palm oil. We are optimising a naturally oil-producing yeast strain to produce our oil from food waste quickly and efficiently. Our process saves 4kg CO2 and 2000m2 of land for every kg of palm oil - a saving in both cases of 80%. We are working with the LeoRiosLab at University College London and the RLALab at Imperial College London on this project to radically optimise our strains and fermentation process to produce fats quickly and efficiently. Feedstock costs are prohibitively expensive for scaling fermentation processes in fats - maximising lipid productivity is vital if we are to have the greatest environmental impact. This project will enable a sustainable palm oil alternative to be produced domestically at scale in the UK, creating jobs in biotechnology and food production and reversing a substantial trade deficit.
This builds on the work we carried out as part of our Fast Start award, project 10045430 "Alternative feedstock for precision fermentation of oil", which has allowed us to develop our yeast modification capabilities and work with non-sugar feedstocks.</t>
  </si>
  <si>
    <t xml:space="preserve">https://gtr.ukri.org/projects?ref=10077804</t>
  </si>
  <si>
    <t xml:space="preserve">grant.13879477</t>
  </si>
  <si>
    <t xml:space="preserve">SUN BEAR BIOWORKS LTD; UNIVERSITY COLLEGE LONDON</t>
  </si>
  <si>
    <t xml:space="preserve">30/7/2025</t>
  </si>
  <si>
    <t xml:space="preserve">Novel edible cellulose microcarriers for the cultured meat industry</t>
  </si>
  <si>
    <t xml:space="preserve">Seventy years ago, Churchill famously said: 'We shall escape the absurdity of growing a whole chicken in order to eat the breast or wing, by growing these parts separately under a suitable medium.' Cultured meat is a healthier (less antibiotics), more ethical (better animal welfare), more efficient (better use of land) and sustainable way to produce meat and meet the protein demand of a growing population. The market for cultured meat is estimated to reach £30B in 2030 (McKinsey).
To scale the production process there is a need for enabling technologies, like edible microcarriers that allow anchorage, proliferation and differentiation of stem cells, and then harvesting of the final product. Naturbeads cellulose beads production process (currently scaling from pilot to demo plant) allows customizing the properties of the cellulose beads to promote cells attachment, growth, and differentiation. We have already developed a prototype that shows performance in cell culture plates (2D) superior to commercially available scaffolding that are currently only used in R&amp;D due to their prohibitive costs. With this project we aim to move from proof of concept to a commercial prototype that we can sell by the end of the project for industrial R&amp;D to lock in customers for scaled up production. Naturbeads will work together with Cellular Agriculture to test the performance of the cellulose microcarriers in bioreactors (3D) to optimize the parameters for cell proliferation, differentiation in stirred tanks, and cell detachment.
Naturbeads carriers are made of cellulose a natural, edible, and biocompatible biopolymer, that can be sourced sustainably from forestry groups part of PEFC (Programme for the endorsement of Forest Certification). It is also inexpensive, offering a low-cost scaffolding structure with the potential to lower production costs of culture meat, allowing it to reach price parity with conventional meat within the next five years.</t>
  </si>
  <si>
    <t xml:space="preserve">https://gtr.ukri.org/projects?ref=10048301</t>
  </si>
  <si>
    <t xml:space="preserve">grant.13886786</t>
  </si>
  <si>
    <t xml:space="preserve">Giovanna Laudisio</t>
  </si>
  <si>
    <t xml:space="preserve">NATURBEADS LTD; OBSERVE TECHNOLOGIES LIMITED</t>
  </si>
  <si>
    <t xml:space="preserve">Collaborative R&amp;D (Project Category)</t>
  </si>
  <si>
    <t xml:space="preserve">Next Generation Plant-Based Meats: Optimising Nutritional Value and Sustainability through Ingredient Selection and Processing</t>
  </si>
  <si>
    <t xml:space="preserve">THIS has a range of plant-based products
 already on the market which have a realistic taste and texture compared to
 meat from animals. Whilst THIS has data to show that CO2 emissions from its
 range are significantly less than meat, and the protein content is similar to
 meat, there is still research to be done around the nutritional comparison to
 meat in terms of protein digestibility and bioavailability of other
 nutritional components. The project will aim to address those gaps by a
 combination of ingredient selection and processing. Developments will be
 assessed against the baseline nutritional parameters and also in terms of
 sustainability measures, taste, and cost in order to ensure that the increase
 in nutritional profile is not at the expense of sustainability, product
 quality or greater cost, limiting its accessibility to consumers.</t>
  </si>
  <si>
    <t xml:space="preserve">https://gtr.ukri.org/projects?ref=10072164</t>
  </si>
  <si>
    <t xml:space="preserve">grant.14052126</t>
  </si>
  <si>
    <t xml:space="preserve">Valentina Stojceska</t>
  </si>
  <si>
    <t xml:space="preserve">BRUNEL UNIVERSITY LONDON; INNOVATE UK;
 OBSERVE TECHNOLOGIES LIMITED</t>
  </si>
  <si>
    <t xml:space="preserve">London; Swindon</t>
  </si>
  <si>
    <t xml:space="preserve">30/8/2025</t>
  </si>
  <si>
    <t xml:space="preserve">SusProFood: Optimising development of SUStainable functional fibre-rich FOODs fortified with plant PROteins.</t>
  </si>
  <si>
    <t xml:space="preserve">The global market for plant-based foods with
 considerably low greenhouse gas emissions is expected to increase
 considerably to £13 billion by 2027\. This is largely fuelled by the growing
 public awareness for environmental sustainability and the contribution of
 food production to the climate crisis, food related health concerns
 associated with red meat consumption, animal welfare considerations and rise
 in veganism, flexitarian diets and an increasingly "health aware"
 consumer. There is thus an immense interest within food industries to
 incorporate sustainable plant proteins into their fibre-rich convenience
 foods such as smoothies, breakfast pots, soups, gravies in order to improve
 the wellness of these regularly consumed accessible products. This includes
 providing them with "fuller for longer" benefits and health
 functionality, especially in terms of gut health and cardio-metabolic health,
 as well as fulfilling the ambitions to reach Net Zero targets by 2050\.
 However, addition of plant proteins comes with severe technological
 challenges of unacceptable "dry", "non-juicy" mouthfeel
 that are failing to meet consumer expectations and remain a major obstacle
 for adoption of plant-based foods. In addition, the added plant proteins may
 interact and bind with fibres, which might reduce the inherent beneficial gut
 function effects of the fibre.
  This feasibility project SusProFood combining complementary strengths of
 academia and industry aims to optimise and validate a ground breaking
 technology involving process-induced physical modification of plant proteins
 without using any chemical additive, conferring outstanding lubricity and
 hydration properties to plant proteins. Due to such physical modification,
 this limits plant proteins binding to fibres thus synergistically allowing
 the colonic fermentation of dietary fibres by gut bacteria effectively,
 supporting the inherent metabolic benefits of consuming high fibre-rich foods
 and providing the necessary health benefits. Together with industrial
 partners (SPG Innovation, SME and Innocent Drinks, large company), will
 optimize and validate the modification of currently used in-process variables
 without adding any new energy-intensive resources. The performance of the new
 eco-friendly formulation and processing of plant protein-rich fibrous foods
 developed in developmental kitchens to large pilot scale across multiple food
 formats will be tested using uniquely designed instrumental toolkits, human sensory
 trials and consumer studies to quantify improved mouthfeel and nutritional
 benefits. Our project will generate new formulation and processing routes to
 revolutionize the creation of next generation of pleasurable, plant
 protein-fortified fibre rich foods that are vital for a healthy population
 and contribute to a sustainable one health planet to achieve the ambition of
 Net Zero.</t>
  </si>
  <si>
    <t xml:space="preserve">https://gtr.ukri.org/projects?ref=10073775</t>
  </si>
  <si>
    <t xml:space="preserve">grant.14054126</t>
  </si>
  <si>
    <t xml:space="preserve">UNIVERSITY OF LEEDS; OBSERVE TECHNOLOGIES
 LIMITED; INNOVATE UK; SPG INNOVATION LIMITED</t>
  </si>
  <si>
    <t xml:space="preserve">Leeds; Swindon</t>
  </si>
  <si>
    <t xml:space="preserve">ReFoCus - Innovative application of bio-processing for nutritionally enhanced and minimally processed animal-free food products</t>
  </si>
  <si>
    <t xml:space="preserve">We target to develop centre-of-the plate food
 products through an innovative application of texture- and nutrient-optimized
 bio-processing, assisted by data-driven process optimization. From
 sustainability perspective, the product aims for minimal processing and
 up-cycling of agro-food side streams.</t>
  </si>
  <si>
    <t xml:space="preserve">https://www.aramis.admin.ch/Grunddaten/?ProjectID=51743&amp;Sprache=en-US</t>
  </si>
  <si>
    <t xml:space="preserve">grant.13243561</t>
  </si>
  <si>
    <t xml:space="preserve">SL: found PI info on the internet</t>
  </si>
  <si>
    <t xml:space="preserve">ZHAW School of Life Sciences and Facility Management</t>
  </si>
  <si>
    <t xml:space="preserve">Extraction and product development of pea protein</t>
  </si>
  <si>
    <t xml:space="preserve">Purpose and goal: 
  The aim of the project was to try to produce a pea raw material with good
 functional properties, nutrient profile and taste through pilot and lab
 experiments in order to be able to replace pea isolate used in production
 today. 
   The goal of the project was to carry
 out pea protein extraction on a pilot scale with an external partner. The
 protein extracted would then be evaluated in the Peas of heavens test kitchen
 by making emulsion sausages. The process would then be used as a basis for
 calculations on a future investment. 
  Expected results and effects: 
  The results of the project showed that more development is needed to
 produce a protein that could replace Peas of heavens current protein. The
 results showed that it is difficult to produce a protein with a high protein
 content and good taste, which in turn did not give us the right outcome on
 the product either. The most noticeable differences were precisely the taste
 and texture. The results for any investments showed that an optimized process
 is required where we need to get more protein per kilo of raw material and
 that long series need to be run in the factory. 
  Approach and implementation: 
  Peas of heaven has together with an external consulting partner carried out
 pilot experiments with protein extraction on Swedish peas. The extracted
 product was sent to Peas of heavens test kitchen where emulsion tests were
 performed with Peas of heavens current protein as reference. In the test
 kitchen, vegan sausages were made where the texture, taste and appearance of
 the products were evaluated. Based on results in the process on the protein,
 the possibility of investment was calculated.</t>
  </si>
  <si>
    <t xml:space="preserve">https://www.vr.se/swecris.html#/project/2021-03603_Vinnova</t>
  </si>
  <si>
    <t xml:space="preserve">grant.9970267</t>
  </si>
  <si>
    <t xml:space="preserve">Julia Granung</t>
  </si>
  <si>
    <t xml:space="preserve">Peas of Heaven
 AB</t>
  </si>
  <si>
    <t xml:space="preserve">30/4/2022</t>
  </si>
  <si>
    <t xml:space="preserve">The development of new technologies to support mass production of porcine skeletal muscle tissue</t>
  </si>
  <si>
    <t xml:space="preserve">Unfunded</t>
  </si>
  <si>
    <t xml:space="preserve">https://apply-for-innovation-funding.service.gov.uk/competition/96/overview</t>
  </si>
  <si>
    <t xml:space="preserve">Benjamina Bollag</t>
  </si>
  <si>
    <t xml:space="preserve">Higher Steaks</t>
  </si>
  <si>
    <t xml:space="preserve">David Hay</t>
  </si>
  <si>
    <t xml:space="preserve">https://drive.google.com/file/d/1ScnuxnJWWCv56GU678LzHMpJFkn_xzQY/view?usp=share_link</t>
  </si>
  <si>
    <t xml:space="preserve">Seafood analogues without a catch</t>
  </si>
  <si>
    <t xml:space="preserve">Incumbent capture and culture fishery
 practices largely contradict environmental protection strategies and fail to
 satisfy the current demand for seafood in an ecologically sustainable way.
 Paired with a global rise in demand for seafood and a market white space in
 Switzerland, this presents an enormous incentive to produce sustainable
 seafood analogues without a catch. The project utilizes a novel texturization
 platform to develop, scale, and implement authentic seafood analogues that
 match taste, texture, appearance, and nutritional quality of actual seafood.
 State-of-the-art plant-based seafood provide neither the structural hierarchy
 nor the nutritional profile consumers strive for. They rely on pure
 hydrocolloid-driven cold gelatinization or high moisture extrusion cooking
 techniques. None of these approaches permit to combine the nutritional
 profile, succulent texture, and geometric freedom required for creating
 authentic seafood analogues. The conceived innovative texturization platform
 overcomes these shortcomings to create authentic seafood alternatives.</t>
  </si>
  <si>
    <t xml:space="preserve">https://data.snf.ch/grants/grant/214584</t>
  </si>
  <si>
    <t xml:space="preserve">grant.13043350</t>
  </si>
  <si>
    <t xml:space="preserve">Severin Eder, Lukas Boecker, Severin Eder</t>
  </si>
  <si>
    <t xml:space="preserve">Nachhaltige Lebensmittelverarbeitung  ETH Zürich, Switzerland</t>
  </si>
  <si>
    <t xml:space="preserve">Zurich</t>
  </si>
  <si>
    <t xml:space="preserve">GREEN PROCESSING AND VALORIZATION OF ORGANIC BY-PRODUCTS OF DISTILLERIES, AS NOVEL APPROACHES FOR CLIMATE-SMART PROTEIN APPLICATIONS FOR ALTERNATIVE FOOD AND CIRCULAR BIO-ECONOMY</t>
  </si>
  <si>
    <t xml:space="preserve">Food systems have created demand for
 addressing adequate nutrition, safe, healthy, accessible, and affordable
 food, under the pressure of increasing trend of the global population
 (projected to reach 10 billion by 2050), climate changes, pandemics, economic
 crisis, growth in the dietary supplements segment and many more. Sustainable
 and cost-efficient development of innovative food sources are needed to meet
 the projected nutrition demand, which have recently attracted the attention
 of both producers and consumers. Conversely, the significant losses and waste
 production by the processing industries are becoming a serious nutritional,
 economical, and environmental issue. The aim of BionovFOOD project is to
 propose novel approaches to valorize the distillery organic by-products and
 to include them into a biorefinery system. These will be used as raw
 materials in processes aimed at the recovery/separation of bio-products, with
 a focus on the production of proteins for food application. To reach this
 goal will be developed on a pilot-demo scale, process concepts for bio
 converting grape marcs, wine lees and vinasse, generated from the distillery
 industry, into protein-rich ingredients to be used for the production of
 alternative food products. Life cycle assessment and techno-economic aspects
 for the production of protein sources produced from edible and safe fungi
 will be investigated. With proteins produced will be designed and developed
 novel food. BionovFOOD project constitute the starting point for the
 understanding that distilleries’ by-products can significantly contribute to
 the future production of alternative protein-rich fungal biomass for food
 applications. Indeed, it will create synergies and co-benefits across 4
 priority areas: nutrition and healthy diets; climate and environment;
 circularity and resource efficiency; and innovation. This project is a unique
 opportunity for my career and will boost my scientific profile.</t>
  </si>
  <si>
    <t xml:space="preserve">https://cordis.europa.eu/project/id/101105437</t>
  </si>
  <si>
    <t xml:space="preserve">grant.13717493</t>
  </si>
  <si>
    <t xml:space="preserve">UNIVERSITA DEGLI STUDI DI PADOVA; HOEGSKOLAN
 I BORAS</t>
  </si>
  <si>
    <t xml:space="preserve">Veneto; </t>
  </si>
  <si>
    <t xml:space="preserve">Italy; Sweden</t>
  </si>
  <si>
    <t xml:space="preserve">31/8/2025</t>
  </si>
  <si>
    <t xml:space="preserve">Functional plant-based protein source from cereal by-products</t>
  </si>
  <si>
    <t xml:space="preserve">The amount of food waste generated in Switzerland is estimated at 2.8 million tons per year and is responsible for 25% of the total environmental impact of the entire food industry. 37% of this waste is generated by industries during the food production stage. Today, the leftovers, which are also called by-products or side streams, are mainly eliminated in the form of biogas and livestock feed. These by-products still contain many nutrients, such as proteins that could be valued instead of being discarded.Swiss breweries annually produce 80,000 tonnes of Brewers’ Spent Grains (BSG). As the brewing process exclusively extracts sugar, many nutrients are left in BSG, the malted cereal (mainly barley) that has been grounded and cooked to make the beer. This by-product is extremely rich in proteins (28%) and fibres (57%), both being essential nutrients in human diet.The food industries use proteins for two main reasons, which are nutritional enrichment and/or technofunctional product properties (foaming, emulsifying, texturising). Given the increasing demand for plant-based, healthy, and sustainable products, manufacturers must adapt and find solutions to offer alternatives that fulfil the needs of their customers.Taking that into consideration, we develop an extraction process to produce a protein powder concentrate for food producers who want to offer sustainable and ecological products to their customers. Unlike other imported and highly processed plant-based protein sources, we found value in discarded materials and will provide a local and upcycled protein powder ingredient extracted from BSG. Moreover, the production of proteins in Switzerland does not support the demand and alternatives must be found to limit imports.We defined several production scenarios that combine appropriate technologies for the BSG protein matrix with a minimal processing approach. Our current research has enabled us to produce various powders with different protein contents. We have validated the application of protein concentrates in the industrial bakery sector for enriching bread recipes and other uses. During our research, we identified techno-functional properties that vary based on the extraction process used. We have defined different combinations of technologies to influence protein solubility and achieve emulsifying and/or foaming properties. Our ingredients offer an eco-friendly alternative to current food improvers and additives.As a project under HES-SO Valais, the funding from Bridge has enabled us to continue utilizing the adequate infrastructure and environment provided by HEI-VS, allowing us to concentrate our research efforts on the techno-functional properties of the protein.</t>
  </si>
  <si>
    <t xml:space="preserve">https://data.snf.ch/grants/grant/211790</t>
  </si>
  <si>
    <t xml:space="preserve">grant.12948076</t>
  </si>
  <si>
    <t xml:space="preserve">Aurélien Ducrey, Mateo Aerny, Aurélien Ducrey</t>
  </si>
  <si>
    <t xml:space="preserve">Haute Ecole d'Ingénierie (HEI) HES-SO Valais Wallis, Switzerland</t>
  </si>
  <si>
    <t xml:space="preserve">29/2/2024</t>
  </si>
  <si>
    <t xml:space="preserve">PLant based EmulsifierS with improved technologicAl and physiological fuNcTionality (PLEASANT)</t>
  </si>
  <si>
    <t xml:space="preserve">There is an urgent need for a new generation
 of healthier and more sustainable processed foods that consumers can easily
 fit into
  their diets. The development of plant-based alternatives to animal-derived
 products requires more research to become high-quality,
  affordable, and sustainable. PLEaSANT faces this major food-related
 challenge by undertaking the controlled modification of a plant-based
  protein to improve its solubility and functionality as an emulsion
 stabilizer and encapsulating agent for fish oil, rich in omega3 fatty
 acids.
  HEMP (Cannabis Sativa L.) protein is a highly nutritional protein,
 extracted from hemp oilseeds waste after oil extraction, hence
  supporting sustainability. Proteins are common food emulsifiers, however,
 the use of HEMP protein as food emulsifier is still limited due
  to its low solubility at neutral pH and compact structure. I intend to
 apply different surface/enzymatic treatments to HEMP protein to
  produce hydrolysates/particles. Then, I will examine the interfacial
 properties of HEMP protein hydrolysates/particles and their
  functionality as emulsion stabilizers in combination with their in vitro
 digestibility to provide a new generation of clean emulsifiers with tailored
 oil encapsulation capability.
  PLEaSANT is an interdisciplinary research project where my strong
 background in food chemistry combines perfectly with the host group's
 expertise in colloidal/interfacial physics and chemical engineering to
 produce clean emulsifiers and oil encapsulation systems based on HEMP protein
 that are healthy and sustainable but also physiologically bioactive.
  This proposal will train me to lead high-quality, multidisciplinary
 research projects on the development of clean labeled plant-based
  protein emulsifiers as well as to become a successful entrepreneurial food
 scientist. It will also create opportunities for the host
  organization to collaborate with food scientists in academia and the food
 industry in the field of sustainable emulsifiers.</t>
  </si>
  <si>
    <t xml:space="preserve">https://cordis.europa.eu/project/id/101151048</t>
  </si>
  <si>
    <t xml:space="preserve">grant.13949200</t>
  </si>
  <si>
    <t xml:space="preserve">UNIVERSIDAD DE GRANADA; QUADRAM INSTITUTE
 BIOSCIENCE</t>
  </si>
  <si>
    <t xml:space="preserve">Granada; Norwich</t>
  </si>
  <si>
    <t xml:space="preserve">Spain; United
 Kingdom</t>
  </si>
  <si>
    <t xml:space="preserve">Taifun-Tofu GmbH</t>
  </si>
  <si>
    <t xml:space="preserve">Project Pythagoras</t>
  </si>
  <si>
    <t xml:space="preserve">Project Pythagoras is a 24-month feasibility
 study which answers, 'is it possible to develop a protein product or
 ingredient, profitably and sustainably that is derived from a commercially
 grown UK crop?'
  Countries such as Canada, Australia and France are all investing in their
 pea supply chains to exploit the potential of the developing plant-based
 market.
  The UK is well placed to grow peas. Unfortunately though, cropping of peas
 is not large in area and is often considered a minor or niche crop, so it
 lacks investment.
  To encourage farming businesses such as Dyson Farming Ltd, to grow more
 peas for human consumption we need to have the confidence of reliable returns
 and routes to market.
  Project Pythagoras will improve the knowledge of growing a pea crop which
 is suited for human-consumed protein products. Through this project, Dyson
 Farming Ltd will trial novel techniques of growing peas with the aim to
 improve the protein availability in the resulting crop.
  University of Lincoln will provide a deep understanding of how each growing
 technique impacted on the crops functionality and nutritional value as a
 protein product or ingredient.
  This consortium is passionate about raising awareness of the importance of
 peas in sustainable food production and healthy diets.
  Pulses have been grown in the UK for centuries and, as nitrogen-fixing
 legumes, they fit well with the government and farming industry's objectives
 for sustainable production and net-zero emissions over the coming next
 decades.</t>
  </si>
  <si>
    <t xml:space="preserve">https://gtr.ukri.org/projects?ref=10074253</t>
  </si>
  <si>
    <t xml:space="preserve">grant.14052253</t>
  </si>
  <si>
    <t xml:space="preserve">Richard Meredith</t>
  </si>
  <si>
    <t xml:space="preserve">DYSON FARMING LIMITED; UNIVERSITY OF LINCOLN;
 OBSERVE TECHNOLOGIES LIMITED; INNOVATE UK</t>
  </si>
  <si>
    <t xml:space="preserve">Lincoln; Swindon</t>
  </si>
  <si>
    <t xml:space="preserve">3D differentiation conditions for the production of cultured meat from livestock stem cells</t>
  </si>
  <si>
    <t xml:space="preserve">Global demand for meat is steadily increasing (3%/year), and is further exacerbated by population growth, which is estimated to reach 10 billion by 2050. Livestock meat production uses ~70% of global arable land, contributes to increases in greenhouse gases (beef) and considerable water use. Based on the anticipated increase in global demand we will have insufficient planetary resources to provide meat to the world population by the middle of the century. Thus, alternative methods for the production of nutritious, palatable and sustainable meat are urgently needed. The cellular agriculture sector has recently emerged as a possible solution to the production of meat in the laboratory, however bioengineering solutions for the production of cultured meat are still in their infancy. In this project we will take advantage of our complementary expertise in stem cell biology (RA), biomaterials/matrix biology (CM) and synthetic chemistry (NRT) to develop a technologically innovative approach to the production of cultured meat. Meat is a complex tissue, with muscle cells representing the main cellular component, and complemented with smaller proportions of adipose and connective tissue. Developing methods for producing muscle cells that recapitulate the organisation of skeletal muscle in vitro is the foundation for the creation of an alternative source of meat that could then be further engineered to contain other cell types and deliver a nutritious and palatable product. We will test the hypothesis that modulation of the extracellular environment can have a positive effect on muscle and fat cell fate specification.
During embryonic development, tissue specification is the result of a complex interplay between cells and the extracellular matrix (ECM) that surrounds them. That matrix is composed of proteins and glycans that exist in different forms, the exact combination of which gives each tissue unique characteristics with regard to both mechanical and biochemical properties. Cells respond to these signals as they form specialised tissues such as muscle and fat, often re-modelling the matrix as they do so. In vitro, stem cell differentiation has traditionally made use of the animal derived matrix preparation, Matrigel. However, this product has significant limitations including a lack of reproducibility, the intractable complexity of the material and the 3Rs limitations when trying to create an animal-component free product. Using a peptide hydrogel previously optimised by our group for culture of mouse and human pluripotent stem cells, we can selectively introduce matrix components to test the impact these have on the differentiation of animal stem cells to muscle and fat. Importantly, the addition of matrix proteins or glycans can be carried out independently to altering the mechanical properties of the hydrogel, allowing separate evaluation of the impact of both of these critical factors.</t>
  </si>
  <si>
    <t xml:space="preserve">https://gtr.ukri.org/projects?ref=studentship-2746272</t>
  </si>
  <si>
    <t xml:space="preserve">grant.13028745</t>
  </si>
  <si>
    <t xml:space="preserve">Ramiro Alberio, Cathy Merry, Neil Thomas, Zoe Wilson</t>
  </si>
  <si>
    <t xml:space="preserve">Utilising food waste as a feedstock for cultivated meat.</t>
  </si>
  <si>
    <t xml:space="preserve">Doctoral Training Partnerships: a range of postgraduate training is funded by the Research Councils. For information on current funding routes, see the common terminology at https://www.ukri.org/apply-for-funding/how-we-fund-studentships/. Training grants may be to one organisation or to a consortia of research organisations. This portal will show the lead organisation only.</t>
  </si>
  <si>
    <t xml:space="preserve">https://gtr.ukri.org/projects?ref=studentship-2906648</t>
  </si>
  <si>
    <t xml:space="preserve">grant.14050040, grant.14054105</t>
  </si>
  <si>
    <t xml:space="preserve">Marianne Ellis, Lucy WILKINSON</t>
  </si>
  <si>
    <t xml:space="preserve">University of Bath; Campden BRI (United
 Kingdom)</t>
  </si>
  <si>
    <t xml:space="preserve">Bath; Chipping Campden</t>
  </si>
  <si>
    <t xml:space="preserve">14/1/2028</t>
  </si>
  <si>
    <t xml:space="preserve">Investigating protein and saliva interactions, impact on mucosal surfaces and any links to resulting mouthfeel</t>
  </si>
  <si>
    <t xml:space="preserve">With the increased awareness of wellbeing in
 consumers, the food industry faces the strongest ever pressure to satisfy the
 demand for healthier and more nutritious foods (e.g. low sugar/fat, high
 protein/fibre). This demand is not only driven by consumers but also health
 authorities. The growing ageing population also necessitates the development
 of food products that meet the requirements of these consumers from both a
 nutritional and sensory perspective. The addition or removal of ingredients
 from the food matrix leads to changes in the structure-and dynamic breakdown
 behaviour of the food material during oral processing, which ultimately
 influence sensory perception. Hence, the key challenge for product
 reformulation is to maintain consumer acceptability with respect to texture,
 mouthfeel and flavour. Food component interactions with saliva and mucosal
 surfaces during oral processing are considered to play a crucial role in
 determining the sensory experience.
  Project aim: The aim of this project is to elucidate the functional role of
 different food components during oral processing and their interaction with
 the oral environment and how these roles may affect sensory perceptions. Of
 particular interest are proteins and their impact on mouthfeel, e.g. drying,
 powdery feel upon consumption of protein containing snacks. Hence, the focus
 is on understanding the interactions of proteins (e.g. milk / plant based)
 with saliva (e.a. hydration kinetics), impact on mucosal surfaces and anv
 links to resulting mouthfeel.
  Approach: The project will take a staged approach to addressing the primary
 objective of the project, gradually building complexity and understanding of
 the interactions between protein and the oral environment,</t>
  </si>
  <si>
    <t xml:space="preserve">https://gtr.ukri.org/projects?ref=studentship-2284055</t>
  </si>
  <si>
    <t xml:space="preserve">grant.8689592</t>
  </si>
  <si>
    <t xml:space="preserve">SL: listed with no monetary value. I found something on UKRI's website that I added here.</t>
  </si>
  <si>
    <t xml:space="preserve">Alan Mackie</t>
  </si>
  <si>
    <t xml:space="preserve">University of Leeds; Mondelez UK R and D Ltd</t>
  </si>
  <si>
    <t xml:space="preserve">Leeds</t>
  </si>
  <si>
    <t xml:space="preserve">29/9/2023</t>
  </si>
  <si>
    <t xml:space="preserve">Infant formula: Alternative protein study and regulatory roadmap</t>
  </si>
  <si>
    <t xml:space="preserve">We are **Grow with Iris**. In spring 2024 we are launching a plant-based, free from, fortified growing up drink for children aged 12 months plus. We are made specifically for immunocompromised and plant-based children. Co-founder Amy's daughter Iris lives with numerous food allergies and is our inspiration.
Our ultimate goal is to create a plant-based, hypoallergenic infant formula to provide a universal, off-the-shelf, nutritionally capable option. It would enable babies needing alternative diets to thrive, especially infants unable to be breastfeed. Our innovation is vital if the UK is to deliver inclusive feeding options. However, there is currently no hypoallergenic protein registered for use in infant formula. We aim to become a world-changing, market contender, but there are no shortcuts in terms of robust evidence to support safe and efficacious infant nutrition products and the supporting regulatory authorisation.
This project is the first of several innovative steps required to gain the registration of an alternative, hypoallergenic protein for use in infant formula. It would lead on to further innovative work including an authorisation dossier and clinical trial to prove validation of suitability and growth, before we could work on the protein source authorisation and eventual registration in target markets (UK, EU, US) to enable us to commercialise our products. 
Our project will draw together leading experts in academia, clinical, government and industry fields to produce a feasibility study and regulatory roadmap to explore suitability, ensure efficacy and safety and will support regulatory authorisation to access markets. As part of the study, we would find the most suitable plant-based source of protein. A scientific workshop will be convened to review gathered evidence and data package proposals to provide validation and the outputs published. It aims to inform government food/healthcare strategy, highlighting more inclusive nutrition options for infants. 
Our publishable study could become a catalyst -- opening up more research opportunities, creating a shift in thinking about alternative proteins, future government health strategies and the knowledge of healthcare, medical professionals and the public. The government food strategy review suggests policy initiatives should boost health, sustainability, accessibility of diets and secure food supply that "Delivers safe, healthy, affordable food; regardless of where (people) live or how much they earn." With cow's milk being the most common global food allergy in children and a growing trend in plant-based living, change is needed to challenge and disrupt a static industry and the current limited options.</t>
  </si>
  <si>
    <t xml:space="preserve">https://gtr.ukri.org/projects?ref=10108649</t>
  </si>
  <si>
    <t xml:space="preserve">grant.14051750</t>
  </si>
  <si>
    <t xml:space="preserve">Amy Langfield</t>
  </si>
  <si>
    <t xml:space="preserve">PLANT POWERED BABIES LTD; INNOVATE UK</t>
  </si>
  <si>
    <t xml:space="preserve">Optimisation of the Quorn fermentation process for the production and extraction of functional mycoprotein</t>
  </si>
  <si>
    <t xml:space="preserve">Food scientists at Heriot-Watt University have reported that proteins extracted from the Quorn fermentation process could be used to replace less sustainable proteins in food and biomedical applications animal proteins, as well as fat replacers. The researchers and Marlow Foods (producer of Quorn) team up again, this time to assess the feasibility of producing and extracting these proteins on a large scale. Ultimately these proteins could be used as natural foaming, emulsifying or gelling agents in innovative food and pharmaceutical formulations with environmental, health and economic benefits for society.</t>
  </si>
  <si>
    <t xml:space="preserve">https://gtr.ukri.org/projects?ref=131916</t>
  </si>
  <si>
    <t xml:space="preserve">grant.4294455, grant.4456273</t>
  </si>
  <si>
    <t xml:space="preserve">MARLOW FOODS LIMITED; QUORN FOODS LIMITED; HERIOT-WATT UNIVERSITY(THE); HERIOT-WATT UNIVERSITY; INNOVATE UK</t>
  </si>
  <si>
    <t xml:space="preserve">29/6/2016</t>
  </si>
  <si>
    <t xml:space="preserve">Producing the Next Generation of Hybrid Animal-Free Cheeses</t>
  </si>
  <si>
    <t xml:space="preserve">Nutropy is a French startup that develops the
 next generation of dairy and cheese alternatives. We produce bioidentical
 milk ingredients (proteins and fatty acids) to develop premium cheese
 alternatives that taste as good as conventional cheese but are more
 sustainable, healthier and better for the animals. This project is dedicated
 to the development of a new line of hybrid animal-free cheese alternatives
 containing pulses.</t>
  </si>
  <si>
    <t xml:space="preserve">https://cordis.europa.eu/project/id/101114558</t>
  </si>
  <si>
    <t xml:space="preserve">grant.13718885</t>
  </si>
  <si>
    <t xml:space="preserve">NUTROPY</t>
  </si>
  <si>
    <t xml:space="preserve">European innovation ecosystems</t>
  </si>
  <si>
    <t xml:space="preserve">The chickpea protein revolution – a novel plant-based food ingredient</t>
  </si>
  <si>
    <t xml:space="preserve">"InnovoPro has developed a new protocol
 enabling the commercialisation of chickpea protein as a new food ingredient
 (patent US 2013-0196028). We expect this product to take a relevant share of
 the growing plant-based protein market which is expected to reach a market
 size of USD 7.14b by 2021. The chickpea protein provides the food industry
 with a unique protein source which can easily be integrated in food products,
 reduces or removes for the need for various emulsifier and other artificial
 ingredients and is highly environmental friendly. This makes the chickpea
 protein an alternative for artificial emulsifiers and alternative for the
 heavily used soy protein which, amongst others is a GMO crop. InnovoPro can
 also compete with pea protein which is becoming more popular but has
 drawbacks which make integration in food more difficult. 
  We expect the commercialization phase of the InnovoPro chickpea protein to
 start in 2019, when the product will be launched as a premium ingredient. We
 have the attention of leading European food producers several of which are
 currently testing our samples and developing prototypes of food products with
 “InnovoPro inside"".  
  Our operational team is highly experienced as is our board and circle of
 external advisors and we aim to use this SME Phase 1 project to further
 organize the work with our existing test-clients, develop a detailed scale-up
 plan, professionalize our market research and lead identification and, last
 but not least, organized our (financial) business planning to support our
 expected market entrance and growth from 2018 through 2023. 
  "</t>
  </si>
  <si>
    <t xml:space="preserve">https://cordis.europa.eu/project/id/816210</t>
  </si>
  <si>
    <t xml:space="preserve">grant.7751594</t>
  </si>
  <si>
    <t xml:space="preserve">INNOVOPRO LTD</t>
  </si>
  <si>
    <t xml:space="preserve">30/11/2018</t>
  </si>
  <si>
    <t xml:space="preserve">Machine-learning generated nucleases for accelerating the deployment of a novel, low-emission food production systems</t>
  </si>
  <si>
    <t xml:space="preserve">**Eden Bio's proposed tool will support
 sustainable protein production by leveraging state-of-the-art machine
 learning technology, 1) enabling food businesses to scale up their activities
 and 2) accelerating Net Zero initiatives.**
  Precision fermentation (PF) is a sustainable protein production method that
 doesn't use animals. PF has tremendous potential and is a focus of
 significant investments. This method creates functional ingredients by
 creating "cell factories" in microbes. Enzymes, flavouring agents,
 proteins, vitamins, natural pigments, and fats can be produced through PF,
 and the market is growing rapidly (predicted to reach $37.35B by 2030). One
 of the key drivers of this growth is the unmet global demand for sustainable
 protein production.
  A growing number of companies produce proteins (e.g., food-tech startups)
 that rely on PF, however, they all struggle to produce their products at an
 industrial scale. This not only presents huge barriers for these companies to
 reaching revenue generation but also slows down their economic sector's
 modernisation and transition towards sustainability.
  PF involves the production of proteins by genetically modifying
 microorganisms, thus, it is heavily reliant on genome editing tools and
 nucleases, a type of protein that cuts the genome in a specific place to
 allow an edit to take place. Currently available nuclease datasets are
 limited to either very specific, narrowly applicable types or have limited entries,
 while the use of commercially available nucleases is prohibitively
 expensive.
  To continue offering best-in-class strain optimisation services, EB
 proposes to develop a repository of fully annotated nucleases and an ML tool
 for generating non-IP infringing nucleases that will be customisable for the
 clients' specific needs. This tool will add significant value to EB's
 services and will allow for the acceleration of PF company's scaling and
 transition to sustainable food production systems.</t>
  </si>
  <si>
    <t xml:space="preserve">https://gtr.ukri.org/projects?ref=10072768</t>
  </si>
  <si>
    <t xml:space="preserve">grant.13883411</t>
  </si>
  <si>
    <t xml:space="preserve">Karima Karagussova</t>
  </si>
  <si>
    <t xml:space="preserve">EDEN BIO LTD</t>
  </si>
  <si>
    <t xml:space="preserve">30/11/2023</t>
  </si>
  <si>
    <t xml:space="preserve">WomeninTech 2024</t>
  </si>
  <si>
    <t xml:space="preserve">Our project revolves around leveraging the
 untapped potential of seaweed as a sustainable source for mycoprotein
 extraction and cultivation. We plan to employ cutting-edge biotechnological
 methods to extract, purify, and cultivate mycoprotein from seaweed biomass
 efficiently and at scale.
  By focusing on optimising cultivation techniques, refining extraction
 processes, and developing novel bioreactor systems, we aim to streamline the
 production pipeline. Additionally, we intend to establish strategic
 partnerships with seaweed suppliers to ensure a consistent and reliable
 source of raw material.
  Through these efforts, our goal is to introduce a highly scalable and
 environmentally friendly solution to meet the growing demand for plant-based protein
 alternatives. Ultimately, we envision our project contributing to the
 advancement of sustainable food systems and promoting the widespread adoption
 of seaweed-derived mycoprotein in various food and feed applications.</t>
  </si>
  <si>
    <t xml:space="preserve">https://prosjektbanken.forskningsradet.no/en/project/FORISS/353737</t>
  </si>
  <si>
    <t xml:space="preserve">grant.13981371</t>
  </si>
  <si>
    <t xml:space="preserve">Defne Bilgin</t>
  </si>
  <si>
    <t xml:space="preserve">MORESHROOMS AS</t>
  </si>
  <si>
    <t xml:space="preserve">Precision Fermentation Redefined</t>
  </si>
  <si>
    <t xml:space="preserve">The world is facing a protein deficit: we are
 over-exploiting the natural environment and need to find alternative ways to
 produce proteins.
  Horizon Bioreactors Ltd (HBL) is developing a next generation
 biomanufacturing platform to power the cell based manufacturing revolution,
 starting with cultivated meat. By providing a clear path to affordably, and
 rapidly scale cultivated meat, we will improve human and planetary health,
 and drive the transition to animal free agriculture. HBL aims to establish a
 cultivated meat company, to help displace traditional animal agriculture,
 which is currently driving a fifth of global GHG emissions, and a major
 contributor to deforestation, not to mention the ethical and health impacts
 of the industry.</t>
  </si>
  <si>
    <t xml:space="preserve">https://gtr.ukri.org/projects?ref=10074042</t>
  </si>
  <si>
    <t xml:space="preserve">grant.13876411</t>
  </si>
  <si>
    <t xml:space="preserve">Steve Skill</t>
  </si>
  <si>
    <t xml:space="preserve">HORIZON
 BIOREACTORS LTD</t>
  </si>
  <si>
    <t xml:space="preserve">Building resilient supply chains in the plant based food manufacturing sector</t>
  </si>
  <si>
    <t xml:space="preserve">_Rootiful is a company which was set up in
 August 2022 to develop and exploit plant based foods made using co-products
 and waste streams from the food industry. Rootiful is a start up and has
 received no Innovate UK funding to date._
  _Food supply chains have been shown to be fragile during events such as
 Covid, Brexit and Ukraine war, with many supermarket shelves becoming empty.
 The plant based sector is no different, with products such as textured
 vegetable proteins (TVP) being a prime example. Soy beans are grown in South
 America, shipped to China for the protein to be extracted and extruded into
 TVP and then brought back to Europe to be added into foods. There are many
 points of weakness in this supply and the environmental impact of the food
 miles is huge. The majority of plant based foods in UK and European
 supermarkets and restaurants contain these ingredients._
  _At Rootiful, we believe there is a better way, we use our innovative
 manufacturing to turn locally grown protein sources and co-products would
 normally be sent to animal feed to upcycle back into higher value TVP for use
 in human nutrition. We wish to tackle key manufacturing issues within this
 project to create world class manufacturing within a robust supply chain._</t>
  </si>
  <si>
    <t xml:space="preserve">https://gtr.ukri.org/projects?ref=10075312</t>
  </si>
  <si>
    <t xml:space="preserve">grant.13876346</t>
  </si>
  <si>
    <t xml:space="preserve">ROOTIFUL
 LIMITED</t>
  </si>
  <si>
    <t xml:space="preserve">31/1/2024</t>
  </si>
  <si>
    <t xml:space="preserve">Scalable production of cultivated meat</t>
  </si>
  <si>
    <t xml:space="preserve">There is an urgent need to find sustainable food alternatives to support the rapidly growing population. Traditional animal agriculture isn't sustainable and is a major greenhouse gas emitter. Cultivated or clean meat is an alternative food technology that offers a healthier and safer option for consumers without animal slaughter, that's estimated to emit 96% less greenhouse gases, and use 96% less water and 99% less land compared to traditionally farmed meat. In comparison to traditional meat products, clean meat is anticipated to significantly reduce food-borne pathogen transmission. By negating the use of antibiotics in farmed animals, the risks associated with antimicrobial resistance are also reduced.
Much work still needs to be done to reach affordability and the scale requirements for sustainability for cultivated meat. Four primary challenges were identified:
 1) the need for better cell sources with simple and cheap culture requirements; 
2) suitable manufacturing platform technologies for cell expansion and differentiation; 
3) scalability to the industrial level and 
4) nutritional value and health- promoting attributes [1-3].
This project aims to address the manufacturing platform technologies and the scalability challenges by developing a robust, reliable and cost-effective bioprocess for production of beef microtissues comprising fat and muscle cells. This aim will be achieved through: 
1) development of a bioprocess for the production of fat; 
2) development of a bioprocess for the production of muscle and 
3) co-culture to form microtissues at the litre scale.
Bovine mesenchymal stem cells (bMSCs) are a promising cell source as they are relatively easy to isolate and easy and cheap to grow. To date, we have successfully cultured bMSCs in stirred tank bioreactors[4]. bMSCs will be differentiated towards adipocytes by testing different adipogenic-inducing medium formulations. Additionally, bMSCs will be induced to differentiate to the myogenic lineage by testing different cocktails of growth factors combined with hydrogels of different stiffness to increase myogenic expression through the creation of a three-dimensional environment. Initial studies will be performed in planar cultures at the lab scale, then translated to scalable bioprocesses for industrial production. 
Challenges facing the nascent cellular meat industry include sourcing and stabilising cell-lines, and optimising culture conditions; sourcing serum-free culture medium at a scale and cost that allows the product to compete with conventional animal products; optimising bioreactor designs for the specific requirements of the process, and designing tissue scaffolds which both support cell growth and differentiation and optimise the eating quality of the final product[5]. As much of the applied research into this area is being undertaken by private enterprises, there is a scarcity of published research on this topic available to industry, so this foundational research will provide much-needed public access data.
The outcome of this project will be the development of bioprocesses that will aid the industrial production of cultivated (clean) meat with a detailed analysis of their techno-economic feasibility.
References:
1. Gaydhane, M.K., et al., Cultured meat: state of the art and future. Biomanufacturing Reviews, 2018. 3(1).
2. Datar, I. and M. Betti, Possibilities for an in vitro meat production system. Innovative Food Science &amp; Emerging Technologies, 2010. 11(1): p. 13-22.
3. Arshad, M.S., et al., Tissue engineering approaches to develop cultured meat from cells: A mini review. Cogent Food &amp; Agriculture, 2017. 3(1).
4. Hanga, M.P., et al., Bioprocess development for scalable production of cultivated meat. Biotechnol Bioeng, 2020. 117(10): p. 3029-3039.
5. Reiss, J., S. Robertson, and M. Suzuki, Cell Sources for Cultivated Meat: Applications and Considerations throughout the Production Work</t>
  </si>
  <si>
    <t xml:space="preserve">https://gtr.ukri.org/projects?ref=studentship-2596703</t>
  </si>
  <si>
    <t xml:space="preserve">grant.9945026</t>
  </si>
  <si>
    <t xml:space="preserve">Rebecca Sanders</t>
  </si>
  <si>
    <t xml:space="preserve">David Chandler, Vardis Ntoukakis, </t>
  </si>
  <si>
    <t xml:space="preserve">Bioprocess development for scalable production of cultivated meat</t>
  </si>
  <si>
    <t xml:space="preserve">World population is predicted to reach 10 billion by 2050. There is an increased need to find sustainable food alternatives to support this rapidly growing population. Livestock meat is not sustainable and it comes with detrimental effects on the environment, risks of food-borne diseases and antibiotic resistant bugs1. 
Alternative food technologies such as cultivated meat can provide a solution to this growing problem, while offering many advantages over livestock meat. It is animal meat but produced without the animal in a controlled environment in a cultivator. It doesn't require animal slaughter as it is produced from cells obtained from a small tissue sample from the animal. Cultivated meat is meat that is free from antibiotics, zoonotic bacteria and viruses and even with a customisable nutritional profile (e.g. enriched in omega fatty acids, reduced cholesterol)1-2. This is a relatively new concept that still requires significant research to reach satisfy scale requirements for production, reach affordability, and to mimic texture and nutritional profile of livestock meat. 
This project aims to develop scalable bioprocesses to produce cultivated meat through a multidisciplinary approach that uses engineering and biological principles. It uses biomaterials (e.g. food grade hydrogels) to encapsulate cells, thus providing a 3D environment; it uses cultivators (bioreactors) for culture and it addresses the complexity of meat tissue through co-culture of different cell types.
Similar to livestock meat, cultivated meat will have a complex structure comprising muscle, fat and other connective cells. This complex combination is what gives the taste and nutritional value. Bovine adipose-derived stem cells (bASCs) will be used in this project as a starting cell source for production of cultivated meat as they are easy to isolate, easy and cheap to grow in the lab, their expansion is scalable3,4 and they can differentiate to fat and muscle cells. bASCs will be encapsulated in food-grade hydrogels where they will be first expanded and differentiated. Hydrogel capsules of uniform sizes and narrow size distribution will be produced by using emulsification. Parameters such as hydrogel injection rate and shear force necessary to form the capsules will be investigated. Different size ranges will be produced and tested for optimal cell survival and growth inside the capsules. Hydrogels such as alginate, methylcellulose, gellan gum and others will be investigated. The optimal hydrogels will be selected and used in conjunction with molecular cues to induce cell differentiation. Bioprocesses using encapsulated cells will be developed in small bioreactors such as spinner flasks. Process parameters to be investigated include cell seeding densities, feeding regimes, agitation strategies and their influence on cost-efficiency.
This project fits within the Manufacturing the Future theme and fits 3 of the 4 priority research visions within this theme: 21st century products, sustainable industries as cultivated meat has the potential to provide food security in a sustainable manner and new industrial systems as this is a newly formed industry. It also addresses the following research areas: biomaterials and tissue engineering as it uses hydrogels for cell encapsulation; manufacturing technologies as it will utilize bioreactors and process systems as it will develop bioprocesses for the production of the cultivated meat microtissues
References:
1Stephens, N. et al. (2018) Trends in Food Science &amp; Tech, 78, 155-166.
2Post MJ. (2014) J Sci Food Agric.; 94(6):1039-41.
3Hanga MP et al (2020) Biotech Bioeng; 117(10):3029-3039.
4Hanga MP et al (2021) Biotech Bioeng; https://doi.org/10.1002/bit.27842.</t>
  </si>
  <si>
    <t xml:space="preserve">https://gtr.ukri.org/projects?ref=studentship-2568599</t>
  </si>
  <si>
    <t xml:space="preserve">grant.9849529</t>
  </si>
  <si>
    <t xml:space="preserve">Paul Cameron</t>
  </si>
  <si>
    <t xml:space="preserve">Mariana Petronela Hanga</t>
  </si>
  <si>
    <t xml:space="preserve">Effect of Cell Disruption Methods on Functional Properties of Microalgae for the Application in Minimally Processed Vegan Food</t>
  </si>
  <si>
    <t xml:space="preserve">Climate change and the scarcity of natural
 resources pose a major challenge fot the global community. The production of
 animal-derived, land and wateruse intensive food, which is causing
 highgreenhouse gas emissions, is adding to our negative impact on nature and
 world hunger. Within the context of a transition to plant-based food with
 alower environmental impact, microalgae are expected to contribute to a safe
 and healthy nutrition for our growing world population. Many microalgae have
 a nutritionally intersting profile, containinghigh protein levels, all amino
 acids essential tohumans and other health promoting components suchas
 polyunsaturated fatty acids, antioxidants and vitamins.In order to use their
 full potentialand make theingredients bioavailable, it can be necessary
 tobreak up the often very stable cell wall. This project aims to explore
 production methods for tasty,healthy, functional,minimally processed and
 environmentally sustainable food ingredients from microalgae. We want to test
 several cell disruption methods and their effects on nutritional, functional,
 safety, health and aroma parameters.</t>
  </si>
  <si>
    <t xml:space="preserve">https://www.belspo.be/belspo/invent/dproj.asp?l=en&amp;inst=KU
 Leuven&amp;code=0ef8325a-a1a7-45ca-bf5f-3a5aa1d3aeef&amp;hi=*</t>
  </si>
  <si>
    <t xml:space="preserve">grant.14062440</t>
  </si>
  <si>
    <t xml:space="preserve">SL: couldn't find a grant amount.</t>
  </si>
  <si>
    <t xml:space="preserve">Katholieke Universiteit Leuven</t>
  </si>
  <si>
    <t xml:space="preserve">Leuven</t>
  </si>
  <si>
    <t xml:space="preserve">Belgian Federal Science Policy Office</t>
  </si>
  <si>
    <t xml:space="preserve">Red clover as a novel source of protein for human consumption: from extraction to consumer acceptance.</t>
  </si>
  <si>
    <t xml:space="preserve">The aim of this study is to assess the
 feasibility of developing an acceptable novel source of protein for human
 consumption with low environmental impact that still meets the nutritional
 protein requirement of the UK's population.
  This matters because as the UK is aiming to make its food systems more
 sustainable; adapting to production strategies that require minimum resources
 and maximum use of potential biomass will help make UK's sustainability goals
 achievable. With the increase of NCDs, consumers are also looking for
 healthier alternatives in their diet, and plant-based diets have been
 reported to lower the prevalence or alleviate some of these diseases. This
 calls for a need for more alternative healthy options in the market that
 consumers can choose from.</t>
  </si>
  <si>
    <t xml:space="preserve">https://gtr.ukri.org/projects?ref=studentship-2756416</t>
  </si>
  <si>
    <t xml:space="preserve">grant.13028540</t>
  </si>
  <si>
    <t xml:space="preserve">Ana Winters, Esther Amayo</t>
  </si>
  <si>
    <t xml:space="preserve">Aberystwyth</t>
  </si>
  <si>
    <t xml:space="preserve">Industrial Production of Bioactive Yeast Hydrolysates for the Cultivated Meat Industry</t>
  </si>
  <si>
    <t xml:space="preserve">(i) Background and Context
  Traditional approaches to producing meat are no longer fit for purpose.
 Cultivated meat is one promising solution to overcome the shortcomings of
 conventional meat farming, requiring only 46% of the energy, 5% of land and
 22% of water use, which potentially results in a 92% reduction in greenhouse
 gas emissions. Cultivated meat is a nascent but rapidly growing industry that
 has several priority areas of development if the promise is to be delivered.
 These include: (1) cell line development, (2) cell culture media, (3)
 bioreactor and bioprocessing, and (4) scaffolding and biomaterials.
 Production of cheap, scalable cell culture media (CCM) is a major bottleneck
 for all cultivated meat companies. Active research is now being undertaken to
 find new ingredients that are active, animal-free and economically viable, or
 to engineer new properties into pre-existing CCM components. Hydrolysates are
 one such ingredient that will be the focus of this study. Hydrolysates are
 chemical or enzymatic digests of proteins rich in essential amino acids,
 bioactive peptides, vitamins, and lipids that are vital for cell growth.
 Previous works have demonstrated that yeast or plant hydrolysates could act
 as a supplement or even partial substitute for CCM.
  (ii) Aim and Objectives
  The overall aim of the project is to achieve an understanding of how
 upstream fermentation conditions affect biomass accumulation in order to
 establish optimum and robust operating conditions for industrially scalable
 production of hydrolysates used in cultivated meat production. The specific
 project objectives are as follows:
  1. To replace conventional carbon sources by optimizing fermentation media
 containing more sustainable, industry-derived carbon sources.
  2. To investigate the effect of fermentation parameters, and scale, on
 biomass accumulation of industrially relevant yeast.
  3. To design a downstream processing pipeline for the preparation of yeast
 hydrolysate, from the cells produced, and assess its efficacy in mammalian
 cells relevant in the cultivated meat industry.
  The project will progress through the following stages: (1) fermentation
 media optimization using alternative carbon sources, (2) optimization of
 process parameters at the pilot scale, (3) design of hydrolysate preparation
 pipeline, (4) use of processed hydrolysates in mammalian cell culture. 
  (iii) Strategic Alignment
  This project is aligned to EPSRC priorities in Manufacturing the Future and
 the Circular Economy. It is also aligned to the wider UKRI priorities for the
 development of skilled researchers and is within the remit of the CDT on
 'Complex Biological Products Manufacture'. The project goals are also aligned
 with the research priorities of the UCL Department of Biochemical Engineering
 and related EPSRC grants (e.g. Future Biomanufacturing Research Hub) and the
 commercial priorities of the collaborating company, Multus Biotechnology,
 which aims to be a supplier of key ingredients into the rapidly growing
 cellular agriculture sector.</t>
  </si>
  <si>
    <t xml:space="preserve">https://gtr.ukri.org/projects?ref=studentship-2912492</t>
  </si>
  <si>
    <t xml:space="preserve">grant.14082888</t>
  </si>
  <si>
    <t xml:space="preserve">Gary Lye, SeongHyun Ma</t>
  </si>
  <si>
    <t xml:space="preserve">University College London; Multus
 Biotechnology Limited</t>
  </si>
  <si>
    <t xml:space="preserve">London</t>
  </si>
  <si>
    <t xml:space="preserve">24/9/2026</t>
  </si>
  <si>
    <t xml:space="preserve">Impact of food processing on the functional, structural and sensorial characteristics of alternative proteins sources</t>
  </si>
  <si>
    <t xml:space="preserve">The demand for proteins has increased due to
 several reasons, among them a growing population, socio-economic changes
 (increase in income) and increased awareness of the contribution of proteins
 in healthy diet and aging. Sources for new proteins that are of interest for
 this project are UK-grown protein crops (cereals and legumes), quality
 protein from secondary streams (agro-industrial by-products), and products
 obtained from microorganisms (bacteria, fungi or microalgae).
  The aim of this project is to evaluate the potential of alternative protein
 sources for food product reformulation by assessing the impact of processing
 operations in the product properties (physical and nutritional properties)
 and consumer perception of its texture, taste and flavour.</t>
  </si>
  <si>
    <t xml:space="preserve">https://gtr.ukri.org/projects?ref=studentship-2885034</t>
  </si>
  <si>
    <t xml:space="preserve">grant.14054228</t>
  </si>
  <si>
    <t xml:space="preserve">Stella Lignou, Valeria Calle Tchitchina</t>
  </si>
  <si>
    <t xml:space="preserve">University of Reading; Samworth Brothers Ltd</t>
  </si>
  <si>
    <t xml:space="preserve">Reading</t>
  </si>
  <si>
    <t xml:space="preserve">29/9/2027</t>
  </si>
  <si>
    <t xml:space="preserve">GOUDA</t>
  </si>
  <si>
    <t xml:space="preserve">https://research-and-innovation.ec.europa.eu/funding/funding-opportunities/funding-programmes-and-open-calls/horizon-2020_en</t>
  </si>
  <si>
    <t xml:space="preserve">As of April 2021, LegenDairy Foods rebranded as Formo.</t>
  </si>
  <si>
    <t xml:space="preserve">Javier Romeo</t>
  </si>
  <si>
    <t xml:space="preserve">LegenDairy Foods</t>
  </si>
  <si>
    <t xml:space="preserve">Sandra Wilde</t>
  </si>
  <si>
    <t xml:space="preserve">Eureka Network</t>
  </si>
  <si>
    <t xml:space="preserve">Eurostars</t>
  </si>
  <si>
    <t xml:space="preserve">https://docs.google.com/document/d/1V-O-NnxebDU6O0fRbTqQD5j97jil5__gf1pylexwm9k/edit?usp=sharing</t>
  </si>
  <si>
    <t xml:space="preserve">Alternative proteins industrial value chain development harnessing cross-border/cross-sectoral involvement of SMEs (ALTRUIST)</t>
  </si>
  <si>
    <t xml:space="preserve">https://ec.europa.eu/info/funding-tenders/opportunities/portal/screen/opportunities/topic-details/innosup-01-2018-2020</t>
  </si>
  <si>
    <t xml:space="preserve">Funding program is Horizon 2020 Framework Programme.</t>
  </si>
  <si>
    <t xml:space="preserve">Ivana Gadjanski</t>
  </si>
  <si>
    <t xml:space="preserve">Biosystems</t>
  </si>
  <si>
    <t xml:space="preserve">BioSense Institute</t>
  </si>
  <si>
    <t xml:space="preserve">https://docs.google.com/document/d/1q9QVbOYVPi6c4frYPaV6LFURNwoDuerjqlnRKyTDZ_s/edit?usp=sharing</t>
  </si>
  <si>
    <t xml:space="preserve">Fully Integrated Multiplex Photonic Sensors for Cultured Meat Production (FINEmeat)</t>
  </si>
  <si>
    <t xml:space="preserve">Ivan Bobrinetskiy</t>
  </si>
  <si>
    <t xml:space="preserve">https://docs.google.com/document/d/1IJSgRsrOQaALidKXY3U8th-8-858gggytA4yEmY-9Nc/edit?usp=sharing</t>
  </si>
  <si>
    <t xml:space="preserve">Superior Plant Protein based Meat Alternative for Healthy Planet (SUPRAMEATIVE)</t>
  </si>
  <si>
    <t xml:space="preserve">GFI U.S. drafted a LoS that was signed by GFI Europe MD Richard Parr. Proposal was submitted to the Biotechnology and Biological Sciences Research Council (BBSRC).</t>
  </si>
  <si>
    <t xml:space="preserve">Food and Markets</t>
  </si>
  <si>
    <t xml:space="preserve">https://docs.google.com/document/d/1Oj9aQexkb3EGzQhhJ7SH4zDQhfCYr-JiCQj-lfNnqZ0/edit?usp=sharing</t>
  </si>
  <si>
    <t xml:space="preserve">Bioprocess development for animal cell co-cultures for sustainable cultivated meat production</t>
  </si>
  <si>
    <t xml:space="preserve">As of September 2021, Petra is Lecturer in Biochemical Engineering at University College London.</t>
  </si>
  <si>
    <t xml:space="preserve">Proposal was submitted to the Biotechnology and Biological Sciences Research Council (BBSRC).</t>
  </si>
  <si>
    <t xml:space="preserve">Petra Hanga</t>
  </si>
  <si>
    <t xml:space="preserve">Biological Engineering</t>
  </si>
  <si>
    <t xml:space="preserve">https://docs.google.com/document/d/1ZfLBq6QdTqwlWfVbevqHKGM_eKuvIwmR-E_O3uKchKI/edit?usp=sharing</t>
  </si>
  <si>
    <t xml:space="preserve">Platform of Immersible Microfluidic-free Silicon Photonic Probes for Effortless On-the-spot Analytical Determinations (MERLIN)</t>
  </si>
  <si>
    <t xml:space="preserve">https://ec.europa.eu/info/funding-tenders/opportunities/portal/screen/opportunities/topic-details/horizon-cl4-2021-digital-emerging-01-13;callCode=null;freeTextSearchKeyword=;matchWholeText=true;typeCodes=1;statusCodes=31094503;programmePeriod=2021%20-%202027;programCcm2Id=43108390;programDivisionCode=null;focusAreaCode=null;destinationGroup=null;missionGroup=null;geographicalZonesCode=null;programmeDivisionProspect=null;startDateLte=null;startDateGte=null;crossCuttingPriorityCode=null;cpvCode=null;performanceOfDelivery=null;sortQuery=deadlineDate;orderBy=desc;onlyTenders=false;topicListKey=topicSearchTablePageState</t>
  </si>
  <si>
    <t xml:space="preserve">GFI U.S. provided a LoS.</t>
  </si>
  <si>
    <t xml:space="preserve">https://docs.google.com/document/d/1Wi3WDEGMV5QgP_nsbljwVfOgDsWYZUwQ3CgAajTftU4/edit?usp=sharing</t>
  </si>
  <si>
    <t xml:space="preserve">Novel low-emission food production systems project focused on cultivated meat</t>
  </si>
  <si>
    <t xml:space="preserve">No decision yet</t>
  </si>
  <si>
    <t xml:space="preserve">Simon reached out via email in April 2023 and Stella will be providing a letter of support.</t>
  </si>
  <si>
    <t xml:space="preserve">Simon Hubbard</t>
  </si>
  <si>
    <t xml:space="preserve">Upstream Applied Science Ltd</t>
  </si>
  <si>
    <t xml:space="preserve">Extracellular</t>
  </si>
  <si>
    <t xml:space="preserve">https://apply-for-innovation-funding.service.gov.uk/competition/1415/overview/ea580f20-6c68-4784-89b1-29ea076fdb3d</t>
  </si>
  <si>
    <t xml:space="preserve">FutureProteins – Coupled agricultural systems for a resilient and sustainbale production of high-quality food proteins</t>
  </si>
  <si>
    <t xml:space="preserve">https://www.ivv.fraunhofer.de/en/food/future-proteins.html</t>
  </si>
  <si>
    <t xml:space="preserve">Peter Eisner</t>
  </si>
  <si>
    <t xml:space="preserve">Fraunhofer Institute for Molecular Biology and Applied Ecology IME</t>
  </si>
  <si>
    <t xml:space="preserve">Fraunhofer Institute for Process Engineering and Packaging IVV, Fraunhofer Institute for Interfacial Engineering and Biotechnology IGB, Fraunhofer Institute for Optronics System Technology and Image Exploitation IOSB, Fraunhofer Institute for Machine Tools and Forming Technology IWU</t>
  </si>
  <si>
    <t xml:space="preserve">TASTE2MEAT (From Side-Streams to tasty meat alternatives and hybrids</t>
  </si>
  <si>
    <t xml:space="preserve">“The TASTE2MEAT project aims to meet protein needs by upcycling alternative plant proteins such as sunflower press cake and side streams from meat production. To create tasty meat alternatives and hybrid products that serve as sustainable protein sources, novel technologies such as electrostatic separation are used to concentrate plant proteins. High moisture extrusion is then used for the actual production of meat alternatives and hybrid products. Here, the primary focus lies on a high sensory quality. Taste and texture are the key factors when it comes to the consumer acceptance of meat alternatives. The main focus was on structure formation during extrusion and an appealing sensory profile of the products, as these are the decisive criteria for consumer acceptance. In this context, the optimal extrusion parameters as well as the flavour development depending on the ingredient combination were investigated. 3 recipes generated at 30%, 40% and 50% pea protein and 70%, 60% and 50% beef at 20% fat level. A representative consumer study with 200 panellists was conducted in Germany and the UK to evaluate the sensory characteristics, consumer acceptance and willingness to buy of the developed hybrid products. To characterise the taste profile of the products, a descriptive sensory test was conducted with an internal, trained sensory panel. Based on the results, further wet extrusion trials with optimised sunflower press cake took place, in which the texture, mouthfeel and appearance of the wet extrudates were optimised. Further product development of hybrid products and meat alternatives was carried out with the improved texture to optimise the sensory characteristics and appearance of the products.
This will support product development based on consumer preferences and market introduction in selected European markets. Further development is required to bring this process to mass, commercial markets. Obtaining a sufficient sample proved difficult to create samples for shelf-life validations and nutritional analysis”.</t>
  </si>
  <si>
    <t xml:space="preserve">https://www.eitfood.eu/projects/taste2meat</t>
  </si>
  <si>
    <t xml:space="preserve">EU partner?</t>
  </si>
  <si>
    <t xml:space="preserve">Nesli Sozer</t>
  </si>
  <si>
    <t xml:space="preserve">VTT</t>
  </si>
  <si>
    <t xml:space="preserve">abp Food Group, DSM, DIL, University of Helsinki</t>
  </si>
  <si>
    <t xml:space="preserve">SEACUTERIE: Crafting cultivated seafood from ocean leftovers</t>
  </si>
  <si>
    <t xml:space="preserve">The global population is expected to exceed nine billion by 2050, posing significant challenges to food production. Current livestock and fishing practices are unsustainable due to greenhouse gas emissions, pollution, and threats to biodiversity. Cultivated meat and seafood, grown from animal cells, offer a sustainable alternative with reduced environmental impact. Developing biocompatible scaffolds is crucial for large-scale production of cultivated meat and seafood. Here we hypothesize seaweed is a suitable and cost-effective scaffold for cultivated seafood production. Seaweed's biocompatibility, ease of cultivation and harvesting, and established human consumption safety make it a promising candidate for this application.</t>
  </si>
  <si>
    <t xml:space="preserve">https://www.nwo.nl/en/projects/ocenwxs242078</t>
  </si>
  <si>
    <t xml:space="preserve">grant.14493415</t>
  </si>
  <si>
    <t xml:space="preserve">Award amount estimated based on being an XS grant with a max of 50,000 Euro. USD conversion based on 1 EUR = 1.14 USD on 14 April 2025.</t>
  </si>
  <si>
    <t xml:space="preserve">J.P. Marques Garcia</t>
  </si>
  <si>
    <t xml:space="preserve">Wageningen University &amp;amp; Research</t>
  </si>
  <si>
    <t xml:space="preserve">Edible Scaffolds for Cultivated Meat Produced from Waste Derived from the Brewing Industry</t>
  </si>
  <si>
    <t xml:space="preserve">Livestock farming is a major contributor to global warming and depletes water and
land resources. There is demand for alternative approaches to meat production, such
as cultivated meat that involves culturing animal cells to produce meat-like products.
New, game-changing materials are required for large-scale cultivation of cells that are
abundant, affordable, and food-safe. Ideally, these materials should be edible and
produced using environmentally sustainable materials and processes. This project will
investigate the valorisation of waste materials derived from the brewing industry to
produce scaffold materials suitable for the cultivation of cells that can ultimately be
used in the food industry.</t>
  </si>
  <si>
    <t xml:space="preserve">https://gtr.ukri.org/projects?ref=studentship-2854398</t>
  </si>
  <si>
    <t xml:space="preserve">grant.13875097</t>
  </si>
  <si>
    <t xml:space="preserve">Richard Day, Christian Harrison</t>
  </si>
  <si>
    <t xml:space="preserve">England</t>
  </si>
  <si>
    <t xml:space="preserve">Production of superior meat analogues by bridging the benefits of plant proteins and mycelium protein biomass produced from circular substrates (PLANTOMYC)</t>
  </si>
  <si>
    <t xml:space="preserve">PLANTOMYC is a transformative initiative aiming to reshape the landscape of the alternative protein sector. It aims to bridge the versatile benefits of plant-based proteins with the functional and organoleptic (taste, aroma, texture) advantages of mycelial protein biomass (MPB) and develop innovative minimally processed hybrid meat analogues that are both healthy, and tasty. The project promotes sustainability by upcycling underutilized circular substrates such as starch rich pea protein by-product, and brewers spent grains to produce MPB by submerged fermentation (SmF) and solid-state fermentation (SSF), respectively. Envisioning a near-zero waste process design, PLANTOMYC proposes converting the broth from SmF into a Gamma-aminobutyric acid (GABA) enriched beverage and / or a flavorful bouillon. Adopting a multi-actor approach, the project addresses challenges related to consumer preferences, technological scaling, and regulatory requirements. Notably, the impact of PLANTOMYC’s product prototypes on nutritional, functional (gut health &amp; metabolic syndrome), techno-functional, and sensory properties will be assessed thoroughly. Moreover, to advance PLANTOMYC’s TRL, we perform a comprehensive impact assessment for the adoption of these products, utilizing our consortium’s industrial end-users. PLANTOMYC will significantly increase the competitiveness of European alternative protein initiatives. It will accelerate the sector by offering an open-access knowledge platform, introducing new production concepts for hybrid meat analogues, increasing resource independence and efficiency, providing new market opportunities for industrial partners like Millow, BRØL, and Lantmännen, increasing the affordability of alternative proteins, and reducing the environmental footprint of protein production</t>
  </si>
  <si>
    <t xml:space="preserve">https://cordis.europa.eu/project/id/101181982</t>
  </si>
  <si>
    <t xml:space="preserve">grant.14364736</t>
  </si>
  <si>
    <t xml:space="preserve">United Kingdom, Netherlands, Sweden, Spain, Switzerland</t>
  </si>
  <si>
    <t xml:space="preserve">Molecular-scale understanding of current and future food proteins behaviour during falling-film evaporation</t>
  </si>
  <si>
    <t xml:space="preserve">Proteins are vital to the diet. To reduce the climate impact of foods, which generates one-third of human-caused greenhouse emissions, the transition from meat-based to alternative proteins is accelerating. For all foods, prolonging shelf-lives is necessary, which requires reducing the water activity through processes like evaporation. To avoid triggering protein-based food allergy during and improve the efficiency of food processing, the understanding of changing protein conformations caused by processing conditions is imperative. Such molecular-level resolution is challenging experimentally, but readily facilitated by molecular dynamics (MD) simulations, which have been invaluable for fields like drug efficacy, but not yet been fully exploited for food protein processing.Leveraging the applicant’s expertise in MD simulations and chemical process engineering, the proposed research aims at fundamentally understanding protein behaviours during falling-film evaporation (FFE), which is commonly used for thermal-sensitive foods (e.g., milk). A multi-pronged approach is proposed: (1) understand protein fouling behaviours, which is the progressive build-up of protein deposits that reduces the de-watering efficiency; (2) understand the impact of thermal stressors on the molecular structures of food proteins; and (3) bridge molecular- and continuum-scale simulations via the shear-viscosity relationship. The results are valuable for advancing the green transition of the food industry.</t>
  </si>
  <si>
    <t xml:space="preserve">https://www.vr.se/swecris.html#/project/2024-04273_VR</t>
  </si>
  <si>
    <t xml:space="preserve">grant.14499951</t>
  </si>
  <si>
    <t xml:space="preserve">Jia Wei Chew, Srdjan Sasic</t>
  </si>
  <si>
    <t xml:space="preserve">Fungi, Algae and Vicia faba Amalgamation (FAVA)</t>
  </si>
  <si>
    <t xml:space="preserve">Consumers believe that a plant-based diet and tempeh promote good health while being environmentally beneficial, leading to fast-growing interest in these products. The rise of plant-based proteins is a significant trend that will shape research, politics, and food systems for years to come. The increasing demand for plant-based meals like tempeh reflects a permanent shift in diet, driven by various factors and consumer preferences. Tempeh, a popular meat alternative, has been linked to increased environmental footprints and crop exploitation, particularly of soybeans. This raises concerns about the sustainability of meat substitutes. Our solution combines locally produced grains like faba with the aromatic capabilities of sustainable seaweeds. This innovative approach results in meaty products that offer the texture of meat while enhancing nutritional value. Through the fermentation process applied to locally sourced substrates, we create products that are more sustainable than tempeh and tofu. As per the latest market survey report, the tempeh market is set to grow significantly. The net worth in 2023 is projected to reach US$ 4.2 billion, with a promising sales CAGR of 5%. By 2033, sales are predicted to soar to around US$ 6.8 billion, highlighting a clear demand for these products. Recent research indicates a surge in the growth of companies like Better Nature and Tofoo. There's a growing concern about the pricing of meat alternatives and the processed methods used to achieve taste and texture. Our innovative solution involving natural fermentation at low oxidation levels addresses these issues. By utilizing this technique, we can enhance nutrition levels, maintain a natural binding of ingredients, and keep costs low. This approach enables us to offer a final product that is not only affordable but also suitable for a larger segment of society. Our idea is to bring products with ingredients which consumers are familiar with and are transparent on the label end so that people can build more trust in the process whilst simultaneously being able to make a healthier choice in their diet. We aim to tap into the potential of tempeh strains to produce the best of flavours and textures within faba beans in combination with seaweeds utilising our initial prototyping which has helped us to base this research in right direction.</t>
  </si>
  <si>
    <t xml:space="preserve">https://gtr.ukri.org/projects?ref=10131349</t>
  </si>
  <si>
    <t xml:space="preserve">grant.14485870</t>
  </si>
  <si>
    <t xml:space="preserve">Matthew Magilton</t>
  </si>
  <si>
    <t xml:space="preserve">SUSTAINABLE ORGANIC INNOVATION &amp; LEARNING LTD; INNOVATE UK</t>
  </si>
  <si>
    <t xml:space="preserve">Ingredient valorization of reOat – the fiber-rich residue from oat beverage production</t>
  </si>
  <si>
    <t xml:space="preserve">Purpose and goal: 
The project aims to take plant-based food production to the next level by developing ingredients based on extrusion, fermentation, physical and chemical processing. Our goal is to recycle residual side streams from plant-based beverage production into high-value food ingredients with optimized nutritional profile and sensory quality and subsequently commercialize new and circular high-value food ingredients to the global market and create a brighter and more sustainable future. 
Expected results and effects: 
Oat drink producers needs to pay to get rid of their waste streams, turning them into valuable food ingredients and products can increase both climate sustainability and profitability. As the global market for plant-based dairy products is growing rapidly, the project also aim to develop a scalable infrastructure. By developing these ingredients that can be easily formulated into competitive products and reaching the market, consumers will be able to access a more nutritionally optimized vegetarian range of products. 
Approach and implementation: 
The project begins by characterizing the physical, functional, and nutritional properties of the reOat sidestream before and after processing, across batches, and relating them to health aspects and regulations. It will explore improvements in taste, technical properties, microbiological status, and nutrition through various processing techniques. The ingredient(s) will be tested in bakery, extrusion, formulation, and fermentation. Conditions for industrialization and commercialization will also be reviewed to assess the market potential of reOat as a food ingredient.</t>
  </si>
  <si>
    <t xml:space="preserve">https://www.vr.se/swecris.html#/project/2024-02052_Vinnova</t>
  </si>
  <si>
    <t xml:space="preserve">grant.14098223</t>
  </si>
  <si>
    <t xml:space="preserve">Development of functional fava bean food ingredients</t>
  </si>
  <si>
    <t xml:space="preserve">Food companies are seeking to replace egg white in their products for many reasons: cost and supply chain concerns, transitioning to plant based/vegan ingredients for improved sustainability, as well as consumer demand for 'free from' foods. Whilst there are ingredients already available to provide some of the functionality of egg white, they often have associated issues such as odour, or simply aren't sufficiently functional and/or cost effective. For many food producers a genuine alternative to egg white is still a 'holy grail'.
This project seeks to further improve the functionality of a fava bean based egg white replacer already developed by Nandi Proteins. As well as looking to access new applications, the work will also further improve production economics and seek to identify a route to a complete UK-based supply chain from 'seed to food'.</t>
  </si>
  <si>
    <t xml:space="preserve">https://gtr.ukri.org/projects?ref=10086928</t>
  </si>
  <si>
    <t xml:space="preserve">grant.14483760</t>
  </si>
  <si>
    <t xml:space="preserve">Matthew White</t>
  </si>
  <si>
    <t xml:space="preserve">NANDI PROTEINS LIMITED; INNOVATE UK; TARSIS TECHNOLOGY LIMITED</t>
  </si>
  <si>
    <t xml:space="preserve">Implementing a unique commercial-scale mycelium manufacturing process to launch ultra-realistic whole-cut meat alternatives</t>
  </si>
  <si>
    <t xml:space="preserve">We aim to decrease UK meat consumption, causing climate change(14.5% GHGs) and diet-related disease(WHO), by launching the **UK's first ultra-realistic steak alternative**.
With growing sustainability/health concerns around meat, meat-alternatives are fast-growing. Whole-cuts (steaks/fillets/etc) represent 85% of real meat, but are near-absent from meat-alternatives; a huge untapped opportunity.
Plant-proteins have short fibres, with which it is difficult to replicate the fibrous texture of meat whole-cuts, and most products mimic processed meats (burgers/mince/sausages). To continue reducing meat consumption **we need better quality, more innovative whole cuts alternatives**.
Mycoprotein has huge potential for meat whole-cuts alternatives, with long fibres (hyphae), exceptional protein quality, fibre and micronutrients (**highly nutritious**), and **sustainability benefits** (**our products emit 93% lower GHGs than beef**).
Adamo Foods has developed an **ultra-realistic, clean-label mycelium steak**, with a uniquely fibrous muscle-texture. In this project, Adamo will implement a scaled-up production process and establish a pilot production line ready for commercialisation; a technically complex process, involving late-stage R&amp;D. We will launch a pilot at a well-known steakhouse chain, supplying product from our new production facility.</t>
  </si>
  <si>
    <t xml:space="preserve">https://gtr.ukri.org/projects?ref=10087261</t>
  </si>
  <si>
    <t xml:space="preserve">grant.14485370</t>
  </si>
  <si>
    <t xml:space="preserve">ADAMO FOODS LTD; INNOVATE UK</t>
  </si>
  <si>
    <t xml:space="preserve">31/10/2025</t>
  </si>
  <si>
    <t xml:space="preserve">Upcycling water from legume processing to meet high demand for plant-based food ingredients: Creating new opportunities for UK legumes</t>
  </si>
  <si>
    <t xml:space="preserve">Wet processing of legume seeds such as beans, peas, chickpeas, and lentils, is used commercially to make pre-cooked food products including hummus and canned beans. The cooking water from this process is considered a liquid waste product, but was recently discovered to have useful techno-functional properties like foaming, emulsification and gelling, and given the name 'aquafaba'. With the plant-based market growing rapidly and expected to reach US$160 billion globally within the next decade, the demand for ingredients to replace egg or dairy protein functionality in a variety of foods, including mayonnaise, cakes and bakery, is higher than ever. Upcycling waste-water from commercial legume processing into aquafaba represents a significant opportunity for sustainable and cost-effective production of vegan alternatives to animal protein.
Despite its potential, the lack of understanding surrounding aquafaba functionality has hindered its widespread adoption by food producers. So far, aquafaba production has mainly been limited to imported chickpeas, while the potential to obtain aquafaba from underutilised UK-grown legumes have been overlooked. Furthermore, factors such as legume variety and processing conditions, which have a big impact on ingredient performance, are still poorly understood. Thus, although new aquafaba ingredients are emerging, their unpredictable and highly variable performance is a major technical barrier to successful commercial use.
This translational project will address this issue by using recent mechanistic insights to improve the extraction of functionally active components from UK grown legumes into aquafaba, thus delivering more consistent and standardised end-product quality.
Our approach uses infrastructure and mechanistic understanding established in previous work, where we set-up a wet-process to make innovative cellular flours (PulseON®) from a range of different legumes, generating aquafaba as a waste-stream. Here we will use the existing PulseON® wet-processing plants and recent scientific insights to improve the quality and types of aquafaba that can be made from the waste-water generated during manufacture of PulseON® or indeed other cooked legume products.</t>
  </si>
  <si>
    <t xml:space="preserve">https://gtr.ukri.org/projects?ref=BB%2FY513568%2F1</t>
  </si>
  <si>
    <t xml:space="preserve">grant.14483622</t>
  </si>
  <si>
    <t xml:space="preserve">Cathrina Edwards, Jennifer Ahn-Jarvis, Peter Wilde</t>
  </si>
  <si>
    <t xml:space="preserve">Quadram Institute</t>
  </si>
  <si>
    <t xml:space="preserve">30/11/2025</t>
  </si>
  <si>
    <t xml:space="preserve">iMeat: a cell reprogramming platform for cultured meat production</t>
  </si>
  <si>
    <t xml:space="preserve">Developing a sustainable Global Food System to feed the human population, expected to reach 10 billion by 2050, will require a fundamental transformation in the ways we source nutritious food products, whilst protecting the planet's resources. The OECD/FAO agricultural Outlook report 2021 projects a 15% increase in the demand for meat globally over the next decade. Meeting this demand by conventional agriculture will lead to further intensification of farming, resulting in further deforestation and increased greenhouse gas emissions (&gt;9%), which will have negative impact on our climate. Consumers are looking to alternatives to traditional meat, which is driving significant investment in novel technologies to produce cultured meat. Cultured meat has the potential to fundamentally change the way we produce meat, offering an animal-harm free, antibiotic-free, nutritionally balanced product, produced within an ecosystem of renewable energy sources. Cultured meat products have already been approved by food regulators in the US and Singapore and it is expected that other countries will follow. A small number of restaurants and butchers offers cultured meat products in Singapore. Investment in this emerging industry has surpassed 2 billion U$S in 2022, and start-up companies now exist in more than 25 countries.
The challenge for this emerging industry is to develop a robust, reproducible, and cost-effective cultured meat manufacturing method using small tissue biopsies as the starting material. Currently, the efficiency of cell isolation and consistency in their proliferative capacity in bioreactors is highly variable between batches, making manufacturing inefficient and inconsistent. To address this critical bottleneck and building on work previously funded by BBSRC, this project aims to develop a platform for the generation of reprogrammed somatic cells from tissue biopsies with potential for differentiation into muscle progenitors. We will apply the knowledge gained from our recent work on livestock embryonic stem cell biology to device a reprogramming methodology for converting somatic cells obtained from biopsies into reprogrammed pluripotent cells. To achieve this goal, we will use established mRNA reprogramming technology and grow the cells under chemically defined, and animal-free culture conditions, compliant with the food standards guidelines. This technical innovation will enable the efficient and reproducible generation of stable cells obtained from small biopsies of any livestock species with high competence for muscle differentiation when expanded in bioreactors. This technological solution will greatly enhance the sustainability of cultured meat production and consequently a wider acceptance of this source of meat by consumers.</t>
  </si>
  <si>
    <t xml:space="preserve">https://gtr.ukri.org/projects?ref=BB%2FY513556%2F1</t>
  </si>
  <si>
    <t xml:space="preserve">grant.14486100</t>
  </si>
  <si>
    <t xml:space="preserve">Ramiro Alberio</t>
  </si>
  <si>
    <t xml:space="preserve">NutriNano: Feasibility study on application of natural and liposomal bioactive ingredients for improved nutrition</t>
  </si>
  <si>
    <t xml:space="preserve">Dietary intakes of omega-3 long chain polyunsaturated fatty acids (O3LC-PUFAs) play an important role in the regulation of the development of the brain and normal heart function and the regulation of blood triglyceride content including, inflammatory and immune responses. The European Food Standards Authority (EFSA) approval of health claims relating to the benefits of O3LC-PUFA intake concluded that 250mg/day is required for the maintenance of general cardiovascular health among healthy adults and children and 2-4g/day is needed for maintenance of blood pressure and triglyceride levels.
Presently, the main sources for O3LC-PUFAs are fish and fish oils, however, the production of these sources is unsustainable and unlikely to meet the growing demand, especially for vegan sources. Only 25% of the UK population are oily fish consumers and further decreases are anticipated due to growing plant-based diets and sustainability concerns. Microalgae such as _Chlorella vulgaris_ provide a sustainable alternative source of O3LC-PUFAs, however food products containing them have poor consumer acceptance due to strong 'fishy' odours. Furthermore, they lack efficacy with regard to dose of O3LC-PUFAs delivered (poor bioavailability) increasing the gap between dietary intake and recommendations (particularly for children, teenagers, females and pregnant women) which has significant implications for human health in current and future generations.
Liposomes (small oil droplets) exist in many foods naturally in the form of emulsions, such as human milk. Ultrasonic cavitation (UCav) of oils generates nano-sized droplets (nano-liposomes) which in the presence of water or aqueous solutions creates nano-emulsions. Oils in nano-emulsions survive passage through the digestive system (bioaccessibility), are more readily digested and absorbed from the gut (bioavailability). UCav is energy intensive and has limited scope for industrial scale nano-emulsion production. This project will evaluate more sustainable, scalable, mechanical cavitation (MCav) methods for microalgal oil nanoliposome production which, in association with flavour masking techniques, will aim to produce various readily-consumed foods and supplements containing O3LC-PUFAs with improved bioaccessibility and bioavailability. The performance of these innovative functional foods and supplements will be determined through _in vitro_ digestion (human digestive models), whilst consumer acceptance will be determined through use of sensory panels. Extended shelf-life of the nano-liposomes in nano-emulsions will be evaluated through the addition of polyphenols which act as anti-oxidants.
This project will help to pave the way towards the development of a wider range of functional foods. These have potential promise to help close the omega-3 dietary gaps and promote health in adults and children.</t>
  </si>
  <si>
    <t xml:space="preserve">https://gtr.ukri.org/projects?ref=10073346</t>
  </si>
  <si>
    <t xml:space="preserve">grant.14048095</t>
  </si>
  <si>
    <t xml:space="preserve">Weili Li</t>
  </si>
  <si>
    <t xml:space="preserve">UNIVERSITY OF CHESTER; AGRIFOOD X LIMITED; BIOPOWER TECHNOLOGIES LIMITED; NUTRITIONAL INSIGHT LIMITED; INNOVATE UK; EFFICIENCY TECHNOLOGIES LIMITED; OBSERVE TECHNOLOGIES LIMITED; HTC GROUP LIMITED</t>
  </si>
  <si>
    <t xml:space="preserve">Impact of Fermentation on the Technofunctional and Digestibility Properties of Oat-Based Cheese (FerOtChee) </t>
  </si>
  <si>
    <t xml:space="preserve">The production of high-quality plant protein as sustainable alternative for animal proteins is an immediate requirement for the EU population. FerOtChee is a multidisciplinary project that focuses on the development of fermented plant-based Mozzarella-style cheese using oat protein. The challenges associated with the nutritional and technofunctional properties of oat protein will be addressed using innovative solutions: a) Blending: Oat protein will be partially replaced with pea protein as a complementary source. This approach has a potential to create protein hybrids with a balanced amino acid profile; b) Chemical modification: Enzymatic hydrolysis may improve the technofunctional properties of oat protein. It can also lead to the generation of lower molecular weight peptides with health-promoting effects; and c) Microbial fermentation: This will be the main strategy employed in FerOtChee to enhance the nutritional quality of oat protein. During submerged fermentation, microbial strains will be cultivated individually or in a co-cultivation setup using an oat-enriched protein substrate. Microbial enzymes e.g., proteolytic, cell-wall degrading, and antinutritional factor (ANF)-degrading enzymes generated during fermentation will target issues like poor digestibility, low recovery, and high ANF content in oat protein. The oat cheese will undergo assessment for technofunctional properties, in vitro digestibility, biological activities and the level ANF. The optimised process, which results in the production of high-quality fermented cheese at the lab scale will be transferred to a food-grade pilot plant. 
The majority of this project will be carried out at UCD (main host). The Fellow will also engage in two secondments: 1) Scientific secondment at INRAe-Rennes for study of in vitro digestibility using INFOGEST; and 2) Industry placement at Tirlán to upscale the process. The Fellow will also undergo a training plan that encompasses scientific and transferrable skills.</t>
  </si>
  <si>
    <t xml:space="preserve">https://cordis.europa.eu/project/id/101150806</t>
  </si>
  <si>
    <t xml:space="preserve">grant.14030640</t>
  </si>
  <si>
    <t xml:space="preserve">TIRLÁN LIMITED; UNIVERSITY OF LIMERICK; INSTITUT NATIONAL DE RECHERCHE POUR L'AGRICULTURE, L'ALIMENTATION ET L'ENVIRONNEMENT</t>
  </si>
  <si>
    <t xml:space="preserve">Ireland; France</t>
  </si>
  <si>
    <t xml:space="preserve">Plant-based Proteins for Health and Wellbeing (PAN Sweden)</t>
  </si>
  <si>
    <t xml:space="preserve">Efforts to limit the environmental impact from animal-based food include a shift towards the production and consumption of plant-based proteins. However, plant-based proteins may be inferior to animal-based ones with respect to their health effects and perceived taste.PAN Sweden’s goal is to clarify the relationship between processing, structure, bioavailability, digestion and fermentation of proteins and dietary fibre, and health effects in terms of gut, metabolic and mental health. Furthermore, sensory and consumer behaviour aspects as well as how policy, strategies and regulations can support the transition towards plant-based proteins, will be studied.Our core approach is the further development and application of a comprehensive and integrated model/method “toolbox” that facilitates innovations within plant-based products and dietary fibre with proven benefits for health and wellbeing but also being the preferred choice of the consumer.PAN Sweden’s vision is that sustainable-produced food with health benefits will be the consumers’ preferred choice. We bundle a globally unique set of interdisciplinary competence and infrastructure overarching food, nutritional, technical, medical, behavioural and political sciences. Our approach provides Sweden an exclusive chance to successfully build the knowledge, competence and skills to become a leading global player in plant-based food development and consumption.</t>
  </si>
  <si>
    <t xml:space="preserve">https://www.vr.se/swecris.html#/project/2024-01022_Formas</t>
  </si>
  <si>
    <t xml:space="preserve">grant.14500417</t>
  </si>
  <si>
    <t xml:space="preserve">Robert Brummer</t>
  </si>
  <si>
    <t xml:space="preserve">Örebro University</t>
  </si>
  <si>
    <t xml:space="preserve">Consumer and market research, Health/nutrition</t>
  </si>
  <si>
    <t xml:space="preserve">Harnessing the immense potential of precision fermentation to produce animal fats for the next generation of meat and dairy alternatives (Melt and Marble)</t>
  </si>
  <si>
    <t xml:space="preserve">Melt&amp;Marble (M&amp;M) is a Sweden-based company that specializes in developing exceptional fats for plant-based foods. The origins of our company trace back to Jens Nielsen's Systems and Synthetic Biology group at Chalmers University of Technology in Gothenburg, Sweden. Currently, more than 60% of dietary proteins are supplied by animals whose farming takes up ~77% of all agricultural land despite supplying only 17% of the world’s calories. Dependence on animal proteins leads to ecosystem destruction, biodiversity loss, and &gt;15% of GHG emissions. Though there are alternate meat and dairy options available, the plant-based oils and fats used in plant-based meat and dairy analogues simply cannot compete with the functionality and flavour of animal fats. We have created for the first time, a scalable, precision-fermentation-based proprietary technology platform using engineered yeasts that produce animal-like fats with superior functionality and flavour that customers are demanding. The fats have lower saturated fats levels (40-60% vs. 90% of coconut oil) and better functionality than coconut oil to impart a better taste to meat and dairy analogues. The entire technology platform is scalable due to the existing and outsourced fermentation infrastructure.
The fats are customizable to various food and non-food applications and will benefit the alternative meat producers within the EU and globally. Our technology is protected by a robust IP strategy and patents. We have 10 granted patents and 2 pending patents across 5 patent families and the innovation stems from 2 crucial components protected by these IPs that allow us to efficiently produce highly tailored fats.
We have already scaled up our first product to pilot scale (TRL 5). Within this project, we will improve our production process, scale up further to demo scale, and conduct extensive application tests. This will allow us to advance to TRL 8 and significantly de-risk our investment case.</t>
  </si>
  <si>
    <t xml:space="preserve">https://cordis.europa.eu/project/id/101188773</t>
  </si>
  <si>
    <t xml:space="preserve">grant.14613568</t>
  </si>
  <si>
    <t xml:space="preserve">MELT&amp;MARBLE AB</t>
  </si>
  <si>
    <t xml:space="preserve">Novel precision fermentation process to produce animal-free bioidentical ovalbumin (Bioalbumin)</t>
  </si>
  <si>
    <t xml:space="preserve">Eggs are critically important in the global food system due to functional and nutritional properties; yet the egg market and supply chains are in crisis due to cage-free requirements and avian flu. Onego Bio will make it possible to manufacture egg protein entirely animal-free. We developed a highly-scalable precision fermentation process using the patented Trichoderma reesei cellular-based production to produce animal-free ovalbumin. We produce bioidentical egg protein with cost parity and 87% lower CO2 emissions compared to traditional animal-derived eggs.
Ovalbumin is the most important egg protein, responsible for the essential ingredient performance. This single protein ovalbumin can solve all current challenges in the egg market and supply chain.
Our product, Bioalbumen provides the nutritional and functional upsides of egg protein, without the environmental, ethical and safety-related drawbacks. Our manufacturing method stabilises the food supply chain and increases food security.</t>
  </si>
  <si>
    <t xml:space="preserve">https://cordis.europa.eu/project/id/101188965</t>
  </si>
  <si>
    <t xml:space="preserve">grant.14487929</t>
  </si>
  <si>
    <t xml:space="preserve">ONEGO BIO LTD</t>
  </si>
  <si>
    <t xml:space="preserve">FINEST - Food Innovation Enabling Sustainable Transition, phase 2</t>
  </si>
  <si>
    <t xml:space="preserve">FINEST – Food Innovation Enabling Sustainable Transitions – is based on the work carried out over the past four years contributing to the sustainable transition of the Swedish food system through the development, scaling, and implementation of new solutions.  The centre will support the transformation of the food system by providing platforms for researchers and stakeholders to create new knowledge, innovate, and accelerate change in the system. Focus in the second phase of FINEST will be on three areas: 1) value chains related to forest foods, 2) next generation of plant-based foods as complements or alternatives to meat, and 3) foods that do not need arable land for production.The centre is multidisciplinary and includes the competence areas: sustainability transitions, business model innovation, raw materials and ingredients production, product design, food safety, consumer behaviour, as well as systems thinking and foresight.The goal of FINEST phase two is to contribute towards a sustainable transition of the food system through co-creation and collaboration with stakeholders. FINEST will create value together with actors in the system who are responsible for making the change happen.The impact of FINEST lies in the multi/transdisciplinary work facilitated by the centre structure with three interconnected arenas (research, innovation, and network), where stakeholder driven processes will be at the core to ensure relevant output and successful implementation</t>
  </si>
  <si>
    <t xml:space="preserve">https://www.vr.se/swecris.html#/project/2024-01020_Formas</t>
  </si>
  <si>
    <t xml:space="preserve">grant.14500415</t>
  </si>
  <si>
    <t xml:space="preserve">Karin Östergren</t>
  </si>
  <si>
    <t xml:space="preserve">IMPACT OF ALTERNATIVE PROTEIN SOURCES TO IMPROVE NUTRITION (IMPROVE)</t>
  </si>
  <si>
    <t xml:space="preserve">IMPROVE aims at evaluating the nutritional, health, safety and quality aspects together with the environmental and socio-economic impacts of protein novel foods (NFs) obtained from unconventional sources. In order to close the project loop by maximizing the positive impact on the transition towards healthier, protein NFs, the overall approach to alternative protein production in IMPROVE is based on utilization of selected agri-food and fisheries&amp;acquaculture by-products as primary feedstock as well as on the utilization of natural protein producers, i.e. fungi, bacteria, insects micro- and macroalgae. The secondary by-products formed along the value chain will be up-cycled for their use in the food production cycle or for the production of process energy.
The obtained proteins will undergo modification and functionalization followed by a sensory evaluation and testing in food human trials and in aquaculture as feed ingredients. The project will also test the feasibility of producing NF products by simulating realistic industrial scale, using different methods and tools such as LCA, LCC, RA, TEA and AO as well as Digital Twins and real time AI-driven monitoring and DSS tools. The optimization of parameters affecting the protein NF production will be evaluated at the end to increase protein content and the impact assessment evaluated on each single stage (extraction, characterization, modification/functionalization of protein rich fraction, production of NFs) and on the integrated processes. IMPROVE NF acceptance and social relevance –also through sensory evaluation actions- will be assessed in four markets (Europe, USA, Africa and Asia) to benchmark the European scenario with the rest of the world. Only by using an integrated approach like the one proposed in IMPROVE will it be possible to evaluate the correct feasibility in the use of alternative proteins in the food sector with a realistic sustainable approach.</t>
  </si>
  <si>
    <t xml:space="preserve">https://cordis.europa.eu/project/id/101182324</t>
  </si>
  <si>
    <t xml:space="preserve">grant.14487894</t>
  </si>
  <si>
    <t xml:space="preserve">; ; Attiki; ; ; ; Hovedstaden; ;</t>
  </si>
  <si>
    <t xml:space="preserve">France; Portugal; Greece; Italy; Italy; Malta; Denmark; Spain; Germany</t>
  </si>
  <si>
    <t xml:space="preserve">CIRCular valorisation of industrial ALGAE waste streams into high-value products to foster future sustainable blue biorefineries in Europe</t>
  </si>
  <si>
    <t xml:space="preserve">Algae biomass is highly underexploited and its efficient utilization is one of the main challenges in current and future EU marine policies towards sustainability. CIRCALGAE will boost the blue bioeconomy by applying an integrated biorefinery concept to valorise the massively produced (over 36 Mt of algae biomass annual world production) and vastly underexploited algae industrial waste streams (which can add up to 95% of the initial biomass) from the main existing sources to date: the phycolloid production from macroalgae and protein/lipid microalgae industries. CIRCALGAE’s simple, water-based technologies, will transform these waste streams into value-added ingredients to be used in specific texturized vegan foods, health-promoting food ingredients, protein rich feed, and cosmetic formulations incorporating texturizing or highly bioactive ingredients for topical use. 3 blue biorefinery schemes up-scaled to hundreds of kg will be demonstrated throughout CIRCALGAE project. 12 demonstrator products will be developed by food, feed and cosmetic industry partners validating the great potential of novel algae ingredients in these key sectors. Additionally, 2 final products will be qualified for market including their studies in consumer acceptance assessments. Through co-creating and co-learning, CIRCALGAE will connect all algae cross-sectional actors, including industrial end-user partners, RTOs, technological and consultancy SMEs, for the validation of all health-promoting effects and claims, regulatory aspects and environmental, economic and social impacts, engaging all relevant stakeholders in the primary sector to re-shape the current industrial network for a future thriving blue bioeconomy.</t>
  </si>
  <si>
    <t xml:space="preserve">https://cordis.europa.eu/project/id/101060607</t>
  </si>
  <si>
    <t xml:space="preserve">grant.12941157</t>
  </si>
  <si>
    <t xml:space="preserve">; ; ; ; ; ; ; ; ;</t>
  </si>
  <si>
    <t xml:space="preserve">Sweden; Norway; France; Sweden; Germany; Spain; Belgium; Ireland; Portugal; Belgium</t>
  </si>
  <si>
    <t xml:space="preserve">MeatPrint – Ergründung des mechanophysikalischen und biochemischen Zusammenspiels von Hydrogel-Additiv-Formulierungen sowie bovinen Muskel- und Fettzellen unterschiedlicher Differenzierungsstadien in hochskaligen 3D-Biodruckprozessen</t>
  </si>
  <si>
    <t xml:space="preserve">Das Projekt MeatPrint befasst sich mit der Ergründung des mechanophysikalischen und biochemischen Zusammenspiels von Hydrogel-Additiv-Formulierungen sowie bovinen Muskel- und Fettzellen unterschiedlicher Differenzierungsstadien in hochskaligen 3D-Biodruckprozessen. Um die komplexe Morphologie und hierarchische Strukturierung von lebendem Gewebe nachzuempfinden, werden im Bereich des Tissue Engineering seit einigen Jahren 3D-Biodrucktechniken erforscht, die eine präzise Positionierung von Zellen und ECM-Materialien ermöglichen. Diese Techniken werden bisher maßgeblich als Batch-Prozesse eingesetzt. Die eingeschränkte Skalierbarkeit solcher Prozesse, ist für den Bereich der regenerativen Medizin von untergeordneter Bedeutung. Für die Herstellung von In-Vitro-Gewebemodellen für die Pharmaforschung oder für Anwendungen im Bereich der zellulären Landwirtschaft (z.B. Cultured Meat), die zukünftig größere Produktionsvolumina erfordern, sind jedoch kontinuierliche Druckprozesse, die eine skalierbare Biofabrikation erlauben, gefragt. An dieser Stelle setzt das vorliegende Forschungsvorhaben an, in dem der Siebdruck als hochskaliges Biofabrikationswerkzeug untersucht wird. Beim 3D-Biodruck treten je nach Druckmodalität unterschiedliche Wechselwirkungen zwischen dem eingesetzten Düsen- oder Applikationssystem, dem Druckmaterial und den darin enthaltenen Zellen auf. Diese können sowohl die Textur des Gewebes als auch die Zellentwicklung nachhaltig beeinflussen. Ziel des Forschungsvorhabens ist es, die genannten Interaktionen und deren Auswirkungen auf Überlebensrate, Morphologie und Genexpression von zwei für die zelluläre Landwirtschaft relevante Zelltypen (primäre bovine Muskel- und Fettzellen) in unterschiedlichen Reifegeraden zu erforschen. Zu diesem Zweck wird der Siebdruck als skalierbare Biodrucktechnologie ergründet und mit dem Mikroextrusionsdruck verglichen. Die Wechselwirkungen werden in Abhängigkeit von relevanten Druckparametern (Geschwindigkeit, Druckvolumen, Dispensierschubspannungen) während und nach dem Druck erforscht. Besonders spannend wird hierbei die Frage sein, wie die beiden Zelltypen, die sich je nach Differenzierungsgrad deutlich in Morphologie (runde Fettzellen vs. fusionierte Muskelfasern) und Biomechanik (fettsäurereiche Vesikel vs. aktin- und myosinreiches Zytoskeleton) unterscheiden, auf die externen Reize reagieren. Aus den gesammelten empirischen Daten werden Interaktionsmodelle erstellt, die Rückschlüsse auf den Einfluss der druckabhängigen Scherkräfte auf primäre tierische Zellen zulassen. Abschließend wird ergründet, ob die drucktechnischen Reize auch zu einer Modulation der Zell-Zell-Interaktion in Ko-Kulturen beider Zelltypen führen. Die im Rahmen des Vorhabens gewonnenen Erkenntnisse liefern einen wichtigen Beitrag zur zukünftigen Skalierung von Biodruckverfahren und damit zur Ergründung vielfältiger Translationsmöglichkeiten im Bereich der Medizin, der Pharmaforschung und der zellulären Landwirtschaft.</t>
  </si>
  <si>
    <t xml:space="preserve">https://gepris.dfg.de/gepris/projekt/555001364?context=projekt&amp;task=showDetail&amp;id=555001364&amp;</t>
  </si>
  <si>
    <t xml:space="preserve">Ing. Andreas Blaeser, Petra Kluger</t>
  </si>
  <si>
    <t xml:space="preserve">Lab to Market: Natural Oat ß-glucan elevating flavour and health in Plant protein- pioneering clean-label foods</t>
  </si>
  <si>
    <t xml:space="preserve">The inherent beany taste and bitterness of legumes, faba beans and yellow peas, pose problems in plant-based diets. They can be masked by costly e-coded additives, but there is growing consumer demand for clean-label products. This project aims to replace flavour modifiers with oat bran-derived β-glucan, a natural hydrocolloid that enhances the sensory qualities of plant-based foods while preserving nutritional value. The first task (WP1) will be laboratory work to develop and validate oat bran extraction and treatment methods to maximise β-glucan off-flavour masking ability. Next, scaled-up lab-scale and pilot tests (WP2) will assess the sensory performance and scalability of β-glucan in high-protein bread. The finally (WP3) is economic evaluation of production costs and market potential for β-glucan-enriched foods, focusing on clean-label integration. Expected outcomes are refined β-glucan extraction protocols, verified sensory improvements in high-protein bread and detailed economic feasibility report. Project results will be disseminated through scientific publications, industry presentations and workshops to the scientific community and the food industry. By using oat bran β-glucan, this initiative will reduce product-alien additive use, enhance nutritional quality, support sustainable agricultural practices and promote healthier dietary trends, thereby positioning β-glucan as a viable, sustainable flavour modifier in food.</t>
  </si>
  <si>
    <t xml:space="preserve">https://www.vr.se/swecris.html#/project/2024-01030_Formas</t>
  </si>
  <si>
    <t xml:space="preserve">grant.14501348</t>
  </si>
  <si>
    <t xml:space="preserve">Maud Langton</t>
  </si>
  <si>
    <t xml:space="preserve">Functionality of milk fat globule membrane ingredients and their plant-based alternatives</t>
  </si>
  <si>
    <t xml:space="preserve">The different composition of infant formula compared to human milk can impact their digestibility. Milk fat globule membrane (MFGM) is a promising ingredient for infant formulas, while plant lecithins are commonly used to stabilize emulsions. Yet, the high compositional variability in these ingredients can impact their functionalities. In this project, we will characterize the extent of processing-induced variation of MFGM and lecithin composition and its potential impact on their functionalities. The project will focus on the stability and the digestion fate of emulsions, to develop promising dairy- and plant-based alternatives for infant formulas.</t>
  </si>
  <si>
    <t xml:space="preserve">https://www.nwo.nl/en/projects/20883</t>
  </si>
  <si>
    <t xml:space="preserve">grant.14369002</t>
  </si>
  <si>
    <t xml:space="preserve">M. Hennebelle, A. Jean, R. Sun</t>
  </si>
  <si>
    <t xml:space="preserve">14/11/2028</t>
  </si>
  <si>
    <t xml:space="preserve">PROTSENS Rethinking Alternative PROTein Extraction: Decoding SENsory-Protein Extraction Relationships</t>
  </si>
  <si>
    <t xml:space="preserve">The global food system emits about 18% Green House Gas (GHGs), due to its reliance on animal-sourced ingredients such as proteins.
Therefore, to reduce the environmental impact of the food system and improve sustainability, plant, insect, and microalgae-based
protein sources are being investigated. However, these proteins suffer from poor sensory perception of bitterness and astringency,
leading to poor adoption by society. Previous research projects have failed to provide mechanistic insight and strategies to minimize
these negative sensory perceptions at an ingredient level. Therefore, the question remains, whether these proteins are inherently
bitter and astringent or does the protein extraction process leads to protein modifications that cause these sensory perceptions.
PROTSENS aims to understand and minimize these negative perceptions using green extraction methods that preserve protein
structure. Protein extracts resulting from these novel processes will be thoroughly characterized. The mechanism of astringency and
bitterness will be studied from macro to nanoscale using physical methods, while bitterness will be investigated using sensory cells in
vitro in a simulated oral environment. The in vitro, ex vivo and physical tools will serve as a novel toolbox to investigate astringency
and bitterness perception. The link between protein properties, extraction methods, and their sensory perception will be captured in
a Machine Learning (ML) model. The model will provide a guide on protein extraction routes, based on protein source to preserve
protein structure and improve sensory perception. Overall, PROTSENS, through its novel experimental toolkit and ML model,
improves the sensory perception of novel proteins and adoption. PROTSENS will open new horizons in European academic research
on food proteins. The success of PROTSENS will help drive the adoption of novel proteins, decrease GHGs in the food system, and help
mitigate climate change.</t>
  </si>
  <si>
    <t xml:space="preserve">https://gtr.ukri.org/projects?ref=EP%2FZ000785%2F1</t>
  </si>
  <si>
    <t xml:space="preserve">grant.14049622</t>
  </si>
  <si>
    <t xml:space="preserve">Engineering safe faba beans by targeting the anti-nutrients vicine and convicine (CleanBean)</t>
  </si>
  <si>
    <t xml:space="preserve">Faba bean is a high-yielding protein crop well adapted to cold climates. Its seeds contain large amounts of protein, antioxidants, and micronutrients, making it an ideal crop to support the transition toward a plant-based diet. However, faba bean seeds also accumulate high levels of the anti-nutritional alkaloids vicine and convicine. These alkaloids cause hemolytic anemia (favism) in individuals with a genetic deficiency (G6PD deficiency) occurring in ~5% of the world population. Faba bean varieties with reduced levels of vicine and convicine exist, but the residual levels are variable, causing concern for the food industry. The development of varieties devoid of vicine and convicine has been hampered by a lack of genomic resources and insufficient knowledge about their biosynthesis. 
In the CleanBean project, I will team up with Prof. Fernando Geu-Flores from the Department of Plant and Environmental Sciences of the University of Copenhagen. I will use recently generated resources to uncover the full vicine and convicine pathway and create faba bean lines devoid of these anti-nutrients. The proposed work involves gene selection through co-regulation &amp; association strategies, pathway elucidation using in vitro and in vivo assays, and pathway inactivation in faba bean using the recently published FIND-IT technology (non-GMO). The impact of CleanBean will be multifaceted, spanning both fundamental and applied research. On the basic science side, the project will uncover the complete pathway of a nucleotide-derived specialized metabolite from plants for the first time. On the applied side, the project will lead to the creation of a vicine- and convicine-free faba bean, thus enabling the safe consumption of faba beans by all individuals and helping transform the landscape of sustainable food production.</t>
  </si>
  <si>
    <t xml:space="preserve">https://cordis.europa.eu/project/id/101149224</t>
  </si>
  <si>
    <t xml:space="preserve">grant.13984174, grant.13909180</t>
  </si>
  <si>
    <t xml:space="preserve">KOBENHAVNS UNIVERSITET</t>
  </si>
  <si>
    <t xml:space="preserve">Innovative R&amp;D for Sustainable, High-Quality, and Cost-Effective Spirulina Production in Eastern England</t>
  </si>
  <si>
    <t xml:space="preserve">National and global food systems face numerous challenges, including unsustainable production methods that drive biodiversity loss, soil degradation, pollution, water scarcity, and climate change. The deterioration of these resources and the reduction in food quality are having a more detrimental impact on human health than ever before. Furthermore, the issue of food scarcity poses a significant threat to the world's population.
This project addresses these issues by offering sustainable, innovative farming methods and a product that can enhance the nutritional profile of diets and contribute to food security in the UK and worldwide.
Spirulina, known as one of nature's greatest superfoods, has all the nutrition required by the human body. It is rich in vitamins, minerals, antioxidants, protein, quality carbohydrates, fats, and phytochemicals---all in one food. It boosts the immune system, energy levels, heart health, and brain function, while also having anti-inflammatory and detoxifying properties. Moreover, spirulina cultivation requires minimal land, water, and resources, making it a sustainable plant-based protein source that can reduce the environmental impact of animal agriculture.
In the UK, spirulina production faces challenges due to unsuitable weather conditions, a lack of dedicated cultivation, and heavy reliance on imports. Over 90% of spirulina products are imported, often produced in open pond systems that lead to contamination and significant nutrient loss through heat drying. Consequently, the full nutrient potential of spirulina remains untapped. Improved research, stricter regulations, quality control, and dedicated cultivation are essential to produce high-quality, nutrient-rich spirulina and restore its reputation.
This project focuses on the advanced research and development of spirulina farming to enhance biomass production under UK weather conditions, improve nutritional quality, and extend shelf life. We will also investigate efficient production methods and wastewater recycling techniques. The outcome will be high-quality, nutritious spirulina, available in both raw and dried forms without heat drying. This initiative supports sustainable food production and aims to provide a foundation for large-scale commercial spirulina farming, contributing to food security and environmental sustainability.</t>
  </si>
  <si>
    <t xml:space="preserve">https://gtr.ukri.org/projects?ref=10127896</t>
  </si>
  <si>
    <t xml:space="preserve">grant.14485679</t>
  </si>
  <si>
    <t xml:space="preserve">Dhan Ghale</t>
  </si>
  <si>
    <t xml:space="preserve">NEPSOURCE SPIRULINA FARM LTD; INNOVATE UK</t>
  </si>
  <si>
    <t xml:space="preserve">Inspiring CO2 circularity by introducing carbon transformation to our plates (C-2C)</t>
  </si>
  <si>
    <t xml:space="preserve">REVOLUTIONIZING FOOD PRODUCTION WITH CO2 INPUTS AND CARBON-NEGATIVE MICROALGAEE PROTEINS
Solmeyea is a biotech company producing functional food ingredients as an alternative to both animal- &amp; plant-based proteins. Our groundbreaking, IP-protected Hybrid Vertical Microalgae Fermentation (HVF) technology, enables microalgae fermentation using CO2 in lieu of carbon substrates and Greece's abundant Renewable Energy Sources. This combination results in the production of carbon-negative, microalgae-derived proteins in various colors requiring 0.1% of the crops-land on 200x higher yields of the same proteins.
ENHANCING FOOD SECURITY, GEOPOLITICS &amp; ECONOMIC IMPACT
Our HVF not only unlocks the full potential of microalgae but also addresses EU’s critical challenges, reducing reliance on heavily commoditized and price-volatile crops and glucose. We support food security, facilitate the production of fermented CO2-derived food proteins and replace imported, highly processed and environmentally harmful crop-derived ones. We ensure the efficient production of food ingredients, contributing to national and EU GDP and empower the EU to regain independence and geopolitical competitiveness. 
SOLUTION: MEY PROTEIN FOR HUMAN CONSUMPTION AT SCALE
MEY is the first-ever non-GMO protein produced from CO2 with the highest standards for human consumption. Through the pioneering combination of gas and microalgae fermentation, we transform SCOPE:1 CO2 into authorized, white, functional food protein. Compared to any FDA/EFSA-approved protein, our microalgae-derived MEY demonstrate 30x higher land-efficiency and 400x more sustainable in terms of water and carbon footprint.
EICA SUPPORT: ADVANCING TECHNOLOGY TO TRL:9 AND BEYOND
It will propel Solmeyea's CO2-Bioconversion and microalgae fermentation system to (TRL) 9, projecting an annual revenue of €190 million by 2029. Our integrated AI models ensure precision, efficiency and cost-effectiveness at both our demo and future flagship devel</t>
  </si>
  <si>
    <t xml:space="preserve">https://cordis.europa.eu/project/id/101188544</t>
  </si>
  <si>
    <t xml:space="preserve">grant.14613561</t>
  </si>
  <si>
    <t xml:space="preserve">SOLMEGIA MONOPROSOPI I.K.E.</t>
  </si>
  <si>
    <t xml:space="preserve">Greece</t>
  </si>
  <si>
    <t xml:space="preserve">31/8/2026</t>
  </si>
  <si>
    <t xml:space="preserve">TWINNING TOWARDS SCIENTIFIC AND TECHNOLOGICAL EXCELLENCE IN PLANT PROTEIN RESEARCH (PROTWIN)</t>
  </si>
  <si>
    <t xml:space="preserve">Three key global drivers underpin the increased interest in plant protein-based diets: population-growth, important role of proteins in a healthy diet, and the environmental impact of animal-based food chains. While an increasing trend in proportion of plant sources included in diet is obvious, the current generation of commercial plant-based alternatives is suboptimal. More research is needed to obtain a comprehensive understanding on the impact of plant proteins on technological and nutritional functionality, including their digestibility and effect on gut microbiota. Despite high potential of protein crops in Türkiye and TÜBİTAK’s national reputation in plant-protein research, this is not sufficient for its scientific recognition among the EU's leading Institutes. Therefore, TÜBİTAK must improve its scientific and technological capacity, build a strong international network, and fill the gaps of this emerging protein for food field. In this context, PROTWIN is the most appropriate tool for TÜBİTAK to build a capacity development system at national and EU levels and being able to timely capture opportunities in the field of plant proteins research. The overall objective of PROTWIN is to stimulate scientific excellence, widening and strengthening networking activities between TÜBİTAK and top-class leading counterparts in EU in “plant protein innovation for food domain” by linking it with Aarhus University, University of Liege and CNR-ISPAAM. The significant complementarities between these institutions, processing, digestion, and gut microbiota for health, and -omics analytical platforms will enable through networking excellence in research and innovation, through knowledge transfer and exchange of best practice. PROTWIN will help raise the research profile of TÜBİTAK as well as the research profile of its staff. The mutual benefits of PROTWIN partnership will secure new joint research projects in the plant protein domain and provide continuity in the future.</t>
  </si>
  <si>
    <t xml:space="preserve">https://cordis.europa.eu/project/id/101158968</t>
  </si>
  <si>
    <t xml:space="preserve">grant.14031153</t>
  </si>
  <si>
    <t xml:space="preserve">; ; ; ; Piemonte; ; ; İstanbul; ; Emilia-Romagna; ;</t>
  </si>
  <si>
    <t xml:space="preserve">Turkey; Turkey; Denmark; Belgium; Italy; Belgium; Italy; Turkey; Spain; Italy; Turkey; Turkey</t>
  </si>
  <si>
    <t xml:space="preserve">Accelerating PROteins innoVAtors beyond reguLatory Sandboxes (APROVALS)</t>
  </si>
  <si>
    <t xml:space="preserve">In the coming decades, society faces the formidable challenge of providing sustenance for a global population expected to reach 10 billion by 2050. Fortunately, the burgeoning field of biotechnology holds significant promise in addressing this challenge by revolutionizing food production. The central aim of this proposal is to pave the way for the widespread adoption of an innovative technology known as cellular agriculture, which is poised to play a pivotal role in facilitating the global protein transition. Cellular agriculture, in essence, represents a breakthrough methodology for producing a spectrum of sustainable food products.
Lead by 8 organisations from 7 countries, representing the innovation ecosystem, APROVALS aims to facilitate the seamless integration of emerging cellular agriculture technologies into the global food landscape, through two main activities:
- Sandbox for Innovation: APROVALS offers a dedicated sandbox environment where innovators can test and refine their solutions. This sandbox acts as a fertile ground for experimentation, enabling startups and SMEs to develop their technologies and bring them to market.
- Interconnected Stakeholders: The project places a strong emphasis on fostering collaboration among key stakeholders involved in cellular agriculture:
1) Start-ups and Growing SMEs: These enterprises are provided with essential support to advance their technologies and successfully navigate the journey from innovation to market.
2) Innovation Support: Tailored support initiatives are crafted to mitigate risks associated with the innovation process, fostering a conducive ecosystem for cellular agriculture innovation.
3) Regulators and Policymakers: APROVALS actively engages with regulators and policymakers to establish robust protocols and a legal framework. This framework serves to safeguard the market and consumers while simultaneously preventing unwarranted regulatory hurdles that could impede progress in cellular agriculture.</t>
  </si>
  <si>
    <t xml:space="preserve">https://cordis.europa.eu/project/id/101158173</t>
  </si>
  <si>
    <t xml:space="preserve">grant.14037909</t>
  </si>
  <si>
    <t xml:space="preserve">DISTRETTO TECNOLOGICO CAMPANIA BIOSCIENCE SCARL; STICHTING PLANET B.IO; EUROPABIO; TEKNOLOGIAN TUTKIMUSKESKUS VTT OY; SMILE INCUBATOR AB; GENOPOLE GIP; IRISH BIOECONOMY FOUNDATION; VITAGORA POLE</t>
  </si>
  <si>
    <t xml:space="preserve">;</t>
  </si>
  <si>
    <t xml:space="preserve">Belgium; Finland</t>
  </si>
  <si>
    <t xml:space="preserve">High protein, added value, faba beans for food applications (FABAPLUS)</t>
  </si>
  <si>
    <t xml:space="preserve">There is a large and growing market for plant-based protein, within which the imperative for price competitiveness and sustainability continues to drive a major shift in preferred raw material from soybean and pea to faba bean.
Prior UKRI funded research by the applicants has developed faba bean genome maps and uncovered sequence variation controlling a variety of simple and complex faba bean seed traits including, crucially to this application, levels of anti-nutrients as well as nutrients in the seed.
The team has thus secured a world-leading position in understanding the genetic architecture of faba bean seed storage protein content and composition. They have already laid the foundations for commercial exploitation of this knowhow by conducting market research into the demand for faba bean varieties with enhanced protein content, quality or both (the 'Fabaplus' concept), by generating novel nutritionally enhanced breeding material and validating cutting edge methodologies for selection of commercially viable candidate varieties with uniquely high content and high quality of seed protein.
However, the long duration of the breeding process and uncertainties over which characteristics other than seed nutritional density/quality might be decisive in determining the commercial success of a putative 'Fabaplus' variety mean that it is difficult for commercial bean breeders to invest in the concept as it currently stands. Therefore, it is appropriate to request UKRI support for a development plan which will take the 'Fabaplus' breeding pipeline to the point where novel candidate lines with both competitive yields and unique quality characteristics can be evaluated for their technical performance by commercial partners in their plant protein concentration processes.
The programme essentially involves scaling up efficient DNA and protein profiling of 1,000s of individual lines from breeding populations, so that we can stack beneficial DNA variants and process a sufficiently large population to find rare individuals combining competitive commercial yield potential with unprecedented levels of high-quality protein.
To assess the utility of 'Fabaplus' trait enhancements, we have partnered with a plant protein processor who has specifically targeted faba bean as a raw material fitting the sustainability and nutritional values required by their business models. Our processor partners will conduct side-by-side evaluations of 'Fabaplus' candidate varieties alongside best current commercially available raw materials to determine any gains in efficiency or end product quality attributable to the raw material, forming the basis for an assessment of economic returns that will drive demand for 'Fabaplus' varieties.
Two alternative routes to commercialisation are envisaged: either a dedicated new spinout company will be formed to finish and submit 'Fabaplus' varieties for Plant Breeder's Rights or the further breeding and commercialisation will be pursued through partnership with commercial breeders under a licensing arrangement. An advisory board of commercial bean breeders and end user partners will provide ongoing feedback throughout the programme and a forum through which optimum commercialisation routes can be developed</t>
  </si>
  <si>
    <t xml:space="preserve">https://gtr.ukri.org/projects?ref=BB%2FZ516089%2F1</t>
  </si>
  <si>
    <t xml:space="preserve">grant.14483357</t>
  </si>
  <si>
    <t xml:space="preserve">Donal O'Sullivan, Thomas Robertson-Shersby-Harvie, Paola Tosi</t>
  </si>
  <si>
    <t xml:space="preserve">microTEXTURE: Unlocking the Secrets of Plant-Based Textures through Investigations at Multiple Length Scales</t>
  </si>
  <si>
    <t xml:space="preserve">MicroTEXTURE is centered on moving forward the development of sustainable cheese alternatives derived from plant sources currently hindered by inferior textural attributes. The objective is to elucidate the complex microstructural dynamics of plant-based milk alternatives during their transformation into cheese-like textures. The approach involves utilizing advanced microscopy to study how different constituents contribute to aggregation. By examining how these components interact and aggregate, we aim to decipher the mechanisms underpinning texture development. Rheological data will be recorded and furthermore MicroTEXTURE will employ sensory analysis, to assess the mouthfeel textural attributes cheese alternatives. By integrating microscopy-rheology-sensory analysis, MicroTEXTURE seeks to formulate predictive models that will facilitate the tailoring of cheese alternative textures by manipulating the composition and conditions of plant-based milk alternatives.
</t>
  </si>
  <si>
    <t xml:space="preserve">grant.13910467</t>
  </si>
  <si>
    <t xml:space="preserve">Jose C. Bonilla</t>
  </si>
  <si>
    <t xml:space="preserve">Syddanmark</t>
  </si>
  <si>
    <t xml:space="preserve">Valorization of Agro-Industrial Waste through Fungi Fermentation supported by Digital Modeling (Zest)</t>
  </si>
  <si>
    <t xml:space="preserve">The world's ever-growing population demands an increasing amount of protein, which cannot be sustainably met through traditional sources. Innovative approaches are key to procure high-quality protein both efficiently and sustainably. ZEST plans to harness technologies that can exert a global impact, by producing close to user, thus minimizing the carbon footprint associated with logistics from farm to table. Fungi-based protein presents a promising solution to this challenge, given its versatility in utilizing a variety of raw materials and its potential for global production. ZEST's strategy focuses on devising an enhanced fermentation production system capable of generating a diverse array of bio-based protein products. Our primary objectives include: 1) Developing an efficient, zero-waste automatic production system. 2) Designing a multipurpose bioreactor adaptable to substrates with varying viscosities and dry matter content. 3)Assessing the entire value chains to ascertain their economic viability, market potential, environmental impact, and sustainability of fungal-based products.
With the advent of advanced technologies such as Artificial Intelligence (AI), we can embed process knowledge into control systems. This ensures accessibility across both geographical and educational barriers, thus equipping these solutions to deliver maximal impact on the climate crisis through their truly global applications. Our strategy incorporates an efficient, zero-waste automatic production system that integrates feedstock screening, fermentation condition monitoring and control, along with downstream processing control. We will employ a variety of agricultural waste streams as feedstock. Also, ZEST aims to assess a range of compounds for their potential applications across various industries. ZEST's approach is geared towards driving the state-of-art in protein production efficiency, yield, and quality, with broad applications in the burgeoning biobased industry worldwide.</t>
  </si>
  <si>
    <t xml:space="preserve">https://cordis.europa.eu/project/id/101157382</t>
  </si>
  <si>
    <t xml:space="preserve">grant.14031086</t>
  </si>
  <si>
    <t xml:space="preserve">; ; ;</t>
  </si>
  <si>
    <t xml:space="preserve">Denmark; Spain; Spain; Latvia</t>
  </si>
  <si>
    <t xml:space="preserve">31/5/2028</t>
  </si>
  <si>
    <t xml:space="preserve">Harnessing genetic diversity of the novel rapeseed food crop via transport engineering</t>
  </si>
  <si>
    <t xml:space="preserve">Rapeseed (Brassica napus) is the world’s third largest oilseed crop. The press cake that remains after oil pressing contains 30-40% protein with an excellent amino acid composition. The press cake is receiving increased attention as a source of high-quality plant-based protein for human consumption. Today, rapeseed breeding is genetically limited, as it relies on a single genetic source to reduce antinutritional glucosinolates in the seeds. For the rest of the plants, glucosinolates are defense compounds. This project implements an innovative strategy using transport engineering to specifically eliminate the antinutritional, defense compounds in the seeds of rapeseed, while keeping them in the rest of the plants. This will generate new disease-resistance cultivars. Moreover, by freeing rapeseed from its current single genetic background, the approach will greatly expand the gene pool of rapeseed for breeding future resilient, high-yield rapeseed as a promising novel food crop. 
</t>
  </si>
  <si>
    <t xml:space="preserve">grant.13909296</t>
  </si>
  <si>
    <t xml:space="preserve">Deyang Xu</t>
  </si>
  <si>
    <t xml:space="preserve">Maximising potential of plant-based convenience foods in real-life sustainable diets.</t>
  </si>
  <si>
    <t xml:space="preserve">Reducing meat and dairy consumption is essential to mitigate climate change, but sustainable plant-based diets must be realistic, particularly given the cost-of-living crisis. This project will assess the potential of appealing, nutritionally balanced plant-based convenience foods to overcome barriers to sustainable diets. We will compare plant-based ready meals to home-cooked meals on dimensions of cost, convenience, appeal, nutrition, greenhouse gas (GHG) emissions. We will analyse real-life food decisions of young women in the transition to sustainable diets and co-create scenarios with them illustrating computationally modelled trade-offs between key dimensions. Creative illustrations and scenario narratives will provide accessible insights for policymakers to feed into successful, realistic policy. Using these outputs, we will work with our UK policy partners (heath and climate) to co-produce policy options and actionable climate change mitigation solutions with health co-benefits. Key goals - Quantify cost, preparation time, GHG emissions and nutrition of plant-based ready meals and home-cooked meals; - Compute GHG emission reductions of substituting meat-based meals with plant- based ready meals; - Analyse real-life food decisions and potential impacts of plant-based convenience foods; - Identify trade-offs of dimensions associated with plant-based convenience foods; - Create visuals and narratives depicting scenarios for realistic sustainable diets; - Co-produce with policymakers context-relevant options for policy development.</t>
  </si>
  <si>
    <t xml:space="preserve">https://wellcome.org/research-funding/funding-portfolio/funded-grants/maximising-potential-plant-based-convenience-foods</t>
  </si>
  <si>
    <t xml:space="preserve">grant.14268942</t>
  </si>
  <si>
    <t xml:space="preserve">Pete Smith, Eleonora Belfiore, Esther K. Papies, Michael Clark, Pete Smith</t>
  </si>
  <si>
    <t xml:space="preserve">University of Aberdeen</t>
  </si>
  <si>
    <t xml:space="preserve">Wellcome Trust</t>
  </si>
  <si>
    <t xml:space="preserve">A transition towards sustainable food systems is urgently needed to face challenges such as climate change or scarcity of resources.
Food impact accounts for 26% of global greenhouse gas emissions. Animal-based food products in the European diet is the most
important factor determining the footprint of food consumption. Plant-based dairy and meat alternatives have grown in popularity in
recent years for various reasons, including sustainability and health benefits as well as lifestyle trends and dietary restrictions.
However, plant-based food products can be nutritionally unbalanced, and their flavour profiles may limit their acceptance by
consumers. Microorganisms have been used in making food products for millennia. Besides their primary role in food preservation, by
virtue of their fermentative metabolism, they contribute to improving food safety and organoleptic properties and can provide
additional health-promoting effects. However, the diversity of microbial communities driving plant-based fermentations, as well as
their key genetic and phenotypic traits and potential synergies among community members, remain poorly characterized. Many data
exist but they are spread into different literatures (scientific and grey) or in best case in different databases, but not always reusable
because difficult to find, access and because databases are not systematically interoperable. The FAIROmics innovative
interdisciplinary research programme will gather universities and private companies to enable the FAIRification of omics data and
databases interoperability, and develop knowledge graphs for data-driven decision making to rationally design microbial
communities for imparting desirable characteristics to plant-based fermented foods in the context of open science and its
regulations. The FAIROmics training programme aims at developing Doctoral candidates' skills at the interface between artificial
intelligence, life sciences, humanities and social sciences.</t>
  </si>
  <si>
    <t xml:space="preserve">https://gtr.ukri.org/projects?ref=EP%2FY032748%2F1</t>
  </si>
  <si>
    <t xml:space="preserve">grant.13905576</t>
  </si>
  <si>
    <t xml:space="preserve">Kimon Karatzas</t>
  </si>
  <si>
    <t xml:space="preserve">29/2/2028</t>
  </si>
  <si>
    <t xml:space="preserve">Meatier meat-analogues through elucidating and optimising water entrainment in mycoprotein-based products</t>
  </si>
  <si>
    <t xml:space="preserve">Current studies extrapolate the physicochemical state of water and its contribution to structure and product quality, only through textural analysis of the final product. Additionally, these studies typically investigate model systems with a very short ageing cycle. This type of studies only provides a small part of the knowledge required for industrial applications, where profound transformations in the water state, distribution within the product, and interactions with proteinaceous structural components occur. 
Aim: Understand, track, and predict water physicochemical state and distribution in mycoprotein mixtures to aid rational design of meat analogues.
Objectives:
1. Investigate the impact of mycoprotein concentration and cooling induced supersaturation on the freezing behaviour and the physicochemical state (bound vs unbound) of water. 
2. Understand the impact of non-mycoprotein ingredients on water crystallisation, mobility, and re-crystallisation behaviour.
3. Evaluate the role of water physicochemical state on the mycoprotein multi-scale molecular assembly into fibrous bundles. 
4. Correlate water state and thermo-mechanical behaviour of mycoprotein-based bundles to the sensory response aiding the mimicking of real meat sensory.</t>
  </si>
  <si>
    <t xml:space="preserve">https://gtr.ukri.org/projects?ref=studentship-2905301</t>
  </si>
  <si>
    <t xml:space="preserve">grant.14053972</t>
  </si>
  <si>
    <t xml:space="preserve">Vincenzo Di Bari, Rosa Espircueta</t>
  </si>
  <si>
    <t xml:space="preserve">Nottingham</t>
  </si>
  <si>
    <t xml:space="preserve">31/1/2028</t>
  </si>
  <si>
    <t xml:space="preserve">Plant Protein Nanofibrils: The Eco-Friendly Food Stabilizer of the Future</t>
  </si>
  <si>
    <t xml:space="preserve">Plant-based protein nanofibrils (PNFs) have the potential to revolutionise the food industry by serving as an eco-friendly alternative to synthetic or animal-based stabilisers. This project will evaluate the feasibility of PNFs as natural stabilisers in food products in terms of their physicochemical properties, production viability, environmental impact and consumer attitudes. Specific objectives are to investigate the capability of PNFs as structuring agents in food processing, assess their potential for large-scale production and storage, evaluate their environmental impact using life cycle analysis, and investigate consumer attitudes and preferences when purchasing products that use PNFs. The findings can help establish a knowledge base on extensive use of PNF-based stabilised emulsions in the food industry, facilitating decision-making and encouraging sustainable and ethical food production practices. They can also be used in a framework to modify production procedures, minimise environmental impacts and promote sustainable food production practices.</t>
  </si>
  <si>
    <t xml:space="preserve">https://www.vr.se/swecris.html#/project/2023-00381_Formas</t>
  </si>
  <si>
    <t xml:space="preserve">grant.13901646</t>
  </si>
  <si>
    <t xml:space="preserve">Jing Lu, Per-Anders Hansson, Vivian Wei Huang, Helena Hansson, Maud Langton</t>
  </si>
  <si>
    <t xml:space="preserve">Meat and Medicine: Regenerative programming of animal and human stem cells for engineered skeletal muscle</t>
  </si>
  <si>
    <t xml:space="preserve">Background: Pluripotent (PSC) and multipotent (such as mesenchymal; MSCs) stem cells hold great promise for the treatment of human skeletal muscle trauma and diseases, but also for the generation of new approaches to generate tissue for food consumption. However, it remains challenging to convert PSCs or MSCs to skeletal muscle cells, and the mechanisms by which the master regulatory transcription factors, promotes muscle stem (satellite) cell identity are not yet fully understood. However it is clear that viral or transgenic expression of transcription factors (TFs) such as Pax7 or MyoD can effectively induce the muscle program in these cell types.
Approach: We have developed a non-viral method to deliver genes to tissues, cells or stem cells. This will be the focus of the PhD, to deliver TF genes to stem cells in order to mediate there programming into myogenic precursors and to expand and use those cells to generate tissue of regenerative grafts and as meat-substitutes. You will use PSC and MSC lines as proof of concept, employing iPSCs from pig, sheep and cow to generate species specific muscle tissue for food applications. For clinical use you will employ human iPSCs, MSCs and bone marrow and liposuction aspirates to program these tissue stem cells into muscle for with cell-therapies or for tissue engineering and implant applications. The genes, duration of expression, if serial dosages are required and the culture conditions will require optimisation and assessment. The seeding of scaffolds with generated progenitors or directly programming in 3D will be needed to generate tissue which will also be studied. Interestingly we have electrical stimulation set ups that can be used to physiologically test
contraction of engineered muscle and there is potential to move to in vivo testing depending on the project with collaborators at the RCSI (Dublin, Ireland) and JHU (Baltimore, USA).
Location: The project will be carried out in the new state-of-the-art Biodiscovery institute at University Park (James Dixon) and the School of Biosciences at Sutton Bonington Campus (Ramiro Alberio). The use of human and animal cells of this application will be transformative and is likely to have significant commercial value and interaction with stakeholders. Presently the MoD (through the DSTL) are funding bone and fat reconstructive technologies using gene delivery in the Dixon group and this PhD could add impact and synergy to these projects reciprocally.
Techniques and opportunities: The project will use cell/stem cell culture, QPCR, immunolabelling, flow cytometry, single cell RNAseq, vector design and construction, gene delivery, scaffolds, tissue engineering, electrical stimulation, in vivo translation.
References to learn more:
1. Lilja et al. Pax7 remodels the chromatin landscape in skeletal muscle stem cells. PLoS ONE 12(4):e0176190.
2. Darabi R and Perlingueiro R (2016). Derivation of Skeletal Myogenic Precursors from Human Pluripotent Stem Cells Using Conditional Expression of PAX7. Methods in Mol Biol 1357:423-439</t>
  </si>
  <si>
    <t xml:space="preserve">https://gtr.ukri.org/projects?ref=studentship-2434424</t>
  </si>
  <si>
    <t xml:space="preserve">grant.9451210</t>
  </si>
  <si>
    <t xml:space="preserve">James Dixon</t>
  </si>
  <si>
    <t xml:space="preserve">Vegane Alternative zu Kuhmilch-Hartkäse/Halbhartkäse</t>
  </si>
  <si>
    <t xml:space="preserve">In this project, the project partners are further developing the current state of the art for the production of vegan alternatives to cow's milk hard cheese and strive for improved product functionality</t>
  </si>
  <si>
    <t xml:space="preserve">https://www.aramis.admin.ch/Grunddaten/?ProjectID=46944&amp;Sprache=en-US</t>
  </si>
  <si>
    <t xml:space="preserve">grant.9374500</t>
  </si>
  <si>
    <t xml:space="preserve">Freddy Hunziker</t>
  </si>
  <si>
    <t xml:space="preserve">New Roots AG</t>
  </si>
  <si>
    <t xml:space="preserve">Ecological critique and civic experiments in plant-based agricultural alternatives (CIVEX)</t>
  </si>
  <si>
    <t xml:space="preserve">Anders Blok</t>
  </si>
  <si>
    <t xml:space="preserve">KU University of Copenhagen</t>
  </si>
  <si>
    <t xml:space="preserve">Independent Research Fund Denmark</t>
  </si>
  <si>
    <t xml:space="preserve">Consumer and market research, Env/impact assessments</t>
  </si>
  <si>
    <t xml:space="preserve">Revealing factors determining quality and functionality of plant proteins fractionated by sustainable dry processing for human consumption</t>
  </si>
  <si>
    <t xml:space="preserve">Bekzod Khakimov</t>
  </si>
  <si>
    <t xml:space="preserve">Impact analysis of the novel food knowledge unit</t>
  </si>
  <si>
    <t xml:space="preserve">The study evaluates the possible impact of creating a knowledge unit on novel food and, more broadly, food innovation, on the Estonian food industry and economy. By definition of European Food Safety Authority (EFSA), and under EU regulations, any food that was not consumed “significantly” prior to May 1997 is considered to be a novel food. The category covers new foods, food from new sources, new substances used in food as well as new ways and technologies for producing food.</t>
  </si>
  <si>
    <t xml:space="preserve">https://www.etis.ee/Portal/Projects/Display/682eb1d6-9107-4373-8d4c-177d38540ee4</t>
  </si>
  <si>
    <t xml:space="preserve">Kaupo Koppel</t>
  </si>
  <si>
    <t xml:space="preserve">Civitta Estonia</t>
  </si>
  <si>
    <t xml:space="preserve">Estonia</t>
  </si>
  <si>
    <t xml:space="preserve">Tallinn Technology Park (Tehnopol)</t>
  </si>
  <si>
    <t xml:space="preserve">Microbial proteins as food product?</t>
  </si>
  <si>
    <t xml:space="preserve">Given the constantly growing world population, humanity is heading towards a so-called “protein gap”. The coverage of animal-produced proteins will not be sufficient to adequately supply the world's population. Furthermore, the intensive use of animals has a massive impact on the environment and must be reduced. In addition to the transformation of the food industry towards plant-based protein alternatives, insects are now also being considered as innovative protein sources in the Western world. Another rapidly developing field of research is the development of technologies for the production of microbially produced protein (SCP = single cell protein). The production of selected proteins using precision fermentation has been common practice for years in both the pharmaceutical sector and in flavor and enzyme production. However, research in the area of mass production for nutritional purposes is still in its infancy. Although cultured meat in particular has attracted a lot of media attention, the cellular production of soluble proteins that are incorporated into commercial products is already much more common. In precision fermentation, single-celled organisms such as bacteria, algae, yeast and mold are supposed to mass produce the desired proteins, which normally have to be obtained from plant or animal agriculture. Producing these proteins using microorganisms promises many benefits, such as creating a smaller carbon footprint, reducing water consumption, protecting agricultural land and animal welfare. This literature review aims to summarize and evaluate the current state of research in the new research field and to uncover research gaps and opportunities.</t>
  </si>
  <si>
    <t xml:space="preserve">https://www.fisaonline.de/en/find-projects/details/?tx_fisaresearch_projects%5Baction%5D=projectDetails&amp;tx_fisaresearch_projects%5Bcontroller%5D=Projects&amp;tx_fisaresearch_projects%5Bp_id%5D=18021&amp;cHash=b22a4a500f3926d8334e5f8b21a32e20#fundingprogramme</t>
  </si>
  <si>
    <t xml:space="preserve">MRI - Department of Food and Bio Process Engineering (MRI-LBV)</t>
  </si>
  <si>
    <t xml:space="preserve">Food4Cells Sustainable cell culture media for cultivated meat</t>
  </si>
  <si>
    <t xml:space="preserve">The main objective of the project is to develop sustainable cell culture media for cultivated meat based on Norwegian plant-based ingredients. 
The sub-goals are: 
Identify, isolate, and characterise sustainable, cost-effective, and suitable Norwegian plant-based ingredients. 
Test and verify the ingredients in cell culture media and map essential nutrients. 
Confirm whether the selected ingredients for use in cell culture media work in scalable cultivation formats. 
Assess the environmental impact and estimate the economic viability of the cell culture media through life cycle analyses (LCA)</t>
  </si>
  <si>
    <t xml:space="preserve">https://nofima.com/projects/sustainable-cell-culture-media-for-cultivated-meat/</t>
  </si>
  <si>
    <t xml:space="preserve">Award amount estimated based on the program awarding 139.6 million NOK to 39 awards. NOK to USD conversion based on 1 NOK = 0.095 USD on 14 April 2025.</t>
  </si>
  <si>
    <t xml:space="preserve">Mona Elisabeth Pedersen</t>
  </si>
  <si>
    <t xml:space="preserve">MadeSweetly - precision fermentation process for sweet protein production</t>
  </si>
  <si>
    <t xml:space="preserve">Excessive sugar consumption has led to serious health issues. In the UK, 17 million people are obese and 5 million live with diabetes, of which 24,000 die prematurely every year. This has led health experts to advocate for reduced sugar intake, resulting in heightened public awareness and government policies to combat excessive sugar consumption. Consequently, there is a growing demand for healthy sugar alternatives that align with both consumer and governmental requirements for healthier living. 
While various sugar alternatives exist, they often come with significant limitations. However, sweet-tasting proteins have emerged as a promising solution. Derived from West African berries and processed like other healthy food proteins, they show a remarkable sweetness profile up to 3000x higher than sugar. Furthermore, they are suited for the industry thanks to the stability under different conditions and pleasing taste profiles. Despite their great potential, they are yet to become mainstream. The main obstacle is their commercially unfeasible cost and scale, resulting from farming complexities, low yields, and intricate extraction processes. 
To solve this, we're tapping into the transformative potential of engineering biology to create biological production systems. By leveraging cutting-edge genetic tools to engineer microorganisms, we are designing an optimal protein production platform. Our solution capitalises on our expertise with a high potential and safe non-model organism poised to disrupt current industry standards. In our engineered 'cell factories' we can produce these proteins cost-effectively and ecologically, to pave the way for the successful introduction of sweet proteins to the market at scale. This project presents a holistic solution to address the issues associated with sugar and sweetener consumption with a bio-based solution. By effectively tackling these challenges, it not only helps overcome the current problems but also drives the advancement of the bioindustry within the country, establishing a competitive edge on the global stage.</t>
  </si>
  <si>
    <t xml:space="preserve">http://gtr.ukri.org/projects?ref=10112087</t>
  </si>
  <si>
    <t xml:space="preserve">Alicia Graham</t>
  </si>
  <si>
    <t xml:space="preserve">UBLII LTD</t>
  </si>
  <si>
    <t xml:space="preserve">Sugar</t>
  </si>
  <si>
    <t xml:space="preserve">Sustainable protein production for therapeutic and biotechnological applications</t>
  </si>
  <si>
    <t xml:space="preserve">Streptomyces spp. are characterised by a complex secondary metabolism which is the basis of many agrichemicals and clinical pharmaceuticals including almost half of all antibiotics. 
They also offer an alternative to E. coli and yeast to develop a new and sustainable protein and peptide production platform with industrial application, especially to produce otherwise difficult to manufacture proteins and peptides with therapeutic, agrichemical and biotechnological applications. This will be the focus of the project. 
The successful candidate will have access to cutting-edge research facilities within the John Innes Centre as well as a stimulating interdisciplinary research and training environment, and they will gain an excellent foundation in biochemistry, protein production, molecular microbiology, synthetic biology, chemical biology and enzymology. 
They will also work closely with the team at a leading UK biotechnology company with whom they will interact extensively. As such the project offers an opportunity to learn a plethora of techniques and research approaches, and the combination of skills and experience provided by this studentship will make the successful candidate highly employable in both academia and industry.</t>
  </si>
  <si>
    <t xml:space="preserve">http://gtr.ukri.org/projects?ref=studentship-2928996</t>
  </si>
  <si>
    <t xml:space="preserve">LEGU4FOOD - Encouraging the cultivation of minor legumes in Switzerland through the development of innovative plant-based foods</t>
  </si>
  <si>
    <t xml:space="preserve">The rising demand for alternative proteins in Switzerland prompts the need to explore a wider range of plant-based protein sources and expand the domestic acreage. However, critical knowledge gaps exist in connecting food industry requirements with breeding and cultivation, particularly on Swissadapted varieties of underutilized pulses such as grass peas and white lupins. These two crops have a high agronomic potential for climate-resilient farming but their current use in agrifood sector is limited due to the presence of undesired compounds, namely ODAP in grass peas and alkaloids
in lupins. This project proposes a holistic approach to study the potential of Swiss-grown white lupin and grass pea as local sources of protein. It aims to link breeding strategies to food processing, involving multiple actors of the value chain. We will explore the processability and quality properties of
these two pulses, while addressing significant challenges posed by the antinutrients ODAP and alkaloids, at various levels of processing depth and tailored to the needs of different users. Options to valorise by-products and technological side-streams will be pursued to create added value and enhance
resource management and efficiency. A Swiss Living Lab for grain legumes will facilitate engagement with actors across the value chain. Serving as a hub for co-creation and knowledge dissemination, it will give us the opportunity to further unlock the potential of legumes as a sustainable and nutritious protein source.</t>
  </si>
  <si>
    <t xml:space="preserve">https://www.aramis.admin.ch/Texte/?ProjectID=55932&amp;Sprache=en-US</t>
  </si>
  <si>
    <t xml:space="preserve">Ludivine Nicod, FiBL</t>
  </si>
  <si>
    <t xml:space="preserve">Federal Office for Agriculture</t>
  </si>
  <si>
    <t xml:space="preserve">How to make consumers choose plant based food in the store - An economic experiment</t>
  </si>
  <si>
    <t xml:space="preserve">https://portal.research.lu.se/en/projects/how-to-make-consumers-choose-plant-based-food-in-the-store-an-eco</t>
  </si>
  <si>
    <t xml:space="preserve">Christian Jörgensen</t>
  </si>
  <si>
    <t xml:space="preserve">successful protein shift in schools–Prototyping a norm change tool kit towards alternative proteins</t>
  </si>
  <si>
    <t xml:space="preserve">Purpose and goal:
The project´s objective is to create and test a prototype of a toolbox to promote the transition to alternative proteins in school meals. The aim is to engage students, parents, educators, principals and meal staff in this protein shift through activities and materials that increase knowledge and commitment around sustainable protein choices. Through inclusive working methods, the toolbox should enable measurable change and be able to be used by other municipalities and actors to accelerate the protein shift and contribute to sustainable development
Expected results and effects:
The project is expected to lead to increased knowledge and acceptance of alternative proteins among students and school staff, which should result in a reduced environmental impact from school meals. By implementing and testing the toolbox in schools, the project will provide insights into how best to implement the protein shift in school environments. This should lead to practical recommendations and a tool that can be spread to other municipalities, which accelerates the protein shift and contributes to sustainable development and the fulfillment of climate goals
Approach and implementation:
The project is divided into several work packages. First, knowledge and experiences about protein shift in schools are collected via questionnaire surveys and interviews to identify obstacles and enabling factors. Afterwards, co-creative activities are held with students, parents and school staff to design the contents of the toolbox. In the next step, a concept and draft proposal for the toolbox is developed, based on behavioral techniques that facilitate dialogue and goal setting for a successful protein shift in schools.</t>
  </si>
  <si>
    <t xml:space="preserve">https://www.vinnova.se/en/p/successful-protein-shift-in-schoolsprototyping-a-norm-change-tool-kit-towards-alternative-proteins/</t>
  </si>
  <si>
    <t xml:space="preserve">Linda Lindström</t>
  </si>
  <si>
    <t xml:space="preserve">Beteendelabbet AB</t>
  </si>
  <si>
    <t xml:space="preserve">Alternative Proteins: A Norm-Challenging Guerrilla Experiment in Festival Environment</t>
  </si>
  <si>
    <t xml:space="preserve">Purpose and goal:
The goal of the project is to carry out a norm-challenging guerilla experiment at the Way Out West festival in 2024, where we test, challenge and evaluate consumers´ experiences of alternative proteins in order to collect behavioral data and break down taste myths and prejudices. The experiment aims to create awareness and disseminate the results to influence standards and promote sustainable food consumption.
Expected results and effects:
By documenting, presenting and communicating the experiment´s results and insights in a media production, the experiment should be widely disseminated and contribute to challenge the prevailing norm for animal protein choices. Detailed behavioral interventions to be tested in the experiment may for example be about taste tests or changing the design of the food environment, such as for example a food truck/food cart in a festival area. The experiment must also be documented for marketing purposes for the dissemination of insights through the media.
Approach and implementation:
A lot of time will be spent on planning the implementation of the experiment itself and collaboration with actors. Everything from the selection of proteins to be tested, designing the experimental design of the experiment and question battery to capture relevant behavioral insights, to the running schedule and production script. A lot of time will also be spent on developing a communication plan for the project and especially dissemination of the experiment´s results via a video production.</t>
  </si>
  <si>
    <t xml:space="preserve">https://www.vinnova.se/en/p/alternative-proteins-a-norm-challenging-guerrilla-experiment-in-festival-environment/</t>
  </si>
  <si>
    <t xml:space="preserve">Ida Lemoine</t>
  </si>
  <si>
    <t xml:space="preserve">Enzymatic engineering and digestion of fibrillar plant protein texturizers for the protein shift.</t>
  </si>
  <si>
    <t xml:space="preserve">Transformation of our food system will be a key aspect of the transition towards a sustainable society. New ways of processing proteins to achieve attractive structural and functional properties are needed for the development of food products that can facilitate the ‘protein shift’ from animal to plant resources. The use of protein nanofibrils is a very promising approach to improve the structural and functional properties of proteins. It is known that such fibrils can be produced from a variety of plant proteins but the yield and energy efficiency of the processes are often low. The proposed project will explore enzymatic pre-processing of the protein resources as a way to increase the efficiency of the process. The approach also opens for better control of the techno-functional properties of the fibrils, choosing appropriate combinations of proteases and protein raw materials. We will evaluate the produced PNFs as building blocks for model food systems (hydrogels, aerogels, oleogels and microfibers). Based on the results, we will establish a structure-function relationship for plant PNFs and develop prototypes that demonstrate the potential of the technology. The project will deliver fundamental knowledge that will facilitate the protein shift. Hence, the outcomes of the project will be of high value for the transformation of the food industry and have impact on ecological as well as economical and social sustainability.</t>
  </si>
  <si>
    <t xml:space="preserve">https://www.vr.se/swecris.html#/project/2023-01076_Formas</t>
  </si>
  <si>
    <t xml:space="preserve">grant.13758676</t>
  </si>
  <si>
    <t xml:space="preserve">Christofer Lendel</t>
  </si>
  <si>
    <t xml:space="preserve">Understanding process-structure-function relationships for oat protein and dietary fibre from kernel to model foods (FiPrOats)</t>
  </si>
  <si>
    <t xml:space="preserve">There is an increasing interest in oats due to their high content of protein and the dietary fibres β-D-glucan and arabinoxylan. The full potential of oats as a plant-based source of protein and dietary fibre is however far from reached. To leverage the functional potential of oat protein and dietary fibre in foods with enhanced health-related properties, we must explore synergies between oat protein and dietary fibre and establish structure-function relationships at widely varying length scales from molecular to macroscopic levels, and as function of processing steps, from kernel to food product. Functionalising oat proteins and dietary fibres can be expected to depend on the kilning process as well as on the extent to which they are released from complex oat kernel tissues. Knowledge-based innovative oat processes have the potential to achieve further exploitation of the functional and nutritional potential of oat protein and dietary fibre.  Overall, this research project will focus on obtaining fundamental insights into the microstructure of the oat kernel and process-induced changes in the physicochemical and colloidal properties of oat protein and dietary fibre. This will allow directing their functionality in food systems while fully exploiting their health-related effects.</t>
  </si>
  <si>
    <t xml:space="preserve">https://research.kuleuven.be/portal/en/project/3E231234</t>
  </si>
  <si>
    <t xml:space="preserve">Katholieke Universiteit te Leuven</t>
  </si>
  <si>
    <t xml:space="preserve">Sustainable Proteins from Seaweed</t>
  </si>
  <si>
    <t xml:space="preserve">Because of the generally high standard of living in Europe, protein shortage is imminent. Today, protein-rich crops such as soy are imported to meet the high demand, leading to unsustainable practices. Europe, including Flanders, is committed to growing protein seeds, legumes, etc. but is far from self-sufficient in protein. SUPROSEA is framed within the Flemish Protein Strategy which sets the 40%-60% animal versus plant protein target and takes into account the limited availability of agricultural land in Flanders. Therefore, SUPROSEA focusses on aquatic protein rich biomass, i.e. different species of seaweed (green, brown and red) as they are economically and ecologically interesting organisms for the extraction of proteins, and other high-value compounts such a pigments for the food and feed industry. The main objective of the project is to identify the most promising biorefinery in terms of sustainability. The culture conditions of local seaweed will be optimized to improve the quality and quantity of the components to be extracted. Moreover, efficient ways to valorize the remaining biomass in a cascade biorefinery approach will be investigated (zero-waste approach). Different mild extraction techniques will be tested, and the residual seaweed biomass iwill be fermented to produce microbial proteins. The seaweed proteins, microbial ones and high value seaweed compounds are then characterized and tested in food and feed trials. Biorefinery process modelling will be done to obtain scaled-up data for different seaweed value chain scenarios, which will be evaluated on the basis of an integrated sustainability methodology, including life cycle analysis, biodiversity mdoelling, ecosystem services assessment, and techno-economic and market analysis. A comparison with alternative protein sources is foreseen. SUPROSEA wants to support sustainable, blue economy activities.</t>
  </si>
  <si>
    <t xml:space="preserve">Jo Dewulf</t>
  </si>
  <si>
    <t xml:space="preserve">MATCHMAKING: Unveiling Optimal Soybean-Rhizobia Matches in North-western European Environments</t>
  </si>
  <si>
    <t xml:space="preserve">Soybean is not only a major source of protein for food and feed worldwide but also, by interaction with nitrogen (N)-fixing rhizobia in the root nodules, a sustainable alternative for N fertilizers. The growing global demand for plant-based protein, coupled with the need to reduce reliance on imports from deforestation-prone areas, drives expansion of soybean cultivation into higher latitudes. Indeed, to meet European demands for sustainable soybean products, production must extend to north-western regions of the continent. However, existing soybean varieties and commercial rhizobia inoculants are not adapted to these environmental conditions, resulting in insufficient nodulation and consequently inconsistent high-protein bean yields. Our goal is to identify the soybean-rhizobia matches most suitable for high-latitude regions of North-western Europe. We will achieve this through in field screening and detailed assessment of the performance of best matches under adverse environmental conditions. Our research will uncover the genomic regions governing efficient nodulation through GWAS analysis in soybeans and explore the potential of native plant growth-promoting rhizobacteria (PGPR) as helper strains. Additionally, we will conduct comprehensive analyses of efficient interactions using (meta)transcriptomics in nodules. ILVO possesses the EUCLEG collection of soybean genotypes tailored for North-western European breeding, while the Goormachtig lab has isolated indigenous rhizobia from gardens across Flanders through a citizen science project. By combining our resources, we will pinpoint the optimal soybean-rhizobia combinations, gain profound insights into the genetic underpinnings of these interactions, and uncover PGPRs that enhance the symbiotic relationship. Our project paves the way for sustainable high-protein soybean production in North-western Europe, with the potential to benefit high-latitude regions worldwide.</t>
  </si>
  <si>
    <t xml:space="preserve">https://researchportal.be/en/project/matchmaking-unveiling-optimal-soybean-rhizobia-matches-north-western-european-environments</t>
  </si>
  <si>
    <t xml:space="preserve">Sofie Goormachtig</t>
  </si>
  <si>
    <t xml:space="preserve">Glyc(oxid)ation during gastrointestinal digestion of meat (analogues): formation of advanced glycation endproducts and implications on health.</t>
  </si>
  <si>
    <t xml:space="preserve">This project studies the formation of glycoxidative endproducts during processing and gastrointestinal digestion of meat products and vegetarian meat analogues. To achieve this, two in vitro digestion studies have been conducted to elucidate how carbohydrate addition and heating conditions affect lipid and protein (glyc)oxidation, followed by a rat feeding trial to further explore the implications on metabolism and gut microbiota.</t>
  </si>
  <si>
    <t xml:space="preserve">https://research.ugent.be/web/result/project/2332b727-ab0f-11ef-aed6-33a67d5acda9/details/en</t>
  </si>
  <si>
    <t xml:space="preserve">Oxidation and glycation during gastro-intestinal digestion of meat (analogues): influence on nutrition and health</t>
  </si>
  <si>
    <t xml:space="preserve">In this project, the impact of meat processing on glycation and oxidative reactions during gastrointestinal digestion is investigated. These processes may lead to reduced protein digestibility, increased protein fermentation, and microbial changes in the colon, potentially resulting in inflammation and oxidative stress. Within the context of the protein transition, the research also focuses on alternative protein sources, such as plant-based proteins (peas, soy) and insects, which are often processed into ultra-processed meat analogues. These products undergo intensive processing with additives to mimic the properties of meat and are similarly susceptible to glycation and oxidative changes. The mechanisms will be studied through in vitro digestion experiments and in vivo rat studies.</t>
  </si>
  <si>
    <t xml:space="preserve">Thomas Van Hecke</t>
  </si>
  <si>
    <t xml:space="preserve">Bovine embryonic stem cell development and myoblast maturation approaches as prospective key technological advancements for cultured meat development.</t>
  </si>
  <si>
    <t xml:space="preserve">The project addresses cultured meat development challenges by pursuing two main goals: 1) investigating the myogenic differentiation potential of bovine embryonic stem cell (bESC) lines and 2) assessing the cell differentiation processes of bovine myoblasts via three stimulation approaches to enhance myotube hypertrophy, aiming to advance the development of mature myofibers.</t>
  </si>
  <si>
    <t xml:space="preserve">Jolanda van Hengel</t>
  </si>
  <si>
    <t xml:space="preserve">SPOC Sustainable Protein and Oil Crops: The potential of protein and oil crops for a transformation towards a more sustainable Swiss food system</t>
  </si>
  <si>
    <t xml:space="preserve">A transformation towards a more plant-based food system is urgently needed. In most high-income countries, the current food consumption habits, which consist of large quantities of animal products, are a risk factor for several non-communicable diseases. In addition, the production of these products has a substantial environmental impact. Therefore, shifting consumption and production towards plant-based protein and fat sources is a promising strategy to improve multiple sustainability issues. Nevertheless, little is known about the potential contribution that different protein and oil crops could make to a largely plant-based food system. In this project, we aim to close this knowledge gap by assessing the potential of different protein and oil crops to enhance food system sustainability, from agricultural production to consumption in Switzerland. 
Exploring the future of plant-based foods requires a holistic perspective, where a wide range of factors, interactions and feedbacks within the system need to be considered. To this end, we will conduct a foresight study which includes the viewpoints and visions of the relevant actors within the Swiss food system. This will create different scenarios for the Swiss food system focusing on the future of protein and oil crops. Based on these scenarios, the potential and limitations of different transformation pathways will be assessed from three different perspectives: first, we will test how suitable different crops are for cultivation in Swiss agroecosystems based on spatial climatic, topographic and soil conditions by using the CONSUS method developed by ZHAW. Second, we will analyze the uptake behavior of farmers for promising crops by using SWISSland, an agent-based agricultural sector model developed by Agroscope. Furthermore, we will analyze the potential uptake of promising crops by Swiss consumers. Third, we will assess the environmental impacts and nutritional consequences of replacing animal products with the identified protein and oil crops from a dietary perspective (with emphasis on the macronutrients, proteins and fats), as well as focusing on consumers. This will be accomplished within the quantitative food system scenarios of the foresight study using the SOLm model developed by FiBL. 
This combined focus on suitability, feasibility, and sustainability will allow for the identification of trade-offs and synergies resulting from the characteristics of different protein and oil crops at farm and food system level. Ultimately, we will be able to identify promising and suitable crops that show good results at farm level in terms of nutrient efficiency and economic feasibility, and at the same time offer good solutions for plant-based protein and fat provision. </t>
  </si>
  <si>
    <t xml:space="preserve">https://www.zhaw.ch/en/research/project/77412</t>
  </si>
  <si>
    <t xml:space="preserve">Beatrice Baumer, Dr. Roman Grüter, Prof. Dr. Patrick Laube</t>
  </si>
  <si>
    <t xml:space="preserve">Zurich University of Applied Sciences;</t>
  </si>
  <si>
    <t xml:space="preserve">Enzymatic transformations of plant proteins to control the production of ingredients with calibrated functionalities</t>
  </si>
  <si>
    <t xml:space="preserve">Deciphering the functions of alternative proteins produced from “non-coding RNAs” in growth and reproduction</t>
  </si>
  <si>
    <t xml:space="preserve">Laboratoire de Recherche en Sciences Végétales</t>
  </si>
  <si>
    <t xml:space="preserve">Plant-based diet in older people: what consequences for muscle health?</t>
  </si>
  <si>
    <t xml:space="preserve">Meat replacement and systems of edibility in Asia and beyond</t>
  </si>
  <si>
    <t xml:space="preserve">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empirically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</si>
  <si>
    <t xml:space="preserve">https://prosjektbanken.forskningsradet.no/en/project/FORISS/353505</t>
  </si>
  <si>
    <t xml:space="preserve">grant.14751793</t>
  </si>
  <si>
    <t xml:space="preserve">Arve Hansen</t>
  </si>
  <si>
    <t xml:space="preserve">University of Oslo</t>
  </si>
  <si>
    <t xml:space="preserve">31/12/2029</t>
  </si>
  <si>
    <t xml:space="preserve">EIT Food Activities (TASTE2MEAT)</t>
  </si>
  <si>
    <t xml:space="preserve">“The TASTE2MEAT project aims to meet protein needs by upcycling alternative plant proteins such as sunflower press cake and side streams from meat production. To create tasty meat alternatives and hybrid products that serve as sustainable protein sources, novel technologies such as electrostatic separation are used to concentrate plant proteins. High moisture extrusion is then used for the actual production of meat alternatives and hybrid products. Here, the primary focus lies on a high sensory quality. Taste and texture are the key factors when it comes to the consumer acceptance of meat alternatives. The main focus was on structure formation during extrusion and an appealing sensory profile of the products, as these are the decisive criteria for consumer acceptance. In this context, the optimal extrusion parameters as well as the flavour development depending on the ingredient combination were investigated. 3 recipes generated at 30%, 40% and 50% pea protein and 70%, 60% and 50% beef at 20% fat level. A representative consumer study with 200 panellists was conducted in Germany and the UK to evaluate the sensory characteristics, consumer acceptance and willingness to buy of the developed hybrid products. To characterise the taste profile of the products, a descriptive sensory test was conducted with an internal, trained sensory panel. Based on the results, further wet extrusion trials with optimised sunflower press cake took place, in which the texture, mouthfeel and appearance of the wet extrudates were optimised. Further product development of hybrid products and meat alternatives was carried out with the improved texture to optimise the sensory characteristics and appearance of the products. This will support product development based on consumer preferences and market introduction in selected European markets. Further development is required to bring this process to mass, commercial markets. Obtaining a sufficient sample proved difficult to create samples for shelf-life validations and nutritional analysis”.</t>
  </si>
  <si>
    <t xml:space="preserve">https://gtr.ukri.org/projects?ref=10041447</t>
  </si>
  <si>
    <t xml:space="preserve">grant.13253023</t>
  </si>
  <si>
    <t xml:space="preserve">Harriet Gregory</t>
  </si>
  <si>
    <t xml:space="preserve">ANGLO BEEF PROCESSORS UK</t>
  </si>
  <si>
    <t xml:space="preserve">Revalorisation of vegetable processing industry remnants into high-value functional proteins and other food ingredients (Green Protein)</t>
  </si>
  <si>
    <t xml:space="preserve">The EU28 imports 77% of the protein it requires, for food or feed, representing an important vulnerability for our economy, risking our self-sufficiency and food security. GreenProtein aims at a major innovation by producing high-added value, food-grade and fully functional proteins and other ingredients, out of vegetal residues mainly from sugar beet. The main outcome will be the valorisation of 4,000 tons of agricultural residue /yearly into a high quality dried RuBisCo powder ready to enter into food industry production chains as an alternative of the widely extended egg white preparations or whey protein. We are the first team worldwide, covering the whole food chain, to design an extraction system of functional RuBisCO. The project will design and implement specific equipment to establish a demonstration plant with capacity of 1,500 kg/hour of vegetal residue input, rendering 28 Kg of dry RuBisCO and 82 Kg of dry dietary fibre (25-30% dry matter). The obtained protein has top valuable functionalities required in food industry, such as gelling, foaming or emulsifying. The outcomes have excellent market projection due to their application in growing consumer needs like high-protein foodstuff, vegan, halal, etc. Establishing this DEMO plant will allow fine-tuning the extraction process at industrial scale in order to define the optimal conditions for industrial manufacture. It will be built in a compact design, ready to be “plugged” to the production line, an easily replicable system with a high spreading projection in whole EU.</t>
  </si>
  <si>
    <t xml:space="preserve">https://cordis.europa.eu/project/id/720728</t>
  </si>
  <si>
    <t xml:space="preserve">grant.6384626</t>
  </si>
  <si>
    <t xml:space="preserve">Netherlands Organisation for Applied Scientific Research</t>
  </si>
  <si>
    <t xml:space="preserve">31/5/2021</t>
  </si>
  <si>
    <t xml:space="preserve">Plant(W)aardig</t>
  </si>
  <si>
    <t xml:space="preserve">Plant(W)aardig 
A diet with more vegetable proteins is essential to be able to feed the world population within the limits of our planet. Making this transition requires minimally processed plant-based meat substitutes that are easy to use and close to traditional meat products. 
SVO-vak-opleiding (MBO), HAS-green-academy (HBO), Bolscher and GeertsBest will develop a plant-based meat concept into food-safe sausage or hamburger products. In addition, research is being conducted into how the plant-based meat concept can be made more sustainable by means of minimally processed ingredients from GeertsBest. HAS green academy will investigate the food safety of the meat concept.</t>
  </si>
  <si>
    <t xml:space="preserve">Dimensions</t>
  </si>
  <si>
    <t xml:space="preserve">https://www.nwo.nl/en/projects/kiemgroen03010</t>
  </si>
  <si>
    <t xml:space="preserve">grant.14368997</t>
  </si>
  <si>
    <t xml:space="preserve">KIEM.GROEN.03.010; 10.61686/QBEPX81044</t>
  </si>
  <si>
    <t xml:space="preserve">2024-09-01</t>
  </si>
  <si>
    <t xml:space="preserve">KIEM 2021-2024 Groene practoraten (Research programme)</t>
  </si>
  <si>
    <t xml:space="preserve">An innovative, sector-leading seaweed biorefinery - enabling the European blue circular economy</t>
  </si>
  <si>
    <t xml:space="preserve">Founded in Scotland (2018), Oceanium has raised euros 2.0M to develop a seaweed biorefinery process and food ingredient and nutraceutical products to TRL6, processing 7 t/y sustainably farmed EU kelp. 
KELP-EU's blue bioeconomy objectives: 
-Develop sustainably farmed EU seaweed industry and scale up seaweed biorefinery process (TRL6-8), increasing annual processing volume to 150 t/y seaweed, investing euros 300k into sustainably farmed European seaweed industry
-Complete developed design for world-first sustainable seaweed biorefinery pilot plant with 5,000 t/y processing capacity
-Develop four new products relying on sustainable use of the sea from TRL6-8 (kelp protein, fibre, fucoidan, beta-glucan), providing samples to target customers (fast-moving consumer goods giants, plant-based food manufacturers, food ingredient distributors), securing US regulatory approval and submitting dossiers for EU novel food approval
-Assess life cycle for seaweed-based products and complete impact assessment, including social impact on coastal communities
-Develop/implement commercialisation strategies, refining business plan and protecting developed IP.
EMFF support will enable creation of 20+ internal jobs. We will launch our food ingredients/nutraceuticals in the US (2022), generating euros 365k by project close, and submit our launch products for EU Novel Food Approval ready for EU launch (2023). KELP-EU will unlock euros 4.5M (2022) equity finance to complete post-project technical design, build, and commissioning of first biorefinery.
By Y5/2027, processing 100,000+ t/y sustainably farmed European seaweed will produce 200 t/y kelp protein, sequester 4,750 t/y of carbon and 440 t/y of nitrogen, supporting 5,500 ha of seaweed farms and regenerating 5+ brownfield sites. This will create 145 direct and 290 indirect jobs in European seaweed farms and the supply chain. Selling sustainable seaweed products will deliver return-on-investment of 1,148% on euros 2.16M of EMFF support.</t>
  </si>
  <si>
    <t xml:space="preserve">https://ec.europa.eu/info/funding-tenders/opportunities/portal/screen/opportunities/projects-details/31098847/101038311/EMFF</t>
  </si>
  <si>
    <t xml:space="preserve">grant.13715885</t>
  </si>
  <si>
    <t xml:space="preserve">101038311</t>
  </si>
  <si>
    <t xml:space="preserve">2021-10-01</t>
  </si>
  <si>
    <t xml:space="preserve">European Maritime and Fisheries Fund</t>
  </si>
  <si>
    <t xml:space="preserve">Bioaccessibility, bioavailability, and bioactivity assessment of iron from microalgae for treatment of iron-deficiency anaemia</t>
  </si>
  <si>
    <t xml:space="preserve">Iron deficiency is the most common global nutritional deficiency, affecting more than 2 billion people, among which more than half are anaemic. Iron-deficiency anaemia (IDA) is a global health problem that causes impaired cognitive development and growth in children, decreased work productivity and increased maternal morbidity and mortality during pregnancy. It is particularly common in low- and middle-income countries due to low-iron diets and primarily affects women and children. However, IDA is also common in industrialized countries.Dietary intervention is considered the best strategy to overcome IDA. However, foods, such as red meat and fish that contain high amounts of highly bioavailable heme iron, are relatively expensive and also not or poorly consumed by vegetarians and vegans. For plant-based food, iron absorption is generally not high due to overall low (bioavailable) iron content and commonly present iron uptake inhibitors such as phytates, oxalates, or polyphenols. Similarly, people who consume coffee, tea, or wine have lower iron absorption because these drinks contain high contents of inhibitors. Novel food formulations or sources with high contents of bioavailable iron are urgently needed to fight the global challenges presented by IDA.Microalgae are small unicellular microorganisms that can be produced under photoautotrophic, heterotrophic, or mixotrophic modes that are getting high attention as more sustainable novel food world widely. Microalgae could be an important mineral feedstock for human nutrition and health that is not well explored yet, unfortunately. For instance, microalgae could contain hundred times more iron compared to beef, a commonly accepted iron-rich food. In addition, microalgae are rich in ascorbic acid, which is an important iron absorption enhancer. Until today, microalgae are poorly studied in IDA treatment.In this project, my ambition is to comprehensively investigate the bioaccessibility, bioavailability, and bioactivity of iron from different microalgae using in vitro, ex vivo, and in vivo methodologies. The outcome of this project will [1] provide insight on using microalgae as iron supplements or protein-rich sustainable foods with bioavailable iron, [2] lead clinical research in the near future, and [3] open new possibilities for IDA treatment for the whole world.With the results from this project, microalgae farmers can produce microalgae with high content of iron for IDA treatment with significantly more profits compared to traditional applications. Nutritional food companies could invest resources in novel iron supplement development with microalgae. In addition, a large amount of health care costs for IDA treatment could be saved with microalgae as novel iron resources.</t>
  </si>
  <si>
    <t xml:space="preserve">https://data.snf.ch/grants/grant/217292</t>
  </si>
  <si>
    <t xml:space="preserve">grant.13535744</t>
  </si>
  <si>
    <t xml:space="preserve">217292</t>
  </si>
  <si>
    <t xml:space="preserve">Fengzheng Gao, Fengzheng Gao</t>
  </si>
  <si>
    <t xml:space="preserve">ETH Zurich</t>
  </si>
  <si>
    <t xml:space="preserve">2023-08-01</t>
  </si>
  <si>
    <t xml:space="preserve">SNSF Swiss Postdoctoral Fellowships (Funding Instrument); Horizon Europe Transitional Measures (Funding Instrument Hierarchy); Programmes (Funding Instrument Hierarchy)</t>
  </si>
  <si>
    <t xml:space="preserve">Age-related effects of vegetarian diet on protein and amino acid bioavailability – VegAA</t>
  </si>
  <si>
    <t xml:space="preserve">Health, environmental and animal welfare concerns have led to a recent reduction of animal products intake. Public health authorities also recommend transitioning towards more sustainable, plant-based diets. While animal proteins are known as good quality proteins with high digestibility, plant proteins are generally considered of lower nutritional values. Plant proteins come with high amount of vitamins and minerals, but also with dietary fibers and anti-nutritional factors, which are known to decrease digestibility acutely. However, the long-term synergetic effects of plant-based foods on adaptation of intestinal functions and protein digestive capacity remain mainly unexplored. In the context of the nutritional transition, a global approach is necessary to understand the effects of the different components of the diet on digestion. This is of particular importance for population with specific needs such as elderly, for which protein requirements are increased and intake usually decreased. Hence, VEGAA project aims at better understanding the influence of a diet rich in plant-based foods on amino acid bioavailability of vegetable proteins throughout adult life, using innovative isotopic tracer techniques. First, we will explore the age-related acute and chronic effects of a diet rich in plant-based foods on amino acid bioavailability, protein metabolism and digestion physiology in a preclinical study. Second, thanks to the recently developed dual isotope method, we will determine amino acid bioavailability changes in young or old adults consuming a vegetarian or omnivorous diet. Overall, VEGAA project will provide important knowledge on plant protein digestibility and adaptive mechanisms that might occur during a long-term change in protein source and as a function of age. Ultimately, VEGAA results will help to estimate protein and amino acid adequacy in the context of plant-based diets to promote healthy aging.</t>
  </si>
  <si>
    <t xml:space="preserve">https://anr.fr/Project-ANR-22-CE21-0005</t>
  </si>
  <si>
    <t xml:space="preserve">grant.13017411</t>
  </si>
  <si>
    <t xml:space="preserve">ANR-22-CE21-0005</t>
  </si>
  <si>
    <t xml:space="preserve">Juliane Calvez</t>
  </si>
  <si>
    <t xml:space="preserve">National Research Institute for Agriculture, Food and Environment</t>
  </si>
  <si>
    <t xml:space="preserve">Paris</t>
  </si>
  <si>
    <t xml:space="preserve">2022-09-06</t>
  </si>
  <si>
    <t xml:space="preserve">The protein shift - A risk for women and children?</t>
  </si>
  <si>
    <t xml:space="preserve">The Swedish government has adopted a national food strategy that supports reduced meat consumption and the transition to more sustainable protein sources. The effects of such a shift on the status of critical nutrients in risk groups are unknown. We will therefore  evaluate how a shift towards a more plant-based diet affects the status of nutrients through observational studies in a birth cohort (NICE), conduct intervention studies to evaluate iron absorption and evaluate nutritional value in plant-based meat substitutes available on the Swedish market. Our hypotheses are that i) A protein shift from meat to plant protein can have negative effects on nutritional status (iron, zinc, vitamins B12 and D) in women of childbearing age and children ii) Fish protein as a complement to plant protein results in higher bioavailability of iron/ essential micronutrients iii) Nutritional value deteriorates in highly processed meat substitute products compared with traditional plant-based products. The hypotheses are addressed by i) investigating the nutritional status associated with low to high plant based food intake, ii) investigate iron absorption  from matched plant-, fish- and meat protein meals with radioisotope technique in a controlled study; ii) assess the nutritional value of highly processed, vegetable protein products vs traditional plant products.The project provides important evidence to substantiate a protein shift for increased sustainability and health.</t>
  </si>
  <si>
    <t xml:space="preserve">https://www.vr.se/swecris.html#/project/2021-01123_Formas</t>
  </si>
  <si>
    <t xml:space="preserve">grant.12895777</t>
  </si>
  <si>
    <t xml:space="preserve">2021-01123_Formas</t>
  </si>
  <si>
    <t xml:space="preserve">Ann-Sofie Sandberg, Marie Vahter, Rikard Landberg</t>
  </si>
  <si>
    <t xml:space="preserve">2022-01-01</t>
  </si>
  <si>
    <t xml:space="preserve">303:Hälsovetenskap, Health Sciences (SCB); 3:Medicin och hälsovetenskap, Medical and Health Sciences (SCB); 30304:Näringslära, Nutrition and Dietetics (SCB)</t>
  </si>
  <si>
    <t xml:space="preserve">KELP UK: From farm to factory - Accelerating UK seaweed industry to generate sustainable opportunities for the coastal economy</t>
  </si>
  <si>
    <t xml:space="preserve">The seaweed value chain offers huge growth potential for UK coastal communities post COVID-19 whilst addressing the climate emergency. Farmed seaweed is a sustainable biomass source with applications in food &amp; nutrition, packaging materials, chemicals and pharmaceuticals. Seaweed farms sequester carbon and absorb excess nutrients, bioremediating ocean acidification and eutrophication, while providing alternative livelihoods for fishermen and creating jobs across the value chain. This project will demonstrate the economic and environmental potential of the farmed seaweed value chain at scale by developing efficient, scalable and sustainable seaweed farming, harvesting and biorefinery process for converting seaweed into value-added food (protein &amp; fibre), nutrition (fucoidan, beta-glucan, vitamins &amp; minerals), and home-compostable biopackaging products.
The project is a collaboration between KelpCrofting, a seaweed farming company based on the Isle of Skye, Efficiency Technologies, a bio-process equipment innovation company based in Milton Keynes, and Oceanium, a seaweed processing company based in Oban. This collaborative project seeks to apply innovation across the value chain to demonstrate its potential at scale. Project success will catalyse investment in UK seaweed farming and coastal biorefineries. By demonstrating the farmed seaweed value chain at scale, we will:
• catalyse growth of nascent UK sustainable seaweed farming industry to support UK coastal communities post COVD-19
• improve the future resilience of UK fisheries and aquaculture sectors
• support UK to meet climate targets
• reduce UK reliance on fossil fuels and imports
• enhance marine biodiversity
• tackle plastic-waste crisis &amp; support packaging industry to transition to circular economy
• support UK transition to plant-based foods</t>
  </si>
  <si>
    <t xml:space="preserve">https://gtr.ukri.org/projects?ref=78828</t>
  </si>
  <si>
    <t xml:space="preserve">grant.9747831</t>
  </si>
  <si>
    <t xml:space="preserve">78828</t>
  </si>
  <si>
    <t xml:space="preserve">Andre Rastica</t>
  </si>
  <si>
    <t xml:space="preserve">2020-09-30</t>
  </si>
  <si>
    <t xml:space="preserve">PROVEG.: Development of alternatives to plant-based cheese</t>
  </si>
  <si>
    <t xml:space="preserve">Current food consumption patterns, characterized by the high consumption of protein of animal origin, are particularly harmful to the environment, due to the increase in the concentration of carbon dioxide and temperature. Therefore, there is an urgent need for a change in eating behavior that favors protein of plant origin. Its diversified focus on plant-based protein sources helps WHITE&amp;GREEN respond to growing consumer concerns about the impacts of increased animal protein production on both health and the environment.
The products on the market do not fully meet all the expectations of the end consumer, particularly in the case of vegetarian or vegan consumers. Many food products have a moderate nutritional profile as the protein content is low and the protein profile is incomplete (absence or low presence of some essential amino acids). Many of the existing options have a low sensory profile and are perceived as plastic, having an artificial organoleptic quality in terms of flavor and texture.
Thus, the project aims to develop prototypes of cheese-type foods of plant origin, their manufacturing and packaging process, with these foods having a complete protein profile and adequate nutritional density, of high organoleptic quality in texture and flavor, with increased functionality. by the presence of bioactive compounds derived from plant sources (phytochemicals, vitamins, minerals and prebiotic fiber). These foods, with different presentation formats, will serve different applications both for the end consumer and for the Horeca channel, nationally and internationally.
The foods will constitute competitive solutions that will allow the integration of a healthy and sustainable offer in the market, being an innovation in terms of WHITE&amp;GREEN's production process and a substantial added value for the company and its partners linked to its value chain.</t>
  </si>
  <si>
    <t xml:space="preserve">PROVEG .: Desenvolvimento de alternativas ao queijo de origem vegetal</t>
  </si>
  <si>
    <t xml:space="preserve">grant.13725669</t>
  </si>
  <si>
    <t xml:space="preserve">67304720204747635ANI; C30/2020/47635</t>
  </si>
  <si>
    <t xml:space="preserve">University of Algarve; Catholic University of Portugal</t>
  </si>
  <si>
    <t xml:space="preserve">Faro; Lisbon</t>
  </si>
  <si>
    <t xml:space="preserve">2021-01-14</t>
  </si>
  <si>
    <t xml:space="preserve">Agência Nacional de Inovação</t>
  </si>
  <si>
    <t xml:space="preserve">PT2020 - SI I&amp;DT - I&amp;D em Co-Promoção (Funding program)</t>
  </si>
  <si>
    <t xml:space="preserve">Unveiling algaenan metabolism in eukaryotic microalgae</t>
  </si>
  <si>
    <t xml:space="preserve">Microalgae are exceptionally rich in essential nutrients such as proteins and fatty acids (e.g., omega-3 fatty acids). Their cultivation requires significantly less land and water compared to traditional crops, reducing the strain on these resources. However, accessing the nutrients of eukaryotic microalgae as a food source, particularly from the economically important genera Nannochloropsis and Chlorella, requires substantial resources. These algae are encapsulated by a resilient cell wall composed of a polymer known as algaenan. The development of algaenan-deficient strains or enzymes degrading algaenan to make nutrients accessible, has been hindered severely by the lack of knowledge about algaenan metabolism.
In the BreakThrough project, I will team up with Prof. Johan Andersen-Ranberg from the Department of Plant and Environmental Sciences of the University of Copenhagen. The goal is to clarify the evolutionary conserved mechanisms underlying the algaenan metabolism throughout the cell cycle, particularly during autospore release. The proposed work involves co-expression analysis, genetic engineering, confocal microscopy and high-resolution mass spectrometry to identify and characterize the genes in algaenan metabolism in the eukaryotic microalgae Nannochloropsis oceanica. Insights obtained in this project will benefit both fundamental and applied sciences. On the fundamental side, BreakThrough will uncover the biochemical process underlying algaenan anabolism and catabolism. For the applied aspect, the project will improve the use of microalgae as a future food source and biotechnological applications by developing energy-efficient and food safe methods to bypass the recalcitrant algaenan polymer in extraction processes.</t>
  </si>
  <si>
    <t xml:space="preserve">https://cordis.europa.eu/project/id/101206539</t>
  </si>
  <si>
    <t xml:space="preserve">grant.14911291</t>
  </si>
  <si>
    <t xml:space="preserve">101206539; 269771; BreakThrough; 10.3030/101206539</t>
  </si>
  <si>
    <t xml:space="preserve">2026-02-01</t>
  </si>
  <si>
    <t xml:space="preserve">INTEGRAL VALORISATION OF SEAWEED BIOMASS FOR THE DEVELOPMENT OF SUSTAINABLE, HIGHNUTRITIONAL QUALITY FOOD PRODUCTS</t>
  </si>
  <si>
    <t xml:space="preserve">SEAFOODTURE is an ambitious project that aims to contribute to the comprehensive valorization of seaweed for the production of sustainable food products of high nutritional quality. The project combines research activities related to: sustainable seaweed cultivation; the development of protein-rich ingredients and seaweed-based food products using green technologies; the production of bio-based packaging materials; structural and techno-functional characterization; and the evaluation of nutritional quality and digestibility. Sensory and consumer analysis to bring products closer to end markets; and life cycle assessment (LCA) and socioeconomic analysis to ensure environmental, social, and economic sustainability. To this end, the complementary and multidisciplinary expertise of the European academic and industrial partners involved in this proposal will be combined with the participation of companies and organizations interested in the project.
The food industry faces major challenges, driven by societal needs and environmental concerns. RAPID POPULATION GROWTH IS PUSHING FOOD PRODUCTION TOWARDS ITS LIMITS, AND DEPENDENCE ON ANIMAL PROTEIN SOURCES IS PUTTING ADDITIONAL PRESSURE ON THE ENVIRONMENT. IN ADDITION, PLANT PROTEIN SOURCES MUST BE SUPPLEMENTED WITH NEW CROPS THAT ARE LESS DEPENDENT ON WATER AND LAND USE. THEREFORE, THERE IS AN URGENT NEED TO DEVELOP NEW FOOD PRODUCTS RICH IN HIGH-QUALITY PROTEIN BY EXPLOITING NON-TRADITIONAL SOURCES. SEAWEED IS GLOWING GREAT INTEREST DUE TO ITS ADVANTAGES OVER TERRESTRIAL BIOMASS; HOWEVER, THEY ARE STILL VERY LITTLE EXPLORED AS FOODS, WHICH IS MAINLY DUE TO (I) THE LACK OF SUSTAINABLE AND SOLID STRATEGIES FOR THE SUPPLY OF SEAWEED BIOMASS, (II) THE LITTLE KNOWLEDGE ABOUT THEIR TECHNO-FUNCTIONAL AND NUTRITIONAL PROPERTIES, WHICH MAKES THEIR PROCESSING AND PRODUCT STABILITY/SAFETY DIFFICULT ON AN INDUSTRIAL SCALE, (III) THE LACK OF KNOWLEDGE REGARDING THE DIGESTIBILITY AND BIOACCESSIBILITY OF THEIR PROTEINS AND (IV) THE LOW AWARENESS OF CONSUMERS IN EUROPEAN COUNTRIES TOWARDS SEAWEED-BASED PRODUCTS. In this project, we aim to exploit the full potential of seaweed as an alternative and sustainable source of protein by investigating the techno-functional and nutritional properties of protein-rich products in which proteins are combined with other components, such as dietary fibers, providing health benefits and techno-functional properties. In addition, with the aim of minimizing the amount of waste generated through the manufacturing process, the waste obtained after the extraction of protein-rich ingredients will be used to generate bio-based food packaging materials. This will enable the development of new algae-based food products through a circular economy approach. The project is expected to have a very positive impact on the algae industry, encouraging the efficient use of biomass to produce high-value-added products and promoting the consumption of algae-based foods among consumers in the European Union.</t>
  </si>
  <si>
    <t xml:space="preserve">https://www.aei.gob.es/ayudas-concedidas/buscador-ayudas-concedidas</t>
  </si>
  <si>
    <t xml:space="preserve">grant.14876691</t>
  </si>
  <si>
    <t xml:space="preserve">PCI2024-153420</t>
  </si>
  <si>
    <t xml:space="preserve">Spanish National Research Council</t>
  </si>
  <si>
    <t xml:space="preserve">Madrid</t>
  </si>
  <si>
    <t xml:space="preserve">2024-01-01</t>
  </si>
  <si>
    <t xml:space="preserve">State Research Agency</t>
  </si>
  <si>
    <t xml:space="preserve">International Joint Programming Projects (Call)</t>
  </si>
  <si>
    <t xml:space="preserve">OBTAINING AND FUNCTIONALIZATION OF LUPIN PROTEIN ISOLATES FOR THE DEVELOPMENT OF COOKED MEAT ANALOGUES</t>
  </si>
  <si>
    <t xml:space="preserve">This project aims to obtain lupin protein isolates for use in the production of plant-based meat products. This could reduce livestock farming and greenhouse gas emissions. It will also help enhance the production of lupin, a highly sustainable source of protein in the Mediterranean region due to its temperature, water, and soil requirements. Furthermore, as a legume, it is capable of binding atmospheric nitrogen to the soil and, therefore, allows for a reduction in fertilizer use. Lupin is perfectly suited to a crop rotation strategy and facilitates the transition to sustainable agricultural practices. It can help reduce Spain's and other EU countries' dependence on imported protein sources such as soy. 
The proposal calls for the study of microwaves to enhance the extraction of phenolic compounds. However, in addition to phenols, it can also be used to eliminate other anti-nutritional factors such as alkaloids, thereby improving their safety. Reducing or eliminating phenols, tannins, and other compounds before the alkaline solubilization step could improve technological properties. However, applying microwaves could also improve protein extraction yields. Therefore, optimized processes can be designed to obtain techno-functional lupin protein isolates with improved extraction efficiency and minimal water and energy use. The effect of these processes on composition, allergenicity, and intestinal barrier resistance will also be evaluated. These isolates will be used to mimic the sensory characteristics of meat products. To achieve this, it is essential to have different protein isolates and other ingredients with specific functionalities. This usually involves a long labeling list. To solve this problem, it is proposed to adapt and structure the protein isolates. In cooked meat products (e.g., frankfurters), emulsification and gelling properties are crucial. Therefore, high hydrostatic pressure and two enzymes (transglutaminase and laccases) will be used to enhance the functionality of the isolates. Different emulsion systems can also be used in combination with transglutaminase as a strategy to mimic solid fat structures. Following a circular economy strategy, the potential use of certain co-products such as phenols and saponins will also be considered. Life cycle assessment of lupin isolates and plant-based meat products will also be studied. The development of all types of meat analogues will facilitate the transition to and compliance with a vegan diet and its inclusion in omnivorous diets. To this end, consumers' intention to reduce their consumption of animal protein, their perception of sustainability, and their attitude toward lupins as an alternative protein source will also be studied. Overall, this project aims to obtain techno-functional and sustainable lupin protein isolates through the design of optimized processes involving microwaves. The development of plant-based meat products from lupins is a farm-to-table strategy that increases innovation and competitiveness in the agricultural and food sector.</t>
  </si>
  <si>
    <t xml:space="preserve">OBTENCION Y FUNCIONALIZACION DE AISLADOS PROTEICOS DE ALTRAMUZ PARA EL DESARROLLO DE ANALOGOS CARNICOS COCIDOS</t>
  </si>
  <si>
    <t xml:space="preserve">grant.14846862</t>
  </si>
  <si>
    <t xml:space="preserve">PID2020-114422RR-C51</t>
  </si>
  <si>
    <t xml:space="preserve">Institute of Agrifood Research and Technology</t>
  </si>
  <si>
    <t xml:space="preserve">Caldes de Montbui</t>
  </si>
  <si>
    <t xml:space="preserve">2020-01-01</t>
  </si>
  <si>
    <t xml:space="preserve">R&amp;D&amp;I Projects (Knowledge Generation and Research Challenges) (Call)</t>
  </si>
  <si>
    <t xml:space="preserve">Measuring and optimizing protein digestibility and iron bioavailability of insect based and plant based meat alternatives</t>
  </si>
  <si>
    <t xml:space="preserve">Background: Dietary deficiencies of iron and protein affect large population groups in high- and low-income countries, especially vulnerable groups such as women of reproductive age and the elderly. Meat and animal-based foods are key sources of protein and iron in human diets. However, increasing meat production is not desirable if climate and nature conservation targets are to be met. As cold-blooded animals, insects can be reared with a fraction of the environmental impact than traditional meat products, while their content in iron and indispensable amino acids (IAA) is substantial. Tenebrio molitor is known as a robust species able thrive on a range of substrates and waste products from the food industry (e.g. bran, spent grains). Since 2017, it is recognized as edible insect for human consumption by Swiss food law. Preliminary data from our research group and private sector partners indicates that the iron content of T.molitor can be increased by modulating feed composition. At the same time, insects contain substantial amounts of chitin, a potential iron absorption and protein digestibility inhibitor. Protein digestibility and iron bioavailability of T.Molitor molitor larvae has not been assessed in human subjects. Optimizing rearing and chitin-decreasing processing steps is likely to yield an optimized product with high iron bioavailability and protein digestibility, while maintaining a high sustainability profile. Similarly, protein digestibility of novel legume-based meat alternatives and the effect of food processing steps have not been characterized. If these products are to replace meat in the future, their nutritional proprieties need to be rigorously characterized. Aim: We aim to quantify digestibility and bioavailability of insect-based and plant-based meat alternatives, characterize the effect of processing and rearing under optimized conditions, and develop formulations with enhanced digestibility and bioavailability. Methods: T.molitor larvae will be reared under controlled conditions with increasing substrate iron content. After identification of optimal conditions, T.molitor larvae will be intrinsically labelled with stable iron isotopes (57Fe) and used to assess iron bioavailability in human subjects, by measuring the incorporation of stable isotopic labels in red blood cells 14 days after administration. A defined soy cultivar will be identified to be used to produce plant-based meat alternatives. It will be processed as follows: A) minimally, B) traditionally (tofu) and as a C) texturized soy-based meat alternative. The digestibility adjusted indispensable amino acid score (DIAAS) will be assessed employing the INFOGEST in vitro digestion protocol, which will also be employed to assess protein digestibility of T.molitor insect larvae with and without chitin. Beef with a similar protein content will be used as a control. The INFOGEST protocol will also be used to explore potential iron absorption inhibitors from T.molitor by characterizing iron binding moieties prior and during the in vitro digestion, using proteomic approaches. T.molitor larvae will be reared on deuterium labelled medium and the in vivo digestibility will be assessed in human subjects (n=6), using a recently developed, novel double isotopic protocol. In vivo and in vitro DIAAS from T.molitor will be compared to develop a rapid in vitro screening tool for protein digestibility. Expected Results: We will precisely quantify iron bioavailability and protein digestibility from sustainably produced insect biomass in human subjects. In addition, we will characterize meat alternatives across the food processing value chain and compare in vitro and in vivo DIAAS allowing to establish this method as a protein digestibility screening tool. These results will allow to formulate evidence-based dietary recommendations aimed at food manufacturers, regulatory bodies dietitians and their professional societies.</t>
  </si>
  <si>
    <t xml:space="preserve">https://data.snf.ch/grants/grant/199073</t>
  </si>
  <si>
    <t xml:space="preserve">grant.9738648</t>
  </si>
  <si>
    <t xml:space="preserve">199073</t>
  </si>
  <si>
    <t xml:space="preserve">Diego Moretti, Laila Hammer, Hilaj Nikolin, Pornpimol Scheuchzer</t>
  </si>
  <si>
    <t xml:space="preserve">2021-07-01</t>
  </si>
  <si>
    <t xml:space="preserve">Practice-to-Science (Funding Instrument); Programmes (Funding Instrument Hierarchy)</t>
  </si>
  <si>
    <t xml:space="preserve">Processed foods and colorectal cancer: Effect of protein source, processing and dietary patterns</t>
  </si>
  <si>
    <t xml:space="preserve">The CRC-3p-project is a ground-breaking multi-disciplinary project that will use state-of-the art tools to generate new knowledge on the link between diet and colorectal cancer (CRC). The CRC-3p-project is designed to trace the carcinogenic potential of red meat and plant-based meat alternatives to reveal the significance of the protein source and the degree of processing (unprocessed, processed, ultra-processed) on CRC development. Additionally, CRC-3p seeks to elucidate how dietary patterns may influence the carcinogenic potential of the different processed foods. Essentially, CRC-3p aims to increase the mechanistic insight into diet and CRC to secure healthy, safe and sustainable protein-rich food for the Norwegian population.</t>
  </si>
  <si>
    <t xml:space="preserve">https://prosjektbanken.forskningsradet.no/en/project/FORISS/344260</t>
  </si>
  <si>
    <t xml:space="preserve">grant.13863403</t>
  </si>
  <si>
    <t xml:space="preserve">344260</t>
  </si>
  <si>
    <t xml:space="preserve">Mette Helen Bjørge Müller</t>
  </si>
  <si>
    <t xml:space="preserve">Norwegian University of Life Sciences</t>
  </si>
  <si>
    <t xml:space="preserve">Ås</t>
  </si>
  <si>
    <t xml:space="preserve">2023-01-01</t>
  </si>
  <si>
    <t xml:space="preserve">FFLJA-FFLJA (Funding scheme); FFL-JA-The research funds for agriculture and the food industry (Funding scheme)</t>
  </si>
  <si>
    <t xml:space="preserve">Innovations in the development of algae-related functional foods for a more sustainable and healthy society</t>
  </si>
  <si>
    <t xml:space="preserve">Subproject 2, Alga Innovation (Algin), aims to develop new strategies to improve the production of algae-related functional foods for a more sustainable and healthy society. Algal biomass has healthy nutritional properties by combining micro- and macroalgae (proteins, carbohydrates, fatty acids, vitamins, and minerals) with antioxidant, anti-inflammatory, and anti-photoaging capabilities. Seaweed consumption is being promoted by FAO and the EU; however, there is a need to improve efficiency and productivity in aquaculture systems and to optimize feedstock production to make them more acceptable to European consumers. Optimal culture conditions, including photobiological strategies to maximize functional feedstocks, will be implemented and transferred to subproject 1. In this case, cultivation will be divided into two stages. During the first stage, biomass production will be maximized, and during the second stage, biomass quality will be improved for target applications (short-term stress conditions to increase the content of valuable functional compounds). The University of Malaga will conduct research at laboratory and pilot scales (up to 30 m2) using existing facilities at the Blue Biotechnology Research and Development Institute (IBYDA). Algin will innovate in processing methods to obtain compounds of interest from algae and validate the properties and benefits of the final products obtained. In a second step, ALGIN will study the health benefits of seaweed extracts and the safety of these products. ALGIN will develop new functional products for human consumption that include seaweed biomass. The nutritional, functional, and sensory characteristics of the developed products will be determined, as well as the acceptability of the different developed products through the application of standards to determine the level of consumer satisfaction. Due to the rather short project duration, it will run in parallel with all other activities, requiring rapid and fluid communication and information exchange between partners. The project will be based on a well-defined initial set of conditions, including algae species, production and processing technologies, assessment methods, and target outputs. The first year will be primarily dedicated to confirming the reliability of initial assumptions and developing innovations, while the second year will be more focused on evaluating and validating the best technologies and products, including the transfer, training, and dissemination of these developments. Sustainable production in high-value algae aquaculture systems will reduce the pressure of algae harvesting on natural environments. THE ZERO WASTE INTEGRATED ALGAE PRODUCTION FOR FUNCTIONAL FOODS PROPOSED BY ALGIN IS WITHIN THE FRAMEWORK OF THE BLUE AND CIRCULAR ECONOMY AND WILL CONTRIBUTE TO THE INCREASE OF FOOD RESOURCES AS NATURE-BASED SOLUTIONS FOR FOOD SECURITY OF THE INCREASING HUMAN POPULATION.</t>
  </si>
  <si>
    <t xml:space="preserve">INNOVACIONES EN EL DESARROLLO DE ALIMENTOS FUNCIONALES RELACIONADOS CON LAS ALGAS PARA UNA SOCIEDAD MAS SOSTENIBLE Y SALUDABLE</t>
  </si>
  <si>
    <t xml:space="preserve">grant.14858079</t>
  </si>
  <si>
    <t xml:space="preserve">TED2021-131555B-C22</t>
  </si>
  <si>
    <t xml:space="preserve">University of Malaga</t>
  </si>
  <si>
    <t xml:space="preserve">Málaga</t>
  </si>
  <si>
    <t xml:space="preserve">2021-01-01</t>
  </si>
  <si>
    <t xml:space="preserve">Strategic Projects Oriented to the Ecological Transition and the Digital Transition (Call)</t>
  </si>
  <si>
    <t xml:space="preserve">Novel texturized hybrid foods targeting future sustainability and health challenges in the Anthropocene</t>
  </si>
  <si>
    <t xml:space="preserve">Based on an estimated global population growth to about 10 billion people by 2050, we are facing major challenges within food security, sustainability, and population health. The EAT-Lancet Commission has addressed these challenges by suggesting a healthy reference diet largely consisting of vegetables, fruits, whole grains, legumes, nuts and unsaturated oils, with moderate amounts of seafood and poultry. To reduce the environmental impact, no or low quantities of red meat are included. The HybridFoods project is designed to meet these challenges through development of nutritious and healthy prototype meat analogue products based on novel bioresource processing and high moisture extrusion and texturization technology. The formulations will be based on high protein legumes combined with protein and other nutrients from fish and poultry byproducts otherwise discarded or used in low value feed products. HybridFoods will also address novel applications of Norwegian seaweeds, microalgae, and insect larvae. By use of minimum processed ingredients and protein plasticization technology, reduced energy consumption and improved texture formation and product juiciness will be obtained. HybridFoods will apply an advanced analytical platform for physicochemical and techno-functional characterization of ingredients, food mixtures and prototype products. Texture characterization will be linked to sensory perception evaluated by a trained sensory panel. The project will also include evaluation of optional ingredient mixtures on nutritional quality and bioactivity, and environmental and societal impacts based on life cycle assessment (LCA) and cost-benefit analyses (CBA).</t>
  </si>
  <si>
    <t xml:space="preserve">https://prosjektbanken.forskningsradet.no/en/project/FORISS/325452</t>
  </si>
  <si>
    <t xml:space="preserve">grant.9965207</t>
  </si>
  <si>
    <t xml:space="preserve">325452</t>
  </si>
  <si>
    <t xml:space="preserve">Åge Oterhals</t>
  </si>
  <si>
    <t xml:space="preserve">LAND-BASED-LAND-BASED (Funding scheme); BIONÆR-Bionutrition programme (Funding scheme)</t>
  </si>
  <si>
    <t xml:space="preserve">SEAWEED AS SUSTAINABLE SOURCES OF FOOD PROTEIN: PROTEIN-POLYSACCHARIDE INTERACTIONS AND THEIR IMPACT ON TECHNO-FUNCTIONAL AND NUTRITIONAL PROPERTIES</t>
  </si>
  <si>
    <t xml:space="preserve">In response to the needs of modern society and to minimize current environmental problems, the food industry has been undergoing major changes and facing significant challenges over the past decade. Rapid population growth is pushing the food production chain to its limits, and the current dependence on animal-based protein sources has a significant environmental impact. Furthermore, it would be desirable to supplement the current plant-based protein sources with new sources that do not require high irrigation water consumption. Thus, there is a need to develop new protein ingredients with good nutritional quality through the exploitation of alternative resources. In this regard, algae are attracting great interest due to their advantages over terrestrial resources, such as, for example, the fact that they do not require the use of resources such as farmland and water, do not require the use of fertilizers and pesticides, and grow faster than terrestrial plants. IN ADDITION, THEY HAVE VERY INTERESTING PROPERTIES, SUCH AS THEIR HIGH MINERAL AND VITAMIN CONTENT, THEIR AFFORDABLE COST AND THEIR GOOD ACCEPTABILITY. HOWEVER, SEAWEEDS ARE AN UNDEREXPLOITED RESOURCE IN THE FOOD AREA, MAINLY DUE TO (I) THE LACK OF KNOWLEDGE REGARDING THEIR TECHNO-FUNCTIONAL AND NUTRITIONAL PROPERTIES, WHICH MAKES THEIR PROCESSING EXTREMELY DIFFICULT, ENSURING THE STABILITY AND SAFETY OF PRODUCTS DEVELOPED ON AN INDUSTRIAL SCALE AND (II) THEIR LOW DIGESTIBILITY AND BIOACCESSIBILITY, DUE TO THE COMPLEX STRUCTURE OF THEIR CELL WALLS, WHICH ARE RICH IN OTHER COMPONENTS SUCH AS NON-DIGESTIBLE POLYSACCHARIDES (ALSO KNOWN AS DIETARY FIBER). This project aims to exploit the potential of algae as alternative and more sustainable sources of food protein. To this end, it is proposed to investigate the techno-functional and nutritional properties of protein-rich products with different levels of purification. This will allow the development of new protein-based products by exploiting an aquatic resource that is currently underutilized, using methods that reduce the number of processing steps and increase the comprehensive valorization of the original biomass. THUS, THE PROJECT WILL ADDRESS SEVERAL TOPICS OF ECOLOGICAL TRANSITION, SUCH AS (I) ADAPTATION TO CLIMATE CHANGE BY SEARCHING FOR NEW FOOD SOURCES AND PROMOTING SUSTAINABLE MARINE RESOURCES; (II) THE EVALUATION OF LESS PURIFIED PROTEIN FRACTIONS FOR USE AS FOOD INGREDIENTS; AND (III) THE PROMOTION OF A HEALTHIER DIET THROUGH THE CONSUMPTION OF SEAWEED, WHICH ARE RICH IN FIBER, OMEGA-3 POLYUNSATURATED FATTY ACIDS AND MICRONUTRIENTS (E.G. IODINE AND VITAMIN B12).</t>
  </si>
  <si>
    <t xml:space="preserve">ALGAS COMO FUENTES SOSTENIBLES DE PROTEINAS ALIMENTARIAS: INTERACCIONES PROTEINA-POLISACARIDO Y SU IMPACTO EN LAS PROPIEDADES TECNO-FUNCIONALES Y NUTRICIONALES</t>
  </si>
  <si>
    <t xml:space="preserve">grant.14857668</t>
  </si>
  <si>
    <t xml:space="preserve">TED2021-129711B-I00</t>
  </si>
  <si>
    <t xml:space="preserve">Green proteins: Do we have to rethink food emulsion?</t>
  </si>
  <si>
    <t xml:space="preserve">Emulsions are ubiquitous in multiphase food systems and found in natural and processed foods as well as during digestion in the gastrointestinal tract. Emulsions are composed of two non-miscible liquid phases such as oil and water and stabilizing agents preventing premature aging and destabilization. Stabilization of food emulsions is achieved by surfactants, particles, or proteins of predominantly animal origin. The societal push towards more sustainable resource management along with a healthy diet and animal welfare asks for plant-based raw materials, which are replacing animal-based ingredients. However, the existing design and formulation pathways for emulsions are challenged by using plant-based proteins, termed green proteins in the following. As plant-based proteins are generally less water soluble than animal-based proteins, a complex preconditioning process is used to not only extract the protein but also functionalize them for the foreseen application. In the proposed project, we use proteins from unicellular microalgae as a model system because of their high protein content, high protein interfacial activity as well as their sustainability and side stream utilization. First, different pathways of green protein extraction and functionalization from unicellular microalgae by tailored precipitation, fermentation, and complexation with surfactants will be addressed. In a second step, a thorough analysis the morphological properties under different boundary conditions in bulk and at interfaces along with the analysis of the protein adsorption layer at fluid interfaces will be studied. In the third step, the project will study the performance of emulsions stabilized with green protein under physiological conditions in different in-vitro digestions setups. Finally, in the last step the previous results will be used to summarize remaining challenges but also to propose design and manufacturing guidelines of innovative food products. In summary, the proposed project is intended to provide detailed recommendations for the transition from animal-based to plant-based proteins within the framework of emulsion and foam structuring.</t>
  </si>
  <si>
    <t xml:space="preserve">https://data.snf.ch/grants/grant/212079</t>
  </si>
  <si>
    <t xml:space="preserve">grant.13042638</t>
  </si>
  <si>
    <t xml:space="preserve">212079</t>
  </si>
  <si>
    <t xml:space="preserve">Peter Fischer, Caroline Giacomin, Li-Hsuan Lin, Qiyao Sun, Lukas Boecker, Susanne Miescher Schwenninger</t>
  </si>
  <si>
    <t xml:space="preserve">2022-11-01</t>
  </si>
  <si>
    <t xml:space="preserve">Project funding (Funding Instrument); Projects (Funding Instrument Hierarchy)</t>
  </si>
  <si>
    <t xml:space="preserve">Stipendiatstilling 5 SINTEF (2021-2023)</t>
  </si>
  <si>
    <t xml:space="preserve">Norwegian seaweed industry has great growth potential. Firstly, the Norwegian coastline is the second longest worldwide, and includes many areas suitable for seaweed, which prefer the cold, nutrient rich water with high salinity we have here. Secondly, we have a deep understanding of the life cycle of sugar kelp (Saccharina latissima) and winged kelp (Alaria esculenta), which makes it possible to cultivate them at ropes deployed in the sea. The moment seaweed cultivation enters the picture, it is possible to increase the accessibility of this resource more sustainable, compared to harvesting from wild growing populations. Seaweed cultivation in Norway has been shown to have minimal impact on coastal ecosystems, and considering the only factors needed to grow seaweed are sun light, CO2 and natural occurring nutrients in the sea, it is in principle possible to cultivate millions of tons of seaweed. Norway is currently the biggest producer of cultivated seaweed in Europe (336 tons kelp was cultivated in 2020), but to scale up this industry we are depending on a well-established seaweed market. To develop this marked further, it is necessary to investigate novel application areas for cultivated seaweed, in addition to the traditional focus on food and feed.
Brown seaweeds have a strong, but flexible structure, thanks to unique biopolymers in the cell walls, such as alginate, fucoidan and cellulose. In addition, the seaweed consists of other chemical compounds, such as proteins, pigments, minerals, and the storage products laminarin and mannitol. Several of these compounds have reported bioactivities, such as being antiviral, antibacterial, and anti-inflammatory, making seaweed an interesting candidate for pharmaceutical industry. However, despite several studies reporting bioactivities in seaweed extracts, few of these compounds reach clinical studies or application in products available at the market. To make an upscaling of the Norwegian cultivated seaweed industry possible, it is essential to identify and remove critical bottlenecks. 
The greatest hinder for an expanded use of biopolymers and other compounds from cultivated seaweed, is the lack of standardised extraction and characterisation. The lack of well-established purification protocols makes it difficult to evaluate if an observed bioactivity is due to the actual seaweed compound, or just co-extracted impurities. Additionally, seaweed constitutes a dynamic biomass, changing its composition a lot during the growth season, something a comprehensive sampling- and characterisation campaign in this project has shown. The harvesting season for cultivated seaweed is short compared to wild growing seaweed. Where wild Laminaria hyperborea can be harvested all year round, cultivated S. latissima and A. esculenta can only be harvested from mid-April to mid-June, which creates a very hectic processing period during spring. Another obstacle for use of especially alginate from cultivated seaweed, is the lower fraction of guluronic acid in the alginate chain compared to wild L. hyperborea, a trait giving poorer gelling properties. To truly understand the relationship between the chemical structure and biological function in a seaweed compound, one depends on good characterisation of both the seaweed biomass and the extracted compounds. 
So far in this PhD-project, standardised characterisation methods of the seaweed biomass have been developed, and standard extraction-, purification-, and characterisation protocols for alginate and other biopolymers from cultivated sugar kelp and winged kelp have been established. In addition, two extensive acid conservation experiments have shown that with the right conditions, it is possible to elongate the processing season for cultivated seaweed by 4 months, without affecting the quality of the seaweed alginate and cellulose. Studies on upgrading of alginates from cultivated seaweed with enzymes is ongoing, aiming at improvement of the alginates gelling properties and increase their value at the market. These works have provided data for five publications in peer-reviewed journals. Additionally, the work on processing protocols has been implemented in bioplastic production from seaweed in other research projects.</t>
  </si>
  <si>
    <t xml:space="preserve">https://prosjektbanken.forskningsradet.no/en/project/FORISS/323326</t>
  </si>
  <si>
    <t xml:space="preserve">grant.9710167</t>
  </si>
  <si>
    <t xml:space="preserve">323326</t>
  </si>
  <si>
    <t xml:space="preserve">Håvard Sletta</t>
  </si>
  <si>
    <t xml:space="preserve">SINTEF</t>
  </si>
  <si>
    <t xml:space="preserve">STIPINST-Stipendiatstillinger i instituttsektoren (Funding scheme); RESEARCH SYSTEM-RESEARCH SYSTEM (Funding scheme)</t>
  </si>
  <si>
    <t xml:space="preserve">A knowledge summary of seaweed cultivation from a Swedish perspective</t>
  </si>
  <si>
    <t xml:space="preserve">Food requirements are predicted to increase in the near future as the estimated global human population approaches 10 billion. To reach a more sustainable food supply chain, we need to rely less on animal-based proteins and instead find new sources of vegetable proteins. Seaweeds (marine macrophytes) can be rich in proteins and the productivity of seaweeds can be several times higher than that in terrestrial systems, making seaweeds a promising source for vegetable proteins in the future. Seaweed aquaculture is not an established food industry in Sweden today, but the Swedish coastline is long with relatively pristine waters and very good conditions for seaweed growth, which indicate a large potential for increased production of seaweed biomass leading to both economic growth and higher food security and employment. The production of seaweeds is environmentally friendly and can mitigate eutrophication as well as ocean acidification. Thus, seaweed aquaculture covers both environmental, social and economic dimensions of sustainability. However, for the Swedish seaweed aquaculture industry to develop in the future, there is a great need to increase both knowledge and skills regarding the production of the biomass. This project focus on increasing knowledge about biomass production by providing a summary of national and international seaweed cultivation research relevant to Swedish conditions using scientific methods (systematic reviews and meta-analyses).</t>
  </si>
  <si>
    <t xml:space="preserve">https://www.vr.se/swecris.html#/project/2020-03119_Formas</t>
  </si>
  <si>
    <t xml:space="preserve">grant.12896490</t>
  </si>
  <si>
    <t xml:space="preserve">2020-03119_Formas</t>
  </si>
  <si>
    <t xml:space="preserve">Gunilla Toth, Susanne Liljenström</t>
  </si>
  <si>
    <t xml:space="preserve">2021-04-01</t>
  </si>
  <si>
    <t xml:space="preserve">10607:Botanik, Botany (SCB); 10699:Annan biologi, Other Biological Topics (SCB); 106:Biologi (Medicinska tillämpningar under 3 och lantbruksvetenskapliga under 4), Biological Sciences  (Medical to be 3 and Agricultural to be 4) (SCB); 1:Naturvetenskap, Natural Sciences (SCB)</t>
  </si>
  <si>
    <t xml:space="preserve">Collaborative development of a fortifying functional food ingredient testing in industrial facilities and human trials</t>
  </si>
  <si>
    <t xml:space="preserve">BioMara is a UK-based biotechnology startup building a cascading biorefinery platform utilising UK-sourced ocean-farmed seaweed biomass. Following a zero-waste approach, BioMara will utilise a residual biomass stream to produce an affordable and sustainable fortifying-functional food ingredient for common foods, which is rich in minerals, protein and fibre.
**NEED**
Innovative food production technologies and healthy food sources must be developed in research partnerships with universities and food manufacturers. Healthy alternatives or additive ingredients are needed for incorporation in common processed and convenience foods. Ingredients should be sourced from traceable and sustainable UK plant-based feedstocks to tackle nutritional challenges in an economically and environmentally sustainable manner.
**PROJECT AIMS**
This project leverages the functionality and nutrition profile of BioMara's high-volume residual-biomass to develop a healthy fortifying functional ingredient for incorporation into end-products such as bread, pastries and cakes. Product development in collaboration with Abertay University includes human trials in the universities state-of-the-art sensory laboratory. Collaboration with Macphie, a food ingredient manufacturer, incorporates the treated/processed seaweed ingredient into products using their pilot-scale kitchen and factory. This project will help meet the increasing demand for healthy, natural, plant-based, affordable foods in commonly eaten baked goods.
**OUTCOMES**
The project outcome is a fortifying functional food ingredient for common foods, such as bread-based products. Bread is a staple eaten by 99.8% of households (Kantar). Therefore, the new ingredient could improve the nutrition profile of millions affecting positive health outcomes throughout the UK population. The bespoke processing techniques retain the nutrition attributes of BioMara's residual biomass stream output, including minerals, protein and fibre.
**WIDER IMPACT**
Successful project outcomes de-risk plans to develop and commercialise a widely available versatile nutritional ingredient. This project will lead to job creation and job retention for project partners, economic gains for the UK and supply chain resilience. Economic benefits include reducing the burden on the NHS through health improvements. Social and economic impact includes stimulating and creating direct and indirect jobs, income diversification opportunities, more resilient coastal communities and support of government initiatives like Net-Zero. BioMara's foundational strategy is to positively influence the growth of an emerging UK seaweed industry by working with suppliers, coastal communities, academic institutions, and industry players in a thriving UK blue-bioeconomy. BioMara's underlying aim is to have a positive environmental impact, including carbon reduction and ocean regeneration. The seaweed industry development supports UN SDGs such as climate action and life below water (SDGs 1, 2, 3, 5, 7-15)_._</t>
  </si>
  <si>
    <t xml:space="preserve">https://gtr.ukri.org/projects?ref=10075366</t>
  </si>
  <si>
    <t xml:space="preserve">grant.14050565</t>
  </si>
  <si>
    <t xml:space="preserve">10075366</t>
  </si>
  <si>
    <t xml:space="preserve">James Dignan</t>
  </si>
  <si>
    <t xml:space="preserve">Abertay University</t>
  </si>
  <si>
    <t xml:space="preserve">Dundee</t>
  </si>
  <si>
    <t xml:space="preserve">2023-08-31</t>
  </si>
  <si>
    <t xml:space="preserve">Synthetically engineered microalgae for improved gut function and human health</t>
  </si>
  <si>
    <t xml:space="preserve">Microalgae are small microscope plants that have the ability to produce important nutritional components, including proteins, carbohydrates and lipids. They can even be used to sequester carbon dioxide and make useful products such as nutraceuticals, pharmaceuticals, biomaterials and biofuel. They usually are grown in water and can absorb nutrients providing cleaner waste water and reduce eutrophication. Making this vision for microalgae a reality has been the focus of many scientists and engineers since the 1970s. They have been declared a solution to the world's problems, being able to address nutrition shortages as the world's population grows to 9 billion people by 2050, reduce CO2 emissions as the world suffers from climate change and produce a sustainable economy as the world reduces its reliance on fossil fuels and the material by-products. 
To achieve this vision, however, there are hurdles associated with the scaling-up process from laboratory to what would be considered useful commercially. The main bottlenecks are on the ability to grow algae at scale, utilising inexpensive nutrients, and the dewatering process, or extracting the algae from the water (dewatering), and then extraction of useful compounds from the microalgae. 
Experiments at the University of Glasgow demonstrated growing microalgae on thin films as a way to overcome dewatering costs, financially and in terms of energy. Growing them in this way, allows them to grow as a biofilm. Little work has been done investigating this biofilm formation in this context but it was clear from this work that the yields were low on occasions. Having a reliable and high yield and understanding the impact of growth conditions (e.g. substrate material, temperature, pH, water activity) is important to progress and scale the applications). 
Recently, the world has seen incredible changes in being able to manipulate genomes of different organisms, a lot of this work has focussed on bacteria, but there is a growing interest in being able to manipulate microalgae to improve their characteristics e.g. growth rate or overexpress certain molecular compounds. Little work has been done on engineering microalgae to grow as biofilms, which is the focus of the current project. Thin film photo bioreactors will be built with sophisticated, yet simple, control systems to monitor biofilm growth, and use nutrients extracted from food-grade waste-streams. Their performance will be assessed with wild-type strains of microalgae, and then the ability to improve the microalgae yields and characteristics will be observed with engineered microalgae. Specifically, components that will be overexpressed as a way of developing and demonstrating these new methodologies will include Vitamin B12, which is an essential vitamin that cannot be produced in the body, Lutein (a carotenoid, found in the human eye in the macular and retina) and exopolysaccharides (EPS, which can help gut health). Once grown, samples will be analysed and compared using state of the art equipment, under the "omics" umbrella, allowing detailed assessment of proteins, carbohydrates and lipids. Samples will also be assessed for their impact on gut function using in-vitro models. 
Control systems will be developed and the data collected from each part of the process to develop new models, assessing life cycle analysis, techno-economic assessment and new machine learning codes to help understand the opportunities from this work.
Ultimately the work will serve as the bases for a new area of research to impact society through improved nutrition development, and spring board into other areas to impact sustainability and climate change.
Technical Summary
Strains of Chlamydomonas reinhardtii and Synechocystis sp PCC 6803 will be engineered to improve their potential to grow as a biofilm. Alongside these modifications, certain genes will be promoted or knocked out to provide model organisms that will over produce vitamin B12, Lutein, exopolysaccharide and extracellular sulphate-polysccharide. This offers opportunities to exploit novel thin film photobioreactors (TFPBRs) that support their growth, and allow a drastic reduction in dewatering costs, (one of the main hurdles inhibiting large-scale deployment and commercialisation of microalgal biorefineries). Another hurdle, nutrient cost, is overcome by utilising food-grade waste-streams to support microalgal growth; potato waste streams have been selected because of their UK availability and proven impact on supporting growth. 
The study is centred around the benefits of these new approaches to microalgae production to enhance human gut function and nutrition. The wild-type and engineered organisms will be grown in PBRs and TFPBRs, and growth compared under different abiotic conditions, assessing yields and nutrient-mismatch behaviour. 
Performance metrics will include yield and production of the overexpressed components. Alongside growth trials, data will be captured to allow development of real-time sensors and systems to monitor performance, through analysing spectral data (e.g. Raman, IR spectra, fluorescence) and correlation with omics, improving control systems and optimal harvest times. 
Grown algal samples will be used raw and with simple low temperature, and/or solvent extraction systems and used in gut function models to identify benefits to human health. Samples will be analysed using omics to further elucidate on the gut function models and benefits of the engineered algae. 
Simple LCA and TEA models will be developed to quantify benefits from these approaches and identify roadmaps to commercialisation and new areas of productive research.</t>
  </si>
  <si>
    <t xml:space="preserve">https://gtr.ukri.org/projects?ref=BB%2FY00857X%2F1</t>
  </si>
  <si>
    <t xml:space="preserve">grant.14050984</t>
  </si>
  <si>
    <t xml:space="preserve">BB/Y00857X/1</t>
  </si>
  <si>
    <t xml:space="preserve">Ian Watson, Richard Burchmore, Emilie Combet, Katie Kennedy, Jagroop Pandhal, Saul Purton, Michele Stanley, Phillip Whitfield</t>
  </si>
  <si>
    <t xml:space="preserve">Glasgow</t>
  </si>
  <si>
    <t xml:space="preserve">2024-02-14</t>
  </si>
  <si>
    <t xml:space="preserve">Research Grant (Project Category)</t>
  </si>
  <si>
    <t xml:space="preserve">SusProt : Sustainable Plant Protein from Vegetable Crop Sidestreams</t>
  </si>
  <si>
    <t xml:space="preserve">SusProt is unique in creating an on-farm platform to exploit currently unharvested food-grade broccoli biomass and extract food-grade protein from it along with other valuable co-products. The on-farm application and exploitation of currently unutilised broccoli biomass offers significant economic and emission reduction opportunities. Success here will see the platform application extended to other unused primary crop food-safe biomass</t>
  </si>
  <si>
    <t xml:space="preserve">https://gtr.ukri.org/projects?ref=10049047</t>
  </si>
  <si>
    <t xml:space="preserve">grant.14051479</t>
  </si>
  <si>
    <t xml:space="preserve">10049047</t>
  </si>
  <si>
    <t xml:space="preserve">Sue Gordon</t>
  </si>
  <si>
    <t xml:space="preserve">James Hutton Institute; Agricultural Engineering Precision Innovation Centre</t>
  </si>
  <si>
    <t xml:space="preserve">Dundee; Edinburgh</t>
  </si>
  <si>
    <t xml:space="preserve">2023-03-01</t>
  </si>
  <si>
    <t xml:space="preserve">Plant based meat products for treatment of iron deficiency</t>
  </si>
  <si>
    <t xml:space="preserve">Iron deficiency is the most common global nutritional disorder. It is the only nutrient deficiency that is not only prevalent in non-industrialized nations, but also in almost all industrialized countries. Despite this, present treatment for the disease is inefficient and associated with severe side-effects such as constipation and nausea. In recent years, several studies have clearly identified the difference in bioavailability between iron salts and iron present in heme containing proteins. Heme iron thus has a higher bioavailability, which enables lower concentrations to fulfill the iron demand in deficient patients. Today, meat is the most common source of heme iron but it is also present in plants to some extent. Due to climate change and the unfavorable health consequences associated with meat consumption, meat is not an optimal iron source. There is a clear gender perspective associated with this. Women show the highest prevalence of iron deficiency and are more prone to exclude meat from their diets.As a response to reduce the prevalence of iron deficiency and to develop a product with shorter treatment periods, reduced side-effects and reduced environmental impact, this application focuses on investigating the potential of using plant hemoglobins as an alternative iron source. Different production systems for these proteins will be evaluated. The obtained plant hemoglobins will be characterized and their potential to be used as food additives will be determined.</t>
  </si>
  <si>
    <t xml:space="preserve">https://www.vr.se/swecris.html#/project/2020-01855_Formas</t>
  </si>
  <si>
    <t xml:space="preserve">grant.12896408</t>
  </si>
  <si>
    <t xml:space="preserve">2020-01855_Formas</t>
  </si>
  <si>
    <t xml:space="preserve">Leif Bülow</t>
  </si>
  <si>
    <t xml:space="preserve">1:Naturvetenskap, Natural Sciences (SCB); 106:Biologi (Medicinska tillämpningar under 3 och lantbruksvetenskapliga under 4), Biological Sciences  (Medical to be 3 and Agricultural to be 4) (SCB); 10602:Biokemi och molekylärbiologi, Biochemistry and Molecular Biology (SCB); 40401:Växtbioteknologi, Plant Biotechnology (SCB); 4:Lantbruksvetenskap och veterinärmedicin, Agricultural and Veterinary Sciences (SCB); 404:Bioteknologi med applikationer på växter och djur, Agricultural Biotechnology (SCB)</t>
  </si>
  <si>
    <t xml:space="preserve">A transformation towards a more plant-based food system is urgently needed. In most high-income countries, the current food consumption habits, which consist of large quantities of animal products, are a risk factor for several non-communicable diseases. In addition, the production of these products has a substantial environmental impact. Therefore, shifting consumption and production towards plant-based protein and fat sources is a promising strategy to improve multiple sustainability issues. Nevertheless, little is known about the potential contribution that different protein and oil crops could make to a largely plant-based food system. In this project, we aim to close this knowledge gap by assessing the potential of different protein and oil crops to enhance food system sustainability, from agricultural production to consumption in Switzerland. Exploring the future of plant-based foods requires a holistic perspective, where a wide range of factors, interactions and feedbacks within the system need to be considered. To this end, we will conduct a foresight study which includes the viewpoints and visions of the relevant actors within the Swiss food system. This will create different scenarios for the Swiss food system focusing on the future of protein and oil crops. Based on these scenarios, the potential and limitations of different transformation pathways will be assessed from three different perspectives: first, we will test how suitable different crops are for cultivation in Swiss agroecosystems based on spatial climatic, topographic and soil conditions by using the CONSUS method developed by ZHAW. Second, we will analyze the uptake behavior of farmers for promising crops by using SWISSland, an agent-based agricultural sector model developed by Agroscope. Furthermore, we will analyze the potential uptake of promising crops by Swiss consumers. Third, we will assess the environmental impacts and nutritional consequences of replacing animal products with the identified protein and oil crops from a dietary perspective (with emphasis on the macronutrients, proteins and fats), as well as focusing on consumers. This will be accomplished within the quantitative food system scenarios of the foresight study using the SOLm model developed by FiBL. This combined focus on suitability, feasibility, and sustainability will allow for the identification of trade-offs and synergies resulting from the characteristics of different protein and oil crops at farm and food system level. Ultimately, we will be able to identify promising and suitable crops that show good results at farm level in terms of nutrient efficiency and economic feasibility, and at the same time offer good solutions for plant-based protein and fat provision.</t>
  </si>
  <si>
    <t xml:space="preserve">https://data.snf.ch/grants/grant/10001169</t>
  </si>
  <si>
    <t xml:space="preserve">grant.14020564</t>
  </si>
  <si>
    <t xml:space="preserve">10001169</t>
  </si>
  <si>
    <t xml:space="preserve">Patrick Laube, Gabriele Mack, Jürn Sanders, Beatrice Baumer, Fabienne Buchmann, Carmen Forrer, Anita Frehner, Roman Grüter, Anja Heidenreich, Isabel Jaisli, Johann Junghardt, Gianna Lazzarini, Nils Ratnaweera, Marta Tarruella, Evelyn Terzer, Eva Winter</t>
  </si>
  <si>
    <t xml:space="preserve">Forschungsinstitut für Biologischen Landbau</t>
  </si>
  <si>
    <t xml:space="preserve">Frick</t>
  </si>
  <si>
    <t xml:space="preserve">2025-04-01</t>
  </si>
  <si>
    <t xml:space="preserve">Nutrition-functional tailored food from microalgal-dairy hybrid systems through in-line sensing and predictive control of multiphase structure extrusion processing</t>
  </si>
  <si>
    <t xml:space="preserve">This SNF-Bridge Discovery project proposal couples three domains of scientific and industry relevant innovation potential: (1) novel, sustainably produced microalgae-dairy hybrid systems of outstanding nutritional quality and functionality, (2) Swiss dairy processing technology for techno-functional product structuring, and (3) controlled multi-scale structuring for tailored quality characteristics of multiphase protein hybrid system by 2-step co-extrusion.Among single-cell organisms, microalgae are recognized for their versatility, excellent nutritional profile, and environmental advantages. With superior growth rates and yields compared to most terrestrial plants, microalgae offer a more sustainable source of proteins and micronutrients. Moreover, their resource-efficient cultivation and adaptability make microalgae a promising solution to address both nutritional deficiencies and sustainability concerns in the food industry. Coupling domains (1) and (2) follows the future-oriented development of food systems, which allows functional properties of selected “plant-like” microalgae systems to be combined in a sustainable manner with special consumer-relevant sensory and nutritional advantages of milk-based product systems. Domain (3) proposes that this approach can be realized with a high degree of freedom to create the organoleptic and health-relevant product properties preferred by consumers under controlled, sustainable, and scalable processing conditions. Combining microalgae and dairy proteins is considered to have a high degree of innovation and synergism in terms of consumer product preference and nutritional requirements while improving the sustainability of the dairy supply chain and taking all dimensions of sustainability into account. The resulting products will bring us closer to the goal of sustainable, affordable, nutritionally valuable, wholesome, and tasty food. The competent team of applicants and co-applicants brings together internationally recognized expertise in scientific and applied research on microalgae and dairy technology, food process engineering and process control, which ensures that there is a high chance of success in achieving the project goals. All the project partners have demonstrated capabilities to reach the ambitious project goals thanks to their strong research track record and practical experience, evidenced by numerous scientific articles and patent applications. In the context of the prevailing megatrend towards the development of purely plant-based products, the decision to explore microalgae-dairy hybrid systems is seen as forward-looking and expedient, especially within the context of the Swiss food industry. This material pairing holds promises for synergistic advantages with respect to nutritional, sensorial, and economic perspectives. Environmental sustain-ability aspects will not be compromised, since foregoing the cultivation of grassland and its use as a source of proteins for ruminants would put the food supply of a growing world population with nutrient-dense foods at risk. Switzerland is in a prominent role to demonstrate concepts and explore optimization opportunities arising from the interaction of microalgal and dairy components. Switzerland's special relationships with Singapore and Indonesia also predestine the investigation of microalgae, which are characterized by particularly high levels of micronutrients, and expected to be highly efficient in phosphorus and potassium recovery from dairy side streams. Regarding the economic relevance of the project results expected to provide innovative technologies and products, these connections will also hold the prospect of interesting economically relevant collaborations for Switzerland. Industrial relevance and market potential will be explored with two Industrial Project Support Groups (IPSGs) to pave the way to market.</t>
  </si>
  <si>
    <t xml:space="preserve">https://data.snf.ch/grants/grant/226604</t>
  </si>
  <si>
    <t xml:space="preserve">grant.14523117</t>
  </si>
  <si>
    <t xml:space="preserve">226604</t>
  </si>
  <si>
    <t xml:space="preserve">Alexander Mathys, Christoph Denkel, Marcel Rupf, Adrian Tica</t>
  </si>
  <si>
    <t xml:space="preserve">2025-02-01</t>
  </si>
  <si>
    <t xml:space="preserve">Bridge - Discovery (Funding Instrument); Programmes (Funding Instrument Hierarchy)</t>
  </si>
  <si>
    <t xml:space="preserve">SUSTAINABLE HETEROTROPHIC PRODUCTION OF ALGAE USING NUTRIENTS FROM RENEWABLE SOURCES</t>
  </si>
  <si>
    <t xml:space="preserve">The Shape project seeks to make significant progress in the microalgae production industry, facing numerous challenges that currently hinder its implementation as a food product. These challenges are related to production capacity and the quality of the biomass generated. Currently, production is carried out in large reactors that require large areas of land due to the need for sunlight and large volumes of water due to evaporation and the difficulty of reuse. In addition, production is restricted to regions with favorable environmental conditions. Regarding biomass quality, there is considerable variability between batches due to its dependence on environmental conditions and the ease with which reactors become contaminated. The high content of photosynthetic pigments and volatile compounds also complicates its use due to its intense color, aroma, and flavor. 
The project will generate knowledge and promote technological and scientific advances in heterotrophic microalgae production. Producing microalgae under dark conditions will reduce the need for large land areas and water consumption, in addition to improving biomass quality and consistency, which is crucial for the food industry. It will also allow the production of algal biomass anywhere in the world, regardless of environmental conditions or the time of year. The main objective of the project is to solve the problems associated with the heterotrophic production of microalgae, such as the lack of strains capable of heterotrophic growth, the scarcity of low-cost renewable nutrient sources, and the ease with which fermenters become contaminated. The project aims to identify new strains and improved phenotypes capable of robust growth in fermenters in the absence of light. In addition, food and agricultural by-products will be valorized as sources of renewable nutrients to increase process sustainability and reduce operating costs. Heterotrophic microalgae production will be optimized through the development of new analytical tools and cleaning and operating protocols, facilitating production for the food industry. A second objective of the project is the development of new foods based on microalgae or compounds derived from heterotrophically produced microalgae. The Shape project will focus on high- and medium-value products, such as bioactive compounds and nutricosmetics, technologically functional ingredients, and ingredients rich in protein, fiber, or minerals to enrich foods. The processes will follow a zero-waste concept, with surplus fractions being used for the production of biofertilizer compounds or biostimulants. The Shape project is at the forefront of current knowledge in heterotrophic production, the use of renewable nutrients, and the application of microalgae for high-value-added products. It was born from the needs of the industrial sector and regions where environmental conditions do not allow for conventional microalgae production, but demand sustainable food production processes. Shape represents a breakthrough in the production and use of microalgae for high-value applications, especially in the functional food, nutritional supplement, and nutricosmetic industries.</t>
  </si>
  <si>
    <t xml:space="preserve">PRODUCCION HETEROTROFICA SOSTENIBLE DE ALGAS UTILIZANDO NUTRIENTES PROVENIENTES DE FUENTES RENOVABLES</t>
  </si>
  <si>
    <t xml:space="preserve">grant.14880979</t>
  </si>
  <si>
    <t xml:space="preserve">CNS2024-154218</t>
  </si>
  <si>
    <t xml:space="preserve">University of Almería</t>
  </si>
  <si>
    <t xml:space="preserve">Almería</t>
  </si>
  <si>
    <t xml:space="preserve">Research Consolidation Projects (Call)</t>
  </si>
  <si>
    <t xml:space="preserve">A sustainable multi-strain, multi-method, multi-product microalgae biorefinery integrating industrial side streams to create high-value products for food, feed and fragrance</t>
  </si>
  <si>
    <t xml:space="preserve">MULTI-STR3AM is driven by a critical need to shift to a sustainable means of producing food, feed and raw materials. Microalgae represent a promising solution to address the growing recognition that current agricultural and manufacturing practices are causing irreparable environmental damage. Microalgae, have a vast biosynthetic potential and are a rich source of lipids, protein and high-value compounds such as pigments. Despite these advantages, they are underexploited as a crop. This is due to barriers of scale, which mean that microalgae products struggle to achieve the same economies as conventional products, such as palm oil or soybean. MULTI-STR3AM addresses these challenges by scaling up and lowering costs, providing valuable products for large end users in the food, feed and fragrance sectors. The project reduces costs, increases scale and boosts sustainability, through: i) constant improvement of strains through non-GM methods, to increase their productivity and meet end user needs; ii) design and engineering improvements to cultivation and harvesting technologies to reduce CAPEX and OPEX of biomass production; iii) exploitation of industrial and own side streams during cultivation in a circular economy design; iv) synergistic integration of different technologies in a multi-strain, multi-method, multi-product biorefinery (‘MULTI-biorefinery’); and v) valorisation of every fraction of the microalgal biomass in a zero waste approach. MULTI-STR3AM will demonstrate 7 consumer products, 6 of which are new, including: lipids for edible spreads; protein, carbohydrates and lipids for feed ingredients for poultry, pigs and ruminants; and protein and small organic compounds as building blocks for the fragrance industry. By engaging global actors from the industrial, academic and non-profit sectors, MULTI-STR3AM creates a roadmap for economically viable industrial-scale microalgae cultivation, towards a sustainable future for European bio-based industries.</t>
  </si>
  <si>
    <t xml:space="preserve">https://cordis.europa.eu/project/id/887227</t>
  </si>
  <si>
    <t xml:space="preserve">grant.9066041</t>
  </si>
  <si>
    <t xml:space="preserve">887227; 229434; MULTI-STR3AM; 10.3030/887227</t>
  </si>
  <si>
    <t xml:space="preserve">National Laboratory of Energy and Geology; International Flavors &amp; Fragrances (United States); Institute of Microbiology; Instituto de Biologia Experimental Tecnológica</t>
  </si>
  <si>
    <t xml:space="preserve">Lisbon; New York; Prague; Oeiras</t>
  </si>
  <si>
    <t xml:space="preserve">2020-05-01</t>
  </si>
  <si>
    <t xml:space="preserve">INDUSTRIAL LEADERSHIP - Leadership in enabling and industrial technologies – Biotechnology</t>
  </si>
  <si>
    <t xml:space="preserve">Continuously “milking” aquatic single-cell plants for functional food ingredients: MilCowLg</t>
  </si>
  <si>
    <t xml:space="preserve">Aquatic plants such as microalgae can convert carbon dioxide into functional food ingredients like proteins, 10 times more efficiently than terrestrial crops. This is done while requiring no arable land, pesticides, fertilizers, and even fresh water. Nonetheless, their growth and processing are complex, translating into more expensive products. To address these issues we will develop an innovative continuous extraction of active compounds from microalgal cells without killing them. This “milking” process will allow us to reuse these cells again and again, effectively simplifying the approach and making it economically competitive, bringing these technologies closer to a wide-scale application.</t>
  </si>
  <si>
    <t xml:space="preserve">https://www.nwo.nl/en/projects/ocenwxs232152</t>
  </si>
  <si>
    <t xml:space="preserve">grant.13609411</t>
  </si>
  <si>
    <t xml:space="preserve">OCENW.XS23.2.152</t>
  </si>
  <si>
    <t xml:space="preserve">I.Z. Boboescu
dr. K.S. Salazar Alekseyeva</t>
  </si>
  <si>
    <t xml:space="preserve">Wageningen</t>
  </si>
  <si>
    <t xml:space="preserve">XS (Research programme)</t>
  </si>
  <si>
    <t xml:space="preserve">Development of a scientific basis for the industrial production of functional foods including extracts of the microalgae Porphyridium purpureum</t>
  </si>
  <si>
    <t xml:space="preserve">One of the promising areas of biotechnology is the use of cultivated algae as producers of various bioactive substances: phycobiliproteins, carotenoids, polyunsaturated fatty acids, polysaccharides, vitamins, enzymes with anti-inflammatory, antifungal, immunomodulatory and antioxidant properties. The current trend is the steadily growing need for bioactive substances in the food industry.
Industrial cultivation of microalgae in the southern regions of Russia is seasonal. However, some types of microalgae do not require increased levels of temperature and light for their growth and synthesis of valuable substances: for example, Porphyridium purpureum. Organizing the cultivation of microalgae on the basis of greenhouse complexes makes it possible to smooth out the instability of natural conditions during cultivation.
When moving to growing microalgae in industrial conditions, a necessary step is testing the process in pilot plants. The project is aimed at developing the research of intensive microalgae cultures carried out at the Federal Research Center InBYUM and is aimed at developing the topic of obtaining functional food products.
The red microalgae Porphyridium purpureum is of interest to researchers as a source of various biologically valuable substances, the amount of which in microalgae cells is determined by cultivation conditions, for example: extracellular sulfopolysaccharides, unsaturated fatty acids, as well as pigments belonging to the group of phycobiliproteins. The amount of V-PE can reach 85% of the total amount of FBP, and the production of V-PE can reach 40-50 mg L-1 day-1. Thus, assessing the production potential of the microalga Porphyridium purpureum for the southern regions of Russia in different seasons of the year seems very relevant.
From a commercial point of view, phycobiliproteins are valuable natural substances. However, the use of FBP in food products is limited by their low stability: they decompose under the influence of light and many other physicochemical factors. Degradation of the protein fraction has a significant impact on the color retention of PBP. To protect the structural order of protein chains, stabilizing agents are often used as preservatives to preserve the color of the pigment and avoid denaturation. However, the use of a number of additives to stabilize FBP is unacceptable when used in medicine and the food industry. Thus, assessing the stability of PBPs isolated from Porphyridium purpureum biomass when stored using preservatives that are not harmful to human health requires testing.
In recent decades, the demand for functional foods has increased sharply, due to growing consumer awareness of the impact of food on human health. Functional foods, by definition, have beneficial effects on physiological functions, improve consumer well-being and health, and reduce the risk of disease. Therefore, regular inclusion of functional foods in the diet helps to improve the quality of life and ultimately reduce health care costs for the entire population, which is characterized by an ever-increasing life expectancy. Much of the microalgae biomass that is currently commercialized for food purposes is advertised as a “superfood,” “rich in protein,” and/or “rich in omega-3s.” Most often, such products contain spirulina and chlorella biomass. At the same time, today there is no functioning production of food products containing Porphyridium purpureum biomass or extract, which emphasizes the relevance of developing technologies for the production of food products with Porphyridium purpureum biomass.</t>
  </si>
  <si>
    <t xml:space="preserve">http://www.rscf.ru/en/enprjcard?rid=24-26-20131</t>
  </si>
  <si>
    <t xml:space="preserve">grant.14702072</t>
  </si>
  <si>
    <t xml:space="preserve">24-26-20131</t>
  </si>
  <si>
    <t xml:space="preserve">Andrey Borovkov</t>
  </si>
  <si>
    <t xml:space="preserve">NEW SOURCES OF PLANT-BASED PROTEIN WITH HIGHER NUTRITIONAL AND FUNCTIONAL VALUE. CONTRIBUTING TO THE CIRCULAR ECONOMY AND DISRUPTIVE NUTRITION</t>
  </si>
  <si>
    <t xml:space="preserve">In recent years, health and food issues have become increasingly important for consumers, with the development of numerous functional foods from different sources. In this context, functional foods of plant origin obtained from different legumes and vegetable seeds stand out for their bioactive peptides (BAPS) and bioactive compounds with significant health benefits. Numerous in vitro studies have demonstrated the beneficial effect of vegan proteins on metabolic dysregulations caused by obesity/metabolic syndrome. However, more in vivo studies are needed that link BAPS with improved insulin resistance and lipid metabolism. Moreover, transforming our current economy into a circular one will generate significant benefits for both the environment and the health of the population by developing new products that allow the reuse of materials usually considered waste and providing ingredients with high nutritional and functional value to the regular diet, leading to improved health. OUR HYPOTHESIS STATES THAT THE ISOLATION OF NOVEL AND HIGHLY BIOAVAILABLE PLANT PROTEIN SOURCES FROM AGRO-FOOD WASTE MATERIAL AND SURPLUS WILD OR CULTIVATED SEEDS, USING ENVIRONMENTALLY FRIENDLY TECHNOLOGIES, CONTRIBUTES TO A BETTER NUTRITIONAL STATUS OF THE POPULATION AND TO THE TREATMENT OF METABOLIC SYNDROME WHEN COMBINED WITH A HIGH-INTENSITY INTERVAL TRAINING (HIIT) PROTOCOL. THEREFORE, THIS PROJECT AIMS TO DEVELOP NEW PROTEIN PRODUCTS TO RECYCLE WASTE PLANT MATERIAL DERIVED FROM AGRICULTURAL ACTIVITY AND THE FOOD INDUSTRY AND TO PROMOTE THE USE OF ALTERNATIVE NATIVE PROTEIN SOURCES, THUS PROMOTING THE CIRCULAR ECONOMY AND ENVIRONMENTAL SUSTAINABILITY IN ACCORDANCE WITH THE SDGs. Furthermore, the protein preparations developed can be combined with other proteins commonly used in convenience food design. When included in the diet and/or combined with a HIIT protocol, they can reverse the harmful effects of metabolic syndrome. Furthermore, the project aims to improve the health status of the population and develop circulating exosome biomarkers that are important for health. TO ACHIEVE THIS MAIN OBJECTIVE, THE SPECIFIC OBJECTIVES ARE: 1) PREPARATION OF PROTEIN CONCENTRATES, ISOLATES AND HYDROLYZATES FROM PLANT MATERIAL OF SELECTED HORTICULTURAL SPECIES, LEGUMES, MICROALGAE AND LEMNA AND DETERMINATION OF THEIR NUTRITIONAL AND FUNCTIONAL POTENTIAL. 2) SELECTION OF THE PROTEIN PREPARATION WITH THE GREATEST NUTRITIONAL AND BIOACTIVE POTENTIAL AND VALIDATION OF ITS PROTEIN AND MINERAL BIOAVAILABILITY IN VIVO IN AN EXPERIMENTAL GROWING RAT MODEL. 3) USE OF AN EXPERIMENTAL RAT MODEL WITH GENETIC OBESITY, NON-ALCOHOLIC FATTY LIVER DISEASE AND INSULIN RESISTANCE. Study of alterations in metabolic and bone parameters, as well as their improvement after incorporating the protein preparation into the diet and applying the HIIT protocol. 
The proximal composition and in vitro digestibility of the protein preparations will be studied. In vivo digestibility will be studied in an experimental model of growing rats, and its beneficial effect on metabolic alterations will be studied in a MS model.</t>
  </si>
  <si>
    <t xml:space="preserve">NUEVAS FUENTES DE PROTEINA DE ORIGEN VEGETAL CON MAYOR VALOR NUTRICIONAL Y FUNCIONAL. CONTRIBUCION A LA ECONOMIA CIRCULAR Y LA NUTRICION DISRUPTIVA&amp;#8194;&amp;#8194;&amp;#8194;&amp;#8194;</t>
  </si>
  <si>
    <t xml:space="preserve">grant.14856978</t>
  </si>
  <si>
    <t xml:space="preserve">TED2021-131241A-I00</t>
  </si>
  <si>
    <t xml:space="preserve">University of Granada</t>
  </si>
  <si>
    <t xml:space="preserve">Granada</t>
  </si>
  <si>
    <t xml:space="preserve">SeaProPep – SEAweed as a sustainable source of PROtein and bioactive PEPtides</t>
  </si>
  <si>
    <t xml:space="preserve">'In the future, we will need a new recipe for feeding the world'. In contemporary society, consumers have increasingly shifted from the conventional view of 'food' as the primary source of nutrients to a much more challenging need that requires the potential to improve health actively [1,2]. As the global population continues to increase, the demand for sustainable and alternate protein sources is an urge. Seaweed as a sustainable source of protein is already a reality in China and Japan [3]. On the other hand, Western society, mainly Portuguese and European, have pursued meat substitutes, with plant-based protein being the most common [4]. However, because the use of arable land and potable water is limited, society in recent decades has turned its attention to the sea. The so-called blue economy places a strong emphasis on marine food and, in particular, seaweed [3,5].
Many Western consumers are not familiar with eating seaweed outside the concept of foods such as sushi. However, how to change the culture of algae consumption? There is a need for alternatives to seaweed consumption in its raw state. Producing protein concentrates makes it possible to quickly increase their consumption and acceptance by incorporating them into products already marketed and accepted by society. Those protein concentrates, coupled with their bioactive potential, especially in pure peptides and protein hydrolysates [6], may bring beyond nutritional value, nutraceutical and pharmaceutical value. This value can be very high if we can use it to prevent non-communicable diseases (NCDs), including a range of chronic conditions such as cancer, diabetes, cardiovascular disease, hypertension, Alzheimer's disease (AD) and other dementias. According to the World Health Organization (WHO), NCDs are a big challenge to global health, killing 41 million people a year, equivalent to 71% of all deaths worldwide. People of all ages, regions and countries are affected by these diseases. The continuous increase of NCDs incidences demands urgent development of preventive and/or curative therapeutic strategies truly effective.
In association with public health institutions, researchers have focused on achieving a possible strategy to prevent/treat NCDs using peptides. There is scientific evidence that some peptides (food-derived) can reduce blood pressure via inhibition of the angiotensin-converting enzyme (ACE) from the renin-angiotensin system, one of the main hypertension mechanisms [7,8]. There are also studies showing that peptides could be involved in the treatment of AD. They can inhibit the toxic beta-amyloid (Aß) aggregation, which is responsible for the deterioration of healthy brain cells, causing loss of memory and eventual cognitive impairment [9]. In this order, the study of new bioactive peptides is of particular interest.
Looking for an answer to these emerging problems, SeaProPep, a multidisciplinary research team (RT) with members from different backgrounds and expertise, was created. Its goal is to use seaweed as an alternative source of protein, as well as to obtain hydrolysates and new bioactive peptides therefrom, for potential nutraceutical and pharmacological applications. Besides, it will focus on a sustainable vision, from the collection of raw materials to their potential market application, of enhancing the use of biomass as co-products.
To achieve the proposed objectives, SeaProPep intends to nutritionally characterise the native species of the three representing groups of seaweeds (green, red, and brown). From those samples, protein extraction conditions will be optimised using a non-common extraction method. Thus, the extraction leads to obtain protein concentrates and peptide concentrates (native peptides) with potential bioactivities. Although inactive within their source proteins' primary structure, enzyme-mediated hydrolysis may release peptides with specific amino acid sequences that exhibit biological activity [10–13]. In that order, the optimisation of protein concentrates hydrolysis to obtain bioactive hydrolysates, and new bioactive peptides will be performed.
The PI (Principal Investigator), Tânia Tavares, and LEPABE team have large expertise in algae components extraction, proteins hydrolysis process, and bioactivities characterisation. At CTC, Jose Manuel Lorenzo, as Co-PI and CTC team will employ his long-term expertise in the use of emerging and green technologies for the recovery of biological active compounds as well in the identification of bioactive compounds.
The SeaProPep project aims to shed light on the sustainable valorisation of seaweed proteins, hydrolysates, and new bioactive peptides derived from them, aligning with the United Nations Sustainable Development Goals (SDG3, SDG12 and SDG17).</t>
  </si>
  <si>
    <t xml:space="preserve">SeaProPep - Algas marinhas como fonte sustentável de Proteínas e Péptidos bioativos</t>
  </si>
  <si>
    <t xml:space="preserve">grant.13266650</t>
  </si>
  <si>
    <t xml:space="preserve">175751PRJ; 2022.05853.PTDC</t>
  </si>
  <si>
    <t xml:space="preserve">Tânia Sofia Granja Tavares, Jose Manuel Lorenzo Rodriguez, Daniel Franco Ruiz, Francisco Xavier Delgado Domingos Antunes Malcata, Helena Isabel Sousa Cardoso de Amaro, Joana Loureiro, Joana Marta Leonardo de Assunção, José Carlos Magalhães Pires, Maria do Carmo Pereira, Mirian Pateiro Moure, Paulo Eduardo Sichetti Munekata, Rubén Domínguez Valencia</t>
  </si>
  <si>
    <t xml:space="preserve">University of Porto</t>
  </si>
  <si>
    <t xml:space="preserve">Porto</t>
  </si>
  <si>
    <t xml:space="preserve">2023-03-12</t>
  </si>
  <si>
    <t xml:space="preserve">Concurso de Projetos de I&amp;D em Todos os Domínios Científicos - 2022 (Funding program)</t>
  </si>
  <si>
    <t xml:space="preserve">Multi-functional fibres as bio-based food binders, selectively modified using green technologies and enzymes</t>
  </si>
  <si>
    <t xml:space="preserve">The current trend in the food and innovation sector is the drive for more sustainable foods and its alternatives in an attempt to combat the negative effects unsustainable approaches have on the environment (Saari et al., 2021). This is embodied in profound consumer shifts to vegan foods and plant proteins. There is an abundance of grain proteins which can be blended in mixtures offering tailored composition and flavour (Jiménez-Munoz et al., 2021). The technological and physicochemical properties are, however, challenging to be controlled. Normally, binding agents - food grade molecules with protein binding capability - are required to achieve the structure and the stability that is expected in a food formulation, e.g., a vegan meal. Traditional binding agents, like gelatine, lecithin, or gums are either not vegan friendly or can induce allergies or simply not optimised to synergistically work with plant proteins. Some legume or seed starches used are either expensive or unsustainable to mass produce. Currently, the golden standard is methyl cellulose (E461), that is derived from wood fibres and includes chemical modifications. Conveniently, the thermogelation properties of this polysaccharide provides firmness above 60 degrees C simulating the texture of meat (Nasatto et al., 2015). However, it is perceived as artificial and non-sustainable, an unpopular choice for health and environmentally conscious consumers and thus, there is a drive by food suppliers to develop alternative sustainable and clean label solutions. One of the most sustainable alternative sources are biotechnologically produced fibres sourced from by-products of the agri-food sector. Fibres can have multiple functionalities, including binding agent, rheology modifier, bulking material, emulsifier, and fat mimic as ingredients in food products. Therefore, there is a clear need and considerable market opportunity to develop alternative sustainably sourced fibrous binder using green technologies with similar, to the competition, capacity but achieving a clean label and a low environmental footprint.
Aims and objectives:
The aim is to develop novel 'clean label' food binding agents through the modification of cellulosic (Curran) and hemicellulosic polymers extracted from agri-food residues and by-products.
The aim of the study is to investigate and provide the basis for understanding and developing novel, vegan-friendly fibrous binding agents derived from agri-food by-product streams using green (bio)processing technologies.
Specifically:
-To Screen various natural sources, starting from micro-fibrillated cellulose and expanding to other sustainable biopolymers including hemicellulosic fractions to evaluate their fit for purpose.
-To explore chemical modification of the fibrous biopolymers using a variety of green processing technologies (ultra-sonication, cold plasma, microwave processing and high-pressure processing).
- To investigation enzymatic modification of fibrous molecules of various molecular weights though oxidation reaction or grafting.
- To characterize the rheology, texture, gel formation, emulsifying and binding properties of the candidate molecules on their own and in model systems with other ingredients (characterization will be done checking their binding capacity, rheology, emulsification, water holding capacity, thermogelation properties).
- To select the most favorable material for their inclusion in reformulated food applications, such as vegan meat alternatives.
- To determine the structure of the biopolymers using size exclusion and ion exchange chromatography, matrix-assisted laser desorption ionization, nuclear magnetic resonance.</t>
  </si>
  <si>
    <t xml:space="preserve">https://gtr.ukri.org/projects?ref=studentship-2439791</t>
  </si>
  <si>
    <t xml:space="preserve">grant.14052508</t>
  </si>
  <si>
    <t xml:space="preserve">2439791</t>
  </si>
  <si>
    <t xml:space="preserve">Tassos Koidis, Whitney Vale-Hagan</t>
  </si>
  <si>
    <t xml:space="preserve">Queen's University Belfast; Cellucomp (United Kingdom)</t>
  </si>
  <si>
    <t xml:space="preserve">Belfast; Burntisland</t>
  </si>
  <si>
    <t xml:space="preserve">2022-09-30</t>
  </si>
  <si>
    <t xml:space="preserve">Large scale sea cultivation of green seaweed</t>
  </si>
  <si>
    <t xml:space="preserve">The rising population demands radical solutions towards food security, which cannot be solely met through land-based agriculture. Seaweed (macroalgae) aquaculture has the potential to supplement food supplies, enhance the maritime economy, and enable ecosystem services. Ulva (green seaweed) stands out due to its high protein content (up to 30%), presence of vitamins (e.g., A, B, C, E), trace minerals (e.g., Fe, Ca,Mg) and dietary fibres. Despite the advantages, Europe produces only 0.6% of the total global seaweed (2016) production of 33 million tonnes (wet weight) and consumes close to 10%. Asia dominates the production (&gt;90%). 
Ulva is highly suitable for large-scale cultivation, as it grows fast (19.7 g/m2/day) with a short cultivation cycle. But scaling up its production – using existing land and sea-based approaches - is prone to techno-economic challenges. The ULVA FARM project will tackle these challenges and demonstrate large-scale Ulva cultivation in 2 ha of sea on the Swedish west coast (municipality of Tanum), for which it has secured a permit. It will demonstrate a high throughput production of seeding material (germlings), usage of a specific rope mesh substrate and testing 2 cultivation cycles which could potentially result up to 20 ton/ha/year of Ulva yield. It would thus validate the scalability of the Ulva production at a large scale, with 0% use of land, fertilizers and 90% reduced production costs compared with tank-based systems. 
Ulva Farm will result in 25 tonnes of cost-efficient EU-organic certified Ulva, absorb 945 kg of nutrients to prevent eutrophication, sequester 5.7 tonne CO2 eq. of carbon and create 7 FTE jobs. It will also enable Nordic Seafarm to raise EUR 4-5 M in equity by 2024. By 2030, an Ulva farm of 50ha will sequester 227 tonnes eq. of CO2, produce 1000 tons/y, absorb 37.8 tonnes of nutrients from the sea, while employing 40 FTEs (direct and indirect); and thereby reducing the dependence on Asian import.</t>
  </si>
  <si>
    <t xml:space="preserve">https://ec.europa.eu/info/funding-tenders/opportunities/portal/screen/opportunities/projects-details/31098847/101038333/EMFF</t>
  </si>
  <si>
    <t xml:space="preserve">grant.13715884</t>
  </si>
  <si>
    <t xml:space="preserve">101038333</t>
  </si>
  <si>
    <t xml:space="preserve">Norwegian agricultural products and ingredients for a healthy and sustainable future</t>
  </si>
  <si>
    <t xml:space="preserve">Many reports stress future challenges due to a growing population in combination with limited production areas and climate changes. To meet these challenges, it is widely recognized that the food system needs to transform. To that end, there is a need for research-based knowledge promoting production of healthy and sustainable food raw materials and ingredients. In this context, SusHealth has identified the following critical R&amp;D knowledge gaps: How to utilise the whole biomass of plants and animals to optimise the use of new and existing Norwegian resources? How to maintain or even increase the health-promoting constituents in raw materials and food ingredients during storage and processing? How to produce new Norwegian plant-based food ingredients that meet dietary guidelines, with optimised functional and sensory properties? 
To close these knowledge gaps, SusHealth will deliver research on:
-starch and dietary fibres, for new carbohydrate ingredients for increased quality, sustainability and health benefits
-lipid metabolism, oxidation and bioactivity to increase the potential for Norwegian plant oils
-phytochemicals in fruits and vegetables, and the effects of storage and processing to ensure fresh produce, ingredients and products with high quality
-methodologies to unravel raw material/process/quality relationships in production of protein ingredients from new and traditional Norwegian protein sources
-innovative technologies to produce plant-based food ingredients with optimal nutritional, sensory and functional properties
-biological models and methods for evaluation and documentation of health-promoting effects and nutritional properties of food ingredients
Through the knowledge obtained, and strategic dissemination of project results, SusHealth will contribute to sustainable food production and innovative value-creation for Norwegian primary producers and food industry.</t>
  </si>
  <si>
    <t xml:space="preserve">https://prosjektbanken.forskningsradet.no/en/project/FORISS/314599</t>
  </si>
  <si>
    <t xml:space="preserve">grant.9522341</t>
  </si>
  <si>
    <t xml:space="preserve">314599</t>
  </si>
  <si>
    <t xml:space="preserve">Kjersti Aaby</t>
  </si>
  <si>
    <t xml:space="preserve">NOFIMA-FFL-Nofimas strategiske programmer - FFL (Funding scheme); NOFIMAFFL-NOFIMAFFL (Funding scheme)</t>
  </si>
  <si>
    <t xml:space="preserve">New functional food products with biologically active substances from subproduct from the food industry and plant materials for preventive medicine, health and longevity</t>
  </si>
  <si>
    <t xml:space="preserve">Nutrition is the most important environmental factor that determines the proper development, health status, human working ability. According to WHO experts, approximately 60-70% of human health depends on nutrition, all the rest are issues of genetics, ecology, heredity. Currently, there is a shortage of nutrients and biologically active substances in modern food, unbalanced nutrition, poor quality of food products in the consumer market. The problem is especially acute with regard to special foods for the age groups of the population and people with a tendency to socially significant diseases, such as metabolic syndrome, obesity, type 2 diabetes, precancerous and oncological diseases. They should receive a complex of biologically active substances in an easily digestible form to reduce the risk of the aforementioned diseases. The personalized approach of preventive medicine using the latest advances in nutritional genomics, using nano- and microcapsulation technologies to improve the bioavailability and digestibility of biologically active substances in the composition of the foods is of particular importance. In this case, a set of active compounds is selected for each patient individually, taking into account the characteristics of his (her) genetic profile. In this regard, a design of new specialized foods enriched with biologically active substances is of particular interest. Such products are called functional, as they are designed to maintain and improve health and reduce the risk of developing diseases due to the presence of functional ingredients in their composition. And the functionality of the ingredients and foods enriched with these substances should consist in nutrient adequacy and be proved by preclinical trials with the study of their effect on biochemical, hematological, hormonal and histological indicators of laboratory animals, using various patterns of disease injection. 
A multidisciplinary approach that combines scientific research in the field of food biotechnology, chemical technology, food systems, nutrition and biomedicine allows to solve the problems of designing new functional foods. The project is aimed to create new safe and high-quality foods of plant and animal origin with biologically active substances in traditional and nano- and microencapsulated forms isolated from by-products of the food industry and available plant materials with the use of aquabiotics for the prevention and treatment of socially significant diseases, maintaining health and increasing longevity. 
We will be the first to develop new technologies 1) extraction of biologically active substances, namely, isoflavones from soy molasses (kudzu roots and red clover) using deep natural eutectic solvents (NADES) and supercritical fluid extraction, resveratrol from plant materials such as Fallopia baldschanica (highlander Boljuana); galactooligosaccharides using betagalagalactosidases immobilized on zeolites using solid binding peptides (SBP); extractive nutrients from the algae Ascophyllus nodosum, Fucus vesiculosus and Chlorella vulgaris; 2) biotransformation of the nutrient medium components using Phaffia rhodozyma yeast to produce astaxanthin on media containing by-products of brewing, sugar production and production of soy protein concentrate; 3) biotransformation of the components of the food (yogurt) by the Lactobacillus sp microorganisms, vitamins B producers in the food. For the first time, new methods will be developed for the preparation of submicron capsules based on liposomes and nanosomes using original approaches to the processing of by-products of plant materials. A new technology will be elaborated for the production of pectin from beet pulp, which will achieve high surface activity of the final products. For the first time, technologies will be developed for loading nanosomes and liposomes coated with polysaccharides (pectin, carboxymethylated starch and cellulose) with targeted biologically active compounds. 
First, virtual models of functional foods of plant and animal origin (milk yogurt, vegetable milk, cheese, vegetable oil, sausages and paste products) will be designed using computer simulation and their nutritional adequacy will be evaluated. For the first time, the design of the nutrient profile and the study of the functional properties of food systems of animal origin will be carried out through the combined use of aquabiotics and biologically active substances, and the medical and biological requirements for functional food systems (products) containing biologically active complexes (isoflavones, bioiodine, bioselenium, Chlorella growth factor (CGF), resveratrol, astaxanthin, vitamins B and D, seaweed extract, galactooligosaccharides) and aquabiotics in animal food systems. For the first time, testing and assessment of the degree of reproducibility of virtual models in practical food technology will be carried out, having a functional orientation in the field of metabolic correction of age-related non-infectious diseases, maintaining health and increasing life expectancy. New foods of plant and animal origin will be designed enriched with the above biologically active substances in traditional and nano - and microencapsulated forms with optimization of consumer and physicochemical properties for the purpose of further preclinical tests. 
Comprehensive assessment of biochemical, morphological, hematological and other indicators as well as the identification of the mechanisms of action of biologically active substances and new functional foods in the experimental correction of diseases such as metabolic syndrome, obesity, type 2 diabetes mellitus, precancerous and oncological diseases (which biological models (laboratory animals) of metabolic syndrome and diabetes mellitus, mastopathy and breast cancer, benign prostatic hyperplasia and prostate cancer), will be carried out in order to formulate optimal protocols for their application. Clinical trials of developed functional foods for patients at risk for breast and prostate cancer with concomitant metabolic syndrome and diabetes mellitus 2 will be conducted for the first time. A new regulatory and technical documentation for the developed functional foods will be developed and the Ministry of Health of the Russian Federation’s approval for the application of these products as therapeutic and functional in metabolic correction programs will be received. 
The expected results of the study are as follows: 1) Developed new technologies for the production of biologically active substances from by-products of the food industry and plant materials, using chemical and enzymatic extraction, natural deep eutectic dissolvers (NADES), supercritical fluid extraction, enzymatic and microbial transformation of the nutrient medium and raw materials in the composition of the food. 2) Isolated and characterized biologically active substances, such as isoflavones, bioiodine, bioselenium, Chlorella growth factor (CGF), resveratrol, astaxanthin, vitamins B and D, galactooligosaccharides, seaweed extract from food by-products and plant materials. 3) New methods for obtaining submicron capsules based on liposomes and nanosomes using original approaches to the processing of plant by-products. New technology for producing pectin from beet pulp. Patents for submicron encapsulation technology using modified polysaccharides. 4) Virtual models of functional foods using computer modeling and assessment of their nutritional adequacy. 5) Technologies for enrichment of demanded food products, such as milk yogurt, vegetable milk, cheese, vegetable oil and products of animal origin, such as sausages and paste products, due to the additional introduction of aquabiotics, in certain proportions with the aforementioned biologically active substances in traditional and nano- and microencapsulated forms, in certain proportions. Patents on the technology of producing a line of new functional foods. 6) Medical and biological requirements for the composition and properties of functional foods with biologically active substances and biologically active substances with aquabiotics, prototypes of functional foods, their standardization. 7) Regularities of the effect of the isolated biologically active substances and the designed functional foods on biochemical, hematological, hormonal blood parameters, and on morphological changes in organ tissues in laboratory animal models. Patents for the results of preclinical trials of biologically active substances of foods. 
The significance of the interdisciplinary approach is that the designed functional foods in Russia only can be used by tens of millions of women and men, and the widespread use of these foods will reverse the negative trends in the incidence of metabolic syndrome, type 2 diabetes, breast cancer and prostate cancer, to improve the quality of life, to reduce mortality from pathologies that are widespread today, and thereby extend active longevity.</t>
  </si>
  <si>
    <t xml:space="preserve">http://www.rscf.ru/en/enprjcard?rid=20-65-47025</t>
  </si>
  <si>
    <t xml:space="preserve">grant.9048602</t>
  </si>
  <si>
    <t xml:space="preserve">20-65-47025</t>
  </si>
  <si>
    <t xml:space="preserve">Alexander Semenov</t>
  </si>
  <si>
    <t xml:space="preserve">Coacervation of double emulsions with anthocyanins using proteins of plant origin</t>
  </si>
  <si>
    <t xml:space="preserve">POPULAR SCIENCE SUMMARY Coacervation of double emulsions with anthocyanins using plant proteins People who do not consume meat or animal products are becoming increasingly important among consumers. Even if they are not vegetarians or vegans, many people describe themselves as flexitarians due to their greater awareness of food production with a lower environmental impact. In connection with this, food and nutrition science is looking for new sources of protein that can be an alternative to meat protein. While soy protein or pea protein is quite widely used and its properties are thoroughly described in the literature, the desire to expand the range encourages scientists and technologists to look for new sources of proteins. Such proteins may be proteins that are by-products of food processing. Another trend that is observed is the increase in conscious consumers looking for food with bioactive substances that have a special impact on human health. One of the groups of such substances are antioxidants, among which anthocyanins occupy a significant place. These are chemical compounds found in plants with anti-inflammatory, anti-cancer or blood vessel-protecting properties. In addition, they are an important dye in food technology, giving a color from pink to purple. A characteristic feature of anthocyanins is a color change under the influence of pH. Unfortunately, these compounds are quite easily degraded by oxygen access or pH changes, hence the need to protect them from environmental conditions. One such method is to separate hydrophilic (i.e. water-soluble) anthocyanins from the environment by emulsification. This involves anthocyanins dissolved in a drop of water being surrounded by a layer of oil. However, in order to increase the stability of such emulsions, they must be reduced to a solid form, i.e. to a powder form. This can be done by coating the emulsion drop with polymers, such as proteins and polysaccharides. After changing the external conditions (such as pH), the electric charge of these polymers can change and they will be connected with each other, which results in the emulsion droplet being trapped inside. This last stage is called coacervation. This project aims to gain new knowledge in the area of the possibilities of using proteins consumed by humans (protein from broad beans and rice) and a group of proteins that are by-products that have not been widely used for human consumption so far (lupin protein, potato protein and sunflower protein). The project will be divided into four stages. The first one will be devoted to the extraction of anthocyanins from plant sources, which will come from a group of vegetables (red cabbage), fruits (black chokeberry) and cereals (purple corn). The next step will be to obtain and study the properties of isolates and hydrolysates of plant proteins. We expect that the use of native proteins will not be successful, therefore there is a need to isolate and hydrolyse proteins. After this stage, we will start to study the properties of double emulsions based on anthocyanins and vegetable oils. The creation of double emulsions based on anthocyanins and vegetable oils will be combined with the measurement of their properties, such as stability, particle size distribution, creaming index and rheology. The next step will be the production of coacervates, where the polysaccharide material will be gum arabic (the most common source of plant origin), chitosan (as a source of animal origin) and xanthan gum (a source of microbial origin).After detailed studies of coacervates obtained by freeze-drying and spray-drying, the project will enter the phase of biological studies consisting in measuring the release of core particles (i.e. anthocyanins) in the in vitro digestion system. In the Project, we intend to indicate that the change of protein structures through hydrolysis may be important for the final functionality. To the best of our knowledge, the proteins that are to be the main research material have not been used for coacervation purposes, and moreover for the coacervation of anthocyanins. There are even fewer scientific reports on the modification of proteins by hydrolysis and their effect on the ability to form coacervates. There is still a gap in the use of plant proteins due to their low solubility and poor emulsifying properties. Thanks to studies on proteins that have so far been treated marginally in the literature, it will be possible to gather new knowledge in order to direct research on improving the functionality of proteins in terms of solubility, emulsifying properties or structure.</t>
  </si>
  <si>
    <t xml:space="preserve">Koacerwacja emulsji podwójnych z antocyjanami przy użyciu białek pochodzenia roślinnego</t>
  </si>
  <si>
    <t xml:space="preserve">https://projekty.ncn.gov.pl/index.php?projekt_id=532955</t>
  </si>
  <si>
    <t xml:space="preserve">grant.13788951</t>
  </si>
  <si>
    <t xml:space="preserve">2021/43/D/NZ9/01572</t>
  </si>
  <si>
    <t xml:space="preserve">Marcin Kurek</t>
  </si>
  <si>
    <t xml:space="preserve">Warsaw University of Life Sciences</t>
  </si>
  <si>
    <t xml:space="preserve">Warsaw</t>
  </si>
  <si>
    <t xml:space="preserve">2022-10-03</t>
  </si>
  <si>
    <t xml:space="preserve">SONATA 17 (Competition)</t>
  </si>
  <si>
    <t xml:space="preserve">3D Sustainable and Extrudable marine Analogues through development of innovative 3D Food Printing Laminar-Coaxial Variable Geometry technology (3D-SEA)</t>
  </si>
  <si>
    <t xml:space="preserve">Fish food products are consumed by human beings as a high-quality protein source. However, overfishing, and pollution puts out an urgent call to seek a new strategy to improve fish products eco-sustainability. Marine analogues, which mimic the structure, texture, and flavour of fish meat products, are a rapid-growing segment of the marine products. 
The fast-evolving plant-based food market ignites the development of technologies that can increase the functionality of plant-based constituents. In this way, 3D printing technology has gained attention in the food industry in the last few decades, as innovative processing technique to produce sustainable food, such as, plant-based or reconstituted meat products. In addition to animal proteins, a wide range of plant-based ingredients have also been studied for 3D printing, such as soy protein, pea protein, and wheat protein. Although there have been technical advances, the manufacturing of marine analogues through 3D Food Printing (3DFP) remains a technological challenge for the food industry. 3D-SEA project will research new technological and engineering advances to produce sustainable marine analogues precisely produced by an innovative 3DFP process. This process has been named as 3D laminar-coaxial variable geometry technology and it is based in a unique concept to print each type of marine analogues using specially designed laminar and coaxial head extrusions. A completely new pilot-plant equipment based on laminar-coaxial variable geometry extrusion will be built-up, including the whole mechatronics design and the control machine and user interphase softwares. New tuna, salmon and octopus analogues using plant-based proteins and reconstituted fish, from side-streams of the fish industry, adapted to 3DFP process will be developed providing a sustainable solution and enhancing a circular economy approach. 
The collaboration between COCUUS and LEITAT in the present project, under the acronym of 3D-SEA, aims to develop an expertise on the formulation and manufacture of 3D Food (3DF) printed marine analogues. The project will give, as a result, newly developed products to cover the gap in the emerging marine analogues sector. Taking advantage of versatility and accuracy of 3D Food Printing (3DFP), customized 3D designs will be provided, that might make food more appealing for consumers, with a personalized nutrition content and desirable texture and mouthfeel of this food products category. 
A consortium has been created with complementary synergistic capabilities to fulfill the technical aspects necessary for its execution. Initially, the textural and sensory characteristics to be achieved for analogue products, will be determined and plant-based sources or eventually fish-by products and vegetable texturized proteins will be identified and obtained though extrusion technology. Furthermore, food preparations and matrices will be developed specifically to obtain the desired textural, sensory and nutritional characteristics. In addition, the application of 3DF printing will be studied, including the development of a specific up-scale technology for marine analogues, and all the 3D food printed products will be characterized and validated using a unique 3DFP Laminar-Coaxial Variable Geometry technology. Finally, a series of manufacturing protocols, shelf-life assessments and nutritional profiles will be developed for all 3D printed marine analogues. 
The outcome of the project will be the 3D printing development of two fish analogues (tuna and salmon) and one cephalopod (octopus) analogue. The research aims to obtain products that are B2B market-feasible for marine analogues applications, in conjunction with the research concerning with 3DFP, to value their potential as a new technology to be applied for the marine products market, placing Spain as a key technological market in the investigation and implementation of 3DFP process field for sustainable analog</t>
  </si>
  <si>
    <t xml:space="preserve">grant.14864817</t>
  </si>
  <si>
    <t xml:space="preserve">CPP2022-010023</t>
  </si>
  <si>
    <t xml:space="preserve">Public-Private Partnership Projects (Call)</t>
  </si>
  <si>
    <t xml:space="preserve">Unleashing the potential of microalgae as high-yielding multipurpose crop for food, energy and high value compound production</t>
  </si>
  <si>
    <t xml:space="preserve">Depleting fossil fuels, soaring oil prices, the energy crisis, and alarming climate changes drive an urgent need for developing renewable and sustainable sources of energy and food production. One of the best prospects to overcome this challenge are microalgae - some of the smallest organisms on earth - whose oils and biomass provide enormous opportunities to meet the global energy and food demand sustainably and without competing for arable land. However, exploiting the potential of microalgae as industrial production organisms remains limited – mostly because their overall yields are too low.
We will solve this problem by developing unique microalgae strains through which massive flows of carbon and energy are directed - via rational strain engineering - towards biomass, protein and lipid production. The expected increases in yields effectively lowers production costs as a critical prerequisite for large-scale cultivation for biofuel and food purposes.
</t>
  </si>
  <si>
    <t xml:space="preserve">grant.13909255</t>
  </si>
  <si>
    <t xml:space="preserve">NNF23OC0086103</t>
  </si>
  <si>
    <t xml:space="preserve">Projects (Funding Program)</t>
  </si>
  <si>
    <t xml:space="preserve">NutriFaba – Using biochemistry and biotechnology to improve the nutritional content of faba bean</t>
  </si>
  <si>
    <t xml:space="preserve">Faba bean is a protein crop with high yield potential that thrives in cold, northern climates. It seeds accumulate high levels of protein, antioxidants, and micronutrients making it an ideal crop for inclusion in plant-based food systems in Scandinavia. However, faba bean seeds also accumulate high levels of condensed tannins and phytic acid, which are anti-nutrients that have a negative impact on the uptake of proteins and micronutrients. NutriFaba will characterize the biochemical pathways producing these anti-nutrients throughout seed development. We will then use biotechnological approaches to reduce the anti-nutrient levels in seeds without affecting the antioxidant capacity or the agronomic performance. In summary, NutriFaba will push the boundaries of faba bean anti-nutrient research and help develop highly nutritious varieties that will take part in the sustainable food systems of the future.</t>
  </si>
  <si>
    <t xml:space="preserve">grant.13909672</t>
  </si>
  <si>
    <t xml:space="preserve">NNF22OC0075193</t>
  </si>
  <si>
    <t xml:space="preserve">Fernando Geu-Flores</t>
  </si>
  <si>
    <t xml:space="preserve">Investigators (Funding Program)</t>
  </si>
  <si>
    <t xml:space="preserve">USE OF NANOSTRUCTURED LIPID SYSTEMS FOR THE DESIGN OF FOODS OF PLANT ORIGIN WITH ANTI-OBESITY PROPERTIES</t>
  </si>
  <si>
    <t xml:space="preserve">In recent years, the demand for plant-based foods has been growing, given society's awareness of reducing the environmental footprint of the agri-food sector, protecting animal welfare, and the health-promoting properties of plant-based diets. Indeed, these diets have been associated with reducing obesity in humans, among other diseases. Therefore, designing new plant-based foods with optimal technological and functional properties is a major challenge for scientists and the food industry. However, these foods do not contain or only contain low amounts of healthy lipids, so the use of lipid-based structures in their formulation is crucial to obtain foods with improved technological properties and nutritional value. Nanostructured systems, such as emulsions or oleogels, can facilitate the incorporation of unsaturated lipids into plant-based foods and transport compounds with beneficial health properties. In addition, oleogels, due to their solid or semi-solid texture, can also contribute their techno-functional properties to the formulation of plant-based meat analogues. Thus, these foods can be considered complex mixtures of biopolymers (proteins and polysaccharides) and nanostructured lipid systems. Therefore, a good understanding of the interactions between their components is essential for the appropriate design of these foods, due to the impact on their stability, digestibility, and functionality of the health-promoting compounds they contain, and ultimately, on their anti-obesity effects. In this context, the main objective of this proposal is to develop plant-based foods with potential anti-obesity properties by formulating them with nanostructured lipid systems containing bioactive compounds. This objective will be addressed by investigating the interactions between food matrix components and their influence on the gut microbiota and their anti-obesity potential. Thus, understanding the key aspects of the digestibility of these foods through the gastrointestinal tract will be critical to identifying the interactions that may occur between plant-based biopolymers and lipid-based nanostructures. THEREFORE, THIS PROJECT AIMS TO UNRAVEL THE INTERACTIONS BETWEEN NANOSTRUCTURED PROTEINS/POLYSACCHARIDES/LIPIDS IN FOOD FORMULATION, AT THE INTERFACIAL LEVEL (TARGETED INTERACTIONS) OR IN THE FOOD MATRIX (NON-TARGETED INTERACTIONS), AS WELL AS THROUGH THE GASTROINTESTINAL TRACT THAT COULD AFFECT THE DIGESTIBILITY, BIOACCESSIBILITY AND BIOAVAILABILITY OF THE BIOACTIVE COMPOUNDS THEY CONTAIN. This will be done by evaluating their colloidal stability and physical and chemical properties during in vitro digestion and by determining their effect on gastric emptying rate, related to potential satiety, subsequent small intestine digestion, and the bioaccessibility and bioavailability of bioactive compounds. Finally, the functionality of the designed nanostructures will be evaluated based on possible protein-polysaccharide-lipid interactions and their effect on the intestinal microbiota and their anti-obesity potential in in vivo studies. The information generated will lay the foundation for designing healthier foods with specific properties.</t>
  </si>
  <si>
    <t xml:space="preserve">USO DE SISTEMAS LIPIDICOS NANOESTRUCTURADOS PARA EL DISEÑO DE ALIMENTOS DE ORIGEN VEGETAL CON PROPIEDADES ANTI-OBESIDAD</t>
  </si>
  <si>
    <t xml:space="preserve">grant.14862956</t>
  </si>
  <si>
    <t xml:space="preserve">PID2022-137838OB-I00</t>
  </si>
  <si>
    <t xml:space="preserve">University of Lleida</t>
  </si>
  <si>
    <t xml:space="preserve">Lleida</t>
  </si>
  <si>
    <t xml:space="preserve">Lupin fermentation for obtaining technologically functional ingredients and quality food prototypes</t>
  </si>
  <si>
    <t xml:space="preserve">The textural, appearance, and flavor attributes of plant-based meat substitutes are still far from resembling those of meat, which hinders their adoption in the diet and the transition to a more sustainable and healthy food system. In this sense, solid-state fermentation (SSF) and submerged fermentation (SMF) are sustainable approaches that have been proposed to address these limitations. It has been seen that the fermentation of legumes can improve the poor or unpleasant smell, mouthfeel and texture of plant-based foods, providing desirable sensory properties, such as kokumi and umami. In addition, filamentous fungi develop a vegetative mass of hyphae (mycelium) that is capable of creating a fibrous texture similar to that of meat. Fermentation can also improve quality and techno-functional parameters, such as water and oil retention capacity, while improving the nutritional properties and reducing anti-nutritional factors. THEREFORE, FERMENTATION IS A PROMISING STRATEGY FOR IMPROVING LUPIN AS A PROTEIN SOURCE FOR THE DEVELOPMENT OF MEAT ANALOGUES.
This subproject aims to develop functionalized ingredients and meat analogues using fermented lupin, with improved quality, technological functionality, and sensory properties. SSF and SMF methodologies will be developed for the fermentation of lupin flour. In this regard, a selection of relevant fungal and lactic acid bacteria species will be made to identify the most suitable species and growth conditions, as well as the best drying process. Subsequently, the fermented lupin flour with the best quality and technological and functional properties will be selected for further characterization and development of food products. Protein fractions (protein isolate and γ-conglutin) and non-protein fractions (e.g., fiber) will be obtained from the fermented lupin flour. A high-pressure hydrostatic process will be applied to improve the technological and functional properties of protein fractions, such as gelling capacity. Fermented lupin flour, as well as protein and non-protein fractions obtained from fermented lupin, will be used in the development of meat analogues, specifically sausages and meatballs. Product development will focus on obtaining prototypes with optimal texture and sensory properties. The identification of fermentation and processing conditions to obtain functionalized ingredients from fermented lupin and prototypes of meat analogues, together with their adoption by the food industry, will enable the development and innovation of meat alternatives for a transition to a more sustainable and healthy diet.</t>
  </si>
  <si>
    <t xml:space="preserve">FERMENTACION DE ALTRAMUZ PARA LA OBTENCION DE INGREDIENTES TECNOFUNCIONALES Y PROTOTIPOS DE ALIMENTOS DE CALIDAD</t>
  </si>
  <si>
    <t xml:space="preserve">grant.14870455</t>
  </si>
  <si>
    <t xml:space="preserve">PID2023-147650OR-C31</t>
  </si>
  <si>
    <t xml:space="preserve">CleanBean: Engineering safe faba beans by targeting the anti-nutrients vicine and convicine</t>
  </si>
  <si>
    <t xml:space="preserve">Faba bean (Vicia faba) is a high-yielding protein crop suitable to cold climates. Faba bean seeds contain high levels of protein, antioxidants, and micronutrients, which is ideal for a plant-based diet. However, faba bean seeds accumulate the alkaloids vicine and convicine (v&amp;c), which can cause anemia (favism) in individuals with a genetic predisposition (ca. 5% of the world population). Faba bean lines with reduced v&amp;c content exist; however, the residual v&amp;c levels cause concern in the food industry. The CleanBean project will use newly available resources to uncover the full v&amp;c biosynthesis pathway and create alkaloid-free faba bean varieties using non-GMO methods. The results of CleanBean will benefit both fundamental science and sustainable food production, making faba bean safe to consume for all.</t>
  </si>
  <si>
    <t xml:space="preserve">grant.13909180</t>
  </si>
  <si>
    <t xml:space="preserve">NNF23OC0086346</t>
  </si>
  <si>
    <t xml:space="preserve">Henryk Straube</t>
  </si>
  <si>
    <t xml:space="preserve">Aahminozuren!</t>
  </si>
  <si>
    <t xml:space="preserve">The protein transition is catching on and seaweed, duckweed and residual flows from agricultural crops are part of the food sources of the future. Knowledge about the taste of proteins and amino acids is growing, but the relationship between chemical structure and taste deserves attention and that can be done by focusing on small peptides and loose amino acids. The project "Aahmino acids!" makes that possible. With this KIEM application, the universities of applied sciences Inholland (Delft, Amsterdam) and HZ University of Applied Sciences (Vlissingen) want to conduct exploratory research together with the company Biorefinery Solutions (Raalte) in a collaboration with a clear long-term perspective. The aim is to arrive at methods that make it possible to chemically characterize a few small proteins - and the amino acids that make them up - and to evaluate them efficiently in a sensory manner. The participating courses are complementary in terms of expertise and have a joint affinity for the production of new food components from alternative vegetable sources. Taste is paramount. The long-term perspective is to be able to isolate valuable components with added value in terms of taste from seaweed, duckweed and residual flows from agricultural crops. The underlying knowledge that explains the relationships between structure and taste can thus be generated, and academic knowledge is made ready for applications. The aim is also to enrich our education with this knowledge and research methods. Students play a major role in this project. In June 2021, we hope to have laid a foundation with them and their supervisors for a more extensive research agenda.</t>
  </si>
  <si>
    <t xml:space="preserve">https://www.nwo.nl/en/projects/gochkiemkgc01034</t>
  </si>
  <si>
    <t xml:space="preserve">grant.9461707</t>
  </si>
  <si>
    <t xml:space="preserve">GOCH.KIEM.KGC01.034</t>
  </si>
  <si>
    <t xml:space="preserve">2020-06-15</t>
  </si>
  <si>
    <t xml:space="preserve">KIEM GoChem 2019-2025 (Research programme)</t>
  </si>
  <si>
    <t xml:space="preserve">Delivering a new, efficient and biobased plant oil and protein extraction system</t>
  </si>
  <si>
    <t xml:space="preserve">The vegetable oil and related protein sectors use petroleum-based hexane to extract oil from plant materials. Hexane-based extraction is an old technology that is harmful to health and to the environment. Our ambition is to bring a new biobased solvent called EcoXtract® to the market for processing of oil- and protein-rich crops. This will replace hexane in a million tonne/year market leading to transformation of this global agri-food sector. The project will enable us to construct the world’s first large-scale and first small-scale EcoXtract-based oil extraction plants in Europe. This will be followed by world-wide transformation beyond the consortium enabled by our patented solvent technology: EcoXtract.
We will use an open innovation approach between five complementary European businesses. Agroprotein is a developer of agri-food plant protein- and oil-based value chains. Pennakem is a global leader in green solvent systems. It developed and now owns the EcoXtract solvent technology. De Wit is a world leader in extracting and marketing high-value oilseed products. NHE is a leader in operating and scaling up extraction systems. An extensive programme of industrial-scale system testing, validation and optimisation followed by product prototying driven by the needs of two value chains lies at the heart of the project. Supported also by co-creative prototyping with clients, we will develop three new mutually supporting business lines within the EcoXtract® framework pioneering global transition of the sector to this new technology. 
Oilseeds account for about one-fifth of global crop production. This project will revolutionise processing by introducing a biobased alternative to hexane in both low and high volume markets. The commercial-scale optimization of EcoXtract® will be a big step forward for the biobased sector and advance Horizon 2020’s impact on Societal Challenge 2 opening up new markets for the biobased solvent and its extraction products.</t>
  </si>
  <si>
    <t xml:space="preserve">https://cordis.europa.eu/project/id/970931</t>
  </si>
  <si>
    <t xml:space="preserve">grant.9662369</t>
  </si>
  <si>
    <t xml:space="preserve">970931; 236313; EcoXtract; 10.3030/970931</t>
  </si>
  <si>
    <t xml:space="preserve">2021-05-01</t>
  </si>
  <si>
    <t xml:space="preserve">ERA-NET: BlueBio - Total Value Chain Optimization of Seaweeds Furcellaria lumbricalis, A bioeconomic ALGAE demonstration</t>
  </si>
  <si>
    <t xml:space="preserve">TACO Algae will take a circular economy approach to evaluate two different red algae species in existing SMEs. The first one is currentlyharvested wild, while the other is cultured in a sustainable new cultivation system. The circular economy approach focuses on supply chainoptimization and minimization of waste. Optimizations are performed with respect to extraction, characterization and utilization of redpigment, protein, lipids, carrageenan and bioactive compounds. The goal is to utilize all constituents and most importantly to find an optimalprocessing approach to yield the highest amount of the most valuable product, and then valorize the remaining components in the bestway. As the pigments are currently viewed as the highest value component, we will first extract pigment with highest stability andinvestigate methods to obtain a colorant that can be utilized both in aqueous and lipid-based food products. The pigment quality, stabilityand suitability for integration in various product matrixes will be investigated. The lipid fraction will be characterized with respect to fattyacids composition to evaluate valorization, while carrageenan as already been marketed as texturizer and algae has also been used asbiostimulants. Finally, bioactive compounds e.g. polyphenols will be investigated with respect to composition and antioxidative capacity. Lifecycle assessment will be used to evaluate the most economically, societal and environmentally sustainable process, both with respect toorder of isolation, volume of biomass to different markets, seasonal possibilities for biomass valorization, as well as the effect on societalinfrastructure and the impact on the environment. The overall goal is to reduce waste, increase local competence based work places andensure sustainable utilization of biological resources</t>
  </si>
  <si>
    <t xml:space="preserve">https://prosjektbanken.forskningsradet.no/en/project/FORISS/329557</t>
  </si>
  <si>
    <t xml:space="preserve">grant.9965366</t>
  </si>
  <si>
    <t xml:space="preserve">329557</t>
  </si>
  <si>
    <t xml:space="preserve">Kjetil Elvevold</t>
  </si>
  <si>
    <t xml:space="preserve">HAVBRUK2-Stort program for havbruksforskning (Funding scheme); SEA-BASED-SEA-BASED (Funding scheme)</t>
  </si>
  <si>
    <t xml:space="preserve">PRODUCTION OF FOOD PROTEINS FROM BY-PRODUCTS OF THE AGRO-FOOD SECTOR THROUGH MICROALGAE CULTIVATION</t>
  </si>
  <si>
    <t xml:space="preserve">THE PROJECT PRODUCTION OF FOOD PROTEINS FROM BY-PRODUCTS OF THE AGRO-FOOD SECTOR THROUGH MICROALGAE CULTIVATION, TO BE CARRIED OUT AT THE POLYTECHNIC UNIVERSITY OF CATALONIA (UPC), IS PART OF THE COORDINATED PROJECT PRODUCTION OF ALTERNATIVE PROTEINS FROM BY-PRODUCTS OF THE AGRO-FOOD SECTOR THROUGH MICROALGAE CULTIVATION (PROALGAE). THE PROJECT ADDRESSES THE APPLICATION OF THE CONCEPTS OF CIRCULAR ECONOMY AND BIOECONOMY WITHIN THE AGRO-FOOD SECTOR. The overall objective is the bioremediation of agricultural and food by-products, using them as a culture medium for the growth of protein-rich microalgae for subsequent use as animal feed or food. In particular, the UPC subproject will focus on freshwater effluents, such as those from the beverage industry and drainage of hydroponic crops, which are an environmental concern in Spain, but also in many other areas at the national and international levels. The feasibility of bioremediation of these effluents using microalgae-based processes will be assessed at a laboratory scale, using different microalgae strains and culture conditions, in terms of hydraulic retention time, organic and nutrient loading rates, and the need for pretreatment or combinations of the different liquid effluents. The strains Chlorella kessleri and Spirulina platensis will be used, as they are included in the European list of novel foods. PROCESS PERFORMANCE AND SUITABILITY WILL BE EVALUATED IN TERMS OF TREATED EFLUENT QUALITY, MICROALGAE BIOMASS PRODUCTION RATE, AND PROTEIN CONTENT. OTHER NUTRITIONAL COMPOUNDS OF INTEREST IN MICROALGAE BIOMASS, SUCH AS THE POLYUNSATURATED FATTY ACID OMEGA 3, WILL ALSO BE ANALYZED. BASED ON THE RESULTS OBTAINED, AN EVALUATION OF THE ECONOMIC, ENVIRONMENTAL, AND SOCIAL SUSTAINABILITY OF PROTEIN PRODUCTION FROM MICROALGAE CULTIVATED IN AGRO-FOOD BY-PRODUCTS WILL BE CARRIED OUT USING ENVIRONMENTAL AND SOCIAL LIFE CYCLE ANALYSIS METHODOLOGIES, AS WELL AS ITS COST. One of the project's challenges is to optimize the cultivation of these microalgae and strains in liquid agricultural-food effluents in order to provide microalgae biomass with high protein content and desirable organoleptic characteristics for the evaluation of their application as alternative food ingredients. To this end, the microalgae will undergo random mutagenesis using a non-GMO method and crop manipulation to improve product color and flavor. The biomass produced will be used to formulate cookies with microalgae biomass or protein hydrolysates in their formulation. The effect of the organoleptic and rheological characteristics of microalgae-based biscuits, as well as their composition, will be evaluated by sensory analysis and their proximal composition and digestibility will also be evaluated. This research aims to contribute to society by producing a sustainable ingredient based on microalgae that helps mitigate some of the environmental problems associated with the agricultural industry and meet the expected increase in demand for protein sources. The ultimate goal of the project is to recover nutrients from by-products of the agricultural and food industry to provide new sources of protein, closing the loop in the agricultural and food sector towards a circular bioeconomy.</t>
  </si>
  <si>
    <t xml:space="preserve">PRODUCCION DE PROTEINAS PARA ALIMENTACION PARTIR DE SUBPRODUCTOS DEL SECTOR AGROALIMENTARIO MEDIANTE EL CULTIVO DE MICROALGAS</t>
  </si>
  <si>
    <t xml:space="preserve">grant.14862414</t>
  </si>
  <si>
    <t xml:space="preserve">PID2022-140240OB-C21</t>
  </si>
  <si>
    <t xml:space="preserve">Universitat Politècnica de Catalunya</t>
  </si>
  <si>
    <t xml:space="preserve">Barcelona</t>
  </si>
  <si>
    <t xml:space="preserve">Health effects of lupin-derived protein products: focus on gut function and metabolic status</t>
  </si>
  <si>
    <t xml:space="preserve">Consuming high-quality protein is essential for optimal human health. Animal protein contains the right proportion of amino acids, but due to environmental and health concerns, there is great interest in finding alternative sources of protein. Legumes are considered sustainable and valuable sources of amino acids. However, the use of some legumes raises concerns due to their allergenicity. PROTEIN ISOLATION AND TECHNOLOGICAL PROCESSING CAN RESULT IN PROTEIN-DERIVED PRODUCTS THAT MAINTAIN THEIR AMINO ACID COMPOSITION BUT IN WHICH THE PROTEIN STRUCTURE HAS BEEN MODIFIED, GIVEN RISE TO DIFFERENT PEPTIDES, SOME OF WHICH MAY HAVE LOWER ALLERGENICITY AND/OR OTHER BENEFITS BEYOND THEIR FUNCTION AS MACRONUTRIENTS. AFTER INGESTION, THESE PRODUCTS WILL INTERACT FIRST WITH THE GASTROINTESTINAL TRACT, WHERE THE MODULATION OF BOWEL FUNCTION DETERMINES WHOLE-BODY HOMEOSTASIS. It has been shown that proteins from different sources and their hydrolysates interact differently with intestinal function, modulating the intestinal barrier, reducing intestinal inflammation, and activating enterohormone secretion, leading to changes in food intake and glucose homeostasis. Taking this into account, our main hypothesis is that a plant-derived protein product with beneficial health effects exerted through the modulation of intestinal function can be identified by selecting protein products derived from lupin. To test this hypothesis, we will analyze the effects of legume-derived protein products using different approaches. We will use lupin as a protein source due to its nutritional and agricultural interest. We will analyze the effects on ex vivo human gut function (in men and women) of different products obtained from the processing of lupin protein isolates, comparing them with the protein isolate without further processing. Since the objective of our project is human health, the results obtained with human samples will provide valuable information on which product leads to a better gut function profile. Furthermore, we will measure immunoreactivity against lupin-derived protein products in vitro by measuring mast cell degranulation (allergenicity test). Finally, to obtain information on the whole-body response to lupin-derived protein products, we will also apply an in vivo approach. We will use rats (males and females) to evaluate the effects of an 8-week intake of a selected lupin product formulated for human consumption (a plant-based meat analogue) and compare it with the effects on gut function, metabolism, and allergenicity of an animal-based meat product. Together, this project will shed light on the gut health effects of lupin protein products obtained through different processing methods, helping to design a value-added plant-based meat product for human consumption. Comparing the effects of this plant-based product with those of an animal-based meat product will provide scientific evidence of whether it could be a healthier option.</t>
  </si>
  <si>
    <t xml:space="preserve">EFECTOS SOBRE LA SALUD DE PRODUCTOS PROTEICOS DERIVADOS DE ALTRAMUZ: FOCO EN LA FUNCION INTESTINAL Y ESTATUS METABOLICO</t>
  </si>
  <si>
    <t xml:space="preserve">grant.14849885</t>
  </si>
  <si>
    <t xml:space="preserve">PID2020-114422RR-C55</t>
  </si>
  <si>
    <t xml:space="preserve">Institut d'Investigació Sanitària Pere Virgili</t>
  </si>
  <si>
    <t xml:space="preserve">Tarragona</t>
  </si>
  <si>
    <t xml:space="preserve">Sustainable Norwegian dietary fiber and protein sources for a healthy gut microbiota</t>
  </si>
  <si>
    <t xml:space="preserve">A successful transition of Norwegian agriculture and food production requires knowledge about health implications of an increased consumption of plant based raw materials and ingredients. This knowledge needs include the nutritional impact of an increased intake of plants as a major protein source. Plants; either as is, minimally processed or transformed into protein enriched ingredients will have an impact of the quality of the food produced. Plant-based products need to be attractive for consumers. This comprises good sensory properties, but also health, sustainability, and ethical aspects. Identifying positive health aspects of plant-based food products and boosting products made from Norwegian resources is crucial for the transition. While an overall plant-based diet is accepted as healthier than animal-based foods, the specific health effects of plant-based products such as meat replacers are not known. Animal foods are traditionally rich in high quality protein, but also saturated fat, while plants are our major source of healthy dietary fiber. Products high in or enriched with plant proteins may suffer from lower protein bioaccessibility. A reduced digestibility of processed plant proteins may result in less uptake in the small intestine and a higher protein supply to the gut. The gut microbiota plays a central role in maintaining health and the potential impact of plant-protein fermentation by the gut microbiota is not known. GutFeedingNow therefore aims to generating knowledge on the impact of plant-foods containing sustainable Norwegian dietary fiber and protein sources on gut microbiota, providing benchmark knowledge for the food industry and stakeholders/consumers. This may promote extended use of Norwegian agricultural resources, including side stream products high in dietary fiber. Making them as high-value ingredients for production of attractive plant-foods will increase value throughout the value chain, improving sustainability and public health.</t>
  </si>
  <si>
    <t xml:space="preserve">https://prosjektbanken.forskningsradet.no/en/project/FORISS/326956</t>
  </si>
  <si>
    <t xml:space="preserve">grant.9983352</t>
  </si>
  <si>
    <t xml:space="preserve">326956</t>
  </si>
  <si>
    <t xml:space="preserve">Ida Rud</t>
  </si>
  <si>
    <t xml:space="preserve">KVAL: Innovative strategies for cell wall disruption towards enhanced extraction and digestibility of value-added microalgal bioactives</t>
  </si>
  <si>
    <t xml:space="preserve">Cell wall disruption of microalagae is a critical first step for recovery and increased digestibility/bioavailability of key target compounds such as lipids and proteins for aquaculture food/feedstock, pigments, vitamines and high added-value bio-compounds such as Astaxanthin (red pigment used in salmon feed). Conventional cell wall disruption methods, e.g. mechanical shearing or heat treatment with organic solvents, pose environmental/health risks and may cause denaturation/transformation of bioactives, besides low extraction yield and high energy consumption. 
In collaboration with ELEA GmbH, Germany, Nofima is currently developing a new innovative concept for cell wall disruption based on the combined application of Cold Plasma and Pulsed Electric field. The combination of those two innovative technologies was shown to significantly increase extraction yields of proteins and pigments from Chlorella, one of the microalgae with the most rigid cell wall structure. The DISRUPT project aims to further develop and optimise this new cell-wall disruption method for treatment of algal biomass. First steps in order to provide necessary key information on the potential of the concept for cell wall disruption were taken with an NFR qualification project. Future funding will be used to upscaling of the production methods, extended screening of the biomass resources and production of a pilot unit for biomass processing.</t>
  </si>
  <si>
    <t xml:space="preserve">https://prosjektbanken.forskningsradet.no/en/project/FORISS/327249</t>
  </si>
  <si>
    <t xml:space="preserve">grant.9703004</t>
  </si>
  <si>
    <t xml:space="preserve">327249</t>
  </si>
  <si>
    <t xml:space="preserve">Izaskun Muruzábal-Lecumberri</t>
  </si>
  <si>
    <t xml:space="preserve">FORNY20-FORNY2020 (Funding scheme)</t>
  </si>
  <si>
    <t xml:space="preserve">Plant-based proteins for health and wellbeing (PAN Sweden)</t>
  </si>
  <si>
    <t xml:space="preserve">Efforts to limit the environmental impact from animal-based food are needed to meet the goals of Agenda 2030 but innovations within plant-based proteins options are lagging behind. Evidence-based knowledge within food processing, consumption and health benefits of plant-based proteins is currently scarce, which limits the necessary further development.PAN Sweden will, in a precision nutrition perspective, clarify the relationship between processing, structure, bioavailability, digestion and fermentation of proteins, and health effects in terms of gut, metabolic and mental health. Furthermore, sensory aspects and consumer behaviour determinants concerning plant-based proteins will be studied and Gastronomic test environments will give access to various food consumption settings. The core approach of the centre is the development of an integrated model/method “toolbox” that facilitates innovations within plant-based products with proven benefits for health and wellbeing but also being the preferred choice of the consumer.Pan Sweden’s vision is that sustainable-produced food with health benefits will be the consumer’s preferred choice. We bundle a globally unique set of interdisciplinary competence and infrastructure overarching food, nutritional, technical, medical and social sciences. Our approach will provide Sweden an exclusive chance to successfully build the knowledge, competences and skills to become a leading global player in plant-based protein food development.</t>
  </si>
  <si>
    <t xml:space="preserve">https://www.vr.se/swecris.html#/project/2020-02843_Formas</t>
  </si>
  <si>
    <t xml:space="preserve">grant.12896882</t>
  </si>
  <si>
    <t xml:space="preserve">2020-02843_Formas</t>
  </si>
  <si>
    <t xml:space="preserve">Örebro</t>
  </si>
  <si>
    <t xml:space="preserve">2020-12-01</t>
  </si>
  <si>
    <t xml:space="preserve">10799:Övrig annan naturvetenskap, Other Natural Sciences not elsewhere specified (SCB); 1:Naturvetenskap, Natural Sciences (SCB); 107:Annan naturvetenskap, Other Natural Sciences (SCB); 3:Medicin och hälsovetenskap, Medical and Health Sciences (SCB); 30199:Andra medicinska och farmaceutiska grundvetenskaper, Other Basic Medicine (SCB); 50901:Tvärvetenskapliga studier inom samhällsvetenskap, Social Sciences Interdisciplinary (SCB); 5:Samhällsvetenskap, Social Sciences (SCB); 301:Medicinska och farmaceutiska grundvetenskaper, Basic Medicine (SCB); 509:Annan samhällsvetenskap, Other Social Sciences (SCB)</t>
  </si>
  <si>
    <t xml:space="preserve">Toward a Plant-Based Future? Contested Imaginaries of Sustainability Transition in Denmark’s Agriculture and Food System.</t>
  </si>
  <si>
    <t xml:space="preserve">While recent years have seen a surge in plant-based food alternatives, such as “fake meat” and lab-grown alternative proteins, the need to drastically reduce animal production, prompted by the imminent threat of climate collapse, remains a key policy challenge. This project revolves around contested imaginaries of plant-based future of food and competing assessments of the role of technologies in substituting animal protein with plant-based sources of food. Over a period of twelve months, I engage in ethnographic research in professional contexts to explore how Danish food manufacturers, food activists and policy-makers navigate the intricate challenge of influencing the transition. The overarching aim of this research is threefold: 1) to uncover how deeply ingrained social norms and culture surrounding animal consumption impact the development of new plant-based food technologies, 2) to examine how these emerging technologies shape key transition actors’ visions and strategies for the animal-to-plant-based transition, and 3) to investigate how the visions of technological food innovation impact the policy trajectory of the sustainability transformation of Denmark’s food system. Through this comprehensive inquiry, I aim to shed light on the multifaceted dynamics underlying the shift towards a plant-based food system and contribute to public information regarding decision-making in the area of agriculture and food.</t>
  </si>
  <si>
    <t xml:space="preserve">https://www.vr.se/swecris.html#/project/2024-00629_Formas</t>
  </si>
  <si>
    <t xml:space="preserve">grant.14499405</t>
  </si>
  <si>
    <t xml:space="preserve">2024-00629_Formas</t>
  </si>
  <si>
    <t xml:space="preserve">Marie Leth-Espensen</t>
  </si>
  <si>
    <t xml:space="preserve">2025-01-01</t>
  </si>
  <si>
    <t xml:space="preserve">9:Oklassificerat, Unclassified (SCB); 999:Oklassificerat, Unclassified (SCB); 99999:Oklassificerat, Unclassified (SCB)</t>
  </si>
  <si>
    <t xml:space="preserve">Methodological platform for development of sustainable foods and food technologies</t>
  </si>
  <si>
    <t xml:space="preserve">The innovative healthy food products based on plant proteins and by-products with capacity for valorization of local crops cannot be produced applying the traditional food technologies. For selection and optimization of sustainable technologies and implementation in an industrial environment, it is first necessary to develop the solutions on a pilot plant scale. Assessment of the composition and technological properties of raw materials and characterization of the changes occurring during the production process are crucial for understanding the properties of the end product. 
As the main result of the project, a methodological platform for the development of innovative products and technologies from plant raw materials and by-products to create new products with high added value and high export potential will be developed. It is a practical solution that helps the food industry to introduce the latest technologies for development of new innovative plant-based foods.</t>
  </si>
  <si>
    <t xml:space="preserve">https://www.etis.ee/Portal/Projects/Display/a374dfc9-2cf5-4ca9-8611-a2b3e8bf9d85</t>
  </si>
  <si>
    <t xml:space="preserve">grant.9390315</t>
  </si>
  <si>
    <t xml:space="preserve">RESTA16</t>
  </si>
  <si>
    <t xml:space="preserve">Tiina Kriščiunaite, Mary-Liis Kütt, Mary-Liis Kütt, Aleksei Kaleda, Jekaterina Kazantseva, Marie Kriisa, Tiina Kriščiunaite, Mary-Liis Kütt, Natalja Part, Sirli Rosenvald, Irina Stulova, Anastassia Taivosalo, Kristel Tanilas, Ene Viiard, Karl Adra, Maret Andreson, Georg Arju, Valter Aro, Erik Berlin, Anastassia Bljahhina, Kaarel Erik Hunt, Kadi Jakobson, Liisa Kiiker, Rain Kuldjärv, Grete Metsoja, Indrek Morell, Dmitri Pismennõi, Reimo Priidik, Julia Rosend, Aleksandra Zhogoleva, Karel Talvistu, Mari-Liis Tammik, Helen Vaikma</t>
  </si>
  <si>
    <t xml:space="preserve">2020-01-07</t>
  </si>
  <si>
    <t xml:space="preserve">Estonian Research Council</t>
  </si>
  <si>
    <t xml:space="preserve">PLENTY</t>
  </si>
  <si>
    <t xml:space="preserve">Successful plant-based, protein-rich food innovations are crucial in achieving our protein transition goals. Although the supply of products is increasing, the daily protein intake remains stuck around 40%, despite a target of 60% plant-based protein by 2030. This project supports entrepreneurs by providing them with tools to better align their plant-based , protein-rich food innovations with the needs of their target audience. Traditional methods often focus on purchase intentions, while the emphasis should be on real purchasing behavior. With tools for conducting effective research, entrepreneurs can increase their chances of market success, reduce costs, and help accelerate the protein transition.</t>
  </si>
  <si>
    <t xml:space="preserve">https://www.nwo.nl/en/projects/dscbv93538</t>
  </si>
  <si>
    <t xml:space="preserve">grant.14878828</t>
  </si>
  <si>
    <t xml:space="preserve">RAAK.MKB21.014; 10.61686/DSCBV93538</t>
  </si>
  <si>
    <t xml:space="preserve">RAAK-mkb (Research programme)</t>
  </si>
  <si>
    <t xml:space="preserve">https://info.ktponline.org.uk/action/details/partnership.aspx?id=12353</t>
  </si>
  <si>
    <t xml:space="preserve">grant.13055125</t>
  </si>
  <si>
    <t xml:space="preserve">12353</t>
  </si>
  <si>
    <t xml:space="preserve">Brent Murray</t>
  </si>
  <si>
    <t xml:space="preserve">2020-07-29</t>
  </si>
  <si>
    <t xml:space="preserve">Screening of microalgae strains new to science for solving technological problems of CO2 fixation and production of basic macronutrients</t>
  </si>
  <si>
    <t xml:space="preserve">Currently, one of the key areas of technological development in the world is the development of “green” technologies that make it possible to ensure the necessary level of economic growth without creating additional environmental risks for the environment. Among the wide range of living organisms used for these purposes, microalgae are the most popular and promising object of research, since they are widely used in various sectors of the national economy.
 The uniqueness of microalgae is that they can fix (sequester) carbon dioxide from various sources, including industrial exhaust gases. Moreover, their efficiency of CO₂ assimilation is many times higher than that of terrestrial plants. By effectively sequestering CO₂, microalgae support the development of biotechnologies for capturing climate-sensitive gases. Although these methods are currently not fully developed, it is believed that in the long term this will be an economically viable, environmentally friendly and sustainable technology for capturing recycled CO₂. Along with this, in the process of co₂ fixation, microalgae synthesize a wide range of various organic compounds. This makes it possible to consider them as alternative and industrially promising sources of the main components of nutrition (proteins, fats, carbohydrates) and other biologically active compounds, ensuring the sustainable production of many commercial products with high added value.
  The Project is aimed at solving important theoretical and applied problems related to the search and screening of microalgae strains new to science, the assessment of their biotechnological potential and the development of biological methods for fixing climatically active gases (co₂) and the production of food components. We plan to investigate the efficiency of CO₂ assimilation and simultaneously characterize the productivity of target macronutrients (proteins, fats, carbohydrates) in two new strains of microalgae Desmodesmus armatus (strain ARC06) and Tribonema minus (strain ARC10) grown at low and high concentrations of co₂ in a gas-air mixture flowing into a bioreactor.</t>
  </si>
  <si>
    <t xml:space="preserve">http://www.rscf.ru/en/enprjcard?rid=24-27-20026</t>
  </si>
  <si>
    <t xml:space="preserve">grant.14701239</t>
  </si>
  <si>
    <t xml:space="preserve">24-27-20026</t>
  </si>
  <si>
    <t xml:space="preserve">Nikolay Lobus</t>
  </si>
  <si>
    <t xml:space="preserve">Timiryazev Institute of Plant Physiology</t>
  </si>
  <si>
    <t xml:space="preserve">Moscow</t>
  </si>
  <si>
    <t xml:space="preserve">Production of light sunflower protein concentrates using adsorption methods</t>
  </si>
  <si>
    <t xml:space="preserve">Today, one of the most significant problems is the creation of import-substituting food products that are not inferior in quality to foreign analogues. Currently, the volume of the world market for plant proteins is growing annually by an average of 10-15% per year. In Russia, more than 80% of the consumption of isolates and concentrates of plant protein imitate meat and dairy products, including it is part of baby food and some brands of milk. In Russia, sunflower protein in the form of concentrates and isolates is not produced. To meet the needs of industry and the population for protein concentrates and isolates, they are imported from other countries. Thus, the global demand for plant proteins is increasing from year to year, and therefore the search for new alternative sources of protein and the development of effective technologies for their production is an urgent task. One of such crops is sunflower, which is a source of balanced protein. Sunflower proteins are balanced in the amount of essential amino acids, such as methionine and cysteine, which are often absent in traditional cereals and legumes. Sunflower proteins have high digestibility (85%). The protein contained in sunflower is among the best proteins of plant origin and surpasses soy protein in amino acid composition. In terms of the balance of amino acid composition, sunflower is close to the ideal protein, and if you evaluate the ideal protein (close to egg) at 100 points, then soy protein will have 73 points, barley - 62, wheat - 58, and sunflower - 78 points. It should be especially noted that there are no GMOs in sunflower seeds and green mass, which is a strong competitive advantage in the modern market.
The creation of balanced food products with increased nutritional and biological value, rational and more complete use of food resources will allow partially, and in the future, completely replacing imported analogues. Sunflower protein is an important source of vegetable protein, which is widely used in the food industry. Its value is due to the high content of essential amino acids and good functional properties. However, during its production and purification, difficulties arise associated with the removal of impurities such as phenolic compounds and chlorophyll, which prevents the production of light and high-quality protein concentrates. Adsorption methods in combination with the ultrafiltration process are an effective approach to solving these problems. The introduction of a sensory system will help replace subjective tasters with an independent digital organoleptic profile. The project provides a comprehensive approach to solving the designated scientific problem, which includes, along with the development of methods and technologies, conducting research on combining adsorption methods with other purification methods, such as ultrafiltration to improve the efficiency of sunflower protein purification, assessing the biological value of protein depending on the production modes, substantiating the optimal parameters of moisture-heat treatment of meals, ensuring maximum yield and preserving the physicochemical and biochemical properties of the proteins included in their composition. Based on the above data, the creation of new sunflower processing technologies is a promising area of research. Such technologies aimed at obtaining protein should be waste-free and produce a food-quality product with a low content of phenolic compounds.
Manufacturing of sensor systems for highly sensitive sensors used to form the organoleptic profile of target components.</t>
  </si>
  <si>
    <t xml:space="preserve">http://www.rscf.ru/en/enprjcard?rid=25-26-00391</t>
  </si>
  <si>
    <t xml:space="preserve">grant.14705056</t>
  </si>
  <si>
    <t xml:space="preserve">25-26-00391</t>
  </si>
  <si>
    <t xml:space="preserve">Maxim Kopylov</t>
  </si>
  <si>
    <t xml:space="preserve">Voronezh State University of Engineering Technologies</t>
  </si>
  <si>
    <t xml:space="preserve">Voronezh</t>
  </si>
  <si>
    <t xml:space="preserve">Enhanced application of plant proteins and side streams through degradation of antinutritional factors</t>
  </si>
  <si>
    <t xml:space="preserve">The use of plant proteins and by-products for the development of new plant-based foods is limited due to the high content of antinutrients in these materials. Antinutrients are compounds that have been shown to have negative effects on human health and are found in legumes, cereals, and oilseeds. As a result, the consumers' attitude toward plant-based foods can often be negative. The research project aims to reduce the content of antinutrients in plant protein concentrates and oil extraction by-products using enzyme treatment, fermentation, and physical processing techniques and to develop methods for the quantitative determination of antinutrients: phytates, saponins, vicine, and convicine. The know-how obtained as a result of the project and the technological solutions implemented set the basis for the development, technology transfer, and successful production of innovative nutritious plant-based food products.</t>
  </si>
  <si>
    <t xml:space="preserve">https://www.etis.ee/Portal/Projects/Display/3e839cc9-cfe6-4270-8850-3241a67c7e1d</t>
  </si>
  <si>
    <t xml:space="preserve">grant.9390310</t>
  </si>
  <si>
    <t xml:space="preserve">RESTA17</t>
  </si>
  <si>
    <t xml:space="preserve">Tiina Kriščiunaite, Aleksei Kaleda, Marie Kriisa, Kristel Tanilas, Maret Andreson, Anastassia Bljahhina, Kaarel Erik Hunt, Mari-Liis Tammik</t>
  </si>
  <si>
    <t xml:space="preserve">UMTaste: Understanding the mechanisms by which umami taste influences salty and bitter taste to enable umami to drive salt reduction and improvement i</t>
  </si>
  <si>
    <t xml:space="preserve">The UK has been prioritising salt reduction since 2004 in response to the Scientific Advisory Committee on Nutrition (SACN) 2003 report on salt and health. In addition, the National Food Strategy has recommended eating less meat to reduce methane emission. Salt (NaCl) is used in foods for taste, preservation (reducing water activity), and for its impact on structure. Salty taste remains the predominant driver for salt in many foods. Research has focused on finding sodium replacers (e.g. KCl), or extending salty taste (e.g. controlling salt distribution within a food matrix). Such strategies are limited. Another approach is to use umami taste (UT), the savoury taste associated with compounds such as monosodium glutamate (MSG). Umami and salty are perceived through the activation of different receptors. NaCl activates ion channels (eg epithelial sodium channel, ENaC), umami tastants activate type 1 G-protein coupled receptors (eg T1R1-T1R3 heterodimer). Compounds such as 5'-nucleotides act synergistically on glutamate, enhancing T1R1-T1R3 response. UT has been shown to enable salt reduction in numerous foods; although in most studies the outcome measure was palatability rather than matched salty taste(1). Beyond salt, understanding and controlling the contribution of UT to overall taste may lead to improvements in plant-based protein foods through savoury taste and reduction in characteristic bitter taste. Umami fractions (from soy sauce) rich in amino acids and glutamyl peptides were demonstrated to reduce bitter perception and suppress activity of specific bitter taste receptors (T2R-GPCRs)(2).
However, the mechanism by which UT enables salt reduction and bitter suppression remains inconclusive. Our group has investigated the interaction of UT from glutamate with four other basic tastes in equi-intense solutions(3). We concluded that UT did not enhance or suppress the trained panelists' perception of other tastes. This demonstrates how umami is perceptually different from all other tastes which suppress each other; here both umami and salty taste were maintained. The panel were trained to isolate different taste sensations, which might explain why they did not conclude salty taste enhancement; yet consumer perception is holistic and aggregated. In addition, MSG has been shown to increase duration of salty taste(4) (temporal dominance), which may partly account for its success in salt reduction. Umami compounds (aminoacids, 5'-nucleotides and glutamyl-peptides) work synergistically and not additively in generating UT. Their individual and combined effects on salt and bitter perception (immediate and temporal), total taste intensity, and preference for salt-reduced and meat-alternative protein foods needs to be established, particularly determining whether interactions occur at a receptor or cognitive level. 
H1: Umami tastants enable salt reduction through both receptor and cognitive mechanisms.
H2: The ability of umami tastants to suppress bitter taste is compound specific.
Objectives:
O1: Develop appropriate aqueous and semi-solid food models and sensory methods. Design and run first experimental designs to test the individual and combined effects of aminoacids, 5'-nucleotides and available glutamyl-peptide standards on salt and bitter perception in the developed models.
O2: Prepare and characterise taste fractions that include a wider range of glutamyl-peptides from sources such as miso or seaweed. Scale this up using pilot filtration, evaporation, reverse-osmosis and spray-drying at Aberystwyth. 
O3: Evaluate the taste fractions collected in O2 on salt and bitter perception in the developed models.
O4: Set up in-vitro receptor cell assays
O5 Test the individual and combined effects of aminoacids, 5'-nucleotides and glutamyl-peptides on cell signalling.
O6 : In addition to writing papers (O1-O5) write a briefing document on how best to utilise UT for salt reduction and plant-protein food development</t>
  </si>
  <si>
    <t xml:space="preserve">https://gtr.ukri.org/projects?ref=studentship-2930801</t>
  </si>
  <si>
    <t xml:space="preserve">grant.14682005</t>
  </si>
  <si>
    <t xml:space="preserve">2930801</t>
  </si>
  <si>
    <t xml:space="preserve">Maria Oruna-Concha, Yulianna Holowaty</t>
  </si>
  <si>
    <t xml:space="preserve">2024-09-30</t>
  </si>
  <si>
    <t xml:space="preserve">Removing off-flavor components from pea seeds by genetic means – PIVERT</t>
  </si>
  <si>
    <t xml:space="preserve">Plant-based proteins have recently attracted particular interest due to their health benefits and sustainable origin compared to their animal counterparts. In this context, the use of pulses as ingredients for the production of protein-rich foodstuffs is increasing. The PIVERT project is centred on Pea (Pisum sativum L.), the leading grain legume crop in France, that produces seeds rich in high nutritional value proteins even in the absence of nitrogen fertilizers. However, pea-derived ingredients are still under-exploited in the food industry, one main factor being the beany off-flavour imparted that leads to low consumer acceptability. Methoxypyrazines, and volatile organic compounds (VOCs) such as hexanal, arising from the enzymatic oxidation of lipids by lipoxygenases, are two off-note components described as beany, grassy and hay-like, and rated as unpleasant flavours by consumers. In this project we propose to exploit plant genetics to address the pea seed flavour problem. PIVERT aims to identify pea lines or ecotypes with reduced or modified contents of methoxypyrazines and lipoxygenase-derived VOCs, and with improved organoleptic properties. We will use a targeted approach based on screening pea TILLING populations for key genes in the biosynthesis of these off-flavour components. In parallel, we will exploit the natural genetic diversity available for pea in an untargeted approach. A large collection of pea ecotypes will be screened by GC-MS to reveal novel and contrasted seed VOC emission profiles. The profiles will be analysed by genome wide-association study using existing genotyping data to identify loci involved in VOC profile determination. Both strategies will feed into descriptive quantitative sensory evaluations of these novel pea lines and ecotypes. This will represent a first step in the development of pea varieties better adapted to the food and ingredient industry.</t>
  </si>
  <si>
    <t xml:space="preserve">https://anr.fr/Project-ANR-22-CE21-0009</t>
  </si>
  <si>
    <t xml:space="preserve">grant.13242837</t>
  </si>
  <si>
    <t xml:space="preserve">ANR-22-CE21-0009</t>
  </si>
  <si>
    <t xml:space="preserve">Vanessa Vernoud</t>
  </si>
  <si>
    <t xml:space="preserve">Institut des Sciences des Plantes de Paris Saclay</t>
  </si>
  <si>
    <t xml:space="preserve">Orsay</t>
  </si>
  <si>
    <t xml:space="preserve">2022-12-06</t>
  </si>
  <si>
    <t xml:space="preserve">Biopolymer food matrices: Multiscale interactions of starch-protein systems</t>
  </si>
  <si>
    <t xml:space="preserve">This project aims to provide a robust mechanistic understanding of how to build new complex structures with plant proteins and ensure their correct integration in starchy food systems. We will focus on the interactions during key processing steps of these mixed matrices, to understand the structure building potential of plant proteins during processing of multicomponent systems; the effect of their purification level on the structuring properties in relevant multicomponent systems; the effect of diverse starch types on the structuring properties of novel sustainable proteins. A cross disciplinary approach, with proteomics, glycomics and physico-chemistry tools, is needed. This fundamental research will link, filling the gap of, food structuring of novel plant-based complex matrices with macroscopic observations; help utilize plant materials at their full potential and rationalize their sustainable production to meet earth and consumer needs to a more climate-friendly plant-based diet.</t>
  </si>
  <si>
    <t xml:space="preserve">grant.13909956</t>
  </si>
  <si>
    <t xml:space="preserve">NNF20OC0064423</t>
  </si>
  <si>
    <t xml:space="preserve">Laura Roman</t>
  </si>
  <si>
    <t xml:space="preserve">Aarhus</t>
  </si>
  <si>
    <t xml:space="preserve">Multi-scale structure, technological and nutritional properties of new protein food ingredients obtained from mushroom and algae biomass</t>
  </si>
  <si>
    <t xml:space="preserve">The food industry is currently facing major challenges, driven by both profound changes in society and environmental problems (climate change, scarcity of resources and water, and soil degradation). Furthermore, rapid population growth is pushing the food production chain to its limits, creating a need to explore alternative protein sources. In this context, there is an urgent need to exploit non-traditional sources to develop new protein ingredients with good nutritional quality, safe for human consumption, and optimal techno-functional properties. Uprising aims to contribute to improved sustainability of the food production chain by studying underexploited agro-industrial sources, specifically mushroom and seaweed biomass and their waste, to obtain protein-rich ingredients and sustainable materials for food applications. These wastes are of interest due to their high availability and protein content. However, to ensure efficient protein extraction, it is necessary to investigate their structure and composition. In subproject 2, we will focus on investigating the effect of the multi-scale structure of these biomass sources on the extraction process and the properties of the protein-rich ingredients generated in subproject 1. In addition, the nutritional quality of the ingredients will be studied through digestibility and bioavailability tests, while their techno-functional properties will be assessed through thorough rheological characterization. Additionally, the effect of the presence of polysaccharides in less purified ingredients will be studied, as well as the impact of their processing using 3D printing strategies to generate textured foods. The knowledge generated in this subproject will be essential for the rational design of sustainable, safe and nutritious protein food ingredients and products through the valorization of biomass sources that have been poorly exploited until now.</t>
  </si>
  <si>
    <t xml:space="preserve">ESTRUCTURA MULTI-ESCALA, PROPIEDADES TECNO-FUNCIONALES Y NUTRICIONALES DE NUEVOS INGREDIENTES ALIMENTARIOS PROTEICOS OBTENIDOS A PARTIR DE BIOMASA DE SETAS Y ALGAS</t>
  </si>
  <si>
    <t xml:space="preserve">grant.14865501</t>
  </si>
  <si>
    <t xml:space="preserve">PID2022-138328OB-C22</t>
  </si>
  <si>
    <t xml:space="preserve">LA INDUSTRIA ALIMENTARIA SE ESTA ENFRENTANDO ACTUALMENTE A GRANDES DESAFIOS, LOS CUALES ESTAN MOTIVADOS TANTO POR CAMBIOS PROFUNDOS EN LA SOCIEDAD COMO POR LA PROBLEMATICA MEDIO AMBIENTAL (EL CAMBIO CLIMATICO, LA ESCASEZ DE RECURSOS Y DE AGUA Y LA DEGRADACION DE LOS SUELOS). ADEMAS, EL RAPIDO CRECIMIENTO DE LA POBLACION ESTA LLEVANDO LA CADENA DE PRODUCCION DE ALIMENTOS A SUS LIMITES Y, POR LO TANTO, EXISTE UNA NECESIDAD DE EXPLORAR FUENTES DE PROTEINA ALTERNATIVAS. EN ESTE CONTEXTO, HAY UNA NECESIDAD URGENTE DE EXPLOTAR FUENTES NO TRADICIONALES PARA DESARROLLAR NUEVOS INGREDIENTES PROTEICOS CON BUENA CALIDAD NUTRICIONAL, SEGUROS PARA EL CONSUMO HUMANO Y CON PROPIEDADES TECNO-FUNCIONALES OPTIMAS. UPRISING PRETENDE CONTRIBUIR A UNA MEJOR SOSTENIBILIDAD DE LA CADENA DE PRODUCCION ALIMENTARIA MEDIANTE EL ESTUDIO DE FUENTES AGROINDUSTRIALES SUBEXPLOTADAS, EN CONCRETO, BIOMASA DE CHAMPIÑONES Y ALGAS, ASI COMO SUS RESIDUOS, PARA OBTENER INGREDIENTES RICOS EN PROTEINA Y MATERIALES SOSTENIBLES PARA APLICACIONES EN ALIMENTACION. ESTOS RESIDUOS TIENEN INTERES DEBIDO A SU ALTA DISPONIBILIDAD Y ALTO CONTENIDO EN PROTEINA; SIN EMBARGO, PARA ASEGURAR UNA EXTRACCION EFICIENTE DE LAS PROTEINAS, ES NECESARIO INVESTIGAR SU ESTRUCTURA Y COMPOSICION. EN EL SUBPROYECTO 2, NOS CENTRAREMOS EN LA INVESTIGACION DEL EFECTO DE LA ESTRUCTURA MULTI-ESCALA DE ESTAS FUENTES DE BIOMASA EN EL PROCESO DE EXTRACCION Y LAS PROPIEDADES DE LOS INGREDIENTES RICOS EN PROTEINAS GENERADOS EN EL SUBPROYECTO1. ASIMISMO, LA CALIDAD NUTRICIONAL DE LOS INGREDIENTES SE ESTUDIARA MEDIANTE ENSAYOS DE DIGESTIBILIDAD Y BIODISPONIBILIDAD, MIENTRAS QUE LAS PROPIEDADES TECNO-FUNCIONALES SE EVALUARAN MEDIANTE UNA CARACTERIZACION REOLOGICA EXHAUSTIVA. ADICIONALMENTE, SE ESTUDIARA EL EFECTO DE LA PRESENCIA DE POLISACARIDOS EN LOS INGREDIENTES MENOS PURIFICADOS, ASI COMO EL IMPACTO DEL PROCESADO DE LOS MISMOS MEDIANTE ESTRATEGIAS DE IMPRESION 3D PARA GENERAR ALIMENTOS TEXTURIZADOS. EL CONOCIMIENTO GENERADO EN ESTE SUBPROYECTO SERA ESENCIAL PARA EL DISEÑO RACIONAL DE INGREDIENTES Y PRODUCTOS ALIMENTARIOS PROTEICOS SOSTENIBLES, SEGUROS Y NUTRITIVOS A TRAVES DE LA VALORIZACION DE FUENTES DE BIOMASA POCO EXPLOTADAS HASTA EL MOMENTO.</t>
  </si>
  <si>
    <t xml:space="preserve">Using consumption and reward simulations to create desire for plant-based foods</t>
  </si>
  <si>
    <t xml:space="preserve">The production of animal-based foods has a significant, negative impact on the environment. Compared to plant-based protein sources, such as beans and lentils, the production of beef and other red meat requires 20 times more land and emits 20 times more greenhouse gas emissions per unit of edible protein. To curb climate change and sustain the planet, consumers urgently need to shift towards more plant-based diets. Most food choices, however, are driven by expectations of taste, rather than sustainability, and plant-based foods are perceived as less tasty than meat-based foods. How can these perceptions be changed to promote sustainable, plant-based food choices? 
This project proposes that desire for plant-based foods can be enhanced by food descriptions that emphasise sensory features, eating context, and hedonic consequences. Such descriptions will trigger spontaneous simulations (i.e., re-experiences) of eating and enjoying a food, and therefore create rewarding expectancies and desire. Supporting this account, previous work has shown that people describe attractive foods in terms of sensory experiences, eating context, and hedonic enjoyment. Such descriptions, in turn, are associated with increased desire for a food. This suggests that people spontaneously simulate (re-experience) eating attractive food, and that this contributes to the desire to eat. In addition, our pilot work has shown that adding such simulation features to labels for plant-based foods increases attractiveness of these food. Here, we will build on these preliminary findings and develop and test a systematic strategy for labeling plant-based foods such that they trigger desire. 
In Work Package 1, we will systematically establish the simulation features that induce desire for a large number of existing dishes. In a task adapted from cognitive psychology, participants will list features of a large number of foods. We will ask different groups of participants to focus on specific kinds of features (e.g., sensory features, eating context, etc). We will assemble these features and their links with attractiveness ratings in a comprehensive data-base that we will make openly available and disseminate among stakeholders in the food industry. 
In Work Package 2, we will use this simulation feature database to create desire-inducing labels for plant-based foods. Based on ratings by plant-based food consumers and mainstream consumers, we will select features that fit a number of relatively novel plant-based foods. These foods will be selected in collaboration with our partner, the Better Buying Lab, who have a strong network of industry partners actively engaged in the shift toward plant-based diets. Then, we will use these features to create eating simulation food labels, and conduct experiments to test whether such labels increase desire by assessing eating simulations, desire, salivation, and purchase intentions, compared to control labels that don't include eating simulation features.
Finally, Work Package 3 will examine whether eating simulation labels affect actual liking, and if they increase purchase intentions measured after consumption only if the product lives up to the expectations created by the label. Here, consumers will taste a plant-based food that is presented with an eating simulation label or a control label, and will report liking and purchase intentions. Half of consumers receive a tasty version of the product, and half of consumers receive an adapted, bland version. Assessing desire before and after tasting the food will allow us to examine the interplay between simulations and experiences, which will be informative for the psychology of desire more generally. 
Together, these studies will establish a detailed understanding of the role of simulations in desire for food, and show how simulation-inducing language can be used to boost desire. This will help to make the urgent the dietary shift needed to sustain the planet.</t>
  </si>
  <si>
    <t xml:space="preserve">https://gtr.ukri.org/projects?ref=ES%2FT011343%2F1</t>
  </si>
  <si>
    <t xml:space="preserve">grant.9342768</t>
  </si>
  <si>
    <t xml:space="preserve">ES/T011343/1</t>
  </si>
  <si>
    <t xml:space="preserve">Esther Papies, Lawrence Barsalou</t>
  </si>
  <si>
    <t xml:space="preserve">2021-01-11</t>
  </si>
  <si>
    <t xml:space="preserve">Eating green or eating meat? Eating crickets or eating beef? Sustainable food consumption behavior in Vietnam and Switzerland</t>
  </si>
  <si>
    <t xml:space="preserve">During the past 50 years, the global food dietary pattern has shifted remarkably to unhealthy diets that are high in animal protein but insufficient in fiber. This dietary transition creates substantial burden on not only public health but also the environment. Imbalanced diets are among the key reasons for the prevalence of obesity, as evidenced by nearly 2.1 billion overweight or obese adults worldwide (Willett et al., 2019). Our current dietary choices are one of the primary drivers of climate change, biodiversity loss, and natural resource degradation. Unbalanced diets that favor meat are linked with large greenhouse gas emissions and therefore pose a considerable risk to the environment compared to plant-based diets (Willett et al., 2019).To achieve a sustainable food system, behavioral changes in food consumption are urgently needed. Cutting down meat intake and switching to plant-based foods such as vegetables is a solution for improved health and a better environment (Hartmann and Siegrist, 2017). Consuming insect-based food is another avenue to achieve a sustainable diet; such foods have higher production efficiencies as well as smaller ecological footprints compared to those of livestock meat (Van Huis et al., 2013, Deroy et al., 2015, Xiaoming et al., 2010). Reducing household food waste helps improve food security and eliminate the environmental impacts induced by our food system. While the ways to change our current food consumption are clear, we are yet to answer the question “how may we facilitate those changes effectively”? Understanding this challenge and responding to it requires comprehensive knowledge of the barriers and motivators associated with changing consumer behavior in sustainable food consumption. This project will address these aspects.Vietnam and Switzerland differ in culture and the level of economic development. Vietnam represents for emerging economies with a collectivistic culture. In contrast, Switzerland is a typical developed country, where the individualistic paradigm is dominant. These differences might lead to the inhomogeneity in attitudes, perception and behavior in food consumption between the two countries, as documented by previous cross-culture studies (Schroeder et al., 2007). Nevertheless, the two countries are experiencing a similar problem with unsustainable food choices and handling. Annual meat intake per capita in Switzerland and Vietnam is between 50 to 54 kgs (Hansen, 2018, BLV,2020), being far above the recommended level of 15.7 kgs from the Lancet Commissions. Vegetable consumption in both countries is also inadequate (BLV, 2020, Haneri et al, 2019). Food waste from households is another concern. In Switzerland, households are responsible for nearly half of the total avoidable food losses (Beretta et al., 2013). In Vietnam, urban households’ food waste occupied 31.7 % of total waste (Nguyen et al., 2020b). Based on the evidence above, one can expect adverse health and environmental consequences of current food choices in the two countries. Research on consumer behavior in sustainable food consumption is crucial to inform the development of strategic responses to unsustainable dietary choices in Switzerland and Vietnam.For the purposes of this research, sustainable food consumption is defined as the consumption and handling of foods that are not only healthy but also environmentally friendly. Sustainable food consumption covers multiple practices, ranging from shopping, cooking, and storage to consumption and disposal. Given the scope of this project, we focus on three practices: 1) consuming more vegetables and less meat, 2) accepting insects as a food source, and 3) reducing food waste. These three practices reflect ecological behaviors in food choice and food handling, both of which are emerging global issues.This project will address three key research gaps. Firstly, empirical studies mainly focus on a single behavior, such as purchasing local food (Bianchi and Mortimer, 2015) and handling food waste (Aschemann-Witzel et al., 2018). They therefore fail to draw a broad and complex picture of sustainable food consumption behavior. Research that investigates multiple sustainable practices and their determinants like Tobler et al. (2011) is scant. To fill this gap, this project investigates three sustainable behaviors, as mentioned above. However, our work differs from Tobler et al. (2011). While these scholars consider the intention to reduce meat intake and the consumption of vegetables as two separate behaviors, we consider the correlation between the two since meat and vegetables can substitute one another. Secondly, though culture is well documented as a key driver of food choice (Schroeder et al., 2007), cross-cultural analysis regarding various green behaviors is lacking. Note that some attempts have been made to compare insect-eating behavior between an Asian and Western country (Hartmann et al., 2015, Brunner and Nuttavuthisit, 2020). However, little is known about how culture determines the intention to reduce meat intake and food waste. This project is among very few cross-cultural studies that identify how culture and level of economic development shape ecological practices in the food domain. Thirdly, as suggested by Hartmann and Siegrist (2017), the application of experimental method in sustainable food consumption research is limited. By employing experimental designs to predict consumer acceptance of insect-based foods and food waste behavior, we contribute to the existing literature in sustainable food consumption. Therefore, the overall aim of this proposed project is to provide evidence-based recommendations to promote positive behavioral changes in food consumption that will result in improvements to health and the environment in Vietnam and Switzerland. To achieve this goal, we propose four specific objectives:1) Explore sustainability-oriented consumer perception and behavior regarding sustainable food consumption practices;2) Model changes/trends in vegetable and meat consumption;3) Investigate the acceptance of insect-based food products; and4) Analyze consumer behavior pertaining to food waste reduction. We plan to carry out four sub-studies, each serving a key objective. These four studies will follow the exploratory sequential mixed methods approach (Creswell, 2013), in which data collection begins with the qualitative phase (Study 1), followed by the quantitative phase (Studies 2 to 4). Study 1 will provide a preliminary understanding of the three chosen sustainable practices. Furthermore, the findings from this study will guide the development of instruments to be used in the following studies (Studies 2,3, 4). We expect that integrating the qualitative and quantitative approaches will allow us to illustrate deeper and more meaningful insights on green behavior. These findings will, in turn, enable us to formulate effective political and social recommendations to transform consumer behavior toward sustainable consumption in Vietnam and Switzerland.</t>
  </si>
  <si>
    <t xml:space="preserve">https://data.snf.ch/grants/grant/203324</t>
  </si>
  <si>
    <t xml:space="preserve">grant.9943631</t>
  </si>
  <si>
    <t xml:space="preserve">203324</t>
  </si>
  <si>
    <t xml:space="preserve">Thomas Brunner, Bao Duong Pham, Mathilde Delley, Barbara Franco Lucas, Franziska Götze, Isabel Häberlil, Reto Huwiler, Evelyn Markoni</t>
  </si>
  <si>
    <t xml:space="preserve">Vietnam National University of Agriculture</t>
  </si>
  <si>
    <t xml:space="preserve">Hanoi</t>
  </si>
  <si>
    <t xml:space="preserve">Bilateral programmes (Funding Instrument); Programmes (Funding Instrument Hierarchy)</t>
  </si>
  <si>
    <t xml:space="preserve">Marine Protein Fusion</t>
  </si>
  <si>
    <t xml:space="preserve">Marine Protein Fusion 
Animal food products have a higher environmental impact than plant products. The Dutch government's policy focuses on a shift to a diet with more vegetable and less animal proteins, or the protein transition. 
SVO Vocational Training Food (secretary), HZ University of Applied Sciences, the fish specialists Hans Fenthsam and Fish&amp;Seafood Waasdorp, the Association of Dutch Fish Specialists and the Marine Stewardship Council combine their knowledge and skills and together to develop hybrid fish products for fish specialists. With this innovative product, fish specialists make an important step in the protein transition.</t>
  </si>
  <si>
    <t xml:space="preserve">https://www.nwo.nl/en/projects/kiemgroen03003</t>
  </si>
  <si>
    <t xml:space="preserve">grant.14043896</t>
  </si>
  <si>
    <t xml:space="preserve">KIEM.GROEN.03.003</t>
  </si>
  <si>
    <t xml:space="preserve">Soy and Agro-Food Transitions</t>
  </si>
  <si>
    <t xml:space="preserve">The rise of soy in globalization in the 20th century is breathtaking: soy has evolved from a
Far Eastern curiosity in the late 19th century to one of the world`s most profitable crops in
the early 21st century. This is the starting point of the project, which is situated in the
international field of (historical) agro-food studies. The project examines transitions of agro-
food regimes through the lens of a particular commodity - soy - over a long period of time -
the last 150 years - with a focus on a selected country - Austria - in an inter- and
transnational context. In recent decades, Austria has established itself as both a node in the
global soy trade and a place of European soy production. Before soy gained a foothold in the
agro-food regime, it emerged in various niches as a solution to problems in agriculture and
nutrition at different times, most notably during the World Wars and the Great Depression.
The central research question is how knowledge transfers, commodity chains, and
institutional arrangements interacted in the rise of soy from niche to mainstream in Austria
since the 1870s. Methodologically, the project relies on actor-network, commodity-chain,
and discourse analyses. It examines periods when established regimes came under pressure
and opened windows of opportunity for niche innovation that either succeeded or failed.
Through transnational linkages and international comparisons, Austria`s case is situated in its
global setting. The project also builds bridges from the past to the future: the protein- and
fat-rich soybean offers a plant-based alternative to animal-based diets and could play an
important role in the sustainable transformation of food production and consumption.</t>
  </si>
  <si>
    <t xml:space="preserve">https://www.fwf.ac.at/en/research-radar/10.55776/P35531</t>
  </si>
  <si>
    <t xml:space="preserve">grant.9959032</t>
  </si>
  <si>
    <t xml:space="preserve">P 35531; 10.55776/P35531</t>
  </si>
  <si>
    <t xml:space="preserve">Ernst Langthaler</t>
  </si>
  <si>
    <t xml:space="preserve">Johannes Kepler University of Linz</t>
  </si>
  <si>
    <t xml:space="preserve">Linz</t>
  </si>
  <si>
    <t xml:space="preserve">2022-03-01</t>
  </si>
  <si>
    <t xml:space="preserve">FWF Austrian Science Fund</t>
  </si>
  <si>
    <t xml:space="preserve">Principal Investigator Projects (Funding Program)</t>
  </si>
  <si>
    <t xml:space="preserve">geniALGE - geniALGE- algae technology as a hope for the future</t>
  </si>
  <si>
    <t xml:space="preserve">The climate change debate has now awakened people around the world to pay attention to their lifestyle. Young people in particular are committed to rethinking society towards a more sustainable use of available raw materials and the reduction of pollutants.
Algae have been used in biotechnology for some time. They are suppliers of omega-3 fatty acids, vitamins, proteins and pigments, but are also used in everyday life, for example in toothpaste, paints and for wound care. Possible areas of application include nutritional supplements, medicine, water treatment, biofuel production and cosmetics. A particularly important function is that they convert the greenhouse gas CO2 into oxygen, but they can also deliver new active ingredients through inexpensive, light-driven growth.
The geniALGE project focuses on the topic of algae and algae technology. Above all, Haematococcus pluvialis (blood rain algae) and other microalgae from the region are used. Students of different ages are involved in the individual process steps of the project: 1) Obtaining microalgae and initial research experiences, peer learning through SSt2 (VS, SSt2), the description of new microalgae species is expected and is to be viewed as a scientific output! 2) Workshops about the needs of algae, experiments and development of an algae nutrient solution with growth experiments - these workshops are then taught to the VS and NMS students through peer learning (VS, SSt1 and SSt2), 3) Lectures and workshops on the use of algae as food (cooking workshop) and as raw materials, algae cultivation (SSt1) for the algae reactor of SSt2 and 4) construction of an algae reactor (SSt2). In technical and biological workshops, laboratory experiments, specialist lectures and excursions over the entire project period, the students are actively familiarized with the topic of algae from different perspectives.
The aim is for students to learn to combine biological, innovative and technical aspects and to participate actively and associatively from planning to implementation. You will learn technical know-how with biological aspects in the area of renewable raw materials. Through future experiments and the further use of the raw materials obtained, e.g. in agriculture, the results and findings obtained should also be implemented beyond the project period. Experts from science, business and education accompany the students throughout the entire project. In media workshops, the science blog on the project website and through presentations to the public (e.g. Long Night of Research), students learn that the dissemination of results also plays an important role in research and development.</t>
  </si>
  <si>
    <t xml:space="preserve">geniALGE - geniALGE- Algentechnologie als Zukunftshoffnung</t>
  </si>
  <si>
    <t xml:space="preserve">https://projekte.ffg.at/projekt/3759735</t>
  </si>
  <si>
    <t xml:space="preserve">grant.13728832</t>
  </si>
  <si>
    <t xml:space="preserve">Universität Innsbruck</t>
  </si>
  <si>
    <t xml:space="preserve">Innsbruck</t>
  </si>
  <si>
    <t xml:space="preserve">Talents (program); Talents regionally (program); Talents regional 2019 (program)</t>
  </si>
  <si>
    <t xml:space="preserve">Die Klimawandeldebatte hat mittlerweile weltweit Menschen aufgerüttelt im eigenen Umfeld auf ihren Lebenswandel zu achten. Besonders Jugendliche engagieren sich für ein Umdenken der Gesellschaft zu einem nachhaltigeren Umgang mit den verfügbaren Rohstoffen und der Reduktion von Schadstoffen. 
Algen kommen schon seit einiger Zeit in der Biotechnologie zum Einsatz. Sie sind Lieferanten von Omega-3 Fettsäuren, Vitaminen, Proteinen und Pigmenten, werden aber auch im täglichen Leben z.B. in Zahnpasta, Farben und zur Wundversorgung verwendet. Mögliche Anwendungsgebiete sind Nahrungsergänzung, Medizin, Wasseraufbereitung, Erzeugung von Biotreibstoffen und Kosmetik. Eine besonders wichtige Funktion ist, dass sie das Treibhausgas CO2 in Sauerstoff umwandeln, sie können aber auch neue Wirkstoffe durch kostengünstiges, lichtgetriebenes Wachstum liefern. 
Das Projekt geniALGE stellt das Thema Algen und Algentechnologie in den Mittelpunkt. Vor allem Haematococcus pluvialis (Blutregenalge) und andere Mikroalgen aus der Region kommen dabei zum Einsatz. SchülerInnen verschiedener Altersstufen werden in die einzelnen Prozessschritte des Projekts eingebunden: 1) Gewinnung von Mikroalgen und erste Forschungserfahrungen, peer-learning durch SSt2 (VS, SSt2), die Beschreibung neuer Mikroalgenarten wird erwartet und ist als wissenschaftlicher output zu werten! 2) Workshops über die Bedürfnisse von Algen, Experimente und Entwicklung einer Algennährlösung mit Wachstumsversuchen – diese Workshops werden dann an die SchülerInnen der VS und NMS durch peer-learning vermittelt (VS, SSt1 und SSt2), 3) Vorträge und Workshops zur Verwendung von Algen als Lebensmittel (Kochworkshop) und als Rohstoffe, Algenzucht (SSt1) für den Algenreaktor der SSt2 und 4) Bau eines Algenreaktors (SSt2). In technischen und biologischen Workshops, Laborexperimenten, Fachvorträgen und Exkursionen über den gesamten Projektzeitraum werden die SchülerInnen aktiv mit dem Thema Algen aus verschiedenen Blickrichtungen vertraut gemacht. 
Ziel ist es, dass SchülerInnen biologische, innovative und technische Aspekte zu verbinden lernen und von der Planung bis zur Umsetzung aktiv und assoziierend mitwirken. Dabei erfahren sie technisches know-how mit biologischen Aspekten aus dem Bereich erneuerbare Rohstoffe kennen. Durch zukünftige Experimente und die Weiterverwendung der erhaltenen Rohstoffe z.B. in der Landwirtschaft sollen die erhaltenen Ergebnisse und Erkenntnisse auch über den Projektzeitraum hinaus umgesetzt werden. ExpertInnen aus Wissenschaft, Wirtschaft und Pädagogik begleiten die SchülerInnen während des gesamten Projekts. Bei Medienworkshops, dem Wissenschaftsblog auf der Projektwebseite und durch Präsentationen für die Öffentlichkeit (z.B. Lange Nacht der Forschung) lernen die SchülerInnen, dass auch die Dissemination von Ergebnissen in der Forschung und Entwicklung eine wichtige Rolle spielt.</t>
  </si>
  <si>
    <t xml:space="preserve">Single-step disentanglement and fractionation of microalgal high-value products through acoustophoresis</t>
  </si>
  <si>
    <t xml:space="preserve">Next generation biomass resources such as marine seaweed and micro-algae have advantages in comparison to terrestrial lignocellulosic biomass as they can grow on non-arable land at higher areal productivities. Aquatic biomass can provide renewable energy (e.g. biodiesel, bioethanol and biogas) as well as high-value molecules such as carotenoids, fatty acids, carbohydrates, proteins and food fibres, which can be used in food, feed, cosmetics, biomaterials, nanostructures and pharmaceutical industries. However, in order to greatly increase the economic viability of aquatic biomass, all components found in the biomass need to be valorized. Unfortunately, valorization of multiple biomass components is not possible using current/conventional biorefinery technologies, where up to 90% of the biomass is being treated as a waste. The value of these broken-down compounds sees more than a ten-fold reduction, rendering the biorefinery economically unfeasible. Therefore, in furtherance of developing multiproduct biorefineries, selective and economically feasible extraction and separation technologies will need to be developed and implemented. Significant microalgal cell disruption and extraction advances have been recently made by employing external fields such as lasers, ultrasonic waves and microwaves, in combination with less aggressive solvents and ionic liquids. However, the issues regarding the use of chemicals and multiple separation stages remain. Thus, we are proposing a game-changing single-step disentanglement and separation of microalgal high-value components by using acoustic waves at different frequencies allowing thus a complete process fine-tuning and eliminating the need for chemicals. Moreover, by including our previously-developed ultrasound disruption technology, the whole cell breakdown, extraction and separation steps could be reduced to one single process governed and finely-tuned through the employed frequency ranges.</t>
  </si>
  <si>
    <t xml:space="preserve">https://cordis.europa.eu/project/id/845185</t>
  </si>
  <si>
    <t xml:space="preserve">grant.8586450</t>
  </si>
  <si>
    <t xml:space="preserve">2020-01-06</t>
  </si>
  <si>
    <t xml:space="preserve">Alternative proteins: influence of structure on functional and technological properties and biological functions</t>
  </si>
  <si>
    <t xml:space="preserve">In the modern world, the need for proteins and products based on them is constantly growing. According to the WHO, more than 60% of humanity does not get enough protein, which leads to a disturbance in the dynamic balance of metabolic processes involving proteins.   
Currently, the volume of the world market for vegetable proteins is growing annually by an average of 10.1% per year. In Russia, more than 80% of the consumption of soy protein isolates and concentrates imitate meat and dairy products, including it is included in the composition of baby food and some brands of milk. In Russia, soy protein in the form of concentrates and isolates is not produced. To meet the needs of industry and the population in concentrates, protein isolates, they are imported from other countries. Thus, the world demand for vegetable proteins is increasing from year to year, in connection with which the search for new alternative sources of protein and the development of effective technologies for their production is an urgent task.  
 One such crop in recent years is amaranth (Amaránthus). - a source of balanced protein. Amaranth grain has an excellent chemical composition with a high concentration of proteins (13% -19%), which is higher than in cereals. Amaranth proteins are balanced in the amount of essential amino acids such as lysine and sulfur-containing amino acids, which, respectively, are not found in traditional cereals and legumes. Amaranth proteins are highly digestible (90%). The protein contained in amaranth is one of the best plant proteins and surpasses soy protein in amino acid composition. In terms of the balance of the amino acid composition, amaranth is close to the ideal protein, and if you evaluate the ideal protein (close to egg) at 100 points, then soy protein will have - 73 points, barley - 62, wheat - 58, and amaranth - 75 points. The absence of GMO in seeds and green mass of amaranth should be especially noted, which is a strong competitive advantage in the modern market.
Due to the high concentration of protein, amaranth can be a source of bioactive peptides, which, as a result of enzymatic digestion, can act as physiological modulators of metabolism. In Russia, the market for active peptides is currently in its infancy. 
The second, long abandoned culture, but at the same time possessing a unique biostatus, is hemp. Hemp (Cannabis sativa L.), traditionally grown for industrial use and harvested for fiber and seeds, has generated great interest in recent years as an environmentally friendly cropRecently, hemp seed cakes have begun to be used in various foods. Hemp-based foods are considered to be less allergenic than other edible seed foods. Hemp seeds contain up to 21% of protein, the concentration of which after cold pressing of oil increases in the meal up to 38-39.5%. For this reason, interest in the production of hemp abroad has increased. Hemp protein albumin is similar in composition to egg white. In addition, albumin is perfectly absorbed by the human body and is the best means for removing free radicals from the body, which, under favorable conditions, turn into cancer cellsIt is known that the configuration of a protein molecule, the presence of anti-nutritional and related substances (inhibitors of digestive enzymes, dietary fiber, tannins, phytates) significantly reduce the bioavailability of amino acids. Thus, the process of obtaining a protein isolate affects the functional properties of the extracted proteins and has not been fully investigated. In this regard, the study of isolation conditions is of great importance for reducing undesirable consequences and improving the functional and technological properties of plant proteins. 
Considering that it is convenient to use ready-made protein compositions in food formulations as independent ingredients, technologies of two- or multicomponent composites with specified functional, technological and nutritional properties are relevant. The advantages of composites, including those with biologically active substances, are their adjustable composition and properties for use in products for functional or therapeutic and prophylactic purposes.
During the implementation of the project, a combination of modern methods of studying the protein complex from amaranth and hemp cake, optimization of methods for isolating a protein isolate, obtaining bioactive peptides, as well as methods for studying the obtained protein products will be used. It is planned to isolate the protein fraction by extraction from amaranth and hemp cake under optimal process conditions; by enzymatic hydrolysis using commercial amylolytic enzymes with various specificities, to biodegrade the carbohydrate component, remove anti-nutrients from the protein isolate by the biocatalytic method, purify and fractionate the protein isolate using column chromatography and membrane methods, respectively. Considering that the functional, technological and biological properties of a protein depend on its structure, the project plans to determine the fractional composition of proteins, molecular weight, amino acid composition, structural features of the protein isolate and its fractions. It is planned to obtain active peptides from the protein isolate by biocatalysis with commercial proteases. Separation and purification of the obtained active peptides is supposed to be carried out by chromatographic methods, analysis of their amino acid sequence - by mass spectrometry. The biological activity and digestibility of the obtained peptides, depending on their structure, are planned to be investigated in in vivo experiments on an experimental batch of mice. For the first time, the pharmaco-toxicological, immunobiological, adaptogenic and stimulating properties of the developed protein isolate and active peptides of amaranth will be studied
The obtained vegetable protein isolate with a high content of the essential amino acids lysine and albumin, similar in composition to egg white, can be used in the food industry, feed production, aquaculture, in the pharmaceutical industry and in the production of sports nutrition as a substitute for casein protein and expensive soy isolate.</t>
  </si>
  <si>
    <t xml:space="preserve">http://www.rscf.ru/en/enprjcard?rid=22-26-00277</t>
  </si>
  <si>
    <t xml:space="preserve">grant.14694495</t>
  </si>
  <si>
    <t xml:space="preserve">Olga Korneeva</t>
  </si>
  <si>
    <t xml:space="preserve">Replacing Millions of Eggs with Chickpea Protein Isolate</t>
  </si>
  <si>
    <t xml:space="preserve">Purpose and goal: 
The aim and objective of the project is to develop an method to extract and optimize chickpea protein as an egg alternative in the food industry. The main objectives include creating a cost-effective and scalable process for the production of chickpea protein isolate (CPI), optimizing its functional properties to match or surpass egg albumin, and developing sustainable uses for by-products. 
Expected results and effects: 
The project is expected to result in:
- An optimized process for the extraction of chickpea protein isolate (CPI)
- CPI with improved functional properties compared to egg albumin
- Increased sustainability in the food industry through a plant-based egg alternative
- New uses for by-products, which reduces waste
- Increased competitiveness for Swedish food companies within plant-based products 
Approach and implementation: 
The project is carried out in four main phases:
1. Process evaluation and optimization of CPI extraction
2. Comparison with egg albumin and other alternatives
3. Scale-up and pilot trials
4. Recipe development for CPI and by-products</t>
  </si>
  <si>
    <t xml:space="preserve">https://www.vr.se/swecris.html#/project/2024-03998_Vinnova</t>
  </si>
  <si>
    <t xml:space="preserve">grant.14500537</t>
  </si>
  <si>
    <t xml:space="preserve">Kotaiba Aal</t>
  </si>
  <si>
    <t xml:space="preserve">2024-11-19</t>
  </si>
  <si>
    <t xml:space="preserve">Bioavailable iron delivery systems derived from plant sources</t>
  </si>
  <si>
    <t xml:space="preserve">Iron deficiency is a known public health concern, particularly for vulnerable groups (children and pregnant women), affecting around 1.62 billion people worldwide. In plant-based diets, the sources of iron are non-heme, less bioaccessible compared to the iron (heme iron) found in animal products. Despite its prevalence, effective dietary interventions focused on micronutrients deficiencies remain limited, mostly due to a lack of understanding of the fate of iron carriers during digestion of complex foods. The objective of FooDIS is to fill this research gap, focus on the fate of bioavailable iron during in vitro digestion and adsorption, to assist in the design of sustainable and innovative iron-rich foods. FooDIS will explore the potential of phytoferritins, plant iron-binding proteins, as effective carriers of bioavailable non-heme iron in plant-based foods. The hypothesis is that phytoferritins can be used as iron carriers, by creating specific interactions with other food components. By testing this hypothesis, we will learn how to enhance the bioavailability of non-heme iron in plant-based foods. The objectives of FooDIS will be achieved through a multidisciplinary approach, integrating the study of phytoferritins digestion in food using INFOGEST-standardized protocol, advanced spectroscopy (synchrotron) and ICP-MS analyses, and in vitro absorption models containing mucus-producing cells (Caco2/HT29MTX). The study, starting with simple and moving to complex model systems, will bring detailed insights of the fate of iron during digestion and its absorption, but also analyze iron speciation and interaction with other food components, leading to new, important discoveries on the mechanism of gut iron absorption. The outcomes will have societal and scientific impact, providing knowledge for the design of novel plant-based iron delivery systems, not only contributing to address the nutritional needs of more sustainable diets but to improve global health outcomes.</t>
  </si>
  <si>
    <t xml:space="preserve">https://cordis.europa.eu/project/id/101207610</t>
  </si>
  <si>
    <t xml:space="preserve">grant.14911323</t>
  </si>
  <si>
    <t xml:space="preserve">2025-08-01</t>
  </si>
  <si>
    <t xml:space="preserve">Food4Cells: Developing sustainable cell culture media for cultivated meat (CM) production based on Norwegian plant-based agri-food.</t>
  </si>
  <si>
    <t xml:space="preserve">Current estimates predict that the global food production must increase more than 60% towards 2050, and as a result there has been an increasing pressure on the livestock sector to meet the growing demand for high-value animal protein. Also, from a circular economy perspective, increased recycling of plant-based side-streams from food production will be necessary. A revolutionary new and promising alternative to the traditional way of producing animal protein is the cultivation of muscle cells outside the living animal in a bioreactor, thus bypassing animal production. Cultivated meat (CM) involves growing live cells from an animal (mammalian, seafood, or crustacean) and then directing these cells into a desired product (e.g., sausage, mince patty, meat). A significant challenge in the first step of CM production is creating affordable and efficient cell culture media at scale, with necessary nutrient supplementation that promote efficient cell growth. 
In Food4Cells we explore the possibility of using plant-based agri-food ingredients to develop cost-effective, efficient, and sustainable cell culture media suitable for the industrial production of cultivated meat.
The project outlines a multi-step approach, including identifying and characterizing suitable ingredients, verifying their inclusion levels, validating optimized media in larger volumes, and assessing the environmental impact through life cycle assessments (LCA). The research aims to contribute to a more sustainable food system by addressing the cell culture media’s cost, which is a critical factor in the commercial viability of CM products. It seeks to leverage Norway’s agricultural resources to create a novel solution for the CM industry.</t>
  </si>
  <si>
    <t xml:space="preserve">https://prosjektbanken.forskningsradet.no/en/project/FORISS/352733</t>
  </si>
  <si>
    <t xml:space="preserve">grant.14752237</t>
  </si>
  <si>
    <t xml:space="preserve">BIOTEKNOLOGI-BIOTEKNOLOGI (Funding scheme)</t>
  </si>
  <si>
    <t xml:space="preserve">HDHL MICA:Innovative plant protein fibre and physical activity solutions to address poor appetite and prevent undernutrition in older adults, APPETITE</t>
  </si>
  <si>
    <t xml:space="preserve">Background: Poor appetite is commonly reported by older adults, and is known to predict poorer health outcomes, such as frailty, disability and mortality. It impacts both on the amount of food eaten and on the diversity of the diet so that older adults with a poor appetite can have lower consumption of some nutrient-rich types of foods (eg meat, fish, whole grains, vegetables) and reduced intakes of a range of nutrients, that include protein and dietary fibre. At the same time, consumption of foods low in micronutrients (eg fats, oils, sweets, and sodas) may be higher. Older adults with poor appetite are therefore at a higher risk of undernutrition.
Objectives: APPETITE is a transdisciplinary consortium of experienced researchers from eight institutions in six European countries. The key objective of the consortium is to develop approaches to promote protein and fibre consumption in community-dwelling older adults who have poor appetite, to overcome undernutrition through targeted nutrition and physical activity. This collaborative research will involve the development of innovative food products, in cooperation with older consumers, testing these products and evaluation of their application.
Workplan: The planned research is based on a series of linked work packages. Firstly, we will work with a group of older adults who have poor appetite to find out what influences their appetite and the approaches and strategies they may use to make sure they eat enough food. We will also analyse data from the Longitudinal Aging Study Amsterdam in which appetite and diet have been assessed in a large group of older adults to develop better understanding of the determinants of poor appetite, how it changes over time, and the impact of these changes on diet. Building on these insights, the second part of the research is to design new and affordable food products for older adults who have poor appetite, with different plant protein fibre combinations. The focus will be on foods that combine different plant protein sources (eg corn, grain, legumes), to achieve a balanced profile of amino acids (the building blocks of protein), that have attractive sensory properties. The third part of the planned research will be to evaluate these new foods, for example, to examine effects on digestibility, amino acid bioavailability and whole body protein metabolism. Two of these new food products will then be tested in the fourth part of the research in a multi-country randomized controlled intervention trial in a group of older adults with poor appetite, as part of a personalised optimized diet, a physical activity program, and their combination. Effects on appetite, dietary intake, nutritional status, metabolic and physiological function will be determined. The project findings will be disseminated widely through a range of different activities, to provide information and raise awareness, to share knowledge and promote dialogue between older consumers, scientists, the food industry and policy makers.
Impact: APPETITE will improve our understanding of plant-based protein and fibre products and their metabolic and clinical effects. It will create new knowledge about these products, and how a whole-diet approach, together with physical activity and regular social contacts, may contribute to overcome poor appetite and undernutrition. The findings will inform policy and dietary recommendations and guidelines, strengthen European agri-food industry, contributing to a better quality of life for older Europeans.
Technical Summary
Older adults with poor appetite are at high risk of undernutrition due to the role of appetite as a key driver of food intake. Dietary protein and fibre are critical nutrients in this population and enhancing their intake is vital to preventing undernutrition and maintaining organ function and health. APPETITE is a transdisciplinary consortium of researchers from eight institutions in six European countries that will collaborate to design approaches to enhance protein and fibre consumption of community-dwelling older adults with poor appetite, and overcome undernutrition through targeted nutrition and physical activity. This translational research will include development of innovative food products, testing these products, and their application in clinical studies.
In a series of linked work packages, older adults with poor appetite will be carefully characterized, and their nutritional and behavioural preferences evaluated; working with them, innovative and affordable food products combining several domestic plant proteins and dietary fibres will be developed. Mechanistic insights will be gained by examining the impact of selected products, physical activity and probiotic interventions on digestibility, amino acid bioavailability and whole-body protein metabolism. In a multi-country randomized controlled intervention trial, the impact of two new food products, as part of a personalised optimized diet, a physical activity program, and their combination will be determined regarding appetite, dietary intake, nutritional status, anabolic response, metabolic parameters and physiological function. 
A wide range of dissemination activities will raise awareness, share knowledge, and improve dialogue between consumers, scientists, healthcare professionals and the food industry. The findings will inform dietary recommendations and policy, strengthen European agri-food industry, and contribute to a better quality of life for older Europeans.</t>
  </si>
  <si>
    <t xml:space="preserve">https://gtr.ukri.org/projects?ref=MR%2FV039857%2F1</t>
  </si>
  <si>
    <t xml:space="preserve">grant.9748400</t>
  </si>
  <si>
    <t xml:space="preserve">Avan Aihie Sayer, Sian Robinson</t>
  </si>
  <si>
    <t xml:space="preserve">Newcastle University; Fraunhofer Institute for Process Engineering and Packaging; University of Erlangen-Nuremberg; University College Dublin; University of Padua; Vrije Universiteit Amsterdam</t>
  </si>
  <si>
    <t xml:space="preserve">Newcastle upon Tyne; Freising; Erlangen; Dublin; Padova; Amsterdam</t>
  </si>
  <si>
    <t xml:space="preserve">2021-03-31</t>
  </si>
  <si>
    <t xml:space="preserve">ProUpSide - optimization and scale-up of agro-industrial side stream purification</t>
  </si>
  <si>
    <t xml:space="preserve">Purpose and goal: 
We contribute to a plant-based, sustainable and self-sufficient local food industry.
Potato protein concentrate is a by-product from Swedish potato starch production. Despite its high nutritional content, it cannot be used as food due to toxic compounds and bitter off-flavors.
We succeeded in reducing the toxic compounds and also the off-flavors significantly using novel selective resins. The goal of this project is to further optimize the resin-based technology and to demonstrate that the lab-scale process can be adapted to large-scale commercial production. 
Expected results and effects: 
An effective detoxification process for potato protein concentrate will enable the Swedish food industry to economically produce thousands of tons of a plant-based protein product containing all essential amino acids. This novel functional protein ingredient may enable the development of new food formulations opening up the possibility to new spin-off food products or even new food companies. 
Approach and implementation: 
The project will start with refining the resin-based clean-up process to achieve an optimal process at the lab scale. Based on that, the optimized resin-based process will be scaled-up and evaluated at pilot scale, including analysis of the protein product with initial sensory evaluations, along with regulatory work. The final work package aims at establishing the resin production and detoxification process at larger pilot and finally at industrial scale at a customer site with a more in-depth focus on various nutritional aspects, and sensory properties.</t>
  </si>
  <si>
    <t xml:space="preserve">https://www.vr.se/swecris.html#/project/2022-02592_Vinnova</t>
  </si>
  <si>
    <t xml:space="preserve">grant.13285811</t>
  </si>
  <si>
    <t xml:space="preserve">Ecevit Yilmaz</t>
  </si>
  <si>
    <t xml:space="preserve">2022-10-31</t>
  </si>
  <si>
    <t xml:space="preserve">2:Teknik, Engineering and Technology (SCB); 204:Kemiteknik, Chemical Engineering (SCB); 21101:Livsmedelsteknik, Food Engineering (SCB); 211:Annan teknik, Other Engineering and Technologies (SCB); 209:Industriell bioteknik, Industrial Biotechnology (SCB); 20499:Annan kemiteknik, Other Chemical Engineering (SCB); 20907:Bioteknisk apparatteknik, Bioengineering Equipment (SCB)</t>
  </si>
  <si>
    <t xml:space="preserve">Engineering biology for animal-free cheese protein production</t>
  </si>
  <si>
    <t xml:space="preserve">Plant-based cheese is important. In the UK, we produce over 500,000 tons of dairy cheese per year. However, dairy farming produces a lot of methane, which is a highly harmful greenhouse gas.
As a result, people are changing what they eat, with more people adopting animal-low, or animal-free diets. Food companies are developing more and more plant-based products to meet this need, like plant-based cheese.
There's a challenge in producing enough of the right proteins for animal-free products. Current systems for doing this are expensive to build and operate. Fermtech are an Oxford-based biotech start-up developing an ultra low-cost way to produce animal-free proteins to do the job. The technology harnesses the power of fungi, grown on waste biomass as a feedstock, creating a circular economy, and keeping costs low.
This project will allow us to test how this production system can be developed for commercial-scale production, taking the first step to getting great-tasting, low-carbon, animal-free dairy products on supermarket shelves quickly.</t>
  </si>
  <si>
    <t xml:space="preserve">https://gtr.ukri.org/projects?ref=10072795</t>
  </si>
  <si>
    <t xml:space="preserve">grant.13878929</t>
  </si>
  <si>
    <t xml:space="preserve">Andrew Clayton</t>
  </si>
  <si>
    <t xml:space="preserve">2023-05-31</t>
  </si>
  <si>
    <t xml:space="preserve">Grant for R&amp;D (Project Category)</t>
  </si>
  <si>
    <t xml:space="preserve">ProFOAM-From proteins to foams: understanding the whipping behavior of plant albumins</t>
  </si>
  <si>
    <t xml:space="preserve">Sustainability is an urgent topic and should be addressed in research projects worldwide. Reuse of side streams can contribute to zero waste policies in the food industry, and potential resources for novel, sustainable food ingredients. Albumins, unlike their globulin counterparts, are less studied, as present mostly in the side streams during isolation of plant ingredients. Previous research on albumins only focuses on static approach within macroscopic level. This project will use a sophisticated mix of state-of-the-art analytical techniques to analyze the (de)stabilization of albumins foaming with/-out pretreatment and addition of surfactants, explore the underlying mechanisms on multiple length scales. The aim is to develop a detailed mechanistic description of albumins structure at air-water interfaces, contribute to the shift from animal to plant-based dietary proteins driven by sustainability and health concerns, and thus developing the novel foaming proteins for food industry.</t>
  </si>
  <si>
    <t xml:space="preserve">grant.13909871</t>
  </si>
  <si>
    <t xml:space="preserve">Ruifen Li</t>
  </si>
  <si>
    <t xml:space="preserve">Fellowships (Funding Program)</t>
  </si>
  <si>
    <t xml:space="preserve">Synthesis of nano and micro ingredients from arabinoxylan derivatives for the production of clean-label foods</t>
  </si>
  <si>
    <t xml:space="preserve">Consumers are increasingly demanding more natural, less processed foods that contain fewer additives. This has led to a growing interest in so-called "clean label" products. Moreover, consumer preferences in recent years have increasingly shifted away from animal-derived products and toward more sustainable plant proteins. Thus, an increasing percentage of consumers now follow vegetarian or vegan diets. FACED WITH THESE TRENDS, FOOD PRODUCERS ARE DEMANDING NEW FORMULATIONS, WHICH CAN BE COMPLICATED, SINCE THE COMPOUNDS TO BE AVOIDED HAVE A GREAT IMPACT ON FOOD FLAVOR, AROMA, AND TEXTURE. BIOPOLYMERS FROM PLANTS AND THEIR RESIDUES REPRESENT AN INTERESTING ALTERNATIVE FOR INCORPORATION INTO CLEAN-LABEL FOODS, SINCE THEY ARE BIODEGRADABLE, BIOCOMPATIBLE, AND SAFE. ARABINOXYLAN (AX) IS A STRUCTURAL POLYSACCHARIDE OF THE CELL WALL OF PLANTS AND CONSTITUTES PART OF THE DIETARY FIBER PORTION OF CEREALS. DURING THE CHEMICAL OR ENZYMATIC HYDROLYSIS OF AX, XYLOOLIGOSACCHARIDES WITH PREBIOTIC PROPERTIES ARE FORMED, BUT ALSO HIGH DEGREE POLYMERIZATION FRAGMENTS, VERY USEFUL AS TEXTURAL AGENTS WITH THE ADDITIONAL ADVANTAGE OF BEING CONSIDERED DIETARY FIBER. THE FUNCTIONALITY OF THESE BIOPOLYMERS CAN BE MODIFIED BY TRANSFORMING THEIR STRUCTURES INTO STRUCTURES OF DIFFERENT SIZE, SHAPE, INTERNAL STRUCTURE AND SURFACE PROPERTIES. THE ABILITY OF AX TO FORM GELS THROUGH COVALENT INTERACTIONS BASED ON THE OXIDATIVE COUPLING OF FERULIC ACID (FA) IS KNOWN. However, their application and effect on food texture, or their capacity as encapsulating agents, has barely been studied. Microgels are of particular interest in the food industry, as fat substitutes in processed foods or for the encapsulation and release of nutraceutical compounds. Microfluidic technology allows the formation of monodispersed microgel particles, which helps predict and adjust the release rate of the encapsulated compounds. Furthermore, size control allows for the production of particles with a better mouthfeel. However, for certain applications, it may be interesting to vary the particle morphology to longitudinal shapes, which are very useful as texturizing agents. In this sense, electrospinning is a simple technique for producing fibers from polymer solutions. Despite their potential as food ingredients, to our knowledge, the application of AX fibers as food ingredients has not been developed or studied. BIOPOLYMER FIBERS CAN HAVE A SIZE SIMILAR TO MEAT MYOFIBRILS, WHICH COULD SUBSEQUENTLY BE ASSEMBLED BY ENZYMATIC CROSSLINKING OR MIXING WITH BINDING AGENTS, GIVING RISE TO A TEXTURE SIMILAR TO MEAT. IN THE CASE OF FERULOYLATED AX, THIS FIBER CROSSLINKING COULD BE ACHIEVED THROUGH COVALENT BONDS MEDIATED BY THE OXIDATION OF THE FA IN ITS CHAINS IN THE PRESENCE OF AN ENZYME SUCH AS LACASE. FOR ALL THESE REASON, IN THIS PROJECT WE PROPOSE THE USE OF AX DERIVED PRODUCTS EXTRACTED FROM WHEAT STRAW FOR THE SYNTHESIS OF MONODISPERSE MICROGELS BY MEANS OF MICROFLUIDICS AND NANOFIBER SYSTEMS BY ELECTROSPINNING AND THE STUDY OF THEIR FUNCTIONAL PROPERTIES AS INGREDIENTS INCORPORATED IN MEAT ANALOGUES.</t>
  </si>
  <si>
    <t xml:space="preserve">SINTESIS DE NANO Y MICROINGREDIENTES A PARTIR DE PRODUCTOS DERIVADOS DEL ARABINOXILANO PARA LA PRODUCCION DE ALIMENTOS DE ETIQUETA LIMPIA</t>
  </si>
  <si>
    <t xml:space="preserve">grant.14862066</t>
  </si>
  <si>
    <t xml:space="preserve">Universidade de Vigo</t>
  </si>
  <si>
    <t xml:space="preserve">Vigo</t>
  </si>
  <si>
    <t xml:space="preserve">LOS CONSUMIDORES DEMANDAN CADA VEZ MAS ALIMENTOS NATURALES, MENOS PROCESADOS Y QUE CONTENGAN MENOS ADITIVOS. ESTO HA DESARROLLADO UN CRECIENTE INTERES POR LOS PRODUCTOS LLAMADOS DE "ETIQUETA LIMPIA". POR OTRO LADO, LAS PREFERENCIAS DE LOS CONSUMIDORES EN LOS ULTIMOS AÑOS SE HAN IDO ALEJANDO CADA VEZ MAS DE LOS PRODUCTOS DE ORIGEN ANIMAL Y SE HAN ORIENTADO HACIA LAS PROTEINAS VEGETALES MAS SOSTENIBLES. ASI, UN PORCENTAJE CADA VEZ MAS ELEVADO DE CONSUMIDORES SIGUE DIETAS VEGETARIANAS O VEGANAS. ANTE ESTAS TENDENCIAS, LOS PRODUCTORES DE ALIMENTOS DEMANDAN NUEVAS FORMULACIONES, LO CUAL PUEDE SER COMPLICADO, YA QUE LOS COMPUESTOS A EVITAR TIENEN UN GRAN IMPACTO EN EL SABOR, AROMA Y TEXTURA DE LOS ALIMENTOS. LOS BIOPOLIMEROS PROCEDENTES DE LAS PLANTAS Y SUS RESIDUOS SUPONEN UNA ALTERNATIVA INTERESANTE PARA SU INCORPORACION EN ALIMENTOS DE ETIQUETA LIMPIA , YA QUE SON BIODEGRADABLES, BIOCOMPATIBLES Y SEGUROS. EL ARABINOXILANO (AX) ES UN POLISACARIDO ESTRUCTURAL DE LA PARED CELULAR DE LAS PLANTAS Y CONSTITUYE UNA PARTE DE LA PORCION DE FIBRA DIETETICA DE LOS CEREALES. DURANTE LA HIDROLISIS QUIMICA O ENZIMATICA DEL AX SE FORMAN XILOOLIGOSACARIDOS CON PROPIEDADES PREBIOTICAS, PERO TAMBIEN FRAGMENTOS DE ALTO GRADO DE POLIMERIZACION, MUY UTILES COMO AGENTES TEXTURALES CON LA VENTAJA ADICIONAL DE SER CONSIDERADOS FIBRA ALIMENTARIA. LA FUNCIONALIDAD DE ESTOS BIOPOLIMEROS PUEDE MODIFICARSE MEDIANTE SU TRANSFORMACION EN ESTRUCTURAS DE DIFERENTE TAMAÑO, FORMA, ESTRUCTURA INTERNA Y PROPIEDADES SUPERFICIALES. ES CONOCIDA LA CAPACIDAD DEL AX PARA FORMAR GELES MEDIANTE INTERACCIONES COVALENTES BASADAS EN EL ACOPLAMIENTO OXIDATIVO DEL ACIDO FERULICO (AF). SIN EMBARGO, A PENAS SE HA ESTUDIADO SU APLICACION Y EFECTO EN LA TEXTURA DE LOS ALIMENTOS, O A SU CAPACIDAD COMO AGENTES ENCAPSULANTES. LOS MICROGELES TIENEN ESPECIAL INTERES EN LA INDUSTRIA ALIMENTARIA, COMO SUSTITUTOS DE LAS GRASAS EN LOS ALIMENTOS PROCESADOS O ENCAPSULACION Y LIBERACION DE COMPUESTOS NUTRACEUTICOS. LA TECNICA DE MICROFLUIDOS PERMITE FORMAR PARTICULAS DE MICROGEL MONODISPERSAS, LO QUE AYUDA A PREDECIR Y AJUSTAR LA VELOCIDAD DE LIBERACION DE LOS COMPUESTOS ENCAPSULADOS. ADEMAS, EL CONTROL DEL TAMAÑO PERMITE OBTENER PARTICULAS CON UNA MEJOR SENSACION EN BOCA. SIN EMBARGO, PARA DETERMINADAS APLICACIONES PUEDE SER INTERESANTE VARIAR LA MORFOLOGIA DE LAS PARTICULAS A FORMAS LONGITUDINALES, MUY UTILES COMO TEXTURIZANTES. EN ESTE SENTIDO, EL ELECTROSPINNING ES UNA TECNICA SENCILLA PARA PRODUCIR FIBRAS A PARTIR DE SOLUCIONES POLIMERICAS. A PESAR DE SU POTENCIAL COMO INGREDIENTES ALIMENTARIOS, PARA NUESTRO CONOCIMIENTO, NO SE HAN DESARROLLADO NI ESTUDIADO LA APLICACION DE FIBRAS DE AX COMO INGREDIENTES ALIMENTARIOS. LAS FIBRAS DE BIOPOLIMEROS PUEDEN TENER UN TAMAÑO SIMILAR AL DE LAS MIOFIBRILLAS DE LA CARNE, QUE POSTERIORMENTE SE PODRIAN ENSAMBLAR MEDIANTE RETICULACION ENZIMATICA O MEZCLA CON AGENTES AGLUTINANTES DANDO LUGAR A TEXTURA SIMILARES A LA CARNE. EN EL CASO DEL AX FERULOILADO ESTA RETICULACION DE LAS FIBRAS PODRIA CONSEGUIRSE A TRAVES DE ENLACES COVALENTES MEDIADOS POR LA OXIDACION DEL AF DE SUS CADENAS EN PRESENCIA DE UNA ENZIMA COMO LA LACASA. POR TODO ELLO, EN ESTE PROYECTO PROPONEMOS EL USO DE PRODUCTOS DERIVADOS DEL AX EXTRAIDOS DE LA PAJA DE TRIGO PARA LA SINTESIS DE MICROGELES MONODISPERSOS MEDIANTE SISTEMAS DE MICROFLUIDICA Y NANOFIBRAS MEDIANTE ELECTROSPINNING Y EL ESTUDIO DE SUS PROPIEDADES FUNCIONALES COMO INGREDIENTES INCORPORADOS EN ANALOGOS CARNICOS.</t>
  </si>
  <si>
    <t xml:space="preserve">Efficacy, application and consumer acceptance of plant-based proteins for metabolic health</t>
  </si>
  <si>
    <t xml:space="preserve">This exciting collaborative project offers a unique opportunity to develop multidisciplinary skills in research examining 
the use of plant proteins for human health. A rising global population has led to increasing demand for the supply of 
dietary proteins, which cannot realistically be sustained through reliance on animal proteins alone. Alongside these 
increasing demands on food supply, obesity and "metabolic diseases" (such as diabetes and cardiovascular disease) are 
now major health burdens in both developed and developing countries, directly linked to poor diet and over-nutrition. 
The tackling of these issues aligns with the United Nation's Sustainable Development Goals, aiming to achieve good 
health and well-being, and ensure sustainable consumption and production (United Nations 2017). In general, plant based diets are more sustainable in comparison to diets rich in animal products because they use many fewer natural 
resources and are less taxing on the environment.</t>
  </si>
  <si>
    <t xml:space="preserve">https://gtr.ukri.org/projects?ref=studentship-2897581</t>
  </si>
  <si>
    <t xml:space="preserve">grant.14082911</t>
  </si>
  <si>
    <t xml:space="preserve">Adam Collins, Yana Petkova</t>
  </si>
  <si>
    <t xml:space="preserve">Guildford</t>
  </si>
  <si>
    <t xml:space="preserve">2023-09-30</t>
  </si>
  <si>
    <t xml:space="preserve">Technological intervention for development of circular agri-food system to produce proteins from minor cereals</t>
  </si>
  <si>
    <t xml:space="preserve">"Clean-label plant proteins have gained a lot of financial, research, and consumer attention globally, fostering a great interest of food scientists in exploring various alternative plant sources and technologies to fabricate protein-rich food products. Cereals being the major nutrient vehicle for the masses and proteins being the second most abundant nutrient in these minor cereals, these grains can be a suitable alternative for plant-based proteins, to meet the increased protein demands. The United Nations' Food and Agriculture Organization (FAO) has declared 2023 the ""International Year of Millets and owing to its invaluable contribution to the world's food supply, not only millets but also other minor cereals are currently undergoing a revival. When other grains fail due to rising global temperatures, such minor cereals that can withstand drought are anticipated to provide food for the entire world's population. Thus, the overall aim of ProCereal is to generate high-quality cereal proteins by transforming minor cereal flours (like millets) with a zero-waste approach. ProCereal will employ novel green technologies to obtain high-value protein ingredients for food applications and the side-streams produced in the process would be explored for their potential for other high-value ingredients. This will allow the generation of new sustainable value chains for minor cereals like millets."</t>
  </si>
  <si>
    <t xml:space="preserve">https://cordis.europa.eu/project/id/101108015</t>
  </si>
  <si>
    <t xml:space="preserve">grant.13717952</t>
  </si>
  <si>
    <t xml:space="preserve">Teagasc - The Irish Agriculture and Food Development Authority</t>
  </si>
  <si>
    <t xml:space="preserve">Carlow</t>
  </si>
  <si>
    <t xml:space="preserve">High-value food products from plant fiber residues</t>
  </si>
  <si>
    <t xml:space="preserve">Production of plant-based dairy analog products such as oat milk generates copious amounts of residues rich in protein and fiber. Today, these residues are often burned or used for soil improvement or animal feed. In previous projects we have shown that these residues have the potential to become valuable ingredients in food products. This project aims to solve remaining challenges such as bacterial contamination, antinutrient content and fiber/protein accessibility, and thus increase circularity and resource efficiency. The key here is to optimize and then implement novel cooperative fermentation techniques using unique bacteria and yeast strains in full-scale production. By-products will thus be transformed into healthy high-value ingredients for products such as dairy and meat analogs for the global food market.</t>
  </si>
  <si>
    <t xml:space="preserve">https://www.vr.se/swecris.html#/project/P2023-00319_Energi</t>
  </si>
  <si>
    <t xml:space="preserve">grant.13902171</t>
  </si>
  <si>
    <t xml:space="preserve">2023-09-01</t>
  </si>
  <si>
    <t xml:space="preserve">Swedish Energy Agency</t>
  </si>
  <si>
    <t xml:space="preserve">203:Maskinteknik, Mechanical Engineering (SCB); 2:Teknik, Engineering and Technology (SCB); 20304:Energiteknik, Energy Engineering (SCB)</t>
  </si>
  <si>
    <t xml:space="preserve">USE OF ADVANCED TECHNIQUES FOR THE STUDY OF SENSORY PERCEPTION AND PHYSIOLOGICAL RESPONSE TO THE INTAKE OF VEGAN PRODUCTS AS SUBSTITUTES FOR FOODS OF ANIMAL ORIGIN</t>
  </si>
  <si>
    <t xml:space="preserve">Animal-derived foods are essential components of a balanced diet due to their contribution of high biological value protein, B vitamins, and other essential micronutrients. In addition to their nutritional value, the impact of consuming these foods on emotional well-being and mood is well documented. THERE IS, HOWEVER, A GROWING NUMBER OF PEOPLE WHO DECIDE TO EXCLUDE FOODS OF ANIMAL ORIGIN FROM THEIR DIET, CITERING MORAL ASPECTS (THEY ASSOCIATE MEAT PRODUCTION WITH ANIMAL SUFFERING), ENVIRONMENTAL ASPECTS (THEY ASSOCIATE ANIMAL PRODUCTION WITH POLLUTION AND LACK OF SUSTAINABILITY), HEALTH-RELATED ASPECTS (THEY ASSOCIATE MEAT AND MILK CONSUMPTION WITH PATHOLOGIES), OR SIMPLY HEDONIC ASPECTS (THEY DO NOT LIKE EATING MEAT/MILK AND DERIVATIVES). THESE CONSUMERS SOMETIMES OPT TO CONSUME WHAT ARE CALLED MEAT ANALOGUES (SEITAN, TOFU, ETC.) AND/OR DAIRY ASPECTS (ALMOND, OAT, SOY DRINKS, ETC.). These products, made from plant materials (wheat, soy, oats), undergo an industrial processing process intended to simulate the appearance, texture, and flavor of animal-derived foods. Some consumers (vegans) include these products in their diets as substitutes for animal-derived foods. According to our initial hypothesis, these products would not have the same impact on the diet as genuine foods (meat, milk and derivatives), neither from the sensory, nutritional, hedonic point of view, nor with respect to their impact on health. To verify the plausibility of this hypothesis, this project is designed to analyze the suitability of replacing meat, milk and derivatives with various meat and dairy analogues in a balanced diet. THE EFFECT OF THE CONSUMPTION OF THESE PRODUCTS (FOODS OF ANIMAL ORIGIN VS. VEGAN PRODUCTS) ON THE SENSORY PERCEPTION AND HEALTH OF CONSUMERS WILL BE EVALUATED USING ADVANCED ANALYTICAL TECHNIQUES. IN THIS SENSE, THE USE OF INNOVATIVE SENSORY TECHNIQUES (TASTING, DYNAMICS, EMOTIONS) IS PROPOSED TO ANALYZE THE HEDONIC AND EMOTIONAL RESPONSE TO THE CONSUMPTION OF THESE FOODS. ON THE OTHER HAND, OMICS TECHNIQUES (PROTEOMICS, METABOLOMICS AND METAGENOMICS) WILL BE APPLIED TO EVALUATE THE PHYSIOLOGICAL RESPONSE AND IMPACT ON HEALTH OF THE CONSUMPTION OF THESE FOODS IN HUMANS AND EXPERIMENTAL ANIMALS. The implementation of this project will yield results of unquestionable scientific, industrial, and social interest, and will also give special consideration to the gender perspective. The proposal relies on a multidisciplinary team comprised of veterinarians and medical experts in food science, with explicit support from two or more of the country's leading meat and dairy companies. Thanks to the results of this project, both health and nutrition professionals, as well as consumers themselves, will have scientific evidence at their disposal that will allow them to make reasoned decisions about the consumption of foods of animal origin and/or their corresponding analogues of plant origin. Likewise, both meat/dairy companies, as well as those dedicated to the development of vegan products, will be able to apply the results of the project to the development of more palatable, nutritious, and healthy foods.</t>
  </si>
  <si>
    <t xml:space="preserve">EMPLEO DE TECNICAS AVANZADAS PARA EL ESTUDIO DE LA PERCEPCION SENSORIAL Y RESPUESTA FISIOLOGICA A LA INGESTA DE PRODUCTOS VEGANOS COMO SUSTITUTOS DE ALIMENTOS DE ORIGEN ANIMAL</t>
  </si>
  <si>
    <t xml:space="preserve">grant.14855033</t>
  </si>
  <si>
    <t xml:space="preserve">University of Extremadura</t>
  </si>
  <si>
    <t xml:space="preserve">Badajoz</t>
  </si>
  <si>
    <t xml:space="preserve">LOS ALIMENTOS DE ORIGEN ANIMAL SON COMPONENTES ESENCIALES DE UNA DIETA EQUILIBRADA DEBIDO AL APORTE DE PROTEINA DE ALTO VALOR BIOLOGICO, VITAMINAS DEL GRUPO B Y OTROS MICRONUTRIENTES ESENCIALES. ADEMAS DEL APORTE NUTRICIONAL, EL IMPACTO QUE EL CONSUMO DE ESTOS ALIMENTOS TIENE SOBRE EL BIENESTAR EMOCIONAL Y ESTADO DE ANIMO, ESTA AMPLIAMENTE DOCUMENTADO. EXISTE, SIN EMBARGO, UNA CRECIENTE NUMERO DE PERSONAS QUE DECIDE EXCLUIR LOS ALIMENTOS DE ORIGEN ANIMAL DE SU DIETA ADUCIENDO ASPECTOS MORALES (ASOCIAN PRODUCCION CARNICA CON SUFRIMIENTO ANIMAL), MEDIOAMBIENTALES (ASOCIAN PRODUCCION ANIMAL CON CONTAMINACION Y FALTA DE SOSTENIBILIDAD), RELACIONADOS CON LA SALUD (ASOCIAN CONSUMO DE CARNE Y LECHE CON PATOLOGIAS) O SIMPLEMENTE HEDONICOS (NO LES GUSTA COMER CARNE/LECHE Y DERIVADOS). ESTOS CONSUMIDORES, OPTAN, EN OCASIONES, POR CONSUMIR LO QUE SE DENOMINAN COMO ANALOGOS CARNICOS (SEITAN, TOFU, ETC.) Y/O LACTEOS (BEBIDAS DE ALMENDRAS, AVENA, SOJA ETC.). ESTOS PRODUCTOS, ELABORADOS A PARTIR DE MATERIAS VEGETALES (TRIGO, SOJA, AVENA ) SON SOMETIDOS A UN PROCESO DE TRANSFORMACION INDUSTRIAL, CON EL OBJETO DE SIMULAR LA APARIENCIA, TEXTURA Y FLAVOR DE LOS ALIMENTOS DE ORIGEN ANIMAL. ALGUNOS CONSUMIDORES (VEGANOS) INTRODUCEN EN LA DIETA ESTOS PRODUCTOS COMO SUSTITUTOS DE LOS ALIMENTOS DE ORIGEN ANIMAL. DE ACUERDO CON NUESTRA HIPOTESIS DE PARTIDA, ESTOS PRODUCTOS NO TENDRIAN EL MISMO IMPACTO EN LA DIETA QUE EL QUE TIENEN LOS ALIMENTOS GENUINOS (CARNE, LECHE Y DERIVADOS), NI DESDE EL PUNTO DE VISTA SENSORIAL, NI NUTRICIONAL, NI HEDONICO, NI TAMPOCO RESPECTO AL IMPACTO QUE ESTOS TIENEN SOBRE LA SALUD. PARA COMPROBAR LA VEROSIMILITUD DE ESTA HIPOTESIS, EL PRESENTE PROYECTO ESTA CONCEBIDO PARA ANALIZAR LA IDONEIDAD DE LA SUSTITUCION DE LA CARNE, LA LECHE Y DERIVADOS, POR DIVERSOS ANALOGOS CARNICOS Y LACTEOS, EN UNA DIETA EQUILIBRADA. SE EVALUARA EL EFECTO DEL CONSUMO DE DICHOS PRODUCTOS (ALIMENTOS ORIGEN ANIMAL VS. PRODUCTOS VEGANOS) SOBRE LA PERCEPCION SENSORIAL Y LA SALUD DE LOS CONSUMIDORES UTILIZANDO TECNICAS ANALITICAS AVANZADAS. EN ESTE SENTIDO, SE PLANTEA EL EMPLEO DE TECNICAS SENSORIALES INNOVADORAS (CATA, DINAMICAS, EMOCIONES ) PARA ANALIZAR LA RESPUESTA HEDONICA Y EMOCIONAL AL CONSUMO DE ESTOS ALIMENTOS. POR OTRO LADO, SE APLICARAN TECNICAS OMICAS (PROTEOMICA, METABOLOMICA Y METAGENOMICA) PARA EVALUAR LA RESPUESTA FISIOLOGICA E IMPACTO SOBRE LA SALUD DEL CONSUMO DE ESTOS ALIMENTOS EN HUMANOS Y ANIMALES DE EXPERIMENTACION. LA EJECUCION DE ESTE PROYECTO PROPORCIONARA RESULTADOS DE INDISCUTIBLE INTERES CIENTIFICO, INDUSTRIAL Y SOCIAL, DONDE, ADEMAS, SE CONSIDERARA DE FORMA MUY PARTICULAR LA PERSPECTIVA DE GENERO. LA PROPUESTA CUENTA CON UN EQUIPO MULTIDISCIPLINAR FORMADO POR VETERINARIOS EXPERTOS EN CIENCIA DE LOS ALIMENTOS, Y MEDICOS, Y EL APOYO EXPLICITO DE DOS Y ALGUNAS DE LAS PRINCIPALES EMPRESAS CARNICAS Y LACTEAS DEL PAIS. GRACIAS A LOS RESULTADOS DEL PRESENTE PROYECTO, TANTO PROFESIONALES DE LA SALUD Y LA NUTRICION, ASI COMO LOS PROPIOS CONSUMIDORES, TENDRAN A SU DISPOSICION EVIDENCIAS CIENTIFICAS QUE LES PERMITAN TOMAR DECISIONES RAZONADAS SOBRE EL CONSUMO DE ALIMENTOS DE ORIGEN ANIMAL Y/O SUS CORRESPONDIENTES ANALOGOS DE ORIGEN VEGETAL. ASI MISMO, TANTO EMPRESAS CARNICAS/LACTEAS, COMO LAS DEDICADAS AL DESARROLLO DE PRODUCTOS VEGANOS, PODRAN APLICAR LOS RESULTADOS DEL PROYECTO PARA EL DESARROLLO DE ALIMENTOS MAS APETECIBLES, NUTRITIVOS, Y SALUDABLES.</t>
  </si>
  <si>
    <t xml:space="preserve">More than just meat: Communication for hybrid products</t>
  </si>
  <si>
    <t xml:space="preserve">Hybrid products, composed of meat and plant-based ingredients, show promise for the protein transition. Previous supermarket introductions failed, partly due to unclear communication. Research indicates support for plant-based substitutes for animal ingredients, but emphasis on 'less meat' harms product appreciation. This research aims to determine optimal communication levels for hybrid products, ranging from fully to subtly informative about their hybrid nature. The project assesses impacts on attitudes, purchase intent, attention, emotions, and appreciation. The team includes the Purposeful Marketing lectorate at The Hague University of Applied Sciences, Olijck Foods (consortium partner), Radboud University, the Consumentenbond, ProVeg, and North Sea Farmers.</t>
  </si>
  <si>
    <t xml:space="preserve">Meer dan alleen vlees: Communicatie voor hybride producten</t>
  </si>
  <si>
    <t xml:space="preserve">https://www.nwo.nl/en/projects/foodkiem01013</t>
  </si>
  <si>
    <t xml:space="preserve">grant.14368895</t>
  </si>
  <si>
    <t xml:space="preserve">KIEM GoFood 2024-2025 (Research programme)</t>
  </si>
  <si>
    <t xml:space="preserve">Hybrids</t>
  </si>
  <si>
    <t xml:space="preserve">Unravelling the potential of the wheat microbiome for the development of healthier, more sustainable and resilient wheat-derived food &amp; feed products</t>
  </si>
  <si>
    <t xml:space="preserve">Current food production systems face many challenges (climate change, rampant demographic development) and new sustainable approaches are urgent. Wheat is a central crop in Europe and soil and plant microbial communities are of particular interest in wheat crops since (1) they are crucial solutions for restoring soils and protecting the crops and wheat-derived products against pathogens; (2) they play a key role in regulating plant metabolisms and, thus, the quality and properties of crops; and (3) they can be promising producers for a wide range of nutritional and healthy food and feed products. However, more studies on wheat microbiomes are needed as the current data is scarce. 
The WHEATBIOME project will contribute in the understanding of the role of the wheat microbiome on sustainable development by undertaking cutting-edge research with strong collaboration between academia, industry, food system actors and governmental authorities distributed along 6 EU countries, and will explore the role of microbiomes in wheat production systems in a broad approach from soil to plate to:
•	Understand the effect of biotic/abiotic factors on wheat microbiomes with 2 case studies and a lab-scale demonstrator.
•	Unravel the soil-plant microbiome cross-talking on wheat metabolism and nutritional quality, and deliver sustainable farming practices for resilient and nutritious wheat crops via a new decision support system (DSS).
•	Discover new fermentation capacities within indigenous wheat microbiomes and develop novel foods and feeds.
•	Study the role of microbial fermentations in food/feed quality and reduce food waste by recirculating wheat by-products.
•	Determine the interactions between wheat (prebiotics, probiotics, bioactive compounds, immunogenic proteins, etc.) and the human/animal microbiota, and its effect on human and animal health.
•	Assess the perception of food system actors and citizens about microbiomes within food systems.</t>
  </si>
  <si>
    <t xml:space="preserve">https://cordis.europa.eu/project/id/101084344</t>
  </si>
  <si>
    <t xml:space="preserve">grant.13029443</t>
  </si>
  <si>
    <t xml:space="preserve">Rede de Química e Tecnologia; University of Veterinary Medicine; Warsaw University of Life Sciences; University of Valencia; Contactica; Universidade Nova de Lisboa; University of Porto; Institute of Agricultural and Food Biotechnology; Universidade de Vigo; Wageningen University &amp; Research</t>
  </si>
  <si>
    <t xml:space="preserve">Porto; Budapest; Warsaw; Valencia; Madrid; Lisbon; Porto; Warsaw; Vigo; Wageningen</t>
  </si>
  <si>
    <t xml:space="preserve">Food Systems</t>
  </si>
  <si>
    <t xml:space="preserve">Development of strategies for encapsulating bioactive protein hydrolysates and special health-promoting oils in double vegetable emulsions</t>
  </si>
  <si>
    <t xml:space="preserve">Current food emulsions will be replaced by double emulsions containing bioactive compounds. Today, food is seen as a way to promote consumer health and contribute to a more sustainable world. However, to respond to the current trend toward consuming plant-based foods, efforts have been made to identify sources of plant protein that meet the desired functions. Among the large number of existing plant proteins, legume proteins are of particular interest in the food industry due to their high abundance, low cost, sustainability, low allergenicity, nutritional benefits, positive consumer perception and good functional attributes. Among the different existing encapsulation techniques, double emulsions have advantages such as (i) the possibility of incorporating both water-soluble and fat-soluble bioactive ingredients; (ii) great versatility as a food matrix; (III) HIGH ENCAPSULATION EFFICIENCY TO ACHIEVE PROPER FUNCTION. THESE PRODUCTS WOULD HAVE FULL CONSUMER ACCEPTANCE IF THE OILY PHASE EMPLOYED HAD A HEALTHY EFFECT ON THE FINAL PRODUCT, AS IS THE CASE OF BIOACTIVE OILS. However, BOTH THE BIOSTABILITY AND BIOAVAILABILITY OF THESE COMPOUNDS ARE CRUCIAL TO ENSURE THE MAINTENANCE OF THEIR PHYSIOLOGICAL BENEFITS (BIOACTIVITY). THE ENCAPSULATION OF BIOACTIVES IS A VERY INTERESTING ALTERNATIVE TO PROTECT THEM FROM DEGRADATION DURING STORAGE AND DIGESTION. HOWEVER, THIS IS A GREAT CHALLENGE THAT REQUIRES THOROUGH RESEARCH. In this regard, special emphasis will be placed on the design of the interfacial films of the emulsions (including promoting interfacial cross-linking). These interfaces play a decisive role in stabilizing the emulsions, also helping to protect the properties of the encapsulated compounds during the digestion process, as well as achieving a controlled release at the required point in the digestive tract (covering both physical changes during swallowing and chemical changes due to digestion conditions). For this purpose, the physiological conditions of digestion established in the InfoGest protocol will be used. This project includes everything from product design to aspects related to interface properties, evaluating effects at the macro, micro, and nano scales. This project will involve a multidisciplinary team that combines knowledge in biochemistry, colloid science, and food processing techniques to take a pioneering step in this field. The results of this proposal are in line with the products that consumers currently demand: natural, protein-rich, healthy, nutritious, environmentally friendly, and sustainable foods. THEREFORE, THE FOOD SECTOR, THROUGH TECHNOLOGY, MUST FIND NEW SOURCES OF PROTEIN THAT OFFER A SATISFACTORY RESPONSE TO CONSUMERS, CONSIDERING THE NUTRITIONAL QUALITY OF VEGETABLE PROTEINS.</t>
  </si>
  <si>
    <t xml:space="preserve">DESARROLLO DE ESTRATEGIAS PARA EL ENCAPSULADO DE HIDROLIZADOS DE PROTEINAS BIOACTIVAS Y ACEITES ESPECIALES QUE PROMUEVEN LA SALUD EN EMULSIONES DOBLES VEGETALES</t>
  </si>
  <si>
    <t xml:space="preserve">grant.14863226</t>
  </si>
  <si>
    <t xml:space="preserve">University of Seville</t>
  </si>
  <si>
    <t xml:space="preserve">Seville</t>
  </si>
  <si>
    <t xml:space="preserve">LAS EMULSIONES ALIMENTARIAS ACTUALES SE REEMPLAZARAN POR EMULSIONES DOBLES QUE CONTIENEN COMPUESTOS BIOACTIVOS. HOY EN DIA SE CONSIDERA A LOS ALIMENTOS COMO UNA FORMA DE PROMOVER LA SALUD DEL CONSUMIDOR Y CONTRIBUIR A UN MUNDO MAS SOSTENIBLE. SIN EMBARGO, PARA RESPONDER A LA TENDENCIA ACTUAL DEL CONSUMO DE ALIMENTOS DE ORIGEN VEGETAL, SE HA HECHO UN ESFUERZO POR IDENTIFICAR FUENTES DE PROTEINAS VEGETALES QUE CUMPLAN CON LAS FUNCIONALIDADES DESEADAS. ENTRE LA GRAN CANTIDAD DE LAS PROTEINAS VEGETALES EXISTENTES, LAS PROTEINAS DE LAS LEGUMINOSAS SON DE PARTICULAR INTERES EN LA INDUSTRIA ALIMENTARIA DEBIDO A SU GRAN ABUNDANCIA, BAJO COSTO, SOSTENIBILIDAD, BAJA ALERGENICIDAD, BENEFICIOS NUTRICIONALES, PERCEPCION POSITIVA DEL CONSUMIDOR Y BUENOS ATRIBUTOS FUNCIONALES. ENTRE LAS DIFERENTES TECNICAS DE ENCAPSULACION EXISTENTES, LAS EMULSIONES DOBLES PRESENTAN VENTAJAS COMO (I) LA POSIBILIDAD DE INCORPORAR INGREDIENTES BIOACTIVOS TANTO HIDROSOLUBLES COMO LIPOSOLUBLES; (II) UNA GRAN VERSATILIDAD COMO MATRIZ ALIMENTARIA; Y (III) ALTA EFICIENCIA DE ENCAPSULACION PARA LOGRAR UNA FUNCION ADECUADA. ESTOS PRODUCTOS CONTARIAN CON LA COMPLETA ACEPTACION DE LOS CONSUMIDORES SI LA FASE OLEOSA EMPLEADA TUVIERA UN EFECTO SALUDABLE EN EL PRODUCTO FINAL, COMO ES EL CASO DE LOS ACEITES BIOACTIVOS. SIN EMBARGO, TANTO LA BIOESTABILIDAD COMO LA BIODISPONIBILIDAD DE ESTOS COMPUESTOS SON CRUCIALES PARA ASEGURAR EL MANTENIMIENTO DE SUS BENEFICIOS FISIOLOGICOS (BIOACTIVIDAD). LA ENCAPSULACION DE BIOACTIVOS ES UNA ALTERNATIVA MUY INTERESANTE PARA PROTEGERLOS DE SU DEGRADACION DURANTE EL ALMACENAMIENTO Y LA DIGESTION. SIN EMBARGO, ESTE ES UN GRAN DESAFIO QUE REQUIERE UNA INVESTIGACION MINUCIOSA. EN ESTE SENTIDO, SE PONDRA ESPECIAL ENFASIS EN EL DISEÑO DE LAS PELICULAS INTERFACIALES DE LAS EMULSIONES (INCLUSO PROMOVIENDO EL ENTRECRUZAMIENTO INTERFACIAL). ESTAS INTERFASES EJERCEN UN PAPEL DECISIVO EN LA ESTABILIZACION DE LAS EMULSIONES, AYUDANDO ADEMAS A PROTEGER LAS PROPIEDADES DE LOS COMPUESTOS ENCAPSULADOS DURANTE EL PROCESO DE DIGESTION, ASI COMO LOGRAR UNA LIBERACION CONTROLADA EN EL PUNTO REQUERIDO DEL TRACTO DIGESTIVO (ABARCANDO TANTO CAMBIOS FISICOS DURANTE LA DEGLUCION COMO CAMBIOS QUIMICOS DEBIDO A LAS CONDICIONES DE DIGESTION). PARA ELLO, SE EMPLEARAN LAS CONDICIONES FISIOLOGICAS DE LA DIGESTION ESTABLECIDOS EN EL PROTOCOLO DE INFOGEST. ESTE PROYECTO CONTEMPLA DESDE EL DISEÑO DEL PRODUCTO HASTA LOS ASPECTOS RELACIONADOS CON LAS PROPIEDADES INTERFACIALES, EVALUANDO LOS EFECTOS A NIVEL MACRO, MICRO Y NANO ESCALAS. EN EL PRESENTE PROYECTO SE CONTARA CON UN EQUIPO MULTIDISCIPLINAR QUE COMBINA CONOCIMIENTOS EN BIOQUIMICA, CIENCIA COLOIDAL Y TECNICAS DE PROCESADO DE ALIMENTOS PARA DAR UN PASO PIONERO EN ESTE CAMPO. LOS RESULTADOS DE ESTA PROPUESTA ESTAN EN LINEA CON LOS PRODUCTOS QUE DEMANDAN LOS CONSUMIDORES ACTUALMENTE: ALIMENTOS NATURALES, RICOS EN PROTEINAS, SALUDABLES, NUTRITIVOS, RESPETUOSOS CON EL MEDIO AMBIENTE Y SOSTENIBLES. POR ELLO, EL SECTOR ALIMENTARIO, A TRAVES DE LA TECNOLOGIA, DEBE ENCONTRAR NUEVAS FUENTES DE PROTEINAS QUE OFREZCAN UNA RESPUESTA SATISFACTORIA A LOS CONSUMIDORES CONSIDERANDO LA CALIDAD NUTRICIONAL DE LAS PROTEINAS VEGETALES.</t>
  </si>
  <si>
    <t xml:space="preserve">The structure of pectins as a tool for modifying the physicochemical properties of pectin-protein gels</t>
  </si>
  <si>
    <t xml:space="preserve">Studies on the nutritional status of the population in Russia indicate nutritional disorders. Both excess energy intake with low micronutrient intake and macronutrient imbalances (excess fat or saturated fat and/or mono and disaccharides) are common. The prevalence of obesity has long been a global public health problem. Obese people are more likely to experience social stigma, which only worsens their psychological health and contributes to further weight gain. Currently, the need for a significant change in the diet of the population is being actively considered. At the same time, the observed trend towards a shift in emphasis towards the consumption of products of plant origin is not always effective. A promising direction in order to preserve and strengthen the health of the population is the creation of food products enriched with essential components that provide a complete balanced diet or complement an unbalanced diet. A modern area of food technology is the technology of 3D printing of food materials, which is associated with the creation of food products with new textural properties and potentially increased nutritional value. This approach is achieved through a synergistic combination of the main components of food (carbohydrates, proteins and fats). Plant proteins are a good alternative to animal proteins. They are low in calories and immunogenic. However, most isolated plant proteins have limited applications due to low functionality due to poor water solubility, heterogeneity, and sensitivity to pH, temperature, and the presence of salts. Modification of plant proteins by changing their physicochemical properties makes it possible to eliminate existing limitations and use them as part of multifunctional food systems. One effective strategy is to bind plant proteins to polysaccharides and create polysaccharide-protein gels, which allows changes in their microstructure and improves functional and rheological properties. To date, the interactions of polysaccharides with proteins of animal origin have been well studied. To create stable food gels based on plant proteins, polysaccharides of various origins are tested: bacterial, plant, animal, algae polysaccharides.
The goal of this project is to develop a scientific basis for the production of multicomponent gel materials based on plant proteins and pectin polysaccharides, which have functional and rheological properties superior to single-component gels. This is important for creating safe and high-quality food products, as well as technologies for producing food materials, including those suitable for 3D printing. Pectin polysaccharides, being anionic polysaccharides, have good emulsifying and gelling properties. Pectins are widely used as a food ingredient (EC code E440) in the production of jams and jellies, fruit juices, confectionery and bakery industries. The scientific novelty of this research lies in the modification of the physicochemical, including rheological properties of hydrogels and emulsion gels with pectin polysaccharides of various structures (rhamnogalacturonan, apiogalacturonan, galacturonan, xylogalacturonan, arabinogalactone). The diversity in the structure of pectins will make it possible to obtain food gel materials with different rheological characteristics based on them. The project is aimed at solving the problem of bioorganic chemistry associated with elucidating the mechanisms of interaction of proteins and polysaccharides in gel systems.</t>
  </si>
  <si>
    <t xml:space="preserve">http://www.rscf.ru/en/enprjcard?rid=25-26-00326</t>
  </si>
  <si>
    <t xml:space="preserve">grant.14704074</t>
  </si>
  <si>
    <t xml:space="preserve">Olga Patova</t>
  </si>
  <si>
    <t xml:space="preserve">Ural Branch of the Russian Academy of Sciences</t>
  </si>
  <si>
    <t xml:space="preserve">Yekaterinburg</t>
  </si>
  <si>
    <t xml:space="preserve">Functional Plant Proteins as Food Ingredients</t>
  </si>
  <si>
    <t xml:space="preserve">This research project investigates the complex molecular properties of lipoproteins in eggs that are important for food functions such as emulsification, foaming and gelation. There is still a lack of knowledge about how the specific molecular components in the eggs interact and how they can be replaced with plant-based ingredients. This understanding is essential to identify suitable plant proteins with similar properties and enable the development of egg substitutes based on plant proteins</t>
  </si>
  <si>
    <t xml:space="preserve">grant.13862169</t>
  </si>
  <si>
    <t xml:space="preserve">Innovation Fund Denmark</t>
  </si>
  <si>
    <t xml:space="preserve">Industrial researcher (Program)</t>
  </si>
  <si>
    <t xml:space="preserve">Dette forskningsprojekt undersøger de komplekse molekylære egenskaber af lipoproteiner i æg, der er vigtige for fødevarefunktioner som emulgering, skumdannelse og gelering. Der mangler stadig viden om, hvordan de specifikke molekylære komponenter i æggene interagerer, og hvordan de kan erstattes med plantebaserede ingredienser. Denne forståelse er afgørende for at identificere passende planteproteiner med lignende egenskaber og muliggøre udviklingen af æggesubstitutter baseret på planteproteiner</t>
  </si>
  <si>
    <t xml:space="preserve">Effect of different plant protein sources on the stucture of nanofibrils revealed by scattering</t>
  </si>
  <si>
    <t xml:space="preserve">Purpose and goal: 
We wanted in this project to investigate how to create a texture in a food application by spinning plant-based protein nanofibrils (PNFs) into micro-thick threads. X-ray facilities, able us to study how the fibrils align in a flow cell. With the help of SAXS measurements, the goal was to gain a deeper understanding of which conditions generate optimal alignment of the PNFs and the best conditions for creating long and stable threads. Complementary secondary structure analyzes were performed using WAXS. Promising results from both of these techniques were collected at P03 DESY. 
Expected results and effects: 
After one month of preparation, extraction of large amounts of protein, and assembling the protein into nanofibrils, were we able to perform our analysis at DESY, Hamburg. The initial analyzes of the massive amount of data we managed to collect, shows that our experiments were successful. The results show that we succeeded in creating an alignment of our plant-based PNFs, which with a deeper analysis will give us an increased knowledge of how we can use flow cell technology to create micrometer-thick threads. The plan is that these results will be included in three different articles. 
Approach and implementation: 
We examined four morphologically different PNFs´ ability to align in a flow cell. The fibrils were generated from two different sustainable food-related protein sources mung bean (long curly) and whey (long straight, short straight, short curly). We investigated the alignment at several different sheath flows, in 3 different flow cells. The internal structure analysis was made with WAXS. After returning from DESY, several of us have attended a workshop together with an expert on how to analyze the data. At the time of writing, the data is still being analyzed.</t>
  </si>
  <si>
    <t xml:space="preserve">https://www.vr.se/swecris.html#/project/2020-00834_Vinnova</t>
  </si>
  <si>
    <t xml:space="preserve">grant.9242931</t>
  </si>
  <si>
    <t xml:space="preserve">40103:Livsmedelsvetenskap, Food Science (SCB); 4:Lantbruksvetenskap och veterinärmedicin, Agricultural and Veterinary Sciences (SCB); 401:Jordbruksvetenskap, Agriculture, Forestry and Fisheries (SCB)</t>
  </si>
  <si>
    <t xml:space="preserve">Multi-product biorefinery of seaweed using green solvents: SeaSolv</t>
  </si>
  <si>
    <t xml:space="preserve">An innovative and environmental-friendly technique using deep eutectic solvents (DESs) will be developed for a multiproduct biorefinery of seaweeds (phycocolloids, proteins, and lipids). The project will focus on the development and optimization of the process by knowing and controlling the interaction DES-seaweed and DES-product. Therefore, the combination of pre-treatments-extraction/fractionation- final product properties for the selected macroalgal biomass will be investigated. DESs physical properties will be characterized as well, for a better understanding of the DES-Biomass interactions and their impact on the final product. In the project the techno-functional properties of the extracted products for food applications will be determined and a techno-economic evaluation of the optimal process at manufacturing scale will be provided</t>
  </si>
  <si>
    <t xml:space="preserve">grant.12924032</t>
  </si>
  <si>
    <t xml:space="preserve">A.K. Kazbar, W.N. Reynaga Navarro, I.H. Hiemstra</t>
  </si>
  <si>
    <t xml:space="preserve">2022-09-01</t>
  </si>
  <si>
    <t xml:space="preserve">Assessment of functionality and bio-accessibility of microalgae proteins – impact of novel food processing</t>
  </si>
  <si>
    <t xml:space="preserve">grant.9603767</t>
  </si>
  <si>
    <t xml:space="preserve">Luís Pedro Lima Machado</t>
  </si>
  <si>
    <t xml:space="preserve">University of Minho; University of Salerno</t>
  </si>
  <si>
    <t xml:space="preserve">Braga; Fisciano</t>
  </si>
  <si>
    <t xml:space="preserve">Unraveling the mechanisms responsible for plant protein-starch interactions under relevant food processing conditions</t>
  </si>
  <si>
    <t xml:space="preserve">There is an urgent need to provide novel, sustainable, and climate-friendly food solutions capable of feeding the world's growing population. Government, science, and society emphasize the need to increase plant protein in our diets to make them more sustainable and healthy. To this end, changes in global food systems are necessary. The successful integration of alternative protein sources into new and existing processes to develop sustainable and resilient supply chains is one of the most important challenges facing the food industry. Incorporating new plant-based protein-rich ingredients into foods requires a deep understanding of their functionality during processing and their interactions with other ingredients in the food matrix before they can be efficiently used. We should not study these proteins in isolation, but rather within the complexity of a food matrix using a soft-matter approach. THEREFORE, THIS PROJECT SEEKS TO DECIPHER THE MECHANISMS BEHIND THE INTERACTIONS BETWEEN PLANT PROTEINS AND STARCH, A BASIC COMPONENT IN MANY FOOD MATRICES, AND THEIR CONSEQUENCES ON STRUCTURING DURING PROCESSING. The contribution of the structures formed during digestion of these matrices to achieving healthier plant-based products will also be investigated. 
The overall objective of the project is to gain a fundamental understanding of how structures form between plant proteins and starch, and to ensure their proper integration into food systems. To successfully establish structure-function-digestion relationships in protein-starch systems, we will analyze them at various scales during their processing, achieving four specific objectives: deciphering the potential of plant proteins for creating structure under different processing conditions in protein-starch systems; understanding the effect of protein purification level on structure formation in these systems; understanding the effect of starch type on the structural properties of matrices with new plant proteins; and unraveling the role of the structures formed in their digestibility. TO ARRIVE AT A MECHANICIAL UNDERSTANDING OF ALL THE MOLECULAR AND SUPRAMOLECULAR CHANGES AND INTERACTIONS THAT OCCUR DURING THE PROCESSING OF THESE SYSTEMS, UNDER RELEVANT CONDITIONS, AN INTERDISCIPLINARY APPROACH IS NEEDED, INVOLVING PROTEOMICS, GLYCOMICS AND PHYSICAL CHEMISTRY TOOLS. BY KNOWING SUCH FINE DETAILS IN THE FORMATION OF THE STRUCTURE, USING COMPLEMENTARY INTERDISCIPLINARY ANALYTICAL TOOLS, THAT COVER DIFFERENT STRUCTURAL LEVELS, IT IS POSSIBLE TO CREATE TECHNICAL MODELS AND DIAGRAMS TO PREDICT HOW THESE INGREDIENTS OF PLANT ORIGIN USED IN FOOD ARE STRUCTURED AND ACHIEVE UNIVERSAL PRINCIPLES. These models can help the food industry design more functional foods with improved texture and fiber content, better nutritional quality, and longer shelf life. The results will help correlate the structure of new complex plant-based matrices with their macroscopic observations. These results could help process plant materials to their full potential and guide consumers toward a more sustainable plant-based diet.</t>
  </si>
  <si>
    <t xml:space="preserve">DESENMARAÑANDO LOS MECANISMOS RESPONSABLES DE LAS INTERACCIONES PROTEINA VEGETAL-ALMIDON DURANTE CONDICIONES RELEVANTES DE PROCESADO ALIMENTARIO</t>
  </si>
  <si>
    <t xml:space="preserve">grant.14864062</t>
  </si>
  <si>
    <t xml:space="preserve">University of Valladolid</t>
  </si>
  <si>
    <t xml:space="preserve">Valladolid</t>
  </si>
  <si>
    <t xml:space="preserve">EXISTE UNA NECESIDAD URGENTE DE OFRECER SOLUCIONES ALIMENTARIAS NOVEDOSAS, SOSTENIBLES Y RESPETUOSAS CON EL CLIMA, CAPACES DE ALIMENTAR A LA CRECIENTE POBLACION MUNDIAL. LA ADMINISTRACION, LA CIENCIA Y LA SOCIEDAD SUBRAYAN LA NECESIDAD DE INCREMENTAR LAS PROTEINAS VEGETALES EN NUESTRA DIETA PARA HACERLA MAS SOSTENIBLE Y SALUDABLE. PARA ESTE FIN SON NECESARIOS CAMBIOS EN LOS SISTEMAS ALIMENTARIOS GLOBALES. LA CORRECTA INTEGRACION DE FUENTES ALTERNATIVAS DE PROTEINAS EN PROCESOS NUEVOS Y EXISTENTES, PARA DESARROLLAR CADENAS DE SUMINISTRO SOSTENIBLES Y RESILIENTES, ES UNO DE LOS DESAFIOS MAS IMPORTANTES A LOS QUE SE ENFRENTA LA INDUSTRIA ALIMENTARIA. LA INCORPORACION DE NUEVOS INGREDIENTES RICOS EN PROTEINAS VEGETALES EN ALIMENTOS REQUIERE UNA COMPRENSION PROFUNDA DE SU FUNCIONALIDAD DURANTE EL PROCESADO Y LAS INTERACCIONES CON OTROS INGREDIENTES EN LA MATRIZ ALIMENTARIA ANTES DE QUE PUEDAN USARSE DE FORMA EFICIENTE. NO DEBEMOS ESTUDIAR ESTAS PROTEINAS DE FORMA AISLADA, SINO EN LA COMPLEJIDAD DE UNA MATRIZ ALIMENTARIA UTILIZANDO UN ENFOQUE DE SOFT MATTER . POR ELLO, ESTE PROYECTO TRATA DE DESCIFRAR LOS MECANISMOS DETRAS DE LAS INTERACCIONES ENTRE LAS PROTEINAS DE ORIGEN VEGETAL Y EL ALMIDON, COMPONENTE BASICO EN MUCHAS MATRICES ALIMENTARIAS, Y SUS CONSECUENCIAS EN LA ESTRUCTURACION DURANTE EL PROCESADO. TAMBIEN SE INVESTIGARA LA CONTRIBUCION DE LAS ESTRUCTURAS FORMADAS EN LA DIGESTION DE ESTAS MATRICES PARA CONSEGUIR PRODUCTOS DE ORIGEN VEGETAL MAS SALUDABLES. 
EL OBJETIVO GENERAL DEL PROYECTO ES OBTENER ENTENDIMIENTO FUNDAMENTAL ACERCA DE LA FORMACION DE ESTRUCTURAS ENTRE PROTEINAS VEGETALES Y ALMIDON, Y GARANTIZAR SU CORRECTA INTEGRACION EN SISTEMAS ALIMENTARIOS. PARA ESTABLECER CON EXITO RELACIONES ESTRUCTURA-FUNCION-DIGESTION DE LOS SISTEMAS PROTEINA-ALMIDON, LOS ANALIZAREMOS A VARIAS ESCALAS DURANTE SU PROCESADO, LOGRANDO 4 OBJETIVOS ESPECIFICOS: DESCIFRAR EL POTENCIAL DE LAS PROTEINAS VEGETALES PARA LA CREACION DE LA ESTRUCTURA DURANTE DISTINTAS CONDICIONES DE PROCESADO DE LOS SISTEMAS PROTEINA-ALMIDON; COMPRENDER EL EFECTO DEL NIVEL DE PURIFICACION DE LAS PROTEINAS EN LA FORMACION DE LA ESTRUCTURA EN ESTOS SISTEMAS; ENTENDER EL EFECTO DEL TIPO DE ALMIDON EN LAS PROPIEDADES ESTRUCTURALES DE MATRICES CON NUEVAS PROTEINAS VEGETALES Y; DESENTRAÑAR EL PAPEL DE LAS ESTRUCTURAS FORMADAS EN LA DIGESTIBILIDAD DE LAS MISMAS. 
PARA LLEGAR A UNA COMPRENSION MECANICISTA DE TODOS LOS CAMBIOS E INTERACCIONES MOLECULARES Y SUPRAMOLECULARES QUE OCURREN DURANTE EL PROCESADO DE ESTOS SISTEMAS, EN CONDICIONES RELEVANTES, SE NECESITA UN ENFOQUE INTERDISCIPLINAR, EN EL QUE PARTICIPEN HERRAMIENTAS DE PROTEOMICA, GLUCOMICA Y FISICOQUIMICA. AL CONOCER DETALLES TAN FINOS EN LA FORMACION DE LA ESTRUCTURA, UTILIZANDO HERRAMIENTAS ANALITICAS INTERDISCIPLINARES COMPLEMENTARIAS, QUE ABARCAN DIFERENTES NIVELES ESTRUCTURALES, ES POSIBLE CREAR MODELOS Y DIAGRAMAS TECNICOS PARA PREDECIR COMO SE ESTRUCTURAN ESTOS INGREDIENTES DE ORIGEN VEGETAL USADOS EN LOS ALIMENTOS Y ALCANZAR PRINCIPIOS UNIVERSALES. ESTOS MODELOS PUEDEN SERVIR A LA INDUSTRIA ALIMENTARIA PARA DISEÑAR ALIMENTOS MAS FUNCIONALES, CON TEXTURA Y FIBROSIDAD MEJORADAS, MEJOR CALIDAD NUTRICIONAL O MAYOR VIDA UTIL. LOS RESULTADOS AYUDARAN A CORRELACIONAR LA ESTRUCTURACION DE NUEVAS MATRICES COMPLEJAS DE ORIGEN VEGETAL CON SUS OBSERVACIONES MACROSCOPICAS. ESTOS RESULTADOS PODRIAN AYUDAR A PROCESAR MATERIALES VEGETALES EN TODO SU POTENCIAL Y ORIENTAR A LOS CONSUMIDORES HACIA UNA DIETA VEGETAL MAS SOSTENIBLE.</t>
  </si>
  <si>
    <t xml:space="preserve">Technology to detoxify oilseeds / fruit seeds that contain cyanogenic glycosides to upcycle and making them edible and usable in the food industry for the first time</t>
  </si>
  <si>
    <t xml:space="preserve">Millions of tons of oil seeds / fruit seeds, especially their protein-rich presscakes currently go to waste as they contain a too high amount of cyanogenic glycosides. As these naturally present substances are toxic at a certain level of consumption, these seed(-presscakes) currently cannot enter the food industry and are as a result being disposed. Kern Tec has developed a process to remove these cyanogenic substances and therefore detoxify the seeds which upcycles these raw materials from waste to superfood. The results are food safe seed(-presscakes) as a processable protein-powder that can be used as ingredients in the food industry in various applications where plant based proteins are demanded.</t>
  </si>
  <si>
    <t xml:space="preserve">https://cordis.europa.eu/project/id/190146991</t>
  </si>
  <si>
    <t xml:space="preserve">grant.13719676</t>
  </si>
  <si>
    <t xml:space="preserve">Clean Dairy Protein</t>
  </si>
  <si>
    <t xml:space="preserve">Purpose and goal: 
The problem that the intended innovation solves is the excessive use of milk in cheesemaking, rendering production of cheese one of the key environmental culprits in the food sector. The project’s main goal was to further develop an microbial production process for milk proteins, that is significantly more resource-efficient and sustainable. The milk proteins, it is envisaged, can be used in traditional dairy processing, primarily in cheesemaking, significantly reducing the milk required and have a much more cost-effective and environmentally friendly production process. 
Expected results and effects: 
The results of the project span several areas that were identified as the key challenges to tackle for the innovation to be implemented commercially. These were project management, food tech, biotech, commercialization and societal impact. The project successfully further the development of a microbial casein production process and increased understanding of consumer and societal impact of the innovation. The general public seem to be positive towards the implementation of the innovation and through a preliminary environmental study, there seems to be significant benefits. 
Approach and implementation: 
The project was divided into 5 focus areas that were identified as the most important to tackle in order to take innovation one step closer to commercialization. These were project planning, food tech, biotech, commercialization and social impact. We have worked with the development of GMO strains, computer simulations of large-scale production systems, environmental studies, consumer studies, expert interviews and had meetings and discussions with suppliers of raw materials in the fermentation process, food companies focusing on vegan products, dairies, and more.</t>
  </si>
  <si>
    <t xml:space="preserve">https://www.vr.se/swecris.html#/project/2019-04737_Vinnova</t>
  </si>
  <si>
    <t xml:space="preserve">grant.8834544</t>
  </si>
  <si>
    <t xml:space="preserve">Eric Öste</t>
  </si>
  <si>
    <t xml:space="preserve">Aventure (Sweden)</t>
  </si>
  <si>
    <t xml:space="preserve">2020-01-08</t>
  </si>
  <si>
    <t xml:space="preserve">40402:Genetik och förädling inom lantbruksvetenskap, Genetics and Breeding in Agricultural Sciences (SCB); 4:Lantbruksvetenskap och veterinärmedicin, Agricultural and Veterinary Sciences (SCB); 404:Bioteknologi med applikationer på växter och djur, Agricultural Biotechnology (SCB)</t>
  </si>
  <si>
    <t xml:space="preserve">Increased and market-adapted production of grain legumes in Norway to increase self-sufficiency of proteins for food and feed</t>
  </si>
  <si>
    <t xml:space="preserve">The project idea is based on the documented potential to increase domestic production of peas and faba bean to respond to the increasing market opportunities for plant protein commodities that are environmentally sound and healthy. This project aims to provide necessary knowledge, materials and tools for 1) future efficient breeding of grain legumes adapted to Norwegian conditions, and 2) solutions to main cultivation challenges to increase the production of grain legumes in Norway with good quality for food and feed. Moreover, further development of grain legume production will be important in a long-term and sustainable development of Norwegian agriculture, where optimal exploitation of the agricultural areas suitable for arable crops is urgent. The project takes a broad approach by including both management solutions to agronomic challenges based on varieties already available, and competence building to initiating breeding activities in Norway that will give progress in the long term. Both are urgent to successfully expand production of grain legumes in Norway. The project shall develop improved strategies for plant establishment, integrated pest management and harvesting that are important to improve both yield and quality. Core collections and breeding populations will be developed that are suited for Norwegian conditions to investigate genetic variability of important plant traits, and identify breeding goals and improved genotypes. Special focus will be put on quality traits and strategies through management and the choice of varieties to meet quality requirements for food and feed, including those for modern processing technologies. The project shall establish the Norwegian Protein Crop Forum to enable knowledge transfer within the entire supply chain, and to promote production and utilization of grain legumes in Norway.</t>
  </si>
  <si>
    <t xml:space="preserve">https://prosjektbanken.forskningsradet.no/en/project/FORISS/326701</t>
  </si>
  <si>
    <t xml:space="preserve">grant.9983347</t>
  </si>
  <si>
    <t xml:space="preserve">Anne Kjersti Uhlen</t>
  </si>
  <si>
    <t xml:space="preserve">Alternative PROteins from MIcrobial fermentation of non-conventional SEA sources for Next-Generation food, feed and non-food bio-based applications</t>
  </si>
  <si>
    <t xml:space="preserve">PROMISEANG is a 48-month project that aims to develop novel alternative proteins from marine underexploited sources (marine invertebrate and macroalgae discards and industrial biowastes) through biomass fermentation (solid-state and submerge processes), generating new microbial protein biomass, meeting market requirements for food, feed, and non-food (biomedicine, pharma and cosmetic) bio-based applications. A technically and economically viable biorefinery for microbial-based protein production will be demonstrated during the project, enabling higher production yields, reduced production periods, minimized environmental impacts, diminish the imports, and reduced production costs for proteins. PROMISEANG contributes to CBE JU with a translational, multidisciplinary and multi-actor approach, including cooperation between industries and academia across EU, to achieve a greener bio-based Europe. Following a zero-waste approach, PROMISEANG will also recover and biosynthesize interesting non-protein bio compounds and molecules (i.e., polysaccharides, lipids, polyphenols, PHA, etc.) for further use in food, feed and non-food applications. Research on novel protein streams from sustainable alternative sources will contribute to increase the protein availability in the EU, and reduce the actual dependency on imports. In short, PROMISEANG will upcycle of marine food wastes (WP2), apply innovative and sustainable technologies (incl. biotechnology, biochemistry, microbial fermentations, digital tools and machine learning, WP3), validate the nutritious, safety and bioactivities of protein products (WP4), valorise fermentation side streams through nanotechnology (WP5) and design, development and validation of food, feed and non-food products in relevant environments (WP6) including improvement of environmental, economic and social aspects, and production-efficiency performances (WP7), and strong communication, dissemination and exploitation plans (WP8).</t>
  </si>
  <si>
    <t xml:space="preserve">https://cordis.europa.eu/project/id/101112378</t>
  </si>
  <si>
    <t xml:space="preserve">grant.13718556</t>
  </si>
  <si>
    <t xml:space="preserve">Universidade de Vigo; Centre for innovative process engineering; University of Veterinary Medicine; Contactica; Biozoon (Germany); Spanish National Research Council; University of Lisbon; Institute of Agricultural and Food Biotechnology; International Iberian Nanotechnology Laboratory</t>
  </si>
  <si>
    <t xml:space="preserve">Vigo; Stuhr; Budapest; Madrid; Bremerhaven; Madrid; Lisbon; Warsaw; Braga</t>
  </si>
  <si>
    <t xml:space="preserve">Development of new bioactive and bioavailable ingredients from microalgae</t>
  </si>
  <si>
    <t xml:space="preserve">Microalgae are of great interest, not only from an environmental and sustainable perspective, but also for their nutritional value and the potential beneficial effects on health attributed to their consumption. Different strains of microalgae have emerged as promising natural sources of bioactive components. These compounds can be extracted from biomass or released extracellularly into the culture medium. Microalgae contain proteins in higher concentrations than many foods and also have a very balanced amino acid profile. This protein composition opens up new options for the generation of bioactive hydrolysates and peptides with potential benefits for human health. Furthermore, microalgae are an important source of bioactive lipids such as omega-3 polyunsaturated fatty acids and carotenoids. The role of omega-3 fatty acids in human nutrition is beyond dispute, but unfortunately, foods with nutritionally relevant amounts of these acids are rare. Finally, microalgae can also be a good source of carbohydrates with bioactive properties. Consumer preferences are increasingly leaning toward natural and healthy products, which has intensified the search for alternative sources of ingredients with bioactive potential that provide foods with enhanced nutritional quality. Based on this premise, Algactive's main objective is to obtain, through eco-sustainable technologies, microalgae extracts with bioactive components as a basis for the development of healthy foods based on these ingredients. First, the extracts from six different microalgae strains will be characterized. These fractions will be obtained through environmentally friendly extraction processes, utilizing all the microalgae biomass to generate the lowest possible waste. Extracts enriched in proteins, lipids, carbohydrates, and their derivatives will be analyzed in detail. The most suitable microalgae strains will then be selected based on the composition and potential bioactivity of their extracts. The cultivation process for the selected microalgae will be optimized through two-stage growth. The bioactivity, digestibility, and bioavailability of the extracts derived from them will be thoroughly assessed. In the final phase of this project, following microfluidification and safety assessment of the extracts, they will be incorporated into various foods (bakery products and dairy products). Finally, a study of the physical, chemical, sensory, and biological characteristics of these new foods will be carried out. The prospective results of Algactive will allow us to obtain food ingredients from bioactive extracts of microalgae, which will be available for the production of healthier foods for consumers.</t>
  </si>
  <si>
    <t xml:space="preserve">DESARROLLO DE NUEVOS INGREDIENTES BIOACTIVOS Y BIODISPONIBLES A PARTIR DE MICROALGAS</t>
  </si>
  <si>
    <t xml:space="preserve">grant.14855825</t>
  </si>
  <si>
    <t xml:space="preserve">LAS MICROALGAS TIENEN UN GRAN INTERES, NO SOLO DESDE UN PUNTO DE VISTA MEDIOAMBIENTAL Y SOSTENIBLE, SINO TAMBIEN POR SU VALOR NUTRICIONAL Y POR LOS POTENCIALES EFECTOS BENEFICIOSOS SOBRE LA SALUD ATRIBUIDOS A SU CONSUMO. DISTINTAS CEPAS DE MICROALGAS HAN DESTACADO COMO FUENTES NATURALES PROMETEDORAS DE COMPONENTES BIOACTIVOS. ESTOS COMPUESTOS PUEDEN SER EXTRAIDOS DE LA BIOMASA O, SER LIBERADOS EXTRACELULARMENTE AL MEDIO DE CULTIVO. LAS MICROALGAS CONTIENEN PROTEINAS EN CONCENTRACIONES SUPERIORES A MUCHOS ALIMENTOS Y, ADEMAS, CON UN PERFIL DE AMINOACIDOS MUY EQUILIBRADO. ESTA COMPOSICION PROTEICA ABRE NUEVAS OPCIONES PARA LA GENERACION DE HIDROLIZADOS Y PEPTIDOS BIOACTIVOS CON BENEFICIOS POTENCIALES PARA LA SALUD HUMANA. POR OTRO LADO, LAS MICROALGAS SON UNA FUENTE IMPORTANTE DE LIPIDOS BIOACTIVOS COMO ACIDOS GRASOS POLIINSATURADOS OMEGA-3 Y CAROTENOIDES. EL PAPEL DE LOS ACIDOS GRASOS OMEGA-3 EN LA NUTRICION HUMANA ESTA FUERA DE DISCUSION, PERO DESAFORTUNADAMENTE NO ABUNDAN LOS ALIMENTOS QUE POSEAN CANTIDADES NUTRICIONALMENTE RELEVANTES DE LOS MISMOS. POR ULTIMO, LAS MICROALGAS TAMBIEN PUEDEN SER UNA BUENA FUENTE DE CARBOHIDRATOS CON PROPIEDADES BIOACTIVAS. LAS PREFERENCIAS DE LOS CONSUMIDORES SE DECANTAN CADA VEZ MAS POR PRODUCTOS NATURALES Y SALUDABLES, LO CUAL HA INTENSIFICADO LA BUSQUEDA DE FUENTES ALTERNATIVAS DE INGREDIENTES CON POTENCIAL BIOACTIVO QUE PROPORCIONEN A LOS ALIMENTOS UNA CALIDAD NUTRICIONAL REFORZADA. DE ACUERDO A ESTA PREMISA, EL OBJETIVO PRINCIPAL DE ALGACTIVE ES OBTENER, A TRAVES DE TECNOLOGIAS ECO-SOSTENIBLES, EXTRACTOS DE MICROALGAS CON COMPONENTES BIOACTIVOS COMO BASE PARA EL DESARROLLO DE ALIMENTOS SALUDABLES BASADOS EN DICHOS INGREDIENTES. EN PRIMER LUGAR, SE LLEVARA A CABO UNA CARACTERIZACION DE LOS EXTRACTOS DE SEIS CEPAS DIFERENTES DE MICROALGAS. ESTAS FRACCIONES SE OBTENDRAN A TRAVES DE PROCESOS DE EXTRACCION RESPETUOSOS CON EL MEDIO AMBIENTE Y SE APROVECHARA TODA LA BIOMASA DE LAS MICROALGAS PARA GENERAR EL MENOR RESIDUO POSIBLE. LOS EXTRACTOS ENRIQUECIDOS EN PROTEINAS, LIPIDOS, CARBOHIDRATOS Y SUS DERIVADOS SE ANALIZARAN DETALLADAMENTE. A CONTINUACION, SE LLEVARA A CABO UNA SELECCION DE LAS CEPAS DE MICROALGAS MAS IDONEAS EN BASE A LA COMPOSICION Y A LA POTENCIAL BIOACTIVIDAD DE SUS EXTRACTOS. EL PROCEDIMIENTO DE CULTIVO DE LAS MICROALGAS SELECCIONADAS SE OPTIMIZARA, LLEVANDO A CABO UN CRECIMIENTO EN DOS ETAPAS, Y SE VALORARA EXHAUSTIVAMENTE LA BIOACTIVIDAD, LA DIGESTIBILIDAD Y BIODISPONIBILIDAD DE LOS EXTRACTOS DERIVADOS DE LAS MISMAS. EN LA ULTIMA FASE DE ESTE PROYECTO, TRAS LA MICROFLUIDIFICACION Y LA EVALUACION DE LA SEGURIDAD DE LOS EXTRACTOS, SE INCORPORARAN LOS MISMOS A DISTINTOS ALIMENTOS (PRODUCTOS DE PANADERIA Y PRODUCTOS LACTEOS). FINALMENTE, EN ESTOS NUEVOS ALIMENTOS SE LLEVARA CABO UN ESTUDIO DE SUS CARACTERISTICAS FISICOQUIMICAS, SENSORIALES Y BIOLOGICAS. LOS RESULTADOS PROSPECTIVOS DE ALGACTIVE NOS PERMITIRAN OBTENER INGREDIENTES ALIMENTARIOS A PARTIR DE EXTRACTOS BIOACTIVOS DE MICROALGAS, QUE ESTARAN DISPONIBLES PARA LA FABRICACION DE ALIMENTOS MAS SALUDABLES PARA EL CONSUMIDOR.</t>
  </si>
  <si>
    <t xml:space="preserve">Multi-disciplinary network platform to assess value chain opportunity for plant-based protein by upcycling food wastes and improving food safety</t>
  </si>
  <si>
    <t xml:space="preserve">Evolving food demands require sustainable protein sources having minimal environmental impact and health benefits. Minimizing losses and contamination across the agri-food value chain should be considered in tandem to enhance resource efficiency and understand trade-offs. Regionally, rice and maize are primary sources of calories and contribute to the protein uptake but remains a major exposure route of Arsenic and other trace contaminants in Vietnam and associated countries in SE Asia. Moreover, there are considerable loss and waste across rice and maize value chains in this region contributing to the inefficient use of resources. The proposed network will support interdisciplinary collaboration between UK and Vietnam to (a) improve the resource efficiency by obtaining protein-rich fraction from rice and maize wastes and loss and (b) minimize soil/water contamination to prevent the uptake of Arsenic to deliver product safety. In tandem, detailed LCA based modeling will identify the key value chain complexity. Thus, upcycling rice and maize waste including reduction of Arsenic contamination can maximize value of renewable protein thereby further improve eco-efficiency and resilience. Price wise, proteins containing side-streams/by-products are 10-20x less compared to the corresponding market value of proteins concentrate/isolates. So, suitable biorefinery approaches for protein/bioactive isolation from the renewable biomass streams seems to be a commercially viable option. Value chain analysis and novel technology scouting will shape zero-waste valorization strategy to produce plant protein from by-products. This will deliver both high value food (from edible portion) and non-food (e.g. bioplastics, biopesticides, soil amendments, etc. from inedible portion) applications.</t>
  </si>
  <si>
    <t xml:space="preserve">https://europepmc.org/grantfinder/grantdetails?query=gid%3A"GCRFNGR7%5C1312"</t>
  </si>
  <si>
    <t xml:space="preserve">grant.13734335</t>
  </si>
  <si>
    <t xml:space="preserve">Ky Son Chu</t>
  </si>
  <si>
    <t xml:space="preserve">Hanoi University of Science and Technology</t>
  </si>
  <si>
    <t xml:space="preserve">Vietnam</t>
  </si>
  <si>
    <t xml:space="preserve">2021-06-15</t>
  </si>
  <si>
    <t xml:space="preserve">Academy of Medical Sciences</t>
  </si>
  <si>
    <t xml:space="preserve">Cultivating sustainable energy and empowering Swedish agriculture through a novel oil crop</t>
  </si>
  <si>
    <t xml:space="preserve">This project marks the beginning of a pioneering effort to develop a novel bio-based value chain for biofuel and proteins in Sweden. Swedish researchers are developing a native wild plant, field cress, into a resilient oilseed crop ideal for the Nordic region. The project aspires to introduce a novel crop to the Swedish agricultural system and improve the supply of renewable resources regionally. By improving field cress through modern breeding techniques, fine-tuning agricultural methods, and shaping a sustainable path to harness its potential, the project aims to generate a series of positive outcomes. Project partners with different expertise covering the entire value chain, from genetics and chemistry to system analysis and product development, ensure the success of the project. By generating renewable fatty acids for biofuels and protein for food and feed, this project will boost local agriculture, reduce carbon footprints, and contribute to a greener future.</t>
  </si>
  <si>
    <t xml:space="preserve">https://www.vr.se/swecris.html#/project/P2023-01029_Energi</t>
  </si>
  <si>
    <t xml:space="preserve">grant.13902296</t>
  </si>
  <si>
    <t xml:space="preserve">2023-12-01</t>
  </si>
  <si>
    <t xml:space="preserve">Development of a novel circular economy plant protein derivative as a readily digestible dietary ingredient to support healthy ageing</t>
  </si>
  <si>
    <t xml:space="preserve">Sarcopenia, or the decline of skeletal muscle tissue with age, is one of the most important causes of functional decline, frailty and loss of independence in older adults leading to increased hospitalizations and mortality rates. There will be ~2Bn people over the age of 65 by 2050 representing the world's fastest growing age-group with a corresponding increase of 68% in the incidence of sarcopenia. However, as life expectancy continues to increase, older demographics are likely to play more significant roles in societies and economies.
Adequate nutrition and targeted exercise remain the gold standard for the therapeutic treatment of sarcopenia. The annual cost to the NHS of treating age-related musculoskeletal decline is estimated at £5.7 billion (5% of net expenditure) and in the United States, sarcopenia has been estimated to have an economic burden related to health care expenditures of $18.5 billion per year. Commercially, the global sarcopenia treatments market size was estimated at $2.8 billion in 2022 and is projected to reach $3.8 billion by 2028, exhibiting a compound annual growth rate (CAGR) of ~4.7% during the forecast period.
Bell &amp; Loxton Innovations Ltd is addressing this growing health challenge by developing an easily digestible, sustainable plant-based food ingredient, that can be incorporated into normal food via fortification or as a standalone food supplement. The ability to digest various food groups decreases with age which is further compounded by the need to consume a greater amount of certain nutrient classes than a younger person to maintain health and strength. B&amp;LI is a circular economy company which innovates through extracting high-value biorenewables from abundant agri-food waste streams to create active ingredients of therapeutic and nutritional value. Our plant-based product will be made available to seniors to contribute towards a healthy diet that supports mobility and strength and prolongs independent living thereby reducing the burden on the NHS and the wider care system.</t>
  </si>
  <si>
    <t xml:space="preserve">https://gtr.ukri.org/projects?ref=10073099</t>
  </si>
  <si>
    <t xml:space="preserve">grant.14053190</t>
  </si>
  <si>
    <t xml:space="preserve">Peter Luebcke</t>
  </si>
  <si>
    <t xml:space="preserve">University of Plymouth</t>
  </si>
  <si>
    <t xml:space="preserve">Plymouth</t>
  </si>
  <si>
    <t xml:space="preserve">Fermentation strategies for obtaining more sustainable and tasty matured sausage analogues using mixtures of animal and plant protein sources.</t>
  </si>
  <si>
    <t xml:space="preserve">The consumption of meat products has been linked to various concerns, including environmental impact, animal welfare, and human health. These new trends have led to a significant increase in consumer interest in meat-free foods. However, the sustainability of the food production chain should not only be based on the total elimination of animal protein from food products, but can also be achieved by reducing animal protein consumption and maintaining traditional food products with the aim of achieving greater consumer acceptance. Current innovations in the meat sector focus on the production of meat analogues that mimic meat structure, despite the challenges of achieving good sensory acceptance. Thus, the majority of meat analogues currently marketed are burgers, fresh sausages, minced meat, and cooked meat analogues. However, the complexity of producing cured, aged products has led to a scarce supply of these analogues. In addition to texture-related problems, aroma and flavor are key to achieving the desired sensory properties in these products, especially meaty aroma and flavor, as well as preventing unpleasant plant aromas. The intrinsic characteristics of plant proteins make it difficult to reproduce the aroma of matured cured sausages, mainly due to their composition in terms of aroma precursors (amino acids, carbohydrates, and fatty acids). For this reason, optimizing the fermentation process (with partial replacement of animal proteins by textured vegetable proteins) and using new starter cultures (suitable for the fermentation of vegetable proteins) may be a suitable strategy for reproducing the fermented meat aroma in these meat analogue products. It is also necessary to control the formation of undesirable aroma compounds, including rancid and foreign aromas, that may be generated during processing, ripening or storage. The potential of plant ingredients in the preparation of fermented meat analogues is unlimited, but the ingredients, microbe cultures, and processes must be carefully designed to achieve a product with organoleptic characteristics that satisfy consumers. THUS, THE OBJECTIVE OF THIS PROJECT IS TO DEVELOP SAFE FERMENTED CURED SAUSAGE ANALOGUES WITH MEATY FLAVOURS, BY APPLYING STRATEGIES FOCUSED ON THE BLEND OF ANIMAL AND VEGETABLE PROTEIN SOURCES, AS WELL AS OPTIMAL FERMENTATION TECHNOLOGIES (PROCESSES AND STARTERS) IN ORDER TO IMPROVE THE SUSTAINABILITY OF THE MEAT INDUSTRY. TO ACHIEVE THIS GOAL, SEVERAL SPECIFIC OBJECTIVES ARE PROPOSED: 1) SELECTION OF TEXTURED VEGETABLE RESOURCES WITH POTENTIAL USE IN THE DEVELOPMENT OF FERMENTED MATURED SAUSAGE ANALOGUES; 2) Design of safe starters capable of hydrolyzing textured plant proteins, generating sufficient precursors of desirable aromas; 3) Obtaining safe and tasty analogues of ripened fermented sausages using textured plant sources mixed with or without animal protein sources, applying optimal manufacturing conditions and starters.</t>
  </si>
  <si>
    <t xml:space="preserve">ESTRATEGIAS FERMENTATIVAS PARA LA OBTENCION DE ANALOGOS DE EMBUTIDOS MADURADOS MAS SOSTENIBLES Y SABROSOS EMPLEANDO MEZCLAS DE FUENTES PROTEICAS ANIMALES Y VEGETALES</t>
  </si>
  <si>
    <t xml:space="preserve">grant.14855223</t>
  </si>
  <si>
    <t xml:space="preserve">EL CONSUMO DE PRODUCTOS CARNICOS SE HA RELACIONADO CON DIVERSAS INQUIETUDES TALES COMO EL IMPACTO SOBRE EL MEDIO AMBIENTE, EL BIENESTAR ANIMAL Y LA SALUD HUMANA. ESTAS NUEVAS TENDENCIAS HAN CAUSADO UN AUMENTO CONSIDERABLE DEL INTERES DE LOS CONSUMIDORES POR ALIMENTOS SIN CARNE. SIN EMBARGO, LA SOSTENIBILIDAD DE LA CADENA DE PRODUCCION ALIMENTARIA NO SOLO DEBE BASARSE EN LA ELIMINACION TOTAL DE LA PROTEINA ANIMAL DE LOS PRODUCTOS ALIMENTICIOS, SINO QUE SE PUEDE LOGRAR REDUCIENDO EL CONSUMO DE PROTEINAS ANIMALES Y MANTENIENDO LOS PRODUCTOS ALIMENTARIOS TRADICIONALES CON EL OBJETIVO DE LOGRAR UNA MAYOR ACEPTACION ENTRE LOS CONSUMIDORES. 
LAS INNOVACIONES ACTUALES DEL SECTOR CARNICO SE CENTRAN EN LA FABRICACION DE ANALOGOS DE LA CARNE QUE IMITAN LA ESTRUCTURA DE ESTA, A PESAR DE LAS DIFICULTADES PARA OBTENER UNA BUENA ACEPTABILIDAD SENSORIAL. ASI, LA MAYORIA DE ANALOGOS DE CARNE QUE SE COMERCIALIZAN ACTUALMENTE SON HAMBURGUESAS, EMBUTIDOS FRESCOS, CARNE PICADA Y ANALOGOS DE PRODUCTOS CARNICOS COCIDOS. POR EL CONTRARIO, LA COMPLEJIDAD DE LA FABRICACION DE PRODUCTOS CURADOS MADURADOS HA HECHO QUE LA OFERTA DE ESTOS ANALOGOS SEA ESCASA. 
ADEMAS DE LOS PROBLEMAS DEBIDOS A LA TEXTURA, EL AROMA Y SABOR SON CLAVES PARA CONSEGUIR LAS PROPIEDADES SENSORIALES DESEADAS EN ESTOS PRODUCTOS, ESPECIALMENTE EL AROMA Y SABOR CARNICO, ASI COMO LA PREVENCION DE AROMAS VEGETALES DESAGRADABLES. LAS CARACTERISTICAS INTRINSECAS DE LAS PROTEINAS VEGETALES DIFICULTAN QUE A PARTIR DE ELLAS SE PUEDA REPRODUCIR EL AROMA DE LOS EMBUTIDOS CURADOS MADURADOS, PRINCIPALMENTE DEBIDO A SU COMPOSICION EN TERMINOS DE PRECURSORES DEL AROMA (AMINOACIDOS, CARBOHIDRATOS Y ACIDOS GRASOS). POR ESTE MOTIVO, LA OPTIMIZACION DEL PROCESO DE FERMENTACION (CON SUSTITUCION PARCIAL DE PROTEINAS ANIMALES POR PROTEINAS VEGETALES TEXTURIZADAS) Y EL EMPLEO DE NUEVOS CULTIVOS INICIADORES (ADECUADOS PARA LA FERMENTACION DE PROTEINAS VEGETALES) PUEDE SER UNA ESTRATEGIA ADECUADA PARA REPRODUCIR EL AROMA CARNICO FERMENTADO EN ESTOS PRODUCTOS ANALOGOS DE CARNE. ASIMISMO, ES NECESARIO CONTROLAR LA FORMACION DE COMPUESTOS AROMATICOS INDESEABLES, INCLUIDOS AROMAS RANCIOS Y EXTRAÑOS, QUE PUEDAN GENERARSE DURANTE EL PROCESAMIENTO, MADURACION O ALMACENAMIENTO. EL POTENCIAL DE LOS INGREDIENTES VEGETALES EN LA PREPARACION DE ANALOGOS DE CARNE FERMENTADA ES ILIMITADO, PERO LOS INGREDIENTES, LOS CULTIVOS MICROBIANOS Y LOS PROCESOS DEBEN DISEÑARSE CON CUIDADO PARA OBTENER UN PRODUCTO CON UNAS CARACTERISTICAS ORGANOLEPTICAS QUE SATISFAGAN A LOS CONSUMIDORES. 
ASI, EL OBJETIVO DE ESTE PROYECTO ES DESARROLLAR ANALOGOS DE EMBUTIDOS CURADOS FERMENTADOS SEGUROS Y CON AROMAS CARNICOS, APLICANDO ESTRATEGIAS CENTRADAS EN LA MEZCLA DE FUENTES PROTEICAS ANIMALES Y VEGETALES, ASI COMO OPTIMAS TECNOLOGIAS DE FERMENTACION (PROCESOS Y ESTARTERES) CON EL FIN DE MEJORAR LA SOSTENIBILIDAD DE LA INDUSTRIA CARNICA. PARA ALCANZAR ESTE FIN SE PLANTEAN VARIOS OBJETIVOS ESPECIFICOS: 1) SELECCION DE RECURSOS VEGETALES TEXTURIZADOS CON POTENCIAL USO EN EL DESARROLLO DE ANALOGOS DE EMBUTIDOS FERMENTADOS MADURADOS; 2) DISEÑO DE ESTARTERES SEGUROS Y CAPACES DE HIDROLIZAR PROTEINAS VEGETALES TEXTURIZADAS GENERANDO SUFICIENTES PRECURSORES DE AROMAS DESEABLES; 3) OBTENCION DE ANALOGOS SEGUROS Y SABROSOS DE EMBUTIDOS FERMENTADOS MADURADOS UTILIZANDO FUENTES TEXTURIZADAS DE PLANTAS MEZCLADAS CON O SIN FUENTE PROTEICA ANIMAL APLICANDO CONDICIONES DE FABRICACION Y ESTARTERES OPTIMOS.</t>
  </si>
  <si>
    <t xml:space="preserve">INCREASING MICROALGAE BIOMASS FEEDSTOCK BY VALORIZING WINE GASEOUS AND LIQUID RESIDUES</t>
  </si>
  <si>
    <t xml:space="preserve">Motivated by an urgent need to mitigate climate change and, particularly, to reduce greenhouse gas emissions from food value chains, REDWine focuses on the utilization of biogenic carbon dioxide (CO2) from the wine fermentation process for microalgae biomass production and valorisation. A powerful synergy across bio-based industries results in REDWine’s innovative circular business model, which allows wine manufacturers to efficiently treat their liquid and gaseous effluents while profitably diversifying their revenues through the valorisation of Chlorella biomass into multiple high-value ingredients. The REDWine concept will be realized through the establishment of an integrated ‘Living Lab’ demonstrating the technical and economic viability of a system for collection and storage of the off-gas and liquid effluents of a 20,000L wine fermenter and its adaptation to microalgae cultivation and energy efficient harvesting technologies, in order to use 90% of the CO2 collected, to produce biomass. REDWine will demonstrate a circular concept through the development of a simple biorefinery to be deployed in the winery which will yield sustainable and cost competitive ingredients for food formulations (protein and fatty acids), cosmetics (peptides, carotenoid rich oils and active polysaccharides), agriculture (carbohydrates as vine biostimulants) and wine production (proteins for wine clarification). The proposed REDWine solution is expected to reduce the GHG emissions of the entire wine production value chain by at least 31% while potentially generating over €15M in revenues and creating 45 new jobs for a 7ML size winery on a 3-year time horizon. REDWine is led by primary producers, the AVIPE wine producers’ association, in partnership with 11 other very committed entities, including 7 SMEs, 1 LE, 2 RTOs and 1 UNI. The proposed consortium assures the all the needed multidisciplinary knowledge and a level of redundancy required for effective implementation of the project.</t>
  </si>
  <si>
    <t xml:space="preserve">https://cordis.europa.eu/project/id/101023567</t>
  </si>
  <si>
    <t xml:space="preserve">grant.9662144</t>
  </si>
  <si>
    <t xml:space="preserve">Pervatech (Netherlands); Lipotec (Spain); National Laboratory of Energy and Geology; HidroQuimia (Spain); Instituto Politecnico de Setubal; Leitat Technological Center</t>
  </si>
  <si>
    <t xml:space="preserve">Rijssen; Barcelona; Lisbon; Terrassa; Setúbal; Barcelona</t>
  </si>
  <si>
    <t xml:space="preserve">SunMade – Engineering the eukaryotic algae N. oceanica for sustainable bioproduction</t>
  </si>
  <si>
    <t xml:space="preserve">Genetically engineered microorganisms are today widely used for the production of everyday items such as food ingredients, medicine and washing detergents. Most of these microorganisms eat sugar, coming from plantations that have replaced tropical rain forests. Furthermore while producing a desired product they exhale CO2. Marine algae do the exact opposite when they grow. They inhale CO2 and then use energy from the sun to convert it into biomass. Algae can also be used for production, but since we cannot genetically engineer algae the same way as the sugar eating microorganisms, only a limited number of products, including baby formula supplements are made in algae today. SunMade wants to change this by developing the genetic engineering tools to produce food ingredients and protein in algae. The long-term goal is thus to replace sugar eating microorganisms with algae, to enable direct conversion of CO2 into valuable bioproducts that is widely used in our society today.</t>
  </si>
  <si>
    <t xml:space="preserve">grant.13909695</t>
  </si>
  <si>
    <t xml:space="preserve">Johan Andersen-Ranberg</t>
  </si>
  <si>
    <t xml:space="preserve">In vitro digestibility - reducing animal use whilst meeting the demand to evaluate alternative proteins</t>
  </si>
  <si>
    <t xml:space="preserve">There is increasing awareness of the need for foods to be both healthy and sustainable, with a shift toward more plant-based foods, with reductions in red meat (e.g. beef and lamb) but continued consumption of white meat (e.g. chicken), eggs and dairy products. Hence poultry meat is and will remain an important part of the diet in many parts of the world, but its production is currently very dependent upon feeding chickens significant volumes of wheat, maize and soya, with the latter providing the main protein source. Clearly each of these crops are human edible, so there is a real push to try and identify so-called alternative sources, particularly protein sources.
There is wide interest in a range of alternative (under-utilised) crops, such as bambara groundnut and winged bean, as well as novel protein sources such as insects, bacteria and fungi. Although these are being investigated for human consumption, it is more likely that they will be more readily accepted (particularly in western countries) as alternatives to wheat, maize and soya in animal feeds. Before any of these protein sources can be used to feed animals (or humans for that matter), it is important to evaluate both their nutritional value (i.e. does it contain the nutrients required in the right amounts) and any possible negative impacts. In terms of dietary protein, the quality of a protein source is determined by its amino acid composition, particularly the essential or indispensible amino acids (those that must be provided in the diet), as well as their digestibility.
Digestibility relates to the ability of an animal to digest its food and extract all the nutrients it needs. Soya is a good example because it contains enzyme inhibitors (called anti-nutritional factors) that reduce its digestibility when it is not processed (e.g. heating), meaning that animals are unable to extract a large proportion of the nutrients present and therefore produce more waste, in the form of faeces and greenhouse gases. Hence, poor digestibility can have environmental impacts, but it also has commercial implications, making food production inefficient. It can, in some cases, also lead to negative impacts on health, due to failure to grow adequately or damage to the digestive system. Historically the determination of digestibility of foods has been done using animals, such as poultry, cattle, pigs or rodents (as models for humans). To evaluate novel foods therefore requires large numbers of animals, with the possibility that some foods might lead to reduced digestibility (and therefore poor growth) or even result in health problems. This project will compare two in vitro (i.e. test-tube) models of digestion, to evaluate their ability to determine digestibility and sensitivity to the presence of anti-nutritional factors, before comparing to in vivo digestibility determined in chickens. The overall aim is to develop an accurate, sensitive and robust in vitro protein digestion method with which to screen novel protein sources prior to any evaluation in animals. This should then partially replace and reduce the numbers of animals being used in the future, as well as reducing the incidence of negative impacts on those animals.
Technical Summary
Protein quality of any feedstuff is determined by its essential amino acid (AA) content and its digestibility. The latter is normally determined in vivo by assessing ileal digesta amino acid content, which is invasive and expensive if done in live animals, so is often done after death. The impact of reduced AA digestibility is particularly detrimental in animals with high AA requirements, such as rapidly growing broiler chickens. Due to the projected global increase in human population and associated demand for animal products, particularly chicken meat, alternative economically and environmentally sustainable protein sources need to be identified for animal use to replace human edible feed ingredients such as soya. Their protein quality will need evaluating, which is thus set to increase animal use.
In vitro digestibility methods could reduce the number of animals used for in vivo assessment, but there is no validated in vitro digestion model for any species. Ideally an in vitro protein digestion model should be rapid (compared to in vivo), reproducible, can discriminate between samples and is predictive of in vivo protein digestibility. Hence, our aim is to identify an appropriate in vitro digestion model, establish its sensitivity/ limitations and how it compares to measurements of apparent ileal protein/AA digestibility in broiler chickens.
This will be via 3 objectives:
1. Comparison of the INFOGEST in vitro digestion and chicken specific in vitro digestion models using a range of protein sources.
2. Determining the sensitivity of the selected in vitro digestion model to determine protein quality via incremental increases in anti-nutritional factor contents.
3. Comparison of in vitro protein/AA digestibility and in vivo apparent ileal protein/AA digestibility in broiler chickens.
This will provide a screening tool for future analyses of protein quality and thereby reduce and eventually avoid the need for in vivo digestibility studies.</t>
  </si>
  <si>
    <t xml:space="preserve">https://gtr.ukri.org/projects?ref=NC%2FX002284%2F1</t>
  </si>
  <si>
    <t xml:space="preserve">grant.13248568</t>
  </si>
  <si>
    <t xml:space="preserve">John Brameld, Jos Houdijk, Molly Muleya, Tim Parr</t>
  </si>
  <si>
    <t xml:space="preserve">ProtFuture - proteins of the future – after meat comes plants</t>
  </si>
  <si>
    <t xml:space="preserve">The qualification seminar “ProtFuture - Alternative protein sources from plants, fungi and algae for use in food” deals with the holistic view of non-animal raw materials along their value chain.
Starting with breeding aspects and their adaptation to climate change through soil health to biological plant protection.
FiBL also provides insight into the calculation of life cycle assessments and, together with corporate partners, assesses the degree of sustainability of various primary production systems (Life Circle Assessment, LCA).
The central element of the qualification project is the food technology and, as a result, sensory development of innovative products in combination with legally compliant labeling of the products.
Finally, an in-depth unit deals with nutrition communication to (end) consumers.</t>
  </si>
  <si>
    <t xml:space="preserve">ProtFuture - Proteine der Zukunft – nach Fleisch kommt Pflanze</t>
  </si>
  <si>
    <t xml:space="preserve">https://projekte.ffg.at/projekt/3960506</t>
  </si>
  <si>
    <t xml:space="preserve">grant.13731879</t>
  </si>
  <si>
    <t xml:space="preserve">Vienna</t>
  </si>
  <si>
    <t xml:space="preserve">FoKo (program); Qualification seminars (program); Qualification seminars 7th AS (program)</t>
  </si>
  <si>
    <t xml:space="preserve">Das Qualifizierungsseminar „ProtFuture -Alternative Proteinquellen aus Pflanzen, Pilzen und Algen für den Einsatz in Lebensmitteln“ befasst sich mit der ganzheitlichen Betrachtung von Nicht-tierischen Rohstoffen entlang deren Wertschöpfungskette. 
Beginnend mit züchterischen Aspekten und deren Adaption auf Klimaveränderung über Bodengesundheit bis zum biologischen Pflanzenschutz. 
Das FiBL gewährt darüber hinaus einen Einblick in die Berechnung von Ökobilanzen und beurteilt gemeinsam mit den Unternehmenspartnern den Grad der Nachhaltigkeit verschiedener Urproduktionssysteme (Life Circle Assessment, LCA). 
Zentrales Element des Qualifizierungsvorhabens ist die lebensmitteltechnologische und in Folge sensorische Entwicklung innovativer Produkte in Kombination mit rechtskonformen Kennzeichnung der Produkte. 
Ein vertiefende Einheit befasst sich abschließend mit der Ernährungskommunikation hin zu den (End)-Konsument*innen.</t>
  </si>
  <si>
    <t xml:space="preserve">VETCH NUTRITION: Revalorizing the founder crop bitter vetch (Vicia ervilia Willd.) to boost local protein production in Israel and Europe</t>
  </si>
  <si>
    <t xml:space="preserve">Plant protein quality is determined by its digestibility and presence of adequate essential dietary amino acids to meet human/animal requirements. The typical presence of toxic canavanine in bitter vetch (V. ervilia) seeds reduces its quality and thus, restricts its use in food and feed applications. At the same time, the low content of sulphur-containing amino acids requires some additional type of supplementation such as synthetic crystalline amino acids. Therefore, addressing the following fundamental questions is intriguing to achieve high-quality local protein sustainably: 1) what is the genetic basis of canavanine and essential amino acids biosynthesis in bitter vetch? 2) What genes underwent selection during the domestication of bitter vetch? 3) what domestication effects were exerted on bitter vetch protein content and quality? The modern genomic tools have great potential to address these questions. But, genomics-assisted breeding and research have lagged behind in bitter vetch due to the lack of a reference genome sequence, arguably the single most effective molecular resource to boost gene discovery and crop improvement. The joint efforts from interdisciplinary expertise can make bitter vetch an attractive protein crop both for animal and human nutrition in Europe and Israel. Towards this overarching goal, we will conduct the following experiments and analyses: (i) the development of foundational genomics resources such as a high-quality reference genome to advance its fundamental research; (ii) genetic mapping of quality traits (with emphasis on seed bioactive compounds) to advance molecular breeding and consumer acceptability (iii) a comprehensive characterization of wild and domesticated germplasm to track down the genetic factors involved in adaptation to mobilize the valuable diversity from non-adaptive germplasm (ex. Landraces) to modern cultivars. Collectively, our research will bring new knowledge to the area of grain legume protein quality.</t>
  </si>
  <si>
    <t xml:space="preserve">https://gepris.dfg.de/gepris/projekt/530005422?language=en</t>
  </si>
  <si>
    <t xml:space="preserve">grant.14018681</t>
  </si>
  <si>
    <t xml:space="preserve">Martin Mascher, Shahal Abbo, Zohar Kerem, Murukarthick Jayakodi</t>
  </si>
  <si>
    <t xml:space="preserve">Institute of Plant Genetics and Crop Plant Research; Hebrew University of Jerusalem</t>
  </si>
  <si>
    <t xml:space="preserve">Gatersleben; Jerusalem</t>
  </si>
  <si>
    <t xml:space="preserve">Research Grants (DFG Programme)</t>
  </si>
  <si>
    <t xml:space="preserve">Socio-ecological research to understand the potential impacts of alternative protein sources in the UK and Europe</t>
  </si>
  <si>
    <t xml:space="preserve">The food system feeds societies, employs billions of people, and underpins international
aspirations such as the United Nations Sustainable Development Goals. However, it is responsible
for one-third of anthropogenic greenhouse gas emissions, threatens more species than any other
activity, uses over half of all nitrogen and phosphorus, and over 70% of all freshwater. Balancing
these benefits and pressures is essential for human wellbeing and the liveability of both specific
places and the planet.
These environmental pressures come disproportionately from the production of animal products
(e.g. 57% of food system emissions come from livestock production, Xu et al 2021), largely due to
their low environmental efficiency compared with plant-based foods (Poore &amp; Nemecek 2018).
Reducing consumption of animal products in wealthy countries and avoiding shifts to high-meat
diets as economies develop is therefore essential to maintain a liveable environment. However,
attempts to reduce consumption may be resisted due to the social and cultural importance of
animal products and production systems, strong relationships between wealth and consumption,
suggesting aspirational consumption (Tilman et al 2011), and political aversion to any perceived
limiting of consumer choice.
In this context, alternative proteins (APs) offer a potential solution. APs include plant-based,
cultivated and fermentation-made meat, eggs, dairy, and seafood, which have significantly lower
environmental impacts than animal-based counterparts. They may also offer health benefits at the
individual level (e.g. higher fibre, lower calorie density) and societal level (e.g. reducing risks from
zoonotic diseases and antimicrobial resistance). Importantly, they may enable consumers to
substitute lower-impact products into diets while continuing to access familiar tastes and dishes.
However, the growth of APs has not been universally welcomed, being described as a
technological solution that fails to address the complex social, economic and cultural factors
associated with food production and consumption. In addition, the social, cultural, economic, and
ecological transformations that could result from a widescale shift to APs are understudied.
Instead, most research has focused on technical product development or life cycle assessments of
specific products.
Given the speed and scale of AP development there is an urgent need to address this knowledge
gap. This interdisciplinary project has been co-designed with the European team of the Good Food
Institute-the world's leading AP-focused international third-sector organisation-to answer the
overarching question: "How will alternative proteins affect people and the environment in the UK
and Europe over coming decades?".
To do so, the student will tackle three linked questions:
(1) How are different APs likely to be accepted in different European contexts?
(2) How could European demand for different proteins change up to 2050?
(3) What would the social, economic, and environmental impacts of meeting this demand be?
This interdisciplinary project will make empirical and theoretical contributions to a range of
disciplines, including economics, land economy, and environmental social sciences. For example,
providing insight into the substitutability of different protein sources across cultures; the liveability
implications of different ways of meeting future food demand; and how shifts to APs could affect
people's relationships with their environments.</t>
  </si>
  <si>
    <t xml:space="preserve">https://gtr.ukri.org/projects?ref=studentship-2927129</t>
  </si>
  <si>
    <t xml:space="preserve">grant.14682509</t>
  </si>
  <si>
    <t xml:space="preserve">David Williams, Leon Noble</t>
  </si>
  <si>
    <t xml:space="preserve">The role of polyphenol structure in the flavour of plant-based food</t>
  </si>
  <si>
    <t xml:space="preserve">The specific objectives will be: 1. To prepare a library of enzymes and their plasmids. 2. Prepare a large set of flavonoids and their glycosides for subsequent testing (e.g. prunin, myricitrin, diosmetin or lonicerin) 3. Test the effect of structure on the ability of the prepared compounds to interact with salivary proteins and bind to oral mucosal cells 4. To test the interaction of the compounds with the TAS2R bitter taste receptor and TAS1R sweet taste receptor, on the modulation of temperature-sensitive TRP ion channels and possibly on the sensory properties of the selected compounds 5. To elaborate the possibility of using specific enzymes to modify selected foods in order to modulate taste perception.</t>
  </si>
  <si>
    <t xml:space="preserve">https://backup.isvavai.cz/cep?s=jednoduche-vyhledavani&amp;ss=detail&amp;h=LUC24068</t>
  </si>
  <si>
    <t xml:space="preserve">grant.14362536</t>
  </si>
  <si>
    <t xml:space="preserve">Kateřina Valentová</t>
  </si>
  <si>
    <t xml:space="preserve">Institute of Microbiology</t>
  </si>
  <si>
    <t xml:space="preserve">Prague</t>
  </si>
  <si>
    <t xml:space="preserve">2024-01-09</t>
  </si>
  <si>
    <t xml:space="preserve">Ministry of Education, Youth and Sports (MEYS)</t>
  </si>
  <si>
    <t xml:space="preserve">Konkrétní cíle budou následující: 1. Připravit knihovnu vhodných glykolitických enzymů a jejich plazmidů. 2. Připravit rozsáhlý soubor flavonoidů a jejich glykosidů pro následné testování (např. prunin, myricitrin, diosmetin nebo lonicerin). 3. Otestovat vliv struktury na schopnost připravených látek interagovat se slinnými proteiny a vázat se na buňky ústní sliznice. 4. Otestovat interakce látek s receptory TAS2R pro hořkou chuť a TAS1R pro sladkou chuť, na modulaci teplotně citlivých iontových kanálů TRP a případně senzorické vlastnosti vybraných látek. 5. Rozpracovat možnost použití konkrétních enzymů pro úpravu vybraných potravin s cílem modulace chuťové percepce.</t>
  </si>
  <si>
    <t xml:space="preserve">Plant-based fats and proteins for sustainable and appetizing dairy alternatives (Oleosome ingredients)</t>
  </si>
  <si>
    <t xml:space="preserve">Fat is the key ingredient behind the appealing sensory properties of food products. Being inspired by nature’s unrivalled engineering, we aim to develop fat ingredients based on the preservation of the unique structure of natural fat droplets found inside plants. Food technologists have spent vast amounts of resources in order to produce synthetic emulsions and solubilize fat in water. At the same time, it has been greatly overlooked that inside plant seeds, fats are organised in naturally occurring fat droplets, called Oleosomes. The presence of a very compact membrane makes Oleosomes droplets highly stable. Spending vast amounts of resources in order to produce synthetic emulsions which have inferior properties to Oleosomes is neither sensible nor sustainable. To promote the use of Oleosome fat ingredients to dairy alternative manufacturers, it is important to investigate the behaviour of these ingredients inside a reference matrix. Oleosome fat ingredients will be extracted and subsequently incorporated with other ingredients in the matrix of a dairy alternative. The primary objective of this project will be to investigate how can the noteworthy qualities of Oleosome fat droplets be successfully conveyed to dairy alternatives. The experimental work of this study will aim to create a product with an appealing texture, enhanced stability and increased protein content. Oleosome fat ingredients can function as the key ingredient of appealing and sustainable dairy alternatives. The formulation of dairy alternatives includes several other ingredients besides fat, e.g. proteins and salts, and their interactions with Oleosome droplets need to be investigated. Oleosome droplets have never been used in recipes of dairy alternatives and the main activities of this study will focus on :1) the incorporation of Oleosome droplets in the matrix of a dairy alternative, 2) monitoring the interactions with the rest of the ingredients and 3) on the analysis of texture and mouthfeel of the obtained products.</t>
  </si>
  <si>
    <t xml:space="preserve">https://europepmc.org/grantfinder/grantdetails?query=gid%3A"18596"</t>
  </si>
  <si>
    <t xml:space="preserve">grant.12902563</t>
  </si>
  <si>
    <t xml:space="preserve">D.K. Karefyllakis</t>
  </si>
  <si>
    <t xml:space="preserve">2020-09-08</t>
  </si>
  <si>
    <t xml:space="preserve">Take-off TO2 fase 1 - Haalbaarheidsstudies 2020 TTW 1 (Program)</t>
  </si>
  <si>
    <t xml:space="preserve">Globally competitive processing technologies for meat alternatives -EXPRO</t>
  </si>
  <si>
    <t xml:space="preserve">Climate change, scarcity of natural resources and rapid population growth threaten the sufficiency of nutritious, safe and affordable food. The production chain of protein-rich food is particularly critical. In accordance with the EU's actions aimed at protein self-sufficiency, Finland should take the lead in moving towards a plant-based food chain and nutrition. The EXPRO ecosystem promotes the export of plant-based food innovations and is thus contributing to reducing meat consumption and positively influencing the sustainability of the food system. The Co-Innovation project accelerates research and innovation in the Finnish food industry, and thus strengthens its international position in the market of meat substitute products. In particular, EXPRO researches new alternative protein ingredients from underutilized plant raw materials (e.g. legumes and by-streams of oilseeds and grains) and develops their processing methods so that the end product produces high-quality meat substitutes with sensory properties. The focus of the research is the modification of flavor and structure in the wet extrusion process.
The EXPRO study includes a strong consumer perspective, because consumer acceptance of a new food dictates its success on the market. Deficiencies in sensory quality lead to market failure, so improving flavor and mouthfeel is at the core of EXPRO research. Successful market access also requires identifying the right consumer target groups. Therefore, EXPRO systematically investigates 1) consumer groups of meat substitute products in Europe, 2) factors that predict consumer acceptance and 3) what added value the products offer to the target groups.
The EXPRO team with extensive expertise produces information and innovations that help improve the competitiveness of the Finnish food industry in the international market for meat substitute products.</t>
  </si>
  <si>
    <t xml:space="preserve">https://research.fi/en/results/funding/26388</t>
  </si>
  <si>
    <t xml:space="preserve">grant.13522344</t>
  </si>
  <si>
    <t xml:space="preserve">University of Helsinki</t>
  </si>
  <si>
    <t xml:space="preserve">Helsinki</t>
  </si>
  <si>
    <t xml:space="preserve">2020-05-08</t>
  </si>
  <si>
    <t xml:space="preserve">Public research networked with companies (incl. Co-Innovation) (Funding Instrument); Innovation funding center Business Finland 2020 (Call)</t>
  </si>
  <si>
    <t xml:space="preserve">Ilmastonmuutos, luonnonvarojen niukkuus ja nopea väestönkasvu uhkaa ravitsevan, turvallisen ja edullisen ruuan riittävyyttä. Erityisen kriittinen on proteiinipitoisen ruuan tuotantoketju. EU:n proteiiniomavaraisuuteen tähtäävien toimien mukaisesti Suomen tulisi ottaa johtoasema siirryttäessä kohti kasvipainotteista ruokaketjua ja ravitsemusta. EXPRO-ekosysteemi edistää kasvipohjaisten elintarvikeinnovaatioiden vientiä ja on siten osaltaan vähentämässä lihankulutusta ja vaikuttamassa myönteisesti ruokajärjestelmän kestävyyteen. Co-Innovaation-hanke vauhdittaa suomalaisen elintarviketeollisuuden tutkimusta ja innovaatioita, ja vahvistaa siten sen kansainvälistä asemaa lihaa korvaavien tuotteiden markkinassa. Erityisesti EXPRO tutkii uusia vaihtoehtoisia proteiiniainesosia vajaasti hyödynnetyistä kasviraaka-aineista (esim. palkokasvit sekä öljykasvien siementen ja viljojen sivuvirrat) ja kehittää niiden prosessointimenetelmiä, jotta lopputuotteena syntyy aistinvaraisilta omineisuuksiltaan korkealaatuisia lihaa korvaavia tuotteita. Tutkimuksen keskiössä on flavorin ja rakenteen muokkaus märkäekstruusioprosessissa.   
EXPRO-tutkimukseen sisältyy vahva kuluttajanäkökulma, koska kuluttajien hyväksyntä uudelle elintarvikkeelle sanelee sen menestyksen markkinoilla. Puutteet aistinvaraisessa laadussa johtavat epäonnistumiseen markkinoilla, joten flavorin ja suutuntuman parantaminen on EXPRO-tutkimuksen ydin. Onnistunut markkinoillepääsy edellyttää myös oikeanlaisten kuluttajakohderyhmien tunnistamista. Siksi EXPRO selvittää systemaattisesti 1) lihaa korvaavien tuotteiden kuluttajaryhmiä Euroopassa, 2) tekijöitä, jotka ennustavat kuluttajahyväksyntää ja 3) mitä lisäarvoa tuotteet kohderyhmille tarjoavat. 
Laajan asiantuntemuksen omaava EXPRO-tiimi tuottaa tietoa ja innovaatioita, joka auttaa parantamaan suomalaisen elintarviketeollisuuden kilpailukykyä kansainvälisillä lihaa korvaavien tuotteiden markkinoilla.</t>
  </si>
  <si>
    <t xml:space="preserve">Upgrading fruit wastes for microbial protein production</t>
  </si>
  <si>
    <t xml:space="preserve">Owing to the fast growth of the world population and the consequent increase in the consumption of natural resources (soil, freshwater, etc.), we are facing shortages in the availability of proteins with high nutritional value. The global animal and plant-based protein supply chains are susceptible to the effects of climate change, require large areas of arable land and their increased demand leads to an intensification of crops fertilization, contributing negatively to greenhouse gas (GHG) emissions. Traditional agriculture is responsible for 10% of the European Union´s GHG emissions, being the animal sector responsible for approximately 70% of those GHG. Moreover, farmed animals contribute to the depletion of natural resources, a large amount of which is needed for the production of animal feed. The impact of soy crops used to obtain soy protein on the climate and environment is also in a position of concern.
The overwhelming increase in protein demand, the health concerns associated with the consumption of red meat, the environmental footprint of livestock, and exhaustive crop cultivation call the creation of an alternative, sustainable and healthier protein source. The development of microbial protein will contribute to easing the burden on animal- and plant-based proteins, providing protein-rich food replacement. Production of single-cell protein (SCP) by GRAS status microorganisms is an efficient technology for the large-scale production of food-grade protein and has several advantages over traditional protein sources: high protein content; rich in essential amino acids (cysteine, tryptophan, lysine, methionine, and threonine); lower cholesterol, fat and sugar levels and higher fiber and vitamins content; and is not climate or seasonal dependent and, therefore, it can be produced all-round the year. The use of food-grade substrates (e.g. starch-derived glucose from food crops) in the industrial production of SCP for human consumption is still the major bottleneck of this technology. An alternative to keeping costs low (substrates commonly employed account for 45% - 75% of the total cost), increasing profit margins, and reducing the dependence on agriculturally produced feedstocks relies on the use of inexpensive by-products from food industries.
The exploratory project Micro4Food proposes a new approach and will extend the production of SCP for human consumption beyond the state-of-the-art by exploiting the potential of yeasts to produce microbial protein and other added-value compounds, addressing the concept of Circular Economy. The central goal of the Micro4Food project is the development of advanced and sustainable biotechnological-based processes for food-grade SCP production from inexpensive feedstocks, aiding to reduce the by-products surplus in a cost-effective way. Specifically, fruit peels (FP) will be used as low-cost raw material to produce edible SCP by yeasts belonging to Yarrowia genera (in which the PI of the project has large experience) through solid-state fermentation (SSF). The potential of using banana and orange peels as a substrate for food-grade SCP production by Yarrowia strains under SSF is still an underexplored technology. SSF is characterized by a fermentation process on the solid support (low moisture content) that is also a source of carbon and nitrogen for yeast growth and metabolites production and is a simple scalable process. The direct use of FP as a feedstock for SSF by yeasts is an innovative approach that still presents a number of challenges that would need to be overcome to demonstrate a viable technology. The project will explore the ability of selected Yarrowia strains to grow as pseudohyphae, making them more adaptable for SSF. The project also includes the study of some pretreatments applied to FP in order to enhance the access of yeasts to nutrients: hydrothermal treatment at high pressure, microwave and/or ultrasounds, and enzymatic.
As a result of the project activities, an integrated process from FP to SCP will be obtained. All final fermented solid (FP + yeast cells) will be used for the formulation of a novel food product (Protein bar) enriched in protein, gluten-free, with no sugars added, and with a high nutritional value. Simultaneously with SCP, other metabolites with industrial interest (organic acids, polyols, and aroma compounds) can be produced by Yarrowia strains, expanding the range of bioproducts that can be obtained from FP within a biorefinery approach, and contributing to the nutritional and sensory qualities of Protein bar. The Micro4Food project recognizes the inseparable links between healthy people, healthy societies, and a healthy planet, offering new and sustainable technology and a high-nutritional food product for assuring a globally sustainable food future.</t>
  </si>
  <si>
    <t xml:space="preserve">Valorização de resíduos de frutas para produção de proteína microbiana</t>
  </si>
  <si>
    <t xml:space="preserve">grant.13262843</t>
  </si>
  <si>
    <t xml:space="preserve">Marlene Lopes, Rita Isabel Couto Pinheiro, Ana Rita Quintela da Costa, Ana Sofia da Silva Pereira, Isabel Maria Pires Belo, Zlatina Asenova Genisheva</t>
  </si>
  <si>
    <t xml:space="preserve">University of Minho; Polytechnic Institute of Viana do Castelo</t>
  </si>
  <si>
    <t xml:space="preserve">Braga; Viana do Castelo</t>
  </si>
  <si>
    <t xml:space="preserve">Snacks</t>
  </si>
  <si>
    <t xml:space="preserve">Devido ao enorme crescimento da população mundial e consequente aumento do consumo de recursos naturais (solo, água doce, etc.), a sociedade enfrenta uma escassez na disponibilidade de proteínas de alto valor nutricional. A produção de proteína animal e vegetal é suscetíveis aos efeitos das mudanças climáticas, exige grandes áreas de terra arável e o aumento do seu consumo leva a uma intensificação da fertilização dos solos, contribuindo negativamente para as emissões de gases com efeito de estufa (GEE). A agricultura tradicional é responsável por 10% das emissões de GEE da União Europeia, sendo o setor animal responsável por aproximadamente 70% desses GEE. Além disso, a criação de gado contribui para o esgotamento dos recursos naturais, os quais são maioritariamente usados na produção de ração animal. O impacto das culturas de soja, utilizadas para obter proteína vegetal, no clima e no meio ambiente também é preocupante.
O grande aumento do consumo de proteína, as preocupações com a saúde associadas ao consumo de carne vermelha, a pegada ambiental da pecuária e o cultivo exaustivo de espécies vegetais exigem a criação de uma fonte alternativa de proteína que seja sustentável e saudável. A proteína microbiana contribuirá para aliviar o impacto negativo das proteínas de origem animal e vegetal no ambiente, podendo ser usada como substituto de alimentos ricos em proteína. A produção de proteína unicelular ( SCP ) por microrganismos com estatuto GRAS é uma tecnologia eficiente para a produção em larga escala de proteína comestível e apresenta várias vantagens sobre as fontes proteicas tradicionais: alto teor de proteína; rica em aminoácidos essenciais (cisteína, triptofano, lisina, metionina e treonina); níveis mais baixos de colesterol, gordura e açúcar e maior teor de fibras e vitaminas; e não é dependente do clima ou estação do ano e, portanto, pode ser produzida durante todo o ano. A principal limitação na produção industrial de proteína microbiana para consumo humano é o uso de matérias-primas derivados da agricultura (por exemplo, glucose obtida a partir de culturas alimentares). Uma alternativa para manter os custos baixos (os substratos comumente utilizados correspondem a 45% - 75% do custo total), aumentar as margens de lucro e reduzir a dependência de matérias-primas agrícolas é o uso de subprodutos baratos das indústrias alimentares.
O projeto Micro4Food propõe uma nova abordagem para a produção de SCP para consumo humano, explorando o potencial das leveduras para produzir proteína microbiana e outros compostos de valor acrescentado, e contribuindo para o desenvolvimento de uma Economia Circular. O projeto Micro4Food pretende desenvolver processos biotecnológicos avançados e sustentáveis ??para a produção de proteína microbiana de qualidade alimentar a partir de matérias-primas de baixo custo, ajudando a reduzir o excedente de subprodutos de maneira económica. Serão utilizadas cascas de fruta (CF) como matéria-prima acessível para a produção de proteína microbiana para consumo humano por leveduras do género Yarrowia (no qual existe uma larga experiência do investigador responsável pelo projeto) através de fermentação em estado sólido (SSF). O potencial do uso de cascas de banana e laranja como substrato para produção de SCP por espécies de Yarrowia através de SSF ainda é uma tecnologia pouco explorada. A fermentação em estado sólido é realizada num suporte sólido (baixo teor de umidade) que também é fonte de carbono e azoto para o crescimento das leveduras e produção de metabolitos, cujo aumento de escala é simples. O uso direto de CF como matéria-prima para SSF por leveduras é uma abordagem inovadora que ainda apresenta vários desafios a serem superados para obter uma tecnologia viável. O projeto irá explorar a capacidade das espécies de Yarrowia selecionadas para crescer como pseudohifa, tornando-as mais adaptáveis ??para SSF. O projeto contempla ainda o estudo da aplicação de alguns pré-tratamentos às CF para aumentar a acessibilidade das leveduras aos nutrientes: tratamento hidrotérmico a alta pressão, micro-ondas e/ou ultrassons e enzimáticos.
Como resultado das atividades, será obtido um processo integrado de CF a SCP . Todo o sólido fermentado (CF + células de levedura) será utilizado para a formulação de um novo produto alimentar (barra proteica) enriquecido em proteínas, isento de glúten, sem adição de açúcares e com alto valor nutricional. Para além de proteína microbiana, pode ocorrer a produção de outros metabolitos de interesse industrial (ácidos orgânicos, polióis e aromas) alargando o leque de bioprodutos que se podem obtidos de CF, numa abordagem de biorrefinaria, e contribuindo para as qualidades nutricionais e sensoriais da barra proteica. O projeto Micro4Food reconhece a ligação entre pessoas saudáveis, sociedades saudáveis e um planeta saudável, oferecendo uma tecnologia nova e sustentável e um produto alimentar altamente nutritivo para garantir um futuro alimentar sustentável.</t>
  </si>
  <si>
    <t xml:space="preserve">Committed to the responsible development of meat replacement products and practices</t>
  </si>
  <si>
    <t xml:space="preserve">This project aims at answering the following question: Under which conditions are European consumers and stakeholders in five national contexts (Austria, France, Ireland, Norway and Romania) ready to opt for diets that include alternative proteins (cell-based, plant-based and insect-based meat)? It thus ambitions to build knowledge to facilitate a transition towards the responsible production, provision and consumption of novel meat replacements in Europe. Our project innovates by considering consumer choices in context: social, cultural, regulatory, economic, psychological and ethical, religious or ideological grounds because of complex food practices in Europe. Our objective is to thereby map a range of levers that may facilitate a transition to producing, making, selling, cooking and eating healthy alternative proteins in Europe. This proposal includes exploratory research engaging end-users: consumers but also all stakeholders in the food system. It also aims at building more knowledge on narratives and discourses around meat-alternatives promoted by stakeholders in various national contexts (the food Industry, the agricultural sector, consumers’ associations, scientists, religious and ethical communities, the Media), on the domestic and EU regulatory governance, on labelling as well as on consumers’ attitudes towards novel foods (considering their current food regime, trust in institutions and innovations, beliefs and values, psychological and other determinants). By offering a comparison between national contexts, it will better inform national and European stakeholders, in particular policy-makers. The consortium’s strength results from a strong and pluridisciplinary collaboration between partners from the five national contexts with socio-professional actors sitting on an advisory board.</t>
  </si>
  <si>
    <t xml:space="preserve">https://prosjektbanken.forskningsradet.no/en/project/FORISS/351189</t>
  </si>
  <si>
    <t xml:space="preserve">grant.14031674</t>
  </si>
  <si>
    <t xml:space="preserve">Sophia Efstathiou</t>
  </si>
  <si>
    <t xml:space="preserve">Norwegian University of Science and Technology</t>
  </si>
  <si>
    <t xml:space="preserve">Nanostructure formation during food protein digestion and influence on intestinal transport</t>
  </si>
  <si>
    <t xml:space="preserve">The global food system is currently facing great challenges, which are mainly motivated by environmental and health-related concerns: (i) The existing food resources are not efficiently utilized; while some of them are overexploited, causing water/soil shortage, biodiversity losses, etc., others are not properly valorized (e.g. seaweeds). (ii) Moreover, the unhealthy dietary habits of modern societies are leading to a dramatic increase in the incidence of diet-related chronic diseases (e.g. obesity, diabetes, etc.). In this context, the food industry is actively looking for novel food sources with added health benefits. However, to design strategies for a sustainable production of nutritious food products from alternative sources and to predict their potential metabolic responses (e.g. satiety, allergenicity, etc.), it is essential to understand how food structure, digestibility and bioavailability are correlated.
PRODIGEST seeks to investigate this topic from a novel perspective, focusing on the mechanistic and structural aspects of the gastrointestinal digestion of food proteins and studying their implications on bioavailability. The type of structures formed by the assembly of the digestion products through intermolecular associations or by interactions with physiological medium components, as well as the effect of dietary fibres (which are abundant in alternative protein sources) will be studied and linked to their intestinal transport and susceptibility to trigger metabolic responses. To address this challenge, a set of advanced structural characterization tools (including X-ray and neutron scattering techniques, peptidomic analyses and rheology), as well as intestinal transport studies, will be combined through a multi-disciplinary approach, interconnecting structural characterization, food science and biotechnology. The project outcomes will find potential applications to diverse research areas, such as nutrition, food technology, pharmacology and medicine.</t>
  </si>
  <si>
    <t xml:space="preserve">https://cordis.europa.eu/project/id/101086483</t>
  </si>
  <si>
    <t xml:space="preserve">grant.13716678</t>
  </si>
  <si>
    <t xml:space="preserve">2023-10-01</t>
  </si>
  <si>
    <t xml:space="preserve">European Research Council (ERC)</t>
  </si>
  <si>
    <t xml:space="preserve">Exploring Mycoprotein Potential: Assessing Biomass Yield and Quality Using Spent Biomass.</t>
  </si>
  <si>
    <t xml:space="preserve">The growing challenges of climate change and global food security have driven the search for sustainable protein sources, such as mycoprotein. Mycoprotein is derived from edible fungi and offers a promising alternative to traditional animal-based proteins with significant health and environmental benefits. This research will evaluate the potential of selected species and strains of edible fungi in terms of biomass yield and nutritional composition. To achieve this, the impact of chosen substrates like spent brewer's grain and spent algal biomass, along with testing parameters such as pH, temperature, agitation, reactor type, media components, and substrate concentration will be explored during the cultivation period. The total protein, amino acid profile, and safety will be further evaluated, particularly concerning mycotoxin production by performing ICP-EOS and HPLC analysis to assess the overall quality of the product. Ultimately, this research aims to identify the most suitable fungi for sustainable protein production in the hope of contributing to sustainable food systems addressing both health and environmental challenges.</t>
  </si>
  <si>
    <t xml:space="preserve">https://gtr.ukri.org/projects?ref=studentship-2925606</t>
  </si>
  <si>
    <t xml:space="preserve">grant.14684704</t>
  </si>
  <si>
    <t xml:space="preserve">Giselle Dabbs</t>
  </si>
  <si>
    <t xml:space="preserve">Linking changes in protein functionality and quality to mutations in pea (Pisum sativum L.)</t>
  </si>
  <si>
    <t xml:space="preserve">Proteins are important in our diets and due to an increasing global population and transition towards more plant-based diets, new protein sources are required 1,2. Pea (Pisum sativum L.) proteins have become an attractive ingredient in the food industry but are often characterized by lower-than- desired protein digestibility and functional performance, incomplete essential amino acid composition, and the presence of antinutrients 3–5. Professor Domoney’s group at the John Innes Centre identified single null mutants for the following three antinutrient proteins in peas: (i) the allergenic pea albumin 2 [PA2] 6,7, (ii) trypsin inhibitors that irreversibly bind to digestive enzymes and hence decrease protein digestibility 8 and (iii) lectin, which can interfere with digestion and itself be indigestible 7,9. The Domoney group has developed double and triple antinutritional knockout lines but their impact on protein quality, digestibility and functional properties has yet to be characterized. Preliminary data using raw flour from a single and derived triple mutant indicate that these mutants have improved in vitro digestibility 10. My study will identify whether the reduction of antinutritional proteins in pea leads to better digestibility in whole-cooked peas and pea isolates in addition to improving their techno-functional properties and reducing their allergenic properties.</t>
  </si>
  <si>
    <t xml:space="preserve">grant.14268903</t>
  </si>
  <si>
    <t xml:space="preserve">Rispah Nyambura Ng'ang'a</t>
  </si>
  <si>
    <t xml:space="preserve">Norwich</t>
  </si>
  <si>
    <t xml:space="preserve">2022-11-30</t>
  </si>
  <si>
    <t xml:space="preserve">PhD Studentship (Basic) (Grant Programme)</t>
  </si>
  <si>
    <t xml:space="preserve">Biobased Scandinavian vegan leather based on forest and food side streams</t>
  </si>
  <si>
    <t xml:space="preserve">Purpose and goal: 
We verified the hypothesis, the TRL level first estimated to be around 2, as we produced an experimental demonstrator validated in the RISE lab tested by retailor, we finished at TRL 4. For MRL, we intended to move from MRL 1 to MRL 2, and we definitely increased the market potential to reach that. Although we did not perform a life-cycle analysis (not planned within this project scope), we did deliver a green and biobased product to evaluate by retailer and for comparison to traditional animal-based leather (thus we land between SRL 1+ and 2). 
Expected results and effects: 
We demonstrated that it is possible to use a combination of food and forest side streams (bark fibers and apple pomace) to produce a biobased leather-like films that can possibly compete in the future with existing non-sustainable leathers. The next step, reaching beyond this project scope, is to optimize formulations, enhance material properties and upscale our materials. Fully biobased leather products are not commercially available today, and we believe that such products would be attractive on the fashion and furniture market and important to environment. 
Approach and implementation: 
We explored various green additives (plasticizers, proteins, crosslinkers) and developed several dozens of formulations based on refined bark mixed with apple pomace. The materials were obtained by using a combination of all with carefully adjusted proportions. They were then characterized using standard methods to evaluate mechanical properties, water resistance, morphology, machine sewing ability, etc. The properties of our materials were also compared with traditional animal-based leather. We also started evaluating the value chain for upscaling this process.</t>
  </si>
  <si>
    <t xml:space="preserve">https://www.vr.se/swecris.html#/project/2022-00676_Vinnova</t>
  </si>
  <si>
    <t xml:space="preserve">grant.12896194</t>
  </si>
  <si>
    <t xml:space="preserve">Natalia Anna Wojas</t>
  </si>
  <si>
    <t xml:space="preserve">2022-05-02</t>
  </si>
  <si>
    <t xml:space="preserve">2:Teknik, Engineering and Technology (SCB); 205:Materialteknik, Materials Engineering (SCB); 104:Kemi, Chemical Sciences (SCB); 1:Naturvetenskap, Natural Sciences (SCB); 20504:Textil-, gummi- och polymermaterial, Textile, Rubber and Polymeric Materials (SCB); 10403:Materialkemi, Materials Chemistry (SCB); 20502:Kompositmaterial och -teknik, Composite Science and Engineering (SCB)</t>
  </si>
  <si>
    <t xml:space="preserve">Leather</t>
  </si>
  <si>
    <t xml:space="preserve">Clean Label Enhanced and Redefined Upcycled Starch</t>
  </si>
  <si>
    <t xml:space="preserve">The increasing demand for pulse protein concentrates and isolates reflects a shift from animal to plant-based diets. At the industrial level, producing high-protein fractions from pulses generates significant starch co-products. However, native starches often lack the functional properties needed for food applications, leading to their undervaluation or use as animal feed, which poses both environmental and economic challenges. While chemical modification is commonly employed to enhance starch functionality, this method does not meet clean or green labeling standards, highlighting the need for more sustainable solutions.
The project aims to develop a high-throughput green process for producing functionalized starches, understand the relationship between starch structure and functionality, and identify starches suitable for controlled-release applications.
Specifically, I will use atmospheric pressure plasma jet and enzymatic treatments to modify starch co-products, creating enhanced starches with porous and branched structures. Advanced analytical techniques, including field emission scanning electron microscopy, Fourier-transform infrared spectroscopy, X-ray diffraction, and size exclusion chromatography, will be employed to investigate the effects of multi-scale structural modifications on starch functionalities. Additionally, I will explore the use of caffeine as a model compound to evaluate the ability of the modified starches to function as controlled-release systems.
Overall, the project will address a significant research gap and provide sustainable solutions for utilizing starch co-products, supporting the European agri-food systems sustainability goals. It will contribute to reduced waste, enhanced food safety, and increased market competitiveness through the development of advanced, environmentally friendly starches.</t>
  </si>
  <si>
    <t xml:space="preserve">https://cordis.europa.eu/project/id/101210320</t>
  </si>
  <si>
    <t xml:space="preserve">grant.14911385</t>
  </si>
  <si>
    <t xml:space="preserve">Universitat Politècnica de València; KTH Royal Institute of Technology</t>
  </si>
  <si>
    <t xml:space="preserve">Valencia; Stockholm</t>
  </si>
  <si>
    <t xml:space="preserve">2026-01-12</t>
  </si>
  <si>
    <t xml:space="preserve">Characterization of determinants of lactic acid bacteria and propionic acid bacteria towards co-fermentation of edible plant waste for efficient production of propionic acid and fortification of bioavailable vitamin B12</t>
  </si>
  <si>
    <t xml:space="preserve">According to ecophilosophers Klaus Michael Meyer-Abich and Albert Schweitzer, nature cannot be solely a resource that humans draw from without any reflection. Both Meyer-Abich and Schweitzer believed that due to their abilities (creativity, conceptual thinking, cognitive and adaptive abilities) – only humans can be responsible for their actions towards the environment. Only we, humans, are able to take action to protect nature – this requires empathy, reflection and appreciation of its intrinsic value. From the beginning of our existence, humans have strived to master nature. Through our actions, dictated by economic considerations, we are degrading the natural environment. Fortunately, human activity can restore balance in nature. For this to happen, we all need to be involved and work hard – appropriate theoretical preparation and practice, both in our homes and on an industrial scale. One of the threats to the quality of the natural environment is industrial waste generated daily. The quantities of by-products are so large that the industry is unable to utilize this resource in its entirety – the unused part most often ends up in landfills or fields (fertilizer). In recent years, more and more attention has been paid to sustainable development and the "zero waste" approach. The aforementioned concept consists in maintaining industrial waste in the economic cycle for as long as possible. It should be remembered that industrial waste is a source of biologically active ingredients, such as: sugars, proteins, vitamins. Therefore, the possibility of recycling some by-products should be considered, for the benefit of the natural environment and, in the longer term, the economy. An alternative method of waste disposal is to use them as substrates for microorganisms that would be able to produce important and safe compounds (vitamin B12, propionic acid) from the nutrients contained in the waste. The utilization factor may be microorganisms used for years in the food industry - lactic acid bacteria (LAB) and propionic acid bacteria (PAB). Vitamin B12 is unique among vitamins because it is synthesized exclusively by bacteria (including propionic bacteria), and its only source in the human diet are animal products. Considering the growing social awareness related to environmental protection and animal welfare, and thus changing food trends (growing popularity of vegetarian diets), it should be assumed that in the coming years there will be a fundamental change in consumption patterns - from animal protein to plant protein. This is a huge challenge for the world of science - regardless of the source of food, the nutritional value of the products consumed must be maintained, and the most important nutrient that no plant can provide in the diet is vitamin B12. Vitamin B12 deficiency leads to neurological and hematological disorders. Another important compound, the source of which are PAB, is propionic acid (used as a preservative, e.g. in bread). The production of this acid is based on petrochemical processes, which are quite cheap but harmful to the environment. The main goal of the project will be to optimize the production of vitamin B12 and propionic acid from edible plant waste as a result of co-fermentation of LAB and PAB. We will also assess the possibility of safe fortification of vitamin B12 in waste plant material. The research will test various by-products - apple pomace, strawberry pomace, grape pomace, haskap berry pomace, banana peel, cereal bran.The wastes listed will be checked for the content of LAB and PAB nutrient sources and metabolism stimulants (carbon and nitrogen sources, precursors of vitamin B12 and propionic acid synthesis). Among the wastes tested, those that are rich in compounds necessary for the development of lactic acid and propionic acid bacteria will be selected for microbiological disposal. The next stage will involve the selection of LAB and PAB bacterial strains that will ensure efficient production of metabolites in the waste environment. Next, we will optimize the production of vitamin B12 and propionic acid from waste as a result of LAB and PAB co-fermentation (development of a waste substrate, selection of fermentation conditions). The final stage will be an attempt to safely fortify vitamin B12 in a waste substrate optimized for vitamin B12 synthesis. We assume that co-fermentation of two different groups of bacteria will help to improve the waste disposal process and intensify the production of metabolites. LAB and PAB co-fermentation is successfully used in the cheese industry. LAB prepare the environment for propionic bacteria – e.g. by producing lactic acid, which is a preferential source of nutrients for PAB. Moreover, vitamin B12 obtained using LAB and PAB strains and plant waste would have enormous application properties, because it would be a fully vegan and natural product. LAB and PAB co-fermentation can be a solution that improves the taste and microbiological safety of the waste matrix – due to the compounds produced by LAB (including lactic acid, bacteriocins). So far, no description has been given for the production of vitamin B12 or propionic acid as a result of LAB-PAB co-fermentation in matrices containing several different wastes. The project is interdisciplinary in nature – it includes research in the field of environmental protection (waste management), microbiology (fermentation, co-fermentation), designing safe food (fortification of vitamin B12).</t>
  </si>
  <si>
    <t xml:space="preserve">Charakterystyka determinantów bakterii kwasu mlekowego i bakterii kwasu propionowego w kierunku współfermentacji jadalnych odpadów roślinnych celem wydajnej produkcji kwasu propionowego oraz fortyfikacji biodostępnej witaminy B12</t>
  </si>
  <si>
    <t xml:space="preserve">https://projekty.ncn.gov.pl/index.php?projekt_id=570217</t>
  </si>
  <si>
    <t xml:space="preserve">grant.13788896</t>
  </si>
  <si>
    <t xml:space="preserve">Kamil Piwowarek</t>
  </si>
  <si>
    <t xml:space="preserve">2023-06-19</t>
  </si>
  <si>
    <t xml:space="preserve">SONATA 18 (Competition)</t>
  </si>
  <si>
    <t xml:space="preserve">Według ekofilozofów , Klausa Michaela Meyer -Abich ’a oraz Alberta Schweitzer ’a, przyroda nie może być wyłą cznie zasobem, z którego człowiek czerpie bez jakiejkolwiek refleksji . Zarówno Meyer -Abich, jak i Schweitzer uważali, że z uwagi na posiadane zdolności (kreatywność, myślenie pojęciowe, zdolności poznawcze, adaptacyjne ) – jedynie człowiek może ponosić odpowiedzialność za swoje czyny względem środowiska . Tylko my, ludzie, jesteśmy w stanie pod ejmować działania zmierzające w stronę ochrony przyrody – wymaga to empatii, refleksji oraz docenienia jej wewnętrznej wartości. Człowiek od początku swojego istnienia dąży do opanowania przyrody. Swoimi działaniami, dyktowanymi względami ekonomicznymi, doprowadza my do degradacji środowiska naturalnego . Na szczęśc ie, aktywność człowieka może spowodować przywrócenie równowagi w naturze . Aby tak się stało, potrzebne jest zaangażowanie i ciężka praca nas wszystkich – odpowiednie przygotowanie teoretyczne, oraz praktyka , zarówno w naszch domach, jak i w skali przemysło wej. Jednym z zagrożeń czyhających na jakość środowiska naturalnego są codziennie generowane odpady przemysłowe . Ilości produktów ubocznych są tak duże , że przemysł nie jest w stanie zuty lizować tego zasobu w całości – niewykorzystana część najczęściej trafia na wysypiska czy pola (nawóz) . W ostatnich latach coraz więcej uwagi poświęca się zrównoważonemu rozwojowi oraz podejściu „zero waste ”. Wspomniana koncepcja polega na utrzymywaniu odpadów przemysłowych w cyklu gospodarczym tak długo, jak to możliwe . Należy pamiętać, że odpady przemysłowe są źródłem składników aktywnych biologicznie, takich jak: cukry, białka, witaminy. Dlatego należy rozważyć możliwość recyklingu niektórych produktów ubocznych, z korzyścią dla środowiska naturalnego oraz w d alszej perspektywie – gospodarki. Alternatyw ną metodą utylizacji odpadów jest ich zastosowanie jako podłoży dla mikroorganizmów, które byłyby w stanie wytwarza ć z zawartych w odpadach źródeł odżywczych , istotne i bezpieczne związki (witamina B12, kwas propionowy) . Czynnikiem utylizującym mogą być mikroorganizmy od lat stosowane w przemyśle spożywczym – bakterie kwasu mlekowego (LAB) oraz bakterie kwasu propionowego (PAB) . Witamina B12 jest wyjątkowa wśród witamin, ponieważ jest syntetyzowana wyłącznie przez bakterie (w tym bakterie propionowe), a jej jedynym źródłem w diecie człowieka są produkty pochodzenia zwierzęcego. Biorąc pod uwagę rosnącą świadomość społeczną związaną z troską o środowisko oraz dobrostan em zwierząt, a tym samym zmieniające się trendy ż ywnościowe (rosnąca popularność diet wege), należy przypuszczać, że w nadchodzących latach nastąpi zasadnicza zmiana wzorców konsumpcji – z białka zwierzęcego na białko roślinne. Jest to ogromne wyzwanie dla świata nauki – niezależnie od źródła pokarmu, mu si zostać zachowana wartość odżywcza spożywanych produktów, a najważniejszym składnikiem odżywczym, którego w diecie nie zagwarantuje jakakolwiek roślina, jest witamina B12. Niedobór witaminy B12 prowadzi do zaburzeń neurologicznych i hematologicznych. Innym istotnym związkiem, którego źródłem są PAB , jest kwas propionowy (stosowany jako konserwant, np. w pieczywie) . Produkcja tego kwasu opiera się na procesach petrochemicznych, które są dość tanie, lecz szkodliwe dla otoczenia. Głównym celem projektu będzie optymalizacja produkcji witaminy B12 i kwasu propionowego z jadalnych odpadów roślinnych w wyniku współfermentacji LAB i PAB. Ocenimy także możliwość bezpiecznej fortyfikacji witaminy B12 w odpadowym materiale roślinnym. W ramach badań sprawdzone zostaną różne produkty uboczne – wytłoki jabłkowe , truskawkowe, winogronowe , wytłoki z jagody kamczackiej, skórki banana, otręby zbożowe. Wymienione odpady zostaną sprawdzone pod kątem zawartości źródeł odżywczych i stymulatorów metabolizmu LAB oraz PAB ( źródła węgla i azotu, prekursory syntezy witaminy B12 i kwasu propionowego ). Spośród badanych odpadów , do mikrobiologicznej utylizacji zostaną wytypowane te, które obfitują w związki niezbędne do rozwoju bakterii mlekowych oraz propionowych. W kolejnym eta pie nastąpi selekcja szczepów bakterii LAB i PAB, które zagwarantują wydajną produkcję metabolitów w środowisku odpadowym. Następnie przeprowadzimy optymalizację produkcji witaminy B12 i kwasu propionowego z odpadów w wyniku współfermentacji LAB i PAB (opracowanie podłoża odpadowego , dobór warunków fermentacji ). Końcowym etapem będzie próba bezpiecznej fortyfikacji witaminy B12 w podłożu odpadowym zoptymalizowanym pod kątem syntezy witaminy B12. Zakładamy, że w spółfermentacj a dwóch różnych grup bakterii pomoże usprawnić proces utylizacji odpadów oraz zintensyfikować produkcję metabolitów . Współfermentację LAB i PAB stosuje się z powodzeniem w przemyśle serowarskim . LAB przygotowują środowisko dla bakterii propionowych – np. poprzez produkcję kwasu mlekowego, który jest preferencyjnym źródłem odżywczym dla PAB. Co więcej, witamina B12 pozyskana z wykorzystaniem szczepów LAB i PAB oraz odpadów roślinnych miałaby ogromne właściwości aplikacyjne, ponieważ byłaby produktem w pełni wegańskim i naturalnym . Współfermentacja LAB i PAB może być rozwiązaniem poprawiającym smak oraz bezpieczeństwo mikrobiologiczne matrycy odpadowej – ze względu na wytwarzane przez LAB związk i (m.in. kwas mlekowy , bakteriocyny) . Dotychczas nie opisano wytwarzania witaminy B12 czy kwasu propionowego w wyniku współ fermentacji LAB –PAB w matrycach zawierających kilka różnych odpadów . Projekt ma charakter interd yscyplinarny – obejmuj e badania z zakresu ochrony środowiska (gospodarowanie odpada mi), mikrobiologii (fermentacja, współfermentacja ), projektowania bezpiecznej żywności (fortfyfikacja witaminy</t>
  </si>
  <si>
    <t xml:space="preserve">Innovative pulse and cereal-based food fermentations for human health and sustainable diets</t>
  </si>
  <si>
    <t xml:space="preserve">Food fermentation has been used for millennia, but our knowledge on the impact of fermented foods on human health and the possible roleof gut microbiota in it is limited. Microbial consortia and fermentation processes are, hence, not designed for optimal health outcomes.At the same time, fermentation technology represents a major opportunity to increase incorporation of plant-based proteins in diets.The multi-actor consortium HealthFerm brings together first-class researchers, food companies and dissemination partners to enablethe transition from traditional to sustainable grain-based fermented foods and diets that deliver health benefits to consumers by design.This will be achieved by (1) disentangling the interaction between food fermentation microbiomes, grain-based foods and the humangut microbiome and health and (2) using microbial resources and fermentation technology to develop healthy pulse and cereal-basedfood and diets that cater to the desires and needs of EU citizens. Drawing from a community science approach, HealthFerm will identifymicro-organisms and metabolic pathways that may result in desired nutritional and health effects. The impact of microbial fermentationon raw materials will be examined at the molecular level. Fermentation technology will be used in the production of grain-based liquidand (semi-)solid foods. The impact of these foods on human health and the gut microbiome will be assessed in a number of interventiontrials. Consumer acceptance of fermented foods, their technologies and their role in the transition towards a more sustainable healthy dietwill be studied in different social contexts. Finally, extensive ecosystem building and training activities will contribute to HealthFerm’sstrong participatory approach. Outcomes will allow increased use of grain-based materials in foods, contributing to an environmentfriendlyfood system and a strong EU food industry, thus aligning with the EU Green Deal priorities and UN SDGs.</t>
  </si>
  <si>
    <t xml:space="preserve">https://www.aramis.admin.ch/Grunddaten/?ProjectID=52645&amp;Sprache=en-US</t>
  </si>
  <si>
    <t xml:space="preserve">grant.13510087</t>
  </si>
  <si>
    <t xml:space="preserve">https://www.aramis.admin.ch/Grunddaten/?ProjectID=52830&amp;Sprache=en-US</t>
  </si>
  <si>
    <t xml:space="preserve">grant.13509902</t>
  </si>
  <si>
    <t xml:space="preserve">Optimization of the production of new protein extracts from mushroom and algae biomass and development of food structures using 3D printing and extrusion.</t>
  </si>
  <si>
    <t xml:space="preserve">OPTIMIZACION DE LA OBTENCION DE NUEVOS EXTRACTOS PROTEICOS A PARTIR DE BIOMASA DE SETAS Y ALGAS Y DESARROLLO DE ESTRUCTURAS ALIMENTARIAS MEDIANTE 3D PRINTING Y EXTRUSION</t>
  </si>
  <si>
    <t xml:space="preserve">grant.14866021</t>
  </si>
  <si>
    <t xml:space="preserve">Predoctoral Contracts Knowledge Generation Projects (Call)</t>
  </si>
  <si>
    <t xml:space="preserve">Reimagine protein - Processing of alternative proteins for superior nutritional functionality</t>
  </si>
  <si>
    <t xml:space="preserve">The state of our planet and environment is currently rapidly approaching a state of no return. One of the reasons for this environmental and climate change is livestock farming. Our actions in this decade will determine whether we succeed in restoring the situation to a better level. One of the three most important actions we can take to prevent the environmental impact of our food production is to change our production methods and food consumption habits.
Plant- and microbe-based proteins as alternatives to animal proteins are more sustainable for our planet, and a plant-based diet is also healthy. However, the nutritional quality of alternative protein sources and foods is still not well known. Currently, consumers value the protein content of products highly, but are not necessarily aware of the differences between proteins from different sources in terms of quality and digestibility. However, the situation will probably change in the future, because it is likely that food producers will be required to report not only the amount of protein, but also information about the quality of the protein, and this will be a significant factor in determining the market potential of new raw materials and foods.
The goal of the public part of the Reimagine protein co-innovation project is to understand how the processing of alternative proteins and food products made from them affects the nutritional quality. The project ecosystem consists of research partners and members of the Finnish food industry, who represent manufacturers of raw materials and end products, equipment manufacturers, restaurants and retail sales. Together, the consortium develops winning concepts for alternative protein raw materials and products for the export market. In addition, the project develops processing options, with the help of which the nutritional properties of alternative protein raw materials and food products can be raised even to a better level than animal proteins.</t>
  </si>
  <si>
    <t xml:space="preserve">https://research.fi/en/results/funding/70433</t>
  </si>
  <si>
    <t xml:space="preserve">grant.13523825</t>
  </si>
  <si>
    <t xml:space="preserve">VTT Technical Research Centre of Finland</t>
  </si>
  <si>
    <t xml:space="preserve">Espoo</t>
  </si>
  <si>
    <t xml:space="preserve">2021-09-10</t>
  </si>
  <si>
    <t xml:space="preserve">Co-Creation (Funding Instrument); Innovation funding center Business Finland 2021 (Call)</t>
  </si>
  <si>
    <t xml:space="preserve">Planeettamme ja ympäristömme tila on tällä hetkellä kovaa vauhtia lähestymässä tilaa, josta ei ole enää paluuta entiseen. Yksi syy tähän ympäristön ja ilmaston muutokseen on karjan kasvatus. Tekomme tällä vuosikymmenellä määrittävät onnistummeko palauttamaan tilanteen paremmalle tasolle. Yksi kolmesta tärkeimmästä teosta, jolla voimme ehkäistä ruuantuotantomme ympäristövaikutuksia, on tuotantotapojen ja ruuankulutustottumustemme muuttaminen.
Eläinperäisille proteiineille vaihtoehtoiset kasvi- ja mikrobipohjaiset proteiinit ovat kestävämpiä planeettamme kannalta ja kasvipohjainen ruokavalio on myös terveellinen. Vaihtoehtoisten proteiinilähteiden ja -ruokien ravitsemuksellista laatua ei kuitenkaan vielä tunneta kunnolla. Tällä hetkellä kuluttajat arvottavat tuotteiden proteiinipitoisuuden korkealle, mutta eivät välttämättä ole tietoisia eri lähteistä peräisin olevien proteiinien eroista laadun ja sulavuuden suhteen. Tilanne tulee kuitenkin todennäköisesti muuttumaan tulevaisuudessa, koska todennäköisesti ruuantuottajia vaaditaan raportoimaan proteiinin määrän lisäksi myös tietoja proteiinin laadusta ja tämä tulee olemaan merkittävä tekijä uusien raaka-aineiden ja ruokien markkinapotentiaalin määrittämisessä.
Reimagine protein -co-innovation projektin julkisen osan tavoitteena on ymmärtää kuinka vaihtoehtoisten proteiinien ja niistä valmistettujen ruokatuotteiden prosessointi vaikuttaa ravitsemukselliseen laatuun. Projektiekosysteemi koostuu tutkimuspartnereista ja Suomen ruokateollisuuden jäsenistä, jotka edustavat raaka-aineiden ja lopputuotteiden valmistajia, laitevalmistajia, ravintoloita ja vähittäismyyntiä. Konsortio yhdessä kehittää voittavia vaihtoehtoisten proteiiniraaka-aineiden ja tuotteiden konsepteja vientimarkkinoille. Lisäksi, projektissa kehitetään prosessointivaihtoehtoja, joiden avulla vaihtoehtoisten proteiiniraaka-aineiden ja ruokatuotteiden ravitsemukselliset ominaisuudet onnistutaan nostamaan jopa eläinproteiineja paremmalle tasolle.</t>
  </si>
  <si>
    <t xml:space="preserve">CREATION OF SORGHUM LINES WITH IMPROVED NUTRITIONAL VALUE USING KAFIRINS AND AMYLOSE GENES EDITING</t>
  </si>
  <si>
    <t xml:space="preserve">Improving the nutritional value of grain is one of the key objectives of plant breeding. This task is of particular importance for sorghum, which is a reliable grain forage crop for dry regions, as well as a source of food for millions of people. As the greenhouse effect increases and the area under crops exposed to drought increases, this crop will become more widespread.
However, compared to other types of cereals, most of the currently cultivated varieties and hybrids of sorghum have a low nutritional value. One of the reasons for the relatively low nutritional value of sorghum is the resistance of its storage proteins (kafirins) to proteolytic digestion. The low level of protein digestibility by proteases (40-60%) also reduces the digestibility of sorghum grain starch.
It is believed that the resistance of kafirins to proteolytic digestion is primarily due to their chemical structure, since kafirins (especially γ-kafirin) have a high content of cysteine, which forms intra- and intermolecular disulfide bonds leading to the formation of oligo- and polymers of kafirins, stable to digestion by proteases. An important role is also played by such factors as the structural organization of protein bodies in sorghum endosperm cells, the texture of the endosperm, and the interaction of protein bodies with starch granules.
It is known that the digestibility of kafirins and the digestibility of grain proteins, as well as the digestibility and digestibility of starch itself, are higher in waxy mutants characterized by suppressed amylose synthesis, in which starch consists mainly of amylopectin. This fact is of great importance in the selection of varieties and hybrids of sorghum used for both food and feed purposes.
In this regard, changes in the nucleotide sequences of genes that control the synthesis of different classes of kafirins, their primary structure, disruption of their synthesis and deposition in the protein bodies of endosperm cells, as well as disruption of amylose synthesis, are key aspects of solving the problem of improving the nutritional value of sorghum grain. This is a significant scientific problem, the solution of which is not possible without the use of modern methods of genetics and biotechnology.
This project aims to induce, analyze inheritance and study the phenotypic effects of mutations affecting the synthesis of different classes of kafirins and amylose, and to identify sorghum mutants with improved protein and starch digestibility. In this regard, the objectives of this project are:
1. Investigation of the previously obtained mutants with improved digestibility of kafirins, which we obtained earlier using the CRISPR/Cas technology, namely, analysis of inheritance of obtained mutations over a series of generations – sequencing of the k1C5 and gKAF1 genes encoding the synthesis of α- and γ-kafirins, respectively, in new mutants; effects of mutations on the amino acid content and composition of the proteome of the kernels, ultrastructure of protein bodies, endosperm texture, stability of inheritance of improved protein digestibility across generations and in F1 hybrids; effects on agronomically-valuable traits of sorghum plants
2. Creation of a collection of vectors for site-directed mutagenesis of the waxy gene (GBSS - granule-bound starch synthase), encoding amylose synthesis, based on the basic Cascade vector, kindly provided by Dr. J. Kumlehn, carrying the Cas9 endonuclease gene and sites for guide RNAs, the target of which there will be exons of a given gene. Using this vector, it is planned to obtain sorghum mutants with suppressed amylose synthesis and increased amylopectin content. As a starting material, the mutants with improved kafirin digestibility also will be used. In the resulting mutants, re-sequence of the GBSS gene to verify mutations; study the content of amylose and amylopectin and the digestibility of starch and protein in an in vitro system
3. Identification of mutants that do not carry transgenic genetic constructs that induce the resulting mutations, and selection of homozygous lines for use in practical breeding.</t>
  </si>
  <si>
    <t xml:space="preserve">http://www.rscf.ru/en/enprjcard?rid=24-16-00063</t>
  </si>
  <si>
    <t xml:space="preserve">grant.14701035</t>
  </si>
  <si>
    <t xml:space="preserve">Lev Elkonin</t>
  </si>
  <si>
    <t xml:space="preserve">MEATigation: Towards sustainable meat-use in Norwegian food practices for climate mitigation</t>
  </si>
  <si>
    <t xml:space="preserve">MEATigation joins eleven researchers in Social Sciences Humanities and Arts with nine industry partners in food provision and sustainability communication to investigate a key challenge facing Norway’s transition to a ‘low-emission society’: transforming the food system. A reduction in Western meat consumption is critical for global food security, respecting planetary boundaries and improving global health. However, even when positive to climate action, Europeans are reluctant to reduce their meat consumption, especially in the Nordic regions. This is because meat is not just calories: It is culture. Meat is deeply embedded in social practices that weave together meanings, identities and values; competences, skills and professions; materials, animals and landscapes that all go into making meat. MEATigation’s primary objective is: To explore how meat is embedded in Norwegian food practices and to identify ways to promote sustainable meat-use in Norway. ‘Sustainability’ is articulated following the ‘3Rs’ of sustainable meat-use: R1 Recognising the animals and people working to provide meat, R2 Replacing animal-based proteins with plant-based, insect-based or in-vitro alternatives, and R3 Refining meat-use to match needs versus wants, reduce waste and malnutrition (e.g., obesity). MEATigation investigates the ‘3Rs of sustainable meat-use’ through data collection with households, farms, retailers, restaurants, and via experimentation with dietary and art-based interventions. MEATigation has three further secondary objectives, to: Deliver sound and usable advice to decision-makers in government and industry on ‘Best practices for sustainable meat-use’; Stimulate public engagement with sustainability and meat, and a methodological meta-objective; Pursue responsible research and innovation (RRI), engage private and public stakeholders to produce project outcomes. Achieving these objectives will get Norway one step closer to reaching its 2030 mitigation goals through meat.</t>
  </si>
  <si>
    <t xml:space="preserve">https://prosjektbanken.forskningsradet.no/en/project/FORISS/303698</t>
  </si>
  <si>
    <t xml:space="preserve">grant.9016707</t>
  </si>
  <si>
    <t xml:space="preserve">KLIMAFORSKNING-KLIMAFORSKNING (Funding scheme); KLIMAFORSK-Stort program klima (Funding scheme)</t>
  </si>
  <si>
    <t xml:space="preserve">Securing Holistic and Impactful Food Systems Transformation with Novel Foods based on alternative proteins</t>
  </si>
  <si>
    <t xml:space="preserve">The current food system is unsustainable and underperforming, having high environmental and socio-economic costs, while still failing to ensure food and nutrition equity for all. Dietary shifts towards novel foods based on alternative protein sources (NFAP; proteins derived from insect, fungi, bacteria, micro and macro algae and agriculture and aquaculture by-products), provide a unique opportunity to reduce consumption of animal-based proteins potentially minimizing the impact of the Food Systems. However, knowledge regarding the environmental, economic and social impact of the widespread production, provision and consumption of NFAP is very limited and not integrated into a holistic vision of the food system able to identify trade-offs, interaction between food system actors and second and third order impacts. The goal of EPIC-SHIFT is to provide an unprecedented, independent, solid knowledge base on the sustainability (env., eco. and soc.) aspects of NFAP as options for protein diversification for human consumption. Considering that the contribution of each NFAP types to reorganize the food systems may differ, EPIC-SHIFT applies a quadruple helix innovation model in its multi-actor approach to roadmap the sustainable development of NFAP for Planetary Health Diets. Designed as a think-tank and adopting Food Systems Thinking approach, EPIC-SHIFT will provide a multidimensional impact assessment of 7 NFAP (from protein type to product level) at scale complemented with the necessary recommendations for food environments, marketing, regulatory approval, infrastructure and investment needed to support long-term market growth. EPIC-SHIFT integrated scenario analysis will further result in decision support tools that will inform policy and decision-making about the trajectories to achieve the sustainable integration of NFAP in the EU diets ensuring resource efficiency, food security and nutrition within a framework of just transition for all food system actors.</t>
  </si>
  <si>
    <t xml:space="preserve">https://cordis.europa.eu/project/id/101181470</t>
  </si>
  <si>
    <t xml:space="preserve">grant.14364730</t>
  </si>
  <si>
    <t xml:space="preserve">Lund University; University of Helsinki; National Centre for Technology and Food Safety; Technical University of Denmark; Commonwealth Scientific and Industrial Research Organisation; University of Oxford</t>
  </si>
  <si>
    <t xml:space="preserve">Lund; Helsinki; San Adrián; Kongens Lyngby; Canberra; Oxford</t>
  </si>
  <si>
    <t xml:space="preserve">2024-11-01</t>
  </si>
  <si>
    <t xml:space="preserve">Technological research for the generation of new fish-like structures using the "SEAVEGEXT" wet and dry extrusion technology.</t>
  </si>
  <si>
    <t xml:space="preserve">The collaboration between PREPARADOS ADITIVOS Y MATERIAS PRIMAS SA (hereinafter PAYMSA) and AINA in this project, under the acronym SEAVEGEXT, aims to achieve a qualitative leap in knowledge about plant protein ingredients and their behavior, analytical methodologies, and innovative processing technologies that allow us to offer the industry new, differentiated products that represent a real alternative to fish products, while also attempting to limit the use of E numbers in formulations (clean label).
While it is true that meat analogues are attracting increasing attention from the industry and consumers, and their availability on shelves is growing, the market for fish analogues is still very limited. This may be mainly due to the lack of technological solutions that mimic their protein structure and achieve technological, sensory, and nutritional properties appropriate for the type of matrix. Both the industry and the scientific community have focused their efforts in recent years on achieving meat-like food structures, primarily hamburger-type products, sausages, and nuggets. However, fish analogues are currently an emerging niche in this field. Currently, most vegan fish alternatives on the market do not aim to imitate the structure and texture of fish, but rather only the sensory properties of processed fish products, in terms of appearance, smell, and flavor. Furthermore, we are experiencing an increase in the development and availability of new protein ingredients from more sustainable production sources and the application of different extraction processes to concentrate their protein. Therefore, greater scientific knowledge about their inherent characteristics and behavior during processing is necessary to generate highly nutritious foods with a lower environmental impact and whose structures are similar to reference animal products. This requires extensive work to support innovation, developing principles that lead to the design of the best protein structures to ensure their proper application.
Therefore, the strategy proposed for the implementation of this project will be aimed at expanding the current offering of vegan products with the development of analogues that mimic the properties of fish and are distinctive, innovative, and capable of boosting this category within the health vector. To achieve this ambitious goal, a consortium has been created with complementary synergistic capabilities to address all the technological aspects required for its proper implementation. To this end, AINIA will focus its work on the development of intermediate protein structures (TVP and HMEC) by generating knowledge about the different ingredients and their behavior under extrusion. PAYMSA will develop two fish analogues (tuna, fish toppings, or squid rings) based on these structures and the improvement of secondary ingredients (fats, flavorings, etc.). This project will have a duration of 36 months starting on October 1, 2022 and ending on September 30, 2025, with a total budget of 595,376.1.</t>
  </si>
  <si>
    <t xml:space="preserve">Investigación tecnológica para la generación de nuevas estructuras análogas al pescado mediante la tecnología de extrusión húmeda y seca "SEAVEGEXT"</t>
  </si>
  <si>
    <t xml:space="preserve">grant.14852511</t>
  </si>
  <si>
    <t xml:space="preserve">La colaboración de PREPARADOS ADITIVOS Y MATERIAS PRIMAS SA (de ahora en adelante PAYMSA) y AINA en el presente proyecto, bajo el acrónimo SEAVEGEXT, pretende realizar un salto cualitativo en el conocimiento sobre los ingredientes proteicos vegetales y su comportamiento, metodologías de análisis y tecnologías innovadoras de procesado que permitan ofrecer a la industria nuevos productos diferenciales que supongan una alternativa real a los productos de pescado, intentando limitar además el empleo de números E en la formulación (clean label). 
Si bien es verdad que los análogos cárnicos atraen cada vez más la atención de la industria y los consumidores, y su oferta en los lineales es cada vez mayor, el mercado de los análogos de pescado es todavía muy limitado. Esto puede deberse principalmente a la falta de soluciones tecnológicas que permitan mimetizar su estructura proteica y alcanzar propiedades tecnológicas, sensoriales y nutricionales adecuadas a tipo de matrices. 
Tanto la industria como la comunidad científica ha centrado sus esfuerzos en estos últimos años en alcanzar estructuras alimentarias análogas a la carne, principalmente a productos tipo hamburguesa o a productos tipo salchichas o nuggets, siendo, sin embargo, a día de hoy, la oferta de los productos análogos de pescado un nicho emergente en este campo. Actualmente, la mayoría de los productos veganos alternativos al pescado existentes en el mercado, no pretenden imitar la estructura y textura propia del pescado, sino únicamente imitar las propiedades sensoriales de los productos de pescado procesados, en términos de apariencia, olor y sabor. 
Por otra parte, estamos experimentando un aumento en el desarrollo y en la disponibilidad de nuevos ingredientes proteicos a partir de fuentes de producción más sostenibles y de la aplicación de diferentes procesos extractivos para su concentración en proteína. Por ello, es necesario un mayor conocimiento científico sobre sus características inherentes y su comportamiento durante el procesado a fin de poder generar alimentos altamente nutritivos, con menor impacto ambiental y cuyas estructuras resulten similares a los productos de origen animal de referencia. Para ello se requiere un amplio trabajo para apoyar la innovación, mediante el desarrollo de principios que conduzcan al diseño de las mejores estructuras proteicas para garantizar su correcta aplicación. 
Con todo ello, la estrategia que plantea la ejecución del presente proyecto irá dirigida a ampliar la oferta actual de los productos veganos con el desarrollo de productos análogos que mimeticen las propiedades del pescado y que resulten diferenciales e innovadores y capaces de dinamizar dicha categoría dentro del vector saludable. Para conseguir este ambicioso objetivo se ha creado un consorcio con capacidades sinérgicas complementarias para abordar todos los aspectos tecnológicos requeridos para su correcta ejecución. Para ello AINIA focalizará su trabajo en el desarrollo de las estructuras proteicas intermedias (TVP y HMEC) a partir de la generación de conocimiento sobre los distintos ingredientes y su comportamiento frente a la extrusión, y PAYMSA desarrollará dos productos análogos de pescado (atún, toppings de pescado o anillas de calamar) a partir de dichas estructuras y la mejora de ingredientes secundarios (grasas, aromas, etc.). 
El presente proyecto tendrá una duración de 36 meses comenzando el 01 de octubre de 2022 y finalizando el 30 de septiembre de 2025, con un presupuesto global de 595.376,1 .</t>
  </si>
  <si>
    <t xml:space="preserve">EXAMINATION OF THE HEALTH IMPACT AND NUTRITIONAL BENEFITS OF INGREDIENTS AND PROTOTYPES OF FUNCTIONAL FOODS DERIVED FROM FERMENTED LUPIN.</t>
  </si>
  <si>
    <t xml:space="preserve">THERE IS CURRENTLY A GROWING DEMAND FOR FOOD PRODUCTS WHERE THE PROTEIN SOURCE IS OF PLANT ORIGIN, REPLACING ANIMAL PROTEIN. IN THIS CONTEXT, IN THE COORDINATED PROJECT LUPIPROTECH (PID2020-114422RR-C55), LUPIN HAS BEEN SUBJECTED TO PROTEIN ISOLATION AND TECHNOLOGICAL PROCESSING TO OBTAIN PRODUCTS THAT MAINTAIN A GOOD NUTRITIONAL COMPOSITION, THE HEALTH EFFECTS OF WHICH ARE BEING ANALYZED. THUS, INITIAL RESULTS SUPPORT THE POTENTIAL OF LUPIN AS A BASIS FOR THE PRODUCTION OF MEAT ANALOGUES. On the other hand, the fermentation of plant substrates by fungi and other microorganisms is an emerging strategy for obtaining sustainable proteins. Furthermore, this process could lead to modifications in the structure and profile of proteins, generating differential responses at the gastrointestinal level, the first line of contact and defense with food. Our main hypothesis postulates that it is possible to identify a novel plant protein product with health benefits achieved through the modulation of intestinal function by screening lupin products obtained through fungal fermentation. In this coordinated proposal, selection based on health effects (nutritional and intestinal function modification) will be key to selecting the lupin products that will undergo the different functionalization stages to obtain a final product. Thus, we will first select between different lupin-derived fermented biomasses to choose those with the healthiest effects (improved gut function assessed in human cells and tissues ex vivo, reduced allergenicity, maintained nutritional composition). We will also use this health-based selection to choose between lupin ingredients produced through further technological functionalization. In addition, we will apply an in vivo approach using rats as a model to select between two lupin-derived food prototypes with a healthier profile. Rats will consume fermented lupin-derived products designed for human consumption for four weeks. Comparative analyses will be conducted on the effects of this plant-based product compared to an animal-derived meat product on gut function, metabolism, microbiota, and allergenicity. This comprehensive approach aims to reveal the gut health effects of lupin protein products obtained through fungal fermentation, contributing to the development of a plant-based product with improved value for human consumption. By comparing its effects to those of an animal-derived meat product, we seek to provide scientific evidence of its potential as a healthier dietary choice.</t>
  </si>
  <si>
    <t xml:space="preserve">EXAMEN DEL IMPACTO EN LA SALUD Y LOS BENEFICIOS NUTRICIONALES DE INGREDIENTES Y PROTOTIPOS DE ALIMENTOS FUNCIONALES DERIVADOS DE LUPINO FERMENTADO.</t>
  </si>
  <si>
    <t xml:space="preserve">grant.14873301</t>
  </si>
  <si>
    <t xml:space="preserve">Rovira i Virgili University</t>
  </si>
  <si>
    <t xml:space="preserve">ACTUALMENTE EXISTE UNA DEMANDA CRECIENTE DE PRODUCTOS ALIMENTARIOS DONDE LA FUENTE DE PROTEINA TENGA ORIGEN VEGETAL, SUSTITUYENDO LA PROTEINA ANIMAL. EN ESTE CONTEXTO, EN EL PROYECTO COORDINADO LUPIPROTECH (PID2020-114422RR-C55) EL LUPINO HA SIDO SOMETIDO A AISLAMIENTO DE PROTEINAS Y PROCESAMIENTO TECNOLOGICO PARA OBTENER PRODUCTOS QUE MANTIENEN UNA BUENA COMPOSICION NUTRICIONAL, LOS EFECTOS SOBRE LA SALUD DE LOS CUALES SE ESTAN ANALIZANDO. ASI PUES LOS RESULTADOS INICIALES APOYAN EL POTENCIAL DEL LUPINO COMO BASE PARA LA ELABORACION DE ANALOGOS CARNICOS. POR OTRO LADO, LA FERMENTACION DE SUSTRATOS VEGETALES MEDIANTE HONGOS Y OTROS MICROORGANISMOS ES UNA ESTRATEGIA EMERGENTE PARA OBTENER PROTEINAS SOSTENIBLES. ADEMAS, DICHO PROCESADO PODRIA LLEVAR A LA MODIFICACION DE LA ESTRUCTURA Y EL PERFIL DE LAS PROTEINAS, GENERANDO RESPUESTAS DIFERENCIALES A NIVEL GASTROINTESTINAL, LA PRIMERA LINEA DE CONTACTO Y DEFENSA CON EL ALIMENTO. 
NUESTRA HIPOTESIS PRINCIPAL POSTULA QUE ES POSIBLE IDENTIFICAR UN PRODUCTO NOVEDOSO DE PROTEINA VEGETAL CON BENEFICIOS PARA LA SALUD EJERCIDOS MEDIANTE LA MODULACION DE LA FUNCION INTESTINAL, A TRAVES DEL SCREENING DE PRODUCTOS DE LUPINO OBTENIDOS A TRAVES DE LA FERMENTACION FUNGICA. 
EN LA PRESENTE PROPUESTA COORDINADA, LA SELECCION EN BASE A LOS EFECTOS SOBRE LA SALUD (NUTRICIONALES Y DE MODIFICACION DE LA FUNCION INTESTINAL) VA A SER CLAVE PARA ESCOGER LOS PRODUCTOS DE LUPINO QUE IRAN SOMETIENDOSE A LAS DISTINTAS FASES DE FUNCIONALIZACION PARA OBTENER UN PRODUCTO FINAL. ASI PUES, PRIMERO SELECCIONAREMOS ENTRE DIFERENTES BIOMASAS FERMENTADAS DERIVADAS DE LUPINO PARA ELEGIR AQUELLAS CON EFECTOS MAS SALUDABLES (MEJORA DE LA FUNCION INTESTINAL EVALUADA EN CELULAS Y TEJIDOS HUMANOS EX VIVO, REDUCCION DE LA ALERGENICIDAD, MANTENIMIENTO DE LA COMPOSICION NUTRICIONAL). TAMBIEN UTILIZAREMOS ESTA SELECCION BASADA EN LA SALUD PARA ELEGIR ENTRE INGREDIENTES DE LUPINO PRODUCIDOS MEDIANTE UNA FUNCIONALIZACION TECNOLOGICA ADICIONAL. ADEMAS, APLICAREMOS UN ENFOQUE IN VIVO UTILIZANDO RATAS COMO MODELO PARA SELECCIONAR ENTRE DOS PROTOTIPOS DE ALIMENTOS DERIVADOS DE LUPINO CON UN PERFIL MAS SALUDABLE. LAS RATAS CONSUMIRAN LOS PRODUCTOS DERIVADOS DE LUPINO FERMENTADO DISEÑADOS PARA EL CONSUMO HUMANO DURANTE CUATRO SEMANAS. SE LLEVARAN A CABO ANALISIS COMPARATIVOS SOBRE LOS EFECTOS DE ESTE PRODUCTO A BASE DE PLANTAS EN COMPARACION CON UN PRODUCTO CARNICO DE ORIGEN ANIMAL SOBRE LA FUNCION INTESTINAL, EL METABOLISMO, LA MICROBIOTA Y LA ALERGENICIDAD. ESTE ENFOQUE INTEGRAL TIENE COMO OBJETIVO REVELAR LOS EFECTOS EN LA SALUD INTESTINAL DE LOS PRODUCTOS DE PROTEINAS DE LUPINO OBTENIDOS MEDIANTE FERMENTACION FUNGICA, CONTRIBUYENDO AL DESARROLLO DE UN PRODUCTO A BASE DE PLANTAS CON UN VALOR MEJORADO PARA EL CONSUMO HUMANO. AL COMPARAR SUS EFECTOS CON LOS DE UN PRODUCTO CARNICO DE ORIGEN ANIMAL, BUSCAMOS PROPORCIONAR EVIDENCIA CIENTIFICA SOBRE SU POTENCIAL COMO UNA ELECCION DIETETICA MAS SALUDABLE.</t>
  </si>
  <si>
    <t xml:space="preserve">Reformer l'alimentation par le végétal: le cas des politiques publiques dans les universités en France et au Portugal</t>
  </si>
  <si>
    <t xml:space="preserve">In the last decade, diets consisting mainly of foods of plant origin have received scientific, political and media support, in particular after the publication of studies on the negative effects of the production of foods of animal origin on the environment (Steinfeld et al., 2009) and on the spread of epidemics and health crises (UNEP, 2016). The transition to diets rich in animal proteins and processed products would also have increased the risk of chronic diseases (Tilman and Clark, 2014). In light of these developments, new public policies and actions have been created in Europe to encourage citizens themselves to transform their eating habits. However, only Portugal and France have established national policies that directly impact the food supply in public canteens and cafeterias.
These “reforms” of food practices depend, to a large extent, on “intermediaries” designated by authorities, as well as on the way in which they appropriate, interpret and implement policies (Cardon, Depecker and Plessz, 2019). One of these intermediaries, the public catering sector, has gained importance with the increase in meals eaten outside the home in recent decades and has the potential to contribute significantly to improving the nutritional status of the population (Helsing, 1991). It is for this reason that all public cafeterias in Portugal, including those located at universities, offer a daily option without food of animal origin (law no. 11/2017). Similarly, since 2017, restaurants at public universities in France have been offering a daily vegetarian menu, an action consistent with national guidelines such as the EGalim law (n° 2018-938), which requires the creation of a protein diversification plan in all public restaurants in the country.
Reforms in dietary practices also depend on the social positions and life cycle of target populations, as well as their perception of food-related issues (Alcântara da Silva et al., 2015). Young university students, in particular, have a socially situated relationship with food and experience an important transition period between the world of youth and adulthood, during which they develop new networks of sociability that can contribute to the adoption of new eating practices ( Diasio and Julien, 2019). This dynamic is also favored by contact with new disciplines and content that circulate at universities, and by the simple possibility of choosing in the cafeterias. In this sense, it is pertinent to study how entering university, a moment of identity, statutory and social transition, is favorable or not to dietary changes promoted by public policies. This issue is even more relevant as the 18 to 25 age group is the one that most reduces or interrupts meat consumption in Europe (France AgriMer, 2019). Furthermore, the students themselves are creators of initiatives in favor of a more vegetarian diet.
Considering this context, the doctoral project in sociology and information and communication sciences aims to examine public policies that promote the consumption of foods of plant origin among university students in Portugal and France, through three main objectives: 1) Firstly, we seek to understand how public policies are applied by intermediaries designated by the authorities, whether through the offering and presentation of meals, or the creation and dissemination of infocommunication and educational devices. 2) Next, we intend to examine the eating practices of students from different sociodemographic backgrounds, as well as their interest in health issues, ethical values and other motivations that may lead them to favor foods of plant origin and engage in creation of food reform actions. 3) Finally, the thesis will study how students integrate, remain indifferent or transgress norms and knowledge promoted by the actions of intermediaries.
More generally, the thesis will allow us to better understand the importance of public policies relating to food when entering adulthood, a moment in life that plays a fundamental role in the emergence and long-term crystallization of new practices, both on an individual scale and social (Cardon, Depecker and Plessz, 2019).
In order to achieve these objectives, several stages of data production and analysis are planned. It will be necessary to examine the strategy and discourse used in devices produced by public bodies and universities; carry out ethnographic incursions and observe the practices of students and employees at public universities in both countries; conduct semi-directed interviews and focus groups, and apply a questionnaire survey with students, in order to obtain quantitative and qualitative data comparable between</t>
  </si>
  <si>
    <t xml:space="preserve">Reformar a alimentação pelo vegetal: o caso das políticas públicas nas universidades em França e Portugal (Reformer l'alimentation par le végétal: le cas des politiques publiques dans les universités en France et au Portugal)</t>
  </si>
  <si>
    <t xml:space="preserve">grant.13771006</t>
  </si>
  <si>
    <t xml:space="preserve">Mónica Truninger</t>
  </si>
  <si>
    <t xml:space="preserve">University of Lisbon</t>
  </si>
  <si>
    <t xml:space="preserve">Lisbon</t>
  </si>
  <si>
    <t xml:space="preserve">COTUTELAS FRANÇA (Funding program)</t>
  </si>
  <si>
    <t xml:space="preserve">Na última década, os regimes compostos principalmente por alimentos de origem vegetal vêm recebendo apoio científico, político e midiático, em particular após a publicação de estudos sobre os efeitos negativos da produção de alimentos de origem animal sobre o meio ambiente (Steinfeld et al., 2009) e sobre a disseminação de epidemias e crises sanitárias (UNEP, 2016). A transição para dietas ricas em proteínas animais e produtos industrializados também teria aumentado o risco de doenças crônicas (Tilman e Clark, 2014). Diante desses desenvolvimentos, têm sido criadas na Europa novas políticas públicas e ações para incentivar os próprios cidadãos a transformarem seus hábitos alimentares. No entanto, apenas Portugal e França estabeleceram políticas nacionais que impactam diretamente a oferta alimentar de cantinas e refeitórios públicos. 
Essas “reformas” das práticas alimentares dependem, em grande medida, de “intermediários” designados pelas autoridades, assim como da maneira pela qual se apropriam, interpretam e implementam as políticas (Cardon, Depecker e Plessz, 2019). Um destes intermediários, o setor da restauração coletiva pública, ganhou importância com o aumento das refeições feitas fora de casa nas últimas décadas e tem potencial para contribuir de forma significativa para a melhoria do estado nutricional da população (Helsing, 1991). É por este motivo que todos os refeitórios públicos de Portugal, incluindo aqueles situados nas universidades, propõem uma opção diária sem alimentos de origem animal (lei n.º 11/2017). De forma similar, desde 2017 os restaurantes das universidades públicas da França propõem um menu vegetariano diário, ação coerente com diretrizes nacionais como a lei EGalim (n° 2018-938), que exige a criação de um plano de diversificação de proteínas em todos os restaurantes públicos do país. 
As reformas nas práticas alimentares também dependem das posições sociais e do ciclo de vida das populações-alvo, bem como de sua percepção das questões relacionadas à alimentação (Alcântara da Silva et al., 2015). Os jovens universitários, em particular, apresentam uma relação socialmente situada com a comida e vivem um período de transição importante entre o mundo juvenil e a idade adulta, durante o qual desenvolvem novas redes de sociabilidade que podem contribuir para a adoção de novas práticas alimentares (Diasio e Julien, 2019). Esta dinâmica também é favorecida pelo contato com novas disciplinas e conteúdos que circulam nas universidades, e pela simples possibilidade de escolha nos refeitórios. Neste sentido, é pertinente estudar como a entrada na universidade, um momento de transição identitária, estatutária e social, é favorável ou não às mudanças alimentares promovidas pelas políticas públicas. Esta questão é ainda mais relevante pois a faixa etária de 18 a 25 anos é a que mais diminui ou interrompe o consumo de carne na Europa (France AgriMer, 2019). Além disso, os próprios estudantes são idealizadores de iniciativas em favor de uma alimentação mais vegetariana.
Considerando este contexto, o projecto de doutoramento em sociologia e em ciências da informação e da comunicação pretende examinar as políticas públicas que promovem o consumo de alimentos de origem vegetal junto aos estudantes universitários em Portugal e França, por meio de três objetivos principais: 1) Em primeiro lugar, busca-se entender como as políticas públicas são aplicadas pelos intermediários designados pelas autoridades, seja através da oferta e da apresentação de refeições, ou da criação e da disseminação de dispositivos infocomunicacionais e educacionais. 2) Em seguida, pretende-se examinar as práticas alimentares de estudantes de diferentes origens sociodemográficas, bem como seu interesse por questões de saúde, por valores éticos e outras motivações que possam levá-los a favorecer alimentos de origem vegetal e a se engajar na criação de ações de reforma alimentar. 3) Por fim, a tese estudará de que formas os estudantes integram, mantém-se indiferentes ou transgridem normas e conhecimentos promovidos pelas ações dos intermediários. 
De maneira mais geral, a tese permitirá compreender melhor o peso das políticas públicas relativas à alimentação no ingresso à idade adulta, um momento da vida que desempenha um papel fundamental no surgimento e na cristalização a longo prazo de novas práticas, tanto em escala individual quanto social (Cardon, Depecker e Plessz, 2019).
A fim de atingir estes objetivos, estão previstas várias etapas de produção e análise de dados. Será necessário examinar a estratégia e o discurso empregados em dispositivos produzidos pelas instâncias públicas e pelas universidades; realizar incursões etnográficas e observar as práticas de estudantes e funcionários em universidades públicas de ambos os países; conduzir entrevistas semi-dirigidas e grupos focais, e aplicar um inquérito por questionário com os estudantes, de forma a obter dados quantitativos e qualitativos comparáveis entre</t>
  </si>
  <si>
    <t xml:space="preserve">BLUE WAY TO A SUSTAINABLE EUROPE</t>
  </si>
  <si>
    <t xml:space="preserve">The project will develop high-quality proteins and bioactive compounds from European aquaculture and fisheries combined with microalgae systems for applications in nutritional supplements, novel foods, cosmetics, biomaterials and feed, with the aim of adopting a holistic, food-centric and zero-waste approach. The project aims to promote the efficient use of biomass by combining microalgae cultivation and biorefinery to obtain nutrients and functional compounds, while minimizing waste, resource use and pollution. The validity of new products will be documented through clinical, laboratory, sensory, consumer, and clinical trials. The project will address challenges associated with taste, odor, bioactivity, safety, and consumer acceptance to ensure that the products are of high quality and can be effectively marketed.</t>
  </si>
  <si>
    <t xml:space="preserve">grant.14876718</t>
  </si>
  <si>
    <t xml:space="preserve">University of Valencia</t>
  </si>
  <si>
    <t xml:space="preserve">Valencia</t>
  </si>
  <si>
    <t xml:space="preserve">EL PROYECTO DESARROLLARA PROTEINAS Y COMPUESTOS BIOACTIVOS DE ALTA CALIDAD PROCEDENTES DE LA ACUICULTURA Y LA PESCA EUROPEAS COMBINADOS CON SISTEMAS DE MICROALGAS PARA APLICACIONES EN SUPLEMENTOS NUTRICIONALES, NUEVOS ALIMENTOS, COSMETICOS, BIOMATERIALES Y PIENSOS, CON EL OBJETIVO DE ADOPTAR UN ENFOQUE HOLISTICO CENTRADO EN LOS ALIMENTOS Y SIN RESIDUOS. EL PROYECTO TIENE COMO OBJETIVO PROMOVER LA UTILIZACION EFICIENTE DE LAS BIOMASAS, COMBINANDO EL CULTIVO DE MICROALGAS Y LA BIORREFINERIA PARA OBTENER NUTRIENTES Y COMPUESTOS FUNCIONALES, MINIMIZANDO LOS RESIDUOS, EL USO DE RECURSOS Y LA CONTAMINACION. LA VALIDEZ DE LOS NUEVOS PRODUCTOS SE DOCUMENTARA A TRAVES DE ENSAYOS CLINICOS, DE LABORATORIO, SENSORIALES, DE CONSUMO Y CLINICOS. EL PROYECTO ABORDARA LOS DESAFIOS ASOCIADOS CON EL SABOR, EL OLOR, LA BIOACTIVIDAD, LA SEGURIDAD Y LA ACEPTACION DEL CONSUMIDOR, PARA GARANTIZAR QUE LOS PRODUCTOS SEAN DE ALTA CALIDAD Y PUEDAN COMERCIALIZARSE DE MANERA EFECTIVA.</t>
  </si>
  <si>
    <t xml:space="preserve">Are healthy protein-rich termite fungal crops promising as human food?</t>
  </si>
  <si>
    <t xml:space="preserve">https://dff.dk/en/grants/database?SearchableText=Are+healthy+protein-rich+termite+fungal+crops+promising+as+human+food%3F</t>
  </si>
  <si>
    <t xml:space="preserve">grant.13062589</t>
  </si>
  <si>
    <t xml:space="preserve">Michael Poulsen</t>
  </si>
  <si>
    <t xml:space="preserve">2022-11-09</t>
  </si>
  <si>
    <t xml:space="preserve">DFF–Research Project 1 (thematic) (Program)</t>
  </si>
  <si>
    <t xml:space="preserve">Reproduction of the gastrointestinal tract microenvironment for the nutritional study of alternative proteins and their interaction with the microbiota</t>
  </si>
  <si>
    <t xml:space="preserve">MICROGUT has a team of world-class experts whose experience covers all areas of project development.
Beonchip S.L. is the first Spanish company dedicated to the design, production, and marketing of Organ-on-Chip (OOC) devices and is a leader in the European market. In its six years of existence, it has participated in five international and three national R&amp;D projects, in addition to receiving nine awards. Founded in 1928, SALGOT specializes in the production of premium, sustainable, and innovative sausages using traditional formulas. It has over 20 years of experience in R&amp;D projects and has two production plants and an in-house R&amp;D department.
Eurecat is the main technology center in Catalonia and the second largest private research organization in Southern Europe. The center offers applied R&amp;D projects, technological services, highly specialized training, and technological consulting in four technological areas: Industrial, Digital, Biotechnology, and Sustainability. Protein transition aims to replace animal protein with alternative proteins from plant, fungal, algal, or insect sources. This transition represents a growing market trend, despite the limited information available on the actual nutritional quality of these alternative proteins and the long-term impact they may have on consumers' health. Through its report on the expert consultation on the assessment of dietary protein quality in human nutrition, the FAO emphasizes the need to develop standard methodologies and scientific evidence to harmonize the dietary intake of these new products with human protein needs. 
The overall objective of MICROGUT is to investigate the nutritional quality and interaction with the microbiota of new protein alternatives by combining new dynamic digestion technologies and OOC intestinal modeling. 
To address this objective, MICROGUT is divided into four activities: 
(A1) Investigate the application of new OOC technologies to recreate the human colon microenvironment, including the microbiota and its interaction with the epithelium. (A2) Optimize dynamic digestion systems to recreate in vitro the biochemical, microstructural, and fluidic conditions of the three sections of the small intestine. (A3) Investigate the techno-functional properties of up to 20 alternative proteins and the impact of different industrial processes in the meat industry on the protein quality of the resulting products. Finally, (A4) Validate the application of the MICROGUT platform, which integrates the dynamic small intestine coupled to the Colon-on-Chip, for the in vitro assessment of the actual nutritional quality of proteins using PDCAAS and DIAAS scores and for the study of the interaction between these proteins and the microbiota, using in vivo studies in rats and ex vivo studies in humans as reference. 
MICROGUT will generate 
a) new compact and standardizable technological tools that allow the integration of protein quality assessment at the industrial level. b) new scientific evidence on the impact of industrial processes on protein quality and the interaction between alternative proteins and the microbiota.
Eight exploitable results have been identified that will enable the sale of new products (new foods, OOC platforms, mechanical stimulation equipment) and new services that will have a significant impact both economically, with increased sales, the creation of at least four jobs, and a total private investment exceeding one million euros, and in terms of knowledge generation in sectors such as nutrition, agri-food, biomedicine, pharmaceuticals, and toxicology.
Finally, MICROGUT will strengthen the consortium's international leadership capacity in its strategic sectors.</t>
  </si>
  <si>
    <t xml:space="preserve">Reproducción del microambiente del tracto gastrointestinal para el estudio nutricionial de proteínas alternativas y su interacción con la microbiota</t>
  </si>
  <si>
    <t xml:space="preserve">grant.14860328</t>
  </si>
  <si>
    <t xml:space="preserve">MICROGUT cuenta con un equipo de expertos de talla internacional cuya experiencia cubre todas las áreas de desarrollo del proyecto. 
Beonchip S. L es la primera empresa española dedicada al diseño, producción y comercialización de dispositivos de Organ-on-Chip (OOC) y es líder en el mercado europeo. En sus 6 años de existencia ha formado parte de 5 proyectos de I+D+i internacionales y 3 nacionales, además de recibir 9 premios. SALGOT es una empresa fundada en 1928 especializada en la elaboración de embutidos Premium , sostenibles e innovadores, a partir de fórmulas tradicionales. Acumula más de 20 años realizando proyectos de I+D+i,cuenta con 2 plantas de producción y un departamento interno de I+D. 
Eurecat es el principal centro tecnológico de Cataluña y la segunda organización de investigación privada más grande del sur de Europa. El centro ofrece proyectos de I+D aplicados, servicios tecnológicos, formación de alta especialización y consultoría tecnológica en cuatro Áreas Tecnológicas: Industrial, Digital, Biotecnológica y de Sostenibilidad. 
La transición proteica tiene como objetivo la sustitución de proteína animal por proteínas alternativas de orígenes vegetales, fúngicas, algas o insectos. Esta transición representa una tendencia de mercado al alza, a pesar de la escasa información disponible sobre la calidad nutricional real de estas proteínas alternativas y el impacto que pueden tener sobre la salud de los consumidores a largo plazo. La FAO, a través del informe sobre la consulta a expertos sobre la evaluación de la calidad de las proteínas de la dieta en nutrición humana, subraya la necesidad de generar metodologías estándares y evidencias científicas que permitan armonizar el aporte dietético de estos nuevos productos con las necesidades proteicas humanas. 
MICROGUT plantea como objetivo general investigar la calidad nutricional y la interacción con la microbiota de nuevas alternativas proteicas mediante la combinación de nuevas tecnologías de digestión dinámica y modelaje intestinal OOC. 
Para dar respuesta a este objetivo, MICROGUT se divide en cuatro actividades: 
(A1) Investigar la aplicación de nuevas tecnologías de OOC para la recreación del microambiente del colon humano incluyendo la microbiota y su interacción con el epitelio. (A2) Optimizar sistemas de digestión dinámica para recrear in vitro las condiciones bioquímicas, microestructura y fluídica de los tres tramos del intestino delgado. (A3) Investigar las propiedades tecno-funcionales de hasta 20 proteínas alternativas y el impacto de diferentes procesos industriales de la industria cárnica en la calidad proteica de los productos resultantes y por último (A4) Validar la aplicación de la plataforma MICROGUT, que integra el intestino delgado dinámico acoplado al Colon-en-chip, para la valoración in vitro de la calidad nutricional real de proteínas mediante puntuaciones PDCAAS y DIAAS y para el estudio de la interacción entre estas proteínas y la microbiota, utilizando como referencia estudios in vivo en rata y ex vivo en humanos. 
MICROGUT generará 
a) nuevas herramientas tecnológicas compactas y estandarizables que permitan integrar la evaluación de la calidad proteica a nivel industrial. 
b) nuevas evidencias científicas sobre el impacto de los procesos industriales sobre la calidad de proteínas, y la interacción entre proteínas alternativas y la microbiota 
Se han identificado 8 resultados explotables que permitirán la venta de nuevos productos (nuevos alimentos, plataforma para OOC,equipo de estimulación mecánica ) y nuevos servicios que tendrán un gran impacto tanto a nivel económico con el aumento de ventas, la creación de al menos 4 puestos de trabajo y una inversión privada total por encima del millón de euros, como a nivel de generación de conocimiento en sectores como nutrición, agroalimentación, biomedicina, farmacia o toxicología. 
Finalmente,MICROGUT reforzará la capacidad de liderazgo internacional del consorcio sus sectores estratégicos.</t>
  </si>
  <si>
    <t xml:space="preserve">Health effects of diet in young children.</t>
  </si>
  <si>
    <t xml:space="preserve">Do children who eat a lot of plant-based foods get enough nutrients such as protein to grow well? How do convenience foods for young children affect the quality of their diet? Do children who have more sugary snacks and drinks have more tooth decay or tend to become overweight and have high blood pressure later in life? These are some of the questions this research project hopes to answer. Our team from the Universities of Edinburgh, Bristol and Aberdeen will start off by listening to parents to find out what else they might like to know about feeding young children. Studies from around the world have shown that young children s diets affect their health throughout their life. We want to look at the detailed picture for today's UK children.  To find out how foods and drinks affect health and growth in younger children we will use information from two ongoing surveys:   The National Diet and Nutrition Survey (NDNS), which collects information on foods and drinks consumed over two days and the height and weight of a representative sample of the UK population. Around 1,200 1-5 year-olds are expected to take part between 2019 and 2025. The survey of Diet in Scotland s Children (DISH), which is collecting information on diets of around 300 children aged 2-5 years across Scotland in 2024, and asking parents how difficult they find it to afford good food.  To understand how young children s food habits may affect their growth and health as they grow into young adults we will use information from two long-running studies:  The Avon Longitudinal Study of Parents and Children (ALSPAC), a Bristol-based study of 14,000 children born in 1991-2. This study has detailed food records collected for around 1,000 children when they were under 5 years and measurements of growth and bone, dental, lung and heart health at the ages of 17, 24 and 30 years. The Study of Eczema and Asthma To Observe the Effects of Nutrition (SEATON), which collected information on diets in around 1,500 children aged 5 years in NE Scotland in 2003-4. We will obtain school dental records from when they were aged 5 and 11 years and measurements of lung health at the ages of 15 and 25 years.  The team will not be able to identify individual children in any of the studies. The four studies together cover the past 30 years. By comparing them we will see how recent changes in children s diet could affect the health of future adults. The results of the project will be discussed with parents and shared with the NHS and other teams who develop programmes and advice to help parents and carers to feed young children well.The overall aim of this project is to assess how the diet of children aged 1-5y in the UK influences their health in childhood, adolescence and early adulthood. The specific objectives are to address questions raised by the UK Scientific Advisory Committee on Nutrition (SACN) in their 2023 report on Feeding Infants and Young Children. This report highlighted the need for evidence on how the intake of foods such as convenience toddler foods or plant-based milks, or of nutrients such as free sugars in fruit juice and smoothies or animal vs. plant proteins, influence the nutrient adequacy of the diet and contribute to growth and development and to overweight, dental caries and cardio-metabolic health into adulthood. To address these questions, we will carry out secondary analysis of data from four surveys which include measurements of diet in young children:  The National Diet and Nutrition Survey (NDNS) which collects diet by on-line 24-hour recall on 2 days in a representative sample of the UK population, along with measurements of height and weight. We will use data from approximately 1200 children aged 1- 5 years expected to take part between 2019 and 2025. The Diet in Scotland s Children (DISH) survey which is collecting diet information by on-line 24-hour recall over 2-4 days in a representative sample of children in Scotland, along with data on household food insecurity. Around 300 children aged 2-5 years are expected to take part during spring 2024. The Avon Longitudinal Study of Parents and Children (ALSPAC) is a birth cohort of children born in 1991-2 in the county of Avon, in whom diet was measured by 3-day food diary at ages 1.5, 3 and 4 years in around 1,000 children. Detailed measures of growth, development and health have been made in the majority of these children up to the age of 30 years. The Study of Eczema and Asthma To Observe the effects of Nutrition (SEATON) birth cohort study of children born in NE Scotland in 1998-9, in whom diet was measured by food frequency questionnaire at age 5 years in around 1,000 children. Dentist-assessed oral health at ages 5 and 11 years will be obtained from the records of the School National Dental Inspection Programme.  The NDNS and DISH studies will provide information on the diets of present-day young children across the UK and will allow us to assess the changes in children s diets since the 1990s. These changes will help us to interpret the longer-term health outcomes of diet observed in the ALSPAC and SEATON studies. Our analyses will adjust for the effects of confounding variables such as child sex, household socioeconomic position and physical activity, dietary habits, and smoking habits in adolescence and adulthood.</t>
  </si>
  <si>
    <t xml:space="preserve">https://fundingawards.nihr.ac.uk/award/NIHR207072</t>
  </si>
  <si>
    <t xml:space="preserve">grant.14631680</t>
  </si>
  <si>
    <t xml:space="preserve">Geraldine McNeill, Alexandra Bellows, Amelia Finaret, Kate Northstone, Leone Craig</t>
  </si>
  <si>
    <t xml:space="preserve">Edinburgh</t>
  </si>
  <si>
    <t xml:space="preserve">2024-12-01</t>
  </si>
  <si>
    <t xml:space="preserve">National Institute for Health and Care Research</t>
  </si>
  <si>
    <t xml:space="preserve">Policy Research Programme (Program)</t>
  </si>
  <si>
    <t xml:space="preserve">The development of green electrochemistry methods to improve the efficiency of food production: molecular, multicomponent and cellular biological targets of an electrochemically activated aqueous solution</t>
  </si>
  <si>
    <t xml:space="preserve">In the development of the project, it is planned to expand the research horizon by simulating in the laboratory food processing of biological raw materials that include targets simultaneously at the molecular, polycomponent and cellular level. These include the extraction of substances, such as natural dyes or flavorings, from plant raw materials into water or an aqueous-alcoholic mixture that are useful for the food industry. At the same time, the main technological difficulty lies in destroying the strong cellulose wall surrounding the plant cell, for which the raw material is most often treated with a water medium heated to high temperature and/or with an extremely changed pH value. In both cases, modification of the extracted substance molecule occurs, i.e. an unpredictable change in its properties. Also impurities are introduced by acid or alkali when the acidity of the extracting aqueous medium changes. These uncertainties can be overcome by replacing water with metastable ECAS fractions that are reduced to water over time. In other words, given the unique physicochemical properties of ECAS, the hypothesis that extraction of water-soluble substances from a plant cell is possible in the absence of heating and without adding auxiliary ingredients is considered. This prediction serves as the scientific leitmotif of the project under consideration.
A popular technological solution aimed at destroying the cellulose shell is the combined effect of an aqueous solution and ultrasound. In this work, it is planned to study the effectiveness of ECAS fractions against the background of ultrasound generation in the "dry fog" mode. As a result, the aqueous solution is converted into a fine aerosol of submicron droplets, which should make the extraction process more efficient. Subsequent distillation of the aerosol allows separation of the insoluble component from the extract without using filtration, centrifugation, or other labor- and energy-intensive techniques. The design principles of such an approach will be perfected by creating a working mock-up with subsequent study of the extract obtained through a set of analytical methods, microweighing of the dry residue and microscopy.
Extraction of food flavorings from vegetable raw materials into water-alcohol mixture has its own features, but the problem remains the speed of extraction, preservation of molecular composition of extracted substances and completeness of their separation. Replacing water with ECAS fractions allows to make this process more effective. For example, adding a significant volume (up to 30%) of reduced water fraction to ethanol stabilizes ethanol, preventing oxidation of extractable substances. On the contrary, the oxidized water fraction increases the level of aldehydes, which improves the organoleptic properties of the final product. Dry mist extraction will also be used for the alcohol solution. In this case, the set of analytical methods will be supplemented by gas chromatography, a method used to test vodkas, bitter tinctures and alcohol-containing drinks.
A complex, interesting and at the same time promising object appears to be a homogeneous semi-finished product in the form of minced meat, the technological parameters of which are changed by the addition of ECAS. Biological components included in the minced meat (muscle and connective tissue) form the performance of this semi-finished product and the final product. In this case, the technological impact is accompanied by the destruction of the cell membrane, cell lysis, cleavage of sarcomeres and fibers. Thus, the applied food technology affects the molecular and/or cellular targets of raw materials. Adhering to the concept of the project, in this part of the work will be a comparative analysis of minced meat by the criterion of its mechanical properties, the results of gel - electrophoresis of muscle proteins, as well as morphological (light microscopy) and ultrastructural (electron microscopy) features.</t>
  </si>
  <si>
    <t xml:space="preserve">http://www.rscf.ru/en/enprjcard?rid=23-16-45002</t>
  </si>
  <si>
    <t xml:space="preserve">grant.14698099</t>
  </si>
  <si>
    <t xml:space="preserve">Alexander Pogorelov</t>
  </si>
  <si>
    <t xml:space="preserve">Institute of Theoretical and Experimental Biophysics</t>
  </si>
  <si>
    <t xml:space="preserve">Pushchino</t>
  </si>
  <si>
    <t xml:space="preserve">Climate smart milk proteins for an energy efficient cheese production</t>
  </si>
  <si>
    <t xml:space="preserve">The project aims to develop a vegetable-based production system for casein, which is the main component in cheese. The production system will reduce energy use by more than 30% and greenhouse gas emissions by more than 80% per kg of end product (cheese) compared with the current milk-based production system for cheese while the Swedish food industry gets a new product. The project is judged to be innovative with a clear news value and whose results are judged to lead to a new consumer product with a marked environmental profile.</t>
  </si>
  <si>
    <t xml:space="preserve">https://www.vr.se/swecris.html#/project/P2020-90261_Energi</t>
  </si>
  <si>
    <t xml:space="preserve">grant.13903257</t>
  </si>
  <si>
    <t xml:space="preserve">Joint project: Matured cheese alternatives based on recombinant milk proteins and vegetable fats (REALKAE) - Subproject C</t>
  </si>
  <si>
    <t xml:space="preserve">Matured cheese alternatives based on recombinant milk proteins and vegetable fats (REALKAE)</t>
  </si>
  <si>
    <t xml:space="preserve">Verbundprojekt: Gereifte Käsealternativen auf der Basis von rekombinanten Milchproteinen und pflanzlichen Fetten (REALKAE) - Teilprojekt C</t>
  </si>
  <si>
    <t xml:space="preserve">https://foerderportal.bund.de/foekat/jsp/SucheAction.do?actionMode=view&amp;fkz=281A812C21</t>
  </si>
  <si>
    <t xml:space="preserve">grant.14102534</t>
  </si>
  <si>
    <t xml:space="preserve">2024-06-15</t>
  </si>
  <si>
    <t xml:space="preserve">Direct project funding (Type of funding); Technology and innovation promotion (Funding profile)</t>
  </si>
  <si>
    <t xml:space="preserve">Joint project: Matured cheese alternatives based on recombinant milk proteins and vegetable fats (REALKAE) - Subproject B</t>
  </si>
  <si>
    <t xml:space="preserve">Verbundprojekt: Gereifte Käsealternativen auf der Basis von rekombinanten Milchproteinen und pflanzlichen Fetten (REALKAE) - Teilprojekt B</t>
  </si>
  <si>
    <t xml:space="preserve">https://foerderportal.bund.de/foekat/jsp/SucheAction.do?actionMode=view&amp;fkz=281A812B21</t>
  </si>
  <si>
    <t xml:space="preserve">grant.14102533</t>
  </si>
  <si>
    <t xml:space="preserve">Stuttgart</t>
  </si>
  <si>
    <t xml:space="preserve">Joint project: Matured cheese alternatives based on recombinant milk proteins and vegetable fats (REALKAE) - Subproject A</t>
  </si>
  <si>
    <t xml:space="preserve">Verbundprojekt: Gereifte Käsealternativen auf der Basis von rekombinanten Milchproteinen und pflanzlichen Fetten (REALKAE) - Teilprojekt A</t>
  </si>
  <si>
    <t xml:space="preserve">https://foerderportal.bund.de/foekat/jsp/SucheAction.do?actionMode=view&amp;fkz=281A812A21</t>
  </si>
  <si>
    <t xml:space="preserve">grant.14102532</t>
  </si>
  <si>
    <t xml:space="preserve">Optimization of structure and sensory properties of reduced-fat heated sausage hybrid products using vegetable proteins</t>
  </si>
  <si>
    <t xml:space="preserve">Optimisation of structure and sensory properties of reduced-fat heated sausage hybrid products using plant proteins</t>
  </si>
  <si>
    <t xml:space="preserve">Optimierung von Struktur und Sensorik fettreduzierter erhitzter Wursthybriderzeugnisse unter Zuhilfenahme pflanzlicher Proteine</t>
  </si>
  <si>
    <t xml:space="preserve">https://foerderportal.bund.de/foekat/jsp/SucheAction.do?actionMode=view&amp;fkz=01IF23390N</t>
  </si>
  <si>
    <t xml:space="preserve">grant.14474394</t>
  </si>
  <si>
    <t xml:space="preserve">Bonn</t>
  </si>
  <si>
    <t xml:space="preserve">Technology and innovation promotion (Funding profile); Direct project funding (Type of funding)</t>
  </si>
  <si>
    <t xml:space="preserve">Single cell protein production by anaerobic respiration (AnaPro)</t>
  </si>
  <si>
    <t xml:space="preserve">Microbes (bacteria, fungi and algae) can be used to produce pharmaceuticals, bioplastics, nutritional supplements, feed or food. For these purposes, they are grown to very high density in a process termed high cell density cultivation (HCDC). They can utilize resources that are not directly usable to us and would otherwise be lost; they can even grow on “air and water”. A range of aerobic cultivation strategies, dependent on costly oxygen provision, are already in use, but no HCDC method using anaerobic (oxygen free) respiration has been developed. This is somewhat surprising because a wide range of bacteria can respire anaerobically, with high biomass yields. We have invented a method for HCDC by anaerobic respiration (patent pending) and will explore the imperatives for maximal growth, the boundaries in terms of biomass yield, and range of growth substrates and energy sources. A likely outcome is up-scalable ideas for industrial application.
</t>
  </si>
  <si>
    <t xml:space="preserve">grant.13908981</t>
  </si>
  <si>
    <t xml:space="preserve">Linda Bergaust</t>
  </si>
  <si>
    <t xml:space="preserve">2021-09-01</t>
  </si>
  <si>
    <t xml:space="preserve">Development of dairy substitutes using oil from oleaginous yeast grown on industrial side-streams</t>
  </si>
  <si>
    <t xml:space="preserve">Today milk and dairy product consumption are responsible for 3-4% of global Greenhouse Gas emissions, and consumption is rising. The market for dairy alternatives, which have a significantly lower carbon footprint, is growing but is not convincing a large proportion of consumers given that organoleptic properties are not yet to the standard of dairy. Fats play an essential role here, as we know they are key in creating the mouthfeel consumers enjoy in dairy and other products. We believe that this need for a better ingredient for dairy alternatives can be satisfied by a lipid extract.During our previous work on fats from oleaginous yeast, we have discovered that by extracting lipids using a specific extraction process, they have a range of useful properties for dairy substitutes. We have initial results that our extracts have emulsifying properties, create a solid white color, and have lower lipid oxidation compared to plant oils.The value proposition of yeast lipid extract relies on its ability to mimic milk fat on sensory and functional grounds, as no other plant-based fat ingredient has yet been able to do before. Additional advantages are low lipid oxidation, the possibility to grow the yeast on industrial side-streams, and the ability to tailor the fatty acid composition of the fats by techniques like selective breeding, directed evolution, and metabolic engineering. The plant-based dairy market, worth 3 billion EUR in Europe, is in dire need of innovations in fat sourcing. It is evident that plant-sourced fat mixtures cannot sufficiently mimic the behavior of milkfat, failing to provide the sensory journey most European consumers expect due to their strong dairy inheritance. We have interviewed several producers of dairy alternatives who showed interest in the ingredient we plan to develop and asked for samples. Two have already signed Letters of Intent stating their willingness to create prototypes with us for potential commercial production later on.The project goals are to optimize the fat extraction from yeast, determine the oxidative stability of this extraction, characterize the lipids and proteins in the lipid droplets and produce various dairy alternatives prototypes. To achieve these goals, we will work in collaboration with several stakeholders. Furthermore, we will work with several laboratories and facilities at the universities in the region to have access to different equipment. We are already in contact with all these stakeholders and ensured their support for the project.We are already creating the startup, which will work with a B2B business model receiving revenue from the sale of the ingredient. Our go-to-market strategy will be based on signature product launches working with dairy substitute producers and retailers in order to get visibility. This will be followed by a collaboration with ingredient suppliers, to enable more producers to purchase our ingredient and use it for diverse products.We strongly believe that this project and the subsequent startup created can contribute to decreasing the global greenhouse gases caused by the dairy industry. This can be done while preserving the artisanal production process of dairy products that will work with the developed ingredient. Finally, this project will activate important parts of the food tech ecosystems in Switzerland and be a source of revenue for the whole region.</t>
  </si>
  <si>
    <t xml:space="preserve">https://data.snf.ch/grants/grant/205891</t>
  </si>
  <si>
    <t xml:space="preserve">grant.10055486</t>
  </si>
  <si>
    <t xml:space="preserve">Tomas Turner, Susanne Miescher Schwenninger, Sandra Mischler, Tomas Turner, Katharina Übelhör</t>
  </si>
  <si>
    <t xml:space="preserve">2022-02-01</t>
  </si>
  <si>
    <t xml:space="preserve">Bridge - Proof of Concept (Funding Instrument); Programmes (Funding Instrument Hierarchy)</t>
  </si>
  <si>
    <t xml:space="preserve">OBTAINING, PURIFICATION AND FUNCTIONALIZATION OF LUPIN PROTEIN ISOLATES AND THEIR APPLICATION IN THE PRODUCTION OF MEAT ANALOGUES.</t>
  </si>
  <si>
    <t xml:space="preserve">Today, consumers demand safe, high-quality foods with excellent sensory properties, being aware that their diet plays a fundamental role in their health and well-being. Furthermore, there is a strong trend toward consuming organic foods or foods obtained through sustainable production systems, as well as an increase in the consumption of vegan products. In this regard, there are multiple legumes that can be used as protein sources for food production. This would be the case with lupin, which has a high protein content, which, together with its low requirements and high adaptability to adverse climatic conditions, makes it an excellent candidate for obtaining protein isolates (LPI). Therefore, this project aims to characterize various varieties of lupin with the aim of selecting those with optimal protein content and low fat content. Lupin also has significant amounts of anti-nutritional factors (ANF) such as polyphenols, saponins, and alkaloids, which will be taken into account when selecting varieties for the subsequent stages of the project. For the extraction and purification of LPI, and in line with the use of environmentally friendly processes, emerging technologies will be employed to minimize the use of large amounts of water or other solvents. FOR THIS END, LUPIN FLOURS WILL BE PRE-TREATMENT WITH ELECTRICAL PULSES (PEF) TO PROMOTE ELECTROPORATION OF PLANT CELLS AND FACILITATE PROTEIN AND ANF EXTRACTION. ONCE THE PRE-TREATMENT HAS BEEN CARRIED OUT, AND AS A METHOD TO OBTAIN THE PUREST POSSIBLE PROTEIN ISOLATE, SUPERCRITICAL FLUID EXTRACTION (SFC) WILL BE USED FOR THE EXTRACTION OF FAT AND ANF. THE EXPERIMENTAL DESIGN WILL BE DEVELOPED TO OBSERVE THE BEST EXTRACTION CONDITIONS THAT ALLOW A PURE PROTEIN ISOLATE, ENSURING THE MAXIMUM EXTRACTION OF FAT AND ANF. ELECTRICAL PULSE TREATMENTS WILL ALSO BE APPLIED, IN THIS CASE TO IMPROVE PROTEIN ISOLATION, SINCE PROTEIN SOLUBLIZATION AND AGGREGATION CAN BE MODIFIED UNDER THE ACTION OF ELECTRIC FIELDS.
Another important challenge posed by these protein isolates is to improve their physical properties (rheological, solubilization, foaming capacity, etc.). THEREFORE, WITH THE SPECIFIC OBJECTIVE OF IMPROVING SOLUBLIZATION AND EMULSIFYING PROPERTIES, LPIs WILL BE SUBJECTED TO ENZYMATIC HYDROLYSIS, WITH DIFFERENT PROTEOLYTIC ENZYMES, TO OPTIMIZE THE CONDITIONS AND OBTAIN A LPI WITH THE DESIRED CHARACTERISTICS. IN ADDITION, IT SHOULD BE NOTED THAT HYDROLYSIS ALSO ELIMINATES ALLERGENS, SINCE IT MODIFIES AND REDUCES THE POLYPEPTIDES RESPONSIBLE FOR THE ALLERGIC REACTIONS CAUSED BY LUPIN, AT THE SAME TIME AS IT GIVES RISE TO BIOACTIVE PEPTIDES WITH HIGH ANTIOXIDANT AND FUNCTIONAL POWER. Finally, and as a practical application, the optimized LPI will be used to produce, in our case, two meat analogues. One is a burger type and the other is a fermented and cured sausage. The technological feasibility, the best processing and formulation conditions, as well as its complete characterization, including composition, physical and chemical properties, and sensory characteristics, will be the subject of study.</t>
  </si>
  <si>
    <t xml:space="preserve">OBTENCION, PURIFICACION Y FUNCIONALIZACION DE AISLADOS PROTEICOS DE ALTRAMUZ Y SU APLICACION EN LA ELABORACION DE ANALOGOS CARNICOS.</t>
  </si>
  <si>
    <t xml:space="preserve">grant.14849859</t>
  </si>
  <si>
    <t xml:space="preserve">EN LA ACTUALIDAD, LOS CONSUMIDORES DEMANDAN ALIMENTOS SEGUROS, DE CALIDAD, Y CON EXCELENTES PROPIEDADES SENSORIALES, SIENDO CONSCIENTES QUE SU DIETA JUEGA UN PAPEL FUNDAMENTAL EN LA SALUD Y EN EL BIENESTAR. ADEMAS, EXISTE UNA GRAN TENDENCIA AL CONSUMO DE ALIMENTOS ECOLOGICOS U OBTENIDOS BAJO SISTEMAS DE PRODUCCION SOSTENIBLE, ASI COMO UN AUMENTO DEL CONSUMO DE PRODUCTOS VEGANOS. EN ESTE SENTIDO, EXISTEN MULTIPLES LEGUMINOSAS QUE SON SUSCEPTIBLES DE SER EMPLEADAS COMO FUENTE PROTEICA PARA LA ELABORACION DE ALIMENTOS. ESTE SERIA EL CASO DEL ALTRAMUZ, QUE PRESENTA UNA ELEVADA CANTIDAD DE PROTEINA, QUE JUNTO CON LOS BAJOS REQUERIMIENTOS Y SU ALTA ADAPTACION A CONDICIONES CLIMATICAS ADVERSAS HACEN QUE SEA UN EXCELENTE CANDIDATO PARA LA OBTENCION DE AISLADOS PROTEICOS (LPI). 
POR TANTO, EL PRESENTE PROYECTO PRETENDE CARACTERIZAR DIVERSAS VARIEDADES DE ALTRAMUZ CON EL OBJETIVO DE SELECCIONAR AQUELLAS QUE PRESENTEN UN OPTIMO CONTENIDO DE PROTEINA Y UN BAJO CONTENIDO GRASO. EL ALTRAMUZ PRESENTA TAMBIEN IMPORTANTES CONTENIDOS DE FACTORES ANTINUTRICIONALES (ANF) COMO LOS POLIFENOLES, LAS SAPONINAS O LOS ALCALOIDES, QUE SERAN TENIDOS EN CUENTA A LA HORA DE SELECCIONAR LAS VARIEDADES PARA LAS SIGUIENTES ETAPAS DEL PROYECTO. 
PARA LA OBTENCION Y PURIFICACION DE LPI, Y EN LINEA CON LA UTILIZACION DE PROCESOS RESPETUOSOS CON EL MEDIO AMBIENTE, SE EMPLEARAN TECNOLOGIAS EMERGENTES QUE NOS PERMITAN MINIMIZAR DEL USO DE GRANDES CANTIDADES DE AGUA U OTROS DISOLVENTES. PARA ELLO, A LAS HARINAS DE ALTRAMUZ SE LES APLICARAN UN PRE-TRATAMIENTO CON PULSOS ELECTRICOS (PEF) PARA PROVOCAR LA ELECTROPORACION DE LAS CELULAS VEGETALES Y FACILITAR LA EXTRACCION PROTEICA Y DE LOS ANF. UNA VEZ REALIZADO EL PRE-TRATAMIENTO, Y COMO METODO PARA OBTENER UN AISLADO PROTEICO LO MAS PURO POSIBLE, SE USARA LA EXTRACCION POR FLUIDOS SUPERCRITICOS (SFC) PARA LA EXTRACCION DE LA GRASA Y ANF. EL DISEÑO EXPERIMENTAL SERA DESARROLLADO PARA OBSERVAR LAS MEJORES CONDICIONES DE EXTRACCION QUE PERMITA UN AISLADO PROTEICO PURO, ASEGURANDO LA MAXIMA EXTRACCION DE GRASA Y ANF. TAMBIEN SE APLICARAN TRATAMIENTOS CON PULSOS ELECTRICOS, EN ESTE CASO PARA MEJORAR EL AISLAMIENTO DE LAS PROTEINAS, YA QUE LA SOLUBILIZACION Y LA AGREGACION DE LAS PROTEINAS PUEDEN SER MODIFICADAS BAJO LA ACCION DE CAMPOS ELECTRICOS. 
OTRO IMPORTANTE RETO QUE PRESENTAN ESTOS AISLADOS PROTEICOS ES MEJORAR SUS PROPIEDADES FISICAS (REOLOGICAS, SOLUBILIZACION, CAPACIDAD DE FORMAR ESPUMA ETC.). POR TANTO, CON EL OBJETIVO ESPECIFICO DE MEJORAR LA SOLUBILIZACION Y LAS PROPIEDADES EMULSIFICANTES, LOS LPI SERAN SOMETIDOS A HIDROLISIS ENZIMATICA, CON DIFERENTES ENZIMAS PROTEOLITICAS, PARA OPTIMIZAR LAS CONDICIONES Y OBTENER UN LPI CON LAS CARACTERISTICAS DESEADAS. ADEMAS, CABE DESTACAR QUE LA HIDROLISIS TAMBIEN ELIMINA ALERGENOS, YA QUE MODIFICA Y REDUCE LOS POLIPEPTIDOS RESPONSABLES DE LAS REACCIONES ALERGICAS PROVOCADAS POR EL ALTRAMUZ, AL MISMO TIEMPO QUE DA LUGAR A PEPTIDOS BIOACTIVOS CON ALTO PODER ANTIOXIDANTE Y FUNCIONAL. 
FINALMENTE, Y COMO APLICACION PRACTICA, LOS LPI OPTIMIZADOS SERAN EMPLEADOS PARA LA ELABORACION, EN NUESTRO CASO, DE DOS ANALOGOS CARNICOS. UNO TIPO BURGER Y OTRO UN EMBUTIDO FERMENTADO Y CURADO. LA VIABILIDAD TECNOLOGICA, LAS MEJORES CONDICIONES DE PROCESADO Y FORMULACION ASI COMO SU COMPLETA CARACTERIZACION, INCLUYENDO COMPOSICION, PROPIEDADES FISICO-QUIMICAS Y CARACTERISTICAS SENSORIALES SERAN OBJETO DE ESTUDIO.</t>
  </si>
  <si>
    <t xml:space="preserve">The Bean Company</t>
  </si>
  <si>
    <t xml:space="preserve">Purpose and goal: 
** Denna text är maskinöversatt ** 
Objective
Show how we can create a Swedish protein extraction plant to meet food producers´ needs for a Swedish-produced plant protein.
Fulfillment
Founded a market in rapid growth with a need for development.
The market exists and suitable technology for extraction that meets needs and sustainability requirements are defined. First plant for fractioning is established and more in planning that will cover more than the Swedish needs.
 The survey has shown a greater need for a facility for texturing and flavoring, this part is missing in the value chain. 
Expected results and effects: 
** Denna text är maskinöversatt ** 
The project has established that there is a market for plant proteins in strong growth with development needs
There is technology for extraction that meets needs and sustainability requirements
That fractionation plants have been established and are being established that will cover more than Sweden´s needs
Swedish plant for texturing and flavoring of plant proteins for the food industry is missing.
The Project will focus it´s work to establish a Swedish plant for texturing and flavoring of plant proteins for the food industry 
Approach and implementation: 
With the work packages concerned, a project plan was drawn up, timetable with partial reconciliations for joint follow-up 
Ongoing dialogue and follow-up by the project manager and coordinator to secure progress and results.
Market - Macklean
External databases
External market mapping
Own previous studies
Interviews
Analyses and conclusions
Production - SLU
Literature studies
Research reports own and external 
Contacts with other academic institutions
Technology providers
Lab tests
Analyzes and recommendations</t>
  </si>
  <si>
    <t xml:space="preserve">https://www.vr.se/swecris.html#/project/2021-03602_Vinnova</t>
  </si>
  <si>
    <t xml:space="preserve">grant.9970266</t>
  </si>
  <si>
    <t xml:space="preserve">2021-11-01</t>
  </si>
  <si>
    <t xml:space="preserve">Study of the effect of protein and fiber on the digestibility of lipids in oil-water emulsions using an in vitro model</t>
  </si>
  <si>
    <t xml:space="preserve">A large part of the fat in processed foods is consumed in the form of emulsions, e.g. soups, yoghurts, sausages, ice cream and mayonnaise. Excessive consumption of products rich in fat, but at the same time rich in sugar and poor in fibre leads to the development of overweight, obesity, type 2 diabetes, hypertension and heart disease. These diseases affect both the adult and young population. The aim of the project is to design a mechanism for lipid digestion in the vicinity of fibre or the addition of plant protein as a natural emulsifier, so as to slow down lipid digestion. In the project, the role of protein and fibre in reducing lipid digestion will be examined in emulsions. We will develop emulsions stabilised with protein and fibre. A number of proteins will be tested, such as rapeseed protein, soy protein, pea protein, wheat protein, whey protein and casein micelles. The oil-in-water emulsion formula will be produced with the participation of natural fiber, e.g. beta-glucan or cellulose. The emulsions obtained will be characterized in terms of coalescence resistance, droplet size and interphase composition. The most stable emulsions will be selected and subjected to the in vitro digestion procedure in the next stage. The rate and extent of lipid digestion will be measured, as well as changes in the rheology and microstructure of the emulsion. Changes in the oil-water interphase layer will be carefully examined using advanced microscopic methods, such as scanning electron microscopy. Emulsions rich in fiber, which due to their molecular and macrostructural architecture will slow down lipid digestion will be selected for the next stage. The selected emulsions will be introduced into appropriate food products, such as sausages, pates, yogurts or others. The enriched food products will be digested. The kinetics of lipid digestion will be characterized. Food products with reduced kinetics of lipid digestion will be investigated in physicochemical analysis. The project results will provide new knowledge on how an emulsion rich in fiber and/or vegetable protein can reduce lipid digestion. The influence of the type and content of fiber and protein will be presented in order to design the parameters for obtaining emulsions and their appropriate molecular composition. The data from the project will potentially indicate the direction of designing foods containing ingredients that induce a feeling of satiety.</t>
  </si>
  <si>
    <t xml:space="preserve">Badanie wpływu białka i błonnika na strawność lipidów w emulsjach typu olej-woda za pomocą modelu in vitro</t>
  </si>
  <si>
    <t xml:space="preserve">https://projekty.ncn.gov.pl/index.php?projekt_id=578051</t>
  </si>
  <si>
    <t xml:space="preserve">grant.13790133</t>
  </si>
  <si>
    <t xml:space="preserve">Mirosław Kasprzak</t>
  </si>
  <si>
    <t xml:space="preserve">University of Agriculture in Krakow</t>
  </si>
  <si>
    <t xml:space="preserve">Krakow</t>
  </si>
  <si>
    <t xml:space="preserve">2023-09-19</t>
  </si>
  <si>
    <t xml:space="preserve">OPUS 24 (LAP) (Competition)</t>
  </si>
  <si>
    <t xml:space="preserve">Meat, dairy</t>
  </si>
  <si>
    <t xml:space="preserve">Duża część tłuszczu w przetworzonej żywności jest spożywana w postaci emulsji, np. zupy, jogurty, kiełbasy, lody i majonez . Nadmierna konsumpcja produktów bogatych w tłuszcze, ale jednocześnie bogata w cukier i uboga w błonnik prowadzi do rozwoju nadwagi, otyłości, cukrzycy typu 2, nadciśnienia tętniczego czy chorób serca. Choroby te dotyczą zarówno dorosłej, jak i młodej popul acji. Celem projektu jest zaprojektowanie mechanizm u trawienia lipidów w sąsiedztwie błonnika lub dodatku białka roślinnego jako naturalnego emulgatora , tak aby spowolnić trawienie lipidów. W projekcie, rola białka oraz błonnika w redukcji trawienia lipidów zostanie zbadana w emulsjach. Opracujemy emulsje stabil izowane białkiem i błonnikiem. Testowany będzie szereg białek, takich jak białko rzepakowe , sojowe, białko groch u, białko pszenicy, białko serwatki czy micele kazeiny. Formuła emulsji typu olej w wodzie , będzie wytwarzana z udziałem naturalnego błonnika np. beta-glukan u lub celuloz y. Otrzymane emulsje będą charakteryzowane , pod względem odporności na koalescencję, wielkoś ci kropelek oraz skład u międzyfazow ego. Najbardziej stabilne emulsje zostaną wyselekcjonowane i poddane w kolejnym etapie procedurze trawienia in vitro. Mierzone będzie tempo i zasięg trawienia lipidów, a także zmiany w reologii i mikrostrukturze emulsji. Zmiany w warstwie międzyfazowej oleju i wody zostaną dokładnie zbadane za pomocą zaawansowanych metod mikroskopowyc h, takich jak np. skaningowy mikroskop elektronowy. Emulsje bogate w błonnik, które ze względu na swoją architekturę molekularną i makrostrukturalną spow olnią trawienie lipidów zostaną wybrane na następnego etapu . Wyselekcjonowane emulsje zostaną wprowadzo ne do odpowiednich produktów spożywczych, takich jak kiełbas , pasztet ów, jogurt ów lub innych. Wzbogacone produkty spożywcze będą trawione . Kinetyka trawienia lipidów zostanie scharakteryzowana . Produkty spożywcze o zmniejszonej kinetyce trawienia lipidów zostaną zbadane w analizie fizykochemicznej . Wyniki projektu przyniosą nową wiedzę o tym, jak emulsja bogata w błonnik i/lub białko roślinne może zmniejszyć trawienie lipidów. Wpływ rodzaju oraz zawartości błonnika i białka będzie przedstawiony , tak aby zaprojektować parametry otrzymywania emulsji i ich odpowiednią molekularną kompozycję. Dane z projektu potencjalnie wskażą kierunek projektowania żywności zawierającej składniki wywołujące uczucie sytości.</t>
  </si>
  <si>
    <t xml:space="preserve">Alternative sources for high added value food and/or feed ingredients</t>
  </si>
  <si>
    <t xml:space="preserve">The world is facing the daunting challenge of increasing and improving the quality of its food production to match its population growth, and simultaneously of making its food production system more sustainable if it wants to reach the goals set in the Paris Agreement on climate change (more than a quarter of greenhouse gases are generated by the food production system).
In the EU, an additional challenge comes up since about 75% of protein production is imported. This dependence on imports represents a weakness as supply chain disruptions have become much more common, due to pandemic crises or geopolitical upheavals.
ARB has developed a high-quality protein ingredient, called SylPro, that addresses all these challenges. It valorises under-used feedstock (such as agricultural or forestry residues) as raw material and harnesses the power of a proprietary yeast to produce a protein rich ingredient that can be used directly for human food or animal feed. ARB’s technology can thus produce proteins both locally and on a very large scale since lignocellulosic material and agricultural side streams are available in huge quantities. Thanks to a robust and efficient process, it also has a low environmental footprint, making its product one of the protein ingredients with the lowest CO2 emissions.
SYLPLANT is building on the success of its demonstration program SYLFEED, a 4-years innovative collaborative project financed by BBI-JU (2017-2021).For this project, ARB proposes to move to the next step, building its first-of-a-kind commercial plant with a capacity of 10 kt/year of SylPro and developing market applications with various partners.
Upon completion, SYLPLANT will then deliver an industrial plant producing a high-quality protein ingredient, innovative market products in the food, petfood and aquafeed sectors, and a roadmap for building larger plants combining ARB and FIB’s technologies, making the vision of creating food from under-used and local resources a reality.</t>
  </si>
  <si>
    <t xml:space="preserve">https://cordis.europa.eu/project/id/101112555</t>
  </si>
  <si>
    <t xml:space="preserve">grant.13718570</t>
  </si>
  <si>
    <t xml:space="preserve">Centre for innovative process engineering; Biozoon (Germany); Institut für Energie- und Umweltforschung Heidelberg; BioMar (Norway)</t>
  </si>
  <si>
    <t xml:space="preserve">Stuhr; Bremerhaven; Heidelberg; Myre</t>
  </si>
  <si>
    <t xml:space="preserve">2023-06-01</t>
  </si>
  <si>
    <t xml:space="preserve">Functionalization of alternative proteins through the application of dynamic homogenization and ultrasound technologies</t>
  </si>
  <si>
    <t xml:space="preserve">Homogenization techniques such as ultrahigh pressure homogenization (UHPH), microfluidization, and ultrasound (US) are versatile technologies capable of producing changes in the colloidal structures of foods, such as proteins. Consequently, these technologies have great potential to improve the technofunctional properties (water and oil retention capacities, emulsifiers, foaming agents, gelling agents, etc.), the digestibility, and the bioavailability of the bioactive compounds contained in the treated foods. ALTERNATIVE PROTEINS AND THEIR INCLUSION IN NEW FOOD PRODUCTS IS ONE OF THE MOST DEBATED TOPICS IN FOOD SCIENCE AND TECHNOLOGY. THIS IS A CHALLENGE SINCE PROTEINS OF PLANT ORIGIN HAVE MUCH MORE LIMITED FUNCTIONAL PROPERTIES THAN THOSE OF ANIMAL ORIGIN. ON THE OTHER HAND, AND GIVEN THE INCREASE IN MEAT CONSUMPTION, THE USE OF SLAUGHTERHOUSE BY-PRODUCTS, WITH HIGH CONTENT OF HIGH BIOLOGICAL VALUE PROTEINS, IS ALSO INTERESTING AS A WAY OF VALUING THESE OFFALS. Considering that the global trend is an increasing consumption of proteins, most of which are of animal origin, it is obvious that this creates a sustainability problem, both economic and environmental. The overall objective of this project is to improve the physical, chemical, and functional properties of alternative proteins through the use of dynamic homogenization (UHPH and MF) and US technologies, and their application in different food products. FOR THIS END, DIFFERENT TYPES OF PROTEIN CONCENTRATES OF VEGETABLE ORIGIN (RICE AND PEAS) AND ONE OF ANIMAL ORIGIN FROM THE USE OF PORCINE SPLEEN HAVE BEEN SELECTED. THE PROTEIN CONCENTRATES WILL BE SUBJECTED TO DIFFERENT TECHNOLOGICAL CONDITIONS ACCORDING TO THE TREATMENT TO BE APPLIED (TEMPERATURE, PRESSURE, CYCLES, TIME, POWER, PROTEIN CONCENTRATION AND PH) IN ORDER TO BE EVALUATED AND SELECTED BASED ON THEIR PHYSICOCHEMICAL AND FUNCTIONAL CHARACTERISTICS. A first study will consider the selection of optimal treatment conditions for each of the protein concentrates according to the technology used. A second study will delve into the mechanisms of structural modification produced by the different technologies that explain the improvement in their functional properties. The study will be completed by means of physical, chemical, microbiological and digestibility evaluations of these protein concentrates. Thus, it is expected that improved protein concentrates will be available compared to those obtained conventionally. The ultimate use of these protein concentrates will be to incorporate them into various food products (gelled emulsion, high-protein drinks, and cooked meat products) to enhance their functional properties. Likewise, by combining complementary proteins with essential amino acids, it will be possible to produce foods with high nutritional as well as functional value.</t>
  </si>
  <si>
    <t xml:space="preserve">FUNCIONALIZACION DE PROTEINAS ALTERNATIVAS MEDIANTE LA APLICACION DE TECNOLOGIAS DINAMICAS DE HOMOGENEIZACION Y ULTRASONIDOS</t>
  </si>
  <si>
    <t xml:space="preserve">grant.14871407</t>
  </si>
  <si>
    <t xml:space="preserve">Autonomous University of Barcelona</t>
  </si>
  <si>
    <t xml:space="preserve">Cerdanyola del Vallès</t>
  </si>
  <si>
    <t xml:space="preserve">LAS TECNICAS DE HOMOGENEIZACION COMO LA HOMOGENEIZACION A ULTRA ALTA PRESION (UHPH), LA MICROFLUIDIZACION Y LOS ULTRASONIDOS (US) SON TECNOLOGIAS VERSATILES QUE POSEEN LA CAPACIDAD DE PRODUCIR CAMBIOS DE LAS ESTRUCTURAS COLOIDALES DE LOS ALIMENTOS, TALES COMO LAS PROTEINAS. COMO CONSECUENCIA, ESTAS TECNOLOGIAS TIENEN UN GRAN POTENCIAL DE MEJORA DE LAS PROPIEDADES TECNOFUNCIONALES (CAPACIDADES DE RETENCION DE AGUA Y ACEITE, EMULGENTES, ESPUMANTES, GELIFICANTES, ETC), DE LA DIGESTIBILIDAD Y DE LA BIODISPONIBILIDAD DE LOS COMPUESTOS BIOACTIVOS CONTENIDOS EN LOS ALIMENTOS TRATADOS. 
LAS PROTEINAS ALTERNATIVAS Y SU INCLUSION EN NUEVOS PRODUCTOS ALIMENTICIOS ES UNO DE LOS TEMAS MAS DEBATIDOS EN LA CIENCIA Y TECNOLOGIA DE LOS ALIMENTOS. ESTE ES UN DESAFIO PUESTO QUE LAS PROTEINAS DE ORIGEN VEGETAL PRESENTAN PROPIEDADES FUNCIONALES MUCHO MAS LIMITADAS QUE LAS DE ORIGEN ANIMAL. POR OTRA PARTE, Y CONOCIENDO EL INCREMENTO EN EL CONSUMO DE CARNE, EL APROVECHAMIENTO DE SUBPRODUCTOS DE MATADERO, CON CONTENIDO ELEVADO EN PROTEINAS DE ALTO VALOR BIOLOGICO ES ASI MISMO INTERESANTE COMO UNA FORMA DE VALORIZACION DE ESTOS DESPOJOS. TENIENDO EN CUENTA QUE LA TENDENCIA MUNDIAL ES EL AUMENTO CRECIENTE EN EL CONSUMO DE PROTEINAS, LAS CUALES SON MAYORITARIAMENTE DE ORIGEN ANIMAL, ES OBVIO QUE ESTO GENERA UN PROBLEMA DE SOSTENIBILIDAD, TANTO ECONOMICO COMO MEDIOAMBIENTAL. 
EL OBJETIVO GENERAL DE ESTE PROYECTO ES MEJORAR LAS PROPIEDADES FISICOQUIMICAS Y FUNCIONALES DE PROTEINAS ALTERNATIVAS MEDIANTE EL USO DE TECNOLOGIAS DE HOMOGENEIZACION DINAMICA (UHPH Y MF) Y US, Y SU APLICACION EN DIFERENTES PRODUCTOS ALIMENTICIOS. PARA ELLO SE HAN SELECCIONADO DIFERENTES TIPOS DE CONCENTRADOS PROTEICOS DE ORIGEN VEGETAL (ARROZ Y GUISANTE) Y UNO DE ORIGEN ANIMAL PROCEDENTE DEL APROVECHAMIENTO DEL BAZO PORCINO. LOS CONCENTRADOS PROTEICOS SERAN SOMETIDOS A DIFERENTES CONDICIONES TECNOLOGICAS SEGUN TRATAMIENTO A APLICAR (TEMPERATURA, PRESION, CICLOS, TIEMPO, POTENCIA, CONCENTRACION PROTEICA Y PH) PARA SER VALORADOS Y SELECCIONADOS EN BASE A SUS CARACTERISTICAS FISICOQUIMICAS Y FUNCIONALES. UN PRIMER ESTUDIO CONTEMPLA LA ELECCION DE LAS CONDICIONES OPTIMAS DE TRATAMIENTO PARA CADA UNO DE LOS CONCENTRADOS PROTEICOS SEGUN TECNOLOGIA UTILIZADA, Y UN SEGUNDO ESTUDIO PROFUNDIZARA EN LOS MECANISMOS DE MODIFICACION ESTRUCTURAL PRODUCIDOS POR LAS DIFERENTES TECNOLOGIAS QUE EXPLIQUEN LA MEJORA DE SUS PROPIEDADES FUNCIONALES, COMPLETANDOSE EL ESTUDIO MEDIANTE LAS EVALUACIONES FISICOQUIMICAS, MICROBIOLOGICAS Y DE DIGESTIBILIDAD DE ESTOS CONCENTRADOS PROTEICOS. ASI, SE ESPERA DISPONER DE CONCENTRADOS PROTEICOS MEJORADOS RESPECTO A LOS OBTENIDOS DE MANERA CONVENCIONAL. LA UTILIDAD FINAL DE ESTOS CONCENTRADOS PROTEICOS SERA LA DE INCORPORARLOS EN DIFERENTES PRODUCTOS ALIMENTICIOS (EMULSION GELIFICADA, BEBIDA CON ALTO CONTENIDO EN PROTEINA, Y PRODUCTO CARNICO COCIDO) PARA LA MEJORA DE SUS PROPIEDADES FUNCIONALES. ASI MISMO, MEDIANTE LA COMBINACION DE PROTEINAS COMPLEMENTARIAS EN AMINOACIDOS ESENCIALES SE PODRAN ELABORAR ALIMENTOS CON ALTO VALOR NUTRICIONAL, ADEMAS DEL FUNCIONAL.</t>
  </si>
  <si>
    <t xml:space="preserve">Keeping pace with the plant-food transition: an advanced authentication approach</t>
  </si>
  <si>
    <t xml:space="preserve">As food sources diversify, there is a growing need for advanced analytical methods to verify food identity and quality. Food fraud and accidental food contaminations are often difficult to detect. Existing analytical techniques are insufficient in identifying a wide range of protein sources. This not only compromises the global agrifood system, but may also pose significant health risks. Our startup has developed a software solution specifically designed for food analytics laboratories. This solution enhances the authentication of food raw 
materials and food products based on proteins, addressing these challenges.</t>
  </si>
  <si>
    <t xml:space="preserve">https://www.nwo.nl/en/projects/21450</t>
  </si>
  <si>
    <t xml:space="preserve">grant.14368850</t>
  </si>
  <si>
    <t xml:space="preserve">M.P. Pabst</t>
  </si>
  <si>
    <t xml:space="preserve">Delft University of Technology</t>
  </si>
  <si>
    <t xml:space="preserve">Delft</t>
  </si>
  <si>
    <t xml:space="preserve">Take-off WO fase 1 - Haalbaarheidsstudies (Research programme)</t>
  </si>
  <si>
    <t xml:space="preserve">Conversion of plant biomass into high value-added products (texturized food and bio-based materials) as an alternative to animal protein-based food ingredients/products and petroleum-derived packaging plastics &amp; barriers.</t>
  </si>
  <si>
    <t xml:space="preserve">grant.14858498</t>
  </si>
  <si>
    <t xml:space="preserve">Ramón y Cajal (Call)</t>
  </si>
  <si>
    <t xml:space="preserve">Protein quality of plant cell cultures in relation to digestive physiology</t>
  </si>
  <si>
    <t xml:space="preserve">https://research.fi/en/results/funding/34227</t>
  </si>
  <si>
    <t xml:space="preserve">grant.13523345</t>
  </si>
  <si>
    <t xml:space="preserve">Marjukka Kolehmainen</t>
  </si>
  <si>
    <t xml:space="preserve">Kuopio</t>
  </si>
  <si>
    <t xml:space="preserve">2021-05-26</t>
  </si>
  <si>
    <t xml:space="preserve">Academy of Finland (AKA)</t>
  </si>
  <si>
    <t xml:space="preserve">Academy projects (Funding Instrument); Academy project 2020 (Call)</t>
  </si>
  <si>
    <t xml:space="preserve">https://research.fi/en/results/funding/34210</t>
  </si>
  <si>
    <t xml:space="preserve">grant.13523344</t>
  </si>
  <si>
    <t xml:space="preserve">Increasing food security and decreasing malnutrition via innovation agro-platforms, crop breeding and novel food processing of common beans in Uganda</t>
  </si>
  <si>
    <t xml:space="preserve">Climate change and Covid-19 pandemics are two global challenges that Uganda is currently facing, therefore to meet sufficient needs of micronutrients in food and to improve food security is more urgent then ever. The present project aims to develop: 1) locally adapted good quality and high yielding beans, and 2) novel processing technologies of beans, to sustain food security and enhance nutrients and micronutrients in food in Uganda. The project is focusing on the use of the most recent marker-assisted selection methods (e.g. GBS and GWAS) in combination with modern innovative processing methods (e.g. ultrasonication) to: i) improve drought tolerance in beans, ii) improve nutritional composition of proteins and microelements, and organoleptic properties (taste) of bean food, iii) develop the innovation agro-platforms for delivering nutritious high quality food in a varying climate. This project will contribute with the most novel and high impact methods so far available to improve food security and nutrition, and will help secure food products, highly appreciated by the African consumer. The innovative agro-platforms will sustain development of promising drought tolerant protein-rich bean types suited for local farms in Uganda. In the long-term, this project will contribute food security and health benefits to the African population across the continent.</t>
  </si>
  <si>
    <t xml:space="preserve">https://www.vr.se/swecris.html#/project/2022-04463_VR</t>
  </si>
  <si>
    <t xml:space="preserve">grant.13285143</t>
  </si>
  <si>
    <t xml:space="preserve">Ramune Kuktaite, Mulatu Geleta Dida, Stanley Tamusange Nkalubo, DOROTHY NAKIMBUGWE</t>
  </si>
  <si>
    <t xml:space="preserve">40101:Jordbruksvetenskap, Agricultural Science (SCB); 40103:Livsmedelsvetenskap, Food Science (SCB); 401:Jordbruksvetenskap, Agriculture, Forestry and Fisheries (SCB); 40402:Genetik och förädling inom lantbruksvetenskap, Genetics and Breeding in Agricultural Sciences (SCB); 4:Lantbruksvetenskap och veterinärmedicin, Agricultural and Veterinary Sciences (SCB); 404:Bioteknologi med applikationer på växter och djur, Agricultural Biotechnology (SCB)</t>
  </si>
  <si>
    <t xml:space="preserve">Beyond sustainability: a holistic approach to evaluate the nutritional quality of plant protein-based foods</t>
  </si>
  <si>
    <t xml:space="preserve">https://dff.dk/en/grants/database?SearchableText=Beyond+sustainability%3A+a+holistic+approach+to+evaluate+the+nutritional+quality+of+plant+protein-based+foods</t>
  </si>
  <si>
    <t xml:space="preserve">grant.13063071</t>
  </si>
  <si>
    <t xml:space="preserve">Iben Lykke Petersen</t>
  </si>
  <si>
    <t xml:space="preserve">2021-10-14</t>
  </si>
  <si>
    <t xml:space="preserve">IMPACT OF WATER AND HEAT STRESS ON QUINOA AND AMARANTH: TWO CROPS WITH THE CAPACITY TO CONTRIBUTE TO AGRICULTURAL DIVERSIFICATION AND FOOD SECURITY</t>
  </si>
  <si>
    <t xml:space="preserve">ACHIEVING FOOD SECURITY REMAINS A FUTURE CHALLENGE IN WHICH AGRICULTURE PLAYS A KEY ROLE. IN THE CURRENT CLIMATE CONTEXT, LINKED TO SIGNIFICANT WATER RESOURCE LIMITATIONS AND INCREASINGLY FREQUENT EPISODES OF HIGH TEMPERATURES AFFECTING LARGE CROPPED AREAS, IT IS IMPORTANT TO ADOPT AGRICULTURAL DIVERSIFICATION PRACTICES THAT HAVE THE POTENTIAL TO CONTRIBUTE TO ESTABLISHING A MORE SUSTAINABLE AGRI-FOOD SYSTEM. In this sense, there is scientific evidence indicating that diverse agricultural and food systems are generally safer, as they show greater resilience to environmental changes and offer more diverse and nutritionally rich food products. THUS, IN THIS PROJECT, AIMED AT CONTRIBUTING TO IMPROVING THE RESILIENCE OF OUR AGRONOMIC AND FOOD SYSTEM, THEY ARE INTENDED TO ANALYSE THE CULTIVATION POSSIBILITIES OF TWO EMERGING AND UNDER-UTILIZED SPECIES, QUINOA AND AMARANTH, IN THE MEDITERRANEAN AREA, WHOSE INTEREST HAS BEEN CURRENTLY GROWING DUE TO THEIR TOLERANCE TO ABIOTIC STRESSES (SUCH AS WATER STRESS AND HIGH TEMPERATURES, RESPECTIVELY) AND FOR THEIR OUTSTANDING NUTRITIONAL QUALITY. IN ADDITION, IT IS INTENDED TO DETERMINE THE IMPACT OF THE COMBINATION OF WATER RESTRICTIONS AND HIGH TEMPERATURES ON YIELD AND NUTRITIONAL QUALITY AND TO ANALYSE THE EFFECT OF BIOFORTIFICATION WITH SELENIUM, BOTH IN THE RESPONSE TO STRESS OF THESE CROPS AND IN THE QUALITY OF THEIR SEEDS, AND TO STUDY THE ROLE OF THE MICROBIOTA OF THE RHIZOSPHERE IN THE FIELD IN THE RESPONSE OF BOTH CROPS TO WATER DEFICIT (AN ASPECT LITTLE EXPLORED IN THESE TWO PLANT SPECIES). IN ADDITION, IN ORDER TO ENSURE AN INCREASE IN THE ADDED VALUE OF BOTH CROPS, THIS PROJECT PROPOSES THE DEVELOPMENT OF NEW FOOD PRODUCTS DERIVED FROM THEIR SEEDS IN ORDER TO COMPLETE THE PRODUCTION PROCESS FOLLOWING CIRCULAR BIOECONOMY STRATEGIES. TO ACHIEVE THESE OBJECTIVES, A MULTIDISCIPLINARY STUDY WILL BE CARRIED OUT COMBINING AGRONOMIC, PHYSIOLOGICAL, MULTIOMIC AND NUTRITIONAL ANALYSES TO DETERMINE THE ROLE OF THE GENETIC AND ENVIRONMENTAL FACTORS AND THEIR INTERACTION, AND, IN ADDITION, TO IDENTIFY AND CHARACTERIZE MOLECULAR PATHWAYS (GENETIC, PROTEIN AND METABOLIC) THAT MAY DETERMINATE VARIATIONS IN THE RESPONSE TO STRESS AND IN THE NUTRITIONAL PROPERTIES OF THE SEEDS OF BOTH CROPS WITH IMPACT ON FOOD. The experiment will be carried out by analyzing two cultivars of each species (with potential for adaptation to the Mediterranean area under study) both in the field and in a greenhouse. The expected results will allow us to determine the possibilities of growing and obtaining new foods from these species and will be able to increase our knowledge about the agronomic, physiological and molecular responses to abiotic stress associated with changes in the nutritional quality of seeds. THIS WORK ALSO AIMS TO CARRY OUT A COMPARATIVE ANALYSIS OF THE POTENTIAL AND QUALITY BETWEEN BOTH CROPS AND MAY RESULT IN THE IDENTIFICATION OF GENETIC AND MOLECULAR MARKERS DETERMINING CHARACTERS LINKED TO NUTRITIONAL QUALITY, WHICH WILL CONTRIBUTE TO THE DEVELOPMENT OF CULTIVARS THAT ARE IMPROVED FROM A NUTRITIONAL POINT OF VIEW AND BETTER ADAPTED TO MEDITERRANEAN CONDITIONS, WHICH CAN OFFER A HIGHER QUALITY AND MORE COMPETITIVE PRODUCT IN THE MARKET.</t>
  </si>
  <si>
    <t xml:space="preserve">IMPACTO DEL ESTRES HIDRICO Y TERMICO EN QUINOA Y AMARANTO: DOS CULTIVOS CON CAPACIDAD DE CONTRIBUIR A LA DIVERSIFICACION DE LA AGRICULTURA Y A LA SEGURIDAD ALIMENTARIA</t>
  </si>
  <si>
    <t xml:space="preserve">grant.14863534</t>
  </si>
  <si>
    <t xml:space="preserve">Autonomous University of Madrid</t>
  </si>
  <si>
    <t xml:space="preserve">ALCANZAR LA SEGURIDAD ALIMENTARIA SIGUE SIENDO UN DESAFIO FUTURO EN EL QUE LA AGRICULTURA JUEGA UN PAPEL CLAVE. EN EL CONTEXTO CLIMATICO ACTUAL, LIGADO A UNA IMPORTANTE LIMITACION DE RECURSOS HIDRICOS Y A EPISODIOS CADA VEZ MAS FRECUENTES DE ALTAS TEMPERATURAS QUE AFECTAN A EXTENSAS AREAS DE CULTIVO, ES IMPORTANTE ADOPTAR PRACTICAS DE DIVERSIFICACION AGRICOLA QUE TIENEN EL POTENCIAL DE CONTRIBUIR A ESTABLECER UN SISTEMA AGROALIMENTARIO MAS SOSTENIBLE. EN ESTE SENTIDO, EXISTEN EVIDENCIAS CIENTIFICAS QUE INDICAN QUE LOS SISTEMAS AGROALIMENTARIOS DIVERSOS SON, GENERALMENTE, MAS SEGUROS AL MOSTRAR UNA MAYOR RESILIENCIA A CAMBIOS AMBIENTALES Y POR OFRECER PRODUCTOS ALIMENTICIOS MAS DIVERSOS Y RICOS DESDE EL PUNTO DE VISTA NUTRICIONAL. ASI, EN ESTE PROYECTO, ORIENTADO A CONTRIBUIR A MEJORAR LA RESILIENCIA DE NUESTRO SISTEMA AGRONOMICO Y ALIMENTARIO, SE PRETENDEN ANALIZAR LAS POSIBILIDADES DE CULTIVO DE DOS ESPECIES EMERGENTES E INFRAUTILIZADAS, LA QUINOA Y EL AMARANTO, EN LA ZONA MEDITERRANEA, CUYO INTERES HA IDO CRECIENDO EN LA ACTUALIDAD DEBIDO A SU TOLERANCIA A ESTRESES ABIOTICOS (COMO EL ESTRES HIDRICO Y A ALTAS TEMPERATURAS, RESPECTIVAMENTE) Y POR SU DESTACADA CALIDAD NUTRICIONAL. ADEMAS, SE PRETENDE DETERMINAR EL IMPACTO DE LA COMBINACION DE RESTRICCIONES HIDRICAS Y ALTAS TEMPERATURAS EN EL RENDIMIENTO Y CALIDAD NUTRICIONAL Y ANALIZAR EL EFECTO DE LA BIOFORTIFICACION CON SELENIO, TANTO EN LA RESPUESTA A ESTRES DE ESTOS CULTIVOS COMO EN LA CALIDAD DE SUS SEMILLAS, Y ESTUDIAR EL PAPEL DE LA MICROBIOTA DE LA RIZOSFERA EN CAMPO EN RESPUESTA DE AMBOS CULTIVOS AL DEFICIT HIDRICO (ASPECTO POCO EXPLORADO EN ESTAS DOS ESPECIES VEGETALES). ADEMAS, CON EL FIN DE ASEGURAR UN AUMENTO EN EL VALOR AGREGADO DE AMBOS CULTIVOS, ESTE PROYECTO PROPONE EL DESARROLLO DE NUEVOS PRODUCTOS ALIMENTICIOS DERIVADOS DE SUS SEMILLAS CON EL FIN DE COMPLETAR EL PROCESO PRODUCTIVO SIGUIENDO ESTRATEGIAS DE BIOECONOMIA CIRCULAR. PARA LA CONSECUCION DE ESTOS OBJETIVOS SE LLEVARA A CABO UN ESTUDIO MULTIDISCIPLINAR COMBINANDO ANALISIS AGRONOMICOS, FISIOLOGICOS, MULTIOMICOS Y NUTRICIONALES PARA DETERMINAR EL PAPEL DEL FACTOR GENETICO, AMBIENTAL, Y DE SU INTERACCION, Y, ADEMAS, IDENTIFICAR Y CARACTERIZAR RUTAS MOLECULARES (GENETICAS, PROTEICAS Y METABOLICAS) QUE PUEDAN SER DETERMINANTES DE LAS VARIACIONES EN LA RESPUESTA A ESTRES Y EN LAS PROPIEDADES NUTRICIONALES DE LAS SEMILLAS DE AMBOS CULTIVOS CON IMPACTO EN ALIMENTACION. LA EXPERIMENTACION SE LLEVARA A CABO ANALIZANDO DOS CULTIVARES DE CADA ESPECIE (CON POTENCIAL DE ADAPTACION AL AREA MEDITERRANEA OBJETO DE ESTUDIO) TANTO EN CAMPO COMO EN INVERNADERO. LOS RESULTADOS ESPERADOS PERMITIRAN DETERMINAR LAS POSIBILIDADES DE CULTIVO Y OBTENCION DE NUEVOS ALIMENTOS A PARTIR DE ESTAS ESPECIES Y PODRAN INCREMENTAR NUESTRO CONOCIMIENTO ACERCA DE LAS RESPUESTAS AGRONOMICAS, FISIOLOGICAS Y MOLECULARES A ESTRES ABIOTICO ASOCIADAS A CAMBIOS EN LA CALIDAD NUTRICIONAL DE LAS SEMILLAS. ESTE TRABAJO, ADEMAS, PRETENDE REALIZAR UN ANALISIS COMPARATIVO DEL POTENCIAL Y CALIDAD ENTRE AMBOS CULTIVOS Y PUEDE RESULTAR EN LA IDENTIFICACION DE MARCADORES GENETICOS Y MOLECULARES DETERMINANTES DE CARACTERES LIGADOS A LA CALIDAD NUTRICIONAL, LO QUE CONTRIBUIRA A DESARROLLAR CULTIVARES MEJORADOS DESDE EL PUNTO DE VISTA NUTRICIONAL Y MEJOR ADAPTADOS A LAS CONDICIONES MEDITERRANEAS, LO QUE PUEDE OFRECER UN PRODUCTO DE MAYOR CALIDAD Y MAS COMPETITIVO EN EL MERCADO.</t>
  </si>
  <si>
    <t xml:space="preserve">Development of safety assessment methodology for innovative food obtained from microbial synthesis</t>
  </si>
  <si>
    <t xml:space="preserve">Chronic deficiency of complete protein is the most important of the problems of modern humankind. According to the Food and Agriculture Organization and the World Health Organization, at the turn of XX-XXI centuries the deficit of food protein in the world was at least 20 million tons per year, feed protein – about 40-45 million tons per year. According to the recommendations on rational norms of food consumption, for the optimal realization of physiological and biochemical processes in the human body, the volume of consumption of meat and meat products should be 70-75 kg/year/person; milk and dairy products in terms of milk – 320-340 kg/year/person; eggs – 260 pcs./year/person; fish and fish products – 18-22 kg/year/person. FAO/WHO predicts that by 2050 consumption of meat and meat products in developing countries will increase from 30 to 44 kg per capita, and total world consumption will increase from 41 to 50 kg per capita. Growing demand requires global meat production to increase by 200 million tons.
	It is no longer possible to solve the increasing food production problem by old methods due to a number of environmental, economic and social problems. Despite the fact that over the last 40 years agricultural production has more than doubled (due to selection and improvement of agronomic approaches), its further growth is unlikely. Thus, in view of new global challenges that create a disproportionate burden on the Earth's ecosphere, there is a need to consistently reorient traditional agriculture in line with the principles of sustainable development, in order to minimize the impact on the environment.
In recent years, there has been increased interest worldwide in the use of alternative sources of protein, in particular obtained from microbial synthesis. The main producers of such protein are yeast, bacteria, unicellular algae, lower and higher fungi. If it takes 5 years for cattle to double the protein mass, 4 months – for pigs, 1 month – for chickens, bacteria and yeast need only 1-6 hours. At the same time microorganisms are distinguished by high (from 40 to 80% dry weight) content of protein that are well balanced by amino acid composition, and also contain carbohydrates, lipids, vitamins, macro- and microelements. For comparison, the protein content in beef is 19-26%, tilapia - 16-19%, shrimp - 13-27%. In addition, compared to traditional farm animals, microorganisms consume much less resources: to produce 1 kg of edible protein from microorganisms requires 500 times less water, 100 times less land than to grow 1 kg of beef protein, and microorganisms emit much less greenhouse gases than most animals.
	Since food obtained from microbial synthesis is a new type of food product that has not been used for human consumption before, ensuring the safety of such products is regulated at the state level and is the most important condition for their use. In accordance with TR CU 021/2011 "On food safety", food safety is defined as "...the state of food products, indicating the absence of unacceptable risk associated with the harmful effects on humans and future generations ...", so the search for ways to improve the methods of assessing the safety of products of a new type should be focused on approaches that allow to study the impact on future generations. Development of new methodological approaches to identify possible adverse effects of new-type food products, which include food obtained from microbial synthesis, will create a fundamental scientific basis for the possibility of using such products, as well as create the prerequisites for the introduction of a safety assessment system for the state registration of such products in the Russian Federation and the Eurasian Economic Union (EAEU).
The aim of the project is to develop an original algorithm of the safety assessment of innovative food raw materials, based on microbial synthesis, in framework of a comprehensive study of nutritional value and food safety in in vitro and in vivo experiments.
The research material will be protein concentrate (PC) derived from denucleated (containing no more than 1.5% nucleic acids) biomass of methanotrophic bacteria Methylococcus capsulatus produced by GIPROBIOSINTEZ LLC (the cooperation agreement is presented in chapter 4.13). PC, which is a finely dispersed powder of light brown or beige color, is considered as a very promising source of dietary protein (protein content of at least 70%) and fat (fat content of about 12%). 
The implementation of the project involves two successive steps, each of which includes a detailed study of the product. It should be noted that the results of the first stage are fundamental and necessary for the implementation of the next stage. Data on the nutritional value of the new product obtained in the first stage will be used to compare the nutritional and biological value of the PC with the main food of animal and plant origin and will serve as a basis for justifying their inclusion in the human diet. An extended list of safety indicators characterising the PC will also be developed. Since the current technical regulations of the EAEU do not contain requirements for food products and food raw materials obtained from microbial synthesis, the formation of such list is an urgent task. 
At the second stage, it is planned to conduct complex in vivo toxicological, reprotoxic and allergic studies of the PC, as well as to study the biological value and digestibility of protein on 3 generations of Wistar rats, which will receive the product under study during the entire period of ontogenetic development. All experimental animals will be divided into two groups – a control group receiving a standard semi-synthetic casein diet and an experimental group receiving a diet containing the PC. The whole duration of the second stage will be about 2 years. In total, at least 658 adult rats, 1800 pups and 420 fetuses will be used in the experiment. The general scheme of the experiment is presented in chapter 4.14.
The main part of the in vivo experiment will be the study of reproductive function, prenatal and postnatal offspring development on the 3 generations of rats. Studies will also be carried out to characterize the generative and endocrine functions of the rat gonads of the parent generations. Within the framework of toxicological studies hematological, biochemical and morphological indices, antioxidant status and intensity of apoptosis processes will be analyzed.
Allergic studies will be conducted on the model of induced anaphylactic shock, during which the severity of systemic anaphylaxis, the number of circulating sensitizing antibodies, as well as the content of individual cytokines in blood serum will be determined. The biological value and digestibility of the PC protein will be studied on animals receiving a diet with 10% protein content, in the framework of the experiment will be studied protein consumption, the true digestibility of the protein, the true biological value of the protein, the coefficient of true net utilization of protein or nitrogen. 
On one of the generations (F1) in parallel with the main experiment the model of adaptation potential reduction developed on the basis of "FRC of nutrition and biotechnology" will be reproduced. The principle of using this model is based on the reduction of the dose of some vitamins and minerals involved in the formation of the adaptation potential of the rat organism, which increases the sensitivity of animals to the effects of negative factors. For this purpose, males and females of rats F1 will receive a diet with a 19% content of vitamins of group B, iron and magnesium salts, the experimental group – a diet with inclusion of the PC on the background of 19% availability of essential substances.
Based on the processing of the entire data set of the 2nd stage, a conclusion will be made on the safety of the PC, and the optimal research protocol of in vivo experiments for new products obtained from microbial synthesis (design of experiments, set of indicators, number of generations, etc.) will be determined. 
After the completion of the whole set of studies, a report will be formed for submission to Russian Federal Service for Surveillance on Consumer Rights Protection and Human Wellbeing (Rospotrebnadzor) as a part of the discussion of the procedure for state registration of new food raw materials obtained from microbial synthesis, in the Russian Federation.  In addition to achieving the utilitarian task of a single new product safety studying, a much more significant task of forming an original algorithm for safety assessment of novel type of food, obtained from microbial synthesis, will be implemented. On the basis of expert analysis of the received data, a draft guidelines "Biomedical assessment of food raw materials obtained from microbial synthesis," will be formed, which will be submitted for approval in due course.</t>
  </si>
  <si>
    <t xml:space="preserve">http://www.rscf.ru/en/enprjcard?rid=20-76-10014</t>
  </si>
  <si>
    <t xml:space="preserve">grant.9388371</t>
  </si>
  <si>
    <t xml:space="preserve">Antonina Shumakova</t>
  </si>
  <si>
    <t xml:space="preserve">Federal Research Centre of Nutrition and Biotechnology</t>
  </si>
  <si>
    <t xml:space="preserve">2020-07-01</t>
  </si>
  <si>
    <t xml:space="preserve">E4Y: Engineering and Evolving Energetic Efficiency in Yeasts</t>
  </si>
  <si>
    <t xml:space="preserve">Feeding the world with microbes 
To produce enough food for the rapidly increasing word population, we will need to rely on sustainable processes for food production. Yeasts that have been used in the preparation of various foods for centuries could become an important source of food protein. These yeasts can consume sugars from plants and turn these into the desired protein. In this research we will learn how these yeasts are able to consume these sugars both fast and efficiently, which will allow for the most sustainable and cost-efficient production of protein.</t>
  </si>
  <si>
    <t xml:space="preserve">https://www.nwo.nl/en/projects/ocenwm21280</t>
  </si>
  <si>
    <t xml:space="preserve">grant.13307378</t>
  </si>
  <si>
    <t xml:space="preserve">R.J. van Tatenhove-Pel, TDK de Kanter, M.A. van den Broek, G van Leersum</t>
  </si>
  <si>
    <t xml:space="preserve">2023-04-15</t>
  </si>
  <si>
    <t xml:space="preserve">New strategies to study the role of temperature-sensitive TRP channels in the detection of astringents</t>
  </si>
  <si>
    <t xml:space="preserve">Astringency is a tactile sensation of dryness and roughness perceived in the oral cavity that depends on temperature and combines several sub-qualities such as harsh, pucker, or velvet. While the molecular onset of astringency has been associated with the activation of specific mechanoreceptors and G-protein coupled receptors, it is not known how temperature sensitive ion channels present in the oral cavity contribute to this trigeminal sensation. Thermosensitive transient receptor potential (thermoTRP) channels are expressed both in oral tissue and in trigeminal neurons and, in the human peripheral sensory system, they trigger signalling required to assess the nature of external stimuli of various modalities, including taste. The activation of thermoTRPs is a general physiological, evolutionarily highly conserved mechanism by which information about environmental stimuli, including unpleasant tastants, is transferred to the central nervous system, where it is subsequently evaluated as favourable or unfavourable for the organism. The objective of this project is to characterize the role of temperature-sensitive TRP ion channels in the transduction and modulation of astringent taste stimuli. The aim is to understand the physiological mechanisms underlying this sensory modality at the cellular and molecular level and to find possible ways to modulate it. Besides contributing to basic research, this project will advance, within a qualified international consortium, the translational development of a suitable cellular model for the objective testing of food ingredients, in particular plant protein products with potentially adverse taste effects. A thorough knowledge of the mechanisms by which astringent substances act at the molecular level is essential for the future development of innovative technological approaches to provide healthy and flavourful plant-based food.</t>
  </si>
  <si>
    <t xml:space="preserve">https://backup.isvavai.cz/cep?s=jednoduche-vyhledavani&amp;ss=detail&amp;h=LUC24020</t>
  </si>
  <si>
    <t xml:space="preserve">grant.14362527</t>
  </si>
  <si>
    <t xml:space="preserve">Viktorie Vlachová</t>
  </si>
  <si>
    <t xml:space="preserve">Institute of Physiology</t>
  </si>
  <si>
    <t xml:space="preserve">Astringence (trpkost) je dotykový vjem suchosti a drsnosti vnímaný v ústní dutině, který závisí na teplotě a kombinuje několik dílčích pocitů, jako je hrubost, svraštělost nebo sametovost. Přestože molekulární nástup adstringence je spojován s aktivací specifických mechanoreceptorů a receptorů spřažených s G-proteinem, není známo, jak k tomuto trigeminálnímu pocitu přispívají teplotně citlivé iontové kanály přítomné v ústní dutině. Jak v ústní tkáni, tak v trigeminálních neuronech jsou exprimovány teplotně citlivé transientní receptorové potenciálové (termoTRP) kanály, které v periferním senzorickém systému člověka zodpovídají za vznik nervové signalizace nezbytné k posouzení charakteru vnějších podnětů různých modalit, včetně chuťových. Jedná se o základní fyziologický, evolučně vysoce konzervovaný mechanismus, kterým je informace o podnětech z prostředí, včetně nepříjemných chuťových látek, přenášena do centrálního nervového systému, kde je následně vyhodnocena jako příznivá, či nepříznivá pro organismus. Záměrem tohoto projektu je charakterizovat úlohu teplotně citlivých iontových kanálů TRP při převodu a modulaci adstringentních chuťových podnětů. Cílem je porozumět fyziologickým mechanizmům, které jsou základem této senzorické modality na buněčné a molekulární úrovni, a najít možné způsoby její modulace. Kromě přínosu pro základní výzkum přispěje předložený projekt v rámci kvalifikovaného mezinárodního konsorcia k translačnímu vývoji relevantního buněčného modelu, který bude určen pro objektivní testování potravinových složek, zejména rostlinných proteinových produktů s potenciálně nepříznivým chuťovým účinkem. Důkladná znalost mechanizmů, kterým působí adstringentní látky na molekulární úrovni, je nezbytná pro budoucí vývoj inovativních technologických přístupů k zajištění zdravých a chutných potravin rostlinného původu.</t>
  </si>
  <si>
    <t xml:space="preserve">Accelerating the industrial production of a new generation of iron sources</t>
  </si>
  <si>
    <t xml:space="preserve">Purpose and goal: 
Apply for EIC Accelerator grant in the subject area of “Food from precision fermentation and algae”. This is an identified challenge for 2024 in the EIC Programme. 
The objective of the main project is scaling up production of our innovative iron proteins together with an industrial partner. The upscaling will use the chosen production platform (fungi or bacteria). 
Expected results and effects: 
A complete EIC Accelerator application, written together with our industrial partner, with supporting legal documents. To be successful with the application we must be able to produce a project plan that can clearly demonstrate that we will be able to scale up our production to match market needs. 
Approach and implementation: 
The project is composed of three work packages (WPs).
In WP1, we will plan the EIC application, together with the partners, including the scope and ownership of the results. As a result, we will have a formal project agreement.
In WP2, we will set up the project including milestones, deliveries, roles and responsibilities. The result will be a project plan that is agreed on with all parties as well as the budget and legal documents.
In WP3, we will have the written application, with all documents and parts required by EIC Accelerator.</t>
  </si>
  <si>
    <t xml:space="preserve">https://www.vr.se/swecris.html#/project/2024-01848_Vinnova</t>
  </si>
  <si>
    <t xml:space="preserve">grant.14086983</t>
  </si>
  <si>
    <t xml:space="preserve">Nélida Leiva Eriksson</t>
  </si>
  <si>
    <t xml:space="preserve">2024-07-01</t>
  </si>
  <si>
    <t xml:space="preserve">Food Innovation Enabling Sustainable Transition - FINEST</t>
  </si>
  <si>
    <t xml:space="preserve">The aim of the center called “Food Innovation Enabling Sustainable Transition – FINEST” is to play a decisive role in product and system innovation within the food system and support both radical and efficient transformation and innovation in the system. The proposed center will be an actor in order both to understand system transition in the Swedish food context and at the same time supporting and accelerating the specific transition(s) in place represented by three cases:  1) an efficient and sustainable Swedish forest berry chain promoting health products, 2)  efficient and sustainable protein crop supply chains leading to meat and dairy substitutes, 3) the experimental power-to-food concept with the potential to largely reduce environmental impact of food production.  The center is built around the following core competences: System transition, innovation management, raw material and ingredients, process and product design, food safety and consumer knowledge.By the transdisciplinary as well as transsectorial organization within the center the goal is to build a system knowledge from the academic point of view as well increasing the innovation capabilities together with the actors in the food chain(s).  The impact of the center will be achieved by an interplay between actors in the specific chains that will be accelerated through the center functions and research projects understanding the system at different levels.</t>
  </si>
  <si>
    <t xml:space="preserve">https://www.vr.se/swecris.html#/project/2020-02839_Formas</t>
  </si>
  <si>
    <t xml:space="preserve">grant.12896880</t>
  </si>
  <si>
    <t xml:space="preserve">Karin Östergren, Annette Granéli</t>
  </si>
  <si>
    <t xml:space="preserve">2:Teknik, Engineering and Technology (SCB); 104:Kemi, Chemical Sciences (SCB); 1:Naturvetenskap, Natural Sciences (SCB); 10499:Annan kemi, Other Chemistry Topics (SCB); 502:Ekonomi och näringsliv, Economics and Business (SCB); 5:Samhällsvetenskap, Social Sciences (SCB); 21101:Livsmedelsteknik, Food Engineering (SCB); 50202:Företagsekonomi, Business Administration (SCB); 211:Annan teknik, Other Engineering and Technologies (SCB)</t>
  </si>
  <si>
    <t xml:space="preserve">Development of innovative online monitoring tools for microalgae production using novel advanced fluorescence-based sensors</t>
  </si>
  <si>
    <t xml:space="preserve">Microalgae can produce lipids, proteins and carbohydrates at large scale, offering environment friendly alternatives to current consumer products. However, the sustainable development of industrial production requires reliable monitoring and control tools to achieve stable performance. Currently, the methods commonly used to assess microalgae growth and productivity performance require sampling, pollutant analytical procedures (e.g. solvent extraction) and are time-consuming, limiting the sustainability of the bioprocesses and inputting increased operational costs.
2D fluorescence spectroscopy is a highly sensitive and non-invasive technique suitable to monitor complex biological systems. This fluorescence technique results in large excitation-emission matrices (EEMs) that may be regarded as system fingerprints encoding information about systems status. Previous works of the team showed that EEMs coupled with advanced mathematical analysis can be used to monitor in real-time the performance of different biological processes, including microalgae production, without sampling and other non-sustainable analytical methods.
Despite valuable, the implementation of this monitoring tool using fluorescence EEMs is still based on the use of high-performance benchtop instrumentation, creating a barrier for a large-scale application of this multiparametric monitoring strategy. Therefore, the development of sensing systems based on simple, low-cost optical components able to assess fluorescence in situ, in real-time, and in multiple locations of a biological process can play a major role in the implementation of online monitoring and control, which will allow the optimization of microalgae productivity and promote the sustainable industrialisation of microalgae bioproduction.
To develop such innovative fluorescence detection tools for monitoring microalgae processes, it is necessary to select a significant set of individual excitation and emission wavelengths from the fluorescence EEMs, which combined with adequate mathematical tools can be translated into quantitative biological parameters. The approach proposed will be developed for the cultivations of two industrially relevant microalgae, Nannochloropsis oceanica and Phaeodactylum tricornutum that present the ability to synthesize and accumulate a wide range of bioactive and high-value compounds, such as polyunsaturated fatty acids (PUFAs) and carotenoids, used as food and in several other biotechnological applications.
This project aims at developing the methodologies and tools required to establish a proof-of-concept for a new generation of low-cost fluorescence platforms, able to be used for the monitoring of biological processes, including microalgae growth and production. The project will follow an integrated strategy that will use a real data set and machine learning to develop the methodologies for the selection of the specifications of the optical components (e.g. LED light sources, photodetectors) required to build the sensors based on fluorescence spectroscopy. A prototype of a simplified optical instrument, assembled with commercial components selected through the methodology developed, will be assessed and validated in real cultivation scenarios to prove the feasibility of the novel approach suggested.
The project results will greatly contribute to significantly expanding the technological upgrading and innovation of biological monitoring systems. The tools and methodologies to be developed will facilitate the transition from research to industrial application, promoting the sustainable industrialisation of bioproduction through the development of affordable advanced monitoring tools. Thus, specific actions are envisaged aiming at disseminating scientific and technological knowledge to different audiences, reaching mainly younger students and stakeholder industries.</t>
  </si>
  <si>
    <t xml:space="preserve">Desenvolvimento de ferramentas inovadoras para a monitorização online da produção de microalgas utilizando instrumentos analíticos avançados baseados em fluorescência</t>
  </si>
  <si>
    <t xml:space="preserve">grant.14626783</t>
  </si>
  <si>
    <t xml:space="preserve">Cláudia Filipa Reis Galinha Loureiro, Francisco Xavier Inês Nascimento, João Paulo Serejo Goulão Crespo, Pedro Maria Fialho Durães Reynolds Brandão</t>
  </si>
  <si>
    <t xml:space="preserve">Universidade Nova de Lisboa; Instituto de Biologia Experimental Tecnológica</t>
  </si>
  <si>
    <t xml:space="preserve">Lisbon; Oeiras</t>
  </si>
  <si>
    <t xml:space="preserve">Concurso de Projetos Exploratórios em Todos os Domínios Científicos 2023 (Funding program)</t>
  </si>
  <si>
    <t xml:space="preserve">As microalgas são uma alternativa à produção de lípidos, proteínas e hidratos de carbono em larga escala. Mas o desenvolvimento da sua produção à escala industrial necessita de ferramentas de monitorização e controlo efetivas que assegurem a estabilidade do processo.  No entanto, os métodos atualmente usados para caracterização do processo biológico requerem amostragem e técnicas analíticas demoradas.
A fluorescência bidimensional é uma técnica altamente sensível e não invasiva, adequada para monitorizar sistemas biológicos complexos, resultando em matrizes de excitação-emissão (EEMs) que podem ser consideradas impressões digitais do sistema que codificam informações sobre o status do sistema. Trabalhos anteriores da equipa demonstraram que as EEMs quando acopladas a métodos matemáticos avançados podem ser usadas na monitorização em tempo real do desempenho de diferentes processos biológicos, incluindo a produção de microalgas.
No entanto, a implementação das EEMs de fluorescência baseia-se no uso de equipamento de bancada de alto desempenho, impedindo a aplicação em larga escala da estratégia de monitorização multiparamétrica. Assim, o desenvolvimento de sistemas de deteção baseados em componentes óticos simples e de baixo custo, capazes de avaliar a fluorescência in situ, em tempo real e em múltiplos locais de um processo biológico, pode desempenhar um papel importante na implementação da monitorização e controlo de bioprocessos, que irá promover a industrialização sustentável da bioprodução com microalgas.
Para desenvolver essas ferramentas inovadoras de deteção de fluorescência para monitorizar processos de microalgas, é necessário selecionar um conjunto significativo de comprimentos de onda individuais de excitação e emissão a partir das EEMs de fluorescência, que combinados com ferramentas matemáticas adequadas podem ser traduzidos em parâmetros biológicos quantitativos. A abordagem proposta será desenvolvida para as culturas de Nannochloropsis oceanica e Phaeodactylum tricornutum devido à sua capacidade de sintetizar e acumular uma vasta gama de compostos bioativos e de elevado valor, tais como ácidos gordos poli-insaturados (PUFAs) e carotenóides, utilizados como alimentos e em várias outras aplicações biotecnológicas.
Este projeto visa desenvolver as metodologias e ferramentas necessárias para estabelecer uma prova de conceito para uma nova geração de plataformas de fluorescência de baixo custo para serem utilizadas na monitorização de processos biológicos, incluindo o crescimento e produção de microalgas. O projeto seguirá uma estratégia integrada que utilizará um conjunto de dados reais e “machine learning” para desenvolver as metodologias necessárias para a seleção das especificações dos componentes óticos (por exemplo, fontes de luz LED e fotodetetores) necessários para construir os sensores baseados na espectroscopia de fluorescência. Um protótipo de um instrumento ótico simplificado, montado com componentes comerciais selecionados através da metodologia desenvolvida, será avaliado e validado em cenários reais de cultivo para provar a viabilidade da nova abordagem proposta neste projeto.
Os resultados deste projeto contribuirão grandemente para expandir significativamente a atualização tecnológica e a inovação dos sistemas de monitorização biológica. As ferramentas e metodologias a desenvolver facilitarão a transição da investigação para a aplicação industrial, promovendo a industrialização sustentável da bioprodução através do desenvolvimento de ferramentas avançadas de monitorização a preços acessíveis. Assim, estão previstas ações específicas com o objetivo de disseminar o conhecimento científico e tecnológico para diferentes públicos, alcançando principalmente estudantes mais jovens e indústrias interessadas.</t>
  </si>
  <si>
    <t xml:space="preserve">Closing the Loop on Brewers’ Spent Grains: Feed the World and Fuel the Brewery</t>
  </si>
  <si>
    <t xml:space="preserve">The food and beverage industry causes various impacts on the environment and is a major emitter of greenhouse gases. In the brewing industry, the Brewers' Spent Grains (BSG) account for 85% of the waste generated and are currently used as low-value animal feed or disposed of in landfills. No recycling solution exists today on a large scale that would allow to upcycle the BSG into its valuable components.
Project LIFE FWFB aims to set up a zero-waste and highly replicable circular business model that fully upcycles the BSG into BSG proteins and BSG fibres. The project is based on a pilot prototype, previously developed by Duynie on smaller scales, which consists of an innovative separation technology capable of:
- Extracting the proteins from BSG at a high protein yield. The BSG proteins will be used in higher quality protein products (thanks to higher protein concentration) for feed and food applications as a replacement for resource- and carbon-intensive protein sources;
- Generating quality fibres with a small protein fraction. The BSG fibres will be used as biomass with a higher thermal efficiency in the brewery's combustion plant (thanks to the smaller protein fraction) for the thermal needs of the brewery as a replacement for natural gas.
The separation technology itself is based on a mechanical method (as opposed to the current solvent/chemical extraction methods) and on an energy-efficient process (ability to recover waste heat from other processes in the brewery). No residual components are generated by the separation process since the wastewater is also treated to produce biogas through the brewery's wastewater treatment plant. The pilot prototype will be operationalized on a large scale in a real Heineken brewing environment. Several replications are expected during the project lifetime, including at Heineken's breweries.</t>
  </si>
  <si>
    <t xml:space="preserve">https://ec.europa.eu/info/funding-tenders/opportunities/portal/screen/opportunities/projects-details/43252405/101074481/LIFE2027</t>
  </si>
  <si>
    <t xml:space="preserve">grant.13711373</t>
  </si>
  <si>
    <t xml:space="preserve">2022-08-01</t>
  </si>
  <si>
    <t xml:space="preserve">Programme for the Environment and Climate Action (LIFE)</t>
  </si>
  <si>
    <t xml:space="preserve">The Sustainable Steak: Bioscience inspired food for healthy people on a healthy planet</t>
  </si>
  <si>
    <t xml:space="preserve">This project is for the joint delivery and commercial launch of an entirely new approach to ground and whole cut beef steak, utilizing plant-grown, yet animal-identical ingredients, sustainably produced for the alternative meat industry. By enabling the production of identical meat proteins produced entirely within the biomass of plants, and utilizing fats designed to enhance the taste and quality of existing offerings, we enable wider adoption of products that directly contribute to bettering of our world and addressing our climate emergency.</t>
  </si>
  <si>
    <t xml:space="preserve">https://gtr.ukri.org/projects?ref=10088018</t>
  </si>
  <si>
    <t xml:space="preserve">grant.14083491</t>
  </si>
  <si>
    <t xml:space="preserve">2024-03-01</t>
  </si>
  <si>
    <t xml:space="preserve">SAFE MEAT ANALOGUES MADE WITH ALTERNATIVE PROTEINS</t>
  </si>
  <si>
    <t xml:space="preserve">The protein transition can reduce the environmental impact of intensive livestock production and restore healthier diets by rebalancing the production and consumption of animal and alternative protein. However, there are some knowledge gaps regarding the sources of microbial contamination, the prevalence and characteristics of pathogens transmitted by meat analogues made from alternative protein, as well as the consumption habits and practices of end-users and consumers and their impact on food safety and public health (risk assessment not available).
The overall objective of the SAFEMAAP project is to generate new knowledge and provide effective barrier-breaking technology-based strategies to manage the microbiological risk associated with innovative meat analogues made from plant-based alternative protein (MAAP) and mycoprotein.
Specific objectives:
1) Identify potential sources of microbial contamination and pathogens associated with MAAP through the physical, chemical, and microbiological characterization of the protein ingredients, the processing environment, and the final products currently available on the market. 2) Design effective risk management strategies for the production and preservation of high-humidity MAAP through an intelligent combination (hurdle technology) of biopreservation, high-pressure processing, and sustainable packaging.
3) Develop innovative sustainable processes to produce safe, self-stable, intermediate-humidity MAAP, obtained from a plant ingredient and a mycoprotein. 4) INTEGRATE THE RESULTS OF THE PREVIOUS OBJECTIVES INTO QUANTITATIVE APPROACHES TO MICROBIAL RISK ASSESSMENT THAT ESTIMATES PUBLIC HEALTH IMPACT, PRIORITIZES RISK-BASED STRATEGIES, AND PROVIDE DECISION-SUPPORT TOOLS FOR EFFECTIVE RISK MANAGEMENT.
5) DISSEMINATE, COMMUNICATE, AND TRANSFER RESEARCH ACTIVITIES AND RESULTS TO STAKEHOLDERS.
THE PROJECT IS STRUCTURED IN 4 INTERRELATED BLOCKS. WP1 will analyze the current status of MAAPs available on the market using product information and analytical characterization (physicochemical and microbiological). Risk management strategies that integrate hurdle technology approaches will be evaluated through challenge tests with relevant pathogens. WP2 will focus on high-humidity MAAPs, the lethality of extrusion processes, and the effectiveness of innovative processing strategies (biopreservation, high-pressure processing, and sustainable packaging) within the framework of hurdle technology. WP3 will assess the quality and safety of intermediate-moisture MAAPs made from plant protein and mycoprotein. WP4 will evaluate the risks associated with the consumption of analogues and quantify the relative risk impact of implementing selected operational strategies. Decision-support tools for risk management will be developed, and strategies will be ranked according to their effectiveness and technological viability from an industrial perspective. Ultimately, SAFEMAAP will represent a breakthrough in research into alternative proteins, contributing to the intelligent and sustainable production of safe, healthy, and high-quality food.</t>
  </si>
  <si>
    <t xml:space="preserve">ANALOGOS CARNICOS SEGUROS ELABORADOS CON PROTEINAS ALTERNATIVAS</t>
  </si>
  <si>
    <t xml:space="preserve">grant.14865185</t>
  </si>
  <si>
    <t xml:space="preserve">LA TRANSICION PROTEICA PUEDE REDUCIR EL IMPACTO AMBIENTAL DE LA PRODUCCION GANADERA INTENSIVA Y RECUPERAR DIETAS MAS SALUDABLES, REEQUILIBRANDO LA PRODUCCION Y EL CONSUMO DE PROTEINA ANIMAL Y PROTEINA ALTERNATIVA. SIN EMBARGO, EXISTEN ALGUNAS LAGUNAS DE CONOCIMIENTO SOBRE LAS FUENTES DE CONTAMINACION MICROBIANA, LA PREVALENCIA Y LAS CARACTERISTICAS DE LOS PATOGENOS TRANSMITIDOS POR LOS ANALOGOS DE CARNE ELABORADOS A PARTIR DE PROTEINA ALTERNATIVA, ASI COMO SOBRE LOS HABITOS Y PRACTICAS DE CONSUMO DE LOS USUARIOS FINALES Y CONSUMIDORES Y SU IMPACTO EN LA INOCUIDAD DE LOS ALIMENTOS Y LA SALUD PUBLICA (EVALUACION DE RIESGOS NO DISPONIBLE). 
EL OBJETIVO GENERAL DEL PROYECTO SAFEMAAP ES GENERAR NUEVO CONOCIMIENTO Y PROPORCIONAR ESTRATEGIAS EFICACES BASADAS EN LA TECNOLOGIA DE OBSTACULOS PARA GESTIONAR EL RIESGO MICROBIOLOGICO ASOCIADO A LOS ANALOGOS DE CARNE INNOVADORES ELABORADOS CON PROTEINA ALTERNATIVA (MAAP) VEGETAL Y MICOPROTEINA. 
OBJETIVOS ESPECIFICOS: 
1) IDENTIFICAR LAS FUENTES POTENCIALES DE CONTAMINACION MICROBIANA Y LOS PATOGENOS ASOCIADOS A LOS MAAP A TRAVES DE UNA CARACTERIZACION FISICOQUIMICA Y MICROBIOLOGICA DE LOS INGREDIENTES PROTEICOS, EL AMBIENTE DE PROCESADO Y LOS PRODUCTOS FINALES ACTUALMENTE DISPONIBLES EN EL MERCADO. 
2) DISEÑAR ESTRATEGIAS EFECTIVAS DE GESTION DE RIESGOS PARA LA PRODUCCION Y CONSERVACION DE MAAP DE ALTA HUMEDAD, A TRAVES DE LA COMBINACION INTELIGENTE (TECNOLOGIA DE OBSTACULOS) DE BIOCONSERVACION, PROCESADO POR ALTA PRESION Y ENVASADO SOSTENIBLE. 
3) DESARROLLAR PROCESOS SOSTENIBLES INNOVADORES PARA PRODUCIR MAAP DE HUMEDAD INTERMEDIA SEGUROS Y AUTO-ESTABLES, OBTENIDOS A PARTIR DE UN INGREDIENTE VEGETAL Y UNA MICOPROTEINA. 
4) INTEGRAR LOS RESULTADOS DE LOS OBJETIVOS ANTERIORES HACIA ENFOQUES CUANTITATIVOS DE EVALUACION DE RIESGOS MICROBIANOS QUE PERMITAN ESTIMAR EL IMPACTO PARA LA SALUD PUBLICA, PRIORIZAR ESTRATEGIAS BASADAS EN RIESGOS Y PROPORCIONAR HERRAMIENTAS DE APOYO A LA TOMA DE DECISIONES PARA UNA GESTION EFICAZ DE RIESGOS. 
5) DIFUNDIR, COMUNICAR Y TRANSFERIR LAS ACTIVIDADES DE INVESTIGACION Y LOS RESULTADOS A LAS PARTES INTERESADAS. 
EL PROYECTO ESTA ESTRUCTURADO EN 4 BLOQUES INTERRELACIONADOS. EL WP1 ANALIZARA LA SITUACION ACTUAL DE LOS MAAP DISPONIBLES EN EL MERCADO A TRAVES DE LA INFORMACION PROPORCIONADA EN EL PRODUCTO Y LA CARACTERIZACION ANALITICA (FISICOQUIMICA Y MICROBIOLOGICA). LAS ESTRATEGIAS DE GESTION DE RIESGOS QUE INTEGRAN ENFOQUES DE TECNOLOGIA DE OBSTACULOS SE EVALUARAN MEDIANTE CHALLENGE TESTS CON LOS PATOGENOS RELEVANTES. EL WP2 SE CENTRARA EN LOS MAAP DE ALTA HUMEDAD, LA LETALIDAD DE LOS PROCESOS DE EXTRUSION Y LA EFICACIA DE ESTRATEGIAS INNOVADORAS DE PROCESADO (BIOPRESERVACION, PROCESADO POR ALTA PRESION Y ENVASADO SOSTENIBLE) EN EL MARCO DE LA TECNOLOGIA DE OBSTACULOS. EL WP3 EVALUARA LA CALIDAD Y LA SEGURIDAD DE LOS MAAP DE HUMEDAD INTERMEDIA ELABORADOS CON PROTEINA VEGETAL Y MICOPROTEINA. EL WP4 EVALUARA LOS RIESGOS ASOCIADOS CON EL CONSUMO DE ANALOGOS Y CUANTIFICARA EL IMPACTO EN EL RIESGO RELATIVO DE LA IMPLEMENTACION DE ESTRATEGIAS SELECCIONADAS A NIVEL OPERATIVO. SE DESARROLLARAN HERRAMIENTAS DE APOYO A LA TOMA DE DECISIONES PARA LA GESTION DE RIESGOS Y SE CLASIFICARAN LAS ESTRATEGIAS SEGUN SU EFICACIA Y VIABILIDAD TECNOLOGICA DESDE EL PUNTO DE VISTA INDUSTRIAL. 
EN DEFINITIVA, SAFEMAAP SUPONDRA UN AVANCE EN LA INVESTIGACION SOBRE PROTEINAS ALTERNATIVAS, CONTRIBUYENDO A LA PRODUCCION INTELIGENTE Y SOSTENIBLE DE ALIMENTOS SEGUROS, SALUDABLES Y DE CALIDAD.</t>
  </si>
  <si>
    <t xml:space="preserve">Nature knows best – Lessons from plants on how to design stable emulsions resistant to lipid oxidation</t>
  </si>
  <si>
    <t xml:space="preserve">Updates
18 September 2023
The main research question of our project is: What can we learn from oleosomes (specialized plant lipid droplets) to prevent lipid oxidation (rancidity) in food emulsions (e.g., salad dressings, mayonnaise, milk)? In the first part of the project, we developed a high-yield extraction method to obtain oleosin, the protein that stabilize the oleosome, and unravel how such protein can be used to stabilize an emulsion. We then demonstrated that the use of oleosomes as natural emulsions can help retard oxidation compared to common food emulsions. We are now trying to identify what is providing them this increased stability.
Background: Lipid oxidation is one of the major causes of degradation of lipid-based products over time and the increasing demand of consumers for clean labels and sustainable products pushes us into rethinking the strategies to prevent it. Plants have already solved the lipid oxidation problem, by storing their lipids in very stable organelles, called oleosomes. However, it is not understood what properties impart this higher oxidative resistance. 
Aim and methodology: The aim of this project is to understand the mechanism and conditions behind the oxidative stability of oleosomes. Interfacial composition of oleosomes will be modified either by changing the environmental conditions or by reconstituting artificial oleosomes with specific proteins/phospholipid composition. State-of-art analytical chemistry approaches (1H-NMR, GC-MS, LC-MS) will be used to correlate the interfacial composition of these oleosomes and their sensitivity to lipid oxidation. This should allow us to characterize for the first time the impact of interfacial composition on lipid oxidation pathways under different environmental conditions. 
Outcome and economic benefits: The outcome of this project will broaden the application of oleosomes as natural emulsion and carrier systems and help us build nature-inspired emulsion systems with a higher resistance towards lipid oxidation. This project will contribute not only to develop products fitting the consumer demand for more natural and sustainable products, but also to reduce waste associated with lipid oxidation.</t>
  </si>
  <si>
    <t xml:space="preserve">https://www.nwo.nl/en/projects/gsgt2019021</t>
  </si>
  <si>
    <t xml:space="preserve">grant.12854734</t>
  </si>
  <si>
    <t xml:space="preserve">M. Hennebelle, L.P. Plankensteiner</t>
  </si>
  <si>
    <t xml:space="preserve">2018/2019 (Research programme)</t>
  </si>
  <si>
    <t xml:space="preserve">The relationship of the signs of productivity, adaptability and alkaloids in the seeds of narrow-leaved lupine in the conditions of the North-West of the Russian Federation</t>
  </si>
  <si>
    <t xml:space="preserve">The project aims to solve an important problem of our time - the rational use of plant genetic resources. Within the framework of the project, the genetic diversity of narrow-leaved lupine in the collection of VIR will be systematized for a number of selection-significant characters. Narrow-leafed lupine (Lupinus angustifolius L.) is a high-protein leguminous crop that is well adapted to relatively high latitudes, in particular to the conditions of the North-West of the Russian Federation, to acidic and poor soils. Domestication of the species is less than 100 years old, which indicates the incomplete development of its genetic potential. Nevertheless, the possibilities of its use as a cultivated plant are very wide. While it is used mainly as a feed and green manure, but there are great prospects for use in the food industry and culinary, pharmaceuticals. However, the production of feed and food products from most of the available genetic resources of the species is limited by the presence of secondary metabolites, alkaloids, in the seeds and green mass of the plant. Significant variability of the trait “alkaloids content” in the seeds of narrow-leaved lupine was revealed in the VIR collection. For the vast majority of samples for many years, this assessment was carried out mainly by the express field method and does not have an exact quantitative characteristic. The proposed project involves screening the gene pool for alkaloids using modern biochemistry methods, identifying their qualitative composition, dynamics of accumulation in the process of plant development and establishing the relationship of these characters with seed productivity, plant susceptibility to diseases and other agronomic and morphological characteristics of the samples. Identification of relationships of characters is of great importance for selection. It is known that the world practice of using low-alkaloid varieties in other cultivated species of lupine has encountered their greater susceptibility to diseases and leaf-eating insects in comparison with highly alkaloid (“bitter”) forms. The novelty of the project will be expressed in the optimization of methods for isolating and determining the concentration and qualitative composition of alkaloids in the seeds of narrow-leafed lupins for large-scale screening of the collection, identifying the diversity of the material studied by these characters and promising for breeding forms, establishing relationships of important breeding significant characters, in gaining knowledge about the dynamics of accumulation in plant and changes in the qualitative composition of alkaloids in the process of plant ontogenesis. The importance of lupine in increasing the functionality of feed and food products, along with such an important property as a high environment-forming role, determines the relevance of increasing its production and consumption based on the creation of new low-alkaloid, highly productive and disease-resistant varieties. The presence of a well-characterized source material optimizes the selection process. Therefore, along with obtaining new fundamental knowledge, our project has an important national economic value.</t>
  </si>
  <si>
    <t xml:space="preserve">Взаимосвязи признаков продуктивности, адаптивности и содержания алкалоидов в семенах люпина узколистного в условиях Северо-Запада РФ</t>
  </si>
  <si>
    <t xml:space="preserve">grant.8739516</t>
  </si>
  <si>
    <t xml:space="preserve">M.A. Vishniakova</t>
  </si>
  <si>
    <t xml:space="preserve">Проект направлен на решение важной проблемы современности – рациональное использование генетических ресурсов растений. В рамках проекта будет осуществлена систематизация имеющегося в коллекции ВИР генетического разнообразия люпина узколистного по ряду селекционно значимых признаков. Люпин узколистный (Lupinus angustifolius L.) - высокобелковая зернобобовая культура, хорошо адаптированная к сравнительно высоким широтам, в частности к условиям Северо-Запада РФ, к кислым и бедным почвам. Доместикация вида насчитывает менее 100 лет, что свидетельствует о неполном освоении его генетического потенциала. Тем не менее, возможности его применения как культурного растения очень широки. Пока его используют преимущественно как кормовую и сидеральную культуру, но имеются большие перспективы применения в пищевой промышленности и кулинарии, фармацевтике. Однако производство кормов и продуктов питания из большей части имеющихся генетических ресурсов вида лимитировано наличием в семенах и зеленой массе растения вторичных метаболитов – алкалоидов. В коллекции ВИР выявлена значительная изменчивость признака «содержание алкалоидов» в семенах люпина узколистного. У подавляющего числа образцов в течение многих лет эта оценка осуществлялась преимущественно полевым экспресс-методом и не имеет точной количественной характеристики. В заявляемом проекте предполагается скрининг генофонда по содержанию алкалоидов методами современной биохимии, выявление их качественного состава, динамики накопления в процессе развития растений и установление взаимосвязи этих признаков с семенной продуктивностью, поражаемостью растений болезнями и другими агрономическими и морфологическими характеристиками образцов. Выявление связей признаков имеет большое значение для селекции. Известно, что мировая практика использования низкоалкалоидных сортов у других культивируемых видов люпина столкнулась с их большей восприимчивостью к болезням и листогрызущим насекомым по сравнению с высокоалкалоидными («горькими») формами. Новизна проекта выразится в оптимизации методик выделения и определения концентрации и качественного состава алкалоидов в семенах люпина узколистного для широкомасштабного скрининга коллекции, выявлении разнообразия изучаемого материала по этим признакам и перспективных для селекции форм, установлении связей важных селекционно значимых признаков, в получении знаний о динамике накопления в растении и изменении качественного состава алкалоидов в процессе онтогенеза растения. Значение люпина в увеличении функциональности кормов и пищевых продуктов наряду с таким важным свойством как высокая средообразующая роль определяет актуальность увеличения его производства и потребления на основе создания новых низкоалкалоидных высокопродуктивных и устойчивых к болезням сортов. Наличие хорошо охарактеризованного исходного материала оптимизирует процесс селекции. Поэтому наряду с получением новых фундаментальных знаний наш проект имеет важное народнохозяйственное значение.</t>
  </si>
  <si>
    <t xml:space="preserve">Legumes for Sustainable Food System and Healthy Life</t>
  </si>
  <si>
    <t xml:space="preserve">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</si>
  <si>
    <t xml:space="preserve">https://research.fi/en/results/funding/69823</t>
  </si>
  <si>
    <t xml:space="preserve">grant.13526007</t>
  </si>
  <si>
    <t xml:space="preserve">Anne-maria Pajari</t>
  </si>
  <si>
    <t xml:space="preserve">2022-06-13</t>
  </si>
  <si>
    <t xml:space="preserve">Strategic Research Funding (Funding Instrument); SRC programme Towards a Sustainable, Healthy and Climate-Neutral Food System (call for invited appli 2022 (Call)</t>
  </si>
  <si>
    <t xml:space="preserve">https://research.fi/en/results/funding/69808</t>
  </si>
  <si>
    <t xml:space="preserve">grant.13526006</t>
  </si>
  <si>
    <t xml:space="preserve">Satu Männistö</t>
  </si>
  <si>
    <t xml:space="preserve">Finnish Institute for Health and Welfare</t>
  </si>
  <si>
    <t xml:space="preserve">New Molecular and Cell-based Approaches to assess Food Astringency and Bitterness</t>
  </si>
  <si>
    <t xml:space="preserve">Taste properties are vital to humans: they impact human survival, nutrition, health and well-being. The problem of unpleasant taste properties, namely bitter- or astringent-tasting compounds is emerging in many diverse research fields. Beyond the obvious interest in food science, nutrition, and in the improvement/selection of crops, also human taste disorders and drug discovery domains could also benefit from research on astringency and bitterness. Crossing the boundaries among different fields, BeTASTy goes beyond the current state-of-the-art of food-oriented researches to respond to the prominent challenges on astringency and bitterness. This proposal will provide an in-depth mechanistic and functional understanding into the MAIN PHYSICAL-CHEMICAL EVENTS triggering the physiological and neural perception of astringency by an innovative approach considering the main oral key pieces namely salivary proteins, epithelia and emphasizing the role of mechanoreceptors on that sensation. BeTASTy will also unveil how, for some compounds, astringency and bitterness CAN GO TOGETHER by an innovative all-in-one model. Additionally, the individual features that account for sensory differences will be deepened by a pioneering approach based on human organoids and electroencephalography. The final goal, will be the creation of cutting-edge CELL-FREE BIOSENSORS based on the identified orally active mechano- and bitter taste receptors to assess astringency and bitterness respectively, and by overcoming the main drawbacks of the existing (cell-based) ones. Endowed with a truly differentiated and disruptive character, this groundbreaking project will engage food chemistry, biochemistry, neuroscience, sensory analysis and biotechnology fields of research to outdo the state-of-the-art. Only an ambitious and multidisciplinary proposal will yield scientific breakthroughs on the BIOCHEMICAL-NEURAL-PERCEPTUAL TRIAD EVENTS of these taste properties which will eventually enable to tailor them</t>
  </si>
  <si>
    <t xml:space="preserve">https://cordis.europa.eu/project/id/101040462</t>
  </si>
  <si>
    <t xml:space="preserve">grant.12940353</t>
  </si>
  <si>
    <t xml:space="preserve">Rede de Química e Tecnologia</t>
  </si>
  <si>
    <t xml:space="preserve">2022-07-01</t>
  </si>
  <si>
    <t xml:space="preserve">Plant Breeding Research P2 joint project: 'Rapeseed as a native source of high-quality protein for human nutrition (RaPEQ - P2)', subproject F</t>
  </si>
  <si>
    <t xml:space="preserve">Plant Breeding Research P2 Joint Project: 'Rapeseed as a Native Source of High-Quality Protein for Human Nutrition (RaPEQ - P2)'</t>
  </si>
  <si>
    <t xml:space="preserve">Pflanzenzüchtungsforschung-P2-Verbundvorhaben: 'Rapssaat als einheimische Quelle von hochwertigem Protein für die menschliche Ernährung (RaPEQ - P2)', Teilprojekt F</t>
  </si>
  <si>
    <t xml:space="preserve">https://foerderportal.bund.de/foekat/jsp/SucheAction.do?actionMode=view&amp;fkz=031B0888F</t>
  </si>
  <si>
    <t xml:space="preserve">grant.9063165</t>
  </si>
  <si>
    <t xml:space="preserve">Quakenbrück</t>
  </si>
  <si>
    <t xml:space="preserve">2020-03-01</t>
  </si>
  <si>
    <t xml:space="preserve">https://research.fi/en/results/funding/69801</t>
  </si>
  <si>
    <t xml:space="preserve">grant.13526005</t>
  </si>
  <si>
    <t xml:space="preserve">Anna-liisa Välimaa, Toivo antero Muilu</t>
  </si>
  <si>
    <t xml:space="preserve">Natural Resources Institute Finland</t>
  </si>
  <si>
    <t xml:space="preserve">Cleaner, Healthier and Animal-Friendly Meat</t>
  </si>
  <si>
    <t xml:space="preserve">Since the first agricultural revolution 12.000 years ago, humans have used animals to convert plants into meat. However, only a small fraction of the feed they consume ends up as food, making animals very inefficient at producing protein for consumption. This inefficiency is a leading contributor to the ecological meltdown we are now facing. 
At Meat Tomorrow, we are on a mission to accelerate the transition to a sustainable food industry. To do that we are reinventing meat production by producing sustainable and ethical meat (cultivated meat) from biology's most fundamental building block: Stem cells. Various studies estimate that cultivated meat production will require 70% less water, emit 80% fewer greenhouse gasses, occupy 90% less land and eliminate disease outputs. 
The InnoFounder program will allow us to build on our technological foundation and enable upscaling of our production, pushing us closer to our goal of becoming a leading producer of truly sustainable meats.</t>
  </si>
  <si>
    <t xml:space="preserve">grant.14709249</t>
  </si>
  <si>
    <t xml:space="preserve">Innofounder (Program)</t>
  </si>
  <si>
    <t xml:space="preserve">Tailormade glucuronoxylan-yeast cell factory by CRISPR engineering for precision fermentation of xylan waste streams into valuable bio-products</t>
  </si>
  <si>
    <t xml:space="preserve">Yeast precision fermentation systems has the potential to upgrade plant waste biomass into valuable bioproducts such as proteins, foods, feeds, flavors, or the fuels that we need in the coming bioeconomy. The millions of tons of forestry and agricultural waste produced every year are rich in the carbohydrate polymer glucuronoxylan (~25%) which can fuel a yeast fermentation system. A major challenge in this is to extract the sugars from glucuronoxylan without the use of harsh chemicals and energy-demanding processes damaging to the planetary health. The aim of this project is to engineer a glucuronoxylan fermenting baker’s yeast using CRISPR technology. This tailormade glucuronoxylan-yeast cell factory strain will serve as a fermentation platform taking us one step closer to turning our plant waste into valuable bioproducts.
</t>
  </si>
  <si>
    <t xml:space="preserve">grant.13909076</t>
  </si>
  <si>
    <t xml:space="preserve">Jonas Ravn</t>
  </si>
  <si>
    <t xml:space="preserve">2023-08-21</t>
  </si>
  <si>
    <t xml:space="preserve">DEVELOPMENT OF A WHEAT YOGURT-TYPE PRODUCT: STRUCTURE AND PHYSICOCHEMICAL PROPERTIES</t>
  </si>
  <si>
    <t xml:space="preserve">CURRENT FOOD PRODUCTION PRACTICES ARE UNSUSTAINABLE AND CONTRIBUTE SIGNIFICANTLY TO ENVIRONMENTAL PROBLEMS. ADOPTING HEALTHY DIETS WITH SUSTAINABILITY CONSIDERATIONS CAN HELP REDUCE HEALTH PROBLEMS AND THE CONSEQUENCES OF CLIMATE CHANGE. FOODS PRODUCED BY MICROORGANISMS THROUGH FERMENTATION PROCESSES ARE A PROMISING SOLUTION FOR TRANSFORMING THE FOOD SYSTEM DUE TO THEIR REDUCED USE OF WATER, ENERGY, AND LAND; RESISTANCE TO ADVERSE CLIMATE CONDITIONS; AND USE OF FOOD BY-PRODUCTS. More research is needed in this interdisciplinary area to develop novel strategies for developing fermented food products and formulating new products with microorganism-derived ingredients. Traditional dairy-based yogurt is an attractive product that helps meet nutritional needs, primarily protein and mineral intake. Its consumption has been shown to improve health and prevent disease. However, there are barriers to its consumption, such as cow's milk allergies, lactose intolerance, and lack of accessibility. Alternative plant-based yogurts offer only a partial replacement, as their composition is not as nutritious as the dairy version and they have soft, unstable textures, with undesirable flavors. Therefore, more research is needed in this area. Cereals, and wheat in particular, play a fundamental role in healthy and sustainable food systems due to their accessibility and nutrient supply worldwide. New wheat-based beverages and yogurt-type products are currently being developed within the European Wheatbiome project. These products exhibited poor structure and stability. Therefore, this project aims to understand the structure formation of wheat-based yogurts and to apply strategies to improve the texture, nutritional composition, and digestibility of the final product. One strategy to be evaluated will be the addition of microbial proteins to increase the nutritional value and building blocks available for the formation of the network structure. Another strategy will be the use of lactic acid bacteria (LAB) that produce exopolysaccharides (EPS) during fermentation as the scaffolding of the product structure. The hypothesis is proposed: by adding microbial proteins to a wheat substrate and using a LAB with EPS production capacity during a controlled fermentation process, a network will be formed that will result in a wheat yogurt with a protein content and texture similar to dairy yogurt. This project will implement complementary technical approaches such as rheological studies, microscopic techniques, textural and physical-chemical analysis to describe and modulate structure formation during fermentation and to evaluate the effect of structure on macronutrient digestibility. Research has shown that microstructural studies are essential to explain gel formation during fermentation and differences in digestibility rates when product formulations and structures vary. Indeed, formulation, processing, and structure formation are closely linked and influence the final perception and nutritional value of the product.</t>
  </si>
  <si>
    <t xml:space="preserve">DESARROLLO DE UN PRODUCTO TIPO YOGUR DE TRIGO: ESTRUCTURA Y PROPIEDADES FISICOQUIMICAS</t>
  </si>
  <si>
    <t xml:space="preserve">grant.14881007</t>
  </si>
  <si>
    <t xml:space="preserve">LAS PRACTICAS ACTUALES DE PRODUCCION DE ALIMENTOS SON INSOSTENIBLES Y CONTRIBUYEN SIGNIFICATIVAMENTE A PROBLEMAS AMBIENTALES. ADOPTAR DIETAS SALUDABLES CON CONSIDERACIONES DE SOSTENIBILIDAD PUEDE AYUDAR A REDUCIR PROBLEMAS DE SALUD Y LAS CONSECUENCIAS DEL CAMBIO CLIMATICO. LOS ALIMENTOS PRODUCIDOS POR MICROORGANISMOS A TRAVES DE PROCESOS DE FERMENTACION SON UNA SOLUCION PROMETEDORA PARA TRANSFORMAR EL SISTEMA ALIMENTARIO DEBIDO A SU MENOR USO DE AGUA, ENERGIA Y TIERRA; RESISTENCIA A CONDICIONES CLIMATICAS ADVERSAS; Y USO DE SUBPRODUCTOS ALIMENTARIOS. SE REQUIERE MAS INVESTIGACION EN ESTA AREA INTERDISCIPLINARIA PARA CREAR ESTRATEGIAS NOVEDOSAS QUE PERMITAN DESARROLLAR PRODUCTOS ALIMENTARIOS FERMENTADOS Y FORMULAR NUEVOS PRODUCTOS CON INGREDIENTES DERIVADOS DE MICROORGANISMOS. 
EL YOGUR TRADICIONAL A BASE DE LACTEOS ES UN PRODUCTO ATRACTIVO QUE AYUDA A SATISFACER LAS NECESIDADES NUTRICIONALES, PRINCIPALMENTE LA INGESTA DE PROTEINAS Y MINERALES; SE HA DEMOSTRADO QUE SU CONSUMO PUEDE MEJORAR LA SALUD Y PREVENIR ENFERMEDADES. SIN EMBARGO, EXISTEN BARRERAS PARA SU CONSUMO, COMO ALERGIA A LA LECHE DE VACA, INTOLERANCIA A LA LACTOSA Y FALTA DE ACCESIBILIDAD. LOS YOGURES ALTERNATIVOS A BASE DE PLANTAS OFRECEN SOLO UNA SUSTITUCION PARCIAL, YA QUE SU COMPOSICION NO ES TAN NUTRITIVA COMO LA VERSION LACTEA Y PRESENTAN TEXTURAS BLANDAS E INESTABLES, CON SABORES NO DESEADOS. POR LO TANTO, SE NECESITA MAS INVESTIGACION EN ESTA AREA. 
LOS CEREALES, Y EL TRIGO EN PARTICULAR, JUEGAN UN PAPEL FUNDAMENTAL EN SISTEMAS ALIMENTARIOS SALUDABLES Y SOSTENIBLES, DEBIDO A SU ACCESIBILIDAD Y APORTACION DE NUTRIENTES A NIVEL MUNDIAL. ACTUALMENTE, SE ESTAN DESARROLLANDO NUEVAS BEBIDAS A BASE DE TRIGO Y PRODUCTOS TIPO YOGUR EN EL PROYECTO EUROPEO WHEATBIOME. ESTOS PRODUCTOS PRESENTARON UNA ESTRUCTURA Y ESTABILIDAD DEFICIENTES. POR LO TANTO, ESTE PROYECTO TIENE COMO OBJETIVO ENTENDER LA FORMACION DE LA ESTRUCTURA DE YOGURES A BASE DE TRIGO Y APLICAR ESTRATEGIAS PARA MEJORAR LA TEXTURA, COMPOSICION NUTRICIONAL Y DIGESTIBILIDAD DEL PRODUCTO FINAL. UNA ESTRATEGIA A EVALUAR SERA LA ADICION DE PROTEINAS MICROBIANAS PARA AUMENTAR EL VALOR NUTRICIONAL Y LOS LADRILLOS DISPONIBLES PARA LA FORMACION DE LA ESTRUCTURA EN RED. OTRA ESTRATEGIA SERA EL USO DE BACTERIAS ACIDO LACTICAS (LAB) QUE PRODUCEN EXOPOLISACARIDOS (EPS) DURANTE LA FERMENTACION COMO EL ANDAMIAJE DE LA ESTRUCTURA DEL PRODUCTO. SE PROPONE LA HIPOTESIS: AL AÑADIR PROTEINAS MICROBIANAS A UN SUSTRATO DE TRIGO Y USAR LAB CON CAPACIDAD DE PRODUCCION DE EPS DURANTE UN PROCESO DE FERMENTACION CONTROLADO, SE FORMARA UNA RED QUE DARA LUGAR A UN YOGUR DE TRIGO CON UN CONTENIDO PROTEICO Y TEXTURA SIMILAR AL YOGUR LACTEO. 
ESTE PROYECTO IMPLEMENTARA ENFOQUES TECNICOS COMPLEMENTARIOS COMO ESTUDIOS REOLOGICOS, TECNICAS DE MICROSCOPIA, ANALISIS DE TEXTURA Y FISICOQUIMICOS PARA DESCRIBIR Y MODULAR LA FORMACION DE LA ESTRUCTURA DURANTE LA FERMENTACION Y EVALUAR EL EFECTO DE LA ESTRUCTURA EN LA DIGESTIBILIDAD DE MACRONUTRIENTES. INVESTIGACIONES HAN DEMOSTRADO QUE LOS ESTUDIOS MICROESTRUCTURALES SON ESENCIALES PARA EXPLICAR LA FORMACION DEL GEL DURANTE EL PROCESO DE FERMENTACION Y LAS DIFERENCIAS EN LAS TASAS DE DIGESTIBILIDAD CUANDO LAS FORMULACIONES Y ESTRUCTURAS DE LOS PRODUCTOS VARIAN. DE HECHO, LA FORMULACION, EL PROCESAMIENTO Y LA FORMACION DE LA ESTRUCTURA ESTAN ESTRECHAMENTE RELACIONADOS E INFLUYEN EN LA PERCEPCION FINAL Y EL VALOR NUTRICIONAL DEL PRODUCTO.</t>
  </si>
  <si>
    <t xml:space="preserve">Clean Label Gelled Emulsions Structured with Plant Ingredients as Healthy Fat Substitutes in Foods. Chemistry, Structure, and In Vitro Digestion</t>
  </si>
  <si>
    <t xml:space="preserve">Today's society is well aware of the relationship between good health and a balanced diet. In this sense, the development of new foods low in fat, especially saturated fat, and with sensory quality equivalent to traditional products continues to be a research challenge. Gelled emulsions, obtained by structuring vegetable oils, could be the solution for replacing fats with high saturated fatty acid content, which are widely used in food formulations. The structure of oil in the form of a gel has the advantage, over other structuring systems, of allowing the development of a wide variety of textures and reducing the total fat content of the food.
Currently, additives are used to structure oil. However, society increasingly values the presence of natural ingredients and the fewest additives possible in food composition. This makes clean label foods increasingly in demand. Some byproducts from the agricultural and food industry contain biopolymers (polysaccharides and proteins) with potential for use as stabilizers and emulsifiers in food formulations. The application of physical conditioning techniques can have a positive impact on the technological and functional properties of these biopolymers, which could be used for clean food labeling. In this project, bagasse from the citrus and wine industries will undergo various conditioning treatments (lyophilization, vacuum drying, extrusion, and homogenization at high and normal pressures). The conditioned byproducts will be used to structure gelled emulsions of olive and sunflower oil, and their physical properties (rheology, texture, particle size distribution), microstructure, and in vitro digestion studies of the lipid fraction will be analyzed. Stability studies will also be conducted to determine the shelf life of the emulsions. GEL EMULSIONS THAT PRESENT GREATER STABILITY AND SUITABILITY FOR USE AS FAT SUBSTITUTES WILL BE USED IN THE PREPARATION OF A SEMI-SOLID FOOD MATRIX (SPREADABLE CHEESE CREAM) AND ANOTHER SOLID MATRIX (COOKIE), INVESTIGATING THE EFFECT OF THEIR INCORPORATION ON THE PHYSICAL PROPERTIES, MICROSTRUCTURE, IN VITRO LIPID DIGESTIBILITY AND SENSORY PROPERTIES. THE APPLICATION OF GEL EMULSIONS AS A SOURCE OF HEALTHY FAT IN THE DEVELOPMENT OF NEW FOODS WILL LEAD TO A REDUCTION IN THE CONTENT OF SATURATED FATTY ACIDS AND TOTAL FAT, WITHOUT THE INCORPORATION OF ADDITIVES IN THEIR FORMULATION, AND THEREFORE, AN INNOVATIVE START IN THE DEVELOPMENT OF NEW, HEALTHIER FOODS.</t>
  </si>
  <si>
    <t xml:space="preserve">EMULSIONES GELIFICADAS CLEAN LABEL ESTRUCTURADAS CON INGREDIENTES VEGETALES COMO SUSTITUTAS SALUDABLES DE GRASA EN ALIMENTOS. QUIMICA, ESTRUCTURA Y DIGESTION IN VITRO</t>
  </si>
  <si>
    <t xml:space="preserve">grant.14865537</t>
  </si>
  <si>
    <t xml:space="preserve">Universitat Politècnica de València</t>
  </si>
  <si>
    <t xml:space="preserve">LA SOCIEDAD ACTUAL ES MUY CONSCIENTE DE LA RELACION EXISTENTE ENTRE UNA BUENA SALUD Y UNA DIETA EQUILIBRADA. EN ESTE SENTIDO, EL DESARROLLO DE NUEVOS ALIMENTOS BAJOS EN GRASAS, ESPECIALMENTE EN GRASAS SATURADAS, Y CON UNA CALIDAD SENSORIAL EQUIVALENTE A LA DE LOS PRODUCTOS TRADICIONALES CONTINUA SIENDO UN RETO EN LA INVESTIGACION. LAS EMULSIONES GELIFICADAS, OBTENIDAS POR ESTRUCTURACION DE ACEITES VEGETALES, PODRIAN SER LA SOLUCION PARA EL REEMPLAZO DE LAS GRASAS CON ELEVADO CONTENIDO EN ACIDOS GRASOS SATURADOS, QUE SE EMPLEAN DE FORMA GENERALIZADA EN LA FORMULACION DE LOS ALIMENTOS. LA ESTRUCTURACION DEL ACEITE EN FORMA DE GEL PRESENTA LA VENTAJA, FRENTE A OTROS SISTEMAS DE ESTRUCTURACION, DE PERMITIR DESARROLLAR UNA AMPLIA VARIEDAD DE TEXTURAS Y DE DISMINUIR LA GRASA TOTAL DEL ALIMENTO. 
EN LA ACTUALIDAD, PARA ESTRUCTURAR EL ACEITE SE EMPLEAN ADITIVOS. SIN EMBARGO, LA SOCIEDAD VALORA CADA VEZ MAS, EN LA COMPOSICION DE LOS ALIMENTOS, LA PRESENCIA DE INGREDIENTES NATURALES Y EL MENOR NUMERO DE ADITIVOS POSIBLES, LO QUE HACE QUE LOS ALIMENTOS CON ETIQUETADO LIMPIO O CLEAN LABEL SEAN CADA DIA MAS DEMANDADOS. 
ALGUNOS SUBPRODUCTOS DE LA INDUSTRIA AGROALIMENTARIA CONTIENEN BIOPOLIMEROS (POLISACARIDOS Y PROTEINAS) CON POTENCIAL PARA SER UTILIZADOS COMO ESTABILIZANTES Y EMULSIONANTES EN LA FORMULACION DE ALIMENTOS. LA APLICACION DE TECNICAS FISICAS DE ACONDICIONAMIENTO PUEDE EJERCER UN IMPACTO POSITIVO EN LAS PROPIEDADES TECNOFUNCIONALES DE ESTOS BIOPOLIMEROS QUE PODRIAN SER UTILIZADOS PARA EL ETIQUETADO LIMPIO DE LOS ALIMENTOS. 
EN ESTE PROYECTO, LOS BAGAZOS DE LAS INDUSTRIAS CITRICAS Y VINICOLAS SE SOMETERAN A DIFERENTES TRATAMIENTOS DE ACONDICIONAMIENTO (LIOFILIZACION, SECADO A VACIO, EXTRUSION Y HOMOGENEIZACION A ALTAS PRESIONES Y A PRESION NORMAL). CON LOS SUBPRODUCTOS ACONDICIONADOS SE ESTRUCTURARAN EMULSIONES GELIFICADAS DE ACEITE DE OLIVA Y DE GIRASOL Y SE ANALIZARAN SUS PROPIEDADES FISICAS (REOLOGICAS, TEXTURA, DISTRIBUCION DE TAMAÑO DE PARTICULA), MICROESTRUCTURA, Y SE REALIZARAN ESTUDIOS DE DIGESTION IN VITRO DE LA FRACCION LIPIDICA. TAMBIEN SE LLEVARAN A CABO ESTUDIOS DE ESTABILIDAD PARA CONOCER LA VIDA UTIL DE LAS EMULSIONES. 
LAS EMULSIONES GELIFICADAS QUE PRESENTEN MAYOR ESTABILIDAD Y APTITUD PARA SU UTILIZACION COMO SUSTITUTOS DE GRASA SE UTILIZARAN EN LA ELABORACION DE UNA MATRIZ ALIMENTARIA SEMI-SOLIDA (CREMA DE QUESO UNTABLE) Y OTRA SOLIDA (GALLETA), INVESTIGANDOSE EL EFECTO DE SU INCORPORACION EN LAS PROPIEDADES FISICAS, MICROESTRUCTURA, DIGESTIBILIDAD LIPIDICA IN VITRO Y PROPIEDADES SENSORIALES. 
LA APLICACION DE LAS EMULSIONES GELIFICADAS COMO FUENTE DE GRASA SALUDABLE EN EL DESARROLLO DE NUEVOS ALIMENTOS SUPONDRA UNA REDUCCION DEL CONTENIDO EN ACIDOS GRASOS SATURADOS Y GRASA TOTAL, SIN LA INCORPORACION DE ADITIVOS EN SU FORMULACION, Y POR TANTO, UNA APUESTA INNOVADORA EN EL DESARROLLO DE NUEVOS ALIMENTOS MAS SALUDABLES.</t>
  </si>
  <si>
    <t xml:space="preserve">Clean Label Gelled Emulsions Structured with Plant Ingredients as Healthy Fat Substitutes in Foods. Physical and Sensory Research.</t>
  </si>
  <si>
    <t xml:space="preserve">EMULSIONES GELIFICADAS CLEAN LABEL ESTRUCTURADAS CON INGREDIENTES VEGETALES COMO SUSTITUTAS DE GRASA SALUDABLE EN ALIMENTOS. INVESTIGACION FISICA Y SENSORIAL.</t>
  </si>
  <si>
    <t xml:space="preserve">grant.14862489</t>
  </si>
  <si>
    <t xml:space="preserve">Improving the stability of plant protein-containing emulsions by using specific fractions</t>
  </si>
  <si>
    <t xml:space="preserve">Verbesserung der Stabilität pflanzenproteinhaltiger Emulsionen durch Einsatz spezifischer Fraktionen</t>
  </si>
  <si>
    <t xml:space="preserve">https://foerderportal.bund.de/foekat/jsp/SucheAction.do?actionMode=view&amp;fkz=01IF22378N</t>
  </si>
  <si>
    <t xml:space="preserve">grant.13952031</t>
  </si>
  <si>
    <t xml:space="preserve">Direct project funding (Type of funding)</t>
  </si>
  <si>
    <t xml:space="preserve">Evaluation of physicochemical factors influencing the foaming properties of reconstituted powdered plant protein isolates</t>
  </si>
  <si>
    <t xml:space="preserve">Evaluation of physicochemical factors influencing the foam properties of reconstituted powdered plant protein isolates
</t>
  </si>
  <si>
    <t xml:space="preserve">Bewertung physikochemischer Einflussfaktoren auf die Schaumeigenschaften rekonstituierter pulverförmiger pflanzlicher Proteinisolate</t>
  </si>
  <si>
    <t xml:space="preserve">https://foerderportal.bund.de/foekat/jsp/SucheAction.do?actionMode=view&amp;fkz=01IF23032N</t>
  </si>
  <si>
    <t xml:space="preserve">grant.13952526</t>
  </si>
  <si>
    <t xml:space="preserve">2023-07-01</t>
  </si>
  <si>
    <t xml:space="preserve">Mushroom-based processes for increased local production of non-meat protein and enhanced agriculture sustainability (MUSA)</t>
  </si>
  <si>
    <t xml:space="preserve">The present proposal (MUSA) intends to contribute to enhancing agriculture sustainability by (i) developing production of edible mushrooms on residues of local agriculture, food industry and thinning of Nordic forestry and (ii) upgrading the remains after mushroom harvest, mushroom spent substrate (SMS), to support development of a bio-based society. SMS is the main by-product of mushroom farming, and its disposal poses major economic and environmental concerns. Thus, effective utilization of SMS is crucial for a sustainable mushroom industry. MUSA sees SMS as a source of bioactive compounds, such as mycelium components, substrate phytochemicals, and fungal metabolites. The project will develop methods for extracting bioactive compounds and evaluate them as food additives. The extraction residue will serve as substrates for cultivating oleaginous yeasts which can decrease dependence on imported plant oils such as palm- and soybean oil and provide additional bioactive compounds including carotenoids and β-glucans. MUSA will also include studies of feasibility of SMS as a soil amendment and as a substitute of mineral fertilizer and explore its use for bioremediation purposes. The project will focus on shiitake (L. edodes) and oyster (Pleurotus spp.) mushrooms, which are climate-smart protein-rich food sources, highly attractive to consumers and beneficial for human nutrition and wellbeing.</t>
  </si>
  <si>
    <t xml:space="preserve">https://www.vr.se/swecris.html#/project/2022-02760_Formas</t>
  </si>
  <si>
    <t xml:space="preserve">grant.13284672</t>
  </si>
  <si>
    <t xml:space="preserve">Shaojun Xiong, Oksana Golovko, Volkmar Passoth, Malin Hultberg</t>
  </si>
  <si>
    <t xml:space="preserve">2022-12-01</t>
  </si>
  <si>
    <t xml:space="preserve">2:Teknik, Engineering and Technology (SCB); 1:Naturvetenskap, Natural Sciences (SCB); 208:Miljöbioteknik, Environmental Biotechnology (SCB); 20801:Biosanering, Bioremediation (SCB); 106:Biologi (Medicinska tillämpningar under 3 och lantbruksvetenskapliga under 4), Biological Sciences  (Medical to be 3 and Agricultural to be 4) (SCB); 10602:Biokemi och molekylärbiologi, Biochemistry and Molecular Biology (SCB); 40402:Genetik och förädling inom lantbruksvetenskap, Genetics and Breeding in Agricultural Sciences (SCB); 4:Lantbruksvetenskap och veterinärmedicin, Agricultural and Veterinary Sciences (SCB); 404:Bioteknologi med applikationer på växter och djur, Agricultural Biotechnology (SCB)</t>
  </si>
  <si>
    <t xml:space="preserve">Improving the functionality of plant proteins by glycation using carbohydrates from by-products</t>
  </si>
  <si>
    <t xml:space="preserve">Improving the functionality of plant proteins by glycation using carbohydrates from by-products
</t>
  </si>
  <si>
    <t xml:space="preserve">Verbesserung der Funktionalität von Pflanzenproteinen durch Glykierung unter Verwendung von Kohlenhydraten aus Nebenprodukten</t>
  </si>
  <si>
    <t xml:space="preserve">https://foerderportal.bund.de/foekat/jsp/SucheAction.do?actionMode=view&amp;fkz=01IF00384C</t>
  </si>
  <si>
    <t xml:space="preserve">grant.14045083</t>
  </si>
  <si>
    <t xml:space="preserve">2024-04-01</t>
  </si>
  <si>
    <t xml:space="preserve">NordForsk: Mushroom-based processes for increased local production of non-meat protein and enhanced agriculture sustainability</t>
  </si>
  <si>
    <t xml:space="preserve">MUSA intends to contribute to enhancing agriculture sustainability by (i) using crop residues for producing edible fungi, and (ii) upgrading spent mushroom substrate (SMS), the main by-product of mushroom farming, for uses supporting food production, substitution of mineral fertilizers and providing wastewater bioremediation solutions. 
The Norwegian researchers participating in the project will (i) extract bioactive compounds from SMS, (ii) investigate the enzymatic conversion of cellulose contained in SMS, (iii) prepare cellulosic hydrolysates to be used for cultivating oleaginous yeasts, (iv) recovery of lignin from SMS saccharification residues using green solvents, (v) assess SMS as biofertilizer and soil amendment, and (vi) evaluate the effects of using SMS-based wastewater bioremediation on freshwater ecosystems.
The project will develop extraction methods that preserve the properties of targeted compounds and minimize degradation of non-targeted molecules. The extracts will be evaluated as food additives, and the extraction residue will be subjected to saccharification for producing sugars that will serve as substrates for oleaginous yeasts. The produced yeast will be directed to extraction of lipids that can contribute to decrease the environmental impact of production of palm-, soybean- and rapeseed oil. The lipid-free biomass will be subjected to extraction of carotenoids and ß-glucans, which are bioactive compounds with antioxidant and immunostimulant activity.
The agronomic benefits of using of SMS as a biofertilizer in horticulture or as a soil amendment in agriculture will be quantified. Microbial communities in SMS, and correlations between specific microbes and SMS effectivity as biofertilizer will be assessed.
A bioremediation approach using SMS for removal micropollutants from wastewater to be used for irrigation will be developed. The SMS effects on water quality indicators will be addressed, and its impact on water ecosystems will be elucidated.</t>
  </si>
  <si>
    <t xml:space="preserve">https://prosjektbanken.forskningsradet.no/en/project/FORISS/342747</t>
  </si>
  <si>
    <t xml:space="preserve">grant.13489971</t>
  </si>
  <si>
    <t xml:space="preserve">Carlos Orestes Martín Medina</t>
  </si>
  <si>
    <t xml:space="preserve">APPLICATION OF THERMOEXTRUSION TO OBTAIN A TEXTURED BEAN PROTEIN WITH AN IMPROVED NUTRITIONAL AND POTENTIALLY FUNCTIONAL PROFILE.</t>
  </si>
  <si>
    <t xml:space="preserve">Currently, one of the most impactful trends in the food sector is to improve consumer health by improving the planet, making food an allie of the ecosystem in which it is produced. Today's enormous environmental and socioeconomic problems have raised awareness among consumers, and it is accepted that the production of animal protein in intensive systems is a highly demanding process, both in terms of energy and natural resources, which must be controlled. FOR THIS REASON, THE POSSIBILITY OF MANUFACTURING PROTEIN-RICH FOODS (MEAT ANALOGUES) FROM PLANT SOURCES (LEGUMINE PROTEIN) AS AN ALTERNATIVE TO ANIMAL PROTEIN HAS AROUSED GREAT INTEREST. 
Plants are a widely available and low-cost source of protein, and legumes, such as broad beans, are an interesting alternative among plants, as they provide slow-digesting carbohydrates, vitamins K and B, minerals, phytochemicals, high fiber content, non-digestible carbohydrates, and resistant starch. THE PROPOSAL CONTEMPLATES THE USE OF BOTH THE BROAD BEAN POD, WITH WHICH WE WOULD OBTAIN AN INGREDIENT INTENDED TO ENRICH THE TEXTURED PRODUCT, AND THE TEXTURED PRODUCT ITSELF, MADE FROM THE LEGUME FLOUR, USING THE THERMOEXTRUSION PROCESS. THE TECHNOLOGICAL PARAMETERS OF THE EXTRUSION PROCESS WILL DETERMINE THE TEXTURAL CHARACTERISTICS OF THE FINAL PRODUCT, AND COULD AFFECT THE VIABILITY OF THE BIOLOGICAL ACTIVITY OF THE INGREDIENTS ADDED AFTER THE OPTIMIZATION OF THE DRYING AND FREEZE-DRYING PROCESSES DEVELOPED TO ENRICH IT. IT IS ABOUT COMBINING PROCESSES AND INGREDIENTS TO OBTAIN A PROTEIN TEXTURE WITH AN IMPROVED AND POTENTIALLY FUNCTIONAL NUTRITIONAL PROFILE, TAKING ADVANTAGE OF THE BENE POD (V. FABA). THE INTENDED THIS IS TO CONTRIBUTE TO A PERSONALIZED AND SUSTAINABLE DIET FOR THE POPULATION, ESPECIALLY WITH REGARD TO CERTAIN SECTORS SUCH AS PEOPLE WITH LITTLE OR NO MEAT CONSUMPTION, OR THOSE WHO, DUE TO THEIR SPECIAL REQUIREMENTS, COULD BE CONSUMERS OF THIS TYPE OF FOOD, WHO, PRESUMABLY, WOULD SEE THEIR GLUCOSE METABOLISM MINIMALLY ALTERED (OBESE, DIABETICS OR CELIACS) AS WELL AS ATHLETES WHO PRACTICE LONG-DURATION SPORTS. WE ARE THEREFORE FACING A HUGE ECONOMIC OPPORTUNITY, WHERE CONSUMER EXPECTATIONS ARE EVOLVING TOWARD AN INTERESTING NICHE MARKET.
THE MAIN OBJECTIVE AND CHALLENGE FOCUSES ON OPTIMIZING THE EXTRUSION PROCESS AND DEVELOPING INGREDIENTS FROM BEAN BROADS, WITH THE AIMS OF CONTRIBUTING TO THE PERSONALIZATION AND SUSTAINABILITY OF DIETS.</t>
  </si>
  <si>
    <t xml:space="preserve">APLICACION DE LA TERMOEXTRUSION PARA LA OBTENCION DE UN TEXTURIZADO DE PROTEINA DE HABA CON PERFIL NUTRICIONAL MEJORADO Y POTENCIALMENTE FUNCIONAL.</t>
  </si>
  <si>
    <t xml:space="preserve">grant.14865469</t>
  </si>
  <si>
    <t xml:space="preserve">University of Murcia</t>
  </si>
  <si>
    <t xml:space="preserve">Murcia</t>
  </si>
  <si>
    <t xml:space="preserve">EN LA ACTUALIDAD, UNA DE LAS TENDENCIAS DE MAYOR IMPACTO EN EL SECTOR DE LA ALIMENTACION ES MEJORAR LA SALUD DEL CONSUMIDOR A TRAVES DE LA MEJORA DEL PLANETA, HACIENDO A LOS ALIMENTOS ALIADOS DEL ECOSISTEMA EN EL QUE SE PRODUCEN. LOS ENORMES PROBLEMAS AMBIENTALES Y SOCIOECONOMICOS ACTUALES HAN CREADO CONCIENCIA ENTRE LOS CONSUMIDORES Y SE ACEPTA QUE LA PRODUCCION DE PROTEINA ANIMAL EN SISTEMAS INTENSIVOS SUPONE UN PROCESO DE GRAN DEMANDA, TANTO ENERGETICA COMO DE RECURSOS NATURALES, QUE ES NECESARIO CONTROLAR. POR TAL MOTIVO, HA DESPERTADO GRAN INTERES LA POSIBILIDAD DE FABRICAR ALIMENTOS RICOS EN PROTEINAS (ANALOGOS CARNICOS) A PARTIR DE FUENTES VEGETALES (PROTEINA DE LEGUMBRES) COMO ALTERNATIVA A LA PROTEINA ANIMAL. 
LAS PLANTAS SON UNA FUENTE DE PROTEINA DE ABUNDANTE DISPONIBILIDAD Y BAJO COSTE, Y LAS LEGUMBRES, COMO EL HABA, UNA ALTERNATIVA INTERESANTE DENTRO DE LOS VEGETALES, PUES APORTA HIDRATOS DE CARBONO DE DIGESTION LENTA, VITAMINAS K Y DEL GRUPO B, MINERALES, SUSTANCIAS FITOQUIMICAS, ALTO CONTENIDO EN FIBRA E HIDRATOS DE CARBONO NO DIGERIBLES Y ALMIDON RESISTENTE. LA PROPUESTA CONTEMPLA LA UTILIZACION TANTO DE LA VAINA DEL HABA, CON LA QUE OBTENDRIAMOS UN INGREDIENTE DESTINADO A ENRIQUECER EL TEXTURIZADO, COMO EL PROPIO TEXTURIZADO ELABORADO A PARTIR DE LA HARINA DE LA LEGUMBRE, UTILIZANDO PARA ELLO EL PROCESO DE TERMOEXTRUSION. LOS PARAMETROS TECNOLOGICOS DEL PROCESO DE EXTRUSIONADO DETERMINARAN LAS CARACTERISTICAS TEXTURALES DEL PRODUCTO FINAL, Y PODRIA AFECTAR A LA VIABILIDAD DE LA ACTIVIDAD BIOLOGICA DE LOS INGREDIENTES AÑADIDOS TRAS LA OPTIMIZACION DE LOS PROCESOS DE SECADO Y LIOFILIZACION DESARROLLADOS DE CARA A ENRIQUECERLO. SE TRATA DE COMBINAR PROCESOS E INGREDIENTES PARA OBTENER UN TEXTURIZADO PROTEICO CON UN PERFIL NUTRICIONAL MEJORADO Y POTENCIALMENTE FUNCIONAL, APROVECHANDO LAS BONDADES DE LA VAINA DEL HABA (V. FABA). CON ELLO SE PRETENDE CONTRIBUIR A UNA ALIMENTACION PERSONALIZADA Y SOSTENIBLE DE LA POBLACION, ESPECIALMENTE EN LO REFERIDO A CIERTOS SECTORES COMO PERSONAS CON ESCASO O NULO CONSUMO DE CARNE, O AQUELLAS PARA LAS QUE, POR SUS REQUERIMIENTOS ESPECIALES, PUDIERAN SER CONSUMIDORES DE ESTE TIPO DE ALIMENTOS, QUE, PRESUMIBLEMENTE, VERIAN MINIMAMENTE ALTERADO EL METABOLISMO DE LA GLUCOSA (OBESOS, DIABETICOS O CELIACOS ) ASI COMO DEPORTISTAS QUE PRACTICAN DEPORTES DE LARGA DURACION. 
NOS ENCONTRAMOS PUES ANTE UNA ENORME OPORTUNIDAD ECONOMICA, DONDE LAS EXPECTATIVAS DE LOS CONSUMIDORES ESTAN EVOLUCIONANDO HACIA UN NICHO DE MERCADO INTERESANTE. 
EL OBJETIVO PRINCIPAL Y DESAFIO SE CENTRA EN LA OPTIMIZACION DEL PROCESO DE EXTRUSION Y EL DESARROLLO DE INGREDIENTES A PARTIR DEL HABA, CON EL FIN DE CONTRIBUIR A LA PERSONALIZACION Y SOSTENIBILIDAD DE LAS DIETAS.</t>
  </si>
  <si>
    <t xml:space="preserve">Investigating the unexplored molecular diversity of wild yeasts:An integrated multi-omics analysis of the phyllosphere</t>
  </si>
  <si>
    <t xml:space="preserve">Since the domestication of Saccharomyces cerevisiae (Baker’s Yeast), it has been predominant in fermented foods and bioeconomy. It offers robust controllability, consistency, and high ethanol tolerance, making it desirable for rapid production. Research centers on enhancing and refining S. cerevisiae in the laboratory, narrowing the perspective on the variety within the fermentation process. The rich dynamics of yeasts’ natural evolution, markedly distinct from domesticated yeasts, are primarily disregarded. Yeast research served as a catalyst for advancements in gene analysis, gene expression, and the study of protein and metabolite interactions. These comprehensive research endeavors, encompassed by the term systems biology, perceive the organism as a complex interplay of regulatory networks. Multi-level analytics is crucial to grasp complex regulatory mechanisms governing enzyme activities and metabolic fluxes. These integrative analytical approaches are already limited for S. cerevisiae model systems and even rarer for wild yeasts. My exploratory research project revolves around the comprehensive multi-omics analysis of such wild yeasts in Australia, renowned for its diverse biological niches. It aims to augment our awareness of understanding their uncharted molecular biology. The proposed project aims to understand the unexplored diversity of wild Australian yeasts on a comprehensive molecular level. We will investigate the chemodiversity of metabolites (1), proteins (2), and the interplay of those two domains (3), which are either influenced by phylogenetic factors or contribute to the manifestation of various phenotypes in biodiverse phyllospheric niches. Complete gene sequencing will determine the genetic basis for manifesting notable traits. Lastly, metagenomic analysis will be employed to characterize the microbial communities within these biological niches, and subsequently, their molecular interactions will be examined (4). To ensure an exhaustive representation of biodiversity, we will isolate yeasts from plant surfaces of suburban, rural, remote, and highly specialized ecosystems of Great Barrier Reef’s Heron Island. The non-targeted analytical approach is essential for the holistic characterization of yeast biochemical pathways, unveiling novel regulatory mechanisms, and exploring metabolic adaptations in naturally evolved yeast biology. It encompasses the metabolome, closely linked to distinct phenotypes, unexplored proteins, and enzymes. Understanding their dependence on specific biological niches and interaction with microbial ecologies promises profound insights into wild yeasts’ metabolic potential. The multifaceted fundamental research paves the way to understanding how yeast adapts and thrives in intricate ecosystems, potentially benefiting diverse fields from biotechnology, biomass, and enzyme production to food, flavor, and environmental conservation.</t>
  </si>
  <si>
    <t xml:space="preserve">https://gepris.dfg.de/gepris/projekt/543754742?language=en</t>
  </si>
  <si>
    <t xml:space="preserve">grant.14086073</t>
  </si>
  <si>
    <t xml:space="preserve">Stefan Pieczonka, Benjamin Schulz</t>
  </si>
  <si>
    <t xml:space="preserve">Technical University of Munich; University of Queensland</t>
  </si>
  <si>
    <t xml:space="preserve">Munich; Brisbane</t>
  </si>
  <si>
    <t xml:space="preserve">WBP Fellowship (DFG Programme)</t>
  </si>
  <si>
    <t xml:space="preserve">Fundamental research of dietary patterns as a base for perspective technologies of foods with specified composition and attributes for the implementation of the healthy nutrition strategy and the prevention of socially significant diseases.</t>
  </si>
  <si>
    <t xml:space="preserve">Relevance of solving the mentioned problem:
  The key problem addressed by the project is the development of new methods of nutritional assessment which can identify key changes in dietary patterns that affect quality of life and morbidity, and which will make it possible to maintain a familiar diet by changing only certain characteristics important for the achievement of national health goals. Among the key steps in solving the problem is the development of technologies for creating a range of functional and specialized foods that, when incorporated into the diet, can achieve healthy eating goals. The solution of this scientific problem is a strategically important task, which is currently facing the state and can lead to the reduction of mortality and risks of developing socially significant non-infectious diseases, increasing the life expectancy and improving the quality of life of the Russian Federation population by accelerating the introduction of innovative technologies for early diagnosis, treatment and prevention, associated with the formation of a healthy lifestyle, including a balanced diet through the consumption of food
Scientific novelty of the project:
  The formation, approbation and optimization of the algorithm of diagnostics of steatosis and functional disorders of the digestive organs, as well as the evaluation of the dynamics of the studied parameters in a heterogeneous population of selected people will be carried out.
  For the first time a systematic study of the dynamics of the accumulation of Maillard reaction products between yeast extract and a wide range of mono- and disaccharides will be carried out using electron paramagnetic resonance, HPLC-mass spectrometry and headspace-GC and sensory evaluation to identify optimal modes of producing flavor-aromatic substances of a given profile. 
  The surface properties, interfacial behavior, isothermal stability, denaturation temperature, free energy and denaturation activation energy of brazzein in solutions in the presence of functional food substances included in the food patterns will be studied for the first time.
  The temporal characteristics of the intensity of the sweet taste of brazzein over time as a function of environmental conditions will be investigated, resulting in the establishment of optimal parameters for its use.
The bioavailability of biologically active substances critical to the selected nutritional patterns from plant-protein texture-based products under in vitro models will be studied.
The neuro-physiological responses to the intake of targeted biologically active substances in the composition of new functional and specialized food products developed as part of the project work will be studied by means of an electromyographic study.</t>
  </si>
  <si>
    <t xml:space="preserve">http://www.rscf.ru/en/enprjcard?rid=23-76-33001</t>
  </si>
  <si>
    <t xml:space="preserve">grant.14698532</t>
  </si>
  <si>
    <t xml:space="preserve">Vasily Isakov</t>
  </si>
  <si>
    <t xml:space="preserve">Pilot-scale wet extrusion system for the development of new products in human and animal food</t>
  </si>
  <si>
    <t xml:space="preserve">The requested equipment includes a state-of-the-art pilot system for the treatment of food ingredients using wet extrusion. The system consists of an experimental twin-screw extrusion unit equipped with sensors and equipment to control the dosage and characteristics of both the extruded mixture and the resulting product. The extrusion unit is equipped with various dies capable of texturizing polysaccharide- and protein-based food matrices.
The equipment will be part of the scientific and technical service offering for the Food Technology Pilot Plant Testing at the University of Lleida. The infrastructure's capabilities aim to strengthen the research lines of groups operating in areas related to the agri-food sector (food technology, animal feed and nutrition, agricultural production) and nutrition and health. Specifically, the goal is to strengthen the capabilities of research groups in the development of new products and processes in the field of human and animal nutrition, facilitating the development of safe, nutritious, attractive, and sustainable foods.</t>
  </si>
  <si>
    <t xml:space="preserve">Sistema de extrusión húmeda a escala piloto para el desarrollo de nuevos productos en alimentación humana y animal</t>
  </si>
  <si>
    <t xml:space="preserve">grant.14858883</t>
  </si>
  <si>
    <t xml:space="preserve">Scientific and technical equipment (Call)</t>
  </si>
  <si>
    <t xml:space="preserve">Research infrastructure</t>
  </si>
  <si>
    <t xml:space="preserve">El equipamiento solicitado comprende un sistema piloto de última generación para el tratamiento de ingredientes alimentarios mediante extrusión húmeda. El sistema consta de una unidad experimental de extrusión de doble husillo equipada con sensores y equipamiento para el control de la dosificación y de las características tanto de la mezcla a extrudir como del producto resultante. La unidad extrusora se equipa con distintos cabezales con capacidad de texturizar matrices alimentarias de base polisacárida y proteica. 
El equipamiento formará parte de la oferta del servicio científico-técnico de Ensayo en Planta Piloto de Tecnología de Alimentos de la Universidad de Lleida. Las capacidades de la infraestructura buscan fortalecer las líneas de investigación de los grupos que desarrollan su actividad en los ámbitos afines al sector agroalimentario (tecnología de los alimentos, alimentación y nutrición animal, producción agraria) y de la nutrición y la salud. Concretamente se plantea el fortalecimiento de las capacidades de los grupos de investigación en lo que se refiere al desarrollo de nuevos productos y procesos en el campo de la alimentación humana y animal, que faciliten el desarrollo de alimentos seguros, nutritivos, atractivos y sostenibles.</t>
  </si>
  <si>
    <t xml:space="preserve">Characterization of bioactive compounds in waste raw materials from the brewing industry and examination of their nutritional value and biotechnological potential</t>
  </si>
  <si>
    <t xml:space="preserve">The project will examine the properties of post-production waste from the brewing industry, such as brewery grains and waste yeast slurry. The research results will allow for their secondary management. So far, they have been most often used in the feeding of farm animals. However, they have a high content of bioactive compounds with a beneficial effect on the human body and could be used as ingredients of food products. The aim of the project is to analyze the bioactive compounds contained in waste raw material from the brewing industry and to characterize their nutritional and biotechnological potential. Research on brewery grains will include an assessment of the possibility of using them to stimulate the development of probiotic microflora typical of the human intestinal microbiota. The relationship between the presence of brewery grains in the in vitro environment of the large intestine and the ability of probiotic bacteria to create intestinal biofilm, i.e. bacterial colonies that adhere directly to the intestinal epithelium, will be analyzed. The intestinal biofilm of probiotic bacteria is one of the elements of the immune system and one of the first barriers protecting the body against the penetration of pathogenic bacteria, toxins and antigens. Since brewer's grain contains polysaccharides with prebiotic effects, it was hypothesized that it can stimulate the formation of the intestinal biofilm of probiotic bacteria and the displacement of pathogenic bacteria from it. The aforementioned prebiotics are nothing more than fractions of dietary fiber that naturally occur in cereals, among others, and are used only by probiotic bacteria. There is scientific data on the prebiotic effect of single isolated fractions of fiber from brewer's grain. However, there are still gaps in the literature on the direct effect of brewer's grain without the extraction of the prebiotic fraction on probiotic and pathogenic bacteria. In addition to dietary fiber, brewer's grain contains proteins, fats and simple carbohydrates that can stimulate the growth of not only probiotic bacteria but also pathogenic bacteria. Therefore, research is needed to confirm the safety of this raw material and the possibility of reuse in food production. The effect of this research will be to learn about the effect of brewer's grain on the formation of bacterial biofilms by bacteria typical of intestinal microflora in vitro and to indicate the direct prebiotic effect. Research on waste yeast slurry will concern the use of this raw material for the synthesis of vitamin B12 by propionic bacteria. Bacteria of the species Propionibacterium freudenreichii synthesize vitamin B12 as a result of metabolic changes. Waste yeast slurry is a product consisting mainly of dead yeast cells, substances assimilated by them and their metabolites. The substances included in the waste yeast slurry are substrates for the synthesis of vitamin B12 by Propionibacterium freudenreichii, i.e. it is a source of the necessary substances for this bacterium to produce this vitamin. Based on the above data, a research hypothesis was formulated regarding the secondary use of this raw material. The hypothesis is that waste yeast slurry may be a substrate for the synthesis of vitamin B12 by bacteria of the genus Propionibacterium freudenreichii. 5,6-Dimethylbenzimidazole is necessary for the synthesis of vitamin B12, the natural precursors of which are vitamins B2 and B6, which occur in yeast slurry. There is also scientific data that aspartic acid, which is an amino acid occurring in this post-production waste, is necessary for the synthesis of this vitamin. Additionally, cobalt is present in waste yeast slurry, which is necessary for the formation of the active form of vitamin B12.Due to the increasing popularity of the vegan diet and the fact that vitamin B12 is the only vitamin that is not found in plant products, it is becoming important that it is delivered to this group of consumers. The result of this research will be to indicate that waste yeast slurry can be an inexpensive and easily accessible substrate for the synthesis of vitamin B12 and that it can also be used as a growth medium for the cultivation of Propionibacterium</t>
  </si>
  <si>
    <t xml:space="preserve">Charakterystyka związków bioaktywnych w surowcach odpadowych z przemysłu browarniczego i zbadanie ich wartości odżywczej i potencjału biotechnologicznego</t>
  </si>
  <si>
    <t xml:space="preserve">https://projekty.ncn.gov.pl/index.php?projekt_id=558988</t>
  </si>
  <si>
    <t xml:space="preserve">grant.13790645</t>
  </si>
  <si>
    <t xml:space="preserve">Marcin Kruk</t>
  </si>
  <si>
    <t xml:space="preserve">2023-01-17</t>
  </si>
  <si>
    <t xml:space="preserve">PRELUDIUM 21 (Competition)</t>
  </si>
  <si>
    <t xml:space="preserve">W projekcie będą badane właściwości odpadów poprodukcyjnych z przemysłu piwowarskiego, takie jak młóto browarniane i odpadowa gęstwa drożdżowa. Wyniki badań pozwolą na ich wtórne zagospodarowanie. Dotychczas, najczęściej wykorzyst uje się je w żywieniu zwie rząt hodowlanych . Aczkolwiek posiadają one wysoką zawartość związków bioaktywnych o korzystnym działaniu na organizm człowieka i mogłyby być wykorzystane jako składniki produktów żywnościowych . Celem projektu jest analiza związków bioaktywnych zawartych w surowcu odpadowym z przemysłu piwowarskiego oraz charakterystyka ich potencjału żywieniowego i biotechnologicznego. Badania dotyczące młóta browarnian ego obejmą ocenę możliwości jego wykorzystania do stymulacji rozwoju mikroflory probiocznej typowej dla mikrobio ta jelitowy człowieka. Analizowana będzie zależność pomiędzy obecnością młóta browarnianego w środowisku in vitro jelita grubego a zdolnością bakterii probiotycznych do tworzenia biofilmu jelitowego , czyli kolonii bakteryjnych przylegających bezpo średnio do nabłonka jelitowego. Biofilm jelitowy bakterii probiotycznych jest jednym z elementów układu odpornościowego i jedną z pierwszych barier chroniącą organizm przed wnikaniem bakterii patogennych, toksyn oraz antygenów . Jako że młóto browarniane po siada w swoim składzie wielocukry o działaniu prebiotycznym postawion o hipotez ę że może ono stymulować powstawanie biofilmu jelitowego bakterii probiotycznych oraz wypieranie z niego bakteri i patogenn ych. Wspomniane prebiotyki to nic innego jak frakcje bło nnika pokarmowego, które naturalnie występują miedzy innymi w zbożach i są wykorzystywane tylko przez bakterie probiotyczne . Istnieją dane naukowe na temat prebiotycznego działania pojedynczych wyizolowanych frakcji błonnika z młóta browarnianego. Nadal je dnak istnieją luki w literaturze na temat bezpośredniego wpływu młóta browarnianego bez ekstrakcji frakcji prebioty cznchy na bakter ie probiotyczne i patogenne. Młóto browarniane oprócz błonnika pokarmowego zawiera białka, tłuszcze oraz węglowodany proste, które mogą stymulować wzrost nie tylko bakterii probiotycznych ale też patogennych. Dlatego konieczne są badania, które potwierdzą bezpieczeństwo tego surowca i możliwość powtórnego zastosowania w produkcji żywności. Efektem tych badań będzie poznanie wpływu młóta browarnianego na kształtowanie biofilmów bakteryjnych przez bakterie typowe dla mikroflory jelit w warunkach in vitro i wskazanie bezpośredniego wpływu p rebiotycznego . Badania dotyczące odpadowej gęstwy drożdżowej będą dotyczy ć wykorzystania tego surowca do syntezy witaminy B12 przez bakterie propionowe. Bakterie z gatunku Propionibacterium freudenreichii syntezują witamnię B12 w wyniku przemian metabolicznych. Odpadowa gęstwa drożdżowa to produkt składający się w głównej mierze z martwych komórek drożdży , substancji asymilowanych przez nie i ich metabolitów . Substancje wchodzące w skład odpadowej gęstwy drożdżowej są substratami do syntezy witaminy B12 przez Propionibacterium freudenrei chii, czyli jest ona źródłem niezbędnych substancji aby bakteria ta wytworzyła tę witaminę. Na podstawie powyższych danych postawiono hipotez ę badawcz ą dotycząca wykorzystania wtórnego tego surowca. Hipoteza stanowi że odpadowa gęstwa drożdżowa może być su bstratem do syntezy witamin B12 przez bakterie z rodzaju Propionibacterium freudenreichii . Do syntezy witaminy B12 niezbędny jest 5,6 -Dimethylbenzimidazole, którego naturalnymi prekursorami są witaminy B2 oraz B6, które występują w gęstwie drożdżowej. Istn ieją również dane naukowe że do syntezy tej witaminy niezbędny jest kwas asparaginowy, który jest aminokwasem występującym w tym odpadzie poprodukcyjnym. Dodatkowo, w odpadowej gęstwie drożdżowej występuje kobalt, który jest niezbędny do powstania aktywnej formy witaminy B12. Ze względu na coraz większą popularność diety wegańskiej oraz fakt że witamina B12 jest jedyną witaminą, która nie występuje w produktach roślinnych, ważnym staje się fakt aby została ona dostarczona tej grupie konsumentów. Efektem tych badań będzie wskazanie że odpadowa gęstwa drożdżowa może być niedrogim i łatwo dostępnym substratem do syntezy witaminy B12 a także że może ona posłużyć jako pożywka wzrostowa do hodowli Propionibacterium</t>
  </si>
  <si>
    <t xml:space="preserve">HEALTHY PRODUCTS BASED ON PROTEIN AND CULTIVATED FAT FROM THE TERUEL PORK</t>
  </si>
  <si>
    <t xml:space="preserve">One of the main challenges facing the food industry is the expected population increase by 2050. According to FAO data, a population growth of 2 billion is expected by 2050. From a protein perspective, the current model and dependence on animal protein require a rethink. Although various innovative initiatives aimed at improving the efficiency of traditional meat production processes have been implemented in recent years, they are not sufficient to address the challenges ahead. 
In response to this situation, the TERUELPORK4CULTURE project emerged with the aim of researching and developing products that incorporate cultured animal protein and cultured animal fat that are affordable to target market segments. These products are much more sustainable than conventional meat, with organoleptic, nutritional, and healthy properties. Similar to or better than conventional meat products, delivered through fair, healthy, and environmentally friendly food systems in low-carbon smart industrial plants committed to the EU Green Deal.
The novelty of this project lies in the selection of Teruel PDO meat as a base for cell cultures. Until now, no work has been done in this area with protected designations of origin, so the aim is to replicate the nutritional characteristics of this matrix to obtain meat with the same physical-chemical, nutritional, and organoleptic properties, but through a sustainable alternative to traditional livestock farming that improves livestock performance, reduces water and nutrient consumption, and reduces CO2 emissions.
The consortium is made up of four complementary and synergistic entities: CARTESA, CTIC-CITA, GAIKER, and GREENFOODS.
The project will be carried out between November 1, 2023, and October 31, 2026.</t>
  </si>
  <si>
    <t xml:space="preserve">PRODUCTOS SALUDABLES A BASE DE PROTEÍNA Y GRASA CULTIVADA DEL CERDO DE TERUEL</t>
  </si>
  <si>
    <t xml:space="preserve">grant.14864908</t>
  </si>
  <si>
    <t xml:space="preserve">Uno de los principales retos a los que se enfrenta la industria alimentaria es el aumento de población previsto para 2050. Según datos de la FAO, se espera un crecimiento de 2.000 millones de personas para 2050. Desde la perspectiva de las proteínas, el modelo actual y la dependencia de las proteínas de origen animal requieren un replanteamiento. Aunque en los últimos años se han llevado a cabo diferentes acciones de innovación encaminadas a mejorar la eficiencia de los procesos tradicionales de producción cárnica, no son suficientes para afrontar los retos que se plantean. 
Ante esta situación surge el proyecto TERUELPORK4CULTURE, con el objetivo de investigar y desarrollar productos que incorporen proteína animal cultivada y grasa animal cultivada asequibles a los segmentos de mercado objetivo, mucho más sostenibles que la carne convencional, con propiedades organolépticas, nutricionales y saludables. similares o mejores que los de los productos cárnicos convencionales, y entregados mediante sistemas alimentarios justos, saludables y respetuosos con el medio ambiente en plantas industriales inteligentes bajas en carbono comprometidas con el Green Deal de la UE. 
La novedad de este proyecto radica en la selección de carne DOP de Teruel como base para cultivos celulares. Hasta el momento no se ha trabajado en esta zona con denominaciones protegidas, por lo que lo que se pretende es replicar las características nutricionales de esta matriz para obtener carne con las mismas propiedades físico-químicas, nutricionales y organolépticas pero a través de una alternativa sostenible a las tradicionales. ganadería que mejora el rendimiento del ganado, reduce el consumo de agua, nutrientes y emisiones de CO2. 
El consorcio está formado por 4 entidades complementarias y sinérgicas: CARTESA, CTIC-CITA, GAIKER y GREENFOODS. 
El proyecto se llevará a cabo entre el 01/11/2023 y el 31/10/2026</t>
  </si>
  <si>
    <t xml:space="preserve">OAT PULP VALORIZATION: TRANSFORMATION OF BY-PRODUCTS FROM THE VEGETABLE BEVERAGE PRODUCTION INDUSTRY INTO SAFE, TASTY, AND HEALTHY GLUTEN-FREE FOODS</t>
  </si>
  <si>
    <t xml:space="preserve">One of the EU's main priorities is to encourage the transition to a circular economy model that requires food by-products to be reintroduced into the value chain, providing long-term socioeconomic and environmental benefits. Furthermore, the high demand for gluten-free (GF) products and the low quality of those available commercially are forcing the scientific community to explore new improvement strategies. Within this framework, OAT2RETURN seeks to maximize the value of the oat drink by-product (oat pulp, OAT) through the production of innovative ingredients and Gluten-free foods that improve the intestinal health of the celiac population. An integrated circular system will be developed to ensure sustainability and economic viability through full utilization of biomass, reduced energy and water use, and the generation of the highest possible added value from OAT. TO THIS END, CLEAN AND SUSTAINABLE TECHNOLOGICAL PROCESSES ARE PROPOSED AS A STRATEGY FOR THE VALORIZATION OF PA IN FOOD PRODUCTION, INCREASING THE ECONOMIC PROFITABILITY AND SUSTAINABILITY OF THE OAT BEVERAGE INDUSTRY. THE BIOCHEMICAL AND PHYSICOCHEMICAL MODIFICATION OF THE BIOPOLYMERS PRESENT IN PA THROUGH FERMENTATION, USE OF ENZYMES AND EXTRUSION WILL CHANGE THE BIOACTIVE, TECHNO-FUNCTIONAL AND SENSORY CHARACTERISTICS OF PA AND ITS SUBSEQUENT FOOD APPLICATION. The OAT2RETURN approach will allow modulating techno-functional properties and promoting gut health by enhancing the solubility of fiber, proteins, and phenols to exert anti-inflammatory, antioxidant, and prebiotic properties in the gut. In addition to a clear social and economic impact, the project prioritizes knowledge generation in different areas: I. Food technology, by transforming PA into safe and healthy SG ingredients and foods; II. Chemistry, by evaluating the composition of optimized PA ingredients; III. PHYSICS BY OPTIMIZING THE TECHNO-FUNCTIONALITY, STRUCTURE AND TEXTURE OF INGREDIENTS. IV. NUTRITION, BY STUDYING THE KINETICS OF DIGESTION AND THE BIOACCESSIBILITY OF NUTRIENTS AND THE BENEFICIAL EFFECTS ON HEALTH; V. MOLECULAR AND CELLULAR BIOLOGY TO BETTER UNDERSTAND THE INHIBITORY EFFECT OF PA ON GLUTEN-INDUCED INFLAMMASOME ACTIVATION AND THE RESTORATION OF HOMEOSTASIS AND GUT BARRIER INTEGRITY. VI. BIOMEDICINE BY INVESTIGATING THE ROLE OF REGULAR INTAKE OF PA-DERIVED FOODS IN MICROBIOME COMPOSITION AND GUT FUNCTION. The project will contribute to international scientific collaboration between the research team and AARHUS University, strengthening its competitiveness and promoting the mobility of students and researchers. The project aims to contribute to the circular economy and the sustainability of the food industry by converting food by-products into high-value added foods. It actively contributes to achieving SG Foods' quality and food safety standards through the use of clean technologies, rational formulation, and co-creation approaches that involve consumers in product development. To achieve this, the project relies on research, innovation, and the adaptation of the food system to circular economy and consumer empowerment approaches.</t>
  </si>
  <si>
    <t xml:space="preserve">VALORIZACION DE LA PULPA DE AVENA: TRANSFORMACION DE SUBPRODUCTOS DE LA INDUSTRIA DE PRODUCCION DE BEBIDAS VEGETALES EN ALIMENTOS SIN GLUTEN SEGUROS, SABROSOS Y SALUDABLES</t>
  </si>
  <si>
    <t xml:space="preserve">grant.14864416</t>
  </si>
  <si>
    <t xml:space="preserve">UNA DE LAS PRINCIPALES PRIORIDADES EN LA UE ES ESTIMULAR LA TRANSICION HACIA UN MODELO DE ECONOMIA CIRCULAR QUE EXIGE QUE LOS SUBPRODUCTOS ALIMENTARIOS SE REINTRODUZCAN EN LA CADENA DE VALOR APORTANDO BENEFICIOS SOCIOECONOMICOS Y MEDIOAMBIENTALES A LARGO PLAZO. POR OTRO LADO, LA ELEVADA DEMANDA DE PRODUCTOS SIN GLUTEN (SG) Y LA BAJA CALIDAD DE LOS QUE EXISTEN COMERCIALMENTE OBLIGAN A LA COMUNIDAD CIENTIFICA A EXPLORAR NUEVAS ESTRATEGIAS DE MEJORA. EN ESTE MARCO, OAT2RETURN BUSCA VALORIZAR EL SUBPRODUCTO DE LA BEBIDA DE AVENA (PULPA DE AVENA, PA) MEDIANTE LA PRODUCCION DE INGREDIENTES INNOVADORES Y ALIMENTOS SG QUE MEJOREN LA SALUD INTESTINAL DE LA POBLACION CELIACA. SE DESARROLLARA UN SISTEMA INTEGRADO CIRCULAR QUE GARANTICE LA SOSTENIBILIDAD Y VIABILIDAD ECONOMICA A TRAVES DE UN APROVECHAMIENTO COMPLETO DE LA BIOMASA, LA REDUCCION DEL USO DE ENERGIA Y AGUA, Y LA GENERACION DEL MAYOR VALOR AÑADIDO POSIBLE A PARTIR DE LA PA. PARA ELLO, SE PROPONEN PROCESOS TECNOLOGICOS LIMPIOS Y SOSTENIBLES COMO ESTRATEGIA PARA LA VALORIZACION DE LA PA EN LA PRODUCCION DE ALIMENTOS, AUMENTANDO LA RENTABILIDAD ECONOMICA Y LA SOSTENIBILIDAD DE LA INDUSTRIA DE BEBIDAS DE AVENA. LA MODIFICACION BIOQUIMICA Y FISICOQUIMICA DE LOS BIOPOLIMEROS PRESENTES EN LA PA MEDIANTE FERMENTACION, EMPLEO DE ENZIMAS Y EXTRUSION CAMBIARA LAS CARACTERISTICAS BIOACTIVAS, TECNO-FUNCIONALES Y SENSORIALES DE LA PA Y DE SU POSTERIOR APLICACION ALIMENTARIA. EL ENFOQUE DE OAT2RETURN PERMITIRA MODULAR LAS PROPIEDADES TECNO-FUNCIONALES Y PROMOVER LA SALUD INTESTINAL MEDIANTE LA MEJORA DE LA SOLUBILIDAD DE LA FIBRA, LAS PROTEINAS Y LOS FENOLES PARA EJERCER PROPIEDADES ANTIINFLAMATORIA, ANTIOXIDANTE Y PREBIOTICA EN EL INTESTINO. ADEMAS DE UN CLARO IMPACTO SOCIAL Y ECONOMICO, EL PROYECTO PRIORIZA LA GENERACION DE CONOCIMIENTO EN DIFERENTES AREAS: I. TECNOLOGIA ALIMENTARIA, AL TRANSFORMAR LA PA EN INGREDIENTES Y ALIMENTOS SG SEGUROS Y SALUDABLES; II. QUIMICA, AL EVALUAR LA COMPOSICION DE LOS INGREDIENTES DE PA OPTIMIZADOS; III. FISICA AL OPTIMIZAR LA TECNO-FUNCIONALIDAD, ESTRUCTURA Y TEXTURA DE LOS INGREDIENTES. IV. NUTRICION, AL ESTUDIAR LA CINETICA DE LA DIGESTION Y LA BIOACCESIBILIDAD DE LOS NUTRIENTES Y LOS EFECTOS BENEFICIOSOS PARA LA SALUD; V. BIOLOGIA MOLECULAR Y CELULAR PARA COMPRENDER MEJOR EL EFECTO INHIBIDOR DE LA DE LA PA EN LA ACTIVACION DEL INFLAMASOMA INDUCIDA POR EL GLUTEN Y EL RESTABLECIMIENTO DE LA HOMEOSTASIS Y LA INTEGRIDAD DE LA BARRERA INTESTINAL. VI. BIOMEDICINA AL INVESTIGAR EL PAPEL DE LA INGESTA REGULAR DE ALIMENTOS DERIVADOS DE LA PA EN LA COMPOSICION DE LA MICROBIOMA Y LA FUNCION INTESTINAL. EL PROYECTO CONTRIBUIRA A LA COLABORACION CIENTIFICA INTERNACIONAL ENTRE EL EQUIPO DE INVESTIGACION Y LA UNIVERSIDAD DE AARHUS PERMITIENDO REFORZAR SU COMPETITIVIDAD, Y LA MOVILIDAD DE ESTUDIANTES E INVESTIGADORES. EL PROYECTO TIENE COMO OBJETIVO CONTRIBUIR A LA ECONOMIA CIRCULAR Y LA SOSTENIBILIDAD DE LA INDUSTRIA ALIMENTARIA MEDIANTE LA VALORIZACION DE SUBPRODUCTOS ALIMENTARIOS EN ALIMENTOS SG DE ALTO VALOR AÑADIDO. CONTRIBUYE ACTIVAMENTE A LA CONSECUCION DE LOS ESTANDARES DE CALIDAD Y SEGURIDAD ALIMENTARIA DE LOS ALIMENTOS SG A TRAVES DEL USO DE TECNOLOGIAS LIMPIAS, FORMULACION RACIONAL Y ENFOQUES DE CO-CREACION QUE INVOLUCRAN A LOS CONSUMIDORES EN EL DESARROLLO DE PRODUCTOS. PARA LOGRARLO, EL PROYECTO SE BASA EN LA INVESTIGACION, LA INNOVACION Y LA ADAPTACION DEL SISTEMA ALIMENTARIO A LOS ENFOQUES DE LA ECONOMIA CIRCULAR Y EL EMPODERAMIENTO DE LOS CONSUMIDORES.</t>
  </si>
  <si>
    <t xml:space="preserve">Investigating the structure and function of the microbiome underpinning anaerobic digestion for resource recovery from carbon-rich, nutrient-rich ferm</t>
  </si>
  <si>
    <t xml:space="preserve">We aim to maximise resource recovery from carbon-rich, nutrient-rich fermentation wastewater using anaerobic digestion (AD) by investigating microbiome structure and function under different operational parameters. 
We will first characterise the physicochemical composition of samples provided from Quorn(TM) as a representative fermentation wastewater. We will measure chemical oxygen demand, total nitrogen, nitrites, nitrates, ammonium, sulfate, phosphates, total and volatile solids, protein concentration, amino acid content, sugar and sugar alcohol content, and pH. We then aim to assess biodegradability by conducting biomethane potential tests, measuring experimental biogas production against theoretical biogas production. To do so, we will use AD 1L semi-continuous batch reactors with inoculum obtained from a UK-based food waste plant. We will assess general reactor functionality and stability by measuring biogas composition (methane: carbon dioxide) pH, and volatile fatty acid content.
To gain insight into the role of structure and function of the core microbial community underpinning AD reactions we will operate continuous treatment reactors (CSTR) paired with a metagenomic approach. We will use two different case studies to address our aims:
1) Single stage 5L CSTR reactors operating at increasing organic loading rates (OLR) to gain insight into the core microbiome's stability, function and structure underpinning the AD of Quorn fermentation wastewater. This will also give insight into microbiome adaptation to stress conditions and identify optimum OLR. 
2) 2-stage CSTR reactors to gain insight into the functional groups of the microbiome underpinning the fermentation and methanogenesis phases of AD. Reactor performance, stability and microbiome insights will be compared to single stage to identify potential functional species within each stage. 
We will then use a pangenomic approach to investigate functionality of key species identified in the case studies.</t>
  </si>
  <si>
    <t xml:space="preserve">https://gtr.ukri.org/projects?ref=studentship-2381897</t>
  </si>
  <si>
    <t xml:space="preserve">grant.9414520</t>
  </si>
  <si>
    <t xml:space="preserve">Miao Guo, Ellen Piercy</t>
  </si>
  <si>
    <t xml:space="preserve">2020-03-31</t>
  </si>
  <si>
    <t xml:space="preserve">BIOCHEMISTRY AND TECHNOLOGY FOR THE PRODUCTION OF SEED OILS</t>
  </si>
  <si>
    <t xml:space="preserve">This project is focused on the production of new plant-based fats that can be used in as many food formulations as possible, are healthy, locally produced, and do not involve chemical transformation of their fatty acids. These fats would be a real alternative to the palm fractions currently used. The main source proposed for the production of these healthy fats are the high-stearic and high-oleic sunflower lines developed by the applicant group. To this end, we propose working on three sets of objectives, covering aspects of lipid metabolism, regulation, and biochemistry, the search for new mutants with higher and more stable stearic acid content, and the development of new fractionation and characterization technologies for these new oils and fats. The first set will explore the regulation of fatty acid synthesis in developing sunflower seeds in depth, and investigate potential regulatory proteins and their binding sites. Likewise, the regulation of genes dependent on the transcription factor WRI1 will be studied, which is crucial in diverting metabolic flow from reserve tissues to lipid accumulation, and therefore determines fat content. In addition, biochemical aspects of intraplastidial fatty acid synthesis and wax synthesis in seeds will be studied, both of which play an important role in the use of sunflower oil. In the second block, work will be done with new sunflower lines developed in mutagenesis programs carried out in previous projects. These are CAS-33, CAS-34, and CAS-35. The first two are high-stearic acid mutants in high-oleic and linoleic backgrounds, with higher and more stable stearic acid content, which come from a new dominant mutation. The characterization of this mutant may reveal new and interesting ways to produce new mutants with modified fatty acid composition. The CAS 35 mutant has a low content of very long fatty acids, which may be of interest for certain food applications. FINALLY, IN THE THIRD BLOCK, A NEW FRACTIONATION PROCEDURE WILL BE DEVELOPED THAT CONSIDERABLY IMPROVES PREVIOUS RESULTS AND NEW METHODS WILL BE ESTABLISHED FOR CHARACTERIZING THE DISTRIBUTION OF SATURATED FATTY ACIDS WITHIN THE DIFFERENT SPECIES OF TRIGLYCERIDES AND THE COMPOSITION OF WAXES, DETERMINING ASPECTS OF MANY OF THE PROPERTIES OF OILS AND FATS. TAKING ALL THIS INTO ACCOUNT, THE PROJECT PRESENTED IS A MULTIDISCIPLINARY PROJECT THAT STARTS WITH BASIC RESEARCH FOR THE DEVELOPMENT OF NEW OILSEEDS AND NEW OILS THAT ARE SUBJECT TO TECHNOLOGICAL DEVELOPMENT WITH THE OBJECT OF PRODUCING NEW HEALTHY FATS WITH POTENTIAL FOR GLOBAL APPLICATIONS.</t>
  </si>
  <si>
    <t xml:space="preserve">BIOQUIMICA Y TECNOLOGIA PARA LA PRODUCCION DE ACEITES DE SEMILLAS</t>
  </si>
  <si>
    <t xml:space="preserve">grant.14847696</t>
  </si>
  <si>
    <t xml:space="preserve">EL PRESENTE PROYECTO SE ENMARCA EN LA PRODUCCION DE NUEVAS GRASAS VEGETALES QUE PUEDAN APLICARSE EN EL MAYOR NUMERO POSIBLE DE FORMULACIONES ALIMENTARIAS, SEAN SALUDABLES, DE PRODUCCION LOCAL Y NO IMPLIQUEN TRANSFORMACION QUIMICA DE SUS ACIDOS GRASOS. ESTAS GRASAS SERIAN UNA ALTERNATIVA REAL A LAS FRACCIONES DE PALMA QUE SE EMPLEAN EN LA ACTUALIDAD. LA FUENTE PRINCIPAL QUE SE PROPONE PARA LA PRODUCCION DE ESTAS GRASAS SALUDABLES SON LAS LINEAS DE GIRASOL ALTO ESTEARICO Y ALTO OLEICO DESARROLLADAS EN EL GRUPO SOLICITANTE. PARA ELLO SE PROPONE TRABAJAR EN 3 BLOQUES DE OBJETIVOS, QUE ABARCAN ASPECTOS DEL METABOLISMO, REGULACION Y BIOQUIMICA DE LIPIDOS, BUSQUEDA DE NUEVOS MUTANTES CON MAYOR Y MAS ESTABLE CONTENIDO DE ACIDO ESTEARICO Y LA PUESTA A PUNTO DE NUEVAS TECNOLOGIAS DE FRACCIONAMIENTO Y CARACTERIZACION DE LOS NUEVOS ACEITES Y GRASAS. 
EN EL PRIMER BLOQUE SE PROFUNDIZARA EN EL CONOCIMIENTO SOBRE LA REGULACION DE LA SINTESIS DE ACIDOS GRASOS EN SEMILLAS DE GIRASOL EN DESARROLLO Y SE INVESTIGARAN POSIBLES PROTEINAS REGULADORAS Y SUS SITIOS DE UNION. ASI MISMO SE ESTUDIARA LA REGULACION DE LOS GENES DEPENDIENTES DEL FACTOR DE TRANSCRIPCION WRI1, EL CUAL ES DETERMINANTE PARA DESVIAR EL FLUJO METABOLICO DE LOS TEJIDOS DE RESERVA A LA ACUMULACION DE LIPIDOS, Y POR LO TANTO DETERMINANTE DE LA RIQUEZA GRASA. ADEMAS, SE ESTUDIARAN ASPECTO DE LA BIOQUIMICA DE LA SINTESIS INTRAPLASTIDIAL DE ACIDOS GRASOS Y LA SINTESIS DE CERAS EN LAS SEMILLAS, LAS CUALES JUEGAN UN PAPEL IMPORTANTE EN LAS APLICACIONES DE LOS ACEITES DE GIRASOL. EN EL SEGUNDO BLOQUE SE TRABAJARA CON NUEVAS LINEAS DE GIRASOL DESARROLLADAS EN PROGRAMAS DE MUTAGENESIS EJECUTADOS EN PROYECTOS ANTERIORES. ESTAS SON CAS-33, CAS-34 Y CAS-35. LOS DOS PRIMEROS SON MUTANTES ALTO ESTEARICO EN FONDOS ALTO OLEICO Y LINOLEICO, CON MAYOR Y MAS ESTABLE CONTENIDO DE ESTEARICO QUE PROVIENEN DE UNA NUEVA MUTACION QUE SE MUESTRA DOMINANTE. LA CARACTERIZACION DE ESTE MUTANTE PUEDE REVELAR NUEVAS E INTERESANTES FORMAS DE PRODUCIR NUEVOS MUTANTES CON COMPOSICION MODIFICADA DE ACIDOS GRASOS. EL MUTANTE CAS 35 PRESENTA BAJO CONTENIDO DE ACIDOS GRASOS MUY LARGOS, LO CUAL PUEDE SER DE INTERES PARA CIERTAS APLICACIONES ALIMENTARIAS. FINALMENTE, EN EL TERCER BLOQUE SE DESARROLLARA UN NUEVO PROCEDIMIENTO DE FRACCIONAMIENTO QUE MEJORA CONSIDERABLEMENTE LOS RESULTADOS ANTERIORES Y SE ESTABLECERAN NUEVOS METODOS DE CARACTERIZACION DE LA DISTRIBUCION DE ACIDOS GRASOS SATURADOS SATURADOS DENTRO DE LAS DISTINTAS ESPECIES DE TRIGLICERIDOS Y DE LA COMPOSICION DE CERAS, ASPECTOS DETERMINANTES DE MUCHAS DE LAS PROPIEDADES DE LOS ACEITES Y GRASAS. 
ATENDIENDO A TODO ESTO, EL PROYECTO QUE SE PRESENTA ES UN PROYECTO MULTIDISCIPLINAR QUE PARTE DE LA INVESTIGACION BASICA PARA EL DESARROLLO DE NUEVAS OLEAGINOSAS Y NUEVOS ACEITES QUE SON SOMETIDOS A UN DESARROLLO TECNOLOGICO CON EL OBJETO DE PRODUCIR NUEVAS GRASAS SALUDABLES CON UN POTENCIAL DE APLICACIONES A NIVEL GLOBAL.</t>
  </si>
  <si>
    <t xml:space="preserve">New strategies for bioprocess design by Ashbya gossypii in the context of bioeconomy</t>
  </si>
  <si>
    <t xml:space="preserve">The development of sustainable and efficient industrial bioprocesses is one of the priorities of the European Green Deal, aligned with Priority 6 of the Spanish National Plan for Scientific Research: Food, Bioeconomy, Natural Resources, and the Environment. Therefore, the efficient and sustainable use of natural resources and the recovery of waste are strategies that will contribute decisively to the ecological transition. In this sense, the development of microbial fermentation bioprocesses constitutes a safe and efficient method for generating high-value-added compounds for the food, chemical, and pharmaceutical industries. This framework includes metabolic engineering, which allows for redirecting cell metabolism to optimize the production of high-value-added compounds through microbial fermentation, making a significant contribution to the implementation of economically viable bioprocesses. This proposal focuses on the use of genetic engineering and synthetic biology approaches to develop improved strains of the fungus Ashbya gossypii, which is a paradigm of white biotechnology due to its role in the efficient and sustainable industrial production of vitamin B2. It details the design and generation of genetically modified A. gossypii strains to optimize the production of vitamins B2 and B9, and the antimicrobial agent roseoflavin, which are compounds of great interest to the food and pharmaceutical industries. LIKEWISE, THE PROJECT AIMS TO VALIDATE THE USE OF CULTURE MEDIA FORMULATED WITH USED VEGETABLE OIL RESIDUE FROM DOMESTIC AND INDUSTRIAL ENVIRONMENTS FOR THE OPTIMIZATION OF THESE BIOPROCESSES FROM A BIOECONOMIC AND ENVIRONMENTAL SUSTAINABILITY PERSPECTIVE.
The project adopts a collaborative approach that integrates the different but complementary expertise of the two principal investigators in protein biochemistry and metabolic engineering. This multidisciplinary approach seeks to maximize synergies and address complex and broad scientific challenges, from the study of the molecular mechanisms that regulate the metabolic pathways of purine and riboflavin nucleotide biosynthesis to the optimization of the process in bioreactors. The project is also supported by a university-business partnership with the German multinational BASF SE, a leader in the chemical and food sectors. This collaboration offers significant support that will not only enrich the research, but will also promote the practical implementation of the results obtained and the transfer of knowledge through the obtaining of patents.</t>
  </si>
  <si>
    <t xml:space="preserve">NUEVAS ESTRATEGIAS PARA EL DISEÑO DE BIOPROCESOS DE ASHBYA GOSSYPII EN EL CONTEXTO DE LA BIOECONOMIA</t>
  </si>
  <si>
    <t xml:space="preserve">grant.14871563</t>
  </si>
  <si>
    <t xml:space="preserve">University of Salamanca</t>
  </si>
  <si>
    <t xml:space="preserve">Salamanca</t>
  </si>
  <si>
    <t xml:space="preserve">EL DESARROLLO DE BIOPROCESOS INDUSTRIALES SOSTENIBLES Y EFICIENTES ES UNA DE LAS PRIORIDADES DEL PACTO VERDE EUROPEO, ALINEADO CON LA PRIORIDAD 6 DEL PLAN ESTATAL ESPAÑOL DE INVESTIGACION CIENTIFICA: ALIMENTACION, BIOECONOMIA, RECURSOS NATURALES Y MEDIO AMBIENTE. POR ELLO, EL USO EFICIENTE Y SOSTENIBLE DE RECURSOS NATURALES Y LA VALORIZACION DE RESIDUOS SON ESTRATEGIAS QUE CONTRIBUIRAN DE MANERA DECISIVA A LA TRANSICION ECOLOGICA. 
EN ESTE SENTIDO, EL DESARROLLO DE BIOPROCESOS DE FERMENTACION MICROBIANA CONSTITUYE UN METODO SEGURO Y EFICIENTE PARA LA GENERACION DE COMPUESTOS DE ALTO VALOR AÑADIDO PARA LA INDUSTRIA ALIMENTARIA, QUIMICA Y FARMACEUTICA. DENTRO DE ESTE MARCO, SE INCLUYE LA INGENIERIA METABOLICA, QUE PERMITE REDIRECCIONAR EL METABOLISMO CELULAR PARA OPTIMIZAR LA PRODUCCION DE COMPUESTOS DE ALTO VALOR AÑADIDO MEDIANTE FERMENTACION MICROBIANA, CONTRIBUYENDO DE MANERA RELEVANTE A LA IMPLEMENTACION DE BIOPROCESOS ECONOMICAMENTE VIABLES. 
ESTA PROPUESTA SE CENTRA EN EL EMPLEO DE APROXIMACIONES DE INGENIERIA GENETICA Y BIOLOGIA SINTETICA PARA DESARROLLAR CEPAS MEJORADAS DEL HONGO ASHBYA GOSSYPII, QUE ES UN PARADIGMA DE LA BIOTECNOLOGIA BLANCA POR SU PAPEL EN LA PRODUCCION INDUSTRIAL DE VITAMINA B2 DE MANERA EFICIENTE Y SOSTENIBLE. EN ELLA SE DETALLA EL DISEÑO Y LA GENERACION DE CEPAS DE A. GOSSYPII MODIFICADAS GENETICAMENTE PARA OPTIMIZAR LA PRODUCCION DE VITAMINAS B2 Y B9, Y EL AGENTE ANTIMICROBIANO ROSEOFLAVINA, QUE SON COMPUESTOS DE GRAN INTERES PARA LAS INDUSTRIAS ALIMENTARIA Y FARMACEUTICA. 
ASIMISMO, SE PRETENDE VALIDAR LA UTILIZACION DE MEDIOS DE CULTIVO FORMULADOS CON RESIDUOS DE ACEITE VEGETAL USADO, PROVENIENTES DE ENTORNOS DOMESTICOS E INDUSTRIALES, PARA LA OPTIMIZACION DE ESTOS BIOPROCESOS DESDE UNA PERSPECTIVA BIOECONOMICA Y DE SOSTENIBILIDAD MEDIOAMBIENTAL. 
EL PROYECTO ADOPTA UN ENFOQUE COLABORATIVO QUE INTEGRA LA EXPERIENCIA DE LOS DOS INVESTIGADORES PRINCIPALES, DIFERENTE PERO COMPLEMENTARIA, EN BIOQUIMICA DE PROTEINAS Y EN INGENIERIA METABOLICA. ESTA APROXIMACION MULTIDISCIPLINAR BUSCA MAXIMIZAR SINERGIAS Y ABORDAR DESAFIOS CIENTIFICOS COMPLEJOS Y AMPLIOS, DESDE EL ESTUDIO DE LOS MECANISMOS MOLECULARES QUE REGULAN LAS RUTAS METABOLICAS DE BIOSINTESIS DE NUCLEOTIDOS DE PURINA Y DE RIBOFLAVINA HASTA LA OPTIMIZACION DEL PROCESO EN BIORREACTORES. 
ASIMISMO, EL PROYECTO CUENTA CON EL RESPALDO DE UNA COLABORACION UNIVERSIDAD-EMPRESA, CON LA MULTINACIONAL ALEMANA BASF SE, LIDER EN EL SECTOR QUIMICO Y ALIMENTARIO. ESTA COLABORACION OFRECE UN APOYO SIGNIFICATIVO QUE NO SOLO ENRIQUECERA LA INVESTIGACION, SINO QUE TAMBIEN IMPULSARA LA IMPLEMENTACION PRACTICA DE LOS RESULTADOS OBTENIDOS Y LA TRANSFERENCIA DE CONOCIMIENTOS A TRAVES DE LA OBTENCION DE PATENTES.</t>
  </si>
  <si>
    <t xml:space="preserve">Producing novel non-plant biomass feedstocks and bio-based products through upcycling and the cascading use of brewery side-streams</t>
  </si>
  <si>
    <t xml:space="preserve">Biotechnology has the potential to reduce the impact of human activities in nature. By developing new bio-based production platforms towards a more efficient use of waste streams, a step forward in industrial circularity can be achieved. 
CHEERS is a new biorefinery concept, inspired on nature biodiversity (insect and microbial platforms), to sustainably and efficiently upgrade underused or waste side-streams such as bagasse, wastewater, CO2 and CH4 from bio-based industries into innovative bio-based products. CHEERS will help bio-based industries to improve their feedstock use efficiency and overall sustainability and competitiveness via upcycling and cascading use of biomass produced from their side-streams. CHEERS is developed as a modular solution where bio-based industries can configure their optimal combination by selecting among 5 novel biotechnological routes which generate 5 bio-based products for industrial applications, with attractive market opportunities: insect protein, disinfectant, microbial protein, ectoine and caproic acid. All value chains are based on new bioprocesses and/or innovative biofermentors combined with sustainable downstream processes, which will be validated at demo-scale at an industrial brewery. A min. 45% carbon footprint reduction will be achieved in each value chain. The evaluation of CHEERS impacts will consider go beyond the classic LCA and will cover broader impacts such as biodiversity and land use. 
The beer company MAHOU is project coordinator and exploitation leader jointly with 11 partners of 5 European countries, including technology suppliers, end-users and research entities. CHEERS will contribute to a “zero waste” biorefinery approach, fully aligned with the EU Green Deal, Circular Economy Action Plan and Bioeconomy Strategy, and foster the understanding of biotechnology-based value chains through the engagement of relevant actors, from small bio-based industries to consumers.</t>
  </si>
  <si>
    <t xml:space="preserve">https://cordis.europa.eu/project/id/101060814</t>
  </si>
  <si>
    <t xml:space="preserve">grant.12961184</t>
  </si>
  <si>
    <t xml:space="preserve">University of Valladolid; Zurich University of Applied Sciences; Asociación de Investigación de la Industria Agroalimentaria; Symrise (Germany)</t>
  </si>
  <si>
    <t xml:space="preserve">Valladolid; Winterthur; Valencia; Holzminden</t>
  </si>
  <si>
    <t xml:space="preserve">CIARDIELLO RESEARCH CONTRACT IBBR-DOMENICO DE LUCIA (DBA.AD005.195)</t>
  </si>
  <si>
    <t xml:space="preserve">The research activity involves the analysis of some biological actions present in legume flour samples prepared by the company "Domenico De Lucia Spa" based in San Felice a Cancello (CE), which operates in the field of FOOD PRODUCTION. This research activity falls within the scope of the research project HORIZON 2020 PON 2014/2020 having as its object "Creation of health products with the use of innovative semi-finished products from legumes" Decree n.2510 of 06/01/2017.
The research activity includes the preparation of protein extracts from flour samples, their characterization and the evaluation of the antihypertensive, antioxidant and iron chelating activities. The data obtained will be transferred to the company.
The objective of this research activity is the evaluation of the antihypertensive, antioxidant and iron chelating activities in legume flour samples prepared and supplied by Domenico De Lucia Spa.</t>
  </si>
  <si>
    <t xml:space="preserve">CIARDIELLO CONTRATTO DI RICERCA COMMISSIONATA IBBR-DOMENICO DE LUCIA (DBA.AD005.195)</t>
  </si>
  <si>
    <t xml:space="preserve">grant.13031707</t>
  </si>
  <si>
    <t xml:space="preserve">MARIAANTONIETTA CIARDIELLO</t>
  </si>
  <si>
    <t xml:space="preserve">2020-11-30</t>
  </si>
  <si>
    <t xml:space="preserve">L'attività di ricerca prevede l'analisi di alcune azioni biologiche presenti in campioni di farine di legumi preparate dalla azienda "Domenico De Lucia Spa" che ha sede in San Felice a Cancello (CE), che opera nel campo della PRODUZIONE ALIMENTARE. Questa attività di ricerca rientra nell'ambito del progetto di ricerca HORIZON 2020 PON 2014/2020 avente come oggetto "Realizzazione di prodotti salutistici con impiego di semilavorati innovativi da legumi" Decreto n.2510 del 01/06/2017. 
L'attività di ricerca include la preparazione di estratti proteici dai campioni di farina, la loro caratterizzazione e la valutazione delle attività antipertensiva, antiossidante e chelante il ferro. I dati ottenuti saranno trasferiti all'azienda.
L'obiettivo di questa attività di ricerca è la valutazione delle attività antipertensiva, antiossidante e chelante il ferro in campioni di farine di legumi preparate e fornite dall'azienda Domenico De Lucia Spa.</t>
  </si>
  <si>
    <t xml:space="preserve">SUSTAINABLE OLEOCHEMICALS BIOPRODUCTION FROM CARBOXYLATES VIA OLEAGINOUS FERMENTATION</t>
  </si>
  <si>
    <t xml:space="preserve">Today, it is clear that economic change is necessary to counteract the excessive dependence on fossil fuels, reduce greenhouse gas emissions, and develop sustainable and environmentally friendly economies. Petroleum-based industries could be replaced by sustainable alternative production processes. Oleochemicals are highly versatile compounds and find applications in a wide range of industrial segments, including personal care, food additives, lubricants, surfactants, soaps, and detergents. Oleochemicals have traditionally been obtained from vegetable oils and animal fats. However, limited availability, sustainability, and high costs of raw materials limit the growth of the oleochemical industry using these raw materials. Microbial oils share significant similarities with vegetable oils in terms of fatty acid composition and are therefore considered attractive precursors for the oleochemical industry. However, obtaining low-cost microbial oils is crucial for achieving an economically viable process. In this context, lipid-derived microbial oils synthesized by oleaginous yeasts and produced from waste are a viable alternative for the progressive replacement of fossil fuels. To this end, OLEOFERM technology proposes short-chain fatty acids (SCFAs), produced during the anaerobic fermentation of organic waste, as raw material for the production of microbial oil using yeasts. Given the high heterogeneity of waste, anaerobic fermentation is considered a highly favorable technology since all the organic matter present in the substrate (carbohydrates, proteins and lipids) is used for the production of SCFAs instead of only the carbohydrate fraction, as occurs in the sugar platform. In this way, the traditional sugar-based process can be replaced by a technology based on SCFAs (carboxylates) that allows flexibility to the bioprocess through the use of a wide number of substrates. The OLEOFERM project aims at the sustainable bioproduction of oleochemicals from carboxylates through oleaginous fermentation. OLEOFERM involves a new oleochemical supply chain by interconnecting two bioprocesses, including anaerobic fermentation of organic waste for the production of SCFAs and oleaginous fermentation for the production of microbial oils. Anaerobic fermentation is often operated as a black box without paying much attention to the microbiome of the process. Furthermore, the metabolic pathway by which SCFAs are consumed by yeast is unknown. For all these reasons, the use of bioinformatics tools, biotechnology, and systems biology are key disciplines to unlock the full potential of OLEOFERM. 
OLEOFERM's success is guaranteed by a multidisciplinary consortium with extensive experience in establishing innovative solutions for microbial oil production. This strategy is seen as a promising technology to make microbial oil production more profitable and sustainable and to open up a new alternative for producing economically competitive oleochemicals.</t>
  </si>
  <si>
    <t xml:space="preserve">grant.14853291</t>
  </si>
  <si>
    <t xml:space="preserve">IMDEA Energy Institute</t>
  </si>
  <si>
    <t xml:space="preserve">Móstoles</t>
  </si>
  <si>
    <t xml:space="preserve">HOY EN DIA ESTA CLARO QUE HAY QUE LLEVAR A CABO UN CAMBIO EN LA ECONOMIA PARA CONTRARRESTAR LA EXCESIVA DEPENDENCIA EN LOS COMBUSTIBLES FOSILES, REDUCIR LAS EMISIONES DE GASES DE EFECTO INVERNADERO, DESARROLLAR ECONOMIAS SOSTENIBLES Y RESPETUOSAS CON EL MEDIO AMBIENTE. LAS INDUSTRIAS BASADAS EN PETROLEO PODRIAN SER REEMPLAZADAS POR PROCESOS DE PRODUCCION ALTERNATIVOS SOSTENIBLES. LOS OLEOQUIMICOS SON COMPUESTOS MUY VERSATILES Y ENCUENTRAN APLICACION EN UNA AMPLIA GAMA DE SEGMENTOS INDUSTRIALES, INCLUIDOS EL CUIDADO PERSONAL, ADITIVOS ALIMENTARIOS, LUBRICANTES, TENSIOACTIVOS, JABONES Y DETERGENTES. LOS OLEOQUIMICOS SE HAN OBTENIDO TRADICIONALMENTE DE ACEITES VEGETALES Y GRASAS ANIMALES. SIN EMBARGO, LA LIMITADA DISPONIBILIDAD, LA SOSTENIBILIDAD Y EL ALTO COSTE DE LA MATERIA PRIMA LIMITAN EL CRECIMIENTO DE LA INDUSTRIA OLEOQUIMICA A PARTIR DE ESTAS MATERIAS PRIMAS. LOS ACEITES MICROBIANOS TIENEN GRANDES SIMILITUDES CON LOS ACEITES VEGETALES EN TERMINOS DE COMPOSICION DE ACIDOS GRASOS Y, POR TANTO, SE CONSIDERA QUE SON PRECURSORES INTERESANTES PARA LA INDUSTRIA OLEOQUIMICA. SIN EMBARGO, ES DE SUMA IMPORTANCIA OBTENER ACEITES MICROBIANOS DE BAJO COSTE PARA ALCANZAR UN PROCESO ECONOMICAMENTE VIABLE. EN ESTE CONTEXTO, LOS ACEITES MICROBIANOS DERIVADOS DE LIPIDOS SINTETIZADOS POR LEVADURAS OLEAGINOSAS Y PRODUCIDOS A PARTIR DE RESIDUOS SON UNA ALTERNATIVA VIABLE PARA LA SUSTITUCION PROGRESIVA DE LOS COMBUSTIBLES FOSILES. 
PARA ELLO, LA TECNOLOGIA OLEOFERM PROPONE ACIDOS GRASOS DE CADENA CORTA (AGCC), PRODUCIDOS DURANTE LA FERMENTACION ANAEROBICA DE DESECHOS ORGANICOS, COMO MATERIA PRIMA PARA LA PRODUCCION DE ACEITE MICROBIANO MEDIANTE EL USO DE LEVADURAS. DADA LA GRAN HETEROGENEIDAD DE LOS RESIDUOS, LA FERMENTACION ANAEROBICA SE CONSIDERA UNA TECNOLOGIA MUY FAVORABLE PUESTO QUE TODA LA MATERIA ORGANICA PRESENTE EN EL SUSTRATO (CARBOHIDRATOS, PROTEINAS Y LIPIDOS) SE UTILIZA PARA LA PRODUCCION DE AGCC EN LUGAR DE UNICAMENTE LA FRACCION DE CARBOHIDRATOS, COMO OCURRE EN LA PLATAFORMA DEL AZUCAR. DE ESTA MANERA, EL PROCESO TRADICIONAL BASADO EN AZUCAR PUEDE SER SUSTITUIDO POR UNA TECNOLOGIA BASADA EN AGCC (CARBOXILATOS) QUE PERMITE DAR FLEXIBILIDAD AL BIOPROCESO MEDIANTE EL USO DE UN AMPLIO NUMERO DE SUSTRATOS. 
EL PROYECTO OLEOFERM TIENE COMO OBJETIVO LA BIOPRODUCCION SOSTENIBLE DE OLEOQUIMICOS A PARTIR DE CARBOXILATOS MEDIANTE FERMENTACION OLEAGINOSA. OLEOFERM IMPLICA UNA NUEVA CADENA DE SUMINISTRO DE OLEOQUIMICOS MEDIANTE LA INTERCONEXION DE DOS BIOPROCESOS QUE INCLUYEN LA FERMENTACION ANAEROBICA DE RESIDUOS ORGANICOS PARA LA PRODUCCION DE AGCC Y LA FERMENTACION OLEAGINOSA PARA PRODUCIR ACEITES MICROBIANOS. LA MAYORIA DE LAS VECES, LA FERMENTACION ANAEROBICA SE OPERA COMO UNA CAJA NEGRA SIN PRESTAR MUCHA ATENCION AL MICROBIOMA DEL PROCESO. ASIMISMO, NO SE CONOCE LA VIA METABOLICA POR LA QUE LOS AGCC SON CONSUMIDOS POR LAS LEVADURAS. POR TODAS ESTAS RAZONES, EL USO DE HERRAMIENTAS BIOINFORMATICAS, BIOTECNOLOGIA Y BIOLOGIA DE SISTEMAS SON DISCIPLINAS CLAVE PARA DESENTRAÑAR TODO EL POTENCIAL DE OLEOFERM. 
EL EXITO DE OLEOFERM ESTA GARANTIZADO POR UN CONSORCIO MULTIDISCIPLINARIO CON ALTA EXPERIENCIA PARA ESTABLECER SOLUCIONES INNOVADORAS PARA LA PRODUCCION DE ACEITES MICROBIANOS. ESTA ESTRATEGIA SE CONCIBE COMO UNA TECNOLOGIA PROMETEDORA PARA HACER QUE LA PRODUCCION DE ACEITE MICROBIANO SEA MAS RENTABLE Y SOSTENIBLE Y SE ABRA UNA NUEVA ALTERNATIVA PARA PRODUCIR OLEOQUIMICOS ECONOMICAMENTE COMPETITIVOS.</t>
  </si>
  <si>
    <t xml:space="preserve">Boosting sustainable production of second-generation proteins from methane using methylotrophs</t>
  </si>
  <si>
    <t xml:space="preserve">Ensuring a sustainable protein supply for the world's growing population is one of the greatest challenges facing society. Single-cell proteins (SCPs) are gaining interest as a sustainable alternative that can meet the growing demand for protein while minimizing the environmental impacts associated with conventional production. They are primarily edible, single-cell microorganisms with a high protein content that can be produced efficiently and confined in reactors. FIRST-GENERATION SCPs were previously produced through pure cultures using natural gas and chemical nitrogen, at a high associated cost. In recent years, the production of second-generation SCPs from organic waste or secondary streams from the agricultural and food chain, their derivatives for biofuels (biogas), and nutrients recovered from waste streams in mixed-crop fermentation reactors has been proposed as a cost-effective alternative for protein production. Bacteria are particularly well suited for SCP production due to their rapid growth and short generation times, their high protein content, and their essential amino acids. The most interesting current applications of bacterial SCP are related to the use of methane (CH4) as a carbon source. However, the production of second-generation SCP from CH4 still has to overcome two major challenges to become economically competitive with conventional animal protein: (i) improving substrate availability to achieve higher biomass yields; and II) find an adequate, abundant, and affordable alternative nitrogen supply without compromising product safety. METPRO aims to demonstrate the viability of an innovative protein production technology from CH4 using a mixed methylotrophic community that can overcome these challenges. 
The project is structured into three work packages (WPs). W1 aims to develop a bioreactor for the bioconversion of methane into SCPs using mixed methylotrophic cultures using biogas and digestate as carbon and nutrient sources. The long-term effect of direct use of this N-rich stream on the reactor's microbial community and protein production and quality remains to be explored. In addition, risks related to pathogens, emerging contaminants, and heavy metals have not been addressed to date. WP2 aims to overcome the low biomass yields obtained in CH4-based reactors due to the low solubility of CH4. This WP will investigate the conversion of CH4 to methanol (CH3OH) using an electrochemical system. The challenge of this electrocatalysis is to maintain a sufficiently high surface oxygen coverage, while limiting the competing oxygen evolution reaction and accelerating the methanol desorption kinetics to suppress overoxidation. METPRO will use a novel Mo-MNXOY coated TiO2 nanotube anode, developed in our group, for the selective oxidation of CH4 to CH3OH in a more sustainable way. Finally, the WP3 will couple the electrochemical oxidation of CH4 to CH3OH with the methylotrophic reactor with the aim of enhancing protein production. METPRO OFFERS THE POSSIBILITY OF OPENING NEW BIOTECHNOLOGICAL OPPORTUNITIES USING CH4 AS A SUBSTRATE.</t>
  </si>
  <si>
    <t xml:space="preserve">IMPULSANDO LA PRODUCCION SOSTENIBLE DE PROTEINAS DE SEGUNDA GENERACION A PARTIR DE METANO MEDIANTE METILOTROFOS</t>
  </si>
  <si>
    <t xml:space="preserve">grant.14862752</t>
  </si>
  <si>
    <t xml:space="preserve">Catalan Institute for Water Research</t>
  </si>
  <si>
    <t xml:space="preserve">Girona</t>
  </si>
  <si>
    <t xml:space="preserve">GARANTIZAR UN SUMINISTRO SOSTENIBLE DE PROTEINAS PARA LA CRECIENTE POBLACION MUNDIAL ES UNO DE LOS MAYORES RETOS DE NUESTRA SOCIEDAD. LAS PROTEINAS UNICELULARES (SCP, SINGLE CELL PROTEINS) ESTAN GANANDO INTERES COMO ALTERNATIVA SOSTENIBLE PUDIENDO GARANTIZAR LA CRECIENTE DEMANDA DE PROTEINAS MINIMIZANDO LOS IMPACTOS AMBIENTALES ASOCIADOS A SU PRODUCCION CONVENCIONAL. SE TRATA PRINCIPALMENTE DE MICROORGANISMOS UNICELULARES COMESTIBLES CON UN ALTO CONTENIDO EN PROTEINAS QUE PUEDEN PRODUCIRSE EN REACTORES DE FORMA CONFINADA Y EFICIENTE. LAS SCP DE PRIMERA GENERACION SE PRODUCIAN MEDIANTE CULTIVOS PUROS UTILIZANDO GAS NATURAL Y NITROGENO QUIMICO CON UN ALTO COSTE ASOCIADO. EN LOS ULTIMOS AÑOS, LA PRODUCCION DE SCP DE SEGUNDA GENERACION A PARTIR DE RESIDUOS ORGANICOS O FLUJOS SECUNDARIOS DE LA CADENA AGROALIMENTARIA, SUS DERIVADOS PARA BIOCOMBUSTIBLES (BIOGAS) Y NUTRIENTES RECUPERADOS DE FLUJOS RESIDUALES EN REACTORES DE FERMENTACION DE CULTIVOS MIXTOS SE HA POSTULADO COMO UNA ALTERNATIVA RENTABLE DE PRODUCCION DE PROTEINAS. LAS BACTERIAS SON ESPECIALMENTE ADECUADAS PARA LA PRODUCCION DE SCP DEBIDO A SU RAPIDO CRECIMIENTO Y CORTOS TIEMPOS DE GENERACION, SU ALTO CONTENIDO EN PROTEINAS Y SUS AMINOACIDOS ESENCIALES. LAS APLICACIONES ACTUALES MAS INTERESANTES DE SCP BACTERIANAS ESTAN RELACIONADOS CON EL USO DE METANO (CH4) COMO FUENTE DE CARBONO. SIN EMBARGO, LA PRODUCCION DE SCP DE SEGUNDA GENERACION A PARTIR DE CH4 AUN DEBE SUPERAR DOS GRANDES RETOS PARA LLEGAR A SER ECONOMICAMENTE COMPETITIVA FRENTE A LA PROTEINA CONVENCIONAL DE ORIGEN ANIMAL: I) MEJORAR LA DISPONIBILIDAD DE SUSTRATO PARA LOGRAR MAYORES RENDIMIENTOS DE BIOMASA; Y II) ENCONTRAR UN SUMINISTRO DE NITROGENO ALTERNATIVO ADECUADO, ABUNDANTE Y BARATO SIN COMPROMETER LA SEGURIDAD DEL PRODUCTO. METPRO PRETENDE DEMOSTRAR LA VIABILIDAD DE UNA TECNOLOGIA INNOVADORA DE PRODUCCION DE PROTEINAS A PARTIR DE CH4 MEDIANTE UNA COMUNIDAD METILOTROFICA MIXTA QUE PUEDA SUPERAR ESTOS RETOS. 
EL PROYECTO ESTA ESTRUCTURADO EN 3 PAQUETES DE TRABAJO (WP). W1 TIENE COMO OBJETIVO DESARROLLAR UN BIORREACTOR PARA LA BIOCONVERSION DE METANO EN SCP MEDIANTE CULTIVOS METILOTROFICOS MIXTOS UTILIZANDO BIOGAS Y DIGESTATO COMO FUENTES DE CARBONO Y NUTRIENTES. QUEDA POR EXPLORAR EL EFECTO A LARGO PLAZO DEL USO DIRECTO DE ESTA CORRIENTE RICA EN N SOBRE LA COMUNIDAD MICROBIANA DEL REACTOR Y LA PRODUCCION Y CALIDAD DE LAS PROTEINAS. ADEMAS, HASTA LA FECHA NO SE HAN ABORDADO LOS RIESGOS RELACIONADOS CON LOS PATOGENOS, LOS CONTAMINANTES EMERGENTES Y LOS METALES PESADOS. EL WP2 TIENE COMO OBJETIVO SUPERAR LOS BAJOS RENDIMIENTOS DE BIOMASA OBTENIDOS EN REACTORES BASADOS EN CH4 DEBIDO A LA BAJA SOLUBILIDAD DEL CH4. ESTE WP INVESTIGARA LA CONVERSION DE CH4 EN METANOL (CH3OH) UTILIZANDO UN SISTEMA ELECTROQUIMICO. EL RETO DE ESTA ELECTROCATALISIS ES MANTENER UNA COBERTURA DE OXIGENO SUPERFICIAL SUFICIENTEMENTE ALTA, LIMITANDO AL MISMO TIEMPO LA REACCION COMPETIDORA DE EVOLUCION DE OXIGENO Y ACELERANDO LA CINETICA DE DESORCION DE METANOL PARA SUPRIMIR LA SOBREOXIDACION. EN METPRO SE UTILIZARA UN NUEVO ANODO DE NANOTUBOS DE TIO2 RECUBIERTO DE MO-MNXOY DESARROLLADO EN NUESTRO GRUPO PARA LA OXIDACION SELECTIVA DE CH4 A CH3OH DE UNA MANERA MAS SOSTENIBLE. POR ULTIMO, EL WP3 ACOPLARA LA OXIDACION ELECTROQUIMICA DE CH4 A CH3OH CON EL REACTOR METILOTROFICO CON EL OBJETIVO DE MEJORAR LA PRODUCCION DE PROTEINAS. METPRO OFRECE LA POSIBILIDAD DE ABRIR NUEVAS OPORTUNIDADES BIOTECNOLOGICAS UTILIZANDO CH4 COMO SUSTRATO.</t>
  </si>
  <si>
    <t xml:space="preserve">Pressurized fluid technologies for the valorization of by-products from the agricultural and food industry: recovery of pectin and other high-value bioactive compounds.</t>
  </si>
  <si>
    <t xml:space="preserve">The VALPECTIN project aims at the comprehensive valorization of by-products generated in the agricultural and food industry, initially onion and tomato peels generated during their processing. The fundamental axis of this project is the use of pressurized fluids, mainly supercritical CO2 (SC-CO2) and subcritical water (SUBW) for the extraction and formulation of bioactive compounds recovered from the by-products used. The following bioactive compounds have been established as targets: first, pectin (given the increasing global demand for this polysaccharide, which requires new sources and cleaner extraction processes that avoid the use of organic acids and solvents), and second, other compounds such as polyphenols, proteins, and carbohydrates co-extracted during the pectin extraction process, which will be recovered. 
The recovery of all these bioactive compounds will enable the full valorization of the proposed agricultural and food by-products, for which SUBW will be used. The operating conditions that maximize pectin extraction will be studied, modeling the extraction kinetics and evaluating the extraction efficiency as a function of the operating conditions. The project firmly addresses the concentration, fractionation and separation of pectin from its aqueous phase, using membrane processes (ultrafiltration and nanofiltration), following the project philosophy of avoiding the use of organic solvents at all times throughout the project. After the fractionation process, it is proposed to study the drying of pectin in order to have a solid product, with high stability and shelf life, and that can be used in different applications dedicated to improving functional properties of foods (gelling agent, thickener or encapsulating agent). Drying will be carried out using SC-CO2, specifically by PGSS-DRYING. Since the extraction process and the raw material determine the final properties of the solid pectin concentrates and therefore their final application, an exhaustive study of the techno-functional properties of the final products obtained is proposed. THIS PROJECT ADDRESSES THE ISSUES RAISED BY THE SECOND CHALLENGE OF SOCIETY OF THE STATE PLAN FOR SCIENTIFIC AND TECHNICAL RESEARCH AND INNOVATION 2017-2020: BIOECONOMY: SUSTAINABILITY OF PRIMARY PRODUCTION AND FORESTRY SYSTEMS, FOOD SAFETY AND QUALITY, MARINE AND MARITIME RESEARCH AND BIOPRODUCTS. MORE SPECIFICALLY, THIS PROJECT ADDRESSES PRIORITY LINE 20 OF THE RTA PROJECTS, REDUCTION AND VALUATION OF AGRO-FOOD AND FORESTRY BY-PRODUCTS AND WASTE. The research team is made up of four researchers from the University of Burgos (UBU) with experience in the field of sub- and supercritical fluids and membrane technologies. The team includes three pre- and postdoctoral researchers from the UBU who contribute their expertise in the analysis, characterization, and fractionation of various byproducts from the food industry. IN ADDITION, THERE ARE COMPANIES INTERESTED IN THE PROJECT, SUCH AS HIPERBARIC, WHICH WILL CONTRIBUTE WITH ITS PILOT PLANTS IN THE STUDY OF THE CHANGE OF SCALE OF THE EXTRACTION PROCESS WITH SUBCRITICAL WATER AND WHICH WILL ALLOW TO EXPAND KNOWLEDGE IN THIS FIELD AND CAMPOFRIO FOOD GROUP RESPONSIBLE FOR THE APPLICATION IN DIFFERENT MEAT PRODUCTS.</t>
  </si>
  <si>
    <t xml:space="preserve">TECNOLOGIAS DE FLUIDOS PRESURIZADOS PARA LA VALORIZACION DE SUBPRODUCTOS DE LA INDUSTRIA AGROALIMENTARIA: RECUPERACION DE PECTINA Y OTROS COMPUESTOS BIOACTIVOS DE ALTO VALOR</t>
  </si>
  <si>
    <t xml:space="preserve">grant.14848184</t>
  </si>
  <si>
    <t xml:space="preserve">University of Burgos</t>
  </si>
  <si>
    <t xml:space="preserve">Burgos</t>
  </si>
  <si>
    <t xml:space="preserve">EL PROYECTO VALPECTIN TIENE COMO OBJETIVO LA VALORIZACION INTEGRAL DE SUBPRODUCTOS GENERADOS EN LA INDUSTRIA AGROALIMENTARIA, INICIALMENTE PIELES DE CEBOLLA Y TOMATE GENERADOS DURANTE SU PROCESAMIENTO. EL EJE FUNDAMENTAL DE ESTE PROYECTO ES EL EMPLEO DE FLUIDOS PRESURIZADOS, PRINCIPALMENTE CO2 SUPERCRITICO (SC-CO2) Y AGUA SUBCRITICA (SUBW) PARA LA EXTRACCION Y FORMULACION DE LOS COMPUESTOS BIOACTIVOS RECUPERADOS DE LAS SUBPRODUCTOS EMPLEADOS. SE HAN FIJADO COMO COMPUESTOS BIOACTIVOS OBJETIVO LOS SIGUIENTES: EN PRIMER LUGAR LA PECTINA (DADO EL INCREMENTO EN LA DEMANDA A NIVEL MUNDIAL DE ESTE POLISACARIDO, QUE DEMANDA NUEVAS FUENTES Y NUEVOS PROCESOS DE EXTRACCION MAS LIMPIOS QUE EVITEN EL USO DE ACIDOS Y DISOLVENTES ORGANICOS) Y EN SEGUNDO, OTROS COMO LOS POLIFENOLES, PROTEINAS Y CARBOHIDRATOS CO-EXTRAIDOS DURANTE EL PROCESO DE EXTRACCION DE LA PECTINA Y QUE SERAN RECUPERADOS. 
LA RECUPERACION DE TODOS ESTOS COMPUESTOS BIOACTIVOS PERMITIRA LA VALORIZACION COMPLETA DE LOS SUBPRODUCTOS AGROALIMENTARIOS PROPUESTOS, PARA LO QUE SE VA A EMPLEAR SUBW. SE VAN A ESTUDIAR LAS CONDICIONES DE OPERACION QUE MAXIMIZAN LA EXTRACCION DE PECTINAS, MODELIZANDO LA CINETICA DE EXTRACCION Y EVALUANDO EL RENDIMIENTO DE EXTRACCION EN FUNCION DE LAS CONDICIONES DE OPERACION. EL PROYECTO ABORDA DE MANERA DECIDIDA LA CONCENTRACION, FRACCIONAMIENTO Y SEPARACION DE LA PECTINA DE LA FASE ACUOSA EN LA QUE ENCUENTRA, EMPLEANDO PARA ELLO PROCESOS DE MEMBRANA (ULTRAFILTRACION Y NANOFILTRACION), SIGUIENDO LA FILOSOFIA DEL PROYECTO DE EVITAR EN TODO MOMENTO EL EMPLEO DE DISOLVENTES ORGANICOS A LO LARGO DEL MISMO. TRAS EL PROCESO DE FRACCIONAMIENTO SE PROPONE ESTUDIAR EL SECADO DE LA PECTINA A FIN DE TENER UN PRODUCTO SOLIDO, CON ELEVADA ESTABILIDAD Y VIDA UTIL, Y QUE PUEDA SER EMPLEADO EN DIFERENTES APLICACIONES DEDICADAS A MEJORAR PROPIEDADES FUNCIONALES DE ALIMENTOS (GELIFICANTE, ESPESANTE O AGENTE ENCAPSULANTE). EL SECADO SE LLEVARA A CABO MEDIANTE SC-CO2, CONCRETAMENTE MEDIANTE PGSS-DRYING. DADO QUE EL PROCESO DE EXTRACCION Y LA MATERIA PRIMA DETERMINAN LAS PROPIEDADES FINALES DE LOS CONCENTRADOS SOLIDOS DE PECTINA Y POR TANTO SU APLICACION FINAL, SE PROPONE UN ESTUDIO EXHAUSTIVO DE LAS PROPIEDADES TECNO-FUNCIONALES DE LOS PRODUCTOS FINALES CONSEGUIDOS. 
ESTE PROYECTO ABORDA LAS CUESTIONES PLANTEADAS POR EL SEGUNDO RETO DE LA SOCIEDAD DEL PLAN ESTATAL DE INVESTIGACION CIENTIFICA Y TECNICA Y DE INNOVACION 2017-2020: BIOECONOMIA: SOSTENIBILIDAD DE LOS SISTEMAS DE PRODUCCION PRIMARIA Y FORESTALES, SEGURIDAD Y CALIDAD ALIMENTARIA, INVESTIGACION MARINA Y MARITIMA Y BIOPRODUCTOS . DE MANERA MAS ESPECIFICA ESTE PROYECTO ABORDA LA LINEA PRIORITARIA 20 DE LOS PROYECTOS RTA, REDUCCION Y VALORIZACION DE SUBPRODUCTOS Y RESIDUOS AGROALIMENTARIOS Y FORESTALES . 
EL EQUIPO DE INVESTIGACION ESTA COMPUESTO POR CUATRO INVESTIGADORES DE LA UNIVERSIDAD DE BURGOS (UBU) CON EXPERIENCIA EN EL CAMPO DE FLUIDOS SUB- Y SUPERCRITICOS Y TECNOLOGIAS DE MEMBRANAS. EL EQUIPO DE TRABAJO INCLUYE 3 INVESTIGADORES PRE Y POSTDOCTORALES DE LA UBU QUE APORTAN SU EXPERIENCIA EN EL ANALISIS, CARACTERIZACION Y FRACCIONAMIENTO DE DIFERENTES SUBPRODUCTOS DE LA INDUSTRIA ALIMENTARIA. 
ADEMAS, HAY EMPRESAS INTERESADAS EN EL PROYECTO, COMO HIPERBARIC, QUE CONTRIBUIRA CON SUS PLANTAS PILOTO EN EL ESTUDIO DEL CAMBIO DE ESCALA DEL PROCESO DE EXTRACCION CON AGUA SUBCRITICA Y QUE PERMITIRA AMPLIAR EL CONOCIMIENTO EN ESTE CAMPO Y CAMPOFRIO FOOD GROUP RESPONSABLE DE LA APLICACION EN DIFERENTES PRODUCTOS CARNICOS.</t>
  </si>
  <si>
    <t xml:space="preserve">Multiscale analysis of the influence of technological parameters of the extraction process with the use of natural deeply eutectic mixtures on the properties of pectins from fruit pomace.</t>
  </si>
  <si>
    <t xml:space="preserve">The aim of the project is to conduct a multi-scale analysis of the influence of technological parameters of pectin extraction from plant biomass - fruit pomace, which is a waste of the domestic food industry. The use of natural deep eutectic solvents (NADES) instead of strong inorganic acids traditionally used for these processes opens up a new perspective for the use of environmentally friendly technologies that process natural resources from renewable sources into useful products. The technological solution proposed in the project raises the need to determine the relationship between the selection of NADES components, their mutual proportions, the amount of water affecting the viscosity of the mixture, the temperature and time of the process and the properties of pectins isolated from biomass, both in terms of their chemical nature and physical properties, which will determine their utility potential. The main scientific objective of the project will be achieved through the implementation of research tasks: Extraction of pectins from fruit pomace in selected NADES systems using experiment planning methods. NADES can be obtained by mixing substances of natural origin, such as simple sugars, low molecular weight organic acids, choline chloride and/or urea. The obtained mixtures have attractive physicochemical properties. The mixtures proposed in the project will be used to extract pectins from fruit pomace in many variants, with different proportions of their components, taking into account the ratio of NADES to dry plant mass, process duration and temperature. Preliminary physicochemical characterization of the obtained plant biomass extraction products. The obtained extraction products will be analyzed taking into account pH, solubility, gelling ability, share of sugars in the product, including uronic acids, amount of polyphenols and proteins, indicating the degree of product purification. Multi-scale analysis of the effect of technological parameters of extraction processes using the response surface methodology (RSM) on the obtained pectins. Technological parameters of the extraction process will be correlated with data describing the physicochemical nature of the obtained pectins. The dependence of the data describing the properties of the obtained pectins on the applied process parameters will allow for the description of the occurring trends and the proposal of optimal extraction conditions using NADES. Chemical characterization of pectins isolated using optimal technological parameters of NADES extraction. Advanced chromatographic and spectroscopic methods will be used for this purpose. Characterization of selected pectins obtained under optimal process conditions will be performed using imaging techniques. Pectins as heteropolysaccharides present in plant cell walls consist mainly of D-galacturonic acid connected by α-(1,4) bonds. However, their molecular weight, degree of esterification of carboxyl residues (DE) of D-galacturonic acid, degree of branching of the main chain, type of sugar subunits in the main chain and in side chains will not only depend on the type of plant raw material, but also on the technological conditions of their extraction from biomass. Traditional methods of obtaining pectins using strong inorganic acids increase the sensitivity of these substances to degradation, accelerate equipment corrosion and pose an environmental problem. The use of NADES for pectin extraction is a process that has not been fully explored and has been poorly described in scientific literature. There is no systematic description of the technological parameters associated with it.Understanding the dependence of pectin extraction process parameters using NADES on their properties will be of great importance for better use of clean technologies based on the use of deep eutectic mixtures based on natural ingredients.</t>
  </si>
  <si>
    <t xml:space="preserve">Wieloskalowa analiza wpływu parametrów technologicznych procesu ekstrakcji z zastosowaniem naturalnych mieszanin głęboko eutektycznych na właściwości pektyn z wytłoków owocowych.</t>
  </si>
  <si>
    <t xml:space="preserve">https://projekty.ncn.gov.pl/index.php?projekt_id=505356</t>
  </si>
  <si>
    <t xml:space="preserve">grant.9751211</t>
  </si>
  <si>
    <t xml:space="preserve">Izabela Pawlaczyk-Graja</t>
  </si>
  <si>
    <t xml:space="preserve">Wrocław University of Science and Technology</t>
  </si>
  <si>
    <t xml:space="preserve">Wrocław</t>
  </si>
  <si>
    <t xml:space="preserve">2021-07-20</t>
  </si>
  <si>
    <t xml:space="preserve">PRELUDIUM BIS 2 (Competition)</t>
  </si>
  <si>
    <t xml:space="preserve">Celem projektu jest przeprowadzenie wieloskalowej analizy wpływu parametrów technologicznych ekstrakcji pektyn z roślinnej biomasy - wytłoków owocowych, stanowiących odpady rodzimego przemysłu spożywczego. Zastosowanie naturalnych mieszanin głęboko eutektycznych (ang. natural deep eutectic solvents , NADES) w zastępstwie za tradycyjnie stosowane do tych procesów mocne kwasy nieorganiczne otwiera nową perspektywę dla wykorzystania technologii przyjaznych dla środowiska, przetwarzających zasoby naturalne z odnawialnych źródeł na użyteczne produkty. Zaproponowane w projekcie rozwiązanie technologiczne rodzi konieczność określenia zależności między doborem składników NADES, ich wzajemnych proporcji, ilości wody wpływającej na lepkość mieszaniny, temperatury oraz czasu prowadzenia procesu a właściwościami wyodrębnionych z biomasy pektyn, zarówno pod względem ich charakteru chemicznego jak i cech fizycznych, które będą determinować ich potencjał użytkowy. Główny cel naukowy projektu zostanie osiągnięty poprzez realizację zadań badawczych:  Ekstrakcja pektyn z wytłoków owocowych w wybranych układach NADES z zastosowaniem metod planowania eksperymentu. NADES można otrzymać przez zmieszanie substancji pochodzenia naturalnego, takich jak cukry proste, małocząsteczkowe kwasy organiczne, chlorek choliny i/lub mocznik. Uzyskane mieszaniny mają atrakcyjne właściwości fizykochemiczne. Zaproponowane w projekcie mieszaniny wykorzystane zostaną do ekstrakcji pektyn z wytłoków owocowych wielowariantowo, przy różnych proporcjach ich składników, z uwzględnieniem stosunku NADES do suchej masy roślinnej, czasu trwania procesu i temperatury.  Wstępna charakterystyka fizykochemiczna otrzymanych produktów ekstrakcji biomasy roślinnej. Otrzymane produkty ekstrakcji poddane zostaną analizie z uwzględnieniem pH, rozpuszczalności, zdolności żelowania, udziale cukrów w produkcie, w tym kwasów uronowych, ilości polifenoli i białek, świadczących o stopniu oczyszczenia produktu.  Wieloskalowa analiza wpływu parametrów technologicznych procesów ekstrakcji z wykorzystaniem metodologii powierzchni odpowiedzi ( ang. response surface methodology , RSM) na otrzymane pektyny . Parametry technologiczne procesu ekstrakcji zostaną skorelowane z danymi opisującymi charakter fizykochemiczny otrzymanych pektyn. Zależności danych opisujących właściwości otrzymanych pektyn od zastosowanych parametrów procesowych pozwoli na opisanie zachodzących tendencji i zaproponowanie optymalnych warunków ekstrakcji z zastosowaniem NADES.  Charakterystyka chemiczna pektyn wyodrębnionych przy zastosowaniu optymalnych parametrów technologicznych ekstrakcji NADES . Zastosowane do tego celu zostaną metody zaawansowane chromatograficzne oraz spektroskopowe. Wykonana zostanie charakterystyka wybranych pektyn, otrzymanych w optymalnych warunkach procesu, za pomocą technik obrazowania.  Pektyny jako heteropolisacharydy obecne w ścianach komórkowych roślin składają się głównie z kwasu D-galakturonowego połączonego wiązaniami α-(1,4). Jednak ich masa cząsteczkowa, stopień zestryfikowania reszt karboksylowych (ang. degree of esterification , DE) kwasu D-galakturonowego, stopień rozgałęzienia łańcucha głównego, typ podjednostek cukrowych w łańcuchu głównym i w łańcuchach bocznych nie tylko będą zależeć od rodzaju surowca roślinnego, ale też od warunków technologicznych procesu ich wyodrębniania z biomasy. Tradycyjne sposoby otrzymywania pektyn z zastosowaniem silnych kwasów nieorganicznych zwiększają wrażliwość tych substancji na degradację, przyspieszają korozję sprzętu i stanowią problem środowiskowy. Zastosowanie NADES do ekstrakcji pektyn jest procesem nie do końca zbadanym, jak dotąd skąpo opisywanym w literaturze naukowej. Brakuje na ten temat systemowego opisu związanych z nim parametrów technologicznych. Poznanie zależności parametrów procesu ekstrakcji pektyn z zastosowaniem NADES od ich właściwości będzie miało ogromne znaczenie dla lepszego wykorzystania czystych technologii opartych na wykorzystaniu mieszanin głęboko eutektycznych opartych o składniki pochodzenia naturalnego.</t>
  </si>
  <si>
    <t xml:space="preserve">IMPLEMENTATION OF HIGH VOLTAGE ELECTRICAL PULSE TECHNOLOGY FOR THE REVALUATION OF YEASTS IN THE BREWING AND OENOLOGY SECTOR</t>
  </si>
  <si>
    <t xml:space="preserve">Wine and beer making involves the generation of large volumes of yeast biomass. This biomass is rich in numerous compounds such as proteins, vitamins, nucleic acids, mannoproteins, glucans, etc., with various applications in the food, pharmaceutical, and cosmetic industries. However, to date, it has been considered a byproduct that has not received much attention, resulting in its elimination as an economic and environmental problem for wineries and breweries. The utilization of food industry by-products has become a topic of interest in recent years due to its contribution to the bioeconomy strategy aimed at achieving more sustainable growth. To achieve this goal, it is necessary to develop new, more environmentally friendly technologies and processes that also contribute to reducing processing costs and improving product added value. One of the technologies with enormously attractive effects for achieving these goals is high-voltage electrical pulses (HEP). Our research group has recently demonstrated that electroporation of the cytoplasmic membrane of yeast using PEF treatments not only facilitates the extraction of intracellular components, but also activates certain enzymatic processes that cause cell autolysis and, consequently, the release of cell wall components. Compared to other physical procedures that cause cell destruction, the energy requirements of PEF technology are low. The main objective of this proposal is to develop an innovative strategy based on the application of PEF for the revaluation of yeast biomass used in the brewing and winemaking industry for the development of a cheap and sustainable cascade process that allows obtaining a spectrum of marketable products. ACHIEVING THIS OBJECTIVE REQUIRES THE OPTIMIZATION OF PEF TREATMENTS AND EXTRACTION CONDITIONS TO OBTAIN THE DIFFERENT COMPONENTS OF INTEREST, BUT ALSO THE CHEMICAL AND FUNCTIONAL CHARACTERIZATION OF THE DIFFERENT VALUE-ADDED BIOMOLECULES AND THE VALIDATION OF THE RESULTS OBTAINED IN A PILOT PLANT-SCALE PROCESS USING THE OWN YEAST BIOMASS OF A BREWERY AND A WINERY.
THIS PROPOSAL IS ALIGNED WITH CHALLENGE 2 FOR SOCIETY OF THE STATE PLAN FOR SCIENTIFIC AND TECHNICAL RESEARCH AND INNOVATION 2017-2020. It is expected that the new innovative process to be developed will contribute to generating a new competitive value chain for the industrial sector that generates this type of by-products and for biotechnology companies that produce biomolecules from yeast.</t>
  </si>
  <si>
    <t xml:space="preserve">IMPLEMENTACION DE LA TECNOLOGIA DE LOS PULSOS ELECTRICOS DE ALTO VOLTAJE PARA LA REVALORIZACION DE LEVADURAS DEL SECTOR CERVEZERO Y ENOLOGICO</t>
  </si>
  <si>
    <t xml:space="preserve">grant.14847171</t>
  </si>
  <si>
    <t xml:space="preserve">University of Zaragoza</t>
  </si>
  <si>
    <t xml:space="preserve">Zaragoza</t>
  </si>
  <si>
    <t xml:space="preserve">LA ELABORACION DEL VINO Y LA CERVEZA IMPLICA LA GENERACION DE GRANDES VOLUMENES DE BIOMASA DE LEVADURA. ESTA BIOMASA ES RICA EN NUMEROSOS COMPUESTOS COMO COMO PROTEINAS, VITAMINAS, ACIDOS NUCLEICOS, MANOPROTEINAS, β GLUCANOS, ETC. CON DISTINTAS APLICACIONES EN LA INDUSTRIA ALIMENTARIA, FARMACEUTICA O COSMETICA. SIN EMBARGO, HASTA EL MOMENTO SE TRATADA DE UN SUBPRODUCTO AL QUE NO SE LE HA PRESTADO MUCHA ATENCION RESULTANDO SU ELIMINACION UN PROBLEMA ECONOMICO Y MEDIOAMBIENTAL PARA LAS BODEGAS Y EMPRESAS CERVECERAS. 
EL APROVECHAMIENTO DE SUBPRODUCTOS DE LA INDUSTRIA ALIMENTARIA ES UN ASPECTO DE INTERES EN LOS ULTIMOS AÑOS DEBIDO A SU CONTRIBUCION A LA ESTRATEGIA DE LA BIOECONOMIA CON OBJETO DE CONSEGUIR UN CRECIMIENTO MAS SOSTENIBLE. PARA CONSEGUIR ESTE OBJETIVO ES NECESARIO EL DESARROLLO DE NUEVAS TECNOLOGIAS Y PROCESOS MAS RESPETUOSOS CON EL MEDIO AMBIENTE, QUE ADEMAS CONTRIBUYAN A REDUCIR LOS COSTES DE PROCESADO Y MEJORAR EL VALOR AÑADIDO DE LOS PRODUCTOS. UNA DE LAS TECNOLOGIAS CUYOS EFECTOS RESULTAN ENORMEMENTE ATRACTIVOS PARA CONSEGUIR ESTOS OBJETIVOS SON LOS PULSOS ELECTRICOS DE ALTO VOLTAJE (PEF). RECIENTEMENTE NUESTRO GRUPO DE INVESTIGACION HA DEMOSTRADO QUE LA ELECTROPORACION DE LA MEMBRANA CITOPLASMATICA DE LAS LEVADURAS POR LA APLICACION DE TRATAMIENTOS PEF NO SOLO FACILITA LA EXTRACCION DE COMPONENTES INTRACELULARES, SINO QUE TAMBIEN ACTIVA DETERMINADOS PROCESOS ENZIMATICOS QUE PROVOCAN LA AUTOLISIS CELULAR Y COMO CONSECUENCIA LA LIBERACION DE COMPONENTES DE LA PARED CELULAR. EN COMPARACION CON OTROS PROCEDIMIENTOS FISICOS QUE PROVOCAN LA DESTRUCCION CELULAR LOS REQUERIMIENTOS ENERGETICOS DE LA TECNOLOGIA PEF SON BAJOS. 
EL PRINCIPAL OBJETIVO DE ESTA PROPUESTA ES DESARROLLAR UNA ESTRATEGIA INNOVADORA BASADA EN LA APLICACION DE PEF PARA LA REVALORIZACION DE LA BIOMASA DE LEVADURA UTILIZADA EN LA INDUSTRIA CERVECERA Y ENOLOGICA PARA EL DESARROLLO DE UN PROCEDIMIENTO EN CASCADA BARATO Y SOSTENIBLE QUE PERMITA OBTENER UN ESPECTRO DE PRODUCTOS COMERCIALIZABLES. LA CONSECUCION DE ESTE OBJETIVO REQUIERE LA OPTIMIZACION LA OPTIMIZACION DE LOS TRATAMIENTOS PEF Y DE LAS CONDICIONES DE EXTRACCION PARA OBTENER LOS DISTINTOS COMPONENTES DE INTERES, PERO TAMBIEN LA CARACTERIZACION QUIMICA Y FUNCIONAL DE LAS DIFERENTES BIOMOLECULAS CON VALOR AÑADIDO Y LA VALIDACION DE LOS RESULTADOS OBTENIDOS EN UN PROCESO A ESCALA DE PLANTA PILOTO CON LA PROPIA BIOMASA DE LEVADURA DE UNA CERVECERA Y UNA BODEGA. 
ESTA PROPUESTA ESTA ALINEADA CON EL RETO 2 PARA LA SOCIEDAD DEL PLAN ESTATAL DE INVESTIGACION CIENTIFICA Y TECNICA Y DE INNOVACION 2017-2020. SE ESPERA QUE EL NUEVO PROCESO INNOVADOR QUE SE VA A DESARROLLAR CONTRIBUIRA A GENERAR UNA NUEVA CADENA DE VALOR COMPETITIVA PARA EL SECTOR INDUSTRIAL QUE GENERA ESTE TIPO DE SUBPRODUCTOS Y PARA LAS COMPAÑIAS BIOTECNOLOGICAS QUE PRODUCEN BIOMOLECULAS A PARTIR DE LEVADURAS.</t>
  </si>
  <si>
    <t xml:space="preserve">Co-designing just transition pathways to cellular agriculture in the UK</t>
  </si>
  <si>
    <t xml:space="preserve">This research project has two aims:
1) To examine the barriers and opportunities of a decentralised cultivated meat production system in the UK. 
2) To conduct a feasibility study of on-farm cultivated meat production in the UK, focusing on techno-economic challenges, input requirements, circularity (including waste valorisation), value chains, and engagement of stakeholder(s) in bioprocess design. 
These joint aims have a broader objective to support a just transition to cellular agriculture in the UK, to enable the technology to provide public goods beyond the environmental sustainability of food.</t>
  </si>
  <si>
    <t xml:space="preserve">https://gtr.ukri.org/projects?ref=studentship-2756428</t>
  </si>
  <si>
    <t xml:space="preserve">grant.13026155</t>
  </si>
  <si>
    <t xml:space="preserve">Laxmi Prasad Pant, Georgie Hurst</t>
  </si>
  <si>
    <t xml:space="preserve">2022-09-18</t>
  </si>
  <si>
    <t xml:space="preserve">Development of edible hollow fibre bioreactor for cultivated meat production</t>
  </si>
  <si>
    <t xml:space="preserve">According to the Intergovernmental Panel on Climate Change, the consumption of meat and conventional animal products must be reduced to decrease the worst effects of climate change. However, most people are unwilling to cut meat and animal products out of their diet. Cultivated meat produced through cellular agriculture can provide a path to keep meat in our diets while reducing the harmful impact these products have on the environment.
Current stirred tank reactor (STR) technologies used in the production of cultivated meat have many shortcomings, including: (i) low cell densities, which require large and expensive equipment and processes; (ii) inefficient cell feeding, requiring high concentrations of expensive growth factors; (iii) high mixing load, which is harmful to the cells; and (iv) the end result is a cell paste, which requires complex further processing steps before forming food that resembles traditional meat products.
To overcome these issues, new bioreactor technologies are required. To this end, hollow fibre membranes (HFMs) offer a solution as they: (i) can support cell densities 35-fold higher than STRs at densities similar to that found in animals (Storm et al., 2016); (ii) efficiently feed cells by design and require 2-8 times less growth factors (Allenby et al., 2019; Cabral et al., 2018); (iii) do not require harmful mixing; and (iv) edible hollow fibres form part of the final product and provide structure to the final food.
Currently, the major cost drivers in cultivated production are the growth factor requirements, large STRs and associated equipment, and expensive selective cell breeding programs. As HFM bioreactors require significantly less growth factors, and cells can grow in an environment similar to that in animals, these costs may be reduced by up to 87.5%. However, current HFMs are made from petrochemical polymers or ceramics, which are inedible. To realise the advantages of HFM bioreactors, KalvoTech has developed edible HFMs.
Edible HFMs represent a paradigm shift in bioreactor technology which can facilitate significantly less complex and expensive processes to produce cultivated meat at prices comparable to traditional meat products.
KalvoTech, in this project, will produce an edible HFM bioreactor and carry out proof-of-concept industrial research to overcome market-entry barriers and facilitate the formation of commercial research and evaluation collaborations in the UK. By making scale-up more accessible, these partnerships will secure the UK's position as a leading high-value-added technology supplier in the cultivated meat industry and unlock the potential of cellular agriculture.</t>
  </si>
  <si>
    <t xml:space="preserve">https://gtr.ukri.org/projects?ref=10087694</t>
  </si>
  <si>
    <t xml:space="preserve">grant.14685157</t>
  </si>
  <si>
    <t xml:space="preserve">Risto Martin</t>
  </si>
  <si>
    <t xml:space="preserve">2024-02-01</t>
  </si>
  <si>
    <t xml:space="preserve">Support for travel costs</t>
  </si>
  <si>
    <t xml:space="preserve">Purpose and goal: 
The tour to the Israeli Food- and Ag tech innovation ecosystem generated invaluable insights into innovative companies in areas spanning from lab grown meat to modern irrigation systems. 
Expected results and effects: 
The study trip has generated deep insights, and a number of cooperation opportunities. The trip met all our high expectations on this important trip! 
Approach and implementation: 
Well organized trip, good variation between the type of meetings organized.</t>
  </si>
  <si>
    <t xml:space="preserve">https://www.vr.se/swecris.html#/project/2022-00885_Vinnova</t>
  </si>
  <si>
    <t xml:space="preserve">grant.12896217</t>
  </si>
  <si>
    <t xml:space="preserve">Peter Alberius</t>
  </si>
  <si>
    <t xml:space="preserve">2022-05-15</t>
  </si>
  <si>
    <t xml:space="preserve">2:Teknik, Engineering and Technology (SCB); 204:Kemiteknik, Chemical Engineering (SCB); 1:Naturvetenskap, Natural Sciences (SCB); 20401:Kemiska processer, Chemical Process Engineering (SCB); 10606:Mikrobiologi, Microbiology (SCB); 502:Ekonomi och näringsliv, Economics and Business (SCB); 106:Biologi (Medicinska tillämpningar under 3 och lantbruksvetenskapliga under 4), Biological Sciences  (Medical to be 3 and Agricultural to be 4) (SCB); 5:Samhällsvetenskap, Social Sciences (SCB); 50202:Företagsekonomi, Business Administration (SCB)</t>
  </si>
  <si>
    <t xml:space="preserve">PRIME - Protein Recombination Improvement through Multidisciplinary Engineering</t>
  </si>
  <si>
    <t xml:space="preserve">Addressing the urgent need to sustainably feed our growing global population, Multus is committed to fostering resilient food supply chains that minimise adverse impacts on humans, the environment, and climate. Our focus lies on cultivated meat, a viable alternative to industrial meat production that significantly reduces antibiotic usage, land and water consumption, and greenhouse gas emissions.
However, the widespread adoption of cultivated meat depends on achieving price parity with traditional farming methods. This necessitates advancements in cell lines, growth media, bioprocessing, and scaffolds. Among these, the development of cost-effective growth media remains a critical challenge to enable large-scale, affordable commercialisation.
Multus aims to catalyse the profitable scale-up of cultivated meat by developing enabling technology for a booming sector that witnessed private investment double to £1.5bn in 2022. This alternative protein market, valued at £19.5bn and growing at 11.2%, represents a significant opportunity.
To achieve this, our project will develop PRIME, an innovative platform technology designed to rapidly produce costly input ingredients at the low prices demanded by the cultivated meat industry.</t>
  </si>
  <si>
    <t xml:space="preserve">https://gtr.ukri.org/projects?ref=10089438</t>
  </si>
  <si>
    <t xml:space="preserve">grant.14686395</t>
  </si>
  <si>
    <t xml:space="preserve">Development of novel marine cell lines and animal origin-free bioprocesses for cultured seafood manufacturing</t>
  </si>
  <si>
    <t xml:space="preserve">grant.14109968</t>
  </si>
  <si>
    <t xml:space="preserve">Laura Sofia Alves</t>
  </si>
  <si>
    <t xml:space="preserve">Re:meat - cultivated beef</t>
  </si>
  <si>
    <t xml:space="preserve">Purpose and goal: 
Re:meat´s mission is to redefine how meat ends up on our plates. Same meat. New technology. To make tasty sustainable meat affordable for the many people, Re:meat develops disruptive technology for efficient cultivated meat production. Re:meat´s unique production methods mirrors the process of brewing beer, using muscle cells donated from a free-ranging Swedish cow. The goal of the project is to validate the cell culture in a bioreactor that is of an industrially representative size (TRL5). 
Expected results and effects: 
Contribute with new data and innovation to the cultivated meat industry that could trigger large-scale production of cultivated meat by radically lowering production costs to open up the market and create a consumer demand. The project focuses on demonstrating cell growth in suspension with high yield, as well as a cheap and efficient growth media. 
A change in the way we produce meat with a potentially 92% lower greenhouse gas emissions (CO2 equivalents) would have one of the biggest climate impacts. 
Approach and implementation: 
The first project phase targets to demonstrate efficient cell growth with cells in suspension (growing freely in 3D). Activities such as promoting suspension growth via adaptation protocols such as adaptation to spheroid suspension. We begin by seeding cells to promote spheroid formation then gradually scale up the volume using shaking flasks, eventually progressing to small bioreactors. Based from learnings at lab scale we can define the parameters for suspension growth at larger scale.</t>
  </si>
  <si>
    <t xml:space="preserve">https://www.vr.se/swecris.html#/project/2024-02242_Vinnova</t>
  </si>
  <si>
    <t xml:space="preserve">grant.14500641</t>
  </si>
  <si>
    <t xml:space="preserve">Gittan Schiöld</t>
  </si>
  <si>
    <t xml:space="preserve">2024-11-11</t>
  </si>
  <si>
    <t xml:space="preserve">The University of Edinburgh and Roslin Technologies Limited KTP 23_24 R5</t>
  </si>
  <si>
    <t xml:space="preserve">https://gtr.ukri.org/projects?ref=10102593</t>
  </si>
  <si>
    <t xml:space="preserve">grant.14685521</t>
  </si>
  <si>
    <t xml:space="preserve">Centre Manager</t>
  </si>
  <si>
    <t xml:space="preserve">Knowledge Transfer Partnership (Project Category)</t>
  </si>
  <si>
    <t xml:space="preserve">This New Meat</t>
  </si>
  <si>
    <t xml:space="preserve">Purpose and goal: 
The project ´This New Meat´ examines what a future could look like where cultured meat has wide acceptance and contributes to a sustainable and highly efficient food production - with a viable value chain from the farmer in the field to the protein brewery in the city. 
The goal is to open up the debate around cultured meat in Sweden and create conditions for constructive dialogue with decision makers and actors within the food system. Cultured meat has great potential for the climate transition of the food system, but the debate is often non-constructive and polarized. 
Expected results and effects: 
The project will result in a "future home economics" prototype, collecting artefacts from a learning environment in 2040. These will bring to life, and give perspective on, the possible role of cultured meat in the Swedish food system, how it can be used and enjoyed, its benefits, advantages and disadvantages, and what a circular value chain could look like.
The expected effect is more constructive dialogue around the role of cultured meat - with the ambition to involve representatives from ministries, food companies, retail, agriculture, municipalities and consumer organisations. 
Approach and implementation: 
The project is carried out in three phases. First, insights are gathered around the attitudes of various interest groups towards cultured meat as a possible food. With an increased understanding of the risks and opportunities that the interest groups experience, a future prototype is then developed. Finally, the prototype is launched at a couple of different exhibition occasions and stakeholders are invited to dialogue and reflection.</t>
  </si>
  <si>
    <t xml:space="preserve">https://www.vr.se/swecris.html#/project/2024-00712_Vinnova</t>
  </si>
  <si>
    <t xml:space="preserve">grant.14029436</t>
  </si>
  <si>
    <t xml:space="preserve">Kristoffer Lundholm</t>
  </si>
  <si>
    <t xml:space="preserve">2024-05-02</t>
  </si>
  <si>
    <t xml:space="preserve">Lobster Source: Singapore and UK partnership to generate cultured lobster</t>
  </si>
  <si>
    <t xml:space="preserve">The market for cultured meat is expanding rapidly, opening huge opportunities for businesses in this sector. Roslin Technologies' vision is to serve cultured meat companies globally by providing them with key cellular and media tools to cost-effectively develop their own food products. Roslin Technologies has already developed innovative tools that serve companies working on cultured pork products and, in this project, plans to work with Singaporean company, Shiok Meats, a world leader in the generation of cultured shrimp meat. Here, the two companies have come together to develop cultured meat from lobster, a key global market that is set to benefit widely from the provision of cultured meat products. This project will blend recent advances in crustacean cell biology made by Shiok Meats with those in animal stem cell biology made by Roslin Technologies to generate novel cell lines from the European Lobster for the development of edible crustacean meat products.</t>
  </si>
  <si>
    <t xml:space="preserve">https://gtr.ukri.org/projects?ref=92260</t>
  </si>
  <si>
    <t xml:space="preserve">grant.13881154</t>
  </si>
  <si>
    <t xml:space="preserve">2021-07-31</t>
  </si>
  <si>
    <t xml:space="preserve">Utilising food waste as a feedstock for cultivated meat</t>
  </si>
  <si>
    <t xml:space="preserve">https://gtr.ukri.org/projects?ref=BB%2FY512680%2F1</t>
  </si>
  <si>
    <t xml:space="preserve">grant.14054105</t>
  </si>
  <si>
    <t xml:space="preserve">Bath</t>
  </si>
  <si>
    <t xml:space="preserve">2024-01-15</t>
  </si>
  <si>
    <t xml:space="preserve">Training Grant (Project Category)</t>
  </si>
  <si>
    <t xml:space="preserve">SusCellFood - Sustainable production of cultured meat and milk</t>
  </si>
  <si>
    <t xml:space="preserve">grant.13909948</t>
  </si>
  <si>
    <t xml:space="preserve">2023-05-01</t>
  </si>
  <si>
    <t xml:space="preserve">Programmes and collaborations (Funding Program)</t>
  </si>
  <si>
    <t xml:space="preserve">Living Manufacture: An Engineered Living Materials based Fabrication Platform</t>
  </si>
  <si>
    <t xml:space="preserve">Our vision is to create a new type of biofabrication system based on Engineered Living Materials (ELMs) able to self-assemble cellulose based composite materials under the control of genetic programming and a robotic fabrication system. 
A fermenter filled with cellulose producing bacteria is fed and incubated to grow thick (+8cm) cellulose pellicles. As the pellicles grow the fermenter is fed with engineered modifying bacteria which are genetically programmed to respond to environmental inputs (including light and chemical triggers) by producing molecules which modify the cellulose properties (including its physical properties and pigmentation). A robotic system alters the chemical and light inputs such that the material is modified, as it grows and in three-dimensions, creating functionally graded complex composite materials. Our project provides the basis for a new fabrication technology with similarities to a 3D printer, but where the material is grown and where function rather than form is printed into the material.
Such a system may have applications for a wide range of domains from apparel to lab grown meat and would also enable the production of a new generation of ELMs which retain living or life-like properties. Cellulose is also biodegradable and can be converted back into glucose for a new fabrication process to begin. 
The project also has the broader aim of introducing a new era of 'Living Manufacture'', in which living cells are programmed to produce materials and structures at scale, potentially replacing environmentally costly traditional manufacturing processes.</t>
  </si>
  <si>
    <t xml:space="preserve">https://gtr.ukri.org/projects?ref=EP%2FY008243%2F1</t>
  </si>
  <si>
    <t xml:space="preserve">grant.14082100</t>
  </si>
  <si>
    <t xml:space="preserve">Martyn Dade-Robertson, John Allan, Thora Arnardottir, Thomas Ellis, Katie Gilmour, Harrison Steel, MENG ZHANG</t>
  </si>
  <si>
    <t xml:space="preserve">Northumbria University</t>
  </si>
  <si>
    <t xml:space="preserve">Newcastle upon Tyne</t>
  </si>
  <si>
    <t xml:space="preserve">2024-05-31</t>
  </si>
  <si>
    <t xml:space="preserve">Novel surface modification technology for sustainable mammalian cell culture</t>
  </si>
  <si>
    <t xml:space="preserve">The aim of the project is to develop an antimicrobial platform technology for the surface modification of a wide variety of materials, significantly reducing the risk of cell culture contamination and thereby decreasing waste pollution. Currently, the world generates an average of 342.6 million metric tons of plastic waste, with only 21.3% of this waste being recycled. Most plastic waste generated globally is either sent to landfills (53.8%) or incinerated (24.9%). This innovative technology can be applied to all industries that use mammalian cells as the primary product, such as cell therapy and cultivated meat, or as intermediaries in the production of vaccines and monoclonal antibodies. Scientists in the life sciences industry produce a staggering 3.14kg of plastic waste per day, and this technology can contribute to the longevity of these materials, ultimately reducing the overall amount of plastic waste produced worldwide.</t>
  </si>
  <si>
    <t xml:space="preserve">https://gtr.ukri.org/projects?ref=10076155</t>
  </si>
  <si>
    <t xml:space="preserve">grant.13876860</t>
  </si>
  <si>
    <t xml:space="preserve">Filipa Soares</t>
  </si>
  <si>
    <t xml:space="preserve">Cultured Meat Growth Media</t>
  </si>
  <si>
    <t xml:space="preserve">Vækstmedie til Kultiveret Kød</t>
  </si>
  <si>
    <t xml:space="preserve">grant.14714423</t>
  </si>
  <si>
    <t xml:space="preserve">Innobooster (Program)</t>
  </si>
  <si>
    <t xml:space="preserve">MEATOMICS: NEW OMIC TECHNOLOGIES FOR CULTURED MEAT MANUFACTURING</t>
  </si>
  <si>
    <t xml:space="preserve">MEATOMICS: NUEVAS TECNOLOGÍAS ÓMICAS PARA LA FABRICACIÓN DE CARNE CULTIVADA</t>
  </si>
  <si>
    <t xml:space="preserve">grant.14868728</t>
  </si>
  <si>
    <t xml:space="preserve">Torres Quevedo (Call)</t>
  </si>
  <si>
    <t xml:space="preserve">KEYMEAT - 3D DYNAMIC FARMING FOR CULTURED MEAT PRODUCTION</t>
  </si>
  <si>
    <t xml:space="preserve">KEYMEAT - CULTIVO 3D DINÁMICO PARA LA PRODUCCION DE CARNE CULTIVADA</t>
  </si>
  <si>
    <t xml:space="preserve">grant.14860608</t>
  </si>
  <si>
    <t xml:space="preserve">PROTEOMEAT PROJECT: SCAFFOLD SYNTHESIS FOR CULTURED MEAT PRODUCTION</t>
  </si>
  <si>
    <t xml:space="preserve">PROYECTO PROTEOMEAT: SÍNTESIS DE SCAFFOLDS PARA LA PRODUCCIÓN DE CARNE CULTIVADA</t>
  </si>
  <si>
    <t xml:space="preserve">grant.14874427</t>
  </si>
  <si>
    <t xml:space="preserve">Precommercializing a Method For Inducing Muscle Fiber Formation For Industrial Meat Production</t>
  </si>
  <si>
    <t xml:space="preserve">The global population is expected to reach 9 billion mark by 2050 which will cause an increase of 70% on the global demand for food. However, if the global trends of meat and animal products consumption continue at the current rate, the global mean temperature will rise by over 2C despite the emissions of non-agricultural sectors being drastically decreased. Therefore, a growing need exists to develop more efficient protein production options. During embryonic muscle development, myoblasts proliferate and undergo differentiation, a multistep process which requires cell cycle withdrawal, initiation of a muscle specific gene transcriptional program, differentiation into fusion competent myoblasts, and ultimately cell-to-cell fusion to form nascent multinucleated myotubes that mature to form contractile muscle fibers. We have identified a novel signaling cascade, that is easily controlled by a small molecule inhibitor, leading to faster and more robust in vitro muscle formation than can be achieved with the conventional differentiation medium. This occurs through the induction of synchronous differentiation and ultimately enhanced cell-to-cell fusion of the muscle progenitor cells. The discovery of a signaling cascade which enhances myoblast fusion draws parallels to the needs of the newly established and ever-growing field of cultured meat, which builds upon the techniques used for decades in the in vitro study of myogenesis. The cultured meat industry is actively seeking ways to increase production efficiency in order to reach price-parity with the current meat industry. Therefore, taking advantage of processes that can speed up and enhance efficiency of myoblast fusion would facilitate this achievement. The goals of the PoC project are to improve the maturity of our idea by bringing it to higher TRLs (Technology Readiness Levels), implement a pre-commercial prototype of the proposed product and explore its commercialization potential.</t>
  </si>
  <si>
    <t xml:space="preserve">https://cordis.europa.eu/project/id/101069100</t>
  </si>
  <si>
    <t xml:space="preserve">grant.12941558</t>
  </si>
  <si>
    <t xml:space="preserve">Weizmann Institute of Science</t>
  </si>
  <si>
    <t xml:space="preserve">Rehovot</t>
  </si>
  <si>
    <t xml:space="preserve">2022-04-01</t>
  </si>
  <si>
    <t xml:space="preserve">Innovative solutions for cultured meat: New routes to obtaining growth factors</t>
  </si>
  <si>
    <t xml:space="preserve">Soluciones innovadoras para la carne cultivada: Nuevas rutas de obtención de factores de crecimiento</t>
  </si>
  <si>
    <t xml:space="preserve">grant.14874221</t>
  </si>
  <si>
    <t xml:space="preserve">IBÖ-07: Meat-Reactor - Development of an innovative bioreactor for the production of in-vitro meat</t>
  </si>
  <si>
    <t xml:space="preserve">IBÖ-07: Meat-Reactor - Entwicklung eines innovativen Bioreaktors für die Herstellung von in-vitro Fleisch</t>
  </si>
  <si>
    <t xml:space="preserve">https://foerderportal.bund.de/foekat/jsp/SucheAction.do?actionMode=view&amp;fkz=031B1033</t>
  </si>
  <si>
    <t xml:space="preserve">grant.9462988</t>
  </si>
  <si>
    <t xml:space="preserve">Munich</t>
  </si>
  <si>
    <t xml:space="preserve">2020-10-01</t>
  </si>
  <si>
    <t xml:space="preserve">Feeding Future Generations Sustainably: Legal Challenges and Scientific Innovation</t>
  </si>
  <si>
    <t xml:space="preserve">FeedInn Module aims to promote teaching and research activities on the challenges posed to food law by scientific and technological innovation in the agri-food sector, moving from the awareness that food innovation (e.g. cultured meat) could play a crucial role in ensuring food safety and food security, as well as sustainable food systems for future generations.
The module introduces the first multidisciplinary course on this topic, intersecting public law, nutritional and food/feed science. The Team comprises 2 Constitutional lawyers, 1 Comparative lawyer, 2 European Union lawyers, 3 Animal Nutrition and Feeding scientists and 2 Biotechnologists.
The research activity will assess the relationship between science and law in the face of food innovation’s challenges, focusing on open issues such as New Genomic Techniques and Novel Foods. The results are going to be collected in individual publications in peer-reviewed journals and books, and in a co-edited collective book. 
Academic events, open to the participation of civil society, include a series of 15 seminars that will deal with specific aspects of legal and scientific issues related to innovation in the food sector, and a final Conference. The seminars will often involve external experts that will be invited by the staff members and will contribute to communication and dissemination activities.</t>
  </si>
  <si>
    <t xml:space="preserve">https://ec.europa.eu/info/funding-tenders/opportunities/portal/screen/opportunities/projects-details/43353764/101126873/ERASMUS2027</t>
  </si>
  <si>
    <t xml:space="preserve">grant.13702701</t>
  </si>
  <si>
    <t xml:space="preserve">University of Milan</t>
  </si>
  <si>
    <t xml:space="preserve">Milan</t>
  </si>
  <si>
    <t xml:space="preserve">Erasmus+ (ERASMUS+) (Programme)</t>
  </si>
  <si>
    <t xml:space="preserve">Development of a human skeletal muscle based mechanobiological screening platform</t>
  </si>
  <si>
    <t xml:space="preserve">Tissue engineering of skeletal muscle is a quicklydeveloping field with applications in drug screening, understanding etiology of disease, regenerative medicine and cultured meat. Nevertheless, the field is still in its infancy with one of the mainissues a limited set of tools to assess in a medium- to high-throughput fashion musclebiomechanicalcharacteristics. Characterization of the mechanical properties of tissue-engineered muscle providesessential feedback for thefurther development ofthese tissues, including interaction with non-muscle cell types, effectof extracellular matrix composition, effects of media composition etc. Therefore, the purpose is todevelop a state-of-the-arttesting platformdedicated to tissue-engineered muscle characterization. Several methods for visco-elastic characterization have been described already, but variationsin the methodology impede comparison. In our case, we will develop a system thatmeasures tensile characteristics based on displacement of attachment sites as measured by video-analysis and/or integrated electronics. A complete workflow for visco-elastic measurements of tissue- engineered muscle will be optimized. Therefore, thework will also focus on the analysis, interpretation and visualization of measured data and this will happenin a multidisciplinary setting in interaction with biological developments where aspects ofthe tissue-engineering procedure itself and downstream applications are developed. Additionally, aftertissue engineering, skeletal muscle are immatureand ways to stimulate maturation on a similarscale are currently inexistent. We will investigate the integration of electromechanical stimulationin the above setup. This research is at theintersection of the biomedical and engineering field. Therefore, this research will be carried outas a joint PhD between KULeuven and Ecole Centrale(Lille, France).</t>
  </si>
  <si>
    <t xml:space="preserve">https://www.belspo.be/belspo/invent/dproj.asp?l=en&amp;inst=KU Leuven&amp;code=e384d7e0-07c9-4eb3-ac9e-dd11501adfcf&amp;hi=*</t>
  </si>
  <si>
    <t xml:space="preserve">grant.14065230</t>
  </si>
  <si>
    <t xml:space="preserve">2021-01-26</t>
  </si>
  <si>
    <t xml:space="preserve">A novel support material for 3D bioprinting and post-printing tissue growth: Print and Grow</t>
  </si>
  <si>
    <t xml:space="preserve">"Three-dimensional (3D) bioprinting holds great promise for tissue engineering, with extrusion bioprinting in suspended hydrogels becoming the leading bioprinting technique in recent years. In this method, living cells are incorporated within bioinks, extruded layer by layer into a granular support material and undergo gelation through diverse cross-linking mechanisms. It offers high fidelity and precise fabrication of complex structures based on the living tissue properties, however the transition of cell mass mixed with the bioink into functional native-like tissue requires post-printing cultivation in vitro. An often-overlooked drawback of 3D bioprinting is the non-uniform shrinkage and deformation of printed constructs during the post-printing tissue maturation period. This leads to highly-variable and unpredictable engineered constructs, posing a challenge for the technology to meet applicative requirements. 
We propose to develop a novel technology of ""Print and Grow"", 3D bioprinting into a specially designed microgel aimed to enhance the long-term structural stability of the printed objects by providing structural support and a possibility for live monitoring during tissue maturation. Our preliminary testing of the Print and Grow method demonstrated accurate bioprinting with high tissue viability while preserving the construct shape and size, unlike current state of the art approaches. We aim to optimize the support material properties and develop scalable and reproducible fabrication techniques. We also plan to test the Print and Grow for a wide range of tissue types and adjust the microgel according to specific tissue requirements. Finally, we will study the in vivo transplantation possibility of the tissue generated through the Print and Grow process. The results of our proof of concept project may lead to emergence of universal and user-friendly 3D bioprinting technology for regenerative medicine, drug discovery and cultured meat industry."</t>
  </si>
  <si>
    <t xml:space="preserve">https://cordis.europa.eu/project/id/101069174</t>
  </si>
  <si>
    <t xml:space="preserve">grant.12941671</t>
  </si>
  <si>
    <t xml:space="preserve">Technion – Israel Institute of Technology</t>
  </si>
  <si>
    <t xml:space="preserve">Haifa</t>
  </si>
  <si>
    <t xml:space="preserve">2022-06-01</t>
  </si>
  <si>
    <t xml:space="preserve">Whole-cut cell-based fish fillet production by cellular agriculture strategies</t>
  </si>
  <si>
    <t xml:space="preserve">grant.13266041</t>
  </si>
  <si>
    <t xml:space="preserve">Diana Maria Condeço Marques</t>
  </si>
  <si>
    <t xml:space="preserve">Engineering of nature-mimetic sub-micron crystalline protein depots to incorporate high cargo densities</t>
  </si>
  <si>
    <t xml:space="preserve">Purified recombinant proteins are widely used in research, medicine, and industry. Cytokines, hormones and antibodies have been important in reshaping the field of medicine over the last half-century. How these proteins are manufactured, stored and delivered to their site of action (e.g. diseased tissue) is fundamental to their utility.
We have developed PODS, a nature-mimetic technology, that adds value to all aspects of a recombinant protein's life cycle. PODS are sub-micron scale cubic protein co-crystals (containing a cargo protein) produced in insect cells. PODS utilizes an innovative manufacturing technology, based on a process that naturally occurs in silkworms, to produce bioactive proteins incorporated into sub-micron scale protective crystals (made of a bio-inert polyhedrin protein). The crystals greatly simplify the purification of the recombinant protein, as they are physically distinct from other components of the production cell. Storage instability is addressed as cargo proteins are stabilized within the crystal lattice and have high levels of stability over many months, even at elevated temperatures in aqueous suspension. Finally, following administration, at the site of action, the crystals are degraded by proteases providing a matrix-degradation dissolution-based cargo release system. This provides sustained release of the soluble cargo protein over a one-month period.
We have developed PODS for research and therapeutic applications, primarily for localized sustained release of cytokines. Most recently, we have demonstrated that PODS are able to harness phagocytic immune cells, such as monocytes, neutrophils and macrophages, to target the delivery of immunostimulatory cytokine proteins to cancer.
We plan to extend this delivery approach to other protein classes, particularly peptides and small antibodies, known as nanobodies. However, the packaging efficiency of cargo proteins into PODS, constituting around 1% of the total protein, is a limitation: Whilst this is sufficient for delivering highly potent proteins such as cytokines, other protein classes, such as antibodies and anti-microbial peptides, require higher loading efficiency. In addition to therapeutic applications, there are industrial applications of PODS, such as the biomanufacturing of cultured meat, in which cost reductions enabled by increased cargo density would be highly advantageous.
The project will focus on the bioengineering of PODS to generate a novel PODS architecture with increased cargo density. Two independent strategies will be assessed to create PODS that have a higher cargo protein loading capacity. These PODS will be tested in a range of assays to assess cargo packing density, release profile and bioactivity.</t>
  </si>
  <si>
    <t xml:space="preserve">https://gtr.ukri.org/projects?ref=10086682</t>
  </si>
  <si>
    <t xml:space="preserve">grant.14682662</t>
  </si>
  <si>
    <t xml:space="preserve">Cell Guidance Systems (United Kingdom); Rosalind Franklin Institute</t>
  </si>
  <si>
    <t xml:space="preserve">Cambridge; Harwell</t>
  </si>
  <si>
    <t xml:space="preserve">Advanced Cellular Hierarchical Tissue-Imitations based on Excluded Volume Effect</t>
  </si>
  <si>
    <t xml:space="preserve">ACHIEVE focuses on the application of Excluded Volume Effect in cell culture systems in order to enhance Extracellular Matrix (ECM) deposition. It represents a new horizon in in vitro cell culture which will address major challenges in medical advancement and food security. ACHIEVE will elucidate extracellular processes which occur during tissue generation, identifying favourable conditions for optimum tissue cultivation in vitro. These results will be applied in the diverse fields of regenerative medicine, drug discovery and cellular agriculture which all require advancements in in vitro tissue engineering to overcome current bottlenecks. Effective in vitro tissue culture is currently limited by lengthy culture periods. An inability to maintain physiologic (in vivo) conditions during this lengthy in vitro culture leads to cellular phenotype drift, ultimately resulting in generation of an undesired tissue.  Enhanced tissue generation in vitro will greatly reduce culture times and costs, effecting improved in vitro tissue substitutes which remain true to their original phenotype. The research will be addressed under four work-packages. WP1 will investigate biochemical, biophysical and biological responses to varying culture conditions; WP 2, 3 and 4 will apply results in the fields of Tissue Engineering, Drug Discovery and Cellular Agriculture respectively. Research will involve extensive characterisation of derived- and stem-cell cultures in varying conditions of expansion and relevant health and safety and preclinical testing. The five year programme will be undertaken at the National University of Ireland, Galway, a centre of excellence in tissue engineering research, at a cost of 2,439,270.</t>
  </si>
  <si>
    <t xml:space="preserve">https://cordis.europa.eu/project/id/866126</t>
  </si>
  <si>
    <t xml:space="preserve">grant.9244457</t>
  </si>
  <si>
    <t xml:space="preserve">Dimitrios ZEVGOLIS</t>
  </si>
  <si>
    <t xml:space="preserve">University College Dublin; University of Galway</t>
  </si>
  <si>
    <t xml:space="preserve">Dublin; Galway</t>
  </si>
  <si>
    <t xml:space="preserve">Protein Transition 2.0</t>
  </si>
  <si>
    <t xml:space="preserve">Cellular agriculture, and single-cell proteins are part of a major revolution that will allow us to meet future food protein needs very efficiently and with high sensorial and nutritional quality, while requiring hardly any agricultural land. However, not much is known about the scalability and challenges of these novel ingredients, so the basis for future investment decisions is unclear. A multidisciplinary team of researchers will explore the potential of these new protein sources together with companies and stakeholders, using existing raw material from start-up companies involved in producing A) tissue engineered milk, B) precision fermentation derived milk proteins and C) single cell proteins (biomass). For application impact, we explore the bottlenecks that currently hinder affordable large-scale production: protein quality, mild downstream processing, scalability, and application, EU legislation, and safety. From a scientific perspective, we will decipher structure-function relationships of milk proteoforms, expanding our understanding of how nature combines proteins. In the short-term, our project will develop technologies and knowledge to translate the novel proteins into food prototypes. In this way, we will illustrate the potential of these proteins for any (food) product in the long-term, provide evidence on the resource efficiency, sustainability potential, and safety of different fermentation approaches, and thus facilitate the valorization of knowledge by users. This scientific and societal revolution urgently needs the proposed research to achieve a technological breakthrough for cellular agriculture in Europe. The Netherlands can position itself at the forefront of the Protein Transition 2.0 and benefit from the positive economic impact.</t>
  </si>
  <si>
    <t xml:space="preserve">https://europepmc.org/grantfinder/grantdetails?query=gid%3A"KICH1.ST01.20.013"</t>
  </si>
  <si>
    <t xml:space="preserve">grant.14756471</t>
  </si>
  <si>
    <t xml:space="preserve">J. Keppler</t>
  </si>
  <si>
    <t xml:space="preserve">KIC - MISSIE Sleuteltechnologieën 2020 (Program)</t>
  </si>
  <si>
    <t xml:space="preserve">3D Cell Scaffolds for Clean Meat Cultivation</t>
  </si>
  <si>
    <t xml:space="preserve">Conventional farming of animal-based protein has a heavy impact on sustainability, including greenhouse gas emissions combined with heavy land and water use. Apart from these ecological burdens, intensified livestock farming has severe consequences for the biodiversity and results in an alarming increase of zoonotic diseases. As an exciting alternative, cellular agriculture has emerged from tissue engineering, and has the potential to feed our planet with animal-based proteins with a fraction of the currently used resources and environmental risks.However, the ecosystem is being challenged to produce anything beyond processed products (minced meat, fish balls). Whole-cut meat or fish filets cannot be produced yet because they need highly porous structures, so-called scaffolds, to support the animal cells to grow and arrange into the fibrous structure of meat and fish. Unfortunately, currently available scaffolds are limited to random pore structures with poor nutrient transport capabilities and cell seeding efficiencies, which inevitably result in cell necrosis at the center of scaffolds. At ETH Zürich, we have developed the tools to realize novel scaffolds based on an indirect additive manufacturing approach. By combining a widely established salt-leaching protocol with additive manufacturing, our scaffolds can be fabricated from an incredible range of materials with absolute control of pore size, geometry, and overall porosity. This gives us the freedom to tune the scaffolds precisely to the needs of cellular agriculture companies, to maximize tissue growth across large cross-sections.Within the framework of this BRIDGE PoC, we worked on three work packages to drive all key areas of a successful start-up: technology, scale-up and business. To achieve our goals, we focused on preparing our scaffolds from bio-based, edible materials. The scaffolds were tested by C2C12 cells to learn about the influence of scaffold material and geometry on mechanical integrity and material-cell interaction. For the scale-up, major advancements were made to reach a production capacity of 100 cm^2/day/FTE with a single printer. Finally, we incorporateed the start-up sallea as an AG and raised successfully a pre-seed round of 2.2M CHF.Thanks to the BRIDGE PoC, we were able to make great progress in technology (WP1), scale-up (WP2) and business (WP3). The project allowed us to move from TRL 3 to TRL 5 on our scaffold technology, incorporate the ETH spin-off sallea AG and redefine our strategy in two major pillars. The BRIDGE PoC has, therefore, been an integral part of the successful launch of our deep-tech venture.</t>
  </si>
  <si>
    <t xml:space="preserve">https://data.snf.ch/grants/grant/216850</t>
  </si>
  <si>
    <t xml:space="preserve">grant.13253508</t>
  </si>
  <si>
    <t xml:space="preserve">Nicole Suzanne Kleger, Droux Anouk, Lucas Catellani, Nicole Suzanne Kleger</t>
  </si>
  <si>
    <t xml:space="preserve">Stabilized growth factors as a key to alternative protein production success</t>
  </si>
  <si>
    <t xml:space="preserve">The goal of the project is the design, development and commercial application of new versions of growth factors PDGF-B, VEGF-A165 and TGF-β3 with improved properties - pH stability, temperature stability, lower tendency to precipitate, increased yield from fermentation or improved biological activity. These individual improvements or their combination. These improvements will allow us to serve both the meat culture and stem cell culture markets with a sperm product that will increase performance and reduce the cost of the final culture medium.  An obligatory output is defined as one improved growth factor which, due to its properties, will be suitable for use in culture media to ensure the proliferation of cell lines both in the field of research and in the field of alternative protein sources. As the goals of the project Stabilized growth factors as the key to the success of alternative protein production, we have selected three molecules that are routinely applied in cell biology to ensure the correct behavior of the target cell culture, more precisely, it is a platelet derived growth factor-B, hereinafter PDGF- BB), vascular-endothelial growth factor, variant A 165 (vascular-endothelial growth factor, VEGF-A165, also referred to as general VEGF) and transforming growth factor β3 variant (transforming growth factor-β3, TGF-β3). These three molecules are united by the possibility of their application in nutrient media and sub-optimal stability, which limits their use on a larger scale. It has already been mentioned that the low operational stability of growth factors used in cellular agriculture is the main limiting factor for achieving industrial parameters. Therefore, we want to develop at least one version of the improved growth factor to exhibit improved operational parameters. This research and development project will be based on rational protein engineering.</t>
  </si>
  <si>
    <t xml:space="preserve">https://backup.isvavai.cz/cep?s=jednoduche-vyhledavani&amp;ss=detail&amp;h=EI22_002%2F0000875</t>
  </si>
  <si>
    <t xml:space="preserve">grant.14480164</t>
  </si>
  <si>
    <t xml:space="preserve">Marek Atanasčev</t>
  </si>
  <si>
    <t xml:space="preserve">Enantis (Czechia)</t>
  </si>
  <si>
    <t xml:space="preserve">Brno</t>
  </si>
  <si>
    <t xml:space="preserve">2024-01-07</t>
  </si>
  <si>
    <t xml:space="preserve">Ministry of Industry and Trade</t>
  </si>
  <si>
    <t xml:space="preserve">Cílem projektu je návrh, vývoj a komerční uplatnění nových verzí růstových faktorů PDGF-B, VEGF-A165 a TGF-β3 s vylepšenými vlastnostmi - pH stabilita, teplotní stabilita, nižší tendence se srážet, zvýšený výtěžek z fermentací či vylepšená biologická aktivita. Tato jednotlivá vylepšní či jejich kombinace . Tato vylepšení nám umožní obsluhovat jak trh kultivace masa, tak kultivace kmenových buněk s prémiovým produktem, který zvýší výkonnost a sníží cenu finálního živného média.  Povinný výstup je definován jako jeden vylepšený růstový faktor, který bude díky svým vlastnostem vhodný pro použití v kultivačních médiích pro zajištění proliferace buněčných linií jak v oblasti výzkumu, tak v oblasti alternativních zdrojů bílkovin. Jakožto cíle projektu Stabilizované růstové faktory jako klíč k úspěchu alternativní výroby bílkovin jsme vybrali tři molekuly, které jsou rutinně aplikovány v buněčné biologii pro zajištění správného chování cílové buněčné kultury, přesněji jde o destičkový růstový faktor (Platelet derived growth factor-B, dále PDGF-BB), vaskulární endoteliální růstový faktor, variantu A 165 (vascular-endothelial growth factor, VEGF-A165, také označován jako obecný VEGF) a transformační růstový faktor variantu β3 (transforming growth factor-β3, TGF-β3). Tyto tři molekuly spojuje možnost jejich aplikace v živných médiích a sub-optimální stabilita, která limituje jejich použití ve větším měřítku. Už bylo zmíněno, že nízká operační stabilita růstových faktorů využívaných v buněčném zemědělství je hlavním limitujícím faktorem pro dosažení industriálních parametrů. Proto chceme vyvinout nejméně jednu verzi vylepšeného růstového faktoru tak, aby vykazoval zlepšené operační parametry. Tento výzkumně-vývojový projekt bude založen na racionálním proteinovém inženýrství.</t>
  </si>
  <si>
    <t xml:space="preserve">FermLAB: Fermentation of Plant-based milk alternatives by Lactic Acid Bacteria</t>
  </si>
  <si>
    <t xml:space="preserve">https://research.ie/assets/uploads/2023/09/GOI-Awardee-list-2023.pdf</t>
  </si>
  <si>
    <t xml:space="preserve">grant.13735589</t>
  </si>
  <si>
    <t xml:space="preserve">Katherine Lavelle</t>
  </si>
  <si>
    <t xml:space="preserve">Cork</t>
  </si>
  <si>
    <t xml:space="preserve">Irish Research Council</t>
  </si>
  <si>
    <t xml:space="preserve">Postdoctoral Fellowship Programme (Award); Early Career (Award Category)</t>
  </si>
  <si>
    <t xml:space="preserve">Delivery of algae oil into vegan milk through novel O/W emulsions (nano-emulsion and Pickering emulsion) stabilized with seaweed peptides</t>
  </si>
  <si>
    <t xml:space="preserve">Health benefits of oils rich in polyunsaturated fatty acids, such as algae oil, have surged researchers to find efficient ways to deliver these oxidation-prone oils into food products. One of the hottest areas in this regard is the incorporation of the oils in oil-in-water emulsions; however, the emulsions are physically and oxidatively unstable upon storage, leading to quality deterioration in the final product. The present study is thus an attempt to stabilize these delivery systems by reducing droplet sizes and forming the so-called nano-emulsions as well as taking such measures as the encapsulation of the oil and incorporation of antioxidant peptides from seaweeds. Another state-of-the-art measure is the use of bioactive peptides purified from seaweed in a complex with a cationic surfactant as Pickering particles to form stable PUFA-rich oil delivery systems. The emulsions, either in encapsulated or non-capsulated forms, will then be introduced into oat milk to produce marine oil-enriched vegan food. A unique characteristic of this research is that bioactive agents will be purified from Palmaria palmata, a seaweed found in Denmark, which can contribute to attaining sustainable development in food technology. In this sense, one of the most restricting obstacles to using natural peptides is their bitterness; the present study tries to reduce or ideally remove bitterness by electrospraying the emulsions containing these peptides. This interdisciplinary research will pave the way for prospective researchers to consider the possibility of delivering healthy oil into vegan societies’ food baskets through efficient means in a way that taste and odour of the final products are not sacrificed for this purpose. The gained expertise in the present project will provide great job opportunities for the applicant because an ever-increasing number of food producers are seeking experts in the field of reducing lipid oxidation in their products and producing enriched vegan foods.</t>
  </si>
  <si>
    <t xml:space="preserve">https://cordis.europa.eu/project/id/101106112</t>
  </si>
  <si>
    <t xml:space="preserve">grant.13717616</t>
  </si>
  <si>
    <t xml:space="preserve">Technical University of Denmark</t>
  </si>
  <si>
    <t xml:space="preserve">Kongens Lyngby</t>
  </si>
  <si>
    <t xml:space="preserve">2023-11-01</t>
  </si>
  <si>
    <t xml:space="preserve">Vegetable drink based on oats Avena sativa, enriched with triple chelate complexes of the essential microelement iron with vitamin B9 and essential amino acids, for the prevention of iron deficiency and iron deficiency anemia</t>
  </si>
  <si>
    <t xml:space="preserve">Macro- and microelements are necessary for most biological processes in the human body. More than two billion people worldwide are deficient in iron, zinc, iodine, vitamin D and folic acid. Deficiency of macro- and microelements affects the physical and mental health of children and adults, and also causes the development of a number of nutrition-dependent diseases (iron deficiency anemia, Beriberi disease, rickets, etc.). It is important to note that iron deficiency is the most common worldwide and also causes the development of iron deficiency anemia.
One of the main strategies to solve the problem of iron deficiency and iron deficiency anemia is to fortify foods with iron-containing compounds. It is important to note that in order to increase the effectiveness of the prevention of iron deficiency and iron deficiency anemia, food fortification must be carried out with bioavailable forms of the essential trace element iron. The bioavailability of iron is increased by various substances, in particular by folic acid. Also, when enriching with iron-containing complexes, it is necessary to take into account the prevalence of food products among the population. Non-dairy products of plant origin, which include oat milk, soy milk, etc., have become widely popular among the world's population over the past ten years. In connection with the above, the objective of the project within the framework of the problem is to develop non-dairy products of plant origin, in particular “oat milk”, enriched with bioavailable forms of the essential trace element iron, which can be used to prevent iron deficiency and iron deficiency anemia.
Project implementation plan:
1) Development of a method for the synthesis of ternary chelate complexes of the essential microelement iron with vitamin B9 and essential amino acids.
2) Study of the interaction of the essential microelement iron with vitamin B9 and essential amino acids.
3) Study of the optical properties of ternary chelate complexes of the essential microelement iron with vitamin B9 and essential amino acids.
4) Study of the influence of technological parameters (pH, temperature and exposure time) on the stability of ternary chelate complexes of the essential microelement iron with vitamin B9 and essential amino acids.
5) Study of the toxicity of ternary chelate complexes of the essential microelement iron with vitamin B9 and essential amino acids.
6) Development and optimization of a method for producing a plant-based non-dairy drink based on Avena sativa oats.
7) Study of the influence of the concentration of ternary chelate complexes of the essential microelement iron with vitamin B9 and essential amino acids on the stability and physicochemical properties of the components of the dispersed phase of the dairy vegetable non-dairy drink based on Avena sativa oats.
8) Study of the composition, physicochemical and organoleptic properties of a vegetable non-dairy drink based on Avena sativa oats, enriched with triple chelate complexes of the essential microelement iron with vitamin B9 and essential amino acids.
9) Evaluation of the effectiveness of a vegetable non-dairy drink based on Avena sativa oats, enriched with triple chelate complexes of the essential microelement iron with vitamin B9 and essential amino acids, for iron deficiency and iron deficiency anemia in laboratory animals.</t>
  </si>
  <si>
    <t xml:space="preserve">http://www.rscf.ru/en/enprjcard?rid=25-26-00163</t>
  </si>
  <si>
    <t xml:space="preserve">grant.14704264</t>
  </si>
  <si>
    <t xml:space="preserve">Aleksey Gvozdenko</t>
  </si>
  <si>
    <t xml:space="preserve">North-Caucasus Federal University</t>
  </si>
  <si>
    <t xml:space="preserve">Stavropol</t>
  </si>
  <si>
    <t xml:space="preserve">Fouling during heating of plant-based milk alternatives - mechanisms, kinetics and online detection to validate the cleaning success</t>
  </si>
  <si>
    <t xml:space="preserve">Fouling during heating of plant-based milk alternatives - mechanisms, kinetics and online detection for validation of cleaning success
</t>
  </si>
  <si>
    <t xml:space="preserve">Fouling beim Erhitzen pflanzlicher Milchalternativen - Mechanismen, Kinetik sowie online Detektion zur Validierung des Reinigungserfolgs</t>
  </si>
  <si>
    <t xml:space="preserve">https://foerderportal.bund.de/foekat/jsp/SucheAction.do?actionMode=view&amp;fkz=01IF23335N</t>
  </si>
  <si>
    <t xml:space="preserve">grant.14101874</t>
  </si>
  <si>
    <t xml:space="preserve">A new generation of milk drinks and their alternatives with a controlled start of fermentation</t>
  </si>
  <si>
    <t xml:space="preserve">The outcome of the project will be completely unique functional fermented beverages using a system of modified probiotic cultures, which have a positive effect on health. The product will consist of milk (or a plant-based milk alternative) and a part consisting of modified probiotic cultures. The two components will be separated and, when used, the probiotics will be aseptically incorporated into the milk component (or milk alternative, as appropriate) by simple manipulation, thus starting the fermentation process.</t>
  </si>
  <si>
    <t xml:space="preserve">https://backup.isvavai.cz/cep?s=jednoduche-vyhledavani&amp;ss=detail&amp;h=EI22_002%2F0000679</t>
  </si>
  <si>
    <t xml:space="preserve">grant.14081836</t>
  </si>
  <si>
    <t xml:space="preserve">Petr Ryšávka</t>
  </si>
  <si>
    <t xml:space="preserve">Výstupem projektu budou zcela unikátní funkční fermentované nápoje využívající systém upravených probiotických kultur, které ve výsledku příznivě ovlivňují zdraví. Produkt se bude skládat z mléka (popřípadě rostlinné alternativy mléka) a části sestávající se z upravených probiotických kultur. Obě složky budou oddělené a při použití dojde jednoduchou manipulací k aseptickému vsypání probiotik do mléčné složky (popřípadě alternativy mléka), čímž dojde k nastartování fermentačního procesu.</t>
  </si>
  <si>
    <t xml:space="preserve">Climate friendly replacement of palm tree oil</t>
  </si>
  <si>
    <t xml:space="preserve">Purpose and goal: 
The purpose of the project was to start a commercialization of the concept "power-to-food" on which our technology is based. The technology can be used to produce climate-friendly oil or fat to replace unsustainably grown palm oil and other tropical fats - and also fat from milk. Our technology enables a sustainable production of oil and fat that relieves several planetary boundaries since we do not use arable land, no fertilizer and no pesticides. 
Through the project, we have developed the business model, verified customer needs and begun work on scaling up the process. 
Expected results and effects: 
We have worked with both customer understanding and process development. We have had a discussions with potential customers. We have been able to carve out our customer base and link these to us for the next step in the development as we will co-create products with these customers. Some concrete results of the project are the following: 
Investment and accelerator participation in Big Ideas Venture. 
Letter of Intents/Interest from three different sectors: vegan cheese, confectionery and pastries/bread, and specialty oils. 
Clear way forward in the continued process development. 
Approach and implementation: 
We had two clear needs and activities linked to the project: customer needs and process development. We have worked intensively with both needs. We have spent a lot of time in discussions with customers and potential partners to understand their needs and who we need to partner with. This responsive approach has been successful and has given us a clear roadmap going forward. The next step includes upscaling the process and getting our product into consumer products, especially vegan cheese and confectionery/bread to replace both dairy products and palm oil in these product groups.</t>
  </si>
  <si>
    <t xml:space="preserve">https://www.vr.se/swecris.html#/project/2021-00051_Vinnova</t>
  </si>
  <si>
    <t xml:space="preserve">grant.9731229</t>
  </si>
  <si>
    <t xml:space="preserve">Annette Graneli</t>
  </si>
  <si>
    <t xml:space="preserve">2021-05-03</t>
  </si>
  <si>
    <t xml:space="preserve">10405:Organisk kemi, Organic Chemistry (SCB); 104:Kemi, Chemical Sciences (SCB); 1:Naturvetenskap, Natural Sciences (SCB)</t>
  </si>
  <si>
    <t xml:space="preserve">Understanding protein-starch interactions to improve the melting behavior of vegan cheese</t>
  </si>
  <si>
    <t xml:space="preserve">Understanding the interactions of proteins and starches to improve the melting behavior of vegan cheese</t>
  </si>
  <si>
    <t xml:space="preserve">Verständnis der Wechselwirkungen von Proteinen und Stärken zur Verbesserung des Schmelzverhaltens von veganem Käse</t>
  </si>
  <si>
    <t xml:space="preserve">https://foerderportal.bund.de/foekat/jsp/SucheAction.do?actionMode=view&amp;fkz=01IF00372C</t>
  </si>
  <si>
    <t xml:space="preserve">grant.13983858</t>
  </si>
  <si>
    <t xml:space="preserve">Basidiomycete-mediated fermentation of plant raw materials and side streams for the production of cheese flavours and vegan cheese alternatives</t>
  </si>
  <si>
    <t xml:space="preserve">Basidiomycete-mediated fermentation of plant raw materials and side streams for the production of cheese flavors and vegan cheese alternatives</t>
  </si>
  <si>
    <t xml:space="preserve">Basidiomyceten-vermittelte Fermentation pflanzlicher Rohstoffe und Nebenströme zur Herstellung von Käsearomen und veganer Käsealternativen</t>
  </si>
  <si>
    <t xml:space="preserve">https://foerderportal.bund.de/foekat/jsp/SucheAction.do?actionMode=view&amp;fkz=01IF23315N</t>
  </si>
  <si>
    <t xml:space="preserve">grant.14031762</t>
  </si>
  <si>
    <t xml:space="preserve">WE! - Plant³ - Improving the profitability of lupine cultivation and processing methods in the north-eastern Mecklenburg-West Pomerania region, TP2: Research and development of a method for processing vegetable protein concentrate into vegan cheese</t>
  </si>
  <si>
    <t xml:space="preserve">WE! - Plant³ - Improving the profitability of lupin cultivation and processing methods in the northeastern Mecklenburg-Western Pomerania region, TP2: Research and development of a process for processing plant protein concentrate into vegan cheese</t>
  </si>
  <si>
    <t xml:space="preserve">WIR! - Plant³ - Verbesserung der Rentabilität des Lupinen-Anbaus und der Verarbeitungsverfahren in der Region nordöstliches Mecklenburg-Vorpommern, TP2: Forschung und Entwicklung eines Verfahrens zur Verarbeitung pflanzlichen Proteinkonzentrats zu veganem Käse</t>
  </si>
  <si>
    <t xml:space="preserve">https://foerderportal.bund.de/foekat/jsp/SucheAction.do?actionMode=view&amp;fkz=03WIR2215B</t>
  </si>
  <si>
    <t xml:space="preserve">grant.13047479</t>
  </si>
  <si>
    <t xml:space="preserve">FH-Impuls 2016 I: Sustainable non-dairy milk production - holistic raw material utilization through adaptive AI-supported control (FoodProduction40)</t>
  </si>
  <si>
    <t xml:space="preserve">FH-Impuls 2016 I: Sustainable non-dairy milk production – holistic raw material utilization through adaptive AI-supported control (FoodProduction40)</t>
  </si>
  <si>
    <t xml:space="preserve">FH-Impuls 2016 I: Sustainable non-dairy milk production - ganzheitliche Rohstoffverwertung durch adaptive KI-gestützte Steuerung (FoodProduction40)</t>
  </si>
  <si>
    <t xml:space="preserve">https://foerderportal.bund.de/foekat/jsp/SucheAction.do?actionMode=view&amp;fkz=13FH3I09IA</t>
  </si>
  <si>
    <t xml:space="preserve">grant.13549621</t>
  </si>
  <si>
    <t xml:space="preserve">Ostwestfalen-Lippe University of Applied Sciences and Arts</t>
  </si>
  <si>
    <t xml:space="preserve">Lemgo</t>
  </si>
  <si>
    <t xml:space="preserve">KMU-innovativ -KMUi-BÖ05: BioEggFlavor - Biomimetic formation of aroma and taste in vegan egg products</t>
  </si>
  <si>
    <t xml:space="preserve">KMU-innovativ -KMUi-BÖ05: BioEggFlavor - Biomimetic formation of aroma and flavor in vegan egg products</t>
  </si>
  <si>
    <t xml:space="preserve">KMU-innovativ -KMUi-BÖ05: BioEggFlavor - Biomimetische Bildung von Aroma und Geschmack in veganen Ei-Produkten</t>
  </si>
  <si>
    <t xml:space="preserve">https://foerderportal.bund.de/foekat/jsp/SucheAction.do?actionMode=view&amp;fkz=031B1397B</t>
  </si>
  <si>
    <t xml:space="preserve">grant.13685737</t>
  </si>
  <si>
    <t xml:space="preserve">https://foerderportal.bund.de/foekat/jsp/SucheAction.do?actionMode=view&amp;fkz=031B1397C</t>
  </si>
  <si>
    <t xml:space="preserve">grant.13685738</t>
  </si>
  <si>
    <t xml:space="preserve">https://foerderportal.bund.de/foekat/jsp/SucheAction.do?actionMode=view&amp;fkz=031B1397A</t>
  </si>
  <si>
    <t xml:space="preserve">grant.13685736</t>
  </si>
  <si>
    <t xml:space="preserve">New Path Bio GmbH</t>
  </si>
  <si>
    <t xml:space="preserve">A new route for mild refining of pulses for protein functionality improvement and less environmental impact</t>
  </si>
  <si>
    <t xml:space="preserve">This project aims to develop a protein-rich preparation from pulses combined with air-classified powdered protein concentrates for manufacturing plant-based meat and dairy substitutes with minimal processing and a sustainable value chain.</t>
  </si>
  <si>
    <t xml:space="preserve">https://www.aramis.admin.ch/Grunddaten/?ProjectID=52263&amp;Sprache=en-US</t>
  </si>
  <si>
    <t xml:space="preserve">grant.13274038</t>
  </si>
  <si>
    <t xml:space="preserve">2023-04-01</t>
  </si>
  <si>
    <t xml:space="preserve">Verification of membrane technology for plant-based dairy</t>
  </si>
  <si>
    <t xml:space="preserve">The Green Dairy produces plant-based dairy products for the global market. The market for these products is steadily growing, while demands for sustainability and product quality increase. In traditional dairy, membranes are used for energy-efficient concentration and fractionation. We want to introduce this technology for plant-based dairy, with a focus on raw material from fava beans.
In this project, the product is both a more sustainable process and a series of plant-based products which, due to the more efficient process, become more sustainable with higher quality. The project includes expertise from academia, a company in the field of membrane systems and a customer. The purpose is to verify that membrane technology provides energy efficiency and increased product quality, so that the concept can be licensed to other producers, while the resulting food products become more sustainable.</t>
  </si>
  <si>
    <t xml:space="preserve">https://www.vr.se/swecris.html#/project/P2022-00101_Energi</t>
  </si>
  <si>
    <t xml:space="preserve">grant.13902503</t>
  </si>
  <si>
    <t xml:space="preserve">Development of an oat extract enriched with vitamin B12 as a starting material for the production of milk substitute products (Oat12)</t>
  </si>
  <si>
    <t xml:space="preserve">The aim of the "Oat12" project is to develop and characterize an oat-based starting material enriched with vitamin B12 for the production of milk substitutes with a reduced CO₂ balance. Vitamin B12 describes a group of cobalamins that are essential for the human organism. Vitamin B12 is produced by bacteria and is mainly found in animal products. Studies show that by using propionic acid bacteria cultures, vitamin B12 can be enriched in sourdough and breads made from various grains and pseudo-grains. This innovative approach will be transferred to liquid oat products in which vitamin B12 is enriched through fermentation. Although oats are a valuable food, unfortunately oat drinks do not naturally contain vitamin B12 © Dariia Vasilega, Hannover University of Applied Sciences</t>
  </si>
  <si>
    <t xml:space="preserve">Entwicklung eines Vitamin-B12 angereicherten Haferextrakts als Ausgangsstoff für die Herstellung von Milchersatzprodukten (Oat12)</t>
  </si>
  <si>
    <t xml:space="preserve">https://www.dbu.de/projektdatenbank/39206-01/</t>
  </si>
  <si>
    <t xml:space="preserve">grant.13888745</t>
  </si>
  <si>
    <t xml:space="preserve">Hochschule Hannover</t>
  </si>
  <si>
    <t xml:space="preserve">Hanover</t>
  </si>
  <si>
    <t xml:space="preserve">Ziel des Projekts „Oat12“ ist die Entwicklung und Charakterisierung eines mit Vitamin B12 angereicherten Ausgangsstoffs auf Haferbasis für die Herstellung von Milchersatzprodukten mit reduzierter CO₂-Bilanz. Vitamin B12 beschreibt eine Gruppe von Cobalaminen, welche essenziell für den menschlichen Organismus sind. Vitamin B12 wird von Bakterien gebildet und ist hauptsächlich in tierischen Produkten zu finden. Untersuchungen zeigen, dass durch Einsatz von Propionsäurebakterienkulturen Vitamin B12 in Sauerteigen und Broten aus verschiedenen Getreiden und Pseudo-Getreiden angereichert werden kann. Dieser innovative Ansatz wird im Rahmen dieses Projekts auf flüssige Hafererzeugnisse übertragen, in welchen durch Fermentation Vitamin B12 angereichert wird. Obwohl Hafer ein wertvolles Lebensmittel ist, enthalten Drinks aus Hafer von Natur aus leider kein Vitamin B12 © Dariia Vasilega, Hochschule Hannover</t>
  </si>
  <si>
    <t xml:space="preserve">Exploring the impact of plant-based diets on iodine intake in the UK population</t>
  </si>
  <si>
    <t xml:space="preserve">Following a mostly plant-based diet will significantly reduce iodine intake, which cannot be fully compensated through the consumption of iodine-fortified milk-alternative products.</t>
  </si>
  <si>
    <t xml:space="preserve">https://gtr.ukri.org/projects?ref=studentship-2459093</t>
  </si>
  <si>
    <t xml:space="preserve">grant.9471195</t>
  </si>
  <si>
    <t xml:space="preserve">Sarah Bath, Katie Nicol</t>
  </si>
  <si>
    <t xml:space="preserve">Consumer food purchasing and consumption: Latest trends in Alternative Proteins?</t>
  </si>
  <si>
    <t xml:space="preserve">Kantar used their robust purchasing and consumption datasets to fill evidence gaps on the purchasing and consumption of Alternative Proteins. The report shows the size and the long-term growth for the UK market.. In the year to December 2022, the GB Alternative Proteins market was worth ?1.68b and the market was dominated by Alternatives to Dairy. Alternative Proteins were purchased by a range of socio-demographic groups for various reasons (in general, ?health? is the most important reason).</t>
  </si>
  <si>
    <t xml:space="preserve">https://randd.defra.gov.uk/ProjectDetails?ProjectId=21656</t>
  </si>
  <si>
    <t xml:space="preserve">grant.14486810</t>
  </si>
  <si>
    <t xml:space="preserve">Development of Sustainable Valorization Concept for Okara</t>
  </si>
  <si>
    <t xml:space="preserve">Lead: Okara is a by-product of soy milk and tofu production. In Switzerland, Okara is mainly used as animal feed or anaerobically digested. In Southeast Asian countries, okara often ends up in open landfills where it contributes to greenhouse gas emissions. Okara is high in protein, fiber, lipids, and isoflavones. Previous efforts to valorize okara focused on individual ingredients and their extraction methods to fractionate as high quantities and quality of it as possible. A holistic circular economy concept, which valorizes several ingredients, is still little researched for biogenic waste. Content and aim of the research project:We pursue the following objectives of the project:•Objective 1: Development and optimisation of innovative extraction methods that will give the highest yield of the extract. Target fractions and innovative extraction methods for the food industry include: Protein hydrolysates (enzyme assisted extraction), oil (supercritical carbon dioxide), cellulose nanofibers (mechanical homogenization and grinding).•Objective 2: Develop product prototypes from those extracts to be tested with target users.•Objective 3: Investigate the potential of fractionated okara residues for energy and biofertilizer recovery through anaerobic digestion and composting.•Objective 4: Evaluate the environmental sustainability and economic viability of the valorization processes and products together with local soymilk and tofu producers in Thailand, Indonesia, Malaysia and Switzerland.Scientific and social context of the research project:The expected key result of our research project is a holisitic valorization concept that will be able to transform 100% of okara into value-added products. The concrete output of the project will consist of four product prototypes from the extracted oil, nano cellulose, protein hydrolysate, and biofertilizer. We will apply life cycle assessment (LCA) and cost effectiveness analysis (CEA) to study the sustainability of the proposed valorization technologies/products compared to the benchmark technologies/products, which has been neglected in earlier studies on okara valorization. We will closely interact with local soymilk and tofu producers to develop contextualised, sustainable and viable valorisation concepts in Thailand, Indonesia, Malaysia and Switzerland.</t>
  </si>
  <si>
    <t xml:space="preserve">https://data.snf.ch/grants/grant/210886</t>
  </si>
  <si>
    <t xml:space="preserve">grant.13043292</t>
  </si>
  <si>
    <t xml:space="preserve">Christoph Hugi, Lena Breitenmoser, Karina Rohrer, Fabian Whitfield, Aunchalee Aussanasuwannakul, Andriati Ningrum, Siti Zaharah Sakimin</t>
  </si>
  <si>
    <t xml:space="preserve">University of Applied Sciences and Arts Northwestern Switzerland; Kasetsart University; Gadjah Mada University</t>
  </si>
  <si>
    <t xml:space="preserve">Windisch; Bangkok; Yogyakarta</t>
  </si>
  <si>
    <t xml:space="preserve">NG VEGA Xplorer: Sustainable biosolutions containing novel strains and cultures for the next generation of healthy fermented products from oat and soy bases</t>
  </si>
  <si>
    <t xml:space="preserve">Fermentation offers various options to solve both the taste and anti-nutrition challenges experienced with plant-based dairy and meat alternatives. In addition, fermentation contributes to new improved properties and to the extension of shelf life. The project intends to pave the way to create the next generation of cultures for plant-based fermentation by exploring new microbial strains, improving current VEGA™ strains and investigating synergies with Vertera® enzymes.</t>
  </si>
  <si>
    <t xml:space="preserve">grant.14372349</t>
  </si>
  <si>
    <t xml:space="preserve">University of Copenhagen; Chr. Hansen (Denmark)</t>
  </si>
  <si>
    <t xml:space="preserve">Copenhagen; Hørsholm</t>
  </si>
  <si>
    <t xml:space="preserve">Fermentering tilbyder forskellige muligheder til at løse de både smagsmæssige og anti-ernæringsmæssige udfordringer man oplever ved plantebaserede mejeri- og kødalternativer. Desuden bidrager fermentering til nye forbedrede egenskaber og til forlængelse af holdbarheden. Projektet agter at bane vejen for at skabe den næste generation af kulturer til plantebaseret fermentering ved at udforske nye mikrobielle stammer, forbedre nuværende VEGA™-stammer og undersøge synergier med Vertera®-enzymer.</t>
  </si>
  <si>
    <t xml:space="preserve">Novel protein-based affinity platform for mycotoxins clean-up</t>
  </si>
  <si>
    <t xml:space="preserve">Mycotoxins are toxic compounds produced by some filamentous fungi that occur naturally in foods. In the European Union, there are legal limits for 12 different compounds and around 70 mycotoxin/foodstuffs combinations, which highlights the importance of this group of food contaminants. More recently, the so-called modified mycotoxins are also attracting researchers' attention. These compounds are chemical analogs of the legislated mycotoxins (the parent mycotoxin), which are not detected by most routine analytical methods. Also, because they usually maintain the toxicity profile of the parent form, they are considered a source of hidden toxicity. Their presence in foodstuffs has already been reported, for example, in cereal-based products, feed, beer, and wine.
Within this context, the Myco-ProAffinity project aims to develop a new clean-up and pre-concentration platform for mycotoxins and their modified forms to simplify their simultaneous determination by HPLC in foods. This platform will resort to affinity solid-phase extraction columns (Affi-SPEs) prepared with proteins that bind the target molecules, herein referred to as mycotoxin-binding proteins (MycBPs). After experimentally selected, the most active MycBPs will be produced recombinantly in fusion with tags for specific binding to conventional support materials such as cellulose (CBM3) and/or dextran (DBD) to simplify their purification and preparation of Affi-SPEs. Alternatively, innovative matrixes such as protein aerogels that can entrap the proteins of interest will also be studied. Analytical methods will be developed and validated using the constructed Affi-SPEs columns to determine ochratoxin A (OTA) in grape juices, patulin (PAT) in apple juices, and zearalenone (ZEN) in oat milk, including their respective modified forms. The development of this new sample preparation technology that combined the extraction, cleaning, and concentration of mycotoxins and their modified forms before their HPLC determination will significantly enhance the current knowledge on the occurrence of these food contaminants, a topic of increasing interest at the international level.</t>
  </si>
  <si>
    <t xml:space="preserve">Nova plataforma de afinidade baseada em proteínas para purificação de micotoxinas</t>
  </si>
  <si>
    <t xml:space="preserve">grant.13263520</t>
  </si>
  <si>
    <t xml:space="preserve">Luís Abrunhosa, Lucília Maria Alves Ribeiro Domingues, António Augusto Martins de Oliveira Soares Vicente, Rui Miguel Martins Rodrigues, Tatiana Sofia da Quinta Vidal Aguiar</t>
  </si>
  <si>
    <t xml:space="preserve">University of Minho</t>
  </si>
  <si>
    <t xml:space="preserve">Braga</t>
  </si>
  <si>
    <t xml:space="preserve">As micotoxinas são compostos tóxicos produzidos por algumas espécies de fungos filamentosos que ocorrem naturalmente nos alimentos. Na União Europeia, existem limites legais para 12 compostos diferentes e cerca de 70 combinações de micotoxinas/alimentos, o que demonstra a importância destes contaminantes alimentares. Mais recentemente, as chamadas micotoxinas modificadas têm também atraído a atenção dos investigadores. Estes compostos são análogos químicos das micotoxinas legisladas (a sua micotoxina mãe) que não são usualmente detetados pela maioria dos métodos analíticos existentes. Para além disso, como podem manter o perfil de toxicidade da micotoxina mãe, são considerados uma fonte oculta de contaminação. A sua presença em alimentos já foi, por exemplo, reportada em produtos derivados de cereais, rações para animais, cerveja e vinho.
Dentro deste contexto, o projeto Myco-ProAffinity visa desenvolver uma nova plataforma de limpeza e pré-concentração para micotoxinas e suas formas modificadas, de forma a melhorar a sua determinação conjunta por HPLC nos alimentos. Essa plataforma irá recorrer a colunas de extração sólida com afinidade (Affi-SPEs) que serão desenvolvidas com recurso a proteínas que ligam as moléculas alvo. Depois de selecionadas experimentalmente, as proteínas mais ativas serão produzidas recombinantemente em fusão com tags específicos para ligação a materiais de suporte convencionais como celulose (CBM3) e/ou dextrano (DBD), de forma a facilitar a sua purificação e preparação das colunas de afinidade. Alternativamente, matrizes inovadoras de aerogéis proteicos capazes de aprisionar as proteínas de interesse serão também estudadas. Utilizando as Affi-SPEs, métodos analíticos serão desenvolvidos e validados para determinar ocratoxina A (OTA) em sumos de uva, de patulina (PAT) em sumos de maçã e de zearalenona (ZEN) em leite de aveia, incluindo as suas formas modificadas. O desenvolvimento desta nova solução analítica, que possibilita a extração, limpeza e concentração conjunta das micotoxinas e suas formas modificadas antes da sua determinação por HPLC, irá incrementar de forma significativa o conhecimento atual sobre a ocorrência destes contaminantes alimentares, um tema de crescente interesse a nível internacional.</t>
  </si>
  <si>
    <t xml:space="preserve">Characterization and development of healthy and sustainable high-value-added fats from organic crops</t>
  </si>
  <si>
    <t xml:space="preserve">The healthy food sector has sparked significant public interest due to the rise in vegetarian and vegan consumers, who are increasingly aware of the climate emergency and the use of animals. This has fostered technological innovation and the creation of companies in areas such as meat substitutes (plant-based meat and cell culture) and dairy and egg substitutes. For example, the use of cell cultures for food production has spurred the creation of more than 20 companies, raising a total of $235 million in capital. Notable initiatives include Just (USA), Aleph Farm (Israel), and Mosa Meat (USA), among others. Beyond cell cultures, other notable companies such as Mushlabs, MycoTechnology, and Meati Foods use specific strains of fungi for food production. Within the food sector, fats and oils play a fundamental role in most foods for several reasons: (i) they add flavor to foods, (ii) they make them healthier (since there are both beneficial and harmful fats), and (iii) they provide mechanical properties and texture to the product. 
In this sector, functional or specialty fats (derived from animals or plants) stand out, as they must be consumed daily to maintain bodily functions and prevent disease. Healthy fats include long-chain omega-3 fatty acids (ALA: alpha-linolenic acid, DHA: docosahexaenoic acid, EPA: eicosapentaenoic acid) and omega-6 fatty acids (LA: linoleic acid, AA: arachidonic acid, DPA: docosadienoic acid). Due to all their health benefits, they are among the most in-demand fats within the healthy food sector. In fact, regulatory agencies mandate their consumption in infant nutrition and strongly recommend it to improve cardiovascular and cognitive health in the general population. Due, on the one hand, to insufficient fishing/fish farm production in relation to global overpopulation and climate change, and on the other, to the limitations of the livestock production system, a shortage of these products and rising prices are expected in the medium to short term.
CUBIQ FOODS is committed to the production of healthy fats like these from eukaryotic biological cultures with production costs competitive with those of wild fish and livestock. These novel production systems are based on two innovative approaches. On the one hand, the use of animal cell cultures, which have a strong technological base but are applied to the pharmaceutical industry, and, on the other hand, the use of fungal strains capable of biotransforming oils that are unattractive to the food industry or other waste products into healthy oils. CUBIQ FOODS also offers healthy fat microencapsulation systems that maintain the chemical properties of fatty acids intact, preventing their oxidation. This system has already been applied to various food products, such as dairy products and plant-based products, among others. Finally, it offers a family of vegetable oil-based emulsions that mimic the mechanical properties and characteristics of animal fats, but with much more appropriate nutritional profiles.
This project aims, first, to optimize biological systems for the production of sustainable and healthy fats, with a special emphasis on long-chain fatty acids. Second, to optimize the microencapsulation of fats to maintain their chemical properties intact. Finally, to develop a series of attractive and competitive food applications for the market where these new-generation fats can be applied.</t>
  </si>
  <si>
    <t xml:space="preserve">CARACTERIZACIÓN Y DESARROLLO DE GRASAS DE ALTO VALOR AÑADIDO SALUDABLES Y SOSTENIBLES A PARTIR DE CULTIVOS BIOLÓGICOS</t>
  </si>
  <si>
    <t xml:space="preserve">grant.14864099</t>
  </si>
  <si>
    <t xml:space="preserve">El sector de la alimentación saludable ha despertado un gran interés en la opinión pública debido al incremento de consumidores vegetarianos o veganos cada vez más consciente con la emergencia climática y el uso de los animales. Con ello se ha promovido la innovación tecnológica y la creación de empresas en ámbitos como los sustitutos de la carne (plant-based meat y el cultivo celular) y los sustitos de los lácteos y los huevos. Por ejemplo, el uso de cultivos celulares para la producción de alimentos ha impulsado la creación de más de 20 empresas, captando un total de 235 millones de dólares de capital. Entre las iniciativas destacan: Just (EE. UU.), Aleph Farm (Israel) o Mosa Meat (EE. UU.) entre otras. Más allá de los cultivos celulares, destacan también empresas como Mushlabs, MycoTechnology o Meati Foods que utilizan cepas específicas de hongo para la producción de alimentos. Dentro del sector de la alimentación, las grasas y los aceites juegan un papel fundamental en la mayor parte de los alimentos por diferentes motivos: (i) aportan sabor a los alimentos, (ii) los hacen más saludables (ya que existen grasas beneficiosas y perjudiciales para la salud) y (iii) aportan propiedades mecánicas y textura al producto. 
En este sector, destacan especialmente las grasas funcionales o especiales (derivadas de animales o vegetales) que deben tomarse diariamente para mantener las funciones corporales y prevenir enfermedades. Entre las grasas saludables, se encuentran los ácidos grasos de cadena larga omega-3 (ALA: ácido alfa-linolénico, DHA: ácido docosahexaenoico, EPA: ácido eicosapentaenoico) y omega-6 (LA: ácido linoleico, AA: ácido araquidónico, DPA: ácido docosadienoico). Debido a todos sus beneficios para la salud, son unas de las grasas que generan una mayor demanda dentro del ámbito de los alimentos saludables. De hecho, las agencias regulatorias hacen obligatorio su consumo en el ámbito de la alimentación infantil y lo recomiendan encarecidamente para la mejora de la salud cardiovascular y cognitiva de la población general. Debido, por un lado, a la insuficiente pesca/producción en piscifactorías en relación con la superpoblación mundial y el cambio climático y, por otro, a las limitaciones del sistema productivo de la ganadería, se prevé una escasez de estos productos y un encarecimiento de los precios en el medio-corto plazo. 
CUBIQ FOODS apuesta por la producción de grasas saludables como estas a partir de cultivos biológicos eucariotas con unos costes de producción a un coste competitivo respecto al del pescado salvaje y la ganadería. Estos sistemas novedosos de producción se basan en dos apuestas innovadoras. Por un lado, el uso de cultivos celular animales, que cuentan con una base tecnológica fuerte pero aplicada a la industria farmacéutica, y, por otro lado, el uso de cepas de hongo que sean capaces de biotransformar aceites poco atractivos para la industria alimentaria u otros productos de desecho en aceites saludables. CUBIQ FOODS cuenta también con sistemas de microencapsulado de grasas saludables que permiten el mantenimiento de las propiedades químicas de los ácidos grasos intactas evitando su oxidación. Este sistema ha sido ya aplicado a diferentes productos alimentarios como lácteos o productos plant-based entre otros. Y, por último, cuenta con una familia de emulsiones a base de aceites vegetales que mimetizan las propiedades mecánicas y las características de las grasas animales, pero con unos perfiles nutricionales mucho más adecuados. 
Con este proyecto se pretende en primer lugar, optimizar los sistemas biológicos para la producción de grasas sostenibles y saludables, dando especial importancia a los ácidos grasos de cadena larga, en segundo lugar, optimizar el microencapsulado de grasas para mantener sus propiedades químicas intactas y, por último, desarrollar una serie de aplicaciones alimentarias que sean atractivas y competitivas para el mercado donde aplicar estas grasas de nueva generación.</t>
  </si>
  <si>
    <t xml:space="preserve">NORA</t>
  </si>
  <si>
    <t xml:space="preserve">https://socialsciences.ku.dk/news/2023/five-social-science-projects-to-investigate-green-transition/</t>
  </si>
  <si>
    <t xml:space="preserve">3164-00027A</t>
  </si>
  <si>
    <t xml:space="preserve">DFF-Forskningsprojekt1 - Grøn omstilling/forskning</t>
  </si>
  <si>
    <t xml:space="preserve">Governmental</t>
  </si>
  <si>
    <t xml:space="preserve">3164-00216A</t>
  </si>
  <si>
    <t xml:space="preserve">This international collaboration will develop AI methods for optimising fermentation processes that use food side streams as substrates to produce sustainable proteins for human consumption. It will be led by the University of Leeds (UoL) and the Commonwealth Scientific and Industrial Research Organisation (CSIRO) and includes four industrial partners from the agri-food sector. 
Current alternative protein production often uses high-sugar substrates. This project aims to utilise food side streams as the fermentation substrate to increase sustainability and economic viability of protein production. Given the variability between different food side streams, AI will be used to aid optimisation of fermentation parameters like solids and moisture content, pre-treatment methods, pH levels, yeast strains, and nutrient supplementation. 
Approximately one-third of food produced gets wasted. The project addresses this waste, contributes to creating a circular economy, while simultaneously producing protein to enhance food security for a growing world population. The project is aligned with two of the competition's themes on AI in sustainable agriculture and food and AI to advance manufacturing and clean growth. 
Each institution has complementary capabilities where the University of Leeds team offers experience in experimental data collection and preliminary model development and CSIRO brings expertise in scaling up these processes to ensure they have a broader, real-world impact. The partnership also addresses regional variations in food side streams enabling the development of adaptable models with greater generalisability. The projects activities are organised into five Work Packages (WPs): 
WP1 (UoL): Experimental data collection: Collection of data from fermentation processes using food side streams (short shelf-life soft fruit and Jerusalem artichokes) as substrates to produce protein. 
WP2 (UoL &amp; CSIRO): Single side stream models: Leveraging the data from WP1, development of AI models to predict fermentation products (e.g., microbial dynamics, yield, and protein concentration) based on the side stream composition and fermentation parameters. 
WP3 (UoL): Adaptive modelling techniques: Using the data from WP1, development of transfer learning and Bayesian optimisation methodologies to significantly reduce the data collection burden for new side streams or equipment. 
WP4 (CSIRO): Scale up and out: The methodologies from WP3 will guide data collection from scaled-up fermentation trials at CSIRO using new food side streams aiming to maximise sustainability and economics. 
WP5 (UoL &amp; CSIRO): Partnership and impact: Focusing on disseminating findings to the broader scientific community, sharing data, code, models, methodologies, and academic papers; and conducting partnership activities including visits, workshops, and training sessions. 
The outcome of the partnership between UoL and CSIRO will be enhanced AI capabilities at each organisation, the career development of project team members and adaptable AI models that can be used by beneficiaries world-wide to efficiently optimise fermentation processes and assess the potential of new food side streams.</t>
  </si>
  <si>
    <t xml:space="preserve">http://gtr.ukri.org/projects?ref=BB/Y513933/1</t>
  </si>
  <si>
    <t xml:space="preserve">A586EEBA-D241-49F6-A383-0775A751B74B</t>
  </si>
  <si>
    <t xml:space="preserve">Yorkshire and The Humber</t>
  </si>
  <si>
    <t xml:space="preserve">We are redesigning precision fermentation to enable truly-scalable animal-free food production. 
Unsustainable agriculture and livestock industry are among the key drivers of GHG emissions, land use change and water use. To fight against environmental degradation, the food industry has been looking at innovative technologies to produce animal-free proteins. Precision fermentation allows production of biological compounds in microorganisms. Through this method, animal proteins can be produced in yeast and fungi and utilised for human consumption. However, precision fermentation is a technology developed over 50 years ago and optimised for the production of pharmaceutical high-value compounds like insulin. Without fundamental redesigning it cannot solve the key challenges that the current food industry is facing. 
At BravelyCultured we are a team of PhD scientists and food supply-chain sustainability experts and we are selecting for novel marine microorganisms and seaweed-based feedstocks for precision fermentation. Our goal is to develop the technology which will decouple our food-supply chains from agriculture and shift it towards utilisation of the most plentiful resource on the planet -- the ocean. 
The core objective of this project is to co-optimize our seaweed-based feedstocks and the most promising yeast and fungal strains to enhance cellulase enzyme secretion capacity. Cellulase finds extensive use in wine, coffee, juice, paper, and textile industries. Our aim is to provide a cost-effective and sustainably produced source of cellulase (high yielding cellulase secreting microorganism growing on optimal seaweed based feedstock), creating a readily commercialisable outcome. 
Our novel marine microorganisms naturally produce cellulase when cultivated on seaweed feedstocks. To further enhance cellulase yields, we will employ directed evolution and random mutagenesis techniques. Collaborating with Multus Biotechnology, experts in feedstock development, we will optimise our seaweed-based feedstocks, significantly improving the economics of precision fermentation. 
In the long term, we envision applying synthetic biology approaches to engineer our optimised strains for animal protein production on sustainable feedstocks, forming the cornerstone of our commercialisation strategy. Through this grant, we are eager to unlock the vast potential of precision fermentation and pave the way for a more sustainable and ethical food future.</t>
  </si>
  <si>
    <t xml:space="preserve">http://gtr.ukri.org/projects?ref=10086903</t>
  </si>
  <si>
    <t xml:space="preserve">BE659244-DE88-437B-B480-29E40D952865</t>
  </si>
  <si>
    <t xml:space="preserve">Company</t>
  </si>
  <si>
    <t xml:space="preserve">We are **Grow with Iris**. In spring 2024 we are launching a plant-based, free from, fortified growing up drink for children aged 12 months plus. We are made specifically for immunocompromised and plant-based children. Co-founder Amy's daughter Iris lives with numerous food allergies and is our inspiration. 
Our ultimate goal is to create a plant-based, hypoallergenic infant formula to provide a universal, off-the-shelf, nutritionally capable option. It would enable babies needing alternative diets to thrive, especially infants unable to be breastfeed. Our innovation is vital if the UK is to deliver inclusive feeding options. However, there is currently no hypoallergenic protein registered for use in infant formula. We aim to become a world-changing, market contender, but there are no shortcuts in terms of robust evidence to support safe and efficacious infant nutrition products and the supporting regulatory authorisation. 
This project is the first of several innovative steps required to gain the registration of an alternative, hypoallergenic protein for use in infant formula. It would lead on to further innovative work including an authorisation dossier and clinical trial to prove validation of suitability and growth, before we could work on the protein source authorisation and eventual registration in target markets (UK, EU, US) to enable us to commercialise our products. 
Our project will draw together leading experts in academia, clinical, government and industry fields to produce a feasibility study and regulatory roadmap to explore suitability, ensure efficacy and safety and will support regulatory authorisation to access markets. As part of the study, we would find the most suitable plant-based source of protein. A scientific workshop will be convened to review gathered evidence and data package proposals to provide validation and the outputs published. It aims to inform government food/healthcare strategy, highlighting more inclusive nutrition options for infants. 
Our publishable study could become a catalyst -- opening up more research opportunities, creating a shift in thinking about alternative proteins, future government health strategies and the knowledge of healthcare, medical professionals and the public. The government food strategy review suggests policy initiatives should boost health, sustainability, accessibility of diets and secure food supply that "Delivers safe, healthy, affordable food; regardless of where (people) live or how much they earn." With cow's milk being the most common global food allergy in children and a growing trend in plant-based living, change is needed to challenge and disrupt a static industry and the current limited options.</t>
  </si>
  <si>
    <t xml:space="preserve">http://gtr.ukri.org/projects?ref=10108649</t>
  </si>
  <si>
    <t xml:space="preserve">582D27EA-54C7-42AD-8261-5B9E2D37ED7F</t>
  </si>
  <si>
    <t xml:space="preserve">PLANT POWERED BABIES LTD</t>
  </si>
  <si>
    <t xml:space="preserve">South East</t>
  </si>
  <si>
    <t xml:space="preserve">We aim to decrease UK meat consumption, causing climate change(14.5% GHGs) and diet-related disease(WHO), by launching the **UK's first ultra-realistic steak alternative**. 
With growing sustainability/health concerns around meat, meat-alternatives are fast-growing. Whole-cuts (steaks/fillets/etc) represent 85% of real meat, but are near-absent from meat-alternatives; a huge untapped opportunity. 
Plant-proteins have short fibres, with which it is difficult to replicate the fibrous texture of meat whole-cuts, and most products mimic processed meats (burgers/mince/sausages). To continue reducing meat consumption **we need better quality, more innovative whole cuts alternatives**. 
Mycoprotein has huge potential for meat whole-cuts alternatives, with long fibres (hyphae), exceptional protein quality, fibre and micronutrients (**highly nutritious**), and **sustainability benefits** (**our products emit 93% lower GHGs than beef**). 
Adamo Foods has developed an **ultra-realistic, clean-label mycelium steak**, with a uniquely fibrous muscle-texture. In this project, Adamo will implement a scaled-up production process and establish a pilot production line ready for commercialisation; a technically complex process, involving late-stage R&amp;D. We will launch a pilot at a well-known steakhouse chain, supplying product from our new production facility.</t>
  </si>
  <si>
    <t xml:space="preserve">http://gtr.ukri.org/projects?ref=10087261</t>
  </si>
  <si>
    <t xml:space="preserve">CE2FEF59-3A5F-4979-85AF-5AD13CE43DFC</t>
  </si>
  <si>
    <t xml:space="preserve">ADAMO FOODS LTD</t>
  </si>
  <si>
    <t xml:space="preserve">Global meat production has a significant negative impact on the environment. Livestock agriculture is responsible for 12 - 18% of total global greenhouse gas emissions (IPCC, 2019) and contributes significantly to biodiversity loss, deforestation and antibiotic resistance (Godfray et al., 2018). Switching to plant-based diets is a high-impact behaviour that can help reduce greenhouse gas emissions and other environmental impacts by 29-56% (Springmann et al., 2018). Despite this, many consumers are reluctant to reduce their meat consumption (Bryant, 2019). During my PhD, I found that meat foods were presented to others in more favourable ways than plant-based foods, even by vegans. In addition, there were indicators of dietary polarisation, where plant-based foods triggered strong socio-political and identity-focused reactions.
During an era of increasing social divide, how can societal resistance towards plant-based foods be reduced? The main aim of this Fellowship is to prepare a grant proposal that focuses on whether close social relationships can make the switch to sustainable diets easier for consumers. To support this, I will first conduct a final experiment related to my PhD findings (Project 4), examining whether omnivores and vegans describe plant-based foods in more rewarding ways when they imagine communicating to a close partner, compared to a stranger. Does focusing on a close partner emphasise the potential reward experience of eating a plant-based food, and thus make it more appealing? I will also measure whether this changes dependent on the dietary preferences of the stranger or close other. This pilot data will be essential for my grant applications to understand the role of close relationships in altering how people think and communicate about sustainable foods.
Then, I will develop a 5-year plan for an effective complex behaviour change intervention (Skivington et al., 2021) that promotes immediate and long-term sustainable food choices through trusted social relationships. Previous work has shown that focusing on relationships can boost health behaviour change (Umberson et al., 2010; Latkin &amp; Knowlton, 2015), and the same may be true for sustainable behaviours. I will design several mixed-methods studies that investigate whether adopting a plant-based diet is easier with a close friend, romantic partner or family member. This could be for practical reasons (e.g. cooking, shopping), social reasons (e.g. shared focus on rewarding eating experiences), or identity reasons (e.g. forming a new dietary identity together).
I will first conduct a qualitative study, interviewing individuals who live with someone taking part in Veganuary, to establish how exposure to plant-based consumption practices may bridge the vegan-omnivore divide. Another study will examine whether giving a plant-based meal subscription (e.g. allplants) to a couple versus an individual can lead to long-term reductions in meat consumption. A further longitudinal study will measure the processes involved in dyadic relationships and behaviour change are the same for romantic partners as for close friends, flatmates or family members. Additional studies will take a social-network approach to measure the scope of influence from a couple's sustainable dietary choices, and will measure how couples communicate about food during their dietary transition. The final set of studies will form a complex intervention measure to motivate plant-based consumption via encouragement from a close partner.
This grant proposal will incorporate interdisciplinary methodologies to directly assess the climate impact of the intervention. For example, I will work with a modeler to estimate the carbon emissions saved by a consumer adopting a plant-based diet with the support of a close partner. This proposed research will tackle resistance to plant-based diets by treating couples as a whole social entity, doubling the reduction in carbon emissions if successful.</t>
  </si>
  <si>
    <t xml:space="preserve">http://gtr.ukri.org/projects?ref=ES/Y01040X/1</t>
  </si>
  <si>
    <t xml:space="preserve">A7FED78C-E606-4E5C-AC7F-443AACDF330D</t>
  </si>
  <si>
    <t xml:space="preserve">Scotland</t>
  </si>
  <si>
    <t xml:space="preserve">Plant-based diets, which include little or no food from animal sources, might have benefits for both health and the environment. The available evidence supports substantial advantages for such diets in reducing diet-related greenhouse gas emissions and other environmental impacts, but the evidence for health is sparse and there may be both benefits and risks. For example, the low intakes of saturated fat and high intakes of fibre characteristic of plant-based diets may reduce risks for some cardiovascular and gastrointestinal diseases, but the low intakes of high quality protein, some vitamins and calcium might increase risks for conditions such as some types of stroke, and bone fractures. To address this gap in the evidence we aim to enhance and extend a mature longitudinal population study in the UK to establish the world's most informative resource for studying the health benefits and risks of plant-based diets. The EPIC-Oxford cohort, which has 65,000 participants living throughout the UK, was initiated 30 years ago with recruitment targeted to oversample people following vegetarian diets, and 50% of the participants do not eat meat. This resource has detailed information on diet, a large biobank (collection of stored blood samples), and comprehensive linkage to NHS datasets on all hospital admissions, cancer diagnoses and deaths, making it unique in the world for research on the long-term health impacts of plant-based diets. We aim to enhance the existing resource by a resurvey of all surviving participants, and to extend it by recruitment of 80,000 new participants to increase statistical power and the number of people following close to 100% plant-based diets (i.e. vegan, or very low intakes of any animal products), as well as to improve the ethnic diversity of the resource. We will also extend the biobank, collecting blood samples from a further 5,000 participants selected with regard to diet group, age, gender and ethnicity, to enable further research on the impacts of plant-based diets on the functioning of the body. We have completed a pilot study recruiting 6,000 new participants, 3,000 plant-based, which has demonstrated the success and cost-effectiveness of our internet-based recruitment method, and allowed us to refine our dietary questionnaire and obtain up-to-date information on the food and nutrient intakes of these people. To make the proposed new EPIC-Oxford resource widely accessible, we will transfer the data we collect on diet and lifestyle to the UK Longitudinal Linkage Consortium (UK LLC) trusted research environment. The UK LLC will then extend the linkage to all NHS datasets providing details of diseases and conditions diagnosed in participants throughout the UK, and manage access to the resource for analyses by other researchers. The research made possible by creating this resource will provide, for the first time, robust evidence on the long-term benefits and risks of plant-based diets, and on whether any risks identified can be mitigated.</t>
  </si>
  <si>
    <t xml:space="preserve">http://gtr.ukri.org/projects?ref=MR/Y013662/1</t>
  </si>
  <si>
    <t xml:space="preserve">E124F312-E742-4140-835B-543B7AD89BC8</t>
  </si>
  <si>
    <t xml:space="preserve">UNIVERSITY OF OXFORD</t>
  </si>
  <si>
    <t xml:space="preserve">The global food system emits about 18% Green House Gas (GHGs), due to its reliance on animal-sourced ingredients such as proteins. 
Therefore, to reduce the environmental impact of the food system and improve sustainability, plant, insect, and microalgae-based 
protein sources are being investigated. However, these proteins suffer from poor sensory perception of bitterness and astringency, 
leading to poor adoption by society. Previous research projects have failed to provide mechanistic insight and strategies to minimize 
these negative sensory perceptions at an ingredient level. Therefore, the question remains, whether these proteins are inherently 
bitter and astringent or does the protein extraction process leads to protein modifications that cause these sensory perceptions. 
PROTSENS aims to understand and minimize these negative perceptions using green extraction methods that preserve protein 
structure. Protein extracts resulting from these novel processes will be thoroughly characterized. The mechanism of astringency and 
bitterness will be studied from macro to nanoscale using physical methods, while bitterness will be investigated using sensory cells in 
vitro in a simulated oral environment. The in vitro, ex vivo and physical tools will serve as a novel toolbox to investigate astringency 
and bitterness perception. The link between protein properties, extraction methods, and their sensory perception will be captured in 
a Machine Learning (ML) model. The model will provide a guide on protein extraction routes, based on protein source to preserve 
protein structure and improve sensory perception. Overall, PROTSENS, through its novel experimental toolkit and ML model, 
improves the sensory perception of novel proteins and adoption. PROTSENS will open new horizons in European academic research 
on food proteins. The success of PROTSENS will help drive the adoption of novel proteins, decrease GHGs in the food system, and help 
mitigate climate change.</t>
  </si>
  <si>
    <t xml:space="preserve">http://gtr.ukri.org/projects?ref=EP/Z000785/1</t>
  </si>
  <si>
    <t xml:space="preserve">40D0047E-61E3-4FF1-856C-90E78D3CBE8A</t>
  </si>
  <si>
    <t xml:space="preserve">Goverment</t>
  </si>
  <si>
    <t xml:space="preserve">Wet processing of legume seeds such as beans, peas, chickpeas, and lentils, is used commercially to make pre-cooked food products including hummus and canned beans. The cooking water from this process is considered a liquid waste product, but was recently discovered to have useful techno-functional properties like foaming, emulsification and gelling, and given the name 'aquafaba'. With the plant-based market growing rapidly and expected to reach US$160 billion globally within the next decade, the demand for ingredients to replace egg or dairy protein functionality in a variety of foods, including mayonnaise, cakes and bakery, is higher than ever. Upcycling waste-water from commercial legume processing into aquafaba represents a significant opportunity for sustainable and cost-effective production of vegan alternatives to animal protein. 
Despite its potential, the lack of understanding surrounding aquafaba functionality has hindered its widespread adoption by food producers. So far, aquafaba production has mainly been limited to imported chickpeas, while the potential to obtain aquafaba from underutilised UK-grown legumes have been overlooked. Furthermore, factors such as legume variety and processing conditions, which have a big impact on ingredient performance, are still poorly understood. Thus, although new aquafaba ingredients are emerging, their unpredictable and highly variable performance is a major technical barrier to successful commercial use. 
This translational project will address this issue by using recent mechanistic insights to improve the extraction of functionally active components from UK grown legumes into aquafaba, thus delivering more consistent and standardised end-product quality. 
Our approach uses infrastructure and mechanistic understanding established in previous work, where we set-up a wet-process to make innovative cellular flours (PulseON®) from a range of different legumes, generating aquafaba as a waste-stream. Here we will use the existing PulseON® wet-processing plants and recent scientific insights to improve the quality and types of aquafaba that can be made from the waste-water generated during manufacture of PulseON® or indeed other cooked legume products.</t>
  </si>
  <si>
    <t xml:space="preserve">http://gtr.ukri.org/projects?ref=BB/Y513568/1</t>
  </si>
  <si>
    <t xml:space="preserve">62E7310F-C121-47C4-90BA-A105B917DB63</t>
  </si>
  <si>
    <t xml:space="preserve">Cathrina Edwards</t>
  </si>
  <si>
    <t xml:space="preserve">QUADRAM INSTITUTE BIOSCIENCE</t>
  </si>
  <si>
    <t xml:space="preserve">Research institute</t>
  </si>
  <si>
    <t xml:space="preserve">East of England</t>
  </si>
  <si>
    <t xml:space="preserve">The rapid rise of vegan meat in the UK and many other developed countries is often described as a "food revolution". As a disruptive food technology, vegan meat fuses food science and bold social change agendas: countering climate change, improving citizens' health, and avoiding animal cruelty. Since it mimics animal meat's textures and flavour, vegan meat facilitates non-vegan consumers' transition to a low-animal-meat diet, a critical goal for reaching net-zero target in our food systems. However, vegan meat's meteoric rise has been accompanied by hypes: inflated expectations, opportunistic entries, and ruthless competition, which in time may generate disappointments (when expectations are not met) and failures (when start-ups cannot scale up fast enough to compete). The present fragmented state of the vegan meat sector also suggests inconsistent communications, exactly at a time when the nascent market needs credible and compelling value propositions, which can convince more consumers to select vegan meat and to engage with the social change agendas represented by vegan meat.
Our proposed research project aims to help address this problem by presenting an in-depth understanding of the sector's internal dynamics and external drivers and inhibitors. Since abundant studies have suggested that cultural-based connections with stakeholders are crucial to the success of moral markets (i.e., markets concerned with creating not only wealth but also social goods), we examine the roles of vegan meat entrepreneurs and other sector members in utilising cultural resources to navigate a hyped market, exploiting economic opportunities while expanding vegan meat's moral claims and entrepreneurs' value-based identities.
Importantly, we want to understand how value-driven entrepreneurs, many of whom built their companies with a view of avoiding animal cruelty and/or environmental damage (i.e., two deeply rooted problems in our food systems), deploy narratives, stories, analogies, and metaphors to create value propositions and influence consumers, media/the public, investors, and policymakers. We explore the above dynamics across two markets: 1) UK: where the food policy is passive in addressing climate change and where significant research clusters have not yet formed; 2) the Netherlands: where the food policy proactively tackles climate change and where plant-based food science is booming, with ambitious goals of leading the world's food system transition.</t>
  </si>
  <si>
    <t xml:space="preserve">http://gtr.ukri.org/projects?ref=ES/Y003667/1</t>
  </si>
  <si>
    <t xml:space="preserve">7493F1ED-6A1A-4853-AD78-C2118D75A87F</t>
  </si>
  <si>
    <t xml:space="preserve">Current studies extrapolate the physicochemical state of water and its contribution to structure and product quality, only through textural analysis of the final product. Additionally, these studies typically investigate model systems with a very short ageing cycle. This type of studies only provides a small part of the knowledge required for industrial applications, where profound transformations in the water state, distribution within the product, and interactions with proteinaceous structural components occur. 
Aim: Understand, track, and predict water physicochemical state and distribution in mycoprotein mixtures to aid rational design of meat analogues. 
Objectives: 
1. Investigate the impact of mycoprotein concentration and cooling induced supersaturation on the freezing behaviour and the physicochemical state (bound vs unbound) of water. 
2. Understand the impact of non-mycoprotein ingredients on water crystallisation, mobility, and re-crystallisation behaviour. 
3. Evaluate the role of water physicochemical state on the mycoprotein multi-scale molecular assembly into fibrous bundles. 
4. Correlate water state and thermo-mechanical behaviour of mycoprotein-based bundles to the sensory response aiding the mimicking of real meat sensory.</t>
  </si>
  <si>
    <t xml:space="preserve">http://gtr.ukri.org/projects?ref=studentship-2905301</t>
  </si>
  <si>
    <t xml:space="preserve">F21EEF4B-2853-4F64-98B3-FF17D25ABD7A</t>
  </si>
  <si>
    <t xml:space="preserve">East Midlands</t>
  </si>
  <si>
    <t xml:space="preserve">ADAPTide: decrypting sustainable and responsive nutrition by mapping the effects of plant-basedfoods on metabolic profiling</t>
  </si>
  <si>
    <t xml:space="preserve">What we eat has a significant impact on the environment. That´s mainly because food habits strongly influence food production, directly impacting the ecosystem. Identifying healthy diets that are in harmony with a balanced environment and that consider the individual human metabolism is essential since there is no ""one size fits all"" approach to the effects of diet on health. Eating less meat can promote extensive environmental benefits, and there is already a broad awareness of it. Yet, we know little about to what extent adapting our diet affects human health. ADAPTide aims to decrypt individual human responses to plant-based foods by mapping diet- and gut-related metabolic profiling. Hence, we will investigate the effects of specific plant-based compounds (peptides, fibres, metabolites) that trigger human biological functions by associating them with human metabolome and gut microbiota profiling obtained from 3 dietary interventions 1) with ileostomy participants (in vivo digestion) and 2, 3) with healthy participants. This project includes multiple tools and approaches, including start-of-the-art equipment for peptidomics and metabolomics (UHPLC/Q-TOF-MS, UHPLC-QqQ-MS). In addition, we are located at the core facility for lifestyle intervention studies at Örebro hospital, facilitating the performance of clinical studies. These results will further advance the knowledge of targeting surrogate markers to assess individualized-tailored responsive and sustainable nutrition.</t>
  </si>
  <si>
    <t xml:space="preserve">https://www.vr.se/english/swecris.html#/project/2023-00473_Formas</t>
  </si>
  <si>
    <t xml:space="preserve">https://www.oru.se/english/research/research-projects/rp/?rdb=p2655</t>
  </si>
  <si>
    <t xml:space="preserve">2023-00473_Formas</t>
  </si>
  <si>
    <t xml:space="preserve">https://www.vr.se/english/swecris.html#/</t>
  </si>
  <si>
    <t xml:space="preserve">https://www.vr.se/english/swecris.html?project%3D2024-01030_Formas</t>
  </si>
  <si>
    <t xml:space="preserve">2024-01030_Formas</t>
  </si>
  <si>
    <t xml:space="preserve">FRIS</t>
  </si>
  <si>
    <t xml:space="preserve">https://pureportal.ilvo.be/en/projects/duurzame-eiwitten-van-lokaal-gekweekt-zeewier#:~:text=By%20valorizing%20seaweed%20as%20a,self%2Dsufficiency%20in%20protein%20production.</t>
  </si>
  <si>
    <t xml:space="preserve">30/09/28</t>
  </si>
  <si>
    <t xml:space="preserve">https://research.ugent.be/web/result/project/44d36104-ce6f-11ef-b3da-03cc4b44417e/details/en</t>
  </si>
  <si>
    <t xml:space="preserve">https://www.openaire.eu/netherlands/</t>
  </si>
  <si>
    <t xml:space="preserve">https://www.nwo.nl/en/projects/21120</t>
  </si>
  <si>
    <t xml:space="preserve">Dutch National Research Council (NWO)</t>
  </si>
  <si>
    <t xml:space="preserve">scanR</t>
  </si>
  <si>
    <t xml:space="preserve">Laboratoire Réactions et Génie des Procédés;University of Lorraine</t>
  </si>
  <si>
    <t xml:space="preserve">https://anr.fr/Project-ANR-23-CE44-0028</t>
  </si>
  <si>
    <t xml:space="preserve">Human Nutrition Unit;National Research Institute for Agriculture, Food and Environment</t>
  </si>
  <si>
    <t xml:space="preserve">PROFUSE A Revolutionary Tech for Exceptionally Efficient Natural Muscle Tissue Growth in Cultivated Meat Applications</t>
  </si>
  <si>
    <t xml:space="preserve">Whilst meat demand is expected to double by 2050, consumption needs to drop by 50% to reduce greenhouse gases and preserve land. Cultivated meat - meat products manufactured through the harvesting and proliferation of animal cells - offers a feasible alternative, supplying animal protein at minimal environmental costs. However, the industry faces significant challenges linked to production costs, ability to scale-up, and final product quality. The main technical bottlenecks arise from the need to continuously source cells from live animals, and inefficient differentiation and maturation processes, that fail to achieve nutritional and organoleptic characteristics to satisfy consumers. Harnessing unique expertise on muscle cultivation, ProFuse has developed the first spontaneously immortalized and stable myoblast cell line (bovine) with remarkable proficiency in both muscle tissue proliferation and differentiation. Secondly, ProFuse has formulated a media supplement capable of driving the highly effective fusion and maturation into contractile muscle, successfully mimicking natural muscle development. After receiving the licensing of the patent protecting the discovery and the incorporation of our start-up for boosting development and commercialization, our team has established strong relationships with worldwide leading cultivated meat producers and suppliers, developing initial supplement formulations for different 2D and 3D applications. Through this project, we aim at optimizing our combined cell-line + supplement solution for scale-up enabling 3D production techniques up to reaching the validation in relevant environment with at least 3 potential clients while preparing the certification dossier, thus bringing our combined cell-line + supplement solution to TRL6. ProFuse will transform the scale-up potential and quality of final cultivated meat products, fast forwarding the industry to high uptake scenarios.</t>
  </si>
  <si>
    <t xml:space="preserve">Cordis</t>
  </si>
  <si>
    <t xml:space="preserve">https://cordis.europa.eu/project/id/101158710</t>
  </si>
  <si>
    <t xml:space="preserve">PROFUSE TECHNOLOGY LTD</t>
  </si>
  <si>
    <t xml:space="preserve">Large-scale pea protein facility</t>
  </si>
  <si>
    <t xml:space="preserve">https://vegconomist.com/investments-finance/91-million-investment-for-pea-protein-facility-in-sweden/?utm_medium=email&amp;utm_source=rasa_io&amp;utm_campaign=newsletter</t>
  </si>
  <si>
    <t xml:space="preserve">Lantmännen</t>
  </si>
  <si>
    <t xml:space="preserve">Swedish Environmental Protection Agency</t>
  </si>
  <si>
    <t xml:space="preserve">Enhancing of legumes growing in Europe through sustainable cropping for protein supply for food and feed</t>
  </si>
  <si>
    <t xml:space="preserve">Long term S&amp;T objective: The project is aimed to sustainable use of Leguminous plants and soil resources in order to ensure European citizens with balanced and safe food, ensuring the high quality protein sources in their daily diet by increasing competitiveness and cultivation of legumes for food and feed. Short-term S&amp;T objectives: 1. Evaluation of pea, faba bean and cowpea/black-eye-bean local genetic resources for the development of new varieties for food and feed and further use in breeding; 2. Development of new food and feed products from available European varieties of pea, faba bean and cowpea; 3. Selection of appropriate rhizobium strains and arbuscular mycorrhizae fungi to support nitrogen fixation and development of new, commercial inoculants; 4.Evaluation of influence of leguminous plants on the soil properties in sustainable, regionally specific cropping systems. Activities: WP1 Management and coordination; WP2 Broadening of genetic diversity in breeding trough evaluation of local genetic resources; WP3 Selection of appropriate rhizobium strains to support nitrogen fixation and development of inoculants; WP4 Nutritional value and innovative food and feed; WP5 Legume supported cropping system in sustainable agriculture; WP6 Management and valorization of the residual biomass; WP7 Publicity and dissemination. 19 partners from 10 EU Member States.</t>
  </si>
  <si>
    <t xml:space="preserve">https://cordis.europa.eu/project/id/613781</t>
  </si>
  <si>
    <t xml:space="preserve">CITAB - Centre for the Research and Technology of Agro-Environmental and Biological Sciences</t>
  </si>
  <si>
    <t xml:space="preserve">UNIVERSIDADE DE TRAS-OS-MONTES E ALTO DOURO</t>
  </si>
  <si>
    <t xml:space="preserve">Latvia University of Agriculture (LLU) – Latvia
Pure Horticultural Research Centre (PHRC) – Latvia
State Priekuli Plant Breeding Institute (SPPBI) – Latvia
Bioefekts, Ltd (BIOEFECTS) – Latvia
Estonian Crop Research Institute (ECRI) – Estonia
Agricultural University of Tirana (AUT) – Albania
Swedish Institute of Agricultural and Environmental Engineering (JTI) – Sweden
Frescura Sublime – Unipessoal Lda. (FRESCURA SUBLIME) – Portugal
Polytechnic University of Cartagena (UPCT) – Spain
National Institute for Agricultural and Veterinary Research (INIAV) – Portugal
University of Natural Resources and Life Sciences (BOKU) – Austria
Agricultural University of Athens (AUA) – Greece
Norwegian Institute for Agricultural and Environmental Research (BIOFORSK) – Norway
Norwegian University of Life Sciences (UMB) – Norway
Symbiom, sro, Ltd. (SYMBIOM) - Check Republic
KPRA, leche y Genética SL (KPRA) – Spain
Estirpe D’Honra, Ltd. (ESTIRPE) – Portugal</t>
  </si>
  <si>
    <t xml:space="preserve">Closed</t>
  </si>
  <si>
    <t xml:space="preserve">FP7</t>
  </si>
  <si>
    <t xml:space="preserve">LEGumes for the Agriculture of TOmorrow (LEGATO)</t>
  </si>
  <si>
    <t xml:space="preserve">The project has been conceived to promote the culture of grain legumes in Europe by identifying priority issues currently limiting grain legume cultivation and devising solutions in term of novel varietal development, culture practices, and food uses. LEGATO will develop tools and resources to enable state of the art breeding methodology and to exploit fully the breadth of genetic resources available. The project will focus on a small number of key characters not previously explored in depth and complementary to other ongoing European and national projects. These topics covered include disease and pest resistance, where in addition to marker development for major fungal and viral pathogens, a focus on emerging insect pests is planned. The impact of end-of-season drought and heat stress on the rhizobial symbiosis, and its consequences for plant performance, will be studied. Two characters that can influence grain legume yield, autofertility and number of flowering nodes, will be investigated. The potential for improving legume nutritional and organoleptic quality by identification of desirable traits and innovative selection methods will be investigated. LEGATO will conceive sustainable legume-based cropping systems adapted to different pedoclimatic zones, respecting local constraints. The project has been constructed around the participation of commercial partners including SMEs in the areas of marker development, plant breeding, and legume food processing, who will benefit from the advances made in these areas in LEGATO. Promising legume varieties and cropping systems will be tested at a series of pan-european sites to favour the widest possible take-up in agriculture, and the partners potentially concerned will participate in a stakeholder forum convened regularly during the project.</t>
  </si>
  <si>
    <t xml:space="preserve">https://cordis.europa.eu/project/id/613551</t>
  </si>
  <si>
    <t xml:space="preserve">ABERYSTWYTH UNIVERSITY
AGRITEC, vyzkum, slechteni a sluzby s.r.o.
AGROVEGETAL SA
CONSIGLIO PER LA RICERCA IN AGRICOLTURA E L'ANALISI DELL'ECONOMIA AGRARIA
AGENCIA ESTATAL CONSEJO SUPERIOR DE INVESTIGACIONES CIENTIFICAS
FORSCHUNGSZENTRUM JULICH GMBH
GENXPRO GMBH
INSTITUTO ANDALUZ DE INVESTIGACIONY FORMACION AGRARIA PESQUERA ALIMENTARIA Y DE LA PRODUCCION ECOLOGICA
INSTITUT ZA RATARSTVO I POVRTARSTVO INSTITUT OD NACIONALNOG ZNACAJA ZA REPUBLIKU SRBIJU
INSTITUTO NACIONAL DE INVESTIGAÇAO AGRARIA E VETERINARIA
INRAE TRANSFERT SAS
INSTITUTO DE TECNOLOGIA QUIMICA E BIOLOGICA - UNIVERSIDADE NOVA DE LISBOA
INSTYTUT GENETYKI ROSLIN POLSKIEJ AKADEMI NAUK
JOHN INNES CENTRE
Mediterranean Agronomic Institute of Zaragoza / International Centre for Advanced Mediterranean Agronomic Studies
MOULIN DECOLLOGNE SAS
NORDDEUTSCHE PFLANZENZUCHT HANS-GEORG LEMBKE KG
PATRIMVS INDUSTRIA SA
PGRO RESEARCH LIMITED
SAATZUCHT GLEISDORF GMBH
SOFT FLOW HUNGARY FEJLESZTO KOLATOLT FELELOSSEGU TARSASAG SVERIGES LANTBRUKSUNIVERSITET
UNION NATIONALE INTERPROFESSIONNELLE DES PROTEAGINEUX ASSOCIATION UNIVERSIDAD DE CORDOBA
UNIVERSIDAD DE LEON
UNIVERSITA DEGLI STUDI DI NAPOLI FEDERICO II
UNIVERZITA PALACKEHO V OLOMOUCI
UNIVERSITY OF YORK
AMBIS KERESKEDELMI ES SZOLGALTATO KORLATOLT FELELOSSEGU TARSASAG
TERRES INOVIA</t>
  </si>
  <si>
    <t xml:space="preserve">MICROALGAE PROTEIN INGREDIENTS FOR THE FOOD AND FEED OF THE FUTURE (PRO-FUTURE)</t>
  </si>
  <si>
    <t xml:space="preserve">Microalgae are a valuable source of protein-rich elements for healthy food and feed products that limit energy and water consumption. However, production and processing costs of microalgal biomass are still high. Advanced technologies are needed to augment productiveness and lower costs. The EU-funded ProFuture project will evaluate advanced systems to produce single-cell proteins and protein isolates that are characterised for their nutritional effects and their economic sustainability. Single-cell proteins will be incorporated in foods and feed produced at an industrial level. The project will appraise the microalgae value chain in the EU and propose amelioration solutions to increase the competitiveness of the sector. Market uptake will be expanded via optimised dissemination and implementation plans.</t>
  </si>
  <si>
    <t xml:space="preserve">https://cordis.europa.eu/project/id/862980</t>
  </si>
  <si>
    <t xml:space="preserve">INSTITUT DE RECERCA I TECNOLOGIA AGROALIMENTARIES</t>
  </si>
  <si>
    <t xml:space="preserve">DIL DEUTSCHES INSTITUT FUR LEBENSMITTELTECHNIK EV
WAGENINGEN UNIVERSITY
EIGEN VERMOGEN VAN HET INSTITUUT VOOR LANDBOUW- EN VISSERIJONDERZOEK
UNIVERSITEIT GENT
UNIVERSITEIT TWENTE
ZENTRUM FUR SOZIALE INNOVATION GMBH
NORCE NORWEGIAN RESEARCH CENTRE AS
NECTON-COMPANHIA PORTUGUESA DE CULTURAS MARINHAS SA
ALLMICROALGAE NATURAL PRODUCTS SA
ASSOCIACAO OCEANO VERDE LABORATORIO COLABORATIVO PARA O DESENVOLVIMENTO DE TECNOLOGIAS E PRODUTOS VERDES DO OCEANO
ALGOSOURCE TECHNOLOGIES
GIVAUDAN NEDERLAND BV
VIVA MARIS GMBH
TRADIZIONI PADANE SRL
CALE - INDUSTRIA E COMERCIO, LDA
ALVER WORLD SA
ENERVIT SPA
CONSERVAS HIJOS DE MANUEL SANCHEZ BASARTE SA
CENTRO NACIONAL DE TECNOLOGIA Y SEGURIDAD ALIMENTARIA
NUTRITION SCIENCES
INVE TECHNOLOGIES NV
VITAFORT ELSO TAKARMANYGYARTO ES FORGALMAZO ZARTKORUEN MUKODO RT
COOP ITALIA - SOCIETA' COOPERATIVA SCRL
APEXAGRI SAS
WIISE SRL SOCIETA' BENEFIT
CIVITTA EESTI AS
AXIA INNOVATION GmbH
RDC INFORMATICS S.A.
ESU-SERVICES GMBH
FOODCOMPANIONS HOLDING BV
EUROPEAN FOOD INFORMATION COUNCIL
FOODCOMPANIONS BV</t>
  </si>
  <si>
    <t xml:space="preserve">Unlocking the potential of EU cultivated quinoa through the production of protein-rich quinoa flour and functional quinoa starch</t>
  </si>
  <si>
    <t xml:space="preserve">Production of quinoa, an excellent source of protein and amino acids, has grown substantially in Europe over the last decade. However, there's no commercial exploitation of quinoa protein and its co-ingredients. This is because of the absence of any breakthrough fractionation technology that is adapted to the special nature of quinoa seeds. The EU-funded QUINNOVA project will use an innovative dry fractionation technology to unlock the full potential of quinoa. This environmentally friendly process uses less energy and water than alternative technologies. The project intends to scale up the technology to industrial level to help meet European demand for high-quality plant-based protein.</t>
  </si>
  <si>
    <t xml:space="preserve">https://cordis.europa.eu/project/id/868154</t>
  </si>
  <si>
    <t xml:space="preserve">GREENFOOD50 BV</t>
  </si>
  <si>
    <t xml:space="preserve">Green Biorefinery for the production of food and feed proteins and products such as enzymes, biochemicals, and biofuels</t>
  </si>
  <si>
    <t xml:space="preserve">The research focuses on the utilization of "green plants" (ie plants in active growth, such as lucerne and clover grasses), with optimal climate and sustainability profiles, to extract proteins for feed and food, before further utilizing the residual solid and liquid biomass fractions in various ways, see figure. We have developed various methods for recovery of proteins including a lactic acid fermentation method and a membrane filtration method.</t>
  </si>
  <si>
    <t xml:space="preserve">https://www.carlsbergfondet.dk/en/what-we-have-funded/cf18-1024/</t>
  </si>
  <si>
    <t xml:space="preserve">Department of Chemistry and Bioscience</t>
  </si>
  <si>
    <t xml:space="preserve">Private</t>
  </si>
  <si>
    <t xml:space="preserve">Safe precision fermentation for production of dairy and meat protein analogues (SAFERMENT)</t>
  </si>
  <si>
    <t xml:space="preserve">SAFERMENT aims to identify potential food safety hazards in production chains of alternative protein analogues based on precision fermentation (PF). Focus will be on genetically modified micro-organisms (GMMs) producing analogues of animal proteins and will address food safety as an integral part of the safety culture for innovative PF-based production.
The SAFERMENT project aims to identify and analyse potential food safety hazards in food production chains of dairy and meat protein analogues based on precision fermentation, from the substrate to the end-product and consumer. An inventory and assessment of the potential hazards will aid stakeholders in this field to develop safe production chains and end products derived from precision fermentation. The focus will be on genetically modified micro-organisms (GMMs) that produce analogues of dairy and meat proteins, and the proposed research will address food safety as an integral part of the safety culture surrounding innovative fermentation-based production methods and novel food development and manufacturing.
The specific food safety aspects that will be addressed in this project are 1) the allergenic properties of recombinant dairy and meat protein analogues, 2) differences in protein modifications between recombinant analogues and natural variants of dairy and meat proteins and how this might be used in food authentication, 3) the presence of recombinant genetic material in protein fractions to be used in novel food products, 4) hazard identification and risk analysis in production chains of dairy and meat protein analogues, and 5) consumer risk perception for the consumption of novel food products containing animal-free dairy/meat proteins produced using GMMs. 
Outcomes from the project will contribute to the implementation of safe production chains for recombinant dairy and meat protein analogues and their safe use as food ingredients. Identification of safety issues in the production chains and how to address them will be of importance for both producers and end-users of these food ingredients. The project will also provide an overview of consumer attitudes towards products containing animal-free yet recombinant dairy and meat protein analogues. The outcomes of this project will thus be important for safe and successful commercialisation of recombinant animal-free dairy and meat protein analogues.</t>
  </si>
  <si>
    <t xml:space="preserve">https://www.wur.nl/nl/onderzoek-resultaten/kennisonline-onderzoeksprojecten-lvvn/kennisonline/safe-precision-fermentation-for-production-of-dairy-and-meat-protein-analogues-saferment-1.htm</t>
  </si>
  <si>
    <t xml:space="preserve">MHJ (Mark) Sturme</t>
  </si>
  <si>
    <t xml:space="preserve">Wageningen Food Safety Research</t>
  </si>
  <si>
    <t xml:space="preserve">Wageningen Food and Bio-based Research, Wageningen Plant Research, Wageningen University—Marketing and Consumer Behavior Group, NIZO Food Research, the National Institute for Public Health and the Environment (RIVM), Those Vegan Cowboys, TurtleTree Labs, Real Deal Milk, Fonterra, Abbott Laboratories.</t>
  </si>
  <si>
    <t xml:space="preserve">Ministerie LNV</t>
  </si>
  <si>
    <t xml:space="preserve">Transforming plant-based protein with protein-rich microorganisms</t>
  </si>
  <si>
    <t xml:space="preserve">The project will develop and apply a fermentation technique to improve taste, texture and functionality of legumes. First and foremost, this will involve finding the right microorganisms for fermentation and then testing them in the laboratory. The results of the project will be used to understand the critical factors needed to produce economically viable, plant-based protein products.</t>
  </si>
  <si>
    <t xml:space="preserve">https://groenprojektbank.dk/plantefonden/2023/transforming-plant-based-protein-with-protein-rich-microorganisms</t>
  </si>
  <si>
    <t xml:space="preserve">Grøn Projektbank</t>
  </si>
  <si>
    <t xml:space="preserve">FUTUREDAIRY: Non-animal Dairy Favorites – Danbo cheese and Natural Yogurt</t>
  </si>
  <si>
    <t xml:space="preserve">The project will develop a plant-based Danbo cheese and natural yogurt. The project will use precision fermentation to produce ”milk” proteins based on peas, broad beans and other novel alternative protein sources, as well as other upcycled side streams.</t>
  </si>
  <si>
    <t xml:space="preserve">PlanetDairy ApS</t>
  </si>
  <si>
    <t xml:space="preserve">Ministry of Food, Agriculture and Fisheries of Denmark</t>
  </si>
  <si>
    <t xml:space="preserve">Cheese, yoghurt</t>
  </si>
  <si>
    <t xml:space="preserve">The potential of different Oat varieties for Oat drink – (POATential)</t>
  </si>
  <si>
    <t xml:space="preserve">https://groenprojektbank.dk/plantefonden/2023/the-potential-of-different-oat-varieties-for-oat-drink-poatential</t>
  </si>
  <si>
    <t xml:space="preserve">Seges Innovation P/S</t>
  </si>
  <si>
    <t xml:space="preserve">Consumer-driven Innovation for the Green Transition (FIGO)</t>
  </si>
  <si>
    <t xml:space="preserve">The FIGO project works towards strengthening the plant-based food sector by involving consumers in the product development phase and by developing consumer-driven innovation methods for the development of plant-based products.</t>
  </si>
  <si>
    <t xml:space="preserve">Forbrugerdreven innovation til den grønne omstilling (FIGO)</t>
  </si>
  <si>
    <t xml:space="preserve">http://teknologisk.dk/figo-og-8211-forbrugerdreven-innovation-til-den-groenne-omstilling/45760</t>
  </si>
  <si>
    <t xml:space="preserve">Line Ahm Mielby</t>
  </si>
  <si>
    <t xml:space="preserve">Food Technology</t>
  </si>
  <si>
    <t xml:space="preserve">Teknologisk Institut</t>
  </si>
  <si>
    <t xml:space="preserve">The potential of fermentation using EPS-producing starter cultures in the production of vegan spreads (Vegan Spreads)</t>
  </si>
  <si>
    <t xml:space="preserve">Das Potenzial der Fermentation mittels EPS-produzierender Starterkulturen bei der Herstellung von veganen Brotaufstrichen (Vegan Spreads)</t>
  </si>
  <si>
    <t xml:space="preserve">FEI</t>
  </si>
  <si>
    <t xml:space="preserve">https://www.fei-bonn.de/gefoerderte-projekte/projektdatenbank/01if00364c.projekt</t>
  </si>
  <si>
    <t xml:space="preserve">Claudia Siemer</t>
  </si>
  <si>
    <t xml:space="preserve">Cornelia Rauh, Robert Sevenich
, Myriam Loeffler</t>
  </si>
  <si>
    <t xml:space="preserve">Technische Universität Berlin, KU Leuven</t>
  </si>
  <si>
    <t xml:space="preserve">IGF</t>
  </si>
  <si>
    <t xml:space="preserve">Spreads</t>
  </si>
  <si>
    <t xml:space="preserve">Improvement of the stability of plant protein-containing emulsions through the use of specific fractions</t>
  </si>
  <si>
    <t xml:space="preserve">https://www.fei-bonn.de/gefoerderte-projekte/projektdatenbank/01if22378n.projekt</t>
  </si>
  <si>
    <t xml:space="preserve">Jenny Weißbrodt</t>
  </si>
  <si>
    <t xml:space="preserve">Symrise AG</t>
  </si>
  <si>
    <t xml:space="preserve">Stephan Drusch, Juliane Brühan
</t>
  </si>
  <si>
    <t xml:space="preserve">Elucidation of the molecular causes of the bitter-astringent off-flavor and off-aroma in protein concentrates and isolates from faba beans (Vicia faba L.)</t>
  </si>
  <si>
    <t xml:space="preserve">Klärung der molekularen Ursachen des bitter-adstringierenden Fehlgeschmacks und des Fehlaromas von Proteinkonzentraten bzw. Proteinisolaten aus Ackerbohnen (Vicia faba L.)</t>
  </si>
  <si>
    <t xml:space="preserve">https://www.fei-bonn.de/gefoerderte-projekte/projektdatenbank/01if22476n.projekt</t>
  </si>
  <si>
    <t xml:space="preserve">Jakob Ley</t>
  </si>
  <si>
    <t xml:space="preserve">Corinna Dawid, Oliver Frank, Veronika Somoza, Michael Paul, Martin Steinhaus, Stephanie Frank</t>
  </si>
  <si>
    <t xml:space="preserve">Technische Universität München, Leibniz-Institut für Lebensmittel-Systembiologie an der Technischen Universität München</t>
  </si>
  <si>
    <t xml:space="preserve">Characterization of pea and oat protein fractions for designing and optimizing processes for the production of dairy alternatives</t>
  </si>
  <si>
    <t xml:space="preserve">Charakterisierung von Erbsen- und Haferproteinfraktionen zum Auslegen und Optimieren von Prozessen für die Herstellung von Alternativen zu Milchprodukten
</t>
  </si>
  <si>
    <t xml:space="preserve">https://www.fei-bonn.de/gefoerderte-projekte/projektdatenbank/01if22684n.projekt</t>
  </si>
  <si>
    <t xml:space="preserve">Christopher Guyot</t>
  </si>
  <si>
    <t xml:space="preserve">Müller Service GmbH</t>
  </si>
  <si>
    <t xml:space="preserve">Veronika Somoza, Astrid Fischer, Katharina Scherf, Barbara Lexhaller, Jörg Hinrichs</t>
  </si>
  <si>
    <t xml:space="preserve">Leibniz-Institut für Lebensmittel-Systembiologie an der Technischen Universität München, Universität Hohenheim</t>
  </si>
  <si>
    <t xml:space="preserve">Application of dry separation techniques for the production of functional protein-enriched powders from legumes with a focus on milling and triboelectric separation technology</t>
  </si>
  <si>
    <t xml:space="preserve">Einsatz trockener Trennverfahren zur Herstellung von funktionellen proteinangereicherten Pulvern aus Hülsenfrüchten mit Fokus auf Vermahlung und triboelektrische Separationstechnologie</t>
  </si>
  <si>
    <t xml:space="preserve">https://www.fei-bonn.de/gefoerderte-projekte/projektdatenbank/01if22876n.projekt</t>
  </si>
  <si>
    <t xml:space="preserve">Bertram Brenner</t>
  </si>
  <si>
    <t xml:space="preserve">Brenner Consulting</t>
  </si>
  <si>
    <t xml:space="preserve">Volker Heinz, Volker Lammers, Petra Först, Joshua Greiner</t>
  </si>
  <si>
    <t xml:space="preserve">Deutsches Institut für Lebensmitteltechnik e.V. (DIL), Technische Universität München</t>
  </si>
  <si>
    <t xml:space="preserve">Spore-reduced plant protein concentrates with low degrees of denaturation through sequential membrane filtration</t>
  </si>
  <si>
    <t xml:space="preserve">Sporenreduzierte pflanzliche Proteinkonzentrate mit geringem Denaturierungsgrad durch sequentielle Membranfiltration</t>
  </si>
  <si>
    <t xml:space="preserve">https://www.fei-bonn.de/gefoerderte-projekte/projektdatenbank/01if23019n.projekt</t>
  </si>
  <si>
    <t xml:space="preserve">Jakob Fröhlich</t>
  </si>
  <si>
    <t xml:space="preserve">Alpavit Käserei Champignon Hofmeister GmbH</t>
  </si>
  <si>
    <t xml:space="preserve">Jörg Hinrichs</t>
  </si>
  <si>
    <t xml:space="preserve">Occurrence and behavior of spore-forming bacteria in meat substitute products</t>
  </si>
  <si>
    <t xml:space="preserve">Vorkommen und Verhalten sporenbildender Bakterien in Fleischersatzprodukten</t>
  </si>
  <si>
    <t xml:space="preserve">https://www.fei-bonn.de/gefoerderte-projekte/projektdatenbank/01if23031n.projekt</t>
  </si>
  <si>
    <t xml:space="preserve">Marc Zillmann</t>
  </si>
  <si>
    <t xml:space="preserve">The Plantly Butchers GmbH &amp; Co</t>
  </si>
  <si>
    <t xml:space="preserve">Volker Heinz, Christian Hertel, Ramona Nitzsche, Charles Franz, Gregor Fiedler</t>
  </si>
  <si>
    <t xml:space="preserve">Deutsches Institut für Lebensmitteltechnik e. V. (DIL), Max-Rubner-Institut (MRI)</t>
  </si>
  <si>
    <t xml:space="preserve">Assessment of physicochemical influencing factors on the foam properties of reconstituted powdered plant protein isolates</t>
  </si>
  <si>
    <t xml:space="preserve">https://www.fei-bonn.de/gefoerderte-projekte/projektdatenbank/01if23032n.projekt</t>
  </si>
  <si>
    <t xml:space="preserve">Cornelia Rauh, Julia Matysek</t>
  </si>
  <si>
    <t xml:space="preserve">Characterization of textural properties of meat and meat analogs through oral processing</t>
  </si>
  <si>
    <t xml:space="preserve">Charakterisierung der texturellen Eigenschaften von Fleisch und Fleischanalogen mittels Oral processing</t>
  </si>
  <si>
    <t xml:space="preserve">https://www.fei-bonn.de/gefoerderte-projekte/projektdatenbank/01if23036n.projekt</t>
  </si>
  <si>
    <t xml:space="preserve">Bianca Schneider-Häder</t>
  </si>
  <si>
    <t xml:space="preserve">Deutsche Landwirtschafts-Gesellschaft e. V. (DLG)</t>
  </si>
  <si>
    <t xml:space="preserve">Jochen Weiss</t>
  </si>
  <si>
    <t xml:space="preserve">Fermentative production of texturizing acetans and acetan-containing ingredients from industrial side streams</t>
  </si>
  <si>
    <t xml:space="preserve">Fermentative Gewinnung von texturierenden Acetanen und acetanhaltigen Zutaten aus industriellen Nebenströmen</t>
  </si>
  <si>
    <t xml:space="preserve">https://www.fei-bonn.de/gefoerderte-projekte/projektdatenbank/01if23048n.projekt</t>
  </si>
  <si>
    <t xml:space="preserve">Markus Veen</t>
  </si>
  <si>
    <t xml:space="preserve">Rovita GmbH</t>
  </si>
  <si>
    <t xml:space="preserve">Anja Maria Wagemans, Doris Jaros,  Daniel Wefers</t>
  </si>
  <si>
    <t xml:space="preserve">Technische Universität Dresden, Universität Halle-Wittenberg</t>
  </si>
  <si>
    <t xml:space="preserve">Minimizing the formation of large compacted aggregates during thermal treatment of protein-containing foods</t>
  </si>
  <si>
    <t xml:space="preserve">Minimieren der Bildung großer verdichteter Aggregate während der thermischen Behandlung proteinhaltiger Lebensmittel</t>
  </si>
  <si>
    <t xml:space="preserve">https://www.fei-bonn.de/gefoerderte-projekte/projektdatenbank/01if23346n.projekt</t>
  </si>
  <si>
    <t xml:space="preserve">Christian Trgo</t>
  </si>
  <si>
    <t xml:space="preserve">J. Bauer GmbH &amp; Co. KG</t>
  </si>
  <si>
    <t xml:space="preserve">Fouling during the heating of plant-based milk alternatives – mechanisms, kinetics, and online detection for cleaning validation</t>
  </si>
  <si>
    <t xml:space="preserve">Fouling beim Erhitzen pflanzlicher Milchalternativen – Mechanismen, Kinetik sowie online Detektion zur Validierung des Reinigungserfolgs</t>
  </si>
  <si>
    <t xml:space="preserve">https://www.fei-bonn.de/gefoerderte-projekte/projektdatenbank/01if23335n.projekt</t>
  </si>
  <si>
    <t xml:space="preserve">Jörg Hinrichs, Thomas Becker, Dominik Geier</t>
  </si>
  <si>
    <t xml:space="preserve">Universität Hohenheim, Technische Universität München</t>
  </si>
  <si>
    <t xml:space="preserve">Basidiomyceten-vermittelte Fermentation pflanzlicher Rohstoffe und Nebenströme zur Herstellung von Käsearomen und veganer Käsealternativen
</t>
  </si>
  <si>
    <t xml:space="preserve">https://www.fei-bonn.de/gefoerderte-projekte/projektdatenbank/01if23315n.projekt</t>
  </si>
  <si>
    <t xml:space="preserve">Katharina Prell</t>
  </si>
  <si>
    <t xml:space="preserve">Yanyan Zhang, Mario Jekle</t>
  </si>
  <si>
    <t xml:space="preserve">APRISE -  Alternative Proteins Research and Innovation Skills Enhancement</t>
  </si>
  <si>
    <t xml:space="preserve">The project will develop new protein sources from Turkish crops like chickpeas, lentils, and other legumes. These proteins will be used in products such as dairy alternatives and ready-to-eat foods.</t>
  </si>
  <si>
    <t xml:space="preserve">https://www.middleeastvegansociety.org/blog/turkish-researchers-secure-horizon-europe-funding-for-plant-based-protein-innovation</t>
  </si>
  <si>
    <t xml:space="preserve">Mecit Halil Öztop</t>
  </si>
  <si>
    <t xml:space="preserve">Middle East Technical University (METU)</t>
  </si>
  <si>
    <t xml:space="preserve">Plant Based Foods Association, Türkiye Technology Development Foundation, SÜTAŞ</t>
  </si>
  <si>
    <t xml:space="preserve">Developing innovative plant-based added-value food products through the promotion of LOCAL Mediterranean NUT and LEGUME crops (LOCALNUTLEG)</t>
  </si>
  <si>
    <t xml:space="preserve">The LOCALNUTLEG project objective is to empower local Mediterranean nuts and legumes with a legal registered trademark (Protected Designation of Origin (PDO), Protected Geographical Indication (PGI)) or autochthonous identity through the development of innovative plant-based added-value food products tied to recover the attractiveness of the Mediterranean diet. The project aims to identify local nut and legumes varieties linked to Mediterranean gastronomic cultures, providing alternative-protein and maximum amount of nutrients and bioactive compounds and adopting them in Mediterranean diets through their use in plant-based dairy analogues, potential plant-based flours for bakery and pasta and added-value traditional ready-to-eat meals. Qualitative and quantitative research will be carried out in EU participating countries (Spain, Portugal, Italy, Germany and France) and non-EU countries (Israel, Turkey and Morocco) to determine consumer acceptance of the developed products.</t>
  </si>
  <si>
    <t xml:space="preserve">https://localnutleg.eu/</t>
  </si>
  <si>
    <t xml:space="preserve">Ingrid Aguiló-Aguayo</t>
  </si>
  <si>
    <t xml:space="preserve">IRTA - Agri-food and Technology Research Institute</t>
  </si>
  <si>
    <t xml:space="preserve">UPC - Universitat Politècnica de Catalunya BarcelonaTech, IPB - Polytechnic Institute of Bragança, MORE - Collaborative Laboratory Mountains of Research, Association, UMIL - University of Milan, FRAUNHOFER - Fraunhofer Gesellschaft zur Forderung der Angewandten Forschung EV, IZTECH - Izmir Institute of Technology, BUFED - Bursa Uludag University Department of Food Engineering, ARO - Agricultural Research Organization, THC - Tel-Hai Academic College, UNIO - UNIO Nuts, SCCL, SORTEGEL-Produtos Congelados SA, ZINI - Zini Prodotti Alimentari, UN PA Patisserie - UN PA Textile Construction Food Livestock and Electronic Ind.Trade.Co.Ltd., UKKOOP - Urla Women Entrepreneurship Production and Management Cooperative, CHICKP - Chickp-Protein, FERRER - Conserves Ferrer, S.A., MAI - Moroccan Almonds International, LM - La Mandorle</t>
  </si>
  <si>
    <t xml:space="preserve">PRIMA (Partnership for Research and Innovation in the Mediterranean Area)</t>
  </si>
  <si>
    <t xml:space="preserve">LOCALITY - Nature-positive aLgae-based fOod, agriCulture, AquacuLture and textIle producTs made in North and Baltic Sea ecosYstems</t>
  </si>
  <si>
    <t xml:space="preserve">In light of the impact of climate change and the significant damage caused by recent climate disasters, the EU is actively promoting the establishment of value chains across European industries and among various stakeholders. The algae industry presents a promising solution for fostering productive value chains through collaboration with other parties. The EU-funded LOCALITY project aims to create multiple innovative, local, and sustainable algae value chains in countries bordering the Baltic and North Seas. These chains will emphasise the potential synergies between actors in the algae industry and relevant waste stream producing sectors. The produced algae biomass will be used in sustainable product development, meeting different market sectors – food, aquafeed, agriculture, and textile.</t>
  </si>
  <si>
    <t xml:space="preserve">https://cordis.europa.eu/project/id/101112884</t>
  </si>
  <si>
    <t xml:space="preserve">Margarida Costa</t>
  </si>
  <si>
    <t xml:space="preserve">NORSK INSTITUTT FOR VANNFORSKNING</t>
  </si>
  <si>
    <t xml:space="preserve">WAGENINGEN UNIVERSITY
ASSOCIACAO OCEANO VERDE LABORATORIO COLABORATIVO PARA O DESENVOLVIMENTO DE TECNOLOGIAS E PRODUTOS VERDES DO OCEANO
INSTITUT DE RECERCA I TECNOLOGIA AGROALIMENTARIES
ALGAIA
EUROPEAN SCIENCE COMMUNICATION INSTITUTE (ESCI) GGMBH
MTU CIVITTA FOUNDATION
PROVIRON HOLDING NV
ALGEN, CENTER ZA ALGNE TEHNOLOGIJE, DOO
NORD UNIVERSITET
LGEMSYNALGAE BV
QUAZY FOODS GMBH
LOVELY DAY FOODS GMBH
AgriFood Lithuania DIH
UNIWERSYTET ROLNICZY IM. HUGONA KOLLATAJA W KRAKOWIE
UMEA UNIVERSITET
RIASEARCH, UNIPESSOAL, LDA
FBCD AS
FOLVENGAARD AS
CHRISTIAN-ALBRECHTS-UNIVERSITAET ZU KIEL
ORIGIN BY OCEAN OY
ALLER AQUA GROUP AS
VIVA MARIS GMBH
NORDIC SEAFARM AB
HOEGSKOLAN I BORAS
MOUNID AB
VITAL SEAFOOD AS</t>
  </si>
  <si>
    <t xml:space="preserve">Algae</t>
  </si>
  <si>
    <t xml:space="preserve">Agri and food waste valorisation co-ops based on flexible multi-feedstocks biorefinery processing technologies for new high added value applications (AGRIMAX)</t>
  </si>
  <si>
    <t xml:space="preserve">Approximately one third of all food produced globally is wasted every year throughout the whole value chain-from farmers to consumers. To extract the significant amounts of valuable compounds contained in these wastes, AgriMax will combine affordable and flexible processing technologies (ultrasound assisted and solvent extraction, filtration, thermal and enzymatic treatments) for the valorization of side streams from the horticultural culture and food processing industry to be used in a cooperative approach by local stakeholders.
Through the selection of case-scenarios previously developed to a pilot scale by the participating RTOs and their industrial transfer in new applications as food additives, packaging and agricultural materials among others, the project will disclose the holistic potential of four new agro-value chains (residues and by products from the culture and processing of tomato, cereals, olives, potato). Any by-product generated along the production cycle will be valorized in a cascade manner to reach over 40% of high value use of the waste. This will lead to additional production of active ingredients in lower concentration, but also fibres, biogas and fertilizers from the left biomass (the latter with the aim of being used in closed loop in the culture of the crops used in the project to prevent soil impoverishing). An LCA and LCC will also study the best approach to minimize the environmental impact of the new value chains without jeopardizing the cost effectiveness of the operations. The pilot multi-feedstock bio-refinery processes will be validated in two demonstration sites in Spain and Italy. Societal, ethical, safety, techno-feasibility and regulatory aspects will be studied. Last but not least, a business model and platform for communication between the potential raw materials suppliers will be set up to maximize the use of the cooperative treatment plants throughout the year.</t>
  </si>
  <si>
    <t xml:space="preserve">https://cordis.europa.eu/project/id/720719</t>
  </si>
  <si>
    <t xml:space="preserve">Cristina Fernandez</t>
  </si>
  <si>
    <t xml:space="preserve">IRIS TECHNOLOGY SOLUTIONS, SOCIEDAD LIMITADA</t>
  </si>
  <si>
    <t xml:space="preserve">AIMPLAS - ASOCIACION DE INVESTIGACION DE MATERIALES PLASTICOS Y CONEXAS
UNIVERSITEIT GENT
CONSORZIO INTERUNIVERSITARIO NAZIONALE PER LA SCIENZA E TECNOLOGIA DEI MATERIALI  
CONSIGLIO NAZIONALE DELLE RICERCHE
INSTITUT DE RECERCA I TECNOLOGIA AGROALIMENTARIES
NOFIMA AS
INSTITUTO TECNOLOGICO DEL EMBALAJE, TRANSPORTE Y LOGISTICA
ALMA MATER STUDIORUM - UNIVERSITA DI BOLOGNA
FRAUNHOFER GESELLSCHAFT ZUR FORDERUNG DER ANGEWANDTEN FORSCHUNG EV
STAZIONE SPERIMENTALE PER L'INDUSTRIA DELLE CONSERVE ALIMENTARI AZIENDA SPECIALE
UNIVERSITY COLLEGE DUBLIN, NATIONAL UNIVERSITY OF IRELAND, DUBLIN
UNIVERSIDAD DE ALMERIA
BIOVALE LIMITED
FEDERACIO DE COOPERATIVES AGRARIES DE CATALUNYA
FACHVERBAND DER NAHRUNGS UND GENUSSMITTELINDUSTRIE
LEBENSMITTELVERSUCHSANSTALTGOSPODARSKO INTERESNO ZDRUZENJE GROZD PLASTTEHNIKA - GIZ GROZD PLASTTEHNIKA
CHIESA VIRGINIO
EXERGY LTD
ARCHA SRL
FEMTO ENGINEERING SRL
LASER CONSULT MUSZAKI-TUDOMANYOS ES GAZDASAGI TANACSADO KORLATOLT FELELOSSEGU TARSASAG
SQIM SRL
NORMEC OWS
BIOPROCESS PILOT FACILITY BV
FERTINAGRO BIOTECH SL
GAVIPLAS, S.L.
BARILLA G. E R. FRATELLI SPA
INDULLEIDA S.A.
ARDAGH GROUP ITALY SRL
TRIVIUM PACKAGING ITALY SRL
CHIESA VIRGINIO E C SOCIETA' SEMPLICE AGRICOLA</t>
  </si>
  <si>
    <t xml:space="preserve">The Political Economy of Meat System Transformation</t>
  </si>
  <si>
    <t xml:space="preserve">The industrial food system is a significant contributor to global social and ecological problems. In particular, large-scale production and consumption of meat are threatening the sustainability of the Earth’s ecosystem. According to a recent IPCC special report, preventing runaway climate change and meeting the Sustainable Development Goals soon is unrealistic without significant shifts towards plant-based diets. However, meat consumption is still growing in both developed and emerging economies. 
The main objective of this project is to investigate the socio-technical conditions, policy narratives, and feedback dynamics that shape the current regime of meat production and consumption in the world’s top three meat suppliers and demanders – China, the EU and the US. 
Thus, the main research questions it seeks to answer are:
How have public policies evolved to stabilize or destabilize the current meat production and consumption systems in China, the EU and the US?
To what extent have (policy) narratives and social norms regarding meat consumption and production changed in and diffused across China, the EU and the US? What are the roles of the shocks of COVID-19 and technological innovations (especially the rise of meat substitutes) in driving these changes?
What are the impacts of changes in narratives and social norms related to meat on individuals’ consumption behaviors, public opinion, and policy actor networks?
The methods used in the project involve political economy, computational social science, environmental psychology, institutional sociology, and transition studies. The research design combines qualitative policy process-tracing, field and survey experimental, social network, and natural language processing methods. They aim to develop empirical analyses of policy processes, shifts in public and media discourses and social norms, and changes in actor coalition networks.
This project builds on transdisciplinary cooperation between various scientific disciplines and decision-makers from international and non-governmental organizations. 
The study aims at a high policy impact by continuously integrating insights from policymakers and stakeholders during interactive workshops, regularly publishing policy briefs, and organizing a public conference on meat system transformation.</t>
  </si>
  <si>
    <t xml:space="preserve">https://snis.ch/projects/the-political-economy-of-meat-system-transformation/</t>
  </si>
  <si>
    <t xml:space="preserve">Lukas Fesenfeld</t>
  </si>
  <si>
    <t xml:space="preserve">University of Bern</t>
  </si>
  <si>
    <t xml:space="preserve">Elke Weber, Bowen Yu, Elliott Ash, Maiken Maier, Pan He, Yixian Sun </t>
  </si>
  <si>
    <t xml:space="preserve">Princeton University, Fudan University, Hochschule Zürich, Cardiff University, University of Bath</t>
  </si>
  <si>
    <t xml:space="preserve">The Swiss Network for International Studies (SNIS)</t>
  </si>
  <si>
    <t xml:space="preserve">SAFEPRO - Safe, sustainable protein sources for the future</t>
  </si>
  <si>
    <t xml:space="preserve">The aim of the project is to establish a knowledge base for producing grass proteins suitable for human consumption.
Sustainable food production calls for alternative protein sources to meat, but the plant proteins in existing novel foods may trigger allergies. To promote the development of sustainable, plant-based proteins, there is a need for more knowledge about the relationship between grass protein ingredients, processing methods, nutritional values and allergenicity.</t>
  </si>
  <si>
    <t xml:space="preserve">https://agrifoodture.com/projects/safepro/</t>
  </si>
  <si>
    <t xml:space="preserve">Katrine Lindholm Bøgh</t>
  </si>
  <si>
    <t xml:space="preserve">Technical University of Denmark (DTU)</t>
  </si>
  <si>
    <t xml:space="preserve">Aalborg University, BMP-BiomassProtein, Vestjyllands Andel/Ausumgaard, International Flavors and Fragrances, Inc.</t>
  </si>
  <si>
    <t xml:space="preserve">Innovation Fund Denmark, European Commission</t>
  </si>
  <si>
    <t xml:space="preserve">Denmark, EU</t>
  </si>
  <si>
    <t xml:space="preserve">Acceptance and economic implementation opportunities of cell-based fish foods</t>
  </si>
  <si>
    <t xml:space="preserve">The three-year research project contributes to making alternative protein sources, particularly flavorful, healthy fish fat cells, usable for human nutrition, thus opening up new options for global food security in times of population growth and climate change. Cell-based production of fish foods enables sustainable and healthy fish consumption. Specifically, this innovation counteracts overfishing of waters and the accumulation of environmental toxins in fish foods. At the same time, the alternatively produced products are virtually identical to today's products in terms of taste, texture, and appearance.</t>
  </si>
  <si>
    <t xml:space="preserve">Department of Economics and Ethics</t>
  </si>
  <si>
    <t xml:space="preserve">PROTEUS - kelP side stReam valOrisaTion to dEvelop new biobased valUe chainS</t>
  </si>
  <si>
    <t xml:space="preserve">Brown macroalgae, particularly L. hyperborea, are an untapped renewable resource in Europe that can be used to produce a variety of products, including alginates, cellulose, and other polysaccharides, as well as flavours and nutritional ingredients for human and animal health and welfare. 
However, current harvesting approaches are limiting the widespread valorisation of Europe’s kelp resources. Specifically, formaldehyde is used to prevent harvest rot, which occurs when brown kelp is exposed to air, causing chemical and enzymatic reactions. Additionally, the current production is mainly focused on the extraction of alginate, the most valuable fraction, resulting in the utilisation of only 15% of L. hyperborea’s biomass. 
PROTEUS aims to maximise the value of L. hyperborea by optimising formaldehyde-free harvesting and residual extraction methods. With this, the project will enable full use of the L. hyperborea resource at a large scale and help promoting the growth of the EU’s blue economy.</t>
  </si>
  <si>
    <t xml:space="preserve">https://www.cbe.europa.eu/projects/proteus</t>
  </si>
  <si>
    <t xml:space="preserve">Alginor ASA</t>
  </si>
  <si>
    <t xml:space="preserve">HAVFORSKNINGSINSTITUTTET
OLMIX
STEINBEIS INNOVATION GGMBH
BORREGAARD AS
Vaessen-Schoemaker B.V.
CLIC INNOVATION OY
ALGINOR BIOREFINERY AS
Hypomar AS
ESSITY HYGIENE AND HEALTH AB
NORSUS NORSK INSTITUTT FOR BAEREKRAFTSFORSKNING AS</t>
  </si>
  <si>
    <t xml:space="preserve">Federating Irish research infrastructures to accelerate development of sustainable bioprocesses</t>
  </si>
  <si>
    <t xml:space="preserve">This project will create an all-island Irish network of research organisations to overcome silos in the fields of industrial and food biotechnology. This will ensure that diverse facilities and expertise can be leveraged to accelerate research and innovation in areas such as precision fermentation, alternative foods, production of bio-based proteins and chemicals, and development of sustainable biobased processes. An audit will be carried out to determine the capacity and facilities that are available nationally in industrial biotechnology. We will also perform a deep analysis of the market opportunities and commercial relevance of a wide range of biomolecules, including proteins, lipids, carbohydrates and chemicals, that can be produced through precision fermentation. A roadmap that identifies areas where strategic investment in infrastructure, skills training or education can have the greatest impact on sectoral innovation, inward investment, and rural job creation will be produced. The network will establish IBISBAIE as the Irish national node in IBISBA, which is the European research infrastructure for industrial biotechnology. The aim is to ensure that when the IBISBA-ERIC legal entity is established, research facilities in multiple Irish institutions will be accredited to provide services to the ERIC. This accreditation requires the use of standardised processes and interoperability of research infrastructures. The SUSFERM RI in UCC, which is already a member of IBISBA, will be used as a testbed to develop the standards and protocols to be implemented across the network. This will involve developing </t>
  </si>
  <si>
    <t xml:space="preserve">https://www.gov.ie/en/department-of-agriculture-food-and-the-marine/press-releases/minister-heydon-announces-223-million-in-new-research-grants/</t>
  </si>
  <si>
    <t xml:space="preserve">John Morrissey</t>
  </si>
  <si>
    <t xml:space="preserve">School of Microbiology</t>
  </si>
  <si>
    <t xml:space="preserve">University College Cork, Munster Technological University</t>
  </si>
  <si>
    <t xml:space="preserve">Research infrastructure, Networking</t>
  </si>
  <si>
    <t xml:space="preserve">Sarcopenia in the Older post-menopausal Woman - sustainable Plant protein Solutions</t>
  </si>
  <si>
    <t xml:space="preserve">SO-PLANTS is a multidisciplinary food science project to produce protein based beverages by blending oat, quinoa, pea and fava bean. These nutritious beverages will be designed specifically for the older consumer. This is a growing population group with estimates suggesting 1.6 million people over the age of 65 living in Ireland by 2051. We know that by simply increasing dietary protein in their diet, we can decrease frailty (and sarcopenia) allowing them to live healthier for longer. To formulate our protein beverages, we will look to food consumption surveys to understand the current protein (and individual amino acid) intake levels of the older adult in Ireland. This will inform beverage formulations. Once produced, the efficacy of the beverages will be tested in the laboratory. We will track protein digestion in the gut, the arrival of amino acids into the bloodstream and assess the health benefits to muscle by using in vitro models. The project will go beyond ‘state of the art’ by developing laboratory models to mimic older adult digestion, an aged gut barrier and atrophic muscle cells. Using our beverages, a nutritional intervention trial will be performed with post-menopausal women. </t>
  </si>
  <si>
    <t xml:space="preserve">Linda Giblin</t>
  </si>
  <si>
    <t xml:space="preserve">Scaling production of animal-free egg protein (Bioalbumen)</t>
  </si>
  <si>
    <t xml:space="preserve">Eggs are an essential part of food businesses, but with the egg market constantly fluctuating due to avian flu and increased demand for cage-free, manufacturers are challenged to find a viable replacement with a consistent, reliable, and safe supply of high-quality protein at an accessible price. This calls for a long-term sustainable solution for chicken eggs and Onego Bio addresses this challenge.
The startup works with the mission to rethink eggs and give people access to sustainable, tasty, and healthy food.</t>
  </si>
  <si>
    <t xml:space="preserve">https://techfundingnews.com/finnish-biotech-onego-bio-secures-e14m-to-scale-animal-free-egg-protein/</t>
  </si>
  <si>
    <t xml:space="preserve">Maija Itkonen, Christopher Landowski</t>
  </si>
  <si>
    <t xml:space="preserve">Accelerator Program</t>
  </si>
  <si>
    <t xml:space="preserve">MeatyMarble and DairyMarble - reducing production costs and accelerating pre-commercialization</t>
  </si>
  <si>
    <t xml:space="preserve">Melt&amp;Marble uses precision fermentation and microbial engineering to create sustainable and resource-efficient alternatives to animal fats, cocoa butter, palm oil, and other agriculturally derived lipids.
With the new funding, the female-led company will reduce production costs and accelerate the pre-commercialization of its first products: MeatyMarble and DairyMarble.</t>
  </si>
  <si>
    <t xml:space="preserve">https://vegconomist.com/company-news/meltmarble-e2-76m-eu-grants-market-launch-designer-fats-2025/?utm_medium=email&amp;utm_source=rasa_io&amp;utm_campaign=newsletter</t>
  </si>
  <si>
    <t xml:space="preserve">Anastasia Krivoruchko</t>
  </si>
  <si>
    <t xml:space="preserve">Melt&amp;Marble</t>
  </si>
  <si>
    <t xml:space="preserve">Development of innovative technology for producing meat using the cellular method</t>
  </si>
  <si>
    <t xml:space="preserve">Obtaining the grant means that LabFarm will be able to implement a research plan that involves increasing production capacity and optimizing bioprocesses; working on proprietary formulas for nutrients; structuring the food product and increasing employment, the company indicated.
It was added that work is also planned on a prototype of wet pet food, which is a result of the decision made by the company's management board to expand the company's activities also in the pet food sector.</t>
  </si>
  <si>
    <t xml:space="preserve">https://www.portalspozywczy.pl/mieso/wiadomosci/polska-spolka-na-technologie-wytwarzania-miesa-metoda-komorkowa-otrzymala-ponad-9-mln-zl-z-ncbr,261093.html</t>
  </si>
  <si>
    <t xml:space="preserve">Wiesław Macherzyński</t>
  </si>
  <si>
    <t xml:space="preserve">SMARTFARM - Development of the four technological pillars that encompass the generation of future foods based on cultured meat</t>
  </si>
  <si>
    <t xml:space="preserve">The overall objective of the project focuses on exploring cellular agriculture from different technical perspectives to generate the holistic knowledge necessary for the development of in vitro meat, with the goal of positioning companies in the Valencian Community as leaders in the field of cultured meat production as a sustainable alternative to traditional meat.</t>
  </si>
  <si>
    <t xml:space="preserve">SMARTFARM - Desarrollo de los cuatro pilares tecnológicos que engloban la generación de alimentos del futuro basados en carne cultivada</t>
  </si>
  <si>
    <t xml:space="preserve">https://www.ainia.com/proyectos-publicos/smartfarm/</t>
  </si>
  <si>
    <t xml:space="preserve">AINIA</t>
  </si>
  <si>
    <t xml:space="preserve">Egg White Replacer for “Undesirable Ingredients”</t>
  </si>
  <si>
    <t xml:space="preserve">https://vegconomist.com/investments-finance/nandi-proteins-500000-egg-white-replacer-undesirable-ingredients/?utm_medium=email&amp;utm_source=rasa_io&amp;utm_campaign=newsletter</t>
  </si>
  <si>
    <t xml:space="preserve">David Flower</t>
  </si>
  <si>
    <t xml:space="preserve">Nandi Proteins</t>
  </si>
  <si>
    <t xml:space="preserve">Nesta, Scottish Enterprise</t>
  </si>
  <si>
    <t xml:space="preserve">Climate Smart Food and Nutritition Research Infrastructure (FOODNUTRI)</t>
  </si>
  <si>
    <t xml:space="preserve">FOODNUTRI will contribute to achieving the global strategic aims included in EUs FOOD 2030 policy and reflected in the Finnish government’s vision (Ruoka 2030): “In 2030, Finnish consumers eat tasty, healthy and safe Finnish food that has been produced sustainably and ethically. The consumers have the ability and the possibility to make conscious choices.” FOODNUTRI will combine research expertise and facilities from the key Finnish organizations to form an internationally recognized top-level RI. FOODNUTRI aims to upgrade domestic raw materials and side streams using innovative food processing and packaging technologies and to provide information on food characteristics, structure and safety, physiological responses to food, consumper acceptance, food consumption and nutrient intake, and on sustainability of food choices. The services are targeted for researchers, food business operators, authorities, health professional, farmers, and for other interested stakeholders.</t>
  </si>
  <si>
    <t xml:space="preserve">https://cris.vtt.fi/en/projects/climate-smart-food-and-nutritition-research-infrastructure</t>
  </si>
  <si>
    <t xml:space="preserve">VTT Technical Research Centre of Finland
Finnish Institute for Health and Welfare (THL)
University of Eastern Finland
South-Eastern Finland University of Applied Sciences (XAMK)
Natural Resources Institute Finland (Luke)
Finnish Environment Institute (SYKE)
Finnish Food Safety Authority
University of Turku</t>
  </si>
  <si>
    <t xml:space="preserve">The Just Transition – (JUST FOOD)</t>
  </si>
  <si>
    <t xml:space="preserve">The project studies ways to transition to a climate-smart and healthy food system in a sustainable, acceptable and just manner. We do not yet have concepts for discussing and assessing the fairness of sustainable food system transition. Moreover, we are missing the practical solutions and policy measures to guide the sustainable transition in a fair manner. Just food project tackles this challenge and develops definitions and criteria for fair and sustainable food system transition.
In this transdisciplinary project we seek answers to:
 What is just food system transition?
 How do we promote it in practice?
 What kind of policy measures will speed up the sustainable and just food system transition?
Just food analyses and tests solutions to just food system transition in cooperation with its partners. We collect, analyse and disseminate knowledge with the help of interdisciplinary modelling, practical case studies, Just food Talks, seminars, newsletters and social media.</t>
  </si>
  <si>
    <t xml:space="preserve">https://www.justfood.fi/en-US/About_the_project</t>
  </si>
  <si>
    <t xml:space="preserve">Minna Kaljonen</t>
  </si>
  <si>
    <t xml:space="preserve">Finnish Environment Institute SYKE</t>
  </si>
  <si>
    <t xml:space="preserve">University of Jyväskylä, e2 Research, Natural Resources Institute Finland LUKE, the National Institute for Health and Welfare THL, Centre for Development and Environment of the University of Bern, Switzerland.</t>
  </si>
  <si>
    <t xml:space="preserve">AlgaeProBANOS</t>
  </si>
  <si>
    <t xml:space="preserve">The overarching objective of AlgaeProBANOS is to demonstrate market accessibility and the presence of sustainable and innovative algae products and solutions from 6 different pilots in the Baltic and North Seas.</t>
  </si>
  <si>
    <t xml:space="preserve">https://cordis.europa.eu/project/id/101112943/reporting</t>
  </si>
  <si>
    <t xml:space="preserve">SUBMARINER NETWORK FOR BLUE GROWTH EWIV</t>
  </si>
  <si>
    <t xml:space="preserve">Food 2.0</t>
  </si>
  <si>
    <t xml:space="preserve">The current global food supply chain is facing challenges: the world’s population is growing, and the need for food is estimated to double by 2050. Extreme weather conditions, especially droughts, will increase with climate change in areas where majority of food is currently produced. Therefore, the importance of northern regions, such as Finland, in food production is growing. Recent global crises disrupt food supply chains and threaten the security of supply. The world situation has also raised the prices of key inputs such as fertilisers and energy. This is why primary producers are struggling with unprecedented profitability challenges in Finland. 
At the same time, the environmental impact of food production must be reduced. The entire food system – both plant and animal production – must operate more comprehensively in accordance with the principles of circular economy and resource efficiency.  
“We need to simultaneously solve the profitability challenge of food production, meet the demands of the growing export markets and move towards more sustainable production methods.“
– Tuomas Salusjärvi, EVP, Growth Businesses and R&amp;D at Valio.
Valio’s role is to initiate and lead wide-ranging cooperation as well as research and development projects with its current and new Food 2.0 ecosystem partners.</t>
  </si>
  <si>
    <t xml:space="preserve">https://www.valio.com/news/valio-is-launching-an-extensive-rdi-project-food-2-0-with-business-finlands-funding-to-develop-a-food-system-of-the-future/</t>
  </si>
  <si>
    <t xml:space="preserve">Riitta Partanen</t>
  </si>
  <si>
    <t xml:space="preserve">Valio</t>
  </si>
  <si>
    <t xml:space="preserve">Mikko Immonen, Niina Valkonen, Virpi Kling, Robert Harmoine</t>
  </si>
  <si>
    <t xml:space="preserve">Deciphering pathways of fatty acid efflux and their use to optimize microbial cell factories</t>
  </si>
  <si>
    <t xml:space="preserve">The question addressed in this research proposal is: how are fatty acid exported from cells? This basic question is of high medical and applied importance. It is of medical importance because the fat storing adipocytes of humans release large quantities of free fatty acids into the circulation upon starvation induced lipolysis, i.e., the lipase-mediated degradation of fat depots. This lipolytic pathway and its resulting accumulation of free fatty acids is intimately linked to metabolic disorders such as obesity, type 2 diabetes and chronic inflammation. The question is of applied relevance because there is a large commercial interest in establishing sustainable sources of biofuel production, i.e., the production of fatty acid derivatives through microbial fermentation. Given the importance of this fatty acid efflux pathway, it is surprising to realize how little we actually know about it. We essentially only know that fatty acid efflux occurs but, we do not know how it occurs at a genetic and molecular level: no transporters or carriers have yet been identified.The aims of the project are twofold. First, we seek to identify molecular components that are required for fatty acid efflux to occur. We hope to achieve this by performing a genetic screen in baker’s yeast, Saccharomyces cerevisiae, to isolate mutants that are synthetic lethal or synthetic sick under conditions when export of free fatty acids is blocked, leading to their toxic accumulation. This genetic screen will be complemented by a more analytical approach to identify genes and their products being upregulated in the oleaginous yeast species, Starmerella bombicola and Yarrowia lipolytica under conditions where these yeasts secrete large quantities of fatty acids into the culture medium. Candidate genes will then be downregulated and the time-dependent intracellular accumulation of free fatty acids will be monitored. This ab initio approach will be complemented by a candidate gene approach in which we will test whether small secreted fatty acid-binding proteins play a role in the efflux pathway. Our preliminary data indicate that depletion of a small secreted fatty acid-binding protein indeed halts the efflux of free fatty acids.The second aim of the project is to apply the knowledge gained from the above-mentioned approaches to improve the efficiency of fatty acid secretion and thus the overall yield of fatty acids that can be produced by S. cerevisiae and oleaginous yeasts. If this can be achieved, we will aim at modifying the substrate specificity of the identified efflux components to allow for tailored recognition of related small hydrophobic components whose biotechnological production is of relevance, such as fatty alcohols, dicarboxylic acids and polyunsaturated fatty acids (PUFAs).
</t>
  </si>
  <si>
    <t xml:space="preserve">https://data.snf.ch/grants/grant/182725</t>
  </si>
  <si>
    <t xml:space="preserve">Roger Schneiter</t>
  </si>
  <si>
    <t xml:space="preserve">Department of Biology</t>
  </si>
  <si>
    <t xml:space="preserve">University of Fribourg</t>
  </si>
  <si>
    <t xml:space="preserve">Inge Van Bogaert, Aslihan Ekim Kocabey, Zhu Han, Didier Reinhardt, Simon Sprecher</t>
  </si>
  <si>
    <t xml:space="preserve">Ghent University, University of Fribourg</t>
  </si>
  <si>
    <t xml:space="preserve">Innovations for a future-oriented consumption and animal production NOVAnimal</t>
  </si>
  <si>
    <t xml:space="preserve">The annual global per capita consumption of animal products is continuing to rise. This poses challenges for the environment and natural resources, and possibly public health. Swiss Food culture, which centres around dairy products and meat, is not exempt from this. Typically, Swiss diets are characterised by a high consumption of animal products. In this project we will look at the environmental, economic and public health implications associated with animal production and consumption as well as possible future scenarios from both sides of the food chain: from the demand and in particular the growing away-from-home consumption side, and from the agricultural production side, including the associated processing industry.This project conceptualises the animal product value chains as an integrated innovation system. It brings together the stakeholder-oriented «Bedürfnisfeld»(need field)- approach with dynamic system modelling. For a future-oriented animal production, food processing, consumption and healthy nutrition, process-, product-, function- and need-oriented innovations along the entire food chains are required. The primary objective of the project is to develop strategies and recommendations to overcome constraints and to foster the implementation of innovations in the animal products value chains on the micro- (single business), meso- (branch, sector) and macro (policy, education) level. In particular, we aim at developing evidence-based recommendations, guidelines and tools for the target audiences: e.g., meat and dairy processors, decision makers in the food services and catering industry, instructors in vocational education, policy makers in the fields of agriculture, trade, nutrition, public health, research and education.The project will contribute to a transformation of the Swiss food culture. If the dairy and meat per capita consumption declines over the coming years, Switzerland could become an interesting role model of how with growing income and prosperity, and knowledge and education, animal products consumption can return to an ecologically sustainable and arguably healthier level.
</t>
  </si>
  <si>
    <t xml:space="preserve">https://data.snf.ch/grants/grant/166764</t>
  </si>
  <si>
    <t xml:space="preserve">Jürg Minsch</t>
  </si>
  <si>
    <t xml:space="preserve">Fachstelle Vegetationsanalyse IUNR Institut Umwelt &amp; Natürliche Ressourcen</t>
  </si>
  <si>
    <t xml:space="preserve">Philipp Aerni, Marie Brechbühler Peskova, David Fäh, Christoph Hugi, Markus Lips, Mathias Stolze</t>
  </si>
  <si>
    <t xml:space="preserve">School of Managment Fribourg (HES-SO), Institut Unternehmensentwicklung Berner Fachhochschule, Fachhochschule Nordwestschweiz, Research Institute of Organic Agriculture</t>
  </si>
  <si>
    <t xml:space="preserve">Joint data- and model-driven attention-based integration of imaging, proteomics, and metabolic modelling</t>
  </si>
  <si>
    <t xml:space="preserve">Food fermentation is a complex process that involves the conversion of raw food materials into more desirable products through the action of microorganisms. Controlling the growth and activity of microorganisms during fermentation is crucial, as uncontrolled growth can lead to over-fermentation, off-flavours, and spoilage. Food industries like Quorn utilise multiple large-scale airlift fermenters (150,000L volume), each capable of producing 50 tonnes of paste per day. To reduce the carbon footprint and achieve cost savings, Quorn aims to optimise the fermentation of the main ingredient, mycoprotein, synthesised by the fungal organism F. venenatum.
A major challenge faced by Quorn is that continuous flow systems of F. venenatum lead to the onset of mutant strains (known as C-variants), which develop altered branching patterns (hyphae). This results in major changes in the texture of the product, which becomes more crumbly. At the moment, this leads to a premature termination of the fermentation, with large cost and emission implications. Early detection of hyphal morphology and metabolic characterisation of the fermentation would be critical for predicting its outcome, allowing an extension of the duration of the fermentation cycle and therefore optimal production. Using deep learning for this task is a promising avenue, but it would require a new method to combine imaging, proteomics and metabolism.
To fully characterise the metabolic activity of F. venenatum, we aim to construct a metabolic model to simulate its growth and predict its metabolism during three Quorn fermentation campaigns. This model will also enable a computational simulation of the growth of the fungi under the constraints imposed by substrates in the fermentation medium. In turn, the medium composition can then be optimised to more closely match the needs of Quorn in a variety of conditions.
Metabolic models can mechanistically interpret the fermentation process, but they usually show lower predictive accuracy. We will therefore combine metabolic modelling with deep learning through a purpose-built attention-based architecture. This approach will maintain or improve the predictive accuracy of deep learning methods, while crucially enabling full biological interpretation of the predictions.
The deep learning architecture will: (i) integrate imaging, proteomics and metabolic modelling into a unified framework; and (ii) obtain multi-modal predictors of hyphal length, early detection of spores and hyphae branching in F. venenatum. This would provide, for the first time, growth prediction of F.venenatum in fermentation, which can be interpreted in terms of their mechanism of action, resulting in a significantly higher potential for improved fermentation outcome.
Crucially, the interpretation of the results will be achieved using a combination of data-driven and knowledge-driven methods, which will analyse the important features on which the model is building its prediction, and generate targetable biomarkers that can influence F. venenatum growth and Quorn food texture.
An extensive validation of the proposed deep learning model will be carried out to ensure the robustness of the model and its applicability. We will use a separate cohort of imaging, proteomic, and metabolic modelling data, and evaluate the results on fermentation data generated by Quorn. The model predictions will be also compared with the existing manual procedures used by Quorn when selecting when to stop a fermentation process.
Overall, this project will provide a new methodological pipeline that combines context-specific genome-scale metabolic modelling and attention-based deep learning, and will predict the fermentation outcome in live fermentation contexts provided by Quorn. Our approach has the potential to mechanistically characterise the fermentation biomarkers influencing the F. venenatum growth and improve the resulting Quorn food texture.</t>
  </si>
  <si>
    <t xml:space="preserve">https://gtr.ukri.org/projects?ref=BB%2FY01278X%2F1</t>
  </si>
  <si>
    <t xml:space="preserve">Claudio Angione</t>
  </si>
  <si>
    <t xml:space="preserve">School of Computing, Engineering &amp; Digital Technology</t>
  </si>
  <si>
    <t xml:space="preserve">Teesside University</t>
  </si>
  <si>
    <t xml:space="preserve">Annalisa Occhipinti, Peter John O'Toole, Gillian Taylor</t>
  </si>
  <si>
    <t xml:space="preserve">Quorn</t>
  </si>
  <si>
    <t xml:space="preserve">Engineering of safe and efficient animal stem cell lines for cultivated meat production</t>
  </si>
  <si>
    <t xml:space="preserve">https://gtr.ukri.org/projects?ref=10087894</t>
  </si>
  <si>
    <t xml:space="preserve">The Pursuit and Maintenance of Sustainable Diets</t>
  </si>
  <si>
    <t xml:space="preserve">The proposed fellowship has three main aims: to build my (1) academic profile (50%) and (2) non-academic impact (20%) as well as (3) secure further funding (30%).
1. To build my academic profile, I will engage with the following objectives: (a) research dissemination via academic journals and participation in national and international conferences, (b) develop collaboration with international research teams through two research visits, and (c) extend my portfolio of research by pursuing additional research.
(a) I will submit three manuscripts to high-impact journals to enhance my publication track record. I will participate in national and international conferences, including the Society for Personality and Social Psychology (USA), the Psychology for Human Animal Intergroup Relations Society (PHAIR) meeting (Edinburgh, UK), and the German Psychological Society Congress (Germany). Conference participation will enable me to disseminate my research, gain feedback from leading experts in Social Psychology, develop new research ideas, strengthen current networks and forge new collaborations.
(b) I will visit Prof. Chris Hopwood at the University of Zurich and Dr. João Graça at the University of Groningen. Both academics are currently engaged in research similar to my own and have been key players in enhancing the impact of work in this space. The aim of these research visits is to develop collaboration and identify ways to integrate these international teams into the funding proposals that I plan to submit.
(c) During the fellowship, I will spend approximately 20% of my time conducting new research. This will build on an ongoing line of inquiry that I am presently pursuing, which concerns the maintenance of sustainable diets. The objective of the proposed research is to assess the probability of former plant-based dietary adherents returning to plant-based eating, by analysing the attitudes, behaviours and identity profiles of former vegans. Insights from this project will inform key stakeholders (e.g., advocates and policy makers) of the factors that derail once-committed individuals from maintaining plant-forward diets and how these barriers might be overcome in order to renew sustainable eating commitments.
2. To build my non-academic impact, I will engage with the following objectives: (a) research dissemination and (b) collaboration with impact partners.
(a) I will present my research at a number of relevant research seminars and write blog posts for interested groups (e.g., The Vegan Society).
(b) During the PHAIR Society meeting, which brings together social scientists, advocates and non-profit organisations, I will identify impact partners to write a white paper with, on tips for promoting plant-forward eating among individuals and households, for use by the organisation(s).
3. To secure further funding, I will develop a funding application proposing a three-year research programme. This will investigate how cohabiting units (i.e., families and cohabitating couples) work together to coordinate their eating practices, and how these processes are adapted and managed during transition to sustainable diets (i.e., plant-based diets). This work will build directly upon my PhD research and will be co-developed with Dr. Jared Piazza, Prof. Chris Hopwood and Dr. João Graça. I will submit this grant application to the ESRC New Investigator Grant.</t>
  </si>
  <si>
    <t xml:space="preserve">https://gtr.ukri.org/projects?ref=ES%2FZ503174%2F1#/tabOverview</t>
  </si>
  <si>
    <t xml:space="preserve">Rebecca Gregson</t>
  </si>
  <si>
    <t xml:space="preserve">Department of Psychology</t>
  </si>
  <si>
    <t xml:space="preserve">Lancaster University</t>
  </si>
  <si>
    <t xml:space="preserve">Aerosol-Based Flavour Encapsulation for Grass-Based Food Alternatives</t>
  </si>
  <si>
    <t xml:space="preserve">Transform the UK's food scene by unlocking the vast potential of grass, which blankets 70% of agricultural land. Join the forefront of innovation at the University of Bath, contributing to groundbreaking nutrient extraction from grass. In this project, your integral role involves pioneering flavour encapsulation techniques using cutting-edge methods like spray drying and electrospray drying. The focus is on surmounting challenges in nutrient stability and taste masking. With grass-based alternatives pivotal for sustainability, join us on an exhilarating journey to reshape plant-based nutrition, optimize grass utilization, and unveil a new era of eco-conscious, nutrient-rich food alternatives-all driven by aerosol science.</t>
  </si>
  <si>
    <t xml:space="preserve">https://gtr.ukri.org/projects?ref=studentship-2925518#/tabOverview</t>
  </si>
  <si>
    <t xml:space="preserve">Fengjiao ZHENG</t>
  </si>
  <si>
    <t xml:space="preserve">Department of Chemical Engineering</t>
  </si>
  <si>
    <t xml:space="preserve">Bernardo Castro Dominguez</t>
  </si>
  <si>
    <t xml:space="preserve">SeaFibre -Development of High-fibre food products with Gut health benefits using Innovative Seaweed Fibre Ingredient.</t>
  </si>
  <si>
    <t xml:space="preserve">In the UK and Europe less than 90% of the population consume enough fibre in their diet. Alongside this large-scale public health issue, there is pressing need to reduce the climate (25% of global GHG emissions) and biodiversity (86% of species extinction risk) impact of food production.
SeaFibre project is developing a solution to provide a novel dietary fibre ingredient that simultaneously reduce the environmental impact of food products. Oceanium Ltd, based in Scotland, has developed a unique complex fibre product from seaweed called OCEAN HEALTH NUTRA, which is high in dietary fibre and contains multiple other valuable nutrients. This product is manufactured using mild processing techniques from brown seaweed (kelp) farmed in the north Atlantic; a plant resource that requires no land, fresh-water, pesticides, or fertiliser for production and which enhances biodiversity while mitigating ocean eutrophication (fuelled by run-off from terrestrial farming). Oceanium uses unique biorefinery technology to convert whole farmed seaweed into OCEAN HEALTH NUTRA, bioactive supplements, cosmetic ingredients, feed ingredients and innovative materials/ packaging solutions and is working towards zero-waste and net-zero processing.
In SeaFibre project Oceanium, who are members of the Diet and Health Open Innovation Research Club (OIRC)**,** will develop and test prototype plant-based meat, bread and smoothies fortified with OCEAN HEALTH NUTRA fibre. Project partners at University of Reading will test the digestibility and potential gut health benefits of OCEAN HEALTH NUTRA using simulated gut models. Project success will unlock the future development of OCEAN HEALTH NUTRA as a mainstream dietary fibre ingredient, with potential beneficial public-health impact, generating annual revenues of \&gt;£20M by 2030, enabling the growth of large scale seaweed farming in the north Atlantic, creating jobs in fragile coastal communities and capturing innovation value for the UK economy.</t>
  </si>
  <si>
    <t xml:space="preserve">https://gtr.ukri.org/projects?ref=10126544#/tabOverview</t>
  </si>
  <si>
    <t xml:space="preserve">Decarbonization of the Collagen Supply Chain by Producing next-generation animal-free Collagen inside Plants</t>
  </si>
  <si>
    <t xml:space="preserve">https://gtr.ukri.org/projects?ref=10110181</t>
  </si>
  <si>
    <t xml:space="preserve">Ejaz Hussain</t>
  </si>
  <si>
    <t xml:space="preserve">Leafycoll Ltd</t>
  </si>
  <si>
    <t xml:space="preserve">BioSWELL - Biotechnological Innovations for Optimised Seaweed Wellness &amp; Economic Levelling-up</t>
  </si>
  <si>
    <t xml:space="preserve">Despite the potential for commercial-scale seaweed cultivation in Scotland to generate over £70m by 2040, growth is hindered by challenges in linking supply with demand and limited diversity in valuable seaweed market applications.
BioMara aims to transform the Scottish seaweed-industry by building an innovative zero-waste cascading biorefinery process, generating maximum value from sustainably-farmed UK seaweed.
This innovative approach yields five products (fucoidan,beta-glucan,fibrous-biomass ingredient,alginates,and biostimulants) each targeting a specific application. BioMara's commercialisation strategy is to establish market demand for all products, ensuring process techno-economic viability, flexibility and swift commercialisation. The optimised extraction processes uphold all outputs as high-quality, food-grade, maximising market potential.
Fucoidan, a bioactive polysaccharide, is the highest-value output with numerous biological activities (anticancer,antioxidant,immunoregulatory,antiviral,antithrombotic, and anti-inflammatory properties). However, fucoidan faces a restricted market size due to its current concentration on nutraceuticals and predominantly Asian supply of low-quality, low-bioactive seaweed.
This project aims to increase the usability of high-quality, bioactive fucoidan in the food industry, targeting functional foods markets. Food manufacturers are responding to consumer demand (and government guidelines) for healthier ingredients offering specific health benefits _\[Food-Manufacture-2023\]_.
While fucoidan holds promise for functional foods, its industrial production and application is limited due to low yield (?3--30% per dry weight) and little rigorous scientific backing for health claims. Improved seaweed cultivation, and optimised fucoidan extraction methods ('green chemistry')_\[Anisha-2022;Hifney-2016__\]_ are key to addressing this challenge, in addition to optimising the bioactivity of fucoidan when designing functional food _\[Liu-2018;Shanthi-2021\]._
Focusing on advanced bio-based manufacturing, this 12-month project partners with Abertay University (AU) to pioneer state-of-the-art extraction, refinement, and processing techniques to improve the purity, retention and delivery of fucoidan bioactivity especially within food matrices. AU's novel 'in-vitro' research will seek to evidence fucoidan bioactivity absorption into the digestive system. Innovative purification processes will attain the highest-grade highly-bioactive fucoidan, positioning BioMara as a market-leader with a premium product, commanding premium prices.
Producing a valuable, sustainable, high-purity and traceable product from UK feedstocks, provides a distinctive provenance advantage. Collaboration with upstream seaweed farms and downstream food manufacturers, within Scotland, ensures the final outputs are fit for swift market adoption, addressing the current supply/demand challenges facing the industry.
Given the current reliance on imported fucoidan due to the lack of UK producers, BioMara aims to be the premier UK seaweed-biomass biorefinery. Aligned with 'Levelling Up' goals, the project advances bio-based manufacturing in Scotland to meet the rise in global demand for next-generation plant-based prebiotics and food additives.</t>
  </si>
  <si>
    <t xml:space="preserve">https://gtr.ukri.org/projects?ref=10107612#/tabOverview</t>
  </si>
  <si>
    <t xml:space="preserve">Biomara Ltd</t>
  </si>
  <si>
    <t xml:space="preserve">Expert Network for Novel Foods Regulatory Challenges – UK's first collaboration cluster to support best practice and facilitate the regulatory approval journey of innovative food ingredients</t>
  </si>
  <si>
    <t xml:space="preserve">The potential for enhancing innovation in the UK economy through Novel Foods is significant, as acknowledged by the government in the Pro-innovation Regulation of Technologies Review -- Life Sciences. The process for Novel Foods approval in the UK demands specialised regulatory and scientific expertise, access to reliable certified analytical facilities and a clear understanding of the requirements. Building the required network is challenging especially for SMEs, who tend to have more limited resources, but also larger enterprises venturing into the Novel Foods application process for the first time. Consequently, the creation of a scientific dossier necessary to assess the safety of a Novel Food correctly may not only take significantly longer than need be but also be of limited quality. The repercussions of a deficient understanding of regulatory and scientific requirements extend beyond financial burdens, affecting the overall innovation ecosystem and potentially stunting economic growth.
To fulfil the UK's goal of becoming a global leader in innovative research design and delivery, it is increasingly important to support food innovators on their regulatory journey for Novel Foods submissions. This proposal aims to develop a project for the creation of a regulatory science network to be UK's first Expert Network for Novel Foods Regulatory Challenges.
The main objectives of the network will be to:
* Serve as a central hub for learning resources, facilitating access to critical information, and promoting the development of regulatory science tools. Aim to improve access to these tools, empowering companies with a clearer understanding of the regulatory processes, data requirements, risk, and safety assessments necessary for their specific ingredient(s), ultimately enhancing the quality of dossiers.
* Promote connections for food and ingredient innovators with experts and service providers in the field, including analytical and technology organisations, scale-up and manufacturing facilities, expert consultants, and research institutions.
* Foster a positive exchange with regulatory authorities, offering insights into industry challenges, emerging technologies and conducting horizon scanning. Supplementing information accessible to regulators for informed and data-driven decision-making will enable agile and proportionate regulation in response to innovation.
The network will be feeding into the government's aim of making the process more collaborative and transparent, and to provide smoother pathways for swift market entry of new technologies and products. It will engage food companies, service providers, academics, and regulators, to foster an open dialogue to advance regulatory science for Novel Foods collaboratively.</t>
  </si>
  <si>
    <t xml:space="preserve">https://gtr.ukri.org/projects?ref=10114832</t>
  </si>
  <si>
    <t xml:space="preserve">Daniele Leonarduzzi</t>
  </si>
  <si>
    <t xml:space="preserve">READING SCIENTIFIC SERVICES LIMITED</t>
  </si>
  <si>
    <t xml:space="preserve">CAMBRIDGE GLYCOSCIENCE LTD</t>
  </si>
  <si>
    <t xml:space="preserve">Optimising feedstock utilisation for a fermentation-derived palm oil alternative</t>
  </si>
  <si>
    <t xml:space="preserve">Palm oil is everywhere. It's in food, cosmetics and biofuels. It's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over 1% of global emissions, from 19 million hectares of tropical land. It has caused significant habitat loss, including for the Orangutan and Sun Bear, and all too often the smallholders do not receive a fair price for their produce.
The UK Government has committed to reaching Net Zero by 2050; 20% of UK emissions stem from agriculture and the food supply chain and these emissions must be tackled if we are to reach these targets.
Sun Bear Bioworks is using precision fermentation to make an alternative to palm oil. We are optimising a yeast strain that naturally produces oil, in order to create our oil from food waste quickly and efficiently. Our process saves 5.7kg CO2 and 2000m2 land for every kg of palm oil - a saving in both cases of 80%. We are working with Evolutor on this project to optimise our strain's ability to process low-grade, sustainable feedstocks. Feedstock accounts for most of our process cost at scale, and finding a scalable sugar alternative is vital if we are to create maximum environmental impact. This builds on the work we carried out as part of our Fast Start award, project 10045430 "Alternative feedstock for precision fermentation of oil", which has allowed us to prove expression of key enzymes in our yeast strain for the metabolism of starch.</t>
  </si>
  <si>
    <t xml:space="preserve">http://gtr.ukri.org/projects?ref=10064370#/tabOverview</t>
  </si>
  <si>
    <t xml:space="preserve">SUN BEAR BIOFUTURE LTD</t>
  </si>
  <si>
    <t xml:space="preserve">Evolutor Ltd</t>
  </si>
  <si>
    <t xml:space="preserve">Use of biobased feedstocks for new food products</t>
  </si>
  <si>
    <t xml:space="preserve">SPG Innovation investigates the commercialisation of know-how and IP generated through Innovate UK support in novel expanded food products.</t>
  </si>
  <si>
    <t xml:space="preserve">https://gtr.ukri.org/projects?ref=10116412</t>
  </si>
  <si>
    <t xml:space="preserve">Rebecca McDowell</t>
  </si>
  <si>
    <t xml:space="preserve">SPG INNOVATION LIMITED</t>
  </si>
  <si>
    <t xml:space="preserve">Legume chain - Development of a regional legume value chain in Saxony and Central Germany to promote the cultivation, processing, and consumption of regional protein plants</t>
  </si>
  <si>
    <t xml:space="preserve">Leguminosenkette - Aufbau einer regionalen Leguminosen-Wertschöpfungskette in Sachsen und Mitteldeutschland zur Förderung von Anbau, Verarbeitung und Verzehr von regionalen Proteinpflanzen</t>
  </si>
  <si>
    <t xml:space="preserve">https://service.ble.de/ptdb/index2.php?detail_id=102854874&amp;ssk=PTDB-alles&amp;site_key=141&amp;sLfd=laufend&amp;lbm=1&amp;lbj=2024&amp;stichw=Alternative+Proteine&amp;zeilenzahl_zaehler=241#newContent</t>
  </si>
  <si>
    <t xml:space="preserve">Leg4Future - Holistic utilization of mung beans and lentils - production of high-quality protein concentrates and utilization of side streams</t>
  </si>
  <si>
    <t xml:space="preserve">The ‘Leg4Future’ project is aimed at the holistic utilisation of mung beans and lentils, as both raw materials have great potential but are currently still too little the focus of research. As part of Leg4Future, technofunctional protein concentrates are obtained that contain a minimal proportion of potentially antinutritional ingredients (ANF), which can impair the nutritional properties as well as colour and sensory properties. This is to be achieved by minimising processing by using both extractive and fermentative processes to remove these substances. To ensure that the research results can ultimately be put into practice, it is essential to utilise the by-products, particularly the shell fraction. This aspect is also taken into account in Leg4Future. On the one hand, the peels are used to obtain polyphenol-rich extracts - supported by basidiomycete fermentation - and on the other hand, the application potential of the by-products is evaluated by means of accompanying analyses. The ecological sustainability of the products also plays an important role in the assessment of economic efficiency. This will be determined for the various processes as part of the project - using classic dry fractionation as a benchmark. However, it is ultimately the consumer who decides on the success or failure of products and processes. For this reason, Leg4Future will not only answer technical questions, but also involve consumers and other stakeholders in the development of products and processes in order to increase the appreciation of legumes and the products made from them and to raise awareness of the approaches to a broad audience from the areas of primary production, ingredients and food processing.</t>
  </si>
  <si>
    <t xml:space="preserve">Leg4Future - Ganzheitliche Verwertung von Mungobohnen und Linsen – Herstellung qualitativ hochwertiger Proteinkonzentrate und Nutzung der Nebenströme</t>
  </si>
  <si>
    <t xml:space="preserve">https://service.ble.de/ptdb/index2.php?detail_id=114253832&amp;ssk=PTDB-alles&amp;site_key=141&amp;sLfd=laufend&amp;lbm=1&amp;lbj=2024&amp;stichw=Alternative+Proteine&amp;zeilenzahl_zaehler=241&amp;NextRow=20#newContent</t>
  </si>
  <si>
    <t xml:space="preserve">sine-Institut GmbH</t>
  </si>
  <si>
    <t xml:space="preserve">Research Instititute</t>
  </si>
  <si>
    <t xml:space="preserve">LuzPro4Human - Extraction of proteins from alfalfa for human nutrition</t>
  </si>
  <si>
    <t xml:space="preserve">LuzPro4Human - Gewinnung von Proteinen aus Luzerne zur Humanernährung</t>
  </si>
  <si>
    <t xml:space="preserve">https://service.ble.de/ptdb/index2.php?detail_id=93964786&amp;ssk=PTDB-alles&amp;site_key=141&amp;sLfd=laufend&amp;lbm=1&amp;lbj=2024&amp;stichw=Alternative+Proteine&amp;zeilenzahl_zaehler=241&amp;NextRow=30#newContent</t>
  </si>
  <si>
    <t xml:space="preserve">NuPiWi - Boosting the regional production of nuts and mushrooms as in-demand and healthy sources of protein through knowledge transfer</t>
  </si>
  <si>
    <t xml:space="preserve">The objective of the project is to open up opportunities for farms (organic and conventional, with a focus on livestock farms) through the production of nuts and mushrooms as healthy and climate-friendly sources of protein. Target group-orientated, low-threshold and in-depth training courses are offered with a strong regional network. This will achieve both capacity-building on the farms and the consolidation of the training programmes and networking. To this end, a needs analysis is carried out and information events are organised so that interested farms can select the branches of business that are right for them. Practical formats for farms are offered to ensure comprehensive skills acquisition, including one-day seminars, in-depth training courses, excursions, field days and regional group meetings. In addition, the value chain for nut production will be further qualified and strengthened.</t>
  </si>
  <si>
    <t xml:space="preserve">NuPiWi - Heimische Erzeugung von Nüssen und Pilzen als gefragte und gesunde Eiweißquellen durch Wissenstransfer forcieren</t>
  </si>
  <si>
    <t xml:space="preserve">https://service.ble.de/ptdb/index2.php?detail_id=119672759&amp;ssk=PTDB-alles&amp;site_key=141&amp;sLfd=laufend&amp;lbm=1&amp;lbj=2024&amp;stichw=Alternative+Proteine&amp;zeilenzahl_zaehler=241&amp;NextRow=30#newContent</t>
  </si>
  <si>
    <t xml:space="preserve">Fachbereich 11 Ökologische Agrarwissenschaften</t>
  </si>
  <si>
    <t xml:space="preserve">Universität Kassel</t>
  </si>
  <si>
    <t xml:space="preserve">CPHNord - Information on the cultivation, benefits and utilisation of non-leguminous protein plants and fungi for human nutrition in northern Germany</t>
  </si>
  <si>
    <t xml:space="preserve">CPHNord - Informationsangebote über Anbau, Nutzen und Nutzung von nicht-legumen Eiweißpflanzen und Pilzen für die Humanernährung in Norddeutschland</t>
  </si>
  <si>
    <t xml:space="preserve">https://service.ble.de/ptdb/index2.php?detail_id=120014561&amp;ssk=PTDB-alles&amp;site_key=141&amp;sLfd=laufend&amp;lbm=1&amp;lbj=2024&amp;stichw=Alternative+Proteine&amp;zeilenzahl_zaehler=241&amp;NextRow=30#newContent</t>
  </si>
  <si>
    <t xml:space="preserve">Ökomarkt Verbraucher- und Agrarberatung e.V</t>
  </si>
  <si>
    <t xml:space="preserve">Collaborative project: Upcycling of legumes and their side streams to vegan products through fermentation with mushrooms (MycoPea) - Subproject A</t>
  </si>
  <si>
    <t xml:space="preserve">Legumes, or pulses, are part of human nutrition worldwide and have been cultivated for thousands of years. Among other things, they are characterized by a high protein and fiber content. In Europe, however, they are mainly used as animal feed, although they can have a positive effect on human health. The consumption of legumes as food is probably negatively influenced by the relatively long cooking times and their content of oligosaccharides of the raffinose family, which cause flatulence. However, in the form of pre-processed foods (convenience foods such as cold cuts and ready-to-eat meat analogues), legumes such as soybeans and peas are enjoying increasing popularity. Proteins from edible mushrooms, such as Pleurotus sapidus mushrooms, on the other hand, are suitable for the production of purely vegan sausage analogues. In addition, mushrooms offer the advantage of colonizing complex substrates made of lignin and cellulose without producing the mycotoxins common in ascomycetes. Despite multiple descriptions in the scientific literature, this potential has not yet been tapped into by the food industry. The project therefore makes it its task to fill this gap and to convert scientific knowledge into an economically viable process. A holistic approach to the development of new, vegan food or food raw materials through fermentation of legumes using the example of peas, Pisum sativum, with edible mushrooms is considered. Both the seeds of the pea and the by-products from milling, such as pea peelings and pea shells, are to be processed into higher-quality products by means of fermentation with edible mushrooms. For this purpose, two different forms of fermentation are to be used, which have already been successfully tested in preliminary tests with peas and other legumes: solid-state and liquid fermentation.
</t>
  </si>
  <si>
    <t xml:space="preserve">Verbundprojekt: Aufwertung von Hülsenfrüchten und deren Seitenströme zu veganen Produkten durch Fermentation mit Speisepilzen (MycoPea) - Teilprojekt A</t>
  </si>
  <si>
    <t xml:space="preserve">https://service.ble.de/ptdb/index2.php?detail_id=97395452&amp;ssk=PTDB-alles&amp;site_key=141&amp;sLfd=laufend&amp;lbm=1&amp;lbj=2024&amp;stichw=Alternative+Proteine&amp;zeilenzahl_zaehler=241&amp;NextRow=90#newContent</t>
  </si>
  <si>
    <t xml:space="preserve">Fraunhofer-Institut für Molekularbiologie und Angewandte Oekologie (IME)</t>
  </si>
  <si>
    <t xml:space="preserve">Collaborative project: Within the scope of this project, a concept for the extraction and preparation of proteins from brewer's yeasts in the highest possible native and functional form is to be developed and evaluated on a pilot scale (Hepro2) - Subproject A</t>
  </si>
  <si>
    <t xml:space="preserve">The project aims to develop a process for obtaining native yeast proteins from brewer's yeast, the by-product of the brewing industry. If the project is successful, this by-product, which is currently mainly used for animal fattening, can be made usable for human nutrition. The main focus of this project is on the physical disruption of yeast cells. For this purpose, novel protein-preserving methods for cell disruption are applied: (1) electroporation technology using pulsed electric fields (PEF), and (2) ultra-high-pressure homogenisation (UHPH).
</t>
  </si>
  <si>
    <t xml:space="preserve">Verbundprojekt: Entwicklung und Bewertung eines Konzepts zur Gewinnung und Aufbereitung von Proteinen aus Bierhefen in möglichst hoher nativer und funktioneller Form im Pilotmaßstab (Hepro2) - Teilprojekt A</t>
  </si>
  <si>
    <t xml:space="preserve">https://service.ble.de/ptdb/index2.php?detail_id=91379515&amp;ssk=PTDB-alles&amp;site_key=141&amp;stichw=Alternative+Proteine&amp;sLfd=laufend&amp;lbm=1&amp;lbj=2024&amp;zeilenzahl_zaehler=241&amp;NextRow=120#newContent</t>
  </si>
  <si>
    <t xml:space="preserve">Collaborative project: Development of an innovative source of vitamin B12 through the fermentation of chickpeas (KiEFer) - Subproject A</t>
  </si>
  <si>
    <t xml:space="preserve">The KiEFer project aims to develop new, attractive plant-based products from regional organic chickpeas using fermentation processes. These should represent an alternative to animal products such as meat and sausage from both a sensory and nutritional point of view. In addition to a high sensory quality, the products should at least have one nutritional benefit such as vitamin B12 enrichment and/or improved bioavailability of iron and other nutrients.
</t>
  </si>
  <si>
    <t xml:space="preserve">Verbundprojekt: Erschließung einer innovativen Vitamin B12-Quelle durch Fermentation von Kichererbsen (KiEFer) - Teilprojekt A
</t>
  </si>
  <si>
    <t xml:space="preserve">https://service.ble.de/ptdb/index2.php?detail_id=113095757&amp;ssk=PTDB-alles&amp;site_key=141&amp;stichw=Alternative+Proteine&amp;sLfd=laufend&amp;lbm=1&amp;lbj=2024&amp;zeilenzahl_zaehler=241&amp;NextRow=130#newContent</t>
  </si>
  <si>
    <t xml:space="preserve">Forschungsinstitut für pflanzenbasierte Ernährung gGmbH</t>
  </si>
  <si>
    <t xml:space="preserve">Collaborative project: Resource-efficient production of high-quality proteins and fibers from narrow-leaved bitter lupins for (vegan) human nutrition (Luprocess) – Subproject A
</t>
  </si>
  <si>
    <t xml:space="preserve">LuproCess aims to obtain high-quality, largely native and functional protein and fiber fractions from narrow-leaved bitter lupin (Lupinus angustifolius L.) for human nutrition. The protein fraction obtained will be used to develop meat substitute products in the project outlined here. In LuproCess, the fiber fraction obtained during protein extraction is to be processed to a food-grade quality level and used as an additive in high-moisture extrusion. The antinutritive substances separated during fiber processing - quinolizidine alkaloids and oligosaccharides as well as minerals - are removed from the process water by nanofiltration and separated, allowing it to be reused in a closed loop. The quinolizidine alkaloids can be further developed as plant secondary metabolites with bioactive activity into biological pesticides and/or medicinal/veterinary active ingredients. In order to ensure resource efficiency throughout, side stream chains should be followed from the dehulling process of lupine seeds prior to flocculation. In the context of the research projects described here, the lupine will be developed as a further alternative sustainable and nutritionally beneficial protein source. Furthermore, the research project contributes to resource conservation or even resource valorization by using the lupine fibers as a by-product stream to enhance the texture and thus the mouthfeel of extruded meat substitute products. In addition, the high water requirement needed for diafiltration is an unacceptable burden on drinking water resources. The aim here is to return all the process water for the additional washing stages to the process cycle.
</t>
  </si>
  <si>
    <t xml:space="preserve">Verbundprojekt: Ressourceneffiziente Erzeugung hochwertiger Proteine und Fasern aus Schmalblättrigen Bitterlupinen für die (vegane) Humanernährung (Luprocess) - Teilprojekt A</t>
  </si>
  <si>
    <t xml:space="preserve">https://service.ble.de/ptdb/index2.php?detail_id=91861791&amp;ssk=PTDB-alles&amp;site_key=141&amp;stichw=Alternative+Proteine&amp;sLfd=laufend&amp;lbm=1&amp;lbj=2024&amp;zeilenzahl_zaehler=241&amp;NextRow=200#newContent</t>
  </si>
  <si>
    <t xml:space="preserve">Collaborative project: Development of a biotechnological and food-technological process for the production of a vegan meat analogue based on extruded mycelia of edible fungi (basidiomycetes) (BASOMEAT) - Subproject B
</t>
  </si>
  <si>
    <t xml:space="preserve">The aim is to develop a sustainable and resource-conserving process for the large-scale production of edible mushroom mycelium using novel cultivation containers and agro-industrial side streams. Furthermore, the mycelium is to be used as a substitute for plant proteins in innovative meat substitute products in a high-moisture extrusion process yet to be developed. Initially, it is planned to test several edible mushrooms for their ability to grow in selected agro-industrial side streams. In parallel, a process will be established to grow the mycelia under semi-sterile conditions with high yield. For this purpose, novel cultivation containers will be designed and the cultivation parameters will also be optimized with respect to the scaling. In the interest of an overall process that is as resource-conserving and energy-efficient as possible, the aim is to pasteurize the side-stream substrate. With regard to the design of the cultivation container, cost aspects and the simplest possible, scalable handling are also taken into account. The mycelium and the fermentation broth will subsequently be used in a wet extrusion process to generate a prototype of a safe, nutritionally valuable and palatable meat analog. This prototype, which will be manufactured at production scale by the end of the project, will have improved biological value and good sensory properties compared to plant-based comparator products. The project is also highly innovative in terms of sustainability aspects: the bioprocess aims to upcycle regionally accumulating agricultural by-products with low economic value into food products. The entire production process is therefore not in competition with conventional food production, has minimal CO2 emissions and water consumption, and, unlike plant-based meat alternatives, does not require any additional agricultural land.
</t>
  </si>
  <si>
    <t xml:space="preserve">Verbundprojekt: Entwicklung eines biotechnologischen und lebensmitteltechnologischen Verfahrens zur Herstellung eines veganen Fleischanalogons auf Basis von extrudierten Myzelien von essbaren Pilzen (Basidiomyceten) (BASOMEAT) - Teilprojekt B</t>
  </si>
  <si>
    <t xml:space="preserve">https://service.ble.de/ptdb/index2.php?detail_id=91861771&amp;ssk=PTDB-alles&amp;site_key=141&amp;stichw=Alternative+Proteine&amp;sLfd=laufend&amp;lbm=1&amp;lbj=2024&amp;zeilenzahl_zaehler=241&amp;NextRow=110#newContent</t>
  </si>
  <si>
    <t xml:space="preserve">Scaling up a patented process for making fermented vegan cheese</t>
  </si>
  <si>
    <t xml:space="preserve">The BioInnovation Institute, a Danish research foundation, provided the funding, which FÆRM will use to continue developing and producing its vegan cheese products. The company says its mission is “revolutionizing and democratizing plant-based cheese.”
FÆRM incorporates patented food science alongside traditional dairy cheesemaking methods to produce what it says will be the next generation of plant-based cheeses. Most notably, the team has achieved the difficult task of coagulating soy milk into cheese curds using fermentation and maturation.
“We have developed and patented a completely different way of making plant-based cheese, which is actually a variation of the same way you make regular cheese – namely with the help of enzymes that cause the milk to curdle and microorganisms that build the flavor profile and add functionality,” a FÆRM spokesperson told Plant Based News. “Instead of cow’s milk, we use soy milk with a little extra oil and sugar added (a substitute for lactose/milk sugar). You can say we have invented a way to translate dairy technology from milk to plants.”</t>
  </si>
  <si>
    <t xml:space="preserve">https://plantbasednews.org/news/economics/faerm-fermented-vegan-cheese/</t>
  </si>
  <si>
    <t xml:space="preserve">FÆRM</t>
  </si>
  <si>
    <t xml:space="preserve">BioInnovation Institute</t>
  </si>
  <si>
    <t xml:space="preserve">Scaling up to a new mycoprotein factory</t>
  </si>
  <si>
    <t xml:space="preserve">The funding will be used to scale up its operations and move into a food-grade mycoprotein factory in the Finnish village of Kantvik. The company says that it’ll be the world's first commercial plant to produce a mycoprotein ingredient from side stream raw materials once completed in 2025.</t>
  </si>
  <si>
    <t xml:space="preserve">https://sifted.eu/articles/enifer-mycoprotein-raise-startup</t>
  </si>
  <si>
    <t xml:space="preserve">Governmental, Private</t>
  </si>
  <si>
    <t xml:space="preserve">Novo Nordisk Foundation Biotechnology Research Institute for the Green Transition (BRIGHT)</t>
  </si>
  <si>
    <t xml:space="preserve">BRIGHT will focus on three main areas:
Sustainable materials
Microbial foods
Microorganisms for net-zero agriculture
The goal is to develop and scale innovative biosolutions within each of these areas, ultimately creating sustainable and competitive alternatives to fossil-based products and processes that can make significant contributions to reducing global greenhouse gas emissions.
At BRIGHT, researchers across DTU will collaborate with research colleagues from other universities in Denmark and internationally, as well as with industry. A unique feature of BRIGHT will be the introduction of a so-called mission enabler, aimed at promoting promising projects and testing their scalability. This will be achieved by integrating various types of technologies and infrastructure within areas such as data science, informatics, cell factories, and fermentation.</t>
  </si>
  <si>
    <t xml:space="preserve">https://novonordiskfonden.dk/en/projects/bright/</t>
  </si>
  <si>
    <t xml:space="preserve">1/3 of total award as BRIGHT will focus on three main areas:
Sustainable materials
Microbial foods
Microorganisms for net-zero agriculture</t>
  </si>
  <si>
    <t xml:space="preserve">Commercialising bambara groundnut milk production</t>
  </si>
  <si>
    <t xml:space="preserve">https://iuk-business-connect.org.uk/news/global-innovation-network-lead-customer-programme-projects-announced/</t>
  </si>
  <si>
    <t xml:space="preserve">Victoria Jideani</t>
  </si>
  <si>
    <t xml:space="preserve">Greenspoon, Koolmill, OnlyPlants, Sheffield Hallam University</t>
  </si>
  <si>
    <t xml:space="preserve">Biomass fermentation of agri waste to produce high quality proteins</t>
  </si>
  <si>
    <t xml:space="preserve">Evonik, Carbonovia, Tropical Power Ltd, Majani Mingi Ltd</t>
  </si>
  <si>
    <t xml:space="preserve">Bioflavoring brewer’s spent grain by edible mushroom mycelium in solid-state fermentations (MycoFlavor)</t>
  </si>
  <si>
    <t xml:space="preserve">Goal:
Introduce savory flavors into a spent grain meat alternative by releasing cooking precursors through solid-state fermentation
Produce a natural, less processed, product which has been gastronomically improved for incorporation of plant fats and fermented spent grain
Investigate the environmental and economical sustainability of the fermented product</t>
  </si>
  <si>
    <t xml:space="preserve">https://agrifoodture.com/projects/mycoflavor/</t>
  </si>
  <si>
    <t xml:space="preserve">Sylvester Holt</t>
  </si>
  <si>
    <t xml:space="preserve">Copenhagen University</t>
  </si>
  <si>
    <t xml:space="preserve">Swan Neck Bio, Copenhagen Business School, Agrain</t>
  </si>
  <si>
    <t xml:space="preserve">Improving the sustainability of plant-based foods using mild processing</t>
  </si>
  <si>
    <t xml:space="preserve">https://food.ku.dk/english/news/2025/ai4naturalfood/?utm_source=www.foodtechweekly.com&amp;utm_medium=newsletter&amp;utm_campaign=foodtech-weekly-237-by-daniel-s-ruben</t>
  </si>
  <si>
    <t xml:space="preserve">Remko Boom</t>
  </si>
  <si>
    <t xml:space="preserve">Department of Food Science</t>
  </si>
  <si>
    <t xml:space="preserve">Scaling up sustainable mackerel cell production for cellular agriculture (MACK4ALL)</t>
  </si>
  <si>
    <t xml:space="preserve">Carlos A.V. Rodrigues</t>
  </si>
  <si>
    <t xml:space="preserve">The Institute for Bioengineering and Biosciences (iBB)</t>
  </si>
  <si>
    <t xml:space="preserve">Universidade de Lisboa (UL)</t>
  </si>
  <si>
    <t xml:space="preserve">Instituto de Tecnologia Química e Biológica António Xavier, Instituto de Telecomunicações, Tufts University, Defined Bioscience</t>
  </si>
  <si>
    <t xml:space="preserve">CleanFish: New strategies for sustainable production of cell-based fish</t>
  </si>
  <si>
    <t xml:space="preserve">Frederico C. Ferreira</t>
  </si>
  <si>
    <t xml:space="preserve">Portuguese Institute for Sea and Atmosphere, National Institute of Education - Nanyang Technological University, Brazilian Agricultural Research Corporation, Institute for the Telecommunications</t>
  </si>
  <si>
    <t xml:space="preserve">An Integrated Process for the Production of Extracellular Vesicles from Human Induced Pluripotent Stem Cells in Stirred-Tank Bioreactors</t>
  </si>
  <si>
    <t xml:space="preserve">William Salvador</t>
  </si>
  <si>
    <t xml:space="preserve">Joaquim Cabral, Klaus Graumann</t>
  </si>
  <si>
    <t xml:space="preserve">Cell4Food</t>
  </si>
  <si>
    <t xml:space="preserve">SCORING.AGE - Stem Cell Omics and GPCR Analysis for Neurological Longevity</t>
  </si>
  <si>
    <t xml:space="preserve">Sofia Agostinho</t>
  </si>
  <si>
    <t xml:space="preserve">Carlos Rodrigues, Ana Fred, Irina Moreira</t>
  </si>
  <si>
    <t xml:space="preserve">PurrAI</t>
  </si>
  <si>
    <t xml:space="preserve">Consortium for developing global standards for cultured meat safety testing</t>
  </si>
  <si>
    <t xml:space="preserve">The new project will bring stakeholders together from across the sector to develop safety testing methods that enhance the regulatory assessment of cultivated meat and advance the development of global standards.
The research could remove a significant barrier to the successful commercialisation of meat grown from animal cells by developing safe, affordable, and animal-free feedstock for its production. 
This consortium of leading stakeholders will develop and substantiate safety testing methods for cell culture media ingredients, generate datasets, assess the feasibility of applying these methods to other cultivated meat inputs and initiate industry-wide standards.
Stakeholder engagement, publication in open-access journals, and dissemination by respected parties, such as the British Standards Institution and New Harvest, will support industry uptake and validation of the new methods.</t>
  </si>
  <si>
    <t xml:space="preserve">https://www.aber.ac.uk/en/life-sciences/news/top-stories/title-267652-en.html</t>
  </si>
  <si>
    <t xml:space="preserve">Multus</t>
  </si>
  <si>
    <t xml:space="preserve">Vireo Advisors, Extracellular, Aberystwyth University, New Harvest, British Standards Institute</t>
  </si>
  <si>
    <t xml:space="preserve">Integrated risk mapping for cultured meat</t>
  </si>
  <si>
    <t xml:space="preserve">https://research.birmingham.ac.uk/en/projects/integrated-risk-mapping-for-cultured-meat</t>
  </si>
  <si>
    <t xml:space="preserve">Neil Stephens</t>
  </si>
  <si>
    <t xml:space="preserve">Social Policy and Society</t>
  </si>
  <si>
    <t xml:space="preserve">The Royal Society</t>
  </si>
  <si>
    <t xml:space="preserve">Food safety &amp; quality, Env/impact assessments</t>
  </si>
  <si>
    <t xml:space="preserve">EGGcellent - developing a sustainable vegan alternative to chicken eggs</t>
  </si>
  <si>
    <t xml:space="preserve">https://vegconomist.com/food-and-beverage/egg-alternatives/south-holland-invests-1-million-develop-plant-based-egg-alternative/?utm_medium=email&amp;utm_source=rasa_io&amp;utm_campaign=newsletter</t>
  </si>
  <si>
    <t xml:space="preserve">Vivici, Applikon, Planet Bio, Proeon Foods, Getinge</t>
  </si>
  <si>
    <t xml:space="preserve">Support for the development, regulatory approval, and commercialization of the Solein protein</t>
  </si>
  <si>
    <t xml:space="preserve">“We are extremely pleased to receive this additional funding for research, product development, and the pre-engineering phase of Factory 02. We are continuing according to plan towards the realization of Factory 02, of which we will have more news soon,” said Solar Foods CEO Pasi Vainikka.</t>
  </si>
  <si>
    <t xml:space="preserve">https://vegconomist.com/protein/solar-foods-advances-solein-new-funding-us-introduction-protein-bites</t>
  </si>
  <si>
    <t xml:space="preserve">Development of myoglobin for vegan salmon alternatives</t>
  </si>
  <si>
    <t xml:space="preserve">The project aims to make the appearance of the vegan salmon filet even more similar to conventional salmon, the taste more authentic, and will improve the nutritional value, particularly the iron and protein content. Using myoglobin from precision fermentation can further reduce the ecological footprint and make a significant contribution to environmental protection, while Revo Foods in-house developed 3D Structuring technology enables efficient integration of myoglobin into food products.</t>
  </si>
  <si>
    <t xml:space="preserve">https://tech.eu/2024/10/31/revo-foods-paleo-score-new-funding-for-imitation-vegan-salmon/</t>
  </si>
  <si>
    <t xml:space="preserve">Paleo</t>
  </si>
  <si>
    <t xml:space="preserve">Revo Foods</t>
  </si>
  <si>
    <t xml:space="preserve">Eureka Eurostars</t>
  </si>
  <si>
    <t xml:space="preserve">Scaling up the production of Margaret’s casein</t>
  </si>
  <si>
    <t xml:space="preserve">https://www.linkedin.com/posts/those-vegan-cowboys-grassroots-bandits_vlaio-thosevegancowboys-duurzaamvoedsel-ugcPost-7231208720179830785-QAou</t>
  </si>
  <si>
    <t xml:space="preserve">Those Vegan Cowboys</t>
  </si>
  <si>
    <t xml:space="preserve">Improving productivity and reducing costs in the lead-up to commercialization</t>
  </si>
  <si>
    <t xml:space="preserve">https://www.meatable.com/releases-announcements/meatable-awarded-eur-7-6-million-rvo-innovation-credit/</t>
  </si>
  <si>
    <t xml:space="preserve">Meatable</t>
  </si>
  <si>
    <t xml:space="preserve">Netherlands Enterprise Agency (RVO)</t>
  </si>
  <si>
    <t xml:space="preserve">FoodID</t>
  </si>
  <si>
    <t xml:space="preserve">The FoodID project seeks to innovate sustainable processes by leveraging digital tools to produce alternative proteins and lipids using plants and fermentation. The aim is to create sustainable and healthy raw materials to improve global food systems.</t>
  </si>
  <si>
    <t xml:space="preserve">https://vegconomist.com/protein/finnish-alternative-protein-firms-secure-e10m-collaborative-rd-business-finland/</t>
  </si>
  <si>
    <t xml:space="preserve">VTT, University of Helsinki, Fazer, Valio, MeEat, Enifer, Onego Bio</t>
  </si>
  <si>
    <t xml:space="preserve">FinBioFAB - Finnish BioFoundry for Advanced Biomanufacturing</t>
  </si>
  <si>
    <t xml:space="preserve">FinBioFAB aims to contribute positively to the global bioeconomy and environmental sustainability by harnessing synthetic biology and artificial intelligence to develop biodegradable plastics and protein-based materials.</t>
  </si>
  <si>
    <t xml:space="preserve">Just counting UK contribution as only ICL are doing work on microbial proteins</t>
  </si>
  <si>
    <t xml:space="preserve">ICL</t>
  </si>
  <si>
    <t xml:space="preserve">Neste, Onego Bio, AB Enzymes, Solar Foods, UPM, VTT</t>
  </si>
  <si>
    <t xml:space="preserve">Continuing the development of sustainable plant-based proteins</t>
  </si>
  <si>
    <t xml:space="preserve">PAN Sweden is coordinated by Örebro University and studies how plant-based protein sources can be processed into tasty and nutritious products. The centre aims to make Sweden a world leader in sustainably produced plant-based protein foods.
Agricultural cooperative Lantmännen is one of the key actors involved in PAN Sweden, and contributes its extensive knowledge of plant-based proteins. The new grant from Formas will allow the centre to continue its research for another four years.</t>
  </si>
  <si>
    <t xml:space="preserve">https://vegconomist.com/protein/pan-sweden-lantmannen-plant-based-protein-research/</t>
  </si>
  <si>
    <t xml:space="preserve">PAN Sweden</t>
  </si>
  <si>
    <t xml:space="preserve">Application of fungi protein in the development of sustainable and healthy food products. FUNGITIME</t>
  </si>
  <si>
    <t xml:space="preserve">EIT</t>
  </si>
  <si>
    <t xml:space="preserve">007 AZTI</t>
  </si>
  <si>
    <t xml:space="preserve">VALOCAKE, Valorization of rapeseed press cake as multi-functional food ingredients and tasty food</t>
  </si>
  <si>
    <t xml:space="preserve">050 VTT</t>
  </si>
  <si>
    <t xml:space="preserve">Finalnd</t>
  </si>
  <si>
    <t xml:space="preserve">FROM SIDE-STREAMS TO TASTY MEAT ALTERNATIVES AND HYBRIDS (TASTE2MEAT)</t>
  </si>
  <si>
    <t xml:space="preserve">mael: MicroAlgae Extracts for Low impact next generation food</t>
  </si>
  <si>
    <t xml:space="preserve">348 Solmeyea</t>
  </si>
  <si>
    <t xml:space="preserve">Affordable plant-based non-GMO growth factors for cultivated meat using cell-free protein expression</t>
  </si>
  <si>
    <t xml:space="preserve">NA</t>
  </si>
  <si>
    <t xml:space="preserve"> </t>
  </si>
  <si>
    <t xml:space="preserve">The Future of Protein &amp; the Protein of the Future in Europe</t>
  </si>
  <si>
    <t xml:space="preserve">Tasty Texture-Tailored fibre/protein rich vegetarian Health Power food &amp; novel extrusion technology platform for the manufacture of such</t>
  </si>
  <si>
    <t xml:space="preserve">009 Bühler</t>
  </si>
  <si>
    <t xml:space="preserve">Switzerland </t>
  </si>
  <si>
    <t xml:space="preserve">DADYGo -Dairy Alternative Drinks &amp; YoGhurt based on rapeseed ingredients</t>
  </si>
  <si>
    <t xml:space="preserve">017 Fraunhofer</t>
  </si>
  <si>
    <t xml:space="preserve">Germany </t>
  </si>
  <si>
    <t xml:space="preserve">Milk, yoghurt</t>
  </si>
  <si>
    <t xml:space="preserve">TriboTec: Protein enrichment and fractionation of side streams by dry tribo-electrostatic separation technology</t>
  </si>
  <si>
    <t xml:space="preserve">018 DIL</t>
  </si>
  <si>
    <t xml:space="preserve">Consumer attitudes towards healthier processed meat products</t>
  </si>
  <si>
    <t xml:space="preserve">046 University of Reading</t>
  </si>
  <si>
    <t xml:space="preserve">Circular-based alternative protein extraction from grape seeds - PROSEED</t>
  </si>
  <si>
    <t xml:space="preserve">172 Caviro</t>
  </si>
  <si>
    <t xml:space="preserve">Light green eggs</t>
  </si>
  <si>
    <t xml:space="preserve">The project aims to process green alfalfa to obtain three categories of products: A protein flour with low allergen content, with functional characteristics similar to those of egg proteins; A protein feed with a programmable composition depending on type of animal to be fed; A liquid fertiliser with a programable composition based on the type of cultivation. The project will have a strong impact on the Protein diversification priority considering that from 1 hectare of alfalfa grown and managed with our process it will be possible to obtain approximately 0.8t/year of pure proteins, corresponding to 6t of eggs. Furthermore, alfalfa is a valid cultivation for regenerative agriculture and could validly replace/integrate other protein crops such as soy.</t>
  </si>
  <si>
    <t xml:space="preserve">EBU </t>
  </si>
  <si>
    <t xml:space="preserve">Soil-free Proteins for alternative dairy foods – Nutritious, Sustainable, and Healthy Functional Protein</t>
  </si>
  <si>
    <t xml:space="preserve">The project responds to the critical need for sustainable and healthful alternatives to dairy products. The growing demand for plant-based foods, coupled with environmental concerns and dietary restrictions, drives the need for innovative solutions in the dairy sector. The project intends to tackle this challenge by finding alternative, added health value, soil-free protein solutions for dairy applications. For that, the priority will be the scale-up of the process of producing Diamond® and Golden® Chlorella by working on i) the cost reduction and productivity increase, ii) the capacity to deliver significant quantities in the market and iii) the in vitro health claims as well as the development of plant-based drinks that will be the base for further dairy applications.
Microalgae can be comparable concerning the nutritional value of cow's milk and egg protein. Alver has in the actual portfolio, two unique colors of Chlorella vulgaris strains - Alver Diamond® is white Chlorella and Alver Golden® yellow Chlorella.
The project will permit OPTIMIZATION, SCALE and PRICE to go to the dairy market with a competitive and functional raw material or pre-mixes for the dairy industry. With proven in vitro HEALTH BENEFITS able to be used for future work within In vivo Health Claims (phase post-project), it will be possible to give added value to the products and/or pre-mixes, increasing the success in different DAIRY FORMULATIONS.
The project will also evaluate the use of Golden® and Diamond® Chlorella for dairy food formulations. With this knowledge, Alver will be competitive and unique in the market being able to give added value to the dairy food market with a unique White strain, with proven solutions for dairy manufacturers with pre-mixes solutions and with raw materials available in big quantities. The big challenge will be to scale and prove the functional and unique behaviour of these raw materials for dairy food applications.
The project's outcomes include the development of plant-based drinks, yoghurts, custard creams, and non-dairy cheese alternatives using Diamond® and Golden® Chlorella. These outcomes aim to optimize the strains for dairy applications, making them competitive and unique in the market. Additionally, the project seeks to provide dairy manufacturers with functional pre-mixes and raw materials in significant quantities, supported by proven health benefits.
The primary beneficiaries of this project will be consumers seeking sustainable, nutritious, and plant-based dairy alternatives. Dairy manufacturers will also benefit from access to innovative pre-mix solutions and raw materials that can enhance their product offerings. Ultimately, the project contributes to the broader goals of environmental sustainability, public health, and food security by providing alternative protein sources that reduce dependence on traditional dairy farming and offer healthful benefits.</t>
  </si>
  <si>
    <t xml:space="preserve">Alver B.V</t>
  </si>
  <si>
    <t xml:space="preserve">Drying  the "waste" of the legume industry (Aquafaba) into a functional powder for the food industry, and completing circular economy </t>
  </si>
  <si>
    <t xml:space="preserve">The project addresses the critical challenge of high food waste, specifically targeting the underutilized legume side streams, to introduce an innovative plant-based ingredient that offers a sustainable and functional alternative to egg products in the food industry. By focusing on the standardization and scalability of dry aquafaba production, we aim to ensure consistent quality and supply to meet market demands for allergen-free, stable-priced, and environmentally friendly food ingredients.
Priority Challenge: The project responds to the urgent need for reducing food waste through the valorization of legume by-products and addresses the market’s growing demand for plant-based, functional food ingredients. By converting legume side streams into a high-value egg substitute, we tackle both environmental concerns and consumer health priorities, including allergen avoidance and the reduction of foodborne illnesses like salmonella.
Solution: Our proposal offers a comprehensive approach to establish a standardized and scalable production process for dry aquafaba, ensuring consistent quality and supply. We will develop and disseminate to showcase the functionality and versatility of this ingredient in creams, bakery products, and more, thus facilitating its adoption by food manufacturers and end consumers.
Main Outcomes:
• A scalable and standardized process for the production of dry aquafaba, ensuring consistent ingredient quality and availability.
• A portfolio of example recipes and high-value solution recipes incorporating the innovative plant-based ingredient, aiding the transition of food manufacturers from ingredient producers to food producers.
• Established standardized criteria and tests for quality control at both the raw material and final product stages, reducing the cost of analytical and functional tests.
Beneficiaries:
• Food Industry: Manufacturers will benefit from a stable, allergen-free, and functional plant-based egg alternative that can enhance product offerings and meet consumer demands for sustainable and safe food options.
• Consumers: End-users will gain access to a broader range of plant-based, allergen-free food products, contributing to healthier and more sustainable diets.
• Environment: By valorising legume side streams, the project contributes to waste reduction and promotes a more circular economy in the food sector.
Our project stands at the intersection of innovation, sustainability, and health, poised to transform the food industry's approach to plant-based alternatives and waste reduction. Through collaboration with legume producers and food manufacturers, we will catalyse a shift towards more sustainable and inclusive food production practices.</t>
  </si>
  <si>
    <t xml:space="preserve">Fabumin</t>
  </si>
  <si>
    <t xml:space="preserve">Israel/Spain</t>
  </si>
  <si>
    <t xml:space="preserve">NUTRItious, sensory and texture optimized plant-based SEAfood (NUTRI-SEA)</t>
  </si>
  <si>
    <t xml:space="preserve">There is an urgent need for alternative, affordable protein sources that reduce ecosystem and climate impacts, are scalable, and contribute to food security. Seafood is rich in essential nutrients but overfishing and contamination are major issues, while soy, the most used plant-based protein, has high environmental costs. HOF aims to create sustainable, protein-diversified plant-based seafood alternatives like Happy Tyuna, Happy Whitefysh, and Happy Salmyn, using proteins with a lower climate burden than soy. By 2030, the project targets improved supply chains, increased profitability, and a production capacity of 1,500 tons, benefiting flexitarians, vegetarians, vegans, and people with seafood allergies.</t>
  </si>
  <si>
    <t xml:space="preserve">Happy Ocean Foods</t>
  </si>
  <si>
    <t xml:space="preserve">CRAFT - Cellular revolution in agriculture and farming technology with low-cost, efficient, and systemic solutions</t>
  </si>
  <si>
    <t xml:space="preserve">The CRAFT project addresses the heavy reliance on animal-derived protein, which makes up 60% of global intake, with meat alone accounting for 34%. Cultured Meat (CM) offers a promising alternative, but farmers face high costs, regulatory hurdles, and a lack of awareness. CRAFT tackles these issues by using smaller bioreactors to cut costs and reduce the risks, aiming for EFSA Novel Foods approval by 2029, and educating farmers on CM benefits. Key outcomes include a CM farm with a transition handbook, an open-source guide on cost-efficient CM production, a digital twin for optimized design, and three sustainable CM product prototypes. Community engagement is central, empowering farmers with knowledge and tools for a sustainable local food system. By 2038, CRAFT aims to enable 1,000 farmers to produce sustainable meat, saving 840,000 tons of CO2 annually and removing 500,000 animals from the food system. Initially focusing on Dutch beef farmers, the project has global potential. </t>
  </si>
  <si>
    <t xml:space="preserve">RESPECTFarms B.V</t>
  </si>
  <si>
    <t xml:space="preserve">Integration of acorn flour into the food chain as a ingredient with high nutrition value (2MIs planned)</t>
  </si>
  <si>
    <t xml:space="preserve">Priority challenges:
This project directly supports the EIT Food missions of creating a Fair and Resilient Food System and achieving a Net Zero Food System. In line with these missions, we address three specific challenges:
1) Reducing Food Loss by transforming acorns—an abundant but underutilized resource—into valuable food ingredients.
2) Increasing the Availability of Affordable, Nutritious, and Sustainable Food Products to help reduce non-communicable disease (NCD) risks in key markets and demographics.
3) Improving Manufacturing Processes to utilize food waste and side streams, thereby creating economic value from these resources. This project leverages sustainable resource use from traditional oak forests in Portugal and Spain, reducing waste and increasing the availability of high-quality food products in a sustainable manner.
The project addresses sustainability and health by developing nutritious, acorn-based ingredients, including gluten-free, acorn flour for bakery and plant-based meats, and a caffeine-free acorn coffee substitute. These products support non-communicable disease (NCD) risk reduction by providing high-fiber, antioxidant-rich alternatives, and low glycemic index, aligned with consumer trends in health and eco-friendliness. Through innovative manufacturing processes, Landratech is able to turn acorns into commercially viable food products, adding economic value to food systems and promoting sustainability.
Main Outcomes:
-Launch a caffeine-free acorn coffee substitute in capsule form, targeting health-conscious consumers.
-Introduce acorn flour as a gluten-free, versatile ingredient in bakery and alternative meat products, meeting demand for plant-based, sustainable options.
-Target food manufacturers by developing tailored acorn-based recipes, offering a sustainable ingredient that enhances product differentiation and support achieve sustainability KPIs.
-Create and validate acorn-based recipes for bakery and meat substitutes, aligned with market trends and consumer needs.
-Leverage market interest to introduce acorn-based solutions to food producers, meeting rising demand for health-oriented and sustainable ingredients.
-Conduct a Life Cycle Assessment (LCA) to evaluate the environmental impact of acorn-based products. This will identify areas for improvement and support food manufacturers in meeting sustainability goals.
Benefits:
-Consumers: Acorn flour provides a gluten-free option with notable health benefits, including a lower glycemic index and high antioxidant content, which are beneficial for individuals managing diabetes and NCDs.
-Food Manufacturers: Acorn flour offers food producers an innovative, sustainable ingredient that meets the increasing demand for nutritious, eco-friendly products. The LCA data further strengthens acorn flour’s low-impact credentials, making it a desirable option for manufacturers seeking to enhance product appeal while achieving sustainability goals.</t>
  </si>
  <si>
    <t xml:space="preserve">Landra Tech</t>
  </si>
  <si>
    <t xml:space="preserve">Nutritious, sustainable SUNFLOwer seed PROtein for dairy applications (SUNFLOPRO)</t>
  </si>
  <si>
    <t xml:space="preserve">This project adresses:
- Improved production and manufacturing processes to reduce environmental impacts  
- Improved manufacturing processes to supply more food products building economic value from food waste and side streams
- Adoption of new business models enabled through Protein Diversification 
PROBLEM STATEMENT:
There is an urgent need for affordable, sustainable protein sources that meet consumer demands, are scalable, and contribute to food security.
- Protein is vital for health, but reliance on animal sources and crops like soy has significant environmental costs. Expanding plant-based protein options can reduce impact and provide nutritious, non-allergenic alternatives.
- Taste and nutrition drive demand, yet soy and pea proteins often fall short without extensive processing, which conflicts with clean-label trends. Innovation is essential for broader adoption.
- Many plant-based producers overlook full lifecycle sustainability, leading to waste and underutilized byproducts.
SOLUTION:
- Toward an improved production and manufacturing process to reduce environmental impacts and supply more food products building economic value:
This project aims to valorize sunflower seed pulp from the Oleocream manufacturing process [3,4]. Since this mild, chemical-free process preserves protein functionality, it enhances taste and nutritional value. Using less water and energy than typical plant-based protein methods, it creates a new value stream, closes TTM’s production loop, and reduces waste. Additionally, sourcing European-grown sunflower seeds supports local agriculture, improves traceability, shortens supply chains, and decreases reliance on high-impact crops like soy.
-Toward the adoption of new business models through Protein Diversification:
The new protein ingredient enables TTM to expand into new geographic market segments.
OUTCOMES:
A nutritionally optimized, affordable plant-based protein powder to help TTM’s customers create indulgent plant-based and hybrid dairy products.
Within 3 years of market entry (Q4 2029):
- 100 customers reached and 400,000 kg of Sunflopro sold annually in protein-rich categories like shakes, yogurts, and sports nutrition.
- Projected revenue of €1.885M, by 2029. Entering competitively below market prices (€5–7/kg), TTM aims to gain traction and later target premium markets.
IMPACT TARGETS:
By 2031 (relative to 2026):
- 550 tons of sunflower material upcycled, with CO₂ savings per kg measured by VTT.
- 2,000 m³ of water saved and reused through evaporation.
- 20% energy reduction compared to standard soy protein production, due to lower temperature, pressure, and manufacturing time, quantified by VTT.
PRIMARY BENEFICIARIES:
Businesses and restaurants using TTM’s protein can offer better dairy alternatives, while sunflower growers see increased demand and stakeholders benefit from job creation.</t>
  </si>
  <si>
    <t xml:space="preserve">Time-travelling Milkman</t>
  </si>
  <si>
    <t xml:space="preserve">Fermofine: Advancing Protein Diversification and Improved Nutrition Towards a Net Zero Food System</t>
  </si>
  <si>
    <t xml:space="preserve">This EIT food project is centered on introducing Fermofine, an innovative fungi-based alternative protein developed by TPB, which addresses key EIT Food priority challenges. Fermofine aligns with missions to promote “Healthier Lives Through Food” and achieving “Net Zero Food Systems”. By offering a sustainable protein source with a rich amino acid profile, Fermofine aims to reshape consumption patterns and support the diversification of protein options, contributing significantly to reducing the environmental footprint associated with conventional proteins.
The project is driven by a well-rounded consortium that includes TPB, Soremartec, NIZO and Wageningen Food and Biobased research. TPB will leverage its biotechnological advances to manage the production and scaling of Fermofine, while Wageningen Food and Biobased Research and NIZO provides strong research capabilities in food science. Soremartec, a leader in the confectionery market, contributes its market knowledge and product development expertise, ensuring a strategic market entry for Fermofine.
This project aims to capture significant market share in the functional confectionery sector, projected to grow substantially in the coming years, as well as the broader alternative protein market. Fermofine's unique texture and nutritional density make it a prime candidate for health-focused food products, particularly in collaboration with Soremartec, which is keen on integrating healthier snack options into its offerings. Additionally, the project targets long-term growth by aligning with consumer trends demanding sustainable and ethical food choices in applications such as alternative dairy.
The innovation behind TPB's technology lies in its ability to produce high-quality proteins through an efficient and environmentally friendly process. The fine-milling process ensures a smooth, versatile protein that can be seamlessly incorporated into various food applications. This advancement supports EIT Food's objectives of enhancing food quality and diversifying proteins.
Expected outcomes of the project include the establishment of Fermofine as a key player in the alternative protein market, contributing to a more diverse and sustainable food system. The project will deliver measurable impacts aligned with EIT Food's missions, including food innovations and the adoption of sustainable food solutions. By addressing consumer demands and environmental challenges, this project offers a robust and strategic approach to redefining the future of food production and consumption.</t>
  </si>
  <si>
    <t xml:space="preserve">The Protein Brewery B.V.
</t>
  </si>
  <si>
    <t xml:space="preserve">Plant Food Festival 2025 in Aarhus and Copenhagen</t>
  </si>
  <si>
    <t xml:space="preserve">The project aims to increase sales of plant-based foods
as well as to strengthen the population's level of knowledge
about them. This will take place at the Plant Food Festival
in Copenhagen, and as a new initiative in 2025, also in Aarhus. The festival aims to both increase Danes' awareness of
the benefits of eating more plant-based, as well as help
with practical solutions to change eating habits, and
promote B2B sales for plant-based companies.</t>
  </si>
  <si>
    <t xml:space="preserve">groenprojektbank.dk/</t>
  </si>
  <si>
    <t xml:space="preserve">https://groenprojektbank.dk/plantefonden/2024/plant-food-festival-2025-i-aarhus-og-koebenhavn</t>
  </si>
  <si>
    <t xml:space="preserve">Danish Vegetarian Association</t>
  </si>
  <si>
    <t xml:space="preserve">NGO</t>
  </si>
  <si>
    <t xml:space="preserve">Plantefonden</t>
  </si>
  <si>
    <t xml:space="preserve">Optimized shelf life and food safety of plant-based foods</t>
  </si>
  <si>
    <t xml:space="preserve">The project will find organic solutions to extend the shelf
life of plant-based products such as fresh vegetable
mince and heat-treated products.
The organic solutions, which primarily concern additives
and ingredients in processed, plant-based products, will
be a combination of natural antimicrobial compounds from
plants, plant ferments or antimicrobial microorganisms
that will contribute to good taste and shelf life.</t>
  </si>
  <si>
    <t xml:space="preserve">https://groenprojektbank.dk/plantefonden/2024/optimeret-holdbarhed-og-foedevaresikkerhed-af-plantebaserede-foedevarer-plantepredict</t>
  </si>
  <si>
    <t xml:space="preserve">Danish Technological Institute</t>
  </si>
  <si>
    <t xml:space="preserve">PLATE - The Effect of Plant-Based Diet on Disease Activity in Patients with Rheumatoid Arthritis</t>
  </si>
  <si>
    <t xml:space="preserve">The purpose of the project is to investigate how the effect of a 16-week
period of plant-based diet affects disease activity in patients with
rheumatoid arthritis. The project will thus investigate whether a
relatively vulnerable group can integrate a plant-based diet and achieve
health benefits without compromising the body's nutritional and
health balance. The knowledge of the project can form the basis
for future recommendations for patients with rheumatoid arthritis.</t>
  </si>
  <si>
    <t xml:space="preserve">https://groenprojektbank.dk/plantefonden/2024/plate-the-effect-of-plant-based-diet-on-disease-activity-in-patients-with-rheumatoid-arthritis</t>
  </si>
  <si>
    <t xml:space="preserve">Frederiksberg Hospital</t>
  </si>
  <si>
    <t xml:space="preserve">Hospital</t>
  </si>
  <si>
    <t xml:space="preserve">More umami with legumes (UMAMI-POWDER)</t>
  </si>
  <si>
    <t xml:space="preserve">The purpose of the project is to increase the supply of plant-
based food ingredients with optimized taste.
Umamamia has already found a way to</t>
  </si>
  <si>
    <t xml:space="preserve">https://groenprojektbank.dk/plantefonden/2024/mere-umami-med-baelgfrugter-umami-baelg</t>
  </si>
  <si>
    <t xml:space="preserve">Umamamia Aps</t>
  </si>
  <si>
    <t xml:space="preserve">Plant fermentates for better shelf life and food
safety of salads and stews - PlanteFerm</t>
  </si>
  <si>
    <t xml:space="preserve">The project's aim is to increase the use of fermented
vegetables, which contain natural antimicrobials
the side streams from the production of mushrooms and vegetables, which contain natural antimicrobials components to improve shelf life and food quality
The project's activities must, among other things, result in a report,
safety in organic and conventional products. that documents extended shelf life of ready-to-eat salads as well as documenting extended shelf life
Barley in stews using plant ferments.</t>
  </si>
  <si>
    <t xml:space="preserve">https://groenprojektbank.dk/plantefonden/2024/plantefermentater-for-bedre-holdbarhed-og-foedevaresikkerhed-af-salater-og-gryderetter-planteferm</t>
  </si>
  <si>
    <t xml:space="preserve">Rapeseeds: a local source for a new generation of food products</t>
  </si>
  <si>
    <t xml:space="preserve">The purpose of the project is to show that rapeseed protein can
quality. The project will thus attempt to expand rapeseed
used to create high-quality plant-based foods the uses of the seed and provide that knowledge to producers of food ingredients. The specific pro-
The issues that the project activities address can be plant-based drinks, cheeses or alternatives to other
products based on animal protein.</t>
  </si>
  <si>
    <t xml:space="preserve">https://groenprojektbank.dk/plantefonden/2024/rapeseeds-a-local-source-for-a-new-generation-of-food-products</t>
  </si>
  <si>
    <t xml:space="preserve">Aarhus Universitet</t>
  </si>
  <si>
    <t xml:space="preserve">Craveable Fungi Futures</t>
  </si>
  <si>
    <t xml:space="preserve">The project aims to develop a number of new plant-based meats
based on a deeper understanding of the properties of Danish
raw materials as well as the fermentation process. The project will
develop a database of local raw materials that will be used to
build a platform of fungal ferments. For this purpose, a prototype
with the taste, appearance and texture of chicken will be
developed. The project's efforts will contribute to overcoming
consumer reservations against choosing plant-based alternatives.</t>
  </si>
  <si>
    <t xml:space="preserve">https://groenprojektbank.dk/plantefonden/2024/craveable-fungi-futures</t>
  </si>
  <si>
    <t xml:space="preserve">Scicular Aps</t>
  </si>
  <si>
    <t xml:space="preserve">Development process for producers of plant-based foods - plantGROWTH</t>
  </si>
  <si>
    <t xml:space="preserve">The project aims to help small and medium-sized manufacturers of plant-based products, throughout the entire
development process, to achieve the goal of full-scale production. The project will do this by providing
participating SMEs with a tailored development process with a
focus on the areas where the individual company needs support – e.g. development of production, optimization of taste, packaging or testingof the product's marketability and consumer acceptance.</t>
  </si>
  <si>
    <t xml:space="preserve">https://groenprojektbank.dk/plantefonden/2024/udviklingsforloeb-for-producenter-af-plantebaserede-foedevarer-plantevaekst</t>
  </si>
  <si>
    <t xml:space="preserve">PlanteHub 1.0 – together we are smarter</t>
  </si>
  <si>
    <t xml:space="preserve">The project aims to strengthen collaboration and synergies
between actors in Denmark who are working to promote the
knowledge base for increased supply and demand for plant-based
foods. The project will do this through networking activities, interaction
and insight analyses, which will ensure ongoing upskilling of
professional actors within the industry, while ensuring greater
synergy across projects and initiatives from different actors</t>
  </si>
  <si>
    <t xml:space="preserve">https://groenprojektbank.dk/plantefonden/2024/plantehub-10-sammen-er-vi-klogere</t>
  </si>
  <si>
    <t xml:space="preserve">Lupin and soybean – pioneering new plant-based foods in Denmark [Lupin&amp;SoyFoods]</t>
  </si>
  <si>
    <t xml:space="preserve">The purpose of the project is to establish Danish cultivation of lupin and soybeans with good nutritional
properties and low climate and environmental footprint, for human consumption. The project works to strengthen the entire
processing for sale of lupin and soybeans as food
the value chain from cultivation, quality control, over goods. This will be done, among other things, through optimization of cultivation gene, studies of processing properties and determination of climate and environmental impact.</t>
  </si>
  <si>
    <t xml:space="preserve">https://groenprojektbank.dk/plantefonden/2024/-lupin-and-soybean-pioneering-new-plant-based-foods-in-denmark-[lupinandsoyfoods]-</t>
  </si>
  <si>
    <t xml:space="preserve">Lupins - the new legumes in the class</t>
  </si>
  <si>
    <t xml:space="preserve">https://groenprojektbank.dk/plantefonden/2024/lupiner-de-nye-baelgfrugter-i-klassen</t>
  </si>
  <si>
    <t xml:space="preserve">Innovation Center for Organic P/S</t>
  </si>
  <si>
    <t xml:space="preserve">The supermarket of the future</t>
  </si>
  <si>
    <t xml:space="preserve">The project stimulates competition between retail chains through Denmark's most comprehensive annual benchmarking of retail chains' plant-based offerings and sales practices, based on over 120 parameters. This benchmarking and advice based on this creates incentives for a wider range (including organic), better positioning of products and lower prices for plant-based foods.
The project includes Denmark's most in-depth analysis of the consumer segments that drive the majority of sales - based on 3,500 responses to over 200 questions. The project also creates a major long-term strategic impact on the retail trade in terms of promoting collaboration, responsibility and the creation of the supermarket of the future. The project manager is in constant contact with the Organic Association's retail market manager.</t>
  </si>
  <si>
    <t xml:space="preserve">https://groenprojektbank.dk/plantefonden/2024/fremtidens-supermarked</t>
  </si>
  <si>
    <t xml:space="preserve">"Animal Free Protein - fermentation produced milk protein"</t>
  </si>
  <si>
    <t xml:space="preserve">Animal foods are taking up less and plant-based foods are taking up more and more, in the first wave of the global development of more climate-neutral foods.
Animal foods are taking up less and plant-based foods are taking up more and more space, here in the first wave of the global development of more climate-neutral foods. But second-wave technologies, where the production of animal proteins is done via fermentation, are already under development. Among others, at the company Perfect Day in LA/USA. Denmark has a highly advanced biotechnological experience and knowledge base as a prerequisite for becoming a global powerhouse for cellular protein production in the climate-neutral food transition. It will be an intense race to develop the technology, especially for upscaling and industrialization, and thus win the global market for microbially produced animal proteins. The race is already underway - and our mission is for Denmark to be at the forefront. Hence this network initiative. The vision is to create a Danish hub for cellular and circular food production, where we gather existing Danish competencies at the intersection of biotechnology and food. The network will connect the Danish resource base and build bridges between research and innovation in a value chain perspective. The network's goal is to highlight opportunities and barriers for new foods based on sustainable production of milk proteins via fermentation. The network is a pre-competitive forum across sciences, industry organizations, companies, consumers and authorities. The network produces a "roadmap" for building a Danish cellular food production with a focus on milk proteins.</t>
  </si>
  <si>
    <t xml:space="preserve">https://groenprojektbank.dk/gudp/2022/animal-free-protein-fermentation-produced-milk-protein</t>
  </si>
  <si>
    <t xml:space="preserve">Henrik Sønksen Consulting</t>
  </si>
  <si>
    <t xml:space="preserve">FERBLEND Fermentation-induced valorization of side stream blends from oilseed and dairy industry</t>
  </si>
  <si>
    <t xml:space="preserve">This project addresses the valorization of two side streams from organic oilseed processing and the dairy industry through fermentation and creating platform products with improved technological and nutritional functionality.
This project addresses the valorization of two side streams from organic oilseed processing and the dairy industry through fermentation and creating platform products with improved technological and nutritional functionality. Food production chain sustainability, which refers to waste reduction and the exploration of innovative ways to increase resource efficiency, is of increasing importance.. By combining two side streams, circularity of the processes will be strengthened and the strategies developed in this project can be exploited by different actors in the food supply chain. Pre- and posttreatment of the raw materials and fermented blends will reduce antinutritional compounds, increase fermentability and ensure ideal sensory quality. Processing methodologies thereby will pay attention to the reduction of energy consumption and CO2 emissions, for the creation of more climate friendly food platforms. Fermentation of the two side streams will be the key step to obtain safe and adequate products through microbial enzymatic activities that will improve sensory quality and nutritional value, maintaining process sustainability. Furthermore, we will look at the utilization potential of the fermented products, to obtain a series of solutions that are appealing to various end users, from beverage producers to bakeries and snack applications. We expect a substantial increase in knowledge concerning processing and fermentation of blends of oilseed press cakes and whey resulting in tailored food products. This project proposal brings together the competencies of four partners from Denmark, Germany, Italy and Poland who request funding.</t>
  </si>
  <si>
    <t xml:space="preserve">https://groenprojektbank.dk/gudp/2020/ferblend-fermentation-induced-valorization-of-side-stream-blends-from-oilseed-and-dairy-industry</t>
  </si>
  <si>
    <t xml:space="preserve">Green Development and Demonstration Programme (GUDP)</t>
  </si>
  <si>
    <t xml:space="preserve">Continuous fermentation of milk protein (ContiMilk)</t>
  </si>
  <si>
    <t xml:space="preserve">Over the past decade, there has been an increased focus on establishing alternative production of animal food proteins.
A promising production method is the fermentation of genetically modified microorganisms to produce food proteins such as milk and egg proteins.
Life cycle assessment (LCA) of fermentation-based production of beta lactoglobulin (BLG) and ovalbumin (OVA) shows that GHG emissions can be reduced by 45% and 55%, respectively, compared to conventional production. At present, the production costs of fermentation-based food proteins cannot compete with traditional production. Continuous fermentation with high-producing strains has long been theoretically recognized as a method to reduce production costs.
Enduro has recently established proof-of-concept (PoC) for a genetic technology, Enduro Sense 3.0 (ES 3.0), which is capable of increasing production during continuous fermentation. In this GUDP project, we will transfer the ES 3.0 technology from our PoC strain to a BLG producing yeast strain and demonstrate a 2-3 fold increase in BLG production. We will then demonstrate continuous production of 1 kg BLG with the developed ES 3.0 strain and, via a technical-economic analysis, show the economic benefits of using ES 3.0. With a GUDP supported demonstration of our technology, Enduro will be able to sell the ES 3.0 technology widely to the rapidly growing alternative protein industry and give Denmark a central position in the development of the food of the future.</t>
  </si>
  <si>
    <t xml:space="preserve">https://groenprojektbank.dk/gudp/2024/continuous-fermentation-of-milk-protein-contimilk</t>
  </si>
  <si>
    <t xml:space="preserve">Enduro Genetics Aps</t>
  </si>
  <si>
    <t xml:space="preserve">https://groenprojektbank.dk/plantefonden/2023/futuredairy-non-animal-dairy-favorites-danbo-cheese-and-natural-yogurt</t>
  </si>
  <si>
    <t xml:space="preserve">Julienne Bruno </t>
  </si>
  <si>
    <t xml:space="preserve">Through the support of the EIT grant, JULIENNE BRUNO looks forward to bringing their naturally plant-based cheeses to new countries within the European region. This follows the successful launch of their products into Switzerland, the first market outside JULIENNE BRUNO's home market (UK). The funds from EIT will allow JULIENNE BRUNO to accelerate entry into new markets and provide investment to ensure commercial success in these markets”</t>
  </si>
  <si>
    <t xml:space="preserve">Hooked Foods</t>
  </si>
  <si>
    <t xml:space="preserve">Through the EIT Fast Track to Market initiative, Hooked Foods aims to introduce "The Super Protein”, a groundbreaking plant-based protein product that delivers unmatched nutritional value with 35-40g of protein per serving. This innovation is designed to meet the growing consumer demand for healthier, high-protein alternatives that fit seamlessly into a variety of meals, including pasta, salads, stews, and wraps. With our patented technology ensuring superior taste and texture, we are positioned to make this the go-to product for consumers looking for healthy, sustainable, and accessible protein sources</t>
  </si>
  <si>
    <t xml:space="preserve">BettaF!sh</t>
  </si>
  <si>
    <t xml:space="preserve">Through the EIT Fast Track to Market initiative, Wunderfish launches two innovations: the BettaF!sh SAL-NOM Can and TU-NAH Mexican Salad Can, offering delicious plant-based seafood options, expanding the existing BettaF!sh portfolio , and the Ohmami Seaweed Extract, a clean-label umami enhancer for B2B applications in baked goods and plant-based meat, showing the versatility of seaweed</t>
  </si>
  <si>
    <t xml:space="preserve">PES EIC Accelerator - FutureFerm</t>
  </si>
  <si>
    <t xml:space="preserve">As per an already approved EIC Accelerator stage-1 proposal, PLAATO is looking to revolutionize fermentation technology beyond alcoholic beverage industries - building the infrastructure needed for the next generation of emerging industrial fermentation-based industrial processes. Effectively, PLAATO will use novel hardware and transfer the chemical engineer, the lab and the fermentation scientist to the cloud to give an edge in terms of cost, control, repeatability and quality.</t>
  </si>
  <si>
    <t xml:space="preserve">https://prosjektbanken.forskningsradet.no/</t>
  </si>
  <si>
    <t xml:space="preserve">https://prosjektbanken.forskningsradet.no/en/project/FORISS/353521?Kilde=FORISS&amp;distribution=Ar&amp;chart=bar&amp;calcType=funding&amp;Sprak=no&amp;sortBy=score&amp;sortOrder=desc&amp;resultCount=30&amp;offset=0&amp;source=FORISS&amp;projectId=325452&amp;Fritekst=fermentation&amp;Ar=2024&amp;Ar=2023&amp;Ar=2025&amp;Ar=2022&amp;Ar=2021&amp;Ar=2020</t>
  </si>
  <si>
    <t xml:space="preserve">E!114857 Novel high-value ingredient based on fermented seaweed disrupting the food and nutraceutical markets</t>
  </si>
  <si>
    <t xml:space="preserve">https://prosjektbanken.forskningsradet.no/en/project/FORISS/329128?Kilde=FORISS&amp;distribution=Ar&amp;chart=bar&amp;calcType=funding&amp;Sprak=no&amp;sortBy=score&amp;sortOrder=desc&amp;resultCount=30&amp;offset=0&amp;source=FORISS&amp;projectId=325452&amp;Fritekst=fermentation&amp;Ar=2024&amp;Ar=2023&amp;Ar=2025&amp;Ar=2022&amp;Ar=2021&amp;Ar=2020</t>
  </si>
  <si>
    <t xml:space="preserve">Norwegian Bioprocessing &amp; Fermentation Centre-NBioC</t>
  </si>
  <si>
    <t xml:space="preserve">https://prosjektbanken.forskningsradet.no/en/project/FORISS/270048?Kilde=FORISS&amp;distribution=Ar&amp;chart=bar&amp;calcType=funding&amp;Sprak=no&amp;sortBy=score&amp;sortOrder=desc&amp;resultCount=30&amp;offset=0&amp;source=FORISS&amp;projectId=325452&amp;Fritekst=fermentation</t>
  </si>
  <si>
    <t xml:space="preserve">Green hydrogen technology using food waste via thermophiles</t>
  </si>
  <si>
    <t xml:space="preserve">The proposed project aims to develop links and cooperation between the Norwegian Energy-Sustainability Nexus lab (ESNL) and the French Laboratoire de Biotechnologie de l'Environnement (LBE, INRAE). The interest of such a collaboration is to further develop the hydrogen production activities by dark fermentation of both laboratories by pooling their respective competences. The visits in both institutes of PhD students involved in the field will allow them to develop the skills mastered in the host laboratory, to integrate the European biorefinery network and thus to disseminate the acquired skills more widely. The use of industrial hydrogen in France is responsible for 3% of the country's greenhouse gas emissions. Indeed, 95% of the hydrogen currently used comes from the reforming of fossil fuels, emitting 10 kgCO2/kgH2. Hydrogen is an energy carrier of growing interest in the context of the development of intermittent renewable energies and to ensure clean mobility. It is therefore necessary to develop new modes of hydrogen production having the lowest environmental impact. In this context, dark fermentation allows the production of hydrogen by biological degradation of organic waste under anaerobic conditions. The waste treatment and hydrogen production services provided by this process make it part of the bioeconomy and are currently attracting a lot of interest. Moreover, compared to hydrogen production by water electrolysis (as main technology for massive H2 production), dark fermentation emits 8 times less CO2 per kg of H2 produced and is therefore one of the least polluting hydrogen production processes. However, the development of this process is restricted by low hydrogen productivities that impair the process competitiveness in regards to water electrolysis. These low yields result from the presence of non-hydrogen producing microorganisms or the accumulation of inhibitors</t>
  </si>
  <si>
    <t xml:space="preserve">https://prosjektbanken.forskningsradet.no/en/project/FORISS/331901?Kilde=FORISS&amp;distribution=Ar&amp;chart=bar&amp;calcType=funding&amp;Sprak=no&amp;sortBy=score&amp;sortOrder=desc&amp;resultCount=30&amp;offset=0&amp;source=FORISS&amp;projectId=270048&amp;Fritekst=fermentation&amp;Ar=2025&amp;Ar=2024&amp;Ar=2023&amp;Ar=2022&amp;Ar=2021&amp;Ar=2020</t>
  </si>
  <si>
    <t xml:space="preserve">University Stavanger</t>
  </si>
  <si>
    <t xml:space="preserve">LIGNOLIPP - From LIGNOcellulose sugars to high-value LIPids and bioPolymers in a single fermentation process</t>
  </si>
  <si>
    <t xml:space="preserve">Due to its compositional variety, lignocellulosic biomass is a promising renewable feedstock for the production of different chemicals. The production of microbial lipids from lignocellulose sugars has attracted a lot of attention during the last five years. Microbial lipids are produced by oleaginous fungi which, under nutrient-limited conditions, are able to accumulate up to 80% of lipids per dry biomass. Fatty acid profiles of fungal lipids are very similar to the essential fatty acids in plant oils or they can be similar to highly valuable fish oil. Microbial lipids are a promising feedstock of high-value lipids for food, feed and chemical industry as well as low-value lipids for biodiesel industry. Currently, the process of microbial lipid production is still not competitive with the agricultural production of vegetable oils, which have a significantly lower market price. LIGNOLIPP project developed a production process where microbial lipids where produced along with amino åpolysaccharides (chitin and chitosan) using lignocellulose sugars. NMBU identified several Zygomycetes fungi as promissing microbial cell factories for the co-production of lipids and amino polysaccharides. Further, a production process to obtain fungal biomass with high content of amino polysaccharides was developed. The production process was upscaled in 10L bioreactors at NORCE and the obtained fungal biomass was fractionated to pure components at NMBU. Advanced Vibrational spectroscopy techniques have been successfully integrated for at-line and on-line monitoring of fungal fermentations. Purified amino polysaccahride fractions as well as pure chitosan were analysed by WWU and, further, used by Bex-Biotech GmbH for assesing plant biostimulant activity.</t>
  </si>
  <si>
    <t xml:space="preserve">https://prosjektbanken.forskningsradet.no/en/project/FORISS/305215?Kilde=FORISS&amp;distribution=Ar&amp;chart=bar&amp;calcType=funding&amp;Sprak=no&amp;sortBy=score&amp;sortOrder=desc&amp;resultCount=30&amp;offset=0&amp;source=FORISS&amp;projectId=270048&amp;Fritekst=fermentation&amp;Ar=2025&amp;Ar=2024&amp;Ar=2023&amp;Ar=2022&amp;Ar=2021&amp;Ar=2020</t>
  </si>
  <si>
    <t xml:space="preserve">NMBU</t>
  </si>
  <si>
    <t xml:space="preserve">PES - Woman TechEU resubmission - SifoTEK</t>
  </si>
  <si>
    <t xml:space="preserve">In line with program objectives, the Woman TechEU program is “supporting women leading deep tech startups from Europe to grow into tomorrow’s tech leaders and putting women at the forefront of deep tech in Europe”.
The above fully matches SifoTEK’s positioning and organizational structure, being led by Kim Phan, a successful serial entrepreneur with a technical and commercial skillset covering the whole journey from R&amp;D, scale-up and production. Kim also holds a Ph.D. in Chemical Engineering from NTNU.
Fermentation science presents a promising field with significant potential to generate economic and environmental benefits. By exploring new avenues in precision fermentation and for the circular economy, SifoTEK can create a global food system that fosters regenerative and scalable solutions for alternative proteins.
While our technology roadmap is and will be covered by efforts elsewhere, the Woman TechEU program is particularly interesting due to the flexibility provided and scope to also focus on commercial aspects. From the instructions of the call: “Taking into account your particular needs and requirements it is up to you (the applicant) to choose how you plan to allocate funds towards activities that will accelerate the development, growth and sustainability of your business.”
Being further defined as part of the full proposal, our key priorities will center on:
* Sourcing and structuring industrial partnerships
* Scaling and industrialization
* Business model upgrade/consolidation of business plan
* Update of financial plan
* IP strategy and freedom to operate (FTO)
* Customer validation and technical assessments
* Investor readiness and processes
</t>
  </si>
  <si>
    <t xml:space="preserve">https://prosjektbanken.forskningsradet.no/en/project/FORISS/355478?Kilde=FORISS&amp;distribution=Ar&amp;chart=bar&amp;calcType=funding&amp;Sprak=no&amp;sortBy=score&amp;sortOrder=desc&amp;resultCount=30&amp;offset=0&amp;source=FORISS&amp;projectId=270048&amp;Fritekst=fermentation&amp;Ar=2025&amp;Ar=2024&amp;Ar=2023&amp;Ar=2022&amp;Ar=2021&amp;Ar=2020</t>
  </si>
  <si>
    <t xml:space="preserve">SIFOTEK AS</t>
  </si>
  <si>
    <t xml:space="preserve">PES - Woman TechEU - SifoTEK</t>
  </si>
  <si>
    <t xml:space="preserve">https://prosjektbanken.forskningsradet.no/en/project/FORISS/353591?Kilde=FORISS&amp;distribution=Ar&amp;chart=bar&amp;calcType=funding&amp;Sprak=no&amp;sortBy=score&amp;sortOrder=desc&amp;resultCount=30&amp;offset=0&amp;source=FORISS&amp;projectId=270048&amp;Fritekst=fermentation&amp;Ar=2025&amp;Ar=2024&amp;Ar=2023&amp;Ar=2022&amp;Ar=2021&amp;Ar=2020</t>
  </si>
  <si>
    <t xml:space="preserve">SUSFOOD2: Innovative processing of seaweed for novel, healthy food products and ingredients</t>
  </si>
  <si>
    <t xml:space="preserve">Agricultural food production faces large technological and environmental challenges to remain sustainable, highlighting a pressing need for utilization of new food sources and alternative production sites. Brown seaweeds are important as food in East Asia, but presently underutilized in the Western world. Large-scale, sustainable cultivation is now increasing the availability of high-quality seaweed biomass in Europe. However, for brown seaweed to become a widespread food ingredient, improved processing methods to increase the edibility and nutritional value of both new and existing products are required. The primary objective of the "ProSeaFood" project has been to develop and apply innovative processing methods to increase the digestibility and nutrient availability of brown seaweeds. This should be achieved through employing enzymes and fermentation to increase nutritional availability and remove inedible or potentially harmful substances, and to introduce novel sensory properties. The plan was further to develop new food products that are nutritious, tasteful and have well-documented effects on consumer health. The project consortium has included partners from Norway, Sweden, Iceland, and Spain, combining expertise in seaweed cultivation, biomass processing, fermentation, enzymology, and product development and quality control, to cover the value chain from raw material to finished food products. Based on new knowledge about the composition and effects of different pre-treatments on the cultivated brown algae species, the project has developed a method for the reduction of iodine and other minerals in brown algae, while improving the nutritional content and shelf life of the biomass. Processing with enzymes and fermentation has been directed toward modifying texture and flavour, increase digestibility, and increase accessibility of nutrient for probiotic microorganisms. Here, the project has selected and characterized bacterial strains that have been particularly efficient at fermenting seaweed, which can also be used as active food ingredients. We have further shown that pre-treatment of the biomass with enzymes can increase the efficiency of the following fermentation, and influence which compounds are produced by the probiotic bacteria. The processed brown algae have further been analysed with respect to sensory and technological properties as food ingredients, revealing important differences between the selected species and the processing methods (freezing, drying, heat treatment, fermentation, etc.). Based on these results, selected ingredients have been incorporated in food product prototypes which have been further characterized and subjected to a 100-person consumer test to assess market potential. The project has generated a new knowledge and large amount of data for the research and industry partners, new processing methodology implemented by the industry, as well as new prototypes for the food industry.</t>
  </si>
  <si>
    <t xml:space="preserve">https://prosjektbanken.forskningsradet.no/en/project/FORISS/284381?Kilde=FORISS&amp;distribution=Ar&amp;chart=bar&amp;calcType=funding&amp;Sprak=no&amp;sortBy=score&amp;sortOrder=desc&amp;resultCount=30&amp;offset=0&amp;source=FORISS&amp;projectId=270048&amp;Fritekst=fermentation&amp;Ar=2025&amp;Ar=2024&amp;Ar=2023&amp;Ar=2022&amp;Ar=2021&amp;Ar=2020</t>
  </si>
  <si>
    <t xml:space="preserve">Developing first large-scale organic seaweed fermentation process for use in food and nutraceuticals</t>
  </si>
  <si>
    <t xml:space="preserve">https://prosjektbanken.forskningsradet.no/en/project/FORISS/317645?Kilde=FORISS&amp;distribution=Ar&amp;chart=bar&amp;calcType=funding&amp;Sprak=no&amp;sortBy=score&amp;sortOrder=desc&amp;resultCount=30&amp;offset=0&amp;source=FORISS&amp;projectId=270048&amp;Fritekst=fermentation&amp;Ar=2025&amp;Ar=2024&amp;Ar=2023&amp;Ar=2022&amp;Ar=2021&amp;Ar=2020</t>
  </si>
  <si>
    <t xml:space="preserve">SEAWEED SOLUTIONS AS</t>
  </si>
  <si>
    <t xml:space="preserve">Centre for Industrial Biotechnology</t>
  </si>
  <si>
    <t xml:space="preserve">Industrial biotechnology entails the industrial application of modern biotechnological methods, enzymes and microorganisms for the production of a diverse range of commodities, including chemicals, pharmaceuticals, food and feed ingredients, detergents, textiles, energy and materials. Industrial biotechnology is globally anticipated to become a major driver for establishing a sorely needed sustainable bioeconomy. Industrial biotechnology is a key enabling technology in several value chains of national importance. The primary objective of SFI Industrial Biotechnology (SFI-IB) is to become a key instrument for moving Norway towards a more prominent international position within industrial biotechnology in terms of increased competitiveness of Norwegian biotech-based industry and provision of innovations with national and international large market potential. SFI-IBs R&amp;D&amp;I will focus on defined innovation domains including: i) Sustainable value creation from land-based and marine biomass and gaseous substrates, ii) Industrial enzymes and biocatalytic processes, iii) Fermentation processes and microbial cell factories and iv) C1 fermentation from industrial gasses, CCU and biogas. The highlighted products are food and feed ingredients, enzymes, biopolymers, vaccines and biopharmaceuticals. The SFI-IB consortium consists of 4 research organisations, SINTEF (host), NORCE, NTNU and NMBU and, 16 industrial partners, IFF, AlgiPharma AS, Norilia AS, Nutrimar AS, Skretting AS, Again, Aker Biomarine AS, Biocatalysts Inc, ArcticZymes AS, Vectron Biosolutions AS, Xellia Pharmaceuticals AS, PHARMAQ AS, Renevo AS, Borregaard, Gas2Feed and TINE and the industry cluster Eyde Innovation Centre. Jointly the SFI-IB partners possess central competence and infrastructure in industrial biotechnology in Norway. The industry partners have clearly defined innovation needs that are addressed in SFI-IB by national coordination of research and competence building, training of future employees, and use and further development of leading national biotech infrastructure. There Centre is now in its fourth year of operation, and is operated based on strategies and plans developed in close communication between the industry and the research partners in SFI-IB. The communication platforms and the centre bodies are well established. The research in SFI-IB is organised in seven interlinked sub-projects where both generic technology establishment and innovation is highlighted. Education and training of future Industrial Biotech industry employees in is an important focus area of SFI-IB, and approximately 20 PhDs/Postdocs will be financed by the Centre. 13 PhDs and one Postdoc are now active in the Centres projects. The research activities are performed both by the research institutions and the industry partners. In total approximately 95 persons have been involved in the centre’s activities in 2023. We are actively seeking collaboration with other major national and international initiatives and have established contact with several of them. This already includes collaboration with other large projects (EU and national) where partners from SFI-IB coordinate or participate. Other peripheral projects are also being established based on the activity in SFI-IB. This includes several Competence Projects (KSP), Verification Projects, and Innovation Projects in the business sector (IPN). Additionally, several projects have been initiated by industry partners that do not receive risk mitigation funds from the funding agencies. All these associated projects are very important for the realization of innovations where the foundation is established in SFI-IB.</t>
  </si>
  <si>
    <t xml:space="preserve">https://prosjektbanken.forskningsradet.no/en/project/FORISS/309558?Kilde=FORISS&amp;distribution=Ar&amp;chart=bar&amp;calcType=funding&amp;Sprak=no&amp;sortBy=score&amp;sortOrder=desc&amp;resultCount=30&amp;offset=0&amp;source=FORISS&amp;projectId=270048&amp;Fritekst=fermentation&amp;Ar=2025&amp;Ar=2024&amp;Ar=2023&amp;Ar=2022&amp;Ar=2021&amp;Ar=2020</t>
  </si>
  <si>
    <t xml:space="preserve">SusKelpFood – Sustainable ingredients from cultivated kelp to the food industry</t>
  </si>
  <si>
    <t xml:space="preserve">There is a growing need to produce more food in a sustainable way. In this context, kelp aquaculture is considered being a part of the solution for the sustainable production of food and animal feed. Kelp biomass can be cultivated on a large scale in coastal areas without need for chemicals and fertilizers, and without competing for freshwater or soil resources. If properly regulated, it will also provide ecosystem services, such as supporting biodiversity and mitigating CO2 emissions and eutrophication. Kelps are also a rich source of nutrients, taste and other bioactive substances with a large potential in food applications. The SusKelpFood project addresses some critical challenges for the food sector and emerging kelp industry to enable a broader use of this resource in food applications. Using key expertise from Nordic (Norway, Denmark, Iceland) research institutions, a major food producer (Orkla Foods Norge) and kelp producers, innovative and scalable conservation and processing methods (e.g. pulse electric field, warm seawater treatment, acid preservation, fermentation) were tested. The food safety incl. the presence of iodine, heavy metals, microbial pathogens and allergens of the resulting products was characterized and the retention of nutrients and changes in sensory properties from these processes were monitored. Information on the consumer perception and attitudes towards kelp-based food collected from interviews, surveys and from testing product prototypes. Compiling this data along with data from a product-based life cycle analysis provides a multi-criteria decision tool to industrial stakeholders to support the development of kelp-based food products and enable a broader inclusion of cultivated kelp in manufactured food products.</t>
  </si>
  <si>
    <t xml:space="preserve">https://prosjektbanken.forskningsradet.no/en/project/FORISS/326803?Kilde=FORISS&amp;distribution=Ar&amp;chart=bar&amp;calcType=funding&amp;Sprak=no&amp;sortBy=score&amp;sortOrder=desc&amp;resultCount=30&amp;offset=30&amp;source=FORISS&amp;projectId=270048&amp;Fritekst=fermentation&amp;Ar=2025&amp;Ar=2024&amp;Ar=2023&amp;Ar=2022&amp;Ar=2021&amp;Ar=2020</t>
  </si>
  <si>
    <t xml:space="preserve">MØREFORSKING AS</t>
  </si>
  <si>
    <t xml:space="preserve">Food safety &amp; quality, Consumer and market research</t>
  </si>
  <si>
    <t xml:space="preserve">Multifunctional high-value fungal biomass from the Norwegian agriculture supply chain by-products</t>
  </si>
  <si>
    <t xml:space="preserve">EU generates around 26 million tonnes of by-products across the agriculture and food supply chain annually with estimated associated costs of 43 billion euros for waste disposal. Only Norway produces around 600 000 tons of agriculture and food supply chain by-products annually. Today, the lions share of these by-products is used for low-value applications, combustion or disposed as waste. There is a huge societal and industrial need for developing processes for valorizing available agriculture by-products in a sustainable way for producing high-value product(s). BYPROVALUE will utilize the versatile metabolism of oleaginous fungi and develop a completely new and unique value chain for valorizing Norwegian agricultural supply chain by-products - animal fat and protein by-products, rest materials from brewery and sugar-rich lignocellulose side-streams of forestry into a product with several functionalities: a multifunctional fungal biomass. Multifunctional fungal biomass could be utilised as a whole in animal feed and pet food, or fractionated down to high-value ingredients - lipids and pigments for feed and food, chitin/chitosan for water treatment applications and beta-glucans for medical applications. BYPROVALUE will address the above challenges by an international and multidisciplinary consortium with top expertise in fungal biotechnology, fungal fermentation and advanced analysis of fungal metabolites as well as expertise in techno-economical evaluation of novel processes and bio-products. The project partners are the research partners Norwegian University of Life Sciences (NMBU), NOFIMA, Slovak University of Technology (STU), Brno University of Technology (BUT), University of Munster (WWU) and Norwegian companies Norilia AS, Nortura SA, Felleskjøpet Agri SA, Biotec Betaglucans AS, Teta vannrensing AS, Ringnes AS and Borregaard AS</t>
  </si>
  <si>
    <t xml:space="preserve">https://prosjektbanken.forskningsradet.no/en/project/FORISS/301834?Kilde=FORISS&amp;distribution=Ar&amp;chart=bar&amp;calcType=funding&amp;Sprak=no&amp;sortBy=score&amp;sortOrder=desc&amp;resultCount=30&amp;offset=30&amp;source=FORISS&amp;projectId=270048&amp;Fritekst=fermentation&amp;Ar=2025&amp;Ar=2024&amp;Ar=2023&amp;Ar=2022&amp;Ar=2021&amp;Ar=2020</t>
  </si>
  <si>
    <t xml:space="preserve">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</si>
  <si>
    <t xml:space="preserve">https://prosjektbanken.forskningsradet.no/en/project/FORISS/353505?Kilde=FORISS&amp;distribution=Ar&amp;chart=bar&amp;calcType=funding&amp;Sprak=no&amp;sortBy=score&amp;sortOrder=desc&amp;resultCount=30&amp;offset=0&amp;source=FORISS&amp;projectId=270048&amp;Fritekst=cultivated+meat&amp;Ar=2025&amp;Ar=2024&amp;Ar=2023&amp;Ar=2022&amp;Ar=2021&amp;Ar=2020</t>
  </si>
  <si>
    <t xml:space="preserve">The biosynthetic protein transition: assessing impacts, outcomes and opportunities for Norways post-animal bioeconomy</t>
  </si>
  <si>
    <t xml:space="preserve">When Protein2.0 was funded in 2018 there were 30 start-ups working on cultured proteins on small start-up funding. Now, in early 2023, there are over 300 start-ups engaged in the development of meat and milk proteins (some worth over a billion US$) and a growing commercial support infrastructure. In 2021 the cellular protein sector, for the first time, obtained a larger proportion of the alternative protein investment capital than plant-based proteins (US$2.07 billion vs US$1.93 billion). Meanwhile, as products are finalised, life cycle analyses suggest there may be significant reductions in climate gases, land usage, and water usage. The story of cellular agriculture is one of two key technologies. Precision-fermentation based companies already have products on the market in the US. Perfect Day, for example, is manufacturing whey powder for products ranging from ice-cream to body-building powders. Israeli company Remilk and US company Change Foods announced in 2022 they are building factories in Denmark and the UAE producing as much milk as 50.000 and 10.000 cows respectively. Cultured meat protein, on the other hand, is not yet commercially available. Mosa Meat and Eat Just are building small factories in Singapore in the coming years (where regulations are light), but the science and commercial viability of cultured meat remain uncertain. Recently, major food corporations General Mills and Unilever have announced in-house precision-fermented protein start-ups. Many start-up companies now have manufacturing, research, or distribution agreements with large food companies (e.g. Cargill and Tyson). On the regulatory side, the US Food and Drug Administration deemed Upside Foods cultured meat safe to eat in November 2022 in the first decision of its kind for cultured meat products. Cultured protein products have yet to be submitted to the EU for approval as a “novel food”, meaning it will be at least 2 years before a product is on the market. A key constraining factor will be bioreactor space. Even if it can be produced at the same price as conventional protein, volumes will be very small for many years. Protein2.0 has contributed substantially to our understanding of the likely impact of cultured proteins. Some of the key findings are: Much media hype is presented around the positive environmental credentials of cultured protein, the ability to make agriculture more efficient, and food production gains. However, we found that other issues are not highlighted or even considered. For example, what happens to rural communities, who will look after the countryside, and what new environmental problems might emerge? We thus observe that policy-makers should be remember that the outcomes are not necessarily positive. We also conducted an investigation of the willingness of Norwegians to try the product. A study of 1207 consumers found more than 50% had a neutral or positive willingness to try the product with support higher among younger people, males, more innovative people, and vegetarians/vegans. Response to actual products will be positively affected by good environmental impact, price, and nutritional value, and negatively affected by any bad smell, taste, texture or appearance issues. Modelling the economic impact of cultured protein on Norwegian farmers suggested that Norwegian agriculture would be “moderately affected” by a (likely) slow introduction, with most impact being felt by imported foods. The model also suggests Norwegian pork and poultry might lose their ability to grow significantly in the future. Rapid introduction of cultured protein would lead to greater damage to agriculture, according to the model. These results differed to those of the agent-based model (ABM) possibly because of different model coverage and decision-making mechanisms. The ABM is a more complex model that takes into account other actors such as dairies, retail agents, and slaughterhouses – allowing various interdependencies and feedbacks to be explored. This Norwegian model suggested that agricultural regions with high rates of specialist meat and dairy farming are vulnerable to a commercially competitive cultured protein industry. The closure of dairies and slaughterhouses as a result of the competition may have a knock-on effect for farms within their catchment. Population growth may reduce the impact of cultured protein. Finally, interviewing 28 actors in the Norwegian food system found a number of common views including: products are more likely to be imported than locally produced, a large-scale transition towards Norway-based production would significantly disrupt Norwegian distributed agricultural and settlement policy, and Norway’s high levels of animal welfare might mean that consumers are less likely to abandon conventional meat consumption in Norway than elsewhere. A final stakeholder conference recommended that Norway consider launching an alternative protein strategy (looking at all new protein sources).</t>
  </si>
  <si>
    <t xml:space="preserve">https://prosjektbanken.forskningsradet.no/en/project/FORISS/294777?Kilde=FORISS&amp;distribution=Ar&amp;chart=bar&amp;calcType=funding&amp;Sprak=no&amp;sortBy=score&amp;sortOrder=desc&amp;resultCount=30&amp;offset=0&amp;source=FORISS&amp;projectId=270048&amp;Fritekst=cultivated+meat&amp;Ar=2025&amp;Ar=2024&amp;Ar=2023&amp;Ar=2022&amp;Ar=2021&amp;Ar=2020</t>
  </si>
  <si>
    <t xml:space="preserve">Env/impact assessments, Consumer and market research</t>
  </si>
  <si>
    <t xml:space="preserve">FoodFutures</t>
  </si>
  <si>
    <t xml:space="preserve">FoodFutures proposes to sustainably deliver 100+ healthy, sustainable, nutritious and culturally appropriate (HSNC) diets generated from low-processed and sustainable food and ingredients with high nutritional value, excluding high fat, sugar and salt foods (HFSS), such as plant-based food. Animal sourced food (ASF) are not excluded from FoodFutures’ vision of HSNC but rather a boundary to provide impetus for alternative sources such as plants, yeast, algae, seafood and fish. Concretely, FoodFutures proposes to decrease and when pertinent substitute ASF such as meat from domesticated animals (e.g. chickens, sheep, rabbits, pigs and cattle), milk, eggs, honey, cheese, yogurt, etc. Regarding these categories, ASF 'substitution' is not a way forward, but just part of the solution. Less and better ASF is part of the solution, also to ensure ecosystems and good land management. At macro level FoodFuture ensures production quantities are adjusted on a ‘right amount of the right source’ basis, to secure a sustainable integration of the strengths and weaknesses of the current European aquatic and terrestrial capacities from an operational point of view. Consequently, FoodFutures explores developments on ‘ecological leftovers’ that limits feed production and relies on natural grasslands and food waste to feed livestock, also reducing the total number of livestock, and thus the amount of meat and dairy products consumed. FoodFutures generates responsible, nature-inclusive, bio-based and sustainable food value chains, supported by cross-sectoral circular bioeconomies incorporating aquatic and terrestrial ecosystems. FoodFutures explores and delivers mechanisms to effectively integrate HSNC in existing CRFS, providing food ingredients for human consumption and contributing to food security and CRFS resilience.</t>
  </si>
  <si>
    <t xml:space="preserve">https://prosjektbanken.forskningsradet.no/en/project/FORISS/323888?Kilde=FORISS&amp;distribution=Ar&amp;chart=bar&amp;calcType=funding&amp;Sprak=no&amp;sortBy=score&amp;sortOrder=desc&amp;resultCount=30&amp;offset=0&amp;source=FORISS&amp;projectId=270048&amp;Fritekst=cultivated+meat&amp;Ar=2025&amp;Ar=2024&amp;Ar=2023&amp;Ar=2022&amp;Ar=2021&amp;Ar=2020</t>
  </si>
  <si>
    <t xml:space="preserve">CORRELATE AS</t>
  </si>
  <si>
    <t xml:space="preserve">DL: Microbial production of omega-3 fatty acids - a model based approach</t>
  </si>
  <si>
    <t xml:space="preserve">https://prosjektbanken.forskningsradet.no/en/project/FORISS/269432?Kilde=FORISS&amp;distribution=Ar&amp;chart=bar&amp;calcType=funding&amp;Sprak=no&amp;sortBy=score&amp;sortOrder=desc&amp;resultCount=30&amp;offset=60&amp;source=FORISS&amp;projectId=270048&amp;Fritekst=cultivated+meat&amp;Ar=2025&amp;Ar=2024&amp;Ar=2023&amp;Ar=2022&amp;Ar=2021&amp;Ar=2020</t>
  </si>
  <si>
    <t xml:space="preserve">Innovation, consumer understanding and food processing knowledge for increased sustainability and health</t>
  </si>
  <si>
    <t xml:space="preserve">WP3 Food Technology: Studies linking the quality of textured proteins from peas and fava beans to the product quality of meat substitutes such as sausages and burgers have been conducted. To enhance the nutritional value of plant proteins, their digestibility, which depends on texture must be improved. The fat content in today's vegetarian products varies significantly in quality and quantity. Vegetable oils with high levels of unsaturated fatty acids tend to leak from the product, and stabilization through emulsions or oleogels is a possible solution. Norwegian-grown vegetables and by-products from food processing are suitable as functional ingredients in vegetarian and meat products. Adding certain vegetable ingredients can reduce harmful nitrosamines in mixed meat products. We applied various pre-treatment techniques and optimized analytical methods for phytochemicals, antioxidants, fiber, and unsaturated fats, focusing on their protective effects against potential carcinogens and their role in slowing fat digestion. The impact of the baking agent ascorbic acid varied between wheat varieties, which is valuable insight for wheat growers and the milling industry. Bread with guar galactomannan reduced the insulin response after a meal, as predicted by molecular properties in in vitro digestion. Some semi-refined seaweed ingredients were suitable as functional ingredients in gluten-free bread, while refined alginate produced bread without a sea taste. Alternatives to sucrose were tested in lingonberry products to reduce glycemic load. Mechanical tenderization and injection of protein hydrolysates into beef muscle improved tenderness and digestibility, particularly for older adults. Promising results with beef and pork lung in sausages showed reduced cooking loss, increased juiciness, and enhanced redness when using 10% lung, without affecting consumer preferences.</t>
  </si>
  <si>
    <t xml:space="preserve">https://prosjektbanken.forskningsradet.no/en/project/FORISS/314318?Kilde=FORISS&amp;distribution=Ar&amp;chart=bar&amp;calcType=funding&amp;Sprak=no&amp;sortBy=score&amp;sortOrder=desc&amp;resultCount=30&amp;offset=60&amp;source=FORISS&amp;projectId=270048&amp;Fritekst=cultivated+meat&amp;Ar=2025&amp;Ar=2024&amp;Ar=2023&amp;Ar=2022&amp;Ar=2021&amp;Ar=2020</t>
  </si>
  <si>
    <t xml:space="preserve">Used 1/3 of the original award as only 1/3 WP relevant </t>
  </si>
  <si>
    <t xml:space="preserve">The future of cheese production in the face of climate and societal change, developing recombinant technology and plant-based analogues.</t>
  </si>
  <si>
    <t xml:space="preserve">Based on the need to reduce the climate footprint of animal food production and dietary recommendations, consumers are being advised to increase their intake of plant-based foods. In addition, the opportunities created by the development of emerging technologies such as recombinant technology, could put the entire dairy industry at risk. To discuss these challenges representing both threats and opportunities for the industry, we would organise a workshop in conjunction with the IDF Cheese Science and Technology Symposium in Bergen at 6 June 2024. The workshop should be open to participants who would be interested in contributing to the topic. The workshop will focus on the sustainability of the dairy sector and explore the opportunities offered by the breakthrough research and radical innovation represented by the development of recombinant technology and the threats and opportunities it presents to the dairy sector. The event will be organised in three workshops 1. The future of dairy and cheese production in the face of climate and societal changes? 2. The use of recombinant technology in dairy and cheese production, where are the legislators, science and industry in this issue? 3. The production of plant-based analogue products, where are science and industry within this topic? After the workshop, the discussions will be summarised, and a prospective review paper will be developed and published The review paper provides an updated knowledge synthesis of knowledge, providing insights into the state of the art of science and industry within the topics covered by the workshop.</t>
  </si>
  <si>
    <t xml:space="preserve">https://prosjektbanken.forskningsradet.no/en/project/FORISS/352089?Kilde=FORISS&amp;distribution=Ar&amp;chart=bar&amp;calcType=funding&amp;Sprak=no&amp;sortBy=score&amp;sortOrder=desc&amp;resultCount=30&amp;offset=0&amp;source=FORISS&amp;projectId=270048&amp;Fritekst=plant-based&amp;Ar=2025&amp;Ar=2024&amp;Ar=2023&amp;Ar=2022&amp;Ar=2021&amp;Ar=2020</t>
  </si>
  <si>
    <t xml:space="preserve">Improved utilization of Norwegian agricultural resources</t>
  </si>
  <si>
    <t xml:space="preserve">To close these knowledge gaps, we will investigate: -how quality of fruit, berries and vegetables are affected by postharvest storage and processing and how side streams can be utilized as innovative ingredients -how to produce new healthy and functional ingredients and products from cereal and legume-based ingredients -how oilseeds and plant-based side streams can be utilized through new knowledge about plant lipids, natural antioxidants, functional properties, and bioactivity -which factors affect meat quality -structure of plant-based and composite multiphase food systems and how it changes during processing and affects target properties of the foods Through the knowledge obtained, the project will contribute to improved utilization and value-creation of foods made of Norwegian agricultural raw materials for the benefits of Norwegian primary producers, food industry and consumers.</t>
  </si>
  <si>
    <t xml:space="preserve">https://prosjektbanken.forskningsradet.no/en/project/FORISS/354183?Kilde=FORISS&amp;distribution=Ar&amp;chart=bar&amp;calcType=funding&amp;Sprak=no&amp;sortBy=score&amp;sortOrder=desc&amp;resultCount=30&amp;offset=0&amp;source=FORISS&amp;projectId=270048&amp;Fritekst=plant-based&amp;Ar=2025&amp;Ar=2024&amp;Ar=2023&amp;Ar=2022&amp;Ar=2021&amp;Ar=2020</t>
  </si>
  <si>
    <t xml:space="preserve">Center for Sustainable Protein Launches at Imperial</t>
  </si>
  <si>
    <t xml:space="preserve">https://www.bezosearthfund.org/news-and-insights/bezos-center-for-sustainable-protein-launches-at-imperial-with-30m-funding</t>
  </si>
  <si>
    <t xml:space="preserve">GFI was a scoping partner for this center.</t>
  </si>
  <si>
    <t xml:space="preserve">Bezos Earth Fund (BEF)</t>
  </si>
  <si>
    <t xml:space="preserve">Global</t>
  </si>
  <si>
    <t xml:space="preserve">Research and development, Equipment and infrastructure, Networking, Education and training</t>
  </si>
  <si>
    <t xml:space="preserve">3D-Printable Mycoprotein</t>
  </si>
  <si>
    <t xml:space="preserve">https://vegconomist.com/cultivated-cell-cultured-biotechnology/3d-technology/revo-foods-mycorena-3d-printable-mycoprotein/</t>
  </si>
  <si>
    <t xml:space="preserve">Original award amount is EUR 1,500,000.</t>
  </si>
  <si>
    <t xml:space="preserve">Mycorena</t>
  </si>
  <si>
    <t xml:space="preserve">Vinnova, Austrian Research Promotion Agency, European Commission</t>
  </si>
  <si>
    <t xml:space="preserve">Sweden, Austria, EU</t>
  </si>
  <si>
    <t xml:space="preserve">The Frozen Farmyard - Creating a Clean Meat Cell Line Repository</t>
  </si>
  <si>
    <t xml:space="preserve">https://gfi.org/researchgrants/</t>
  </si>
  <si>
    <t xml:space="preserve">As of January 2022, Gareth is CSO and Co-Founder of Occam Biosciences.</t>
  </si>
  <si>
    <t xml:space="preserve">Good Food Institute (GFI)</t>
  </si>
  <si>
    <t xml:space="preserve">Monitoring of cell culture parameters using sensors for biomass and nutrients/metabolites in
 media: lab-on-a-chip (LOC) approach</t>
  </si>
  <si>
    <t xml:space="preserve">Advancing the production of clean beef towards commercialization</t>
  </si>
  <si>
    <t xml:space="preserve">Fermentation of oat protein for application in extruded meat analogs</t>
  </si>
  <si>
    <t xml:space="preserve">Mari-Liis Tammik</t>
  </si>
  <si>
    <t xml:space="preserve">TFTAK - Center of Food and Fermentation Technologies</t>
  </si>
  <si>
    <t xml:space="preserve">Host strain development, Ingredient optimisation</t>
  </si>
  <si>
    <t xml:space="preserve">Raising Environmental Awareness through remote Learning course on alternative PROteins (REAL_PRO)</t>
  </si>
  <si>
    <t xml:space="preserve">https://uploads.mwp.mprod.getusinfo.com/uploads/sites/77/2022/04/Alumni-NOFO-FY2021-PAS-Belgrade.pdf</t>
  </si>
  <si>
    <t xml:space="preserve">DoS</t>
  </si>
  <si>
    <t xml:space="preserve">Direct lineage conversion of bovine and porcine fibroblasts into proliferative myogenic progenitor cells</t>
  </si>
  <si>
    <t xml:space="preserve">Ori Bar-Nur</t>
  </si>
  <si>
    <t xml:space="preserve">Crowding the field: using macromolecular crowding to enhance meat cultivation</t>
  </si>
  <si>
    <t xml:space="preserve">Newcastle University</t>
  </si>
  <si>
    <t xml:space="preserve">CALpod: the cellular agriculture lifecycle pod for cultivated meat production</t>
  </si>
  <si>
    <t xml:space="preserve">M3atD - a 3D bioprinted model for cell-based meats design</t>
  </si>
  <si>
    <t xml:space="preserve">Sara Oliveira</t>
  </si>
  <si>
    <t xml:space="preserve">International Iberian Nanotechnology Laboratory</t>
  </si>
  <si>
    <t xml:space="preserve">REALSENSE2 - From lab-on-a-chip to custom bioreactor: scale up modeling study</t>
  </si>
  <si>
    <t xml:space="preserve">Vasa Radonic</t>
  </si>
  <si>
    <t xml:space="preserve">Plant Proteins from Agricultural Waste / Side Streams</t>
  </si>
  <si>
    <t xml:space="preserve">Marieke Bruins</t>
  </si>
  <si>
    <t xml:space="preserve">Tipping the balance in gastronomy: culinary whole-cuts from plants</t>
  </si>
  <si>
    <t xml:space="preserve">Less is more; Meat analogues with next generation ingredients.</t>
  </si>
  <si>
    <t xml:space="preserve">MeatSecret: Uncovering the secretome of evolving primary muscle cells for in vitro meat production</t>
  </si>
  <si>
    <t xml:space="preserve">Martin Rasmussen</t>
  </si>
  <si>
    <t xml:space="preserve">Algae2Fish</t>
  </si>
  <si>
    <t xml:space="preserve">Understanding and controling the texture of filamentous fungi to path the way for mycelium-based meat and seafood alternatives</t>
  </si>
  <si>
    <t xml:space="preserve">Leonie Johanna Jahn</t>
  </si>
  <si>
    <t xml:space="preserve">DTU Biosustain</t>
  </si>
  <si>
    <t xml:space="preserve">Meat, seafood</t>
  </si>
  <si>
    <t xml:space="preserve">A novel mycelial fermentation to create meat replacing protein sources</t>
  </si>
  <si>
    <t xml:space="preserve">Eddy Smid</t>
  </si>
  <si>
    <t xml:space="preserve">Comprehensive platform for selecting and producing algal extracts as cell media components for meat cultivation.</t>
  </si>
  <si>
    <t xml:space="preserve">Simeon Minic</t>
  </si>
  <si>
    <t xml:space="preserve">Crustacean Flavors derived from Fungal Fermentation</t>
  </si>
  <si>
    <t xml:space="preserve">Richard Splivallo</t>
  </si>
  <si>
    <t xml:space="preserve">Nectariss</t>
  </si>
  <si>
    <t xml:space="preserve">Decoding the aroma of salmon and reproduction with different fats</t>
  </si>
  <si>
    <t xml:space="preserve">Sirli Rosenvald</t>
  </si>
  <si>
    <t xml:space="preserve">Development of a combined computational fluid dynamics and techno-economic analysis modelling workflow for characterisation and optimisation of cultivated meat bioreactor production lines</t>
  </si>
  <si>
    <t xml:space="preserve">VitaminSea - Enhancing Cost-Effective and Efficient Nutrient Delivery in Fish Embryonic Stem Cell Culture Medium via Functional Bioactive Microcarriers</t>
  </si>
  <si>
    <t xml:space="preserve">Carlos Rodrigues</t>
  </si>
  <si>
    <t xml:space="preserve">Utilizing a novel glucose metabolism pathway to optimize cultivated porcine meat culture</t>
  </si>
  <si>
    <t xml:space="preserve">Frances Brodsky</t>
  </si>
  <si>
    <t xml:space="preserve">University College London (UCL)</t>
  </si>
  <si>
    <t xml:space="preserve">Byproducts-to-Lipids: techno-economic analysis</t>
  </si>
  <si>
    <t xml:space="preserve">Milena Ivanisevic</t>
  </si>
  <si>
    <t xml:space="preserve">Connectomix Bio</t>
  </si>
  <si>
    <t xml:space="preserve">Luxembourg</t>
  </si>
  <si>
    <t xml:space="preserve">Dorian Leger</t>
  </si>
  <si>
    <t xml:space="preserve">Building Vessels: 3D vascularized tissues for thick cuts of meat</t>
  </si>
  <si>
    <t xml:space="preserve">https://new-harvest.org/research-projects/building-vessels/</t>
  </si>
  <si>
    <t xml:space="preserve">Exact award amount unknown. Estimate is based on $40,000 per year for New Harvest research fellows, according to website: https://web.archive.org/web/20201125104754/https://www.new-harvest.org/opportunities</t>
  </si>
  <si>
    <t xml:space="preserve">Abi Glencross</t>
  </si>
  <si>
    <t xml:space="preserve">Lucy Di-Silvio; Mark Post</t>
  </si>
  <si>
    <t xml:space="preserve">King's College London, Maastricht University</t>
  </si>
  <si>
    <t xml:space="preserve">New Harvest</t>
  </si>
  <si>
    <t xml:space="preserve">Education and training, Research and development</t>
  </si>
  <si>
    <t xml:space="preserve">Scalable Bioreactors: Identifying factors that maximize cultured meat production</t>
  </si>
  <si>
    <t xml:space="preserve">https://new-harvest.org/research-projects/scalable-bioreactors/</t>
  </si>
  <si>
    <t xml:space="preserve">Scott Allan</t>
  </si>
  <si>
    <t xml:space="preserve">Marianne Ellis; Paul De Bank</t>
  </si>
  <si>
    <t xml:space="preserve">Curved Culture Surfaces: Curved surfaces improve muscle cell alignment</t>
  </si>
  <si>
    <t xml:space="preserve">https://new-harvest.org/research-projects/curved-culture-surfaces/</t>
  </si>
  <si>
    <t xml:space="preserve">3D Printing Cultured Meat: Understanding how to 3D print marbled meat</t>
  </si>
  <si>
    <t xml:space="preserve">https://new-harvest.org/research-projects/3d-printing-cultured-meat/</t>
  </si>
  <si>
    <t xml:space="preserve">Jannis Wollschlaeger</t>
  </si>
  <si>
    <t xml:space="preserve">Petra Kluger; Jan Frank</t>
  </si>
  <si>
    <t xml:space="preserve">Reutlingen University, University of Hohenheim</t>
  </si>
  <si>
    <t xml:space="preserve">Sustainability of Cultured Meat: Life cycle assessment of cultured meat to guide scale-up</t>
  </si>
  <si>
    <t xml:space="preserve">https://new-harvest.org/research-projects/sustainability-cultured-meat/</t>
  </si>
  <si>
    <t xml:space="preserve">Exact award amount unknown. Estimate is based on $5000 maximum one-time disbursement for New Harvest seed grants, according to website: https://web.archive.org/web/20201125104754/https://www.new-harvest.org/opportunities</t>
  </si>
  <si>
    <t xml:space="preserve">University of Cambridge</t>
  </si>
  <si>
    <t xml:space="preserve">Alexei Lapkin; Steve Evans</t>
  </si>
  <si>
    <t xml:space="preserve">Crowded Culture: Making cells feel crowded to speed up cultured meat production</t>
  </si>
  <si>
    <t xml:space="preserve">https://new-harvest.org/research-projects/crowded-culture/</t>
  </si>
  <si>
    <t xml:space="preserve">Cultured Mollusks: Culturing conch, oysters, and other mollusks</t>
  </si>
  <si>
    <t xml:space="preserve">https://new-harvest.org/research-projects/cultured-mollusks/</t>
  </si>
  <si>
    <t xml:space="preserve">Vanessa Haley-Benjamin</t>
  </si>
  <si>
    <t xml:space="preserve">Continuous Bioprocessing: Developing a hands-free cell harvesting method</t>
  </si>
  <si>
    <t xml:space="preserve">https://new-harvest.org/research-projects/continuous-bioprocessing/</t>
  </si>
  <si>
    <t xml:space="preserve">GFI funded Lily's PI, Marianne Ellis in 2020 for a similar project.</t>
  </si>
  <si>
    <t xml:space="preserve">Lily Westerhoff</t>
  </si>
  <si>
    <t xml:space="preserve">Bioreactor and Media Interaction: Optimizing media composition for bioreactors</t>
  </si>
  <si>
    <t xml:space="preserve">https://new-harvest.org/research-projects/bioreactor-and-media-interaction/</t>
  </si>
  <si>
    <t xml:space="preserve">Allison Esperanza</t>
  </si>
  <si>
    <t xml:space="preserve">Marianne Ellis; Chris Chuck</t>
  </si>
  <si>
    <t xml:space="preserve">Pattern Formation: Cells that self-assemble into meat</t>
  </si>
  <si>
    <t xml:space="preserve">https://new-harvest.org/research-projects/pattern-formation/</t>
  </si>
  <si>
    <t xml:space="preserve">Frea Mehta</t>
  </si>
  <si>
    <t xml:space="preserve">Gil Westmeyer; Leonardo Morsut</t>
  </si>
  <si>
    <t xml:space="preserve">Technical University of Munich, University of Southern California</t>
  </si>
  <si>
    <t xml:space="preserve">Environmental Impact Assessment of Cultured Meat</t>
  </si>
  <si>
    <t xml:space="preserve">https://web.archive.org/web/20201125103739/https://www.new-harvest.org/past_research_projects</t>
  </si>
  <si>
    <t xml:space="preserve">Hanna Tuomisto</t>
  </si>
  <si>
    <t xml:space="preserve">Animal-free system for growing cultured meat</t>
  </si>
  <si>
    <t xml:space="preserve">Mark Post</t>
  </si>
  <si>
    <t xml:space="preserve">Mapping the potential for UK universities to become research and teaching hubs for cellular agriculture</t>
  </si>
  <si>
    <t xml:space="preserve">https://experiment.com/projects/mapping-the-potential-for-uk-universities-to-become-research-and-teaching-hubs-for-cellular-agriculture?mc_cid=2abef4f850&amp;mc_eid=702607fe99</t>
  </si>
  <si>
    <t xml:space="preserve">Jane Darling</t>
  </si>
  <si>
    <t xml:space="preserve">Cellular Agriculture UK</t>
  </si>
  <si>
    <t xml:space="preserve">Can immune cells prevent 3D printed blood vessels from falling apart?</t>
  </si>
  <si>
    <t xml:space="preserve">https://experiment.com/projects/can-immune-cells-prevent-3d-printed-blood-vessels-from-falling-apart?mc_cid=327f1a8f2b&amp;mc_eid=702607fe99</t>
  </si>
  <si>
    <t xml:space="preserve">Patrick Buchanan</t>
  </si>
  <si>
    <t xml:space="preserve">BEF AI Grand Challenge for Climate and Nature, Sustainable Proteins, Phase 1, The University of Leeds</t>
  </si>
  <si>
    <t xml:space="preserve">https://www.bezosearthfund.org/news-and-insights/phase-i-grants-ai-grand-challenge-climate-nature</t>
  </si>
  <si>
    <t xml:space="preserve">BEF AI Grand Challenge for Climate and Nature, Sustainable Proteins, Phase 1, Wageningen University</t>
  </si>
  <si>
    <t xml:space="preserve">BEF AI Grand Challenge for Climate and Nature, Sustainable Proteins, Phase 1, King's College London</t>
  </si>
  <si>
    <t xml:space="preserve">BEF AI Grand Challenge for Climate and Nature, Sustainable Proteins, Phase 1, Delft University of Technology</t>
  </si>
  <si>
    <t xml:space="preserve">Biotech Heights</t>
  </si>
  <si>
    <t xml:space="preserve">https://www.vinnova.se/en/p/food--biotech-heights/</t>
  </si>
  <si>
    <t xml:space="preserve">Bioprocess design, Feedstocks</t>
  </si>
  <si>
    <t xml:space="preserve">Biotech Heights Phase 2</t>
  </si>
  <si>
    <t xml:space="preserve">https://www.proteinproductiontechnology.com/post/biotech-heights-secures-continued-funding-to-drive-fermentation-led-food-innovation</t>
  </si>
  <si>
    <t xml:space="preserve">Development of an innovative plant protein preparation for a new generation of traditional and plant-based cured meat products</t>
  </si>
  <si>
    <t xml:space="preserve">https://proveg.org/article/backing-the-future-of-food-polands-ncbr-on-funding-alt-protein-rd/</t>
  </si>
  <si>
    <t xml:space="preserve">Tarczyński S.A.</t>
  </si>
</sst>
</file>

<file path=xl/styles.xml><?xml version="1.0" encoding="utf-8"?>
<styleSheet xmlns="http://schemas.openxmlformats.org/spreadsheetml/2006/main">
  <numFmts count="15">
    <numFmt numFmtId="164" formatCode="General"/>
    <numFmt numFmtId="165" formatCode="[$€]#,##0"/>
    <numFmt numFmtId="166" formatCode="\$#,##0"/>
    <numFmt numFmtId="167" formatCode="d\ mmmm\ yyyy"/>
    <numFmt numFmtId="168" formatCode="m/d/yyyy"/>
    <numFmt numFmtId="169" formatCode="#,##0"/>
    <numFmt numFmtId="170" formatCode="[$£]#,##0"/>
    <numFmt numFmtId="171" formatCode="dd/mm/yyyy"/>
    <numFmt numFmtId="172" formatCode="0.00E+00"/>
    <numFmt numFmtId="173" formatCode="m/d/yy"/>
    <numFmt numFmtId="174" formatCode="dd\ mmmm\ yyyy"/>
    <numFmt numFmtId="175" formatCode="d\ mmm\ yyyy"/>
    <numFmt numFmtId="176" formatCode="#,##0.00"/>
    <numFmt numFmtId="177" formatCode="#,##0_ ;\-#,##0\ "/>
    <numFmt numFmtId="178" formatCode="0.00%"/>
  </numFmts>
  <fonts count="46">
    <font>
      <sz val="10"/>
      <color rgb="FF000000"/>
      <name val="Arial"/>
      <family val="0"/>
      <charset val="1"/>
    </font>
    <font>
      <sz val="10"/>
      <name val="Arial"/>
      <family val="0"/>
    </font>
    <font>
      <sz val="10"/>
      <name val="Arial"/>
      <family val="0"/>
    </font>
    <font>
      <sz val="10"/>
      <name val="Arial"/>
      <family val="0"/>
    </font>
    <font>
      <b val="true"/>
      <sz val="12"/>
      <color theme="1"/>
      <name val="Calibri"/>
      <family val="0"/>
      <charset val="1"/>
    </font>
    <font>
      <sz val="11"/>
      <color theme="1"/>
      <name val="Arial"/>
      <family val="0"/>
      <charset val="1"/>
    </font>
    <font>
      <u val="single"/>
      <sz val="11"/>
      <color rgb="FF0000FF"/>
      <name val="Cambria"/>
      <family val="0"/>
      <charset val="1"/>
    </font>
    <font>
      <sz val="11"/>
      <color rgb="FF222222"/>
      <name val="Arial"/>
      <family val="0"/>
      <charset val="1"/>
    </font>
    <font>
      <sz val="12"/>
      <color rgb="FF333333"/>
      <name val="Arial"/>
      <family val="0"/>
      <charset val="1"/>
    </font>
    <font>
      <sz val="11"/>
      <color rgb="FF333333"/>
      <name val="Arial"/>
      <family val="0"/>
      <charset val="1"/>
    </font>
    <font>
      <sz val="21"/>
      <color rgb="FF262B38"/>
      <name val="Arial"/>
      <family val="0"/>
      <charset val="1"/>
    </font>
    <font>
      <sz val="12"/>
      <color rgb="FF303030"/>
      <name val="Arial"/>
      <family val="0"/>
      <charset val="1"/>
    </font>
    <font>
      <sz val="11"/>
      <color rgb="FF333333"/>
      <name val="Inherit"/>
      <family val="0"/>
      <charset val="1"/>
    </font>
    <font>
      <sz val="12"/>
      <color rgb="FF212121"/>
      <name val="Soleil"/>
      <family val="0"/>
      <charset val="1"/>
    </font>
    <font>
      <sz val="11"/>
      <color theme="1"/>
      <name val="Calibri"/>
      <family val="0"/>
      <charset val="1"/>
    </font>
    <font>
      <sz val="12"/>
      <color theme="1"/>
      <name val="Calibri"/>
      <family val="0"/>
      <charset val="1"/>
    </font>
    <font>
      <sz val="14"/>
      <color rgb="FF040404"/>
      <name val="Arial"/>
      <family val="0"/>
      <charset val="1"/>
    </font>
    <font>
      <sz val="14"/>
      <color rgb="FF333333"/>
      <name val="&quot;Source Sans Pro&quot;"/>
      <family val="0"/>
      <charset val="1"/>
    </font>
    <font>
      <sz val="11"/>
      <color rgb="FF000000"/>
      <name val="BundesSansWeb"/>
      <family val="0"/>
      <charset val="1"/>
    </font>
    <font>
      <sz val="11"/>
      <color theme="1"/>
      <name val="Aptos Narrow"/>
      <family val="0"/>
      <charset val="1"/>
    </font>
    <font>
      <u val="single"/>
      <sz val="12"/>
      <color rgb="FF467886"/>
      <name val="Calibri"/>
      <family val="0"/>
      <charset val="1"/>
    </font>
    <font>
      <sz val="11"/>
      <color rgb="FF323232"/>
      <name val="&quot;Nexus Sans Pro&quot;"/>
      <family val="0"/>
      <charset val="1"/>
    </font>
    <font>
      <sz val="13"/>
      <color rgb="FF333333"/>
      <name val="PannoText"/>
      <family val="0"/>
      <charset val="1"/>
    </font>
    <font>
      <u val="single"/>
      <sz val="11"/>
      <color rgb="FF467886"/>
      <name val="Calibri"/>
      <family val="0"/>
      <charset val="1"/>
    </font>
    <font>
      <sz val="11"/>
      <color rgb="FF333333"/>
      <name val="Calibri"/>
      <family val="0"/>
      <charset val="1"/>
    </font>
    <font>
      <u val="single"/>
      <sz val="11"/>
      <color rgb="FF0000FF"/>
      <name val="Arial"/>
      <family val="0"/>
      <charset val="1"/>
    </font>
    <font>
      <u val="single"/>
      <sz val="11"/>
      <color rgb="FF467886"/>
      <name val="Arial"/>
      <family val="0"/>
      <charset val="1"/>
    </font>
    <font>
      <sz val="12"/>
      <color rgb="FF0C5854"/>
      <name val="Poppins"/>
      <family val="0"/>
      <charset val="1"/>
    </font>
    <font>
      <sz val="14"/>
      <color rgb="FF001D35"/>
      <name val="&quot;Google Sans&quot;"/>
      <family val="0"/>
      <charset val="1"/>
    </font>
    <font>
      <sz val="8"/>
      <color theme="1"/>
      <name val="Aptos Narrow"/>
      <family val="0"/>
      <charset val="1"/>
    </font>
    <font>
      <b val="true"/>
      <sz val="8"/>
      <color rgb="FFCCCC00"/>
      <name val="Arial"/>
      <family val="0"/>
      <charset val="1"/>
    </font>
    <font>
      <sz val="12"/>
      <color rgb="FF373737"/>
      <name val="Raleway"/>
      <family val="0"/>
      <charset val="1"/>
    </font>
    <font>
      <u val="single"/>
      <sz val="11"/>
      <color rgb="FF1155CC"/>
      <name val="Arial"/>
      <family val="0"/>
      <charset val="1"/>
    </font>
    <font>
      <sz val="15"/>
      <color rgb="FF1F1F1F"/>
      <name val="Google Sans"/>
      <family val="0"/>
      <charset val="1"/>
    </font>
    <font>
      <u val="single"/>
      <sz val="11"/>
      <color rgb="FF222222"/>
      <name val="Arial"/>
      <family val="0"/>
      <charset val="1"/>
    </font>
    <font>
      <sz val="12"/>
      <color rgb="FF4A4A4A"/>
      <name val="Neue Montreal"/>
      <family val="0"/>
      <charset val="1"/>
    </font>
    <font>
      <b val="true"/>
      <sz val="12"/>
      <color rgb="FF4A4A4A"/>
      <name val="&quot;Neue Montreal&quot;"/>
      <family val="0"/>
      <charset val="1"/>
    </font>
    <font>
      <sz val="12"/>
      <color rgb="FF303030"/>
      <name val="&quot;Neue Montreal&quot;"/>
      <family val="0"/>
      <charset val="1"/>
    </font>
    <font>
      <sz val="12"/>
      <color rgb="FF464CCE"/>
      <name val="Arial"/>
      <family val="0"/>
      <charset val="1"/>
    </font>
    <font>
      <u val="single"/>
      <sz val="12"/>
      <color rgb="FF464CCE"/>
      <name val="Arial"/>
      <family val="0"/>
      <charset val="1"/>
    </font>
    <font>
      <sz val="12"/>
      <color rgb="FF303030"/>
      <name val="Neue Montreal"/>
      <family val="0"/>
      <charset val="1"/>
    </font>
    <font>
      <b val="true"/>
      <sz val="12"/>
      <color rgb="FF4A4A4A"/>
      <name val="Neue Montreal"/>
      <family val="0"/>
      <charset val="1"/>
    </font>
    <font>
      <u val="single"/>
      <sz val="11"/>
      <color rgb="FF0000FF"/>
      <name val="Calibri"/>
      <family val="0"/>
      <charset val="1"/>
    </font>
    <font>
      <sz val="14"/>
      <color rgb="FF21272A"/>
      <name val="Arial"/>
      <family val="0"/>
      <charset val="1"/>
    </font>
    <font>
      <sz val="14"/>
      <color rgb="FF21272A"/>
      <name val="TradeGothic"/>
      <family val="0"/>
      <charset val="1"/>
    </font>
    <font>
      <sz val="15"/>
      <color rgb="FF5D636D"/>
      <name val="Acumin"/>
      <family val="0"/>
      <charset val="1"/>
    </font>
  </fonts>
  <fills count="17">
    <fill>
      <patternFill patternType="none"/>
    </fill>
    <fill>
      <patternFill patternType="gray125"/>
    </fill>
    <fill>
      <patternFill patternType="solid">
        <fgColor rgb="FF00FF00"/>
        <bgColor rgb="FF33CCCC"/>
      </patternFill>
    </fill>
    <fill>
      <patternFill patternType="solid">
        <fgColor rgb="FF00FFFF"/>
        <bgColor rgb="FF00FFFF"/>
      </patternFill>
    </fill>
    <fill>
      <patternFill patternType="solid">
        <fgColor rgb="FFFFFF00"/>
        <bgColor rgb="FFFFCC00"/>
      </patternFill>
    </fill>
    <fill>
      <patternFill patternType="solid">
        <fgColor rgb="FFFFFFFF"/>
        <bgColor rgb="FFFAFAFA"/>
      </patternFill>
    </fill>
    <fill>
      <patternFill patternType="solid">
        <fgColor rgb="FFFAFAFA"/>
        <bgColor rgb="FFF9FAFC"/>
      </patternFill>
    </fill>
    <fill>
      <patternFill patternType="solid">
        <fgColor rgb="FFEFEFF5"/>
        <bgColor rgb="FFF5F5F5"/>
      </patternFill>
    </fill>
    <fill>
      <patternFill patternType="solid">
        <fgColor rgb="FFF5F5F5"/>
        <bgColor rgb="FFF9FAFC"/>
      </patternFill>
    </fill>
    <fill>
      <patternFill patternType="solid">
        <fgColor rgb="FFFFF2CC"/>
        <bgColor rgb="FFF5F5F5"/>
      </patternFill>
    </fill>
    <fill>
      <patternFill patternType="solid">
        <fgColor rgb="FFF4CCCC"/>
        <bgColor rgb="FFF4C7C3"/>
      </patternFill>
    </fill>
    <fill>
      <patternFill patternType="solid">
        <fgColor rgb="FFE4E3DE"/>
        <bgColor rgb="FFE9E6DD"/>
      </patternFill>
    </fill>
    <fill>
      <patternFill patternType="solid">
        <fgColor rgb="FFF1CEEE"/>
        <bgColor rgb="FFF4CCCC"/>
      </patternFill>
    </fill>
    <fill>
      <patternFill patternType="solid">
        <fgColor rgb="FFB7E1CD"/>
        <bgColor rgb="FFCCCCCC"/>
      </patternFill>
    </fill>
    <fill>
      <patternFill patternType="solid">
        <fgColor rgb="FF747474"/>
        <bgColor rgb="FF5D636D"/>
      </patternFill>
    </fill>
    <fill>
      <patternFill patternType="solid">
        <fgColor rgb="FFE9E6DD"/>
        <bgColor rgb="FFE4E3DE"/>
      </patternFill>
    </fill>
    <fill>
      <patternFill patternType="solid">
        <fgColor rgb="FFF9FAFC"/>
        <bgColor rgb="FFFAFAFA"/>
      </patternFill>
    </fill>
  </fills>
  <borders count="4">
    <border diagonalUp="false" diagonalDown="false">
      <left/>
      <right/>
      <top/>
      <bottom/>
      <diagonal/>
    </border>
    <border diagonalUp="false" diagonalDown="false">
      <left style="medium">
        <color rgb="FFCCCCCC"/>
      </left>
      <right style="medium">
        <color rgb="FFCCCCCC"/>
      </right>
      <top style="medium">
        <color rgb="FFCCCCCC"/>
      </top>
      <bottom style="medium">
        <color rgb="FFCCCCCC"/>
      </bottom>
      <diagonal/>
    </border>
    <border diagonalUp="false" diagonalDown="false">
      <left style="thin"/>
      <right style="thin"/>
      <top style="thin"/>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5" fontId="4" fillId="2" borderId="1" xfId="0" applyFont="true" applyBorder="true" applyAlignment="true" applyProtection="false">
      <alignment horizontal="center"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true" indent="0" shrinkToFit="false"/>
      <protection locked="true" hidden="false"/>
    </xf>
    <xf numFmtId="164" fontId="4" fillId="3" borderId="1" xfId="0" applyFont="true" applyBorder="true" applyAlignment="true" applyProtection="false">
      <alignment horizontal="center"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true" applyProtection="false">
      <alignment horizontal="general" vertical="bottom" textRotation="0" wrapText="false" indent="0" shrinkToFit="false"/>
      <protection locked="true" hidden="false"/>
    </xf>
    <xf numFmtId="169" fontId="5" fillId="4" borderId="0" xfId="0" applyFont="true" applyBorder="false" applyAlignment="true" applyProtection="false">
      <alignment horizontal="right"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6" fontId="5" fillId="4"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true" applyProtection="false">
      <alignment horizontal="general" vertical="bottom" textRotation="0" wrapText="false" indent="0" shrinkToFit="false"/>
      <protection locked="true" hidden="false"/>
    </xf>
    <xf numFmtId="170" fontId="7" fillId="5" borderId="0" xfId="0" applyFont="true" applyBorder="false" applyAlignment="true" applyProtection="false">
      <alignment horizontal="left"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true" applyProtection="false">
      <alignment horizontal="general" vertical="bottom" textRotation="0" wrapText="false" indent="0" shrinkToFit="false"/>
      <protection locked="true" hidden="false"/>
    </xf>
    <xf numFmtId="164" fontId="9" fillId="6" borderId="0" xfId="0" applyFont="true" applyBorder="false" applyAlignment="true" applyProtection="false">
      <alignment horizontal="general" vertical="bottom" textRotation="0" wrapText="false" indent="0" shrinkToFit="false"/>
      <protection locked="true" hidden="false"/>
    </xf>
    <xf numFmtId="165" fontId="9" fillId="6" borderId="0" xfId="0" applyFont="true" applyBorder="false" applyAlignment="true" applyProtection="false">
      <alignment horizontal="general" vertical="bottom" textRotation="0" wrapText="false" indent="0" shrinkToFit="false"/>
      <protection locked="true" hidden="false"/>
    </xf>
    <xf numFmtId="164" fontId="10" fillId="5" borderId="0" xfId="0" applyFont="true" applyBorder="false" applyAlignment="true" applyProtection="false">
      <alignment horizontal="general" vertical="bottom" textRotation="0" wrapText="false" indent="0" shrinkToFit="false"/>
      <protection locked="true" hidden="false"/>
    </xf>
    <xf numFmtId="164" fontId="11" fillId="7" borderId="0" xfId="0" applyFont="true" applyBorder="false" applyAlignment="true" applyProtection="false">
      <alignment horizontal="general" vertical="bottom" textRotation="0" wrapText="false" indent="0" shrinkToFit="false"/>
      <protection locked="true" hidden="false"/>
    </xf>
    <xf numFmtId="164" fontId="12" fillId="6"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13" fillId="5"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center" vertical="bottom" textRotation="0" wrapText="true" indent="0" shrinkToFit="false"/>
      <protection locked="true" hidden="false"/>
    </xf>
    <xf numFmtId="164" fontId="16" fillId="5" borderId="0" xfId="0" applyFont="true" applyBorder="false" applyAlignment="true" applyProtection="false">
      <alignment horizontal="general" vertical="bottom" textRotation="0" wrapText="false" indent="0" shrinkToFit="false"/>
      <protection locked="true" hidden="false"/>
    </xf>
    <xf numFmtId="167" fontId="17" fillId="5" borderId="0" xfId="0" applyFont="true" applyBorder="false" applyAlignment="true" applyProtection="false">
      <alignment horizontal="left" vertical="bottom" textRotation="0" wrapText="false" indent="0" shrinkToFit="false"/>
      <protection locked="true" hidden="false"/>
    </xf>
    <xf numFmtId="168" fontId="17" fillId="5" borderId="0" xfId="0" applyFont="true" applyBorder="false" applyAlignment="true" applyProtection="false">
      <alignment horizontal="left" vertical="bottom" textRotation="0" wrapText="false" indent="0" shrinkToFit="false"/>
      <protection locked="true" hidden="false"/>
    </xf>
    <xf numFmtId="164" fontId="14" fillId="5" borderId="1" xfId="0" applyFont="true" applyBorder="true" applyAlignment="true" applyProtection="false">
      <alignment horizontal="center" vertical="bottom" textRotation="0" wrapText="true" indent="0" shrinkToFit="false"/>
      <protection locked="true" hidden="false"/>
    </xf>
    <xf numFmtId="165" fontId="14" fillId="5" borderId="1" xfId="0" applyFont="true" applyBorder="true" applyAlignment="true" applyProtection="false">
      <alignment horizontal="center" vertical="bottom" textRotation="0" wrapText="true" indent="0" shrinkToFit="false"/>
      <protection locked="true" hidden="false"/>
    </xf>
    <xf numFmtId="166" fontId="15" fillId="5" borderId="1" xfId="0" applyFont="true" applyBorder="true" applyAlignment="true" applyProtection="false">
      <alignment horizontal="center" vertical="bottom" textRotation="0" wrapText="true" indent="0" shrinkToFit="false"/>
      <protection locked="true" hidden="false"/>
    </xf>
    <xf numFmtId="165" fontId="15" fillId="5" borderId="1" xfId="0" applyFont="true" applyBorder="true" applyAlignment="true" applyProtection="false">
      <alignment horizontal="center" vertical="bottom" textRotation="0" wrapText="tru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right" vertical="bottom" textRotation="0" wrapText="false" indent="0" shrinkToFit="false"/>
      <protection locked="true" hidden="false"/>
    </xf>
    <xf numFmtId="170" fontId="14" fillId="0" borderId="0" xfId="0" applyFont="true" applyBorder="false" applyAlignment="true" applyProtection="false">
      <alignment horizontal="right" vertical="bottom" textRotation="0" wrapText="false" indent="0" shrinkToFit="false"/>
      <protection locked="true" hidden="false"/>
    </xf>
    <xf numFmtId="165" fontId="14" fillId="0" borderId="0" xfId="0" applyFont="true" applyBorder="false" applyAlignment="true" applyProtection="false">
      <alignment horizontal="general" vertical="bottom" textRotation="0" wrapText="false" indent="0" shrinkToFit="false"/>
      <protection locked="true" hidden="false"/>
    </xf>
    <xf numFmtId="165" fontId="14" fillId="0" borderId="0" xfId="0" applyFont="true" applyBorder="false" applyAlignment="true" applyProtection="false">
      <alignment horizontal="right" vertical="bottom" textRotation="0" wrapText="false" indent="0" shrinkToFit="false"/>
      <protection locked="true" hidden="false"/>
    </xf>
    <xf numFmtId="164" fontId="18" fillId="8" borderId="0" xfId="0" applyFont="true" applyBorder="false" applyAlignment="true" applyProtection="false">
      <alignment horizontal="left" vertical="bottom" textRotation="0" wrapText="false" indent="0" shrinkToFit="false"/>
      <protection locked="true" hidden="false"/>
    </xf>
    <xf numFmtId="164" fontId="19" fillId="5"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center" vertical="bottom" textRotation="0" wrapText="false" indent="0" shrinkToFit="false"/>
      <protection locked="true" hidden="false"/>
    </xf>
    <xf numFmtId="164" fontId="19" fillId="5" borderId="1" xfId="0" applyFont="true" applyBorder="true" applyAlignment="false" applyProtection="false">
      <alignment horizontal="general" vertical="bottom" textRotation="0" wrapText="false" indent="0" shrinkToFit="false"/>
      <protection locked="true" hidden="false"/>
    </xf>
    <xf numFmtId="164" fontId="20" fillId="5" borderId="1" xfId="0" applyFont="true" applyBorder="true" applyAlignment="true" applyProtection="false">
      <alignment horizontal="center" vertical="bottom" textRotation="0" wrapText="true" indent="0" shrinkToFit="false"/>
      <protection locked="true" hidden="false"/>
    </xf>
    <xf numFmtId="171" fontId="15" fillId="5" borderId="1" xfId="0" applyFont="true" applyBorder="true" applyAlignment="true" applyProtection="false">
      <alignment horizontal="center" vertical="bottom" textRotation="0" wrapText="tru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xf numFmtId="164" fontId="15" fillId="5" borderId="0" xfId="0" applyFont="true" applyBorder="false" applyAlignment="true" applyProtection="false">
      <alignment horizontal="center" vertical="bottom" textRotation="0" wrapText="true" indent="0" shrinkToFit="false"/>
      <protection locked="true" hidden="false"/>
    </xf>
    <xf numFmtId="164" fontId="5" fillId="5" borderId="1" xfId="0" applyFont="true" applyBorder="true" applyAlignment="true" applyProtection="false">
      <alignment horizontal="general" vertical="bottom" textRotation="0" wrapText="false" indent="0" shrinkToFit="false"/>
      <protection locked="true" hidden="false"/>
    </xf>
    <xf numFmtId="164" fontId="5" fillId="5" borderId="0" xfId="0" applyFont="true" applyBorder="false" applyAlignment="true" applyProtection="false">
      <alignment horizontal="general" vertical="bottom" textRotation="0" wrapText="false" indent="0" shrinkToFit="false"/>
      <protection locked="true" hidden="false"/>
    </xf>
    <xf numFmtId="164" fontId="19" fillId="5" borderId="1" xfId="0" applyFont="true" applyBorder="true" applyAlignment="true" applyProtection="false">
      <alignment horizontal="general" vertical="bottom" textRotation="0" wrapText="false" indent="0" shrinkToFit="false"/>
      <protection locked="true" hidden="false"/>
    </xf>
    <xf numFmtId="170" fontId="15" fillId="5" borderId="1" xfId="0" applyFont="true" applyBorder="true" applyAlignment="true" applyProtection="false">
      <alignment horizontal="center" vertical="bottom" textRotation="0" wrapText="true" indent="0" shrinkToFit="false"/>
      <protection locked="true" hidden="false"/>
    </xf>
    <xf numFmtId="172" fontId="20" fillId="0" borderId="0" xfId="0" applyFont="true" applyBorder="false" applyAlignment="true" applyProtection="false">
      <alignment horizontal="center" vertical="bottom" textRotation="0" wrapText="false" indent="0" shrinkToFit="false"/>
      <protection locked="true" hidden="false"/>
    </xf>
    <xf numFmtId="172" fontId="15" fillId="5" borderId="1" xfId="0" applyFont="true" applyBorder="true" applyAlignment="true" applyProtection="false">
      <alignment horizontal="center" vertical="bottom" textRotation="0" wrapText="true" indent="0" shrinkToFit="false"/>
      <protection locked="true" hidden="false"/>
    </xf>
    <xf numFmtId="165" fontId="19" fillId="5" borderId="1" xfId="0" applyFont="true" applyBorder="true" applyAlignment="false" applyProtection="false">
      <alignment horizontal="general" vertical="bottom" textRotation="0" wrapText="false" indent="0" shrinkToFit="false"/>
      <protection locked="true" hidden="false"/>
    </xf>
    <xf numFmtId="173" fontId="21" fillId="5"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1" fillId="5" borderId="0" xfId="0" applyFont="true" applyBorder="false" applyAlignment="true" applyProtection="false">
      <alignment horizontal="general" vertical="bottom" textRotation="0" wrapText="false" indent="0" shrinkToFit="false"/>
      <protection locked="true" hidden="false"/>
    </xf>
    <xf numFmtId="167" fontId="22" fillId="5" borderId="0" xfId="0" applyFont="true" applyBorder="false" applyAlignment="true" applyProtection="false">
      <alignment horizontal="general" vertical="bottom" textRotation="0" wrapText="false" indent="0" shrinkToFit="false"/>
      <protection locked="true" hidden="false"/>
    </xf>
    <xf numFmtId="174" fontId="22" fillId="5" borderId="0" xfId="0" applyFont="true" applyBorder="false" applyAlignment="true" applyProtection="false">
      <alignment horizontal="general" vertical="bottom" textRotation="0" wrapText="false" indent="0" shrinkToFit="false"/>
      <protection locked="true" hidden="false"/>
    </xf>
    <xf numFmtId="164" fontId="23" fillId="5" borderId="1" xfId="0" applyFont="true" applyBorder="true" applyAlignment="true" applyProtection="false">
      <alignment horizontal="center" vertical="bottom" textRotation="0" wrapText="true" indent="0" shrinkToFit="false"/>
      <protection locked="true" hidden="false"/>
    </xf>
    <xf numFmtId="164" fontId="24" fillId="5" borderId="1" xfId="0" applyFont="true" applyBorder="true" applyAlignment="true" applyProtection="false">
      <alignment horizontal="center" vertical="bottom" textRotation="0" wrapText="true" indent="0" shrinkToFit="false"/>
      <protection locked="true" hidden="false"/>
    </xf>
    <xf numFmtId="171" fontId="14" fillId="5" borderId="1" xfId="0" applyFont="true" applyBorder="true" applyAlignment="true" applyProtection="false">
      <alignment horizontal="center" vertical="bottom" textRotation="0" wrapText="tru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14" fillId="5" borderId="1" xfId="0" applyFont="true" applyBorder="true" applyAlignment="true" applyProtection="false">
      <alignment horizontal="center" vertical="bottom" textRotation="0" wrapText="false" indent="0" shrinkToFit="false"/>
      <protection locked="true" hidden="false"/>
    </xf>
    <xf numFmtId="164" fontId="14" fillId="5"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25" fillId="0" borderId="0" xfId="0" applyFont="true" applyBorder="false" applyAlignment="true" applyProtection="false">
      <alignment horizontal="general" vertical="center" textRotation="0" wrapText="false" indent="0" shrinkToFit="false"/>
      <protection locked="true" hidden="false"/>
    </xf>
    <xf numFmtId="164" fontId="5" fillId="9" borderId="0" xfId="0" applyFont="true" applyBorder="false" applyAlignment="true" applyProtection="false">
      <alignment horizontal="general" vertical="center" textRotation="0" wrapText="false" indent="0" shrinkToFit="false"/>
      <protection locked="true" hidden="false"/>
    </xf>
    <xf numFmtId="164" fontId="5" fillId="9" borderId="0" xfId="0" applyFont="true" applyBorder="false" applyAlignment="true" applyProtection="false">
      <alignment horizontal="general" vertical="center" textRotation="0" wrapText="false" indent="0" shrinkToFit="false"/>
      <protection locked="true" hidden="false"/>
    </xf>
    <xf numFmtId="165" fontId="5" fillId="0" borderId="0" xfId="0" applyFont="true" applyBorder="false" applyAlignment="true" applyProtection="false">
      <alignment horizontal="general" vertical="center" textRotation="0" wrapText="false" indent="0" shrinkToFit="false"/>
      <protection locked="true" hidden="false"/>
    </xf>
    <xf numFmtId="167" fontId="5"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5" fillId="10" borderId="0" xfId="0" applyFont="true" applyBorder="false" applyAlignment="true" applyProtection="false">
      <alignment horizontal="general" vertical="center" textRotation="0" wrapText="false" indent="0" shrinkToFit="false"/>
      <protection locked="true" hidden="false"/>
    </xf>
    <xf numFmtId="164" fontId="26" fillId="0" borderId="0" xfId="0" applyFont="true" applyBorder="false" applyAlignment="true" applyProtection="false">
      <alignment horizontal="general" vertical="center" textRotation="0" wrapText="false" indent="0" shrinkToFit="false"/>
      <protection locked="true" hidden="false"/>
    </xf>
    <xf numFmtId="164" fontId="27" fillId="11" borderId="0" xfId="0" applyFont="true" applyBorder="false" applyAlignment="true" applyProtection="false">
      <alignment horizontal="center" vertical="bottom" textRotation="0" wrapText="false" indent="0" shrinkToFit="false"/>
      <protection locked="true" hidden="false"/>
    </xf>
    <xf numFmtId="170" fontId="5" fillId="0" borderId="0" xfId="0" applyFont="true" applyBorder="false" applyAlignment="true" applyProtection="false">
      <alignment horizontal="general" vertical="center" textRotation="0" wrapText="false" indent="0" shrinkToFit="false"/>
      <protection locked="true" hidden="false"/>
    </xf>
    <xf numFmtId="175" fontId="5"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28" fillId="5"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4" fontId="5" fillId="12" borderId="2" xfId="0" applyFont="true" applyBorder="true" applyAlignment="true" applyProtection="false">
      <alignment horizontal="general" vertical="bottom" textRotation="0" wrapText="false" indent="0" shrinkToFit="false"/>
      <protection locked="true" hidden="false"/>
    </xf>
    <xf numFmtId="164" fontId="19" fillId="12" borderId="2" xfId="0" applyFont="true" applyBorder="true" applyAlignment="true" applyProtection="false">
      <alignment horizontal="general" vertical="bottom" textRotation="0" wrapText="false" indent="0" shrinkToFit="false"/>
      <protection locked="true" hidden="false"/>
    </xf>
    <xf numFmtId="164" fontId="5" fillId="12" borderId="3" xfId="0" applyFont="true" applyBorder="true" applyAlignment="true" applyProtection="false">
      <alignment horizontal="general" vertical="bottom" textRotation="0" wrapText="false" indent="0" shrinkToFit="false"/>
      <protection locked="true" hidden="false"/>
    </xf>
    <xf numFmtId="164" fontId="19" fillId="12" borderId="3" xfId="0" applyFont="true" applyBorder="true" applyAlignment="true" applyProtection="false">
      <alignment horizontal="general" vertical="bottom" textRotation="0" wrapText="false" indent="0" shrinkToFit="false"/>
      <protection locked="true" hidden="false"/>
    </xf>
    <xf numFmtId="165" fontId="14" fillId="4" borderId="0" xfId="0" applyFont="true" applyBorder="false" applyAlignment="true" applyProtection="false">
      <alignment horizontal="general" vertical="bottom" textRotation="0" wrapText="false" indent="0" shrinkToFit="false"/>
      <protection locked="true" hidden="false"/>
    </xf>
    <xf numFmtId="164" fontId="14" fillId="13" borderId="0" xfId="0" applyFont="true" applyBorder="false" applyAlignment="true" applyProtection="false">
      <alignment horizontal="right" vertical="bottom" textRotation="0" wrapText="false" indent="0" shrinkToFit="false"/>
      <protection locked="true" hidden="false"/>
    </xf>
    <xf numFmtId="164" fontId="19" fillId="14" borderId="3" xfId="0" applyFont="true" applyBorder="true" applyAlignment="true" applyProtection="false">
      <alignment horizontal="center" vertical="bottom" textRotation="0" wrapText="false" indent="0" shrinkToFit="false"/>
      <protection locked="true" hidden="false"/>
    </xf>
    <xf numFmtId="164" fontId="5" fillId="12" borderId="3" xfId="0" applyFont="true" applyBorder="true" applyAlignment="true" applyProtection="false">
      <alignment horizontal="general" vertical="bottom" textRotation="0" wrapText="tru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9" fontId="19" fillId="0" borderId="0" xfId="0" applyFont="true" applyBorder="false" applyAlignment="true" applyProtection="false">
      <alignment horizontal="general" vertical="bottom" textRotation="0" wrapText="false" indent="0" shrinkToFit="false"/>
      <protection locked="true" hidden="false"/>
    </xf>
    <xf numFmtId="176" fontId="19" fillId="0" borderId="0" xfId="0" applyFont="true" applyBorder="false" applyAlignment="true" applyProtection="false">
      <alignment horizontal="general" vertical="bottom" textRotation="0" wrapText="false" indent="0" shrinkToFit="false"/>
      <protection locked="true" hidden="false"/>
    </xf>
    <xf numFmtId="176" fontId="19" fillId="0" borderId="0" xfId="0" applyFont="true" applyBorder="false" applyAlignment="true" applyProtection="false">
      <alignment horizontal="right" vertical="bottom" textRotation="0" wrapText="false" indent="0" shrinkToFit="false"/>
      <protection locked="true" hidden="false"/>
    </xf>
    <xf numFmtId="177" fontId="19" fillId="0" borderId="0" xfId="0" applyFont="true" applyBorder="false" applyAlignment="true" applyProtection="false">
      <alignment horizontal="general" vertical="bottom" textRotation="0" wrapText="false" indent="0" shrinkToFit="false"/>
      <protection locked="true" hidden="false"/>
    </xf>
    <xf numFmtId="177" fontId="19" fillId="0" borderId="0" xfId="0" applyFont="true" applyBorder="false" applyAlignment="true" applyProtection="false">
      <alignment horizontal="right" vertical="bottom" textRotation="0" wrapText="false" indent="0" shrinkToFit="false"/>
      <protection locked="true" hidden="false"/>
    </xf>
    <xf numFmtId="164" fontId="29" fillId="5" borderId="2" xfId="0" applyFont="true" applyBorder="true" applyAlignment="true" applyProtection="false">
      <alignment horizontal="general" vertical="top" textRotation="0" wrapText="true" indent="0" shrinkToFit="false"/>
      <protection locked="true" hidden="false"/>
    </xf>
    <xf numFmtId="164" fontId="30" fillId="5" borderId="2" xfId="0" applyFont="true" applyBorder="true" applyAlignment="true" applyProtection="false">
      <alignment horizontal="general" vertical="top" textRotation="0" wrapText="true" indent="0" shrinkToFit="false"/>
      <protection locked="true" hidden="false"/>
    </xf>
    <xf numFmtId="176" fontId="31" fillId="5" borderId="0" xfId="0" applyFont="true" applyBorder="fals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64" fontId="31" fillId="15"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31" fillId="5" borderId="0" xfId="0" applyFont="true" applyBorder="false" applyAlignment="true" applyProtection="false">
      <alignment horizontal="general" vertical="bottom" textRotation="0" wrapText="false" indent="0" shrinkToFit="false"/>
      <protection locked="true" hidden="false"/>
    </xf>
    <xf numFmtId="176" fontId="31" fillId="15" borderId="0" xfId="0" applyFont="true" applyBorder="false" applyAlignment="true" applyProtection="false">
      <alignment horizontal="general" vertical="bottom" textRotation="0" wrapText="false" indent="0" shrinkToFit="false"/>
      <protection locked="true" hidden="false"/>
    </xf>
    <xf numFmtId="169" fontId="31" fillId="5" borderId="0" xfId="0" applyFont="true" applyBorder="false" applyAlignment="true" applyProtection="false">
      <alignment horizontal="general" vertical="bottom" textRotation="0" wrapText="false" indent="0" shrinkToFit="false"/>
      <protection locked="true" hidden="false"/>
    </xf>
    <xf numFmtId="164" fontId="33" fillId="5" borderId="0" xfId="0" applyFont="true" applyBorder="false" applyAlignment="true" applyProtection="false">
      <alignment horizontal="general" vertical="bottom" textRotation="0" wrapText="false" indent="0" shrinkToFit="false"/>
      <protection locked="true" hidden="false"/>
    </xf>
    <xf numFmtId="164" fontId="34" fillId="5" borderId="0" xfId="0" applyFont="true" applyBorder="false" applyAlignment="true" applyProtection="false">
      <alignment horizontal="general" vertical="bottom" textRotation="0" wrapText="false" indent="0" shrinkToFit="false"/>
      <protection locked="true" hidden="false"/>
    </xf>
    <xf numFmtId="176" fontId="14" fillId="0" borderId="0" xfId="0" applyFont="true" applyBorder="false" applyAlignment="true" applyProtection="false">
      <alignment horizontal="right" vertical="bottom" textRotation="0" wrapText="false" indent="0" shrinkToFit="false"/>
      <protection locked="true" hidden="false"/>
    </xf>
    <xf numFmtId="176" fontId="14" fillId="0" borderId="0" xfId="0" applyFont="true" applyBorder="false" applyAlignment="tru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9" fontId="5" fillId="0" borderId="0" xfId="0" applyFont="true" applyBorder="false" applyAlignment="true" applyProtection="false">
      <alignment horizontal="right"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5" fontId="35" fillId="0"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5" fontId="40" fillId="0" borderId="0" xfId="0" applyFont="true" applyBorder="false" applyAlignment="true" applyProtection="false">
      <alignment horizontal="general" vertical="bottom" textRotation="0" wrapText="false" indent="0" shrinkToFit="false"/>
      <protection locked="true" hidden="false"/>
    </xf>
    <xf numFmtId="165" fontId="41" fillId="0" borderId="0" xfId="0" applyFont="true" applyBorder="false" applyAlignment="true" applyProtection="false">
      <alignment horizontal="general" vertical="bottom" textRotation="0" wrapText="false" indent="0" shrinkToFit="false"/>
      <protection locked="true" hidden="false"/>
    </xf>
    <xf numFmtId="170" fontId="14" fillId="0" borderId="0" xfId="0" applyFont="true" applyBorder="false" applyAlignment="true" applyProtection="false">
      <alignment horizontal="general" vertical="bottom" textRotation="0" wrapText="false" indent="0" shrinkToFit="false"/>
      <protection locked="true" hidden="false"/>
    </xf>
    <xf numFmtId="166" fontId="14" fillId="0" borderId="0" xfId="0" applyFont="true" applyBorder="false" applyAlignment="true" applyProtection="false">
      <alignment horizontal="general" vertical="bottom" textRotation="0" wrapText="false" indent="0" shrinkToFit="false"/>
      <protection locked="true" hidden="false"/>
    </xf>
    <xf numFmtId="165" fontId="42" fillId="0" borderId="0" xfId="0" applyFont="true" applyBorder="false" applyAlignment="true" applyProtection="false">
      <alignment horizontal="general" vertical="bottom" textRotation="0" wrapText="false" indent="0" shrinkToFit="false"/>
      <protection locked="true" hidden="false"/>
    </xf>
    <xf numFmtId="167" fontId="14" fillId="0" borderId="0" xfId="0" applyFont="true" applyBorder="false" applyAlignment="true" applyProtection="false">
      <alignment horizontal="general" vertical="bottom" textRotation="0" wrapText="false" indent="0" shrinkToFit="false"/>
      <protection locked="true" hidden="false"/>
    </xf>
    <xf numFmtId="164" fontId="43" fillId="16" borderId="0" xfId="0" applyFont="true" applyBorder="false" applyAlignment="tru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44" fillId="16" borderId="0" xfId="0" applyFont="true" applyBorder="false" applyAlignment="true" applyProtection="false">
      <alignment horizontal="general" vertical="bottom" textRotation="0" wrapText="false" indent="0" shrinkToFit="false"/>
      <protection locked="true" hidden="false"/>
    </xf>
    <xf numFmtId="164" fontId="45" fillId="5" borderId="0" xfId="0" applyFont="true" applyBorder="false" applyAlignment="true" applyProtection="false">
      <alignment horizontal="left" vertical="bottom" textRotation="0" wrapText="false" indent="0" shrinkToFit="false"/>
      <protection locked="true" hidden="false"/>
    </xf>
    <xf numFmtId="178" fontId="1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7">
    <dxf>
      <fill>
        <patternFill patternType="solid">
          <fgColor rgb="FF00FF00"/>
          <bgColor rgb="FF000000"/>
        </patternFill>
      </fill>
    </dxf>
    <dxf>
      <fill>
        <patternFill patternType="solid">
          <fgColor rgb="FFFFFF00"/>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222222"/>
          <bgColor rgb="FF000000"/>
        </patternFill>
      </fill>
    </dxf>
    <dxf>
      <fill>
        <patternFill patternType="solid">
          <fgColor rgb="FF4A4A4A"/>
          <bgColor rgb="FF000000"/>
        </patternFill>
      </fill>
    </dxf>
    <dxf>
      <fill>
        <patternFill patternType="solid">
          <fgColor rgb="FF5D636D"/>
          <bgColor rgb="FF000000"/>
        </patternFill>
      </fill>
    </dxf>
    <dxf>
      <fill>
        <patternFill patternType="solid">
          <fgColor rgb="FFEFEFF5"/>
          <bgColor rgb="FF000000"/>
        </patternFill>
      </fill>
    </dxf>
    <dxf>
      <fill>
        <patternFill patternType="solid">
          <fgColor rgb="FF212121"/>
          <bgColor rgb="FF000000"/>
        </patternFill>
      </fill>
    </dxf>
    <dxf>
      <fill>
        <patternFill patternType="solid">
          <fgColor rgb="FF303030"/>
          <bgColor rgb="FF000000"/>
        </patternFill>
      </fill>
    </dxf>
    <dxf>
      <fill>
        <patternFill patternType="solid">
          <fgColor rgb="FF333333"/>
          <bgColor rgb="FF000000"/>
        </patternFill>
      </fill>
    </dxf>
    <dxf>
      <fill>
        <patternFill patternType="solid">
          <fgColor rgb="FF0000FF"/>
          <bgColor rgb="FF000000"/>
        </patternFill>
      </fill>
    </dxf>
    <dxf>
      <fill>
        <patternFill patternType="solid">
          <fgColor rgb="FF467886"/>
          <bgColor rgb="FF000000"/>
        </patternFill>
      </fill>
    </dxf>
    <dxf>
      <fill>
        <patternFill patternType="solid">
          <fgColor rgb="FFB7E1CD"/>
          <bgColor rgb="FF000000"/>
        </patternFill>
      </fill>
    </dxf>
    <dxf>
      <fill>
        <patternFill patternType="solid">
          <fgColor rgb="FFE9E6DD"/>
          <bgColor rgb="FF000000"/>
        </patternFill>
      </fill>
    </dxf>
    <dxf>
      <fill>
        <patternFill patternType="solid">
          <fgColor rgb="FFF9FAFC"/>
          <bgColor rgb="FF000000"/>
        </patternFill>
      </fill>
    </dxf>
    <dxf>
      <fill>
        <patternFill patternType="solid">
          <fgColor rgb="FFFAFAFA"/>
          <bgColor rgb="FF000000"/>
        </patternFill>
      </fill>
    </dxf>
    <dxf>
      <fill>
        <patternFill patternType="solid">
          <fgColor rgb="FF21272A"/>
          <bgColor rgb="FF000000"/>
        </patternFill>
      </fill>
    </dxf>
    <dxf>
      <fill>
        <patternFill patternType="solid">
          <fgColor rgb="FF373737"/>
          <bgColor rgb="FF000000"/>
        </patternFill>
      </fill>
    </dxf>
    <dxf>
      <fill>
        <patternFill patternType="solid">
          <fgColor rgb="FFF4C7C3"/>
          <bgColor rgb="FF000000"/>
        </patternFill>
      </fill>
    </dxf>
    <dxf>
      <fill>
        <patternFill patternType="solid">
          <fgColor rgb="FF1155CC"/>
          <bgColor rgb="FF000000"/>
        </patternFill>
      </fill>
    </dxf>
    <dxf>
      <fill>
        <patternFill patternType="solid">
          <fgColor rgb="FFF1CEEE"/>
          <bgColor rgb="FF000000"/>
        </patternFill>
      </fill>
    </dxf>
    <dxf>
      <fill>
        <patternFill patternType="solid">
          <fgColor rgb="FFF5F5F5"/>
          <bgColor rgb="FF000000"/>
        </patternFill>
      </fill>
    </dxf>
    <dxf>
      <fill>
        <patternFill patternType="solid">
          <fgColor rgb="FF464CCE"/>
          <bgColor rgb="FF000000"/>
        </patternFill>
      </fill>
    </dxf>
    <dxf>
      <fill>
        <patternFill patternType="solid">
          <fgColor rgb="FFCCCC00"/>
          <bgColor rgb="FF000000"/>
        </patternFill>
      </fill>
    </dxf>
    <dxf>
      <fill>
        <patternFill patternType="solid">
          <fgColor rgb="FF747474"/>
          <bgColor rgb="FF000000"/>
        </patternFill>
      </fill>
    </dxf>
    <dxf>
      <fill>
        <patternFill patternType="solid">
          <fgColor rgb="FFE4E3DE"/>
          <bgColor rgb="FF000000"/>
        </patternFill>
      </fill>
    </dxf>
    <dxf>
      <fill>
        <patternFill patternType="solid">
          <fgColor rgb="FF0C5854"/>
          <bgColor rgb="FF000000"/>
        </patternFill>
      </fill>
    </dxf>
    <dxf>
      <fill>
        <patternFill patternType="solid">
          <fgColor rgb="FF323232"/>
          <bgColor rgb="FF000000"/>
        </patternFill>
      </fill>
    </dxf>
    <dxf>
      <fill>
        <patternFill patternType="solid">
          <fgColor rgb="FFFFF2CC"/>
          <bgColor rgb="FF000000"/>
        </patternFill>
      </fill>
    </dxf>
    <dxf>
      <fill>
        <patternFill patternType="solid">
          <fgColor rgb="FF001D35"/>
          <bgColor rgb="FF000000"/>
        </patternFill>
      </fill>
    </dxf>
    <dxf>
      <fill>
        <patternFill patternType="solid">
          <fgColor rgb="FF040404"/>
          <bgColor rgb="FF000000"/>
        </patternFill>
      </fill>
    </dxf>
    <dxf>
      <fill>
        <patternFill patternType="solid">
          <fgColor rgb="FF1F1F1F"/>
          <bgColor rgb="FF000000"/>
        </patternFill>
      </fill>
    </dxf>
    <dxf>
      <fill>
        <patternFill patternType="solid">
          <fgColor rgb="FF262B38"/>
          <bgColor rgb="FF000000"/>
        </patternFill>
      </fill>
    </dxf>
    <dxf>
      <fill>
        <patternFill patternType="solid">
          <fgColor rgb="FF00FFFF"/>
          <bgColor rgb="FF000000"/>
        </patternFill>
      </fill>
    </dxf>
    <dxf>
      <fill>
        <patternFill>
          <bgColor rgb="FFF4C7C3"/>
        </patternFill>
      </fill>
    </dxf>
  </dxfs>
  <colors>
    <indexedColors>
      <rgbColor rgb="FF000000"/>
      <rgbColor rgb="FFFFFFFF"/>
      <rgbColor rgb="FFFF0000"/>
      <rgbColor rgb="FF00FF00"/>
      <rgbColor rgb="FF0000FF"/>
      <rgbColor rgb="FFFFFF00"/>
      <rgbColor rgb="FFFF00FF"/>
      <rgbColor rgb="FF00FFFF"/>
      <rgbColor rgb="FF222222"/>
      <rgbColor rgb="FF008000"/>
      <rgbColor rgb="FF040404"/>
      <rgbColor rgb="FF808000"/>
      <rgbColor rgb="FF800080"/>
      <rgbColor rgb="FF0C5854"/>
      <rgbColor rgb="FFCCCCCC"/>
      <rgbColor rgb="FF747474"/>
      <rgbColor rgb="FF9999FF"/>
      <rgbColor rgb="FF4A4A4A"/>
      <rgbColor rgb="FFFFF2CC"/>
      <rgbColor rgb="FFEFEFF5"/>
      <rgbColor rgb="FF262B38"/>
      <rgbColor rgb="FFFF8080"/>
      <rgbColor rgb="FF1155CC"/>
      <rgbColor rgb="FFF1CEEE"/>
      <rgbColor rgb="FF1F1F1F"/>
      <rgbColor rgb="FFFF00FF"/>
      <rgbColor rgb="FFF9FAFC"/>
      <rgbColor rgb="FF00FFFF"/>
      <rgbColor rgb="FF800080"/>
      <rgbColor rgb="FF212121"/>
      <rgbColor rgb="FF008080"/>
      <rgbColor rgb="FF0000FF"/>
      <rgbColor rgb="FF00CCFF"/>
      <rgbColor rgb="FFF5F5F5"/>
      <rgbColor rgb="FFE9E6DD"/>
      <rgbColor rgb="FFFAFAFA"/>
      <rgbColor rgb="FFB7E1CD"/>
      <rgbColor rgb="FFF4CCCC"/>
      <rgbColor rgb="FFE4E3DE"/>
      <rgbColor rgb="FFF4C7C3"/>
      <rgbColor rgb="FF464CCE"/>
      <rgbColor rgb="FF33CCCC"/>
      <rgbColor rgb="FFCCCC00"/>
      <rgbColor rgb="FFFFCC00"/>
      <rgbColor rgb="FFFF9900"/>
      <rgbColor rgb="FFFF6600"/>
      <rgbColor rgb="FF5D636D"/>
      <rgbColor rgb="FF969696"/>
      <rgbColor rgb="FF001D35"/>
      <rgbColor rgb="FF467886"/>
      <rgbColor rgb="FF21272A"/>
      <rgbColor rgb="FF303030"/>
      <rgbColor rgb="FF323232"/>
      <rgbColor rgb="FF993366"/>
      <rgbColor rgb="FF37373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gfieurope.org/blog/denmark-plant-based-investment-in-climate-agreement/" TargetMode="External"/><Relationship Id="rId2" Type="http://schemas.openxmlformats.org/officeDocument/2006/relationships/hyperlink" Target="https://novonordiskfonden.dk/en/news/new-open-collaborative-platform-will-accelerate-the-development-of-plant-based-foods/" TargetMode="External"/><Relationship Id="rId3" Type="http://schemas.openxmlformats.org/officeDocument/2006/relationships/hyperlink" Target="https://novonordiskfonden.dk/en/news/co2-as-a-sustainable-raw-material-in-our-future-food-production/" TargetMode="External"/><Relationship Id="rId4" Type="http://schemas.openxmlformats.org/officeDocument/2006/relationships/hyperlink" Target="https://nofima.no/prosjekt/precision-food-production/" TargetMode="External"/><Relationship Id="rId5" Type="http://schemas.openxmlformats.org/officeDocument/2006/relationships/hyperlink" Target="https://www.forskningsradet.no/en/call-for-proposals/2020/nye-strategiske-programmer-for-nofima-2021-2024/" TargetMode="External"/><Relationship Id="rId6" Type="http://schemas.openxmlformats.org/officeDocument/2006/relationships/hyperlink" Target="https://novonordiskfonden.dk/en/news/major-grants-awarded-for-research-on-plant-proteins-as-meat-alternatives/" TargetMode="External"/><Relationship Id="rId7" Type="http://schemas.openxmlformats.org/officeDocument/2006/relationships/hyperlink" Target="https://www.ukri.org/news/national-alternative-protein-innovation-centre-launches/" TargetMode="External"/><Relationship Id="rId8" Type="http://schemas.openxmlformats.org/officeDocument/2006/relationships/hyperlink" Target="https://www.ukri.org/opportunity/alternative-proteins-innovation-and-knowledge-centre/" TargetMode="External"/><Relationship Id="rId9" Type="http://schemas.openxmlformats.org/officeDocument/2006/relationships/hyperlink" Target="https://www.greenqueen.com.hk/germany-federal-budget-bundestag-2024-38-million-investment-alt-protein-plant-based/?utm_source=foodtechweekly.beehiiv.com&amp;utm_medium=newsletter&amp;utm_campaign=foodtech-weekly-174-by-daniel-s-ruben" TargetMode="External"/><Relationship Id="rId10" Type="http://schemas.openxmlformats.org/officeDocument/2006/relationships/hyperlink" Target="https://solarfoods.com/solar-foods-receives-a-34-million-grant-to-ramp-up-factory-01-and-start-preparations-for-factory-02/" TargetMode="External"/><Relationship Id="rId11" Type="http://schemas.openxmlformats.org/officeDocument/2006/relationships/hyperlink" Target="https://nofima.com/projects/green-technology-for-plant-based-food/" TargetMode="External"/><Relationship Id="rId12" Type="http://schemas.openxmlformats.org/officeDocument/2006/relationships/hyperlink" Target="https://acrobat.adobe.com/link/review?uri=urn%3Aaaid%3Ascds%3AUS%3Ad4e64a40-4679-3c42-a80f-ca1d80a890fd" TargetMode="External"/><Relationship Id="rId13" Type="http://schemas.openxmlformats.org/officeDocument/2006/relationships/hyperlink" Target="https://gtr.ukri.org/projects?ref=EP%2FX038114%2F1" TargetMode="External"/><Relationship Id="rId14" Type="http://schemas.openxmlformats.org/officeDocument/2006/relationships/hyperlink" Target="https://nofima.com/press-release/norwegian-focus-on-new-food-technology/" TargetMode="External"/><Relationship Id="rId15" Type="http://schemas.openxmlformats.org/officeDocument/2006/relationships/hyperlink" Target="https://research.chalmers.se/en/project/11357" TargetMode="External"/><Relationship Id="rId16" Type="http://schemas.openxmlformats.org/officeDocument/2006/relationships/hyperlink" Target="https://www.carlsbergfondet.dk/en/Forskningsaktiviteter/Bevillingsstatistik/Bevillingsoversigt/CF21_0677_Birgitte-Skadhauge" TargetMode="External"/><Relationship Id="rId17" Type="http://schemas.openxmlformats.org/officeDocument/2006/relationships/hyperlink" Target="https://dca.au.dk/en/current-news/news/show/artikel/institut-for-foedevarer-saetter-skub-i-udviklingen-af-cellulaere-foedevarer" TargetMode="External"/><Relationship Id="rId18" Type="http://schemas.openxmlformats.org/officeDocument/2006/relationships/hyperlink" Target="https://docs.google.com/document/d/1tLlVtTn3KFv7qG4X8ZMC2gpJaQ1j-sRhGUMvrdp5kOM/edit?usp=share_link" TargetMode="External"/><Relationship Id="rId19" Type="http://schemas.openxmlformats.org/officeDocument/2006/relationships/hyperlink" Target="https://www.foodingredientsfirst.com/news/uk-government-injects-&#163;12m-into-microbial-food-hub-for-alt-protein-innovation.html" TargetMode="External"/><Relationship Id="rId20" Type="http://schemas.openxmlformats.org/officeDocument/2006/relationships/hyperlink" Target="https://docs.google.com/document/d/197_vHTSaVQSB77rGsyhQRGBpcoXMK26A/edit" TargetMode="External"/><Relationship Id="rId21" Type="http://schemas.openxmlformats.org/officeDocument/2006/relationships/hyperlink" Target="https://cordis.europa.eu/project/id/101083961" TargetMode="External"/><Relationship Id="rId22" Type="http://schemas.openxmlformats.org/officeDocument/2006/relationships/hyperlink" Target="https://cordis.europa.eu/project/id/101060247/reporting" TargetMode="External"/><Relationship Id="rId23" Type="http://schemas.openxmlformats.org/officeDocument/2006/relationships/hyperlink" Target="https://vegconomist.com/investments-finance/enifer-e12m-eu-grant-mycoprotein-facility-finland/?utm_medium=email&amp;utm_source=rasa_io&amp;utm_campaign=newsletter" TargetMode="External"/><Relationship Id="rId24" Type="http://schemas.openxmlformats.org/officeDocument/2006/relationships/hyperlink" Target="https://prosjektbanken.forskningsradet.no/en/project/FORISS/325403" TargetMode="External"/><Relationship Id="rId25" Type="http://schemas.openxmlformats.org/officeDocument/2006/relationships/hyperlink" Target="https://www.futureofproteinproduction.com/post/pea-and-fava-bean-focus-of-new-multi-million-dollar-french-project" TargetMode="External"/><Relationship Id="rId26" Type="http://schemas.openxmlformats.org/officeDocument/2006/relationships/hyperlink" Target="https://www.univ-tlse3.fr/un-projet-de-grande-envergure-pour-developper-la-culture-du-soja-germe-en-france" TargetMode="External"/><Relationship Id="rId27" Type="http://schemas.openxmlformats.org/officeDocument/2006/relationships/hyperlink" Target="https://anr.fr/fr/detail/call/developper-les-proteines-vegetales-et-diversifier-les-sources-de-proteines-volet-1-proteines-d/" TargetMode="External"/><Relationship Id="rId28" Type="http://schemas.openxmlformats.org/officeDocument/2006/relationships/hyperlink" Target="https://cordis.europa.eu/project/id/101060218" TargetMode="External"/><Relationship Id="rId29" Type="http://schemas.openxmlformats.org/officeDocument/2006/relationships/hyperlink" Target="https://www.futureofproteinproduction.com/post/umiami-acquires-unilever-factory-to-establish-made-in-france-plant-based-meat?utm_campaign=Future%20of%20Protein%20Production%20Newsletter&amp;utm_medium=email&amp;_hsmi=237582309&amp;_hsenc=p2ANqtz--ls134Q_DcfIXtZ0iaQCrzIsZibCzyZhRWcCiqD4NJp-FN4s_jil3nqi4CL4N5n9dw3QiuNcS1eqBk_6rgTgYOGwiS6Q&amp;utm_content=237580038&amp;utm_source=hs_email" TargetMode="External"/><Relationship Id="rId30" Type="http://schemas.openxmlformats.org/officeDocument/2006/relationships/hyperlink" Target="https://www.bpifrance.fr/nos-appels-a-projets-concours/appel-a-projets-france-2030-premiere-usine" TargetMode="External"/><Relationship Id="rId31" Type="http://schemas.openxmlformats.org/officeDocument/2006/relationships/hyperlink" Target="https://cordis.europa.eu/project/id/101059632" TargetMode="External"/><Relationship Id="rId32" Type="http://schemas.openxmlformats.org/officeDocument/2006/relationships/hyperlink" Target="https://solarfoods.com/solar-foods-accelerates-production-of-climate-friendly-protein-with-investment-from-the-finnish-climate-fund/" TargetMode="External"/><Relationship Id="rId33" Type="http://schemas.openxmlformats.org/officeDocument/2006/relationships/hyperlink" Target="https://tech.eu/2023/10/03/plant-based-meat-alternatives-firm-umiami-eur325m-us-expansion/" TargetMode="External"/><Relationship Id="rId34" Type="http://schemas.openxmlformats.org/officeDocument/2006/relationships/hyperlink" Target="https://cordis.europa.eu/project/id/101059824" TargetMode="External"/><Relationship Id="rId35" Type="http://schemas.openxmlformats.org/officeDocument/2006/relationships/hyperlink" Target="https://cordis.europa.eu/project/id/862957" TargetMode="External"/><Relationship Id="rId36" Type="http://schemas.openxmlformats.org/officeDocument/2006/relationships/hyperlink" Target="https://vegconomist.com/politics-law/polish-government-labfarm-e2m-grant-cultivated-chicken/" TargetMode="External"/><Relationship Id="rId37" Type="http://schemas.openxmlformats.org/officeDocument/2006/relationships/hyperlink" Target="https://cordis.europa.eu/project/id/862862" TargetMode="External"/><Relationship Id="rId38" Type="http://schemas.openxmlformats.org/officeDocument/2006/relationships/hyperlink" Target="https://solarfoods.com/business-finland-greenlights-solar-foods-e8-6m-project/" TargetMode="External"/><Relationship Id="rId39" Type="http://schemas.openxmlformats.org/officeDocument/2006/relationships/hyperlink" Target="https://cordis.europa.eu/project/id/101081776" TargetMode="External"/><Relationship Id="rId40" Type="http://schemas.openxmlformats.org/officeDocument/2006/relationships/hyperlink" Target="https://gfieurope.org/blog/horizon-europe-announces-e25-million-for-sustainable-proteins/" TargetMode="External"/><Relationship Id="rId41" Type="http://schemas.openxmlformats.org/officeDocument/2006/relationships/hyperlink" Target="https://ec.europa.eu/info/funding-tenders/opportunities/portal/screen/opportunities/topic-details/horizon-cl6-2023-farm2fork-01-13;callCode=null;freeTextSearchKeyword=HORIZON-CL6-2023-FARM2FORK-01-13;matchWholeText=true;typeCodes=0,1,2,8;statusCodes=31094501,31094502,31094503;programmePeriod=null;programCcm2Id=43108390;programDivisionCode=null;focusAreaCode=null;destinationGroup=null;missionGroup=null;geographicalZonesCode=null;programmeDivisionProspect=null;startDateLte=null;startDateGte=null;crossCuttingPriorityCode=null;cpvCode=null;performanceOfDelivery=null;sortQuery=sortStatus;orderBy=asc;onlyTenders=false;topicListKey=topicSearchTablePageState" TargetMode="External"/><Relationship Id="rId42" Type="http://schemas.openxmlformats.org/officeDocument/2006/relationships/hyperlink" Target="https://gfieurope.org/blog/catalonia-invest-e7-million-in-cipa-hub-to-lead-alternative-protein-science-in-southern-europe/" TargetMode="External"/><Relationship Id="rId43" Type="http://schemas.openxmlformats.org/officeDocument/2006/relationships/hyperlink" Target="https://advancedbiofuelsusa.info/synbio-powerlabs-secures-e-6-6-million-funding-to-build-a-revolutionary-biotechnology-plant-for-precision-fermentation" TargetMode="External"/><Relationship Id="rId44" Type="http://schemas.openxmlformats.org/officeDocument/2006/relationships/hyperlink" Target="https://www.vr.se/swecris.html" TargetMode="External"/><Relationship Id="rId45" Type="http://schemas.openxmlformats.org/officeDocument/2006/relationships/hyperlink" Target="https://www.vr.se/swecris.html" TargetMode="External"/><Relationship Id="rId46" Type="http://schemas.openxmlformats.org/officeDocument/2006/relationships/hyperlink" Target="https://tech.eu/2023/09/11/hydrocow-generating-milk-from-carbon-dioxide-and-electricity/" TargetMode="External"/><Relationship Id="rId47" Type="http://schemas.openxmlformats.org/officeDocument/2006/relationships/hyperlink" Target="https://www.nwo.nl/en/researchprogrammes/perspectief/perspectief-grants/fermi-fermentations-optimized-by-rational-models-to-improve-plant-based-substrates" TargetMode="External"/><Relationship Id="rId48" Type="http://schemas.openxmlformats.org/officeDocument/2006/relationships/hyperlink" Target="https://www.bio-hk.com/news/industry-news/spains-biotech-foods-to-lead-us6-3m-government-backed-cultured-meat-project/" TargetMode="External"/><Relationship Id="rId49" Type="http://schemas.openxmlformats.org/officeDocument/2006/relationships/hyperlink" Target="https://www.cbe.europa.eu/projects/innoprotein" TargetMode="External"/><Relationship Id="rId50" Type="http://schemas.openxmlformats.org/officeDocument/2006/relationships/hyperlink" Target="https://www.vr.se/swecris.html" TargetMode="External"/><Relationship Id="rId51" Type="http://schemas.openxmlformats.org/officeDocument/2006/relationships/hyperlink" Target="https://www.vr.se/swecris.html" TargetMode="External"/><Relationship Id="rId52" Type="http://schemas.openxmlformats.org/officeDocument/2006/relationships/hyperlink" Target="https://www.labiotech.eu/trends-news/onego-bio-funding-sustainable-egg-white/" TargetMode="External"/><Relationship Id="rId53" Type="http://schemas.openxmlformats.org/officeDocument/2006/relationships/hyperlink" Target="https://www.vr.se/swecris.html" TargetMode="External"/><Relationship Id="rId54" Type="http://schemas.openxmlformats.org/officeDocument/2006/relationships/hyperlink" Target="https://cordis.europa.eu/project/id/101168870" TargetMode="External"/><Relationship Id="rId55" Type="http://schemas.openxmlformats.org/officeDocument/2006/relationships/hyperlink" Target="https://www.vr.se/swecris.html" TargetMode="External"/><Relationship Id="rId56" Type="http://schemas.openxmlformats.org/officeDocument/2006/relationships/hyperlink" Target="https://cordis.europa.eu/project/id/101010029" TargetMode="External"/><Relationship Id="rId57" Type="http://schemas.openxmlformats.org/officeDocument/2006/relationships/hyperlink" Target="https://cordis.europa.eu/project/id/101120449" TargetMode="External"/><Relationship Id="rId58" Type="http://schemas.openxmlformats.org/officeDocument/2006/relationships/hyperlink" Target="https://www.flandersfood.com/en/Lore%20Knaepen" TargetMode="External"/><Relationship Id="rId59" Type="http://schemas.openxmlformats.org/officeDocument/2006/relationships/hyperlink" Target="https://www.pharmaceutical-networking.com/engenes-secure-significant-funding-for-econti-e-coli-continuous-manufacturing-project/" TargetMode="External"/><Relationship Id="rId60" Type="http://schemas.openxmlformats.org/officeDocument/2006/relationships/hyperlink" Target="https://www.stimulus.nl/opzuid/avada_portfolio/feed-for-meat/" TargetMode="External"/><Relationship Id="rId61" Type="http://schemas.openxmlformats.org/officeDocument/2006/relationships/hyperlink" Target="https://www.teagasc.ie/food/research-and-innovation/research-areas/food-chemistry--technology/research-projects/u-protein/" TargetMode="External"/><Relationship Id="rId62" Type="http://schemas.openxmlformats.org/officeDocument/2006/relationships/hyperlink" Target="https://www.vinnova.se/en/p/towards-a-holistic-and-sustainable-swedish-value-chain-for-pea-biorefinery-100pea/" TargetMode="External"/><Relationship Id="rId63" Type="http://schemas.openxmlformats.org/officeDocument/2006/relationships/hyperlink" Target="https://vegconomist.com/politics-law/standing-ovation-e3m-french-government-bpifrance-non-animal-caseins-novel-dairy-products/" TargetMode="External"/><Relationship Id="rId64" Type="http://schemas.openxmlformats.org/officeDocument/2006/relationships/hyperlink" Target="https://www.maastrichtuniversity.nl/nl/nieuws/perspectief-subsidie-voor-onderzoek-naar-gereedschapskist-om-levend-materiaal-te-maken" TargetMode="External"/><Relationship Id="rId65" Type="http://schemas.openxmlformats.org/officeDocument/2006/relationships/hyperlink" Target="https://www.vttresearch.com/en/news-and-ideas/finnish-companies-aim-hitting-ballpark-new-plant-protein-processes" TargetMode="External"/><Relationship Id="rId66" Type="http://schemas.openxmlformats.org/officeDocument/2006/relationships/hyperlink" Target="https://www.vr.se/swecris.html" TargetMode="External"/><Relationship Id="rId67" Type="http://schemas.openxmlformats.org/officeDocument/2006/relationships/hyperlink" Target="https://tech.au.dk/om-fakultetet/nyheder/vis/artikel/novo-millioner-til-forskning-i-baeredygtig-landbrugs-og-foedevareproduktion" TargetMode="External"/><Relationship Id="rId68" Type="http://schemas.openxmlformats.org/officeDocument/2006/relationships/hyperlink" Target="https://emff.easme-web.eu/?p=101038453" TargetMode="External"/><Relationship Id="rId69" Type="http://schemas.openxmlformats.org/officeDocument/2006/relationships/hyperlink" Target="https://cordis.europa.eu/project/id/958660" TargetMode="External"/><Relationship Id="rId70" Type="http://schemas.openxmlformats.org/officeDocument/2006/relationships/hyperlink" Target="https://docs.google.com/document/d/1ErpUhPPMas88ojI54tWPHCoJA_xmqZX96VMvjn0Iuis/edit?usp=sharing" TargetMode="External"/><Relationship Id="rId71" Type="http://schemas.openxmlformats.org/officeDocument/2006/relationships/hyperlink" Target="https://www.euskadi.eus/web01-bopv/es/bopv2/datos/2023/04/2301848a.pdf" TargetMode="External"/><Relationship Id="rId72" Type="http://schemas.openxmlformats.org/officeDocument/2006/relationships/hyperlink" Target="https://gtr.ukri.org/projects?ref=10061737" TargetMode="External"/><Relationship Id="rId73" Type="http://schemas.openxmlformats.org/officeDocument/2006/relationships/hyperlink" Target="https://cordis.europa.eu/project/id/190112238" TargetMode="External"/><Relationship Id="rId74" Type="http://schemas.openxmlformats.org/officeDocument/2006/relationships/hyperlink" Target="https://www.vr.se/swecris.html" TargetMode="External"/><Relationship Id="rId75" Type="http://schemas.openxmlformats.org/officeDocument/2006/relationships/hyperlink" Target="https://gtr.ukri.org/projects?ref=BB%2FW017946%2F1" TargetMode="External"/><Relationship Id="rId76" Type="http://schemas.openxmlformats.org/officeDocument/2006/relationships/hyperlink" Target="https://gtr.ukri.org/projects?ref=BB%2FW018012%2F1" TargetMode="External"/><Relationship Id="rId77" Type="http://schemas.openxmlformats.org/officeDocument/2006/relationships/hyperlink" Target="https://thespoon.tech/multus-biotechnology-raises-9-5m-series-a-to-build-growth-media-production-plant/" TargetMode="External"/><Relationship Id="rId78" Type="http://schemas.openxmlformats.org/officeDocument/2006/relationships/hyperlink" Target="https://www.vitagora.com/vitagora/actus-media/letsproseed/" TargetMode="External"/><Relationship Id="rId79" Type="http://schemas.openxmlformats.org/officeDocument/2006/relationships/hyperlink" Target="https://anr.fr/fr/detail/call/developper-les-proteines-vegetales-et-diversifier-les-sources-de-proteines-volet-1-proteines-d/" TargetMode="External"/><Relationship Id="rId80" Type="http://schemas.openxmlformats.org/officeDocument/2006/relationships/hyperlink" Target="https://www.terresinovia.fr/-/legumes-secs-terres-inovia-se-mobilise-dans-le-projet-jack" TargetMode="External"/><Relationship Id="rId81" Type="http://schemas.openxmlformats.org/officeDocument/2006/relationships/hyperlink" Target="https://anr.fr/fr/detail/call/developper-les-proteines-vegetales-et-diversifier-les-sources-de-proteines-volet-1-proteines-d/" TargetMode="External"/><Relationship Id="rId82" Type="http://schemas.openxmlformats.org/officeDocument/2006/relationships/hyperlink" Target="https://cordis.europa.eu/project/id/101070913" TargetMode="External"/><Relationship Id="rId83" Type="http://schemas.openxmlformats.org/officeDocument/2006/relationships/hyperlink" Target="https://www.vttresearch.com/en/news-and-ideas/globally-competitive-plant-protein-based-foods-finland" TargetMode="External"/><Relationship Id="rId84" Type="http://schemas.openxmlformats.org/officeDocument/2006/relationships/hyperlink" Target="https://www.aramis.admin.ch/Grunddaten/?ProjectID=53697&amp;Sprache=en-US" TargetMode="External"/><Relationship Id="rId85" Type="http://schemas.openxmlformats.org/officeDocument/2006/relationships/hyperlink" Target="https://www.insidermedia.com/news/north-east/cpi-to-establish-food-grade-facility-with-2m-investment" TargetMode="External"/><Relationship Id="rId86" Type="http://schemas.openxmlformats.org/officeDocument/2006/relationships/hyperlink" Target="https://biotechinfo.fr/article/la-foodtech-standing-ovation-recoit-une-aide-de-183me-euros-de-bpifrance-dans-le-cadre-de-lappel-a-projet-besoins-alimentaires-de-demain/" TargetMode="External"/><Relationship Id="rId87" Type="http://schemas.openxmlformats.org/officeDocument/2006/relationships/hyperlink" Target="https://www.gouvernement.fr/sites/default/files/contenu/piece-jointe/2023/03/20230306_-_dp_115_laureats_agriculture_alimentation_de_france2030.pdf" TargetMode="External"/><Relationship Id="rId88" Type="http://schemas.openxmlformats.org/officeDocument/2006/relationships/hyperlink" Target="https://www.gouvernement.fr/sites/default/files/contenu/piece-jointe/2023/03/20230306_-_dp_115_laureats_agriculture_alimentation_de_france2030.pdf" TargetMode="External"/><Relationship Id="rId89" Type="http://schemas.openxmlformats.org/officeDocument/2006/relationships/hyperlink" Target="https://www.gouvernement.fr/sites/default/files/contenu/piece-jointe/2023/03/20230306_-_dp_115_laureats_agriculture_alimentation_de_france2030.pdf" TargetMode="External"/><Relationship Id="rId90" Type="http://schemas.openxmlformats.org/officeDocument/2006/relationships/hyperlink" Target="https://www.gouvernement.fr/sites/default/files/contenu/piece-jointe/2023/03/20230306_-_dp_115_laureats_agriculture_alimentation_de_france2030.pdf" TargetMode="External"/><Relationship Id="rId91" Type="http://schemas.openxmlformats.org/officeDocument/2006/relationships/hyperlink" Target="https://gtr.ukri.org/projects?ref=MR%2FY013662%2F1" TargetMode="External"/><Relationship Id="rId92" Type="http://schemas.openxmlformats.org/officeDocument/2006/relationships/hyperlink" Target="https://cordis.europa.eu/project/id/101116452" TargetMode="External"/><Relationship Id="rId93" Type="http://schemas.openxmlformats.org/officeDocument/2006/relationships/hyperlink" Target="https://www.mynewsdesk.com/de/universitaet-vechta/pressreleases/teilprojekt-an-der-universitaet-vechta-untersucht-akzeptanz-und-oekonomische-umsetzungschancen-von-zellbasierten-fischlebensmitteln-bundesministerium-bmel-foerdert-gesamtes-verbund-forschungsvorhaben-zu-innovativer-in-vitro-technologie-3279926" TargetMode="External"/><Relationship Id="rId94" Type="http://schemas.openxmlformats.org/officeDocument/2006/relationships/hyperlink" Target="https://gtr.ukri.org/projects?ref=10014261" TargetMode="External"/><Relationship Id="rId95" Type="http://schemas.openxmlformats.org/officeDocument/2006/relationships/hyperlink" Target="https://foerderportal.bund.de/foekat/jsp/SucheAction.do?actionMode=view&amp;fkz=281A815X21" TargetMode="External"/><Relationship Id="rId96" Type="http://schemas.openxmlformats.org/officeDocument/2006/relationships/hyperlink" Target="https://research.fi/en/results/funding/78308" TargetMode="External"/><Relationship Id="rId97" Type="http://schemas.openxmlformats.org/officeDocument/2006/relationships/hyperlink" Target="https://www.vr.se/swecris.html" TargetMode="External"/><Relationship Id="rId98" Type="http://schemas.openxmlformats.org/officeDocument/2006/relationships/hyperlink" Target="https://www.fbn-dummerstorf.de/en/research/projects/0070/" TargetMode="External"/><Relationship Id="rId99" Type="http://schemas.openxmlformats.org/officeDocument/2006/relationships/hyperlink" Target="https://gtr.ukri.org/projects?ref=BB%2FY007859%2F1" TargetMode="External"/><Relationship Id="rId100" Type="http://schemas.openxmlformats.org/officeDocument/2006/relationships/hyperlink" Target="https://www.gov.ie/pdf/?file=https://assets.gov.ie/278893/6f712254-7a63-4a60-8232-27e8309d2cf5.pdf" TargetMode="External"/><Relationship Id="rId101" Type="http://schemas.openxmlformats.org/officeDocument/2006/relationships/hyperlink" Target="https://gfieurope.org/blog/good-food-institute-welcomes-uk-investment-in-cultivated-meat-startup/" TargetMode="External"/><Relationship Id="rId102" Type="http://schemas.openxmlformats.org/officeDocument/2006/relationships/hyperlink" Target="https://vegconomist.com/cultivated-cell-cultured-biotechnology/meatable-e1m-cultivated-meat/?utm_medium=email&amp;utm_source=rasa_io&amp;utm_campaign=newsletter" TargetMode="External"/><Relationship Id="rId103" Type="http://schemas.openxmlformats.org/officeDocument/2006/relationships/hyperlink" Target="https://www.nwo.nl/en/researchprogrammes/open-technology-programme" TargetMode="External"/><Relationship Id="rId104" Type="http://schemas.openxmlformats.org/officeDocument/2006/relationships/hyperlink" Target="https://www.ukri.org/news/15-6-million-boost-for-low-emission-food-production-systems/" TargetMode="External"/><Relationship Id="rId105" Type="http://schemas.openxmlformats.org/officeDocument/2006/relationships/hyperlink" Target="https://gtr.ukri.org/projects?ref=BB%2FW019221%2F1" TargetMode="External"/><Relationship Id="rId106" Type="http://schemas.openxmlformats.org/officeDocument/2006/relationships/hyperlink" Target="https://starfos.tacr.cz/en/projekty/TP03020019" TargetMode="External"/><Relationship Id="rId107" Type="http://schemas.openxmlformats.org/officeDocument/2006/relationships/hyperlink" Target="https://gtr.ukri.org/projects?ref=BB%2FX01889X%2F1" TargetMode="External"/><Relationship Id="rId108" Type="http://schemas.openxmlformats.org/officeDocument/2006/relationships/hyperlink" Target="https://gtr.ukri.org/projects?ref=BB%2FW008734%2F1" TargetMode="External"/><Relationship Id="rId109" Type="http://schemas.openxmlformats.org/officeDocument/2006/relationships/hyperlink" Target="https://www.nmbu.no/en/research/projects/editgrass4food" TargetMode="External"/><Relationship Id="rId110" Type="http://schemas.openxmlformats.org/officeDocument/2006/relationships/hyperlink" Target="https://tietopankki.businessfinland.fi/anonymous/extensions/Julkisen_tutkimuksen_projektit/julkisen_tutkimuksen_projektit.html" TargetMode="External"/><Relationship Id="rId111" Type="http://schemas.openxmlformats.org/officeDocument/2006/relationships/hyperlink" Target="https://gtr.ukri.org/projects?ref=10031578" TargetMode="External"/><Relationship Id="rId112" Type="http://schemas.openxmlformats.org/officeDocument/2006/relationships/hyperlink" Target="https://foerderportal.bund.de/foekat/jsp/SucheAction.do?actionMode=view&amp;fkz=01IF22232N" TargetMode="External"/><Relationship Id="rId113" Type="http://schemas.openxmlformats.org/officeDocument/2006/relationships/hyperlink" Target="https://gtr.ukri.org/projects?ref=10075778" TargetMode="External"/><Relationship Id="rId114" Type="http://schemas.openxmlformats.org/officeDocument/2006/relationships/hyperlink" Target="https://vegconomist.com/investments-finance/investments-acquisitions/biotech-foods-spanish-foreign-trade-institute/" TargetMode="External"/><Relationship Id="rId115" Type="http://schemas.openxmlformats.org/officeDocument/2006/relationships/hyperlink" Target="https://www.nwo.nl/en/projects/19739" TargetMode="External"/><Relationship Id="rId116" Type="http://schemas.openxmlformats.org/officeDocument/2006/relationships/hyperlink" Target="https://www.aramis.admin.ch/Grunddaten/?ProjectID=52687&amp;Sprache=en-US" TargetMode="External"/><Relationship Id="rId117" Type="http://schemas.openxmlformats.org/officeDocument/2006/relationships/hyperlink" Target="https://cordis.europa.eu/project/id/101136749" TargetMode="External"/><Relationship Id="rId118" Type="http://schemas.openxmlformats.org/officeDocument/2006/relationships/hyperlink" Target="https://ec.europa.eu/info/funding-tenders/opportunities/portal/screen/opportunities/topic-details/horizon-cl6-2023-farm2fork-01-13" TargetMode="External"/><Relationship Id="rId119" Type="http://schemas.openxmlformats.org/officeDocument/2006/relationships/hyperlink" Target="https://www.aramis-a.admin.ch/Texte/?ProjectID=48959" TargetMode="External"/><Relationship Id="rId120" Type="http://schemas.openxmlformats.org/officeDocument/2006/relationships/hyperlink" Target="https://gfieurope.org/blog/cultivated-meat-innovation-challenge-winners-unlock-e1-8-million-in-additional-funding/" TargetMode="External"/><Relationship Id="rId121" Type="http://schemas.openxmlformats.org/officeDocument/2006/relationships/hyperlink" Target="https://gfieurope.org/blog/cultivated-meat-innovation-challenge-winners-unlock-e1-8-million-in-additional-funding/" TargetMode="External"/><Relationship Id="rId122" Type="http://schemas.openxmlformats.org/officeDocument/2006/relationships/hyperlink" Target="https://www.aramis.admin.ch/Texte/?ProjectID=48459" TargetMode="External"/><Relationship Id="rId123" Type="http://schemas.openxmlformats.org/officeDocument/2006/relationships/hyperlink" Target="https://www.aramis.admin.ch/Grunddaten/?ProjectID=50119&amp;Sprache=en-US" TargetMode="External"/><Relationship Id="rId124" Type="http://schemas.openxmlformats.org/officeDocument/2006/relationships/hyperlink" Target="https://gtr.ukri.org/projects?ref=10014258" TargetMode="External"/><Relationship Id="rId125" Type="http://schemas.openxmlformats.org/officeDocument/2006/relationships/hyperlink" Target="https://www.cranfield.ac.uk/research-projects/is-cultured-meat-a-threat-or-opportunity-for-uk-farmers" TargetMode="External"/><Relationship Id="rId126" Type="http://schemas.openxmlformats.org/officeDocument/2006/relationships/hyperlink" Target="https://www.aramis.admin.ch/Grunddaten/?ProjectID=50850&amp;Sprache=en-US" TargetMode="External"/><Relationship Id="rId127" Type="http://schemas.openxmlformats.org/officeDocument/2006/relationships/hyperlink" Target="https://foerderportal.bund.de/foekat/jsp/SucheAction.do?actionMode=view&amp;fkz=01IF23066N" TargetMode="External"/><Relationship Id="rId128" Type="http://schemas.openxmlformats.org/officeDocument/2006/relationships/hyperlink" Target="https://foerderportal.bund.de/foekat/jsp/SucheAction.do?actionMode=view&amp;fkz=281A811A21" TargetMode="External"/><Relationship Id="rId129" Type="http://schemas.openxmlformats.org/officeDocument/2006/relationships/hyperlink" Target="https://foerderportal.bund.de/foekat/jsp/SucheAction.do?actionMode=view&amp;fkz=281A807A21" TargetMode="External"/><Relationship Id="rId130" Type="http://schemas.openxmlformats.org/officeDocument/2006/relationships/hyperlink" Target="https://vegconomist.com/fungi-mushrooms-mycelium/germany-kynda-government-grant-mycelial-protein-production-services/?utm_source=foodtechweekly.beehiiv.com&amp;utm_medium=newsletter&amp;utm_campaign=foodtech-weekly-174-by-daniel-s-ruben" TargetMode="External"/><Relationship Id="rId131" Type="http://schemas.openxmlformats.org/officeDocument/2006/relationships/hyperlink" Target="https://www.aafarmer.co.uk/ag-tech/biotechnology/new-feasibility-study-on-domestic-chickpea-production.html" TargetMode="External"/><Relationship Id="rId132" Type="http://schemas.openxmlformats.org/officeDocument/2006/relationships/hyperlink" Target="https://www.vr.se/swecris.html" TargetMode="External"/><Relationship Id="rId133" Type="http://schemas.openxmlformats.org/officeDocument/2006/relationships/hyperlink" Target="https://foerderportal.bund.de/foekat/jsp/SucheAction.do?actionMode=view&amp;fkz=281A818A21" TargetMode="External"/><Relationship Id="rId134" Type="http://schemas.openxmlformats.org/officeDocument/2006/relationships/hyperlink" Target="https://www.vinnova.se/en/p/proupside--removing-antinutritionals-for-protein-upgrading-in-agroindustrial-side-streams/" TargetMode="External"/><Relationship Id="rId135" Type="http://schemas.openxmlformats.org/officeDocument/2006/relationships/hyperlink" Target="https://foerderportal.bund.de/foekat/jsp/SucheAction.do?actionMode=view&amp;fkz=281A603A19" TargetMode="External"/><Relationship Id="rId136" Type="http://schemas.openxmlformats.org/officeDocument/2006/relationships/hyperlink" Target="https://gtr.ukri.org/projects?ref=10073961" TargetMode="External"/><Relationship Id="rId137" Type="http://schemas.openxmlformats.org/officeDocument/2006/relationships/hyperlink" Target="https://www.ukri.org/news/15-6-million-boost-for-low-emission-food-production-systems/" TargetMode="External"/><Relationship Id="rId138" Type="http://schemas.openxmlformats.org/officeDocument/2006/relationships/hyperlink" Target="https://www.ukri.org/news/15-6-million-boost-for-low-emission-food-production-systems/" TargetMode="External"/><Relationship Id="rId139" Type="http://schemas.openxmlformats.org/officeDocument/2006/relationships/hyperlink" Target="https://www.ukri.org/news/15-6-million-boost-for-low-emission-food-production-systems/" TargetMode="External"/><Relationship Id="rId140" Type="http://schemas.openxmlformats.org/officeDocument/2006/relationships/hyperlink" Target="https://www.ukri.org/news/15-6-million-boost-for-low-emission-food-production-systems/" TargetMode="External"/><Relationship Id="rId141" Type="http://schemas.openxmlformats.org/officeDocument/2006/relationships/hyperlink" Target="https://www.ukri.org/news/15-6-million-boost-for-low-emission-food-production-systems/" TargetMode="External"/><Relationship Id="rId142" Type="http://schemas.openxmlformats.org/officeDocument/2006/relationships/hyperlink" Target="https://www.ukri.org/news/15-6-million-boost-for-low-emission-food-production-systems/" TargetMode="External"/><Relationship Id="rId143" Type="http://schemas.openxmlformats.org/officeDocument/2006/relationships/hyperlink" Target="https://www.ukri.org/news/15-6-million-boost-for-low-emission-food-production-systems/" TargetMode="External"/><Relationship Id="rId144" Type="http://schemas.openxmlformats.org/officeDocument/2006/relationships/hyperlink" Target="https://www.ukri.org/news/15-6-million-boost-for-low-emission-food-production-systems/" TargetMode="External"/><Relationship Id="rId145" Type="http://schemas.openxmlformats.org/officeDocument/2006/relationships/hyperlink" Target="https://www.ukri.org/news/15-6-million-boost-for-low-emission-food-production-systems/" TargetMode="External"/><Relationship Id="rId146" Type="http://schemas.openxmlformats.org/officeDocument/2006/relationships/hyperlink" Target="https://www.ukri.org/news/15-6-million-boost-for-low-emission-food-production-systems/" TargetMode="External"/><Relationship Id="rId147" Type="http://schemas.openxmlformats.org/officeDocument/2006/relationships/hyperlink" Target="https://www.ukri.org/news/15-6-million-boost-for-low-emission-food-production-systems/" TargetMode="External"/><Relationship Id="rId148" Type="http://schemas.openxmlformats.org/officeDocument/2006/relationships/hyperlink" Target="https://www.ukri.org/news/15-6-million-boost-for-low-emission-food-production-systems/" TargetMode="External"/><Relationship Id="rId149" Type="http://schemas.openxmlformats.org/officeDocument/2006/relationships/hyperlink" Target="https://www.ukri.org/news/15-6-million-boost-for-low-emission-food-production-systems/" TargetMode="External"/><Relationship Id="rId150" Type="http://schemas.openxmlformats.org/officeDocument/2006/relationships/hyperlink" Target="https://www.ukri.org/news/15-6-million-boost-for-low-emission-food-production-systems/" TargetMode="External"/><Relationship Id="rId151" Type="http://schemas.openxmlformats.org/officeDocument/2006/relationships/hyperlink" Target="https://www.ukri.org/news/15-6-million-boost-for-low-emission-food-production-systems/" TargetMode="External"/><Relationship Id="rId152" Type="http://schemas.openxmlformats.org/officeDocument/2006/relationships/hyperlink" Target="https://foerderportal.bund.de/foekat/jsp/SucheAction.do?actionMode=view&amp;fkz=281A402217" TargetMode="External"/><Relationship Id="rId153" Type="http://schemas.openxmlformats.org/officeDocument/2006/relationships/hyperlink" Target="https://foerderportal.bund.de/foekat/jsp/SucheAction.do?actionMode=view&amp;fkz=281A819A21" TargetMode="External"/><Relationship Id="rId154" Type="http://schemas.openxmlformats.org/officeDocument/2006/relationships/hyperlink" Target="https://www.aramis.admin.ch/Texte/?ProjectID=47912" TargetMode="External"/><Relationship Id="rId155" Type="http://schemas.openxmlformats.org/officeDocument/2006/relationships/hyperlink" Target="https://gtr.ukri.org/projects?ref=BB%2FX010872%2F1" TargetMode="External"/><Relationship Id="rId156" Type="http://schemas.openxmlformats.org/officeDocument/2006/relationships/hyperlink" Target="https://foerderportal.bund.de/foekat/jsp/SucheAction.do?actionMode=view&amp;fkz=01IF23169N" TargetMode="External"/><Relationship Id="rId157" Type="http://schemas.openxmlformats.org/officeDocument/2006/relationships/hyperlink" Target="https://foerderportal.bund.de/foekat/jsp/SucheAction.do?actionMode=view&amp;fkz=281A819B21" TargetMode="External"/><Relationship Id="rId158" Type="http://schemas.openxmlformats.org/officeDocument/2006/relationships/hyperlink" Target="https://foerderportal.bund.de/foekat/jsp/SucheAction.do?actionMode=view&amp;fkz=281A814A21" TargetMode="External"/><Relationship Id="rId159" Type="http://schemas.openxmlformats.org/officeDocument/2006/relationships/hyperlink" Target="https://www.dbu.de/projektdatenbank/34451-01/" TargetMode="External"/><Relationship Id="rId160" Type="http://schemas.openxmlformats.org/officeDocument/2006/relationships/hyperlink" Target="https://foerderportal.bund.de/foekat/jsp/SucheAction.do?actionMode=view&amp;fkz=281A818B21" TargetMode="External"/><Relationship Id="rId161" Type="http://schemas.openxmlformats.org/officeDocument/2006/relationships/hyperlink" Target="https://gtr.ukri.org/projects?ref=10046475" TargetMode="External"/><Relationship Id="rId162" Type="http://schemas.openxmlformats.org/officeDocument/2006/relationships/hyperlink" Target="https://gtr.ukri.org/projects?ref=10074183" TargetMode="External"/><Relationship Id="rId163" Type="http://schemas.openxmlformats.org/officeDocument/2006/relationships/hyperlink" Target="https://www.vr.se/english/swecris.html" TargetMode="External"/><Relationship Id="rId164" Type="http://schemas.openxmlformats.org/officeDocument/2006/relationships/hyperlink" Target="https://foerderportal.bund.de/foekat/jsp/SucheAction.do?actionMode=view&amp;fkz=281A818C21" TargetMode="External"/><Relationship Id="rId165" Type="http://schemas.openxmlformats.org/officeDocument/2006/relationships/hyperlink" Target="https://foerderportal.bund.de/foekat/jsp/SucheAction.do?actionMode=view&amp;fkz=281A806X21" TargetMode="External"/><Relationship Id="rId166" Type="http://schemas.openxmlformats.org/officeDocument/2006/relationships/hyperlink" Target="https://gtr.ukri.org/projects?ref=10046064" TargetMode="External"/><Relationship Id="rId167" Type="http://schemas.openxmlformats.org/officeDocument/2006/relationships/hyperlink" Target="https://www.linkedin.com/posts/gfi-europe_174m-funding-for-better-food-for-all-activity-7118230845726838784-CsCg/?utm_source=share&amp;utm_medium=member_desktop" TargetMode="External"/><Relationship Id="rId168" Type="http://schemas.openxmlformats.org/officeDocument/2006/relationships/hyperlink" Target="https://gtr.ukri.org/projects?ref=10075636" TargetMode="External"/><Relationship Id="rId169" Type="http://schemas.openxmlformats.org/officeDocument/2006/relationships/hyperlink" Target="https://foerderportal.bund.de/foekat/jsp/SucheAction.do?actionMode=view&amp;fkz=281A814B21" TargetMode="External"/><Relationship Id="rId170" Type="http://schemas.openxmlformats.org/officeDocument/2006/relationships/hyperlink" Target="https://foerderportal.bund.de/foekat/jsp/SucheAction.do?actionMode=view&amp;fkz=281A802B21" TargetMode="External"/><Relationship Id="rId171" Type="http://schemas.openxmlformats.org/officeDocument/2006/relationships/hyperlink" Target="https://foerderportal.bund.de/foekat/jsp/SucheAction.do?actionMode=view&amp;fkz=281A802A21" TargetMode="External"/><Relationship Id="rId172" Type="http://schemas.openxmlformats.org/officeDocument/2006/relationships/hyperlink" Target="https://gtr.ukri.org/projects?ref=10079403" TargetMode="External"/><Relationship Id="rId173" Type="http://schemas.openxmlformats.org/officeDocument/2006/relationships/hyperlink" Target="https://gtr.ukri.org/projects?ref=10065794" TargetMode="External"/><Relationship Id="rId174" Type="http://schemas.openxmlformats.org/officeDocument/2006/relationships/hyperlink" Target="https://gtr.ukri.org/projects?ref=10018494" TargetMode="External"/><Relationship Id="rId175" Type="http://schemas.openxmlformats.org/officeDocument/2006/relationships/hyperlink" Target="https://vegconomist.com/cultivated-cell-cultured-biotechnology/fermentation/libre-foods-wins-grant-pioneer-low-cost-mycelium-meat-alternatives/?utm_source=foodtechweekly.beehiiv.com&amp;utm_medium=newsletter&amp;utm_campaign=foodtech-weekly-178-by-daniel-s-ruben" TargetMode="External"/><Relationship Id="rId176" Type="http://schemas.openxmlformats.org/officeDocument/2006/relationships/hyperlink" Target="https://gtr.ukri.org/projects?ref=10062619" TargetMode="External"/><Relationship Id="rId177" Type="http://schemas.openxmlformats.org/officeDocument/2006/relationships/hyperlink" Target="https://www.vr.se/swecris.html" TargetMode="External"/><Relationship Id="rId178" Type="http://schemas.openxmlformats.org/officeDocument/2006/relationships/hyperlink" Target="https://gtr.ukri.org/projects?ref=10034876" TargetMode="External"/><Relationship Id="rId179" Type="http://schemas.openxmlformats.org/officeDocument/2006/relationships/hyperlink" Target="https://foerderportal.bund.de/foekat/jsp/SucheAction.do?actionMode=view&amp;fkz=281A816A21" TargetMode="External"/><Relationship Id="rId180" Type="http://schemas.openxmlformats.org/officeDocument/2006/relationships/hyperlink" Target="https://foerderportal.bund.de/foekat/jsp/SucheAction.do?actionMode=view&amp;fkz=281A804B21" TargetMode="External"/><Relationship Id="rId181" Type="http://schemas.openxmlformats.org/officeDocument/2006/relationships/hyperlink" Target="https://gtr.ukri.org/projects?ref=10033703" TargetMode="External"/><Relationship Id="rId182" Type="http://schemas.openxmlformats.org/officeDocument/2006/relationships/hyperlink" Target="https://www.vinnova.se/en/p/edgy-veggie-plant-based-meat/" TargetMode="External"/><Relationship Id="rId183" Type="http://schemas.openxmlformats.org/officeDocument/2006/relationships/hyperlink" Target="https://www.vr.se/swecris.html" TargetMode="External"/><Relationship Id="rId184" Type="http://schemas.openxmlformats.org/officeDocument/2006/relationships/hyperlink" Target="https://www.wur.nl/nl/nieuws/tien-veni-beurzen-voor-wur.htm" TargetMode="External"/><Relationship Id="rId185" Type="http://schemas.openxmlformats.org/officeDocument/2006/relationships/hyperlink" Target="https://www.vr.se/swecris.html" TargetMode="External"/><Relationship Id="rId186" Type="http://schemas.openxmlformats.org/officeDocument/2006/relationships/hyperlink" Target="https://www.vr.se/swecris.html" TargetMode="External"/><Relationship Id="rId187" Type="http://schemas.openxmlformats.org/officeDocument/2006/relationships/hyperlink" Target="https://www.vr.se/swecris.html" TargetMode="External"/><Relationship Id="rId188" Type="http://schemas.openxmlformats.org/officeDocument/2006/relationships/hyperlink" Target="https://www.vr.se/english/swecris.html" TargetMode="External"/><Relationship Id="rId189" Type="http://schemas.openxmlformats.org/officeDocument/2006/relationships/hyperlink" Target="https://www.carlsbergfondet.dk/en/what-we-have-funded/cf22-1151/" TargetMode="External"/><Relationship Id="rId190" Type="http://schemas.openxmlformats.org/officeDocument/2006/relationships/hyperlink" Target="https://gtr.ukri.org/projects?ref=10030074" TargetMode="External"/><Relationship Id="rId191" Type="http://schemas.openxmlformats.org/officeDocument/2006/relationships/hyperlink" Target="https://www.vinnova.se/en/p/sustainable-hemp-innovations---from-waste-to-win/" TargetMode="External"/><Relationship Id="rId192" Type="http://schemas.openxmlformats.org/officeDocument/2006/relationships/hyperlink" Target="https://www.vinnova.se/en/p/from-fields-to-shelves-locally-produced-and-processed-fava-beans-for-meat-and-dairy-analogues/" TargetMode="External"/><Relationship Id="rId193" Type="http://schemas.openxmlformats.org/officeDocument/2006/relationships/hyperlink" Target="https://foerderportal.bund.de/foekat/jsp/SucheAction.do?actionMode=view&amp;fkz=281A807B21" TargetMode="External"/><Relationship Id="rId194" Type="http://schemas.openxmlformats.org/officeDocument/2006/relationships/hyperlink" Target="https://gtr.ukri.org/projects?ref=10061661" TargetMode="External"/><Relationship Id="rId195" Type="http://schemas.openxmlformats.org/officeDocument/2006/relationships/hyperlink" Target="https://foerderportal.bund.de/foekat/jsp/SucheAction.do?actionMode=view&amp;fkz=01IF23019N" TargetMode="External"/><Relationship Id="rId196" Type="http://schemas.openxmlformats.org/officeDocument/2006/relationships/hyperlink" Target="https://www.ukri.org/news/uk-switzerland-collaborations-announced-for-emerging-technology-projects/" TargetMode="External"/><Relationship Id="rId197" Type="http://schemas.openxmlformats.org/officeDocument/2006/relationships/hyperlink" Target="https://www.ukri.org/news/uk-switzerland-collaborations-announced-for-emerging-technology-projects/" TargetMode="External"/><Relationship Id="rId198" Type="http://schemas.openxmlformats.org/officeDocument/2006/relationships/hyperlink" Target="https://www.fei-bonn.de/gefoerderte-projekte/projektdatenbank/aif-21325-n.projekt" TargetMode="External"/><Relationship Id="rId199" Type="http://schemas.openxmlformats.org/officeDocument/2006/relationships/hyperlink" Target="https://foerderportal.bund.de/foekat/jsp/SucheAction.do?actionMode=view&amp;fkz=031B0835B" TargetMode="External"/><Relationship Id="rId200" Type="http://schemas.openxmlformats.org/officeDocument/2006/relationships/hyperlink" Target="https://foerderportal.bund.de/foekat/jsp/SucheAction.do?actionMode=view&amp;fkz=01IF21340N" TargetMode="External"/><Relationship Id="rId201" Type="http://schemas.openxmlformats.org/officeDocument/2006/relationships/hyperlink" Target="https://gtr.ukri.org/projects?ref=10072090" TargetMode="External"/><Relationship Id="rId202" Type="http://schemas.openxmlformats.org/officeDocument/2006/relationships/hyperlink" Target="https://gtr.ukri.org/projects?ref=BB%2FW01923X%2F1" TargetMode="External"/><Relationship Id="rId203" Type="http://schemas.openxmlformats.org/officeDocument/2006/relationships/hyperlink" Target="https://gtr.ukri.org/project/41249181-D241-4DD8-8A99-DFD59E83C742" TargetMode="External"/><Relationship Id="rId204" Type="http://schemas.openxmlformats.org/officeDocument/2006/relationships/hyperlink" Target="https://foerderportal.bund.de/foekat/jsp/SucheAction.do?actionMode=view&amp;fkz=031B0835A" TargetMode="External"/><Relationship Id="rId205" Type="http://schemas.openxmlformats.org/officeDocument/2006/relationships/hyperlink" Target="https://foerderportal.bund.de/foekat/jsp/SucheAction.do?actionMode=view&amp;fkz=281A803A21" TargetMode="External"/><Relationship Id="rId206" Type="http://schemas.openxmlformats.org/officeDocument/2006/relationships/hyperlink" Target="https://thespoon.tech/novameat-gets-e250000-funding-from-spanish-govt-partners-with-culinary-gastronomy-all-star-team-from-disfrutar/" TargetMode="External"/><Relationship Id="rId207" Type="http://schemas.openxmlformats.org/officeDocument/2006/relationships/hyperlink" Target="https://sciproj.ptcris.pt/175916PRJ" TargetMode="External"/><Relationship Id="rId208" Type="http://schemas.openxmlformats.org/officeDocument/2006/relationships/hyperlink" Target="https://gtr.ukri.org/projects?ref=10058186" TargetMode="External"/><Relationship Id="rId209" Type="http://schemas.openxmlformats.org/officeDocument/2006/relationships/hyperlink" Target="https://gtr.ukri.org/projects?ref=ES%2FY003667%2F1" TargetMode="External"/><Relationship Id="rId210" Type="http://schemas.openxmlformats.org/officeDocument/2006/relationships/hyperlink" Target="https://gtr.ukri.org/projects?ref=10086903" TargetMode="External"/><Relationship Id="rId211" Type="http://schemas.openxmlformats.org/officeDocument/2006/relationships/hyperlink" Target="https://cordis.europa.eu/project/id/101106463" TargetMode="External"/><Relationship Id="rId212" Type="http://schemas.openxmlformats.org/officeDocument/2006/relationships/hyperlink" Target="https://cordis.europa.eu/project/id/101107486" TargetMode="External"/><Relationship Id="rId213" Type="http://schemas.openxmlformats.org/officeDocument/2006/relationships/hyperlink" Target="https://gtr.ukri.org/projects?ref=10077731" TargetMode="External"/><Relationship Id="rId214" Type="http://schemas.openxmlformats.org/officeDocument/2006/relationships/hyperlink" Target="https://gtr.ukri.org/projects?ref=51577" TargetMode="External"/><Relationship Id="rId215" Type="http://schemas.openxmlformats.org/officeDocument/2006/relationships/hyperlink" Target="https://cordis.europa.eu/project/id/101062730" TargetMode="External"/><Relationship Id="rId216" Type="http://schemas.openxmlformats.org/officeDocument/2006/relationships/hyperlink" Target="https://vegconomist.com/politics-law/czech-government-mewery-e200k-grant-cultivate-pork/" TargetMode="External"/><Relationship Id="rId217" Type="http://schemas.openxmlformats.org/officeDocument/2006/relationships/hyperlink" Target="https://cordis.europa.eu/project/id/101105558" TargetMode="External"/><Relationship Id="rId218" Type="http://schemas.openxmlformats.org/officeDocument/2006/relationships/hyperlink" Target="https://gtr.ukri.org/projects?ref=10009430" TargetMode="External"/><Relationship Id="rId219" Type="http://schemas.openxmlformats.org/officeDocument/2006/relationships/hyperlink" Target="https://foerderportal.bund.de/foekat/jsp/SucheAction.do?actionMode=view&amp;fkz=281A805A21" TargetMode="External"/><Relationship Id="rId220" Type="http://schemas.openxmlformats.org/officeDocument/2006/relationships/hyperlink" Target="https://gtr.ukri.org/projects?ref=10067076" TargetMode="External"/><Relationship Id="rId221" Type="http://schemas.openxmlformats.org/officeDocument/2006/relationships/hyperlink" Target="https://pep4meat.com/" TargetMode="External"/><Relationship Id="rId222" Type="http://schemas.openxmlformats.org/officeDocument/2006/relationships/hyperlink" Target="https://fondzanauku.gov.rs/2023/11/promis-2023-supported-30-research-projects-for-young-researchers/?lang=en" TargetMode="External"/><Relationship Id="rId223" Type="http://schemas.openxmlformats.org/officeDocument/2006/relationships/hyperlink" Target="https://info.ktponline.org.uk/action/details/partnership.aspx?id=13974" TargetMode="External"/><Relationship Id="rId224" Type="http://schemas.openxmlformats.org/officeDocument/2006/relationships/hyperlink" Target="https://foerderportal.bund.de/foekat/jsp/SucheAction.do?actionMode=view&amp;fkz=281A804A21" TargetMode="External"/><Relationship Id="rId225" Type="http://schemas.openxmlformats.org/officeDocument/2006/relationships/hyperlink" Target="https://gtr.ukri.org/projects?ref=512077" TargetMode="External"/><Relationship Id="rId226" Type="http://schemas.openxmlformats.org/officeDocument/2006/relationships/hyperlink" Target="https://gtr.ukri.org/projects?ref=89876" TargetMode="External"/><Relationship Id="rId227" Type="http://schemas.openxmlformats.org/officeDocument/2006/relationships/hyperlink" Target="https://foerderportal.bund.de/foekat/jsp/SucheAction.do?actionMode=view&amp;fkz=281A805C21" TargetMode="External"/><Relationship Id="rId228" Type="http://schemas.openxmlformats.org/officeDocument/2006/relationships/hyperlink" Target="https://foerderportal.bund.de/foekat/jsp/SucheAction.do?actionMode=view&amp;fkz=281A811B21" TargetMode="External"/><Relationship Id="rId229" Type="http://schemas.openxmlformats.org/officeDocument/2006/relationships/hyperlink" Target="https://gtr.ukri.org/projects?ref=89176" TargetMode="External"/><Relationship Id="rId230" Type="http://schemas.openxmlformats.org/officeDocument/2006/relationships/hyperlink" Target="https://foerderportal.bund.de/foekat/jsp/SucheAction.do?actionMode=view&amp;fkz=281A802C21" TargetMode="External"/><Relationship Id="rId231" Type="http://schemas.openxmlformats.org/officeDocument/2006/relationships/hyperlink" Target="https://gtr.ukri.org/projects?ref=studentship-2725958" TargetMode="External"/><Relationship Id="rId232" Type="http://schemas.openxmlformats.org/officeDocument/2006/relationships/hyperlink" Target="https://gtr.ukri.org/projects?ref=studentship-2733838" TargetMode="External"/><Relationship Id="rId233" Type="http://schemas.openxmlformats.org/officeDocument/2006/relationships/hyperlink" Target="https://gtr.ukri.org/projects?ref=studentship-2745746" TargetMode="External"/><Relationship Id="rId234" Type="http://schemas.openxmlformats.org/officeDocument/2006/relationships/hyperlink" Target="https://gtr.ukri.org/projects?ref=studentship-2669969" TargetMode="External"/><Relationship Id="rId235" Type="http://schemas.openxmlformats.org/officeDocument/2006/relationships/hyperlink" Target="https://gtr.ukri.org/projects?ref=studentship-2743988" TargetMode="External"/><Relationship Id="rId236" Type="http://schemas.openxmlformats.org/officeDocument/2006/relationships/hyperlink" Target="https://gtr.ukri.org/projects?ref=studentship-2747870" TargetMode="External"/><Relationship Id="rId237" Type="http://schemas.openxmlformats.org/officeDocument/2006/relationships/hyperlink" Target="https://gtr.ukri.org/projects?ref=studentship-2441223" TargetMode="External"/><Relationship Id="rId238" Type="http://schemas.openxmlformats.org/officeDocument/2006/relationships/hyperlink" Target="https://gtr.ukri.org/projects?ref=studentship-2749680" TargetMode="External"/><Relationship Id="rId239" Type="http://schemas.openxmlformats.org/officeDocument/2006/relationships/hyperlink" Target="https://gtr.ukri.org/projects?ref=studentship-2506051" TargetMode="External"/><Relationship Id="rId240" Type="http://schemas.openxmlformats.org/officeDocument/2006/relationships/hyperlink" Target="https://gtr.ukri.org/projects?ref=studentship-2725955" TargetMode="External"/><Relationship Id="rId241" Type="http://schemas.openxmlformats.org/officeDocument/2006/relationships/hyperlink" Target="https://gtr.ukri.org/projects?ref=studentship-2602076" TargetMode="External"/><Relationship Id="rId242" Type="http://schemas.openxmlformats.org/officeDocument/2006/relationships/hyperlink" Target="https://gtr.ukri.org/projects?ref=studentship-2742212" TargetMode="External"/><Relationship Id="rId243" Type="http://schemas.openxmlformats.org/officeDocument/2006/relationships/hyperlink" Target="https://gtr.ukri.org/projects?ref=studentship-2594259" TargetMode="External"/><Relationship Id="rId244" Type="http://schemas.openxmlformats.org/officeDocument/2006/relationships/hyperlink" Target="https://gtr.ukri.org/projects?ref=studentship-2628791" TargetMode="External"/><Relationship Id="rId245" Type="http://schemas.openxmlformats.org/officeDocument/2006/relationships/hyperlink" Target="https://gtr.ukri.org/projects?ref=studentship-2644513" TargetMode="External"/><Relationship Id="rId246" Type="http://schemas.openxmlformats.org/officeDocument/2006/relationships/hyperlink" Target="https://gtr.ukri.org/projects?ref=studentship-2745877" TargetMode="External"/><Relationship Id="rId247" Type="http://schemas.openxmlformats.org/officeDocument/2006/relationships/hyperlink" Target="https://gtr.ukri.org/projects?ref=studentship-2898720" TargetMode="External"/><Relationship Id="rId248" Type="http://schemas.openxmlformats.org/officeDocument/2006/relationships/hyperlink" Target="https://gtr.ukri.org/projects?ref=studentship-2878037" TargetMode="External"/><Relationship Id="rId249" Type="http://schemas.openxmlformats.org/officeDocument/2006/relationships/hyperlink" Target="https://gtr.ukri.org/projects?ref=studentship-2748055" TargetMode="External"/><Relationship Id="rId250" Type="http://schemas.openxmlformats.org/officeDocument/2006/relationships/hyperlink" Target="https://gtr.ukri.org/projects?ref=studentship-2886049" TargetMode="External"/><Relationship Id="rId251" Type="http://schemas.openxmlformats.org/officeDocument/2006/relationships/hyperlink" Target="https://gtr.ukri.org/projects?ref=studentship-2889902" TargetMode="External"/><Relationship Id="rId252" Type="http://schemas.openxmlformats.org/officeDocument/2006/relationships/hyperlink" Target="https://gtr.ukri.org/projects?ref=NC%2FY500604%2F1" TargetMode="External"/><Relationship Id="rId253" Type="http://schemas.openxmlformats.org/officeDocument/2006/relationships/hyperlink" Target="https://gtr.ukri.org/projects?ref=studentship-2886145" TargetMode="External"/><Relationship Id="rId254" Type="http://schemas.openxmlformats.org/officeDocument/2006/relationships/hyperlink" Target="https://gtr.ukri.org/projects?ref=studentship-2746407" TargetMode="External"/><Relationship Id="rId255" Type="http://schemas.openxmlformats.org/officeDocument/2006/relationships/hyperlink" Target="https://gtr.ukri.org/projects?ref=studentship-2886464" TargetMode="External"/><Relationship Id="rId256" Type="http://schemas.openxmlformats.org/officeDocument/2006/relationships/hyperlink" Target="https://gtr.ukri.org/projects?ref=studentship-2747962" TargetMode="External"/><Relationship Id="rId257" Type="http://schemas.openxmlformats.org/officeDocument/2006/relationships/hyperlink" Target="https://gtr.ukri.org/projects?ref=studentship-2888035" TargetMode="External"/><Relationship Id="rId258" Type="http://schemas.openxmlformats.org/officeDocument/2006/relationships/hyperlink" Target="https://gtr.ukri.org/projects?ref=studentship-2570538" TargetMode="External"/><Relationship Id="rId259" Type="http://schemas.openxmlformats.org/officeDocument/2006/relationships/hyperlink" Target="https://gtr.ukri.org/projects?ref=studentship-2887956" TargetMode="External"/><Relationship Id="rId260" Type="http://schemas.openxmlformats.org/officeDocument/2006/relationships/hyperlink" Target="https://gtr.ukri.org/project/A6436C3B-E6F5-4E25-A726-B8EB6108FCFF" TargetMode="External"/><Relationship Id="rId261" Type="http://schemas.openxmlformats.org/officeDocument/2006/relationships/hyperlink" Target="https://foerderportal.bund.de/foekat/jsp/SucheAction.do?actionMode=view&amp;fkz=281A811D21" TargetMode="External"/><Relationship Id="rId262" Type="http://schemas.openxmlformats.org/officeDocument/2006/relationships/hyperlink" Target="https://gtr.ukri.org/projects?ref=84687" TargetMode="External"/><Relationship Id="rId263" Type="http://schemas.openxmlformats.org/officeDocument/2006/relationships/hyperlink" Target="https://gtr.ukri.org/projects?ref=85563" TargetMode="External"/><Relationship Id="rId264" Type="http://schemas.openxmlformats.org/officeDocument/2006/relationships/hyperlink" Target="https://gtr.ukri.org/projects?ref=84594" TargetMode="External"/><Relationship Id="rId265" Type="http://schemas.openxmlformats.org/officeDocument/2006/relationships/hyperlink" Target="https://gtr.ukri.org/projects?ref=studentship-2602606" TargetMode="External"/><Relationship Id="rId266" Type="http://schemas.openxmlformats.org/officeDocument/2006/relationships/hyperlink" Target="https://gtr.ukri.org/projects?ref=studentship-2547521" TargetMode="External"/><Relationship Id="rId267" Type="http://schemas.openxmlformats.org/officeDocument/2006/relationships/hyperlink" Target="https://gtr.ukri.org/projects?ref=studentship-2437214" TargetMode="External"/><Relationship Id="rId268" Type="http://schemas.openxmlformats.org/officeDocument/2006/relationships/hyperlink" Target="https://gtr.ukri.org/projects?ref=studentship-2604202" TargetMode="External"/><Relationship Id="rId269" Type="http://schemas.openxmlformats.org/officeDocument/2006/relationships/hyperlink" Target="https://gtr.ukri.org/projects?ref=studentship-2499941" TargetMode="External"/><Relationship Id="rId270" Type="http://schemas.openxmlformats.org/officeDocument/2006/relationships/hyperlink" Target="https://gtr.ukri.org/projects?ref=studentship-2593581" TargetMode="External"/><Relationship Id="rId271" Type="http://schemas.openxmlformats.org/officeDocument/2006/relationships/hyperlink" Target="https://eu-cap-network.ec.europa.eu/projects/pre-project-product-development-innovative-and-sustainable-organic-plant-based-drinks-oats_en" TargetMode="External"/><Relationship Id="rId272" Type="http://schemas.openxmlformats.org/officeDocument/2006/relationships/hyperlink" Target="https://gtr.ukri.org/projects?ref=ES%2FY01040X%2F1" TargetMode="External"/><Relationship Id="rId273" Type="http://schemas.openxmlformats.org/officeDocument/2006/relationships/hyperlink" Target="https://gfieurope.org/blog/algae-and-tobacco-plant-researchers-among-winners-of-e400000-prize-to-commercialise-cultivated-meat/" TargetMode="External"/><Relationship Id="rId274" Type="http://schemas.openxmlformats.org/officeDocument/2006/relationships/hyperlink" Target="https://gfieurope.org/blog/algae-and-tobacco-plant-researchers-among-winners-of-e400000-prize-to-commercialise-cultivated-meat/" TargetMode="External"/><Relationship Id="rId275" Type="http://schemas.openxmlformats.org/officeDocument/2006/relationships/hyperlink" Target="https://gfieurope.org/blog/algae-and-tobacco-plant-researchers-among-winners-of-e400000-prize-to-commercialise-cultivated-meat/" TargetMode="External"/><Relationship Id="rId276" Type="http://schemas.openxmlformats.org/officeDocument/2006/relationships/hyperlink" Target="https://gfieurope.org/blog/algae-and-tobacco-plant-researchers-among-winners-of-e400000-prize-to-commercialise-cultivated-meat/" TargetMode="External"/><Relationship Id="rId277" Type="http://schemas.openxmlformats.org/officeDocument/2006/relationships/hyperlink" Target="https://gtr.ukri.org/projects?ref=10108143" TargetMode="External"/><Relationship Id="rId278" Type="http://schemas.openxmlformats.org/officeDocument/2006/relationships/hyperlink" Target="https://gtr.ukri.org/projects?ref=ES%2FX006735%2F1" TargetMode="External"/><Relationship Id="rId279" Type="http://schemas.openxmlformats.org/officeDocument/2006/relationships/hyperlink" Target="https://foerderportal.bund.de/foekat/jsp/SucheAction.do?actionMode=view&amp;fkz=281A807C21" TargetMode="External"/><Relationship Id="rId280" Type="http://schemas.openxmlformats.org/officeDocument/2006/relationships/hyperlink" Target="https://foerderportal.bund.de/foekat/jsp/SucheAction.do?actionMode=view&amp;fkz=281A603F19" TargetMode="External"/><Relationship Id="rId281" Type="http://schemas.openxmlformats.org/officeDocument/2006/relationships/hyperlink" Target="https://foerderportal.bund.de/foekat/jsp/SucheAction.do?actionMode=view&amp;fkz=281A805D21" TargetMode="External"/><Relationship Id="rId282" Type="http://schemas.openxmlformats.org/officeDocument/2006/relationships/hyperlink" Target="https://www.realdealmilk.com/ournews/real-deal-milk-wins-grant" TargetMode="External"/><Relationship Id="rId283" Type="http://schemas.openxmlformats.org/officeDocument/2006/relationships/hyperlink" Target="https://gtr.ukri.org/projects?ref=studentship-2445126" TargetMode="External"/><Relationship Id="rId284" Type="http://schemas.openxmlformats.org/officeDocument/2006/relationships/hyperlink" Target="https://foerderportal.bund.de/foekat/jsp/SucheAction.do?actionMode=view&amp;fkz=281A803B21" TargetMode="External"/><Relationship Id="rId285" Type="http://schemas.openxmlformats.org/officeDocument/2006/relationships/hyperlink" Target="https://gtr.ukri.org/projects?ref=84835" TargetMode="External"/><Relationship Id="rId286" Type="http://schemas.openxmlformats.org/officeDocument/2006/relationships/hyperlink" Target="https://gtr.ukri.org/projects?ref=86899" TargetMode="External"/><Relationship Id="rId287" Type="http://schemas.openxmlformats.org/officeDocument/2006/relationships/hyperlink" Target="https://gtr.ukri.org/projects?ref=10050215" TargetMode="External"/><Relationship Id="rId288" Type="http://schemas.openxmlformats.org/officeDocument/2006/relationships/hyperlink" Target="https://gtr.ukri.org/projects?ref=10024699" TargetMode="External"/><Relationship Id="rId289" Type="http://schemas.openxmlformats.org/officeDocument/2006/relationships/hyperlink" Target="https://gtr.ukri.org/projects?ref=10044539" TargetMode="External"/><Relationship Id="rId290" Type="http://schemas.openxmlformats.org/officeDocument/2006/relationships/hyperlink" Target="https://gtr.ukri.org/projects?ref=10042925" TargetMode="External"/><Relationship Id="rId291" Type="http://schemas.openxmlformats.org/officeDocument/2006/relationships/hyperlink" Target="https://gtr.ukri.org/projects?ref=10044673" TargetMode="External"/><Relationship Id="rId292" Type="http://schemas.openxmlformats.org/officeDocument/2006/relationships/hyperlink" Target="https://gtr.ukri.org/projects?ref=10044330" TargetMode="External"/><Relationship Id="rId293" Type="http://schemas.openxmlformats.org/officeDocument/2006/relationships/hyperlink" Target="https://gtr.ukri.org:443/projects?ref=58496" TargetMode="External"/><Relationship Id="rId294" Type="http://schemas.openxmlformats.org/officeDocument/2006/relationships/hyperlink" Target="https://gtr.ukri.org/projects?ref=10043374" TargetMode="External"/><Relationship Id="rId295" Type="http://schemas.openxmlformats.org/officeDocument/2006/relationships/hyperlink" Target="https://foerderportal.bund.de/foekat/jsp/SucheAction.do?actionMode=view&amp;fkz=281A804C21" TargetMode="External"/><Relationship Id="rId296" Type="http://schemas.openxmlformats.org/officeDocument/2006/relationships/hyperlink" Target="https://foerderportal.bund.de/foekat/jsp/SucheAction.do?actionMode=view&amp;fkz=281A805B21" TargetMode="External"/><Relationship Id="rId297" Type="http://schemas.openxmlformats.org/officeDocument/2006/relationships/hyperlink" Target="https://gtr.ukri.org/projects?ref=BB%2FV018094%2F1" TargetMode="External"/><Relationship Id="rId298" Type="http://schemas.openxmlformats.org/officeDocument/2006/relationships/hyperlink" Target="https://www.linkedin.com/feed/update/urn:li:activity:7013096423403454464/" TargetMode="External"/><Relationship Id="rId299" Type="http://schemas.openxmlformats.org/officeDocument/2006/relationships/hyperlink" Target="https://interreg-baltic.eu/project/balt-pro/" TargetMode="External"/><Relationship Id="rId300" Type="http://schemas.openxmlformats.org/officeDocument/2006/relationships/hyperlink" Target="https://gtr.ukri.org/projects?ref=10074091" TargetMode="External"/><Relationship Id="rId301" Type="http://schemas.openxmlformats.org/officeDocument/2006/relationships/hyperlink" Target="https://www.vinnova.se/en/p/yeast--the-protein-source-of-the-future/" TargetMode="External"/><Relationship Id="rId302" Type="http://schemas.openxmlformats.org/officeDocument/2006/relationships/hyperlink" Target="https://gtr.ukri.org/projects?ref=10076364" TargetMode="External"/><Relationship Id="rId303" Type="http://schemas.openxmlformats.org/officeDocument/2006/relationships/hyperlink" Target="https://www.vr.se/english/swecris.html" TargetMode="External"/><Relationship Id="rId304" Type="http://schemas.openxmlformats.org/officeDocument/2006/relationships/hyperlink" Target="https://foerderportal.bund.de/foekat/jsp/SucheAction.do?actionMode=view&amp;fkz=281A816C21" TargetMode="External"/><Relationship Id="rId305" Type="http://schemas.openxmlformats.org/officeDocument/2006/relationships/hyperlink" Target="https://foerderportal.bund.de/foekat/jsp/SucheAction.do?actionMode=view&amp;fkz=281A816B21" TargetMode="External"/><Relationship Id="rId306" Type="http://schemas.openxmlformats.org/officeDocument/2006/relationships/hyperlink" Target="https://research.fi/en/results/funding/70438" TargetMode="External"/><Relationship Id="rId307" Type="http://schemas.openxmlformats.org/officeDocument/2006/relationships/hyperlink" Target="https://research.fi/en/results/funding/26483" TargetMode="External"/><Relationship Id="rId308" Type="http://schemas.openxmlformats.org/officeDocument/2006/relationships/hyperlink" Target="https://gtr.ukri.org/projects?ref=10022593" TargetMode="External"/><Relationship Id="rId309" Type="http://schemas.openxmlformats.org/officeDocument/2006/relationships/hyperlink" Target="https://gtr.ukri.org/projects?ref=74918" TargetMode="External"/><Relationship Id="rId310" Type="http://schemas.openxmlformats.org/officeDocument/2006/relationships/hyperlink" Target="https://foerderportal.bund.de/foekat/jsp/SucheAction.do?actionMode=view&amp;fkz=281A402417" TargetMode="External"/><Relationship Id="rId311" Type="http://schemas.openxmlformats.org/officeDocument/2006/relationships/hyperlink" Target="https://gtr.ukri.org/projects?ref=10039696" TargetMode="External"/><Relationship Id="rId312" Type="http://schemas.openxmlformats.org/officeDocument/2006/relationships/hyperlink" Target="https://gtr.ukri.org/projects?ref=10020396" TargetMode="External"/><Relationship Id="rId313" Type="http://schemas.openxmlformats.org/officeDocument/2006/relationships/hyperlink" Target="https://www.rabobank.com/nl/press/search/2020/rival-foods-susphos-en-bilihome-winnen-rabo-duurzame-innovatieprijs-2020.html" TargetMode="External"/><Relationship Id="rId314" Type="http://schemas.openxmlformats.org/officeDocument/2006/relationships/hyperlink" Target="https://www.aramis.admin.ch/Grunddaten/?ProjectID=53530&amp;Sprache=en-US" TargetMode="External"/><Relationship Id="rId315" Type="http://schemas.openxmlformats.org/officeDocument/2006/relationships/hyperlink" Target="https://foerderportal.bund.de/foekat/jsp/SucheAction.do?actionMode=view&amp;fkz=281A811C21" TargetMode="External"/><Relationship Id="rId316" Type="http://schemas.openxmlformats.org/officeDocument/2006/relationships/hyperlink" Target="https://foerderportal.bund.de/foekat/jsp/SucheAction.do?actionMode=view&amp;fkz=281A402617" TargetMode="External"/><Relationship Id="rId317" Type="http://schemas.openxmlformats.org/officeDocument/2006/relationships/hyperlink" Target="https://foerderportal.bund.de/foekat/jsp/SucheAction.do?actionMode=view&amp;fkz=281A402317" TargetMode="External"/><Relationship Id="rId318" Type="http://schemas.openxmlformats.org/officeDocument/2006/relationships/hyperlink" Target="https://www.luke.fi/en/projects/nurmiproteiini" TargetMode="External"/><Relationship Id="rId319" Type="http://schemas.openxmlformats.org/officeDocument/2006/relationships/hyperlink" Target="https://www.ruokavirasto.fi/en/vegeturva" TargetMode="External"/><Relationship Id="rId320" Type="http://schemas.openxmlformats.org/officeDocument/2006/relationships/hyperlink" Target="https://cris.vtt.fi/en/projects/protein-quality-of-plant-cell-cultures-in-relation-to-digestive-p" TargetMode="External"/><Relationship Id="rId321" Type="http://schemas.openxmlformats.org/officeDocument/2006/relationships/hyperlink" Target="https://www.nri.org/latest/news/2022/upcycling-food-waste-for-innovative-plant-based-meat-and-dairy-alternatives" TargetMode="External"/><Relationship Id="rId322" Type="http://schemas.openxmlformats.org/officeDocument/2006/relationships/hyperlink" Target="https://www.cnr.it/en/research-projects/project/45495/funtomp-functionalized-tomato-products-dba-ad005-205" TargetMode="External"/><Relationship Id="rId323" Type="http://schemas.openxmlformats.org/officeDocument/2006/relationships/hyperlink" Target="https://gepris.dfg.de/gepris/projekt/465588286?language=en" TargetMode="External"/><Relationship Id="rId324" Type="http://schemas.openxmlformats.org/officeDocument/2006/relationships/hyperlink" Target="https://projekte.ffg.at/projekt/5120938" TargetMode="External"/><Relationship Id="rId325" Type="http://schemas.openxmlformats.org/officeDocument/2006/relationships/hyperlink" Target="https://gtr.ukri.org/projects?ref=studentship-2573007" TargetMode="External"/><Relationship Id="rId326" Type="http://schemas.openxmlformats.org/officeDocument/2006/relationships/hyperlink" Target="https://gtr.ukri.org/projects?ref=studentship-2666143" TargetMode="External"/><Relationship Id="rId327" Type="http://schemas.openxmlformats.org/officeDocument/2006/relationships/hyperlink" Target="https://search.trdizin.gov.tr/yayin/detay/621930/bir-gida-atigi-olarak-domates-cekirdegindenkatma-degeri-yuksek-biyoaktif-gida-bilesenlerielde-edilmesi-karakterizasyonu-ve-fonksiyonelozelliklerinin-belirlenmesi" TargetMode="External"/><Relationship Id="rId328" Type="http://schemas.openxmlformats.org/officeDocument/2006/relationships/hyperlink" Target="https://www.nwo.nl/en/projects/nwa129219302" TargetMode="External"/><Relationship Id="rId329" Type="http://schemas.openxmlformats.org/officeDocument/2006/relationships/hyperlink" Target="https://www.nwo.nl/en/projects/kiemvrij04168" TargetMode="External"/><Relationship Id="rId330" Type="http://schemas.openxmlformats.org/officeDocument/2006/relationships/hyperlink" Target="https://www.nwo.nl/en/projects/kiemvrij04137" TargetMode="External"/><Relationship Id="rId331" Type="http://schemas.openxmlformats.org/officeDocument/2006/relationships/hyperlink" Target="https://www.nwo.nl/en/projects/kiemk2001084" TargetMode="External"/><Relationship Id="rId332" Type="http://schemas.openxmlformats.org/officeDocument/2006/relationships/hyperlink" Target="https://projekte.ffg.at/projekt/4809622" TargetMode="External"/><Relationship Id="rId333" Type="http://schemas.openxmlformats.org/officeDocument/2006/relationships/hyperlink" Target="https://igf.aif.de/innovationsfoerderung/industrielle-gemeinschaftsforschung/igf-steckbrief.php?id=25588&amp;suchtext=" TargetMode="External"/><Relationship Id="rId334" Type="http://schemas.openxmlformats.org/officeDocument/2006/relationships/hyperlink" Target="https://gtr.ukri.org/projects?ref=studentship-2432083" TargetMode="External"/><Relationship Id="rId335" Type="http://schemas.openxmlformats.org/officeDocument/2006/relationships/hyperlink" Target="https://projekte.ffg.at/projekt/4695468" TargetMode="External"/><Relationship Id="rId336" Type="http://schemas.openxmlformats.org/officeDocument/2006/relationships/hyperlink" Target="https://www.cnr.it/en/research-projects/project/40716/innovazione-nel-campo-dei-functional-foods-e-della-nutraceutica-per-migliorare-la-salute-ed-il-benessere-del-consumatore-con-sinergia-tra-ricerca-e-azienda-dsb-ad006-290" TargetMode="External"/><Relationship Id="rId337" Type="http://schemas.openxmlformats.org/officeDocument/2006/relationships/hyperlink" Target="https://projekte.ffg.at/projekt/5031027" TargetMode="External"/><Relationship Id="rId338" Type="http://schemas.openxmlformats.org/officeDocument/2006/relationships/hyperlink" Target="https://search.trdizin.gov.tr/yayin/detay/622132/fermente-sut-urunleri-uretiminde-kestane-sutu-kullanim-olanaklarinin-arastirilmasi" TargetMode="External"/><Relationship Id="rId339" Type="http://schemas.openxmlformats.org/officeDocument/2006/relationships/hyperlink" Target="https://gepris.dfg.de/gepris/projekt/465450389?language=en" TargetMode="External"/><Relationship Id="rId340" Type="http://schemas.openxmlformats.org/officeDocument/2006/relationships/hyperlink" Target="https://igf.aif.de/innovationsfoerderung/industrielle-gemeinschaftsforschung/igf-steckbrief.php?id=24514&amp;suchtext=" TargetMode="External"/><Relationship Id="rId341" Type="http://schemas.openxmlformats.org/officeDocument/2006/relationships/hyperlink" Target="https://gtr.ukri.org/projects?ref=studentship-2746491" TargetMode="External"/><Relationship Id="rId342" Type="http://schemas.openxmlformats.org/officeDocument/2006/relationships/hyperlink" Target="https://projekte.ffg.at/projekt/4851371" TargetMode="External"/><Relationship Id="rId343" Type="http://schemas.openxmlformats.org/officeDocument/2006/relationships/hyperlink" Target="https://gtr.ukri.org/projects?ref=studentship-2685518" TargetMode="External"/><Relationship Id="rId344" Type="http://schemas.openxmlformats.org/officeDocument/2006/relationships/hyperlink" Target="https://www.nwo.nl/en/projects/023019042" TargetMode="External"/><Relationship Id="rId345" Type="http://schemas.openxmlformats.org/officeDocument/2006/relationships/hyperlink" Target="https://www.saludcastillayleon.es/sanidad/cm/investigacion/tkContent?idContent=1465000&amp;locale=es_ES" TargetMode="External"/><Relationship Id="rId346" Type="http://schemas.openxmlformats.org/officeDocument/2006/relationships/hyperlink" Target="http://www.rscf.ru/en/enprjcard?rid=20-66-47017" TargetMode="External"/><Relationship Id="rId347" Type="http://schemas.openxmlformats.org/officeDocument/2006/relationships/hyperlink" Target="https://projekte.ffg.at/projekt/4856653" TargetMode="External"/><Relationship Id="rId348" Type="http://schemas.openxmlformats.org/officeDocument/2006/relationships/hyperlink" Target="https://gtr.ukri.org/projects?ref=studentship-2826717" TargetMode="External"/><Relationship Id="rId349" Type="http://schemas.openxmlformats.org/officeDocument/2006/relationships/hyperlink" Target="https://www.nwo.nl/en/projects/hbopd201805007" TargetMode="External"/><Relationship Id="rId350" Type="http://schemas.openxmlformats.org/officeDocument/2006/relationships/hyperlink" Target="https://igf.aif.de/innovationsfoerderung/industrielle-gemeinschaftsforschung/igf-steckbrief.php?id=25191&amp;suchtext=" TargetMode="External"/><Relationship Id="rId351" Type="http://schemas.openxmlformats.org/officeDocument/2006/relationships/hyperlink" Target="https://igf.aif.de/innovationsfoerderung/industrielle-gemeinschaftsforschung/igf-steckbrief.php?id=24350&amp;suchtext=" TargetMode="External"/><Relationship Id="rId352" Type="http://schemas.openxmlformats.org/officeDocument/2006/relationships/hyperlink" Target="https://www.esa.int/Enabling_Support/Preparing_for_the_Future/Discovery_and_Preparation/On_the_road_to_cultured_meat_for_astronauts_and_Earthlings" TargetMode="External"/><Relationship Id="rId353" Type="http://schemas.openxmlformats.org/officeDocument/2006/relationships/hyperlink" Target="https://www.esa.int/Enabling_Support/Preparing_for_the_Future/Discovery_and_Preparation/On_the_road_to_cultured_meat_for_astronauts_and_Earthlings" TargetMode="External"/><Relationship Id="rId354" Type="http://schemas.openxmlformats.org/officeDocument/2006/relationships/hyperlink" Target="https://www.luke.fi/en/projects/diversiprot" TargetMode="External"/><Relationship Id="rId355" Type="http://schemas.openxmlformats.org/officeDocument/2006/relationships/hyperlink" Target="https://www.consortiums.eu/articles/eu-consortium-to-develop-bio-purification-techniques-based-on-fermentation" TargetMode="External"/><Relationship Id="rId356" Type="http://schemas.openxmlformats.org/officeDocument/2006/relationships/hyperlink" Target="https://www.belspo.be/belspo/invent/dproj.asp?l=en&amp;inst=KU%20Leuven&amp;code=9c00e7b4-8acf-469b-9cec-34f18208fa6f&amp;hi=meat%20analogues%20OR%20vegan%20meat%20OR%20plant-based%20protein" TargetMode="External"/><Relationship Id="rId357" Type="http://schemas.openxmlformats.org/officeDocument/2006/relationships/hyperlink" Target="https://www.belspo.be/belspo/invent/dproj.asp?l=en&amp;inst=KU%20Leuven&amp;code=5c815b68-13e0-43ae-a30a-8d03b6898cb1&amp;hi=Egg%20replacement%20OR%20Cultivated%20meat%20OR%20Cultured%20meat" TargetMode="External"/><Relationship Id="rId358" Type="http://schemas.openxmlformats.org/officeDocument/2006/relationships/hyperlink" Target="https://www.belspo.be/belspo/invent/dproj.asp?l=en&amp;inst=KU%20Leuven&amp;code=15361370-8f65-462a-acd5-8a122636e9bc&amp;hi=meat%20analogues%20OR%20vegan%20meat%20OR%20plant-based%20protein" TargetMode="External"/><Relationship Id="rId359" Type="http://schemas.openxmlformats.org/officeDocument/2006/relationships/hyperlink" Target="https://www.belspo.be/belspo/invent/dproj.asp?l=en&amp;inst=UGent&amp;code=31eaea8a-9658-4b73-8a26-158772d0fb2e&amp;hi=Egg%20replacement%20OR%20Cultivated%20meat%20OR%20Cultured%20meat" TargetMode="External"/><Relationship Id="rId360" Type="http://schemas.openxmlformats.org/officeDocument/2006/relationships/hyperlink" Target="https://www.belspo.be/belspo/invent/dproj.asp?l=en&amp;inst=UAntwerpen&amp;code=fac070de-8b97-4ca3-91ba-22c9b9edbea3&amp;hi=sustainable%20protein%20OR%20alternative%20protein%20OR%20novel%20protein%20sources" TargetMode="External"/><Relationship Id="rId361" Type="http://schemas.openxmlformats.org/officeDocument/2006/relationships/hyperlink" Target="https://www.belspo.be/belspo/invent/dproj.asp?l=en&amp;inst=KU%20Leuven&amp;code=d5fa67c9-efd7-4697-a955-33591f9217be&amp;hi=insect%20protein%20OR%20fake%20meat%20OR%20meat%20substitutes" TargetMode="External"/><Relationship Id="rId362" Type="http://schemas.openxmlformats.org/officeDocument/2006/relationships/hyperlink" Target="https://www.belspo.be/belspo/invent/dproj.asp?l=en&amp;inst=KU%20Leuven&amp;code=5e492b6e-a3ca-4fe1-886d-61139dfd7a99&amp;hi=insect%20protein%20OR%20fake%20meat%20OR%20meat%20substitutes" TargetMode="External"/><Relationship Id="rId363" Type="http://schemas.openxmlformats.org/officeDocument/2006/relationships/hyperlink" Target="https://research.chalmers.se/en/project/11020" TargetMode="External"/><Relationship Id="rId364" Type="http://schemas.openxmlformats.org/officeDocument/2006/relationships/hyperlink" Target="https://www.aramis.admin.ch/Texte/?ProjectID=47720" TargetMode="External"/><Relationship Id="rId365" Type="http://schemas.openxmlformats.org/officeDocument/2006/relationships/hyperlink" Target="https://research.kuleuven.be/portal/en/project/3E200763" TargetMode="External"/><Relationship Id="rId366" Type="http://schemas.openxmlformats.org/officeDocument/2006/relationships/hyperlink" Target="https://research.ugent.be/web/result/project/d3b6899f-0fb3-11eb-89fc-81e15036b2fa/details/en" TargetMode="External"/><Relationship Id="rId367" Type="http://schemas.openxmlformats.org/officeDocument/2006/relationships/hyperlink" Target="https://research.kuleuven.be/portal/en/project/3E200944" TargetMode="External"/><Relationship Id="rId368" Type="http://schemas.openxmlformats.org/officeDocument/2006/relationships/hyperlink" Target="https://www.nwo.nl/en/projects/gochkiemkgc02043" TargetMode="External"/><Relationship Id="rId369" Type="http://schemas.openxmlformats.org/officeDocument/2006/relationships/hyperlink" Target="https://www.nwo.nl/en/projects/ocenwxl21xl21007" TargetMode="External"/><Relationship Id="rId370" Type="http://schemas.openxmlformats.org/officeDocument/2006/relationships/hyperlink" Target="https://www.nwo.nl/en/projects/20759" TargetMode="External"/><Relationship Id="rId371" Type="http://schemas.openxmlformats.org/officeDocument/2006/relationships/hyperlink" Target="https://research.kuleuven.be/portal/en/project/3M210158" TargetMode="External"/><Relationship Id="rId372" Type="http://schemas.openxmlformats.org/officeDocument/2006/relationships/hyperlink" Target="https://www.nwo.nl/en/projects/ocenwxs222193" TargetMode="External"/><Relationship Id="rId373" Type="http://schemas.openxmlformats.org/officeDocument/2006/relationships/hyperlink" Target="https://www.fisaonline.de/en/find-projects/research-projects-by-subject/details/?tx_fisaresearch_projects%5Baction%5D=projectDetails&amp;tx_fisaresearch_projects%5Bcontroller%5D=Projects&amp;tx_fisaresearch_projects%5Bp_id%5D=15956&amp;cHash=55d3e4f173ef3dbf33b01715c35151f4" TargetMode="External"/><Relationship Id="rId374" Type="http://schemas.openxmlformats.org/officeDocument/2006/relationships/hyperlink" Target="https://research.kuleuven.be/portal/en/project/3E210285" TargetMode="External"/><Relationship Id="rId375" Type="http://schemas.openxmlformats.org/officeDocument/2006/relationships/hyperlink" Target="https://bluepartnership.eu/projects/functional-processing-cultivated-seaweeds-novel-food-products" TargetMode="External"/><Relationship Id="rId376" Type="http://schemas.openxmlformats.org/officeDocument/2006/relationships/hyperlink" Target="https://service.ble.de/ptdb/index2.php?detail_id=92708924&amp;ssk=5123229d68&amp;site_key=293&amp;zeilenzahl_zaehler=2683&amp;NextRow=1700" TargetMode="External"/><Relationship Id="rId377" Type="http://schemas.openxmlformats.org/officeDocument/2006/relationships/hyperlink" Target="https://prosjektbanken.forskningsradet.no/en/project/FORISS/314318" TargetMode="External"/><Relationship Id="rId378" Type="http://schemas.openxmlformats.org/officeDocument/2006/relationships/hyperlink" Target="https://en.cellulaireagricultuur.nl/news" TargetMode="External"/><Relationship Id="rId379" Type="http://schemas.openxmlformats.org/officeDocument/2006/relationships/hyperlink" Target="https://eic.ec.europa.eu/system/files/2023-12/EIC-workprogramme-2024.pdf" TargetMode="External"/><Relationship Id="rId380" Type="http://schemas.openxmlformats.org/officeDocument/2006/relationships/hyperlink" Target="https://eic.ec.europa.eu/system/files/2023-12/EIC-workprogramme-2024.pdf" TargetMode="External"/><Relationship Id="rId381" Type="http://schemas.openxmlformats.org/officeDocument/2006/relationships/hyperlink" Target="https://cordis.europa.eu/project/id/635727" TargetMode="External"/><Relationship Id="rId382" Type="http://schemas.openxmlformats.org/officeDocument/2006/relationships/hyperlink" Target="https://www.vr.se/swecris.html" TargetMode="External"/><Relationship Id="rId383" Type="http://schemas.openxmlformats.org/officeDocument/2006/relationships/hyperlink" Target="https://www.vr.se/swecris.html" TargetMode="External"/><Relationship Id="rId384" Type="http://schemas.openxmlformats.org/officeDocument/2006/relationships/hyperlink" Target="https://prosjektbanken.forskningsradet.no/en/project/FORISS/317864" TargetMode="External"/><Relationship Id="rId385" Type="http://schemas.openxmlformats.org/officeDocument/2006/relationships/hyperlink" Target="https://www.vr.se/swecris.html" TargetMode="External"/><Relationship Id="rId386" Type="http://schemas.openxmlformats.org/officeDocument/2006/relationships/hyperlink" Target="https://cordis.europa.eu/project/id/101186662" TargetMode="External"/><Relationship Id="rId387" Type="http://schemas.openxmlformats.org/officeDocument/2006/relationships/hyperlink" Target="https://www.vr.se/swecris.html" TargetMode="External"/><Relationship Id="rId388" Type="http://schemas.openxmlformats.org/officeDocument/2006/relationships/hyperlink" Target="https://prosjektbanken.forskningsradet.no/en/project/FORISS/332243" TargetMode="External"/><Relationship Id="rId389" Type="http://schemas.openxmlformats.org/officeDocument/2006/relationships/hyperlink" Target="https://cordis.europa.eu/project/id/887259" TargetMode="External"/><Relationship Id="rId390" Type="http://schemas.openxmlformats.org/officeDocument/2006/relationships/hyperlink" Target="https://cordis.europa.eu/project/id/101180399" TargetMode="External"/><Relationship Id="rId391" Type="http://schemas.openxmlformats.org/officeDocument/2006/relationships/hyperlink" Target="https://prosjektbanken.forskningsradet.no/en/project/FORISS/333879" TargetMode="External"/><Relationship Id="rId392" Type="http://schemas.openxmlformats.org/officeDocument/2006/relationships/hyperlink" Target="https://cordis.europa.eu/project/id/101181822" TargetMode="External"/><Relationship Id="rId393" Type="http://schemas.openxmlformats.org/officeDocument/2006/relationships/hyperlink" Target="https://cordis.europa.eu/project/id/101181661" TargetMode="External"/><Relationship Id="rId394" Type="http://schemas.openxmlformats.org/officeDocument/2006/relationships/hyperlink" Target="https://www.vr.se/swecris.html" TargetMode="External"/><Relationship Id="rId395" Type="http://schemas.openxmlformats.org/officeDocument/2006/relationships/hyperlink" Target="https://www.vr.se/swecris.html" TargetMode="External"/><Relationship Id="rId396" Type="http://schemas.openxmlformats.org/officeDocument/2006/relationships/hyperlink" Target="https://www.vr.se/swecris.html" TargetMode="External"/><Relationship Id="rId397" Type="http://schemas.openxmlformats.org/officeDocument/2006/relationships/hyperlink" Target="https://prosjektbanken.forskningsradet.no/en/project/FORISS/351740" TargetMode="External"/><Relationship Id="rId398" Type="http://schemas.openxmlformats.org/officeDocument/2006/relationships/hyperlink" Target="https://www.vr.se/swecris.html" TargetMode="External"/><Relationship Id="rId399" Type="http://schemas.openxmlformats.org/officeDocument/2006/relationships/hyperlink" Target="https://data.snf.ch/grants/grant/216727" TargetMode="External"/><Relationship Id="rId400" Type="http://schemas.openxmlformats.org/officeDocument/2006/relationships/hyperlink" Target="https://cordis.europa.eu/project/id/101165614" TargetMode="External"/><Relationship Id="rId401" Type="http://schemas.openxmlformats.org/officeDocument/2006/relationships/hyperlink" Target="https://cordis.europa.eu/project/id/190118690" TargetMode="External"/><Relationship Id="rId402" Type="http://schemas.openxmlformats.org/officeDocument/2006/relationships/hyperlink" Target="https://www.vr.se/swecris.html" TargetMode="External"/><Relationship Id="rId403" Type="http://schemas.openxmlformats.org/officeDocument/2006/relationships/hyperlink" Target="https://cordis.europa.eu/project/id/101182843" TargetMode="External"/><Relationship Id="rId404" Type="http://schemas.openxmlformats.org/officeDocument/2006/relationships/hyperlink" Target="https://www.vr.se/swecris.html" TargetMode="External"/><Relationship Id="rId405" Type="http://schemas.openxmlformats.org/officeDocument/2006/relationships/hyperlink" Target="https://gtr.ukri.org/projects?ref=103919" TargetMode="External"/><Relationship Id="rId406" Type="http://schemas.openxmlformats.org/officeDocument/2006/relationships/hyperlink" Target="https://docs.google.com/document/d/12Hw1wlumvULUfj2jdoEKGMXu-89LUtv3/edit?usp=sharing&amp;ouid=112921949693677010543&amp;rtpof=true&amp;sd=true" TargetMode="External"/><Relationship Id="rId407" Type="http://schemas.openxmlformats.org/officeDocument/2006/relationships/hyperlink" Target="https://gtr.ukri.org/projects?ref=10046667" TargetMode="External"/><Relationship Id="rId408" Type="http://schemas.openxmlformats.org/officeDocument/2006/relationships/hyperlink" Target="https://gtr.ukri.org/projects?ref=10050842" TargetMode="External"/><Relationship Id="rId409" Type="http://schemas.openxmlformats.org/officeDocument/2006/relationships/hyperlink" Target="https://www.aramis.admin.ch/Grunddaten/?ProjectID=44477&amp;Sprache=en-US" TargetMode="External"/><Relationship Id="rId410" Type="http://schemas.openxmlformats.org/officeDocument/2006/relationships/hyperlink" Target="https://www.vr.se/swecris.html" TargetMode="External"/><Relationship Id="rId411" Type="http://schemas.openxmlformats.org/officeDocument/2006/relationships/hyperlink" Target="https://gtr.ukri.org/projects?ref=10087096" TargetMode="External"/><Relationship Id="rId412" Type="http://schemas.openxmlformats.org/officeDocument/2006/relationships/hyperlink" Target="https://gtr.ukri.org/projects?ref=10077804" TargetMode="External"/><Relationship Id="rId413" Type="http://schemas.openxmlformats.org/officeDocument/2006/relationships/hyperlink" Target="https://gtr.ukri.org/projects?ref=10048301" TargetMode="External"/><Relationship Id="rId414" Type="http://schemas.openxmlformats.org/officeDocument/2006/relationships/hyperlink" Target="https://gtr.ukri.org/projects?ref=10072164" TargetMode="External"/><Relationship Id="rId415" Type="http://schemas.openxmlformats.org/officeDocument/2006/relationships/hyperlink" Target="https://gtr.ukri.org/projects?ref=10073775" TargetMode="External"/><Relationship Id="rId416" Type="http://schemas.openxmlformats.org/officeDocument/2006/relationships/hyperlink" Target="https://www.aramis.admin.ch/Grunddaten/?ProjectID=51743&amp;Sprache=en-US" TargetMode="External"/><Relationship Id="rId417" Type="http://schemas.openxmlformats.org/officeDocument/2006/relationships/hyperlink" Target="https://www.vr.se/swecris.html" TargetMode="External"/><Relationship Id="rId418" Type="http://schemas.openxmlformats.org/officeDocument/2006/relationships/hyperlink" Target="https://apply-for-innovation-funding.service.gov.uk/competition/96/overview" TargetMode="External"/><Relationship Id="rId419" Type="http://schemas.openxmlformats.org/officeDocument/2006/relationships/hyperlink" Target="https://drive.google.com/file/d/1ScnuxnJWWCv56GU678LzHMpJFkn_xzQY/view?usp=share_link" TargetMode="External"/><Relationship Id="rId420" Type="http://schemas.openxmlformats.org/officeDocument/2006/relationships/hyperlink" Target="https://data.snf.ch/grants/grant/214584" TargetMode="External"/><Relationship Id="rId421" Type="http://schemas.openxmlformats.org/officeDocument/2006/relationships/hyperlink" Target="https://cordis.europa.eu/project/id/101105437" TargetMode="External"/><Relationship Id="rId422" Type="http://schemas.openxmlformats.org/officeDocument/2006/relationships/hyperlink" Target="https://data.snf.ch/grants/grant/211790" TargetMode="External"/><Relationship Id="rId423" Type="http://schemas.openxmlformats.org/officeDocument/2006/relationships/hyperlink" Target="https://cordis.europa.eu/project/id/101151048" TargetMode="External"/><Relationship Id="rId424" Type="http://schemas.openxmlformats.org/officeDocument/2006/relationships/hyperlink" Target="https://gtr.ukri.org/projects?ref=10074253" TargetMode="External"/><Relationship Id="rId425" Type="http://schemas.openxmlformats.org/officeDocument/2006/relationships/hyperlink" Target="https://gtr.ukri.org/projects?ref=studentship-2746272" TargetMode="External"/><Relationship Id="rId426" Type="http://schemas.openxmlformats.org/officeDocument/2006/relationships/hyperlink" Target="https://gtr.ukri.org/projects?ref=studentship-2906648" TargetMode="External"/><Relationship Id="rId427" Type="http://schemas.openxmlformats.org/officeDocument/2006/relationships/hyperlink" Target="https://gtr.ukri.org/projects?ref=studentship-2284055" TargetMode="External"/><Relationship Id="rId428" Type="http://schemas.openxmlformats.org/officeDocument/2006/relationships/hyperlink" Target="https://gtr.ukri.org/projects?ref=10108649" TargetMode="External"/><Relationship Id="rId429" Type="http://schemas.openxmlformats.org/officeDocument/2006/relationships/hyperlink" Target="https://gtr.ukri.org/projects?ref=131916" TargetMode="External"/><Relationship Id="rId430" Type="http://schemas.openxmlformats.org/officeDocument/2006/relationships/hyperlink" Target="https://cordis.europa.eu/project/id/101114558" TargetMode="External"/><Relationship Id="rId431" Type="http://schemas.openxmlformats.org/officeDocument/2006/relationships/hyperlink" Target="https://cordis.europa.eu/project/id/816210" TargetMode="External"/><Relationship Id="rId432" Type="http://schemas.openxmlformats.org/officeDocument/2006/relationships/hyperlink" Target="https://gtr.ukri.org/projects?ref=10072768" TargetMode="External"/><Relationship Id="rId433" Type="http://schemas.openxmlformats.org/officeDocument/2006/relationships/hyperlink" Target="https://prosjektbanken.forskningsradet.no/en/project/FORISS/353737" TargetMode="External"/><Relationship Id="rId434" Type="http://schemas.openxmlformats.org/officeDocument/2006/relationships/hyperlink" Target="https://gtr.ukri.org/projects?ref=10074042" TargetMode="External"/><Relationship Id="rId435" Type="http://schemas.openxmlformats.org/officeDocument/2006/relationships/hyperlink" Target="https://gtr.ukri.org/projects?ref=10075312" TargetMode="External"/><Relationship Id="rId436" Type="http://schemas.openxmlformats.org/officeDocument/2006/relationships/hyperlink" Target="https://gtr.ukri.org/projects?ref=studentship-2596703" TargetMode="External"/><Relationship Id="rId437" Type="http://schemas.openxmlformats.org/officeDocument/2006/relationships/hyperlink" Target="https://gtr.ukri.org/projects?ref=studentship-2568599" TargetMode="External"/><Relationship Id="rId438" Type="http://schemas.openxmlformats.org/officeDocument/2006/relationships/hyperlink" Target="https://gtr.ukri.org/projects?ref=studentship-2756416" TargetMode="External"/><Relationship Id="rId439" Type="http://schemas.openxmlformats.org/officeDocument/2006/relationships/hyperlink" Target="https://gtr.ukri.org/projects?ref=studentship-2912492" TargetMode="External"/><Relationship Id="rId440" Type="http://schemas.openxmlformats.org/officeDocument/2006/relationships/hyperlink" Target="https://gtr.ukri.org/projects?ref=studentship-2885034" TargetMode="External"/><Relationship Id="rId441" Type="http://schemas.openxmlformats.org/officeDocument/2006/relationships/hyperlink" Target="https://research-and-innovation.ec.europa.eu/funding/funding-opportunities/funding-programmes-and-open-calls/horizon-2020_en" TargetMode="External"/><Relationship Id="rId442" Type="http://schemas.openxmlformats.org/officeDocument/2006/relationships/hyperlink" Target="https://docs.google.com/document/d/1V-O-NnxebDU6O0fRbTqQD5j97jil5__gf1pylexwm9k/edit?usp=sharing" TargetMode="External"/><Relationship Id="rId443" Type="http://schemas.openxmlformats.org/officeDocument/2006/relationships/hyperlink" Target="https://ec.europa.eu/info/funding-tenders/opportunities/portal/screen/opportunities/topic-details/innosup-01-2018-2020" TargetMode="External"/><Relationship Id="rId444" Type="http://schemas.openxmlformats.org/officeDocument/2006/relationships/hyperlink" Target="https://docs.google.com/document/d/1q9QVbOYVPi6c4frYPaV6LFURNwoDuerjqlnRKyTDZ_s/edit?usp=sharing" TargetMode="External"/><Relationship Id="rId445" Type="http://schemas.openxmlformats.org/officeDocument/2006/relationships/hyperlink" Target="https://research-and-innovation.ec.europa.eu/funding/funding-opportunities/funding-programmes-and-open-calls/horizon-2020_en" TargetMode="External"/><Relationship Id="rId446" Type="http://schemas.openxmlformats.org/officeDocument/2006/relationships/hyperlink" Target="https://docs.google.com/document/d/1IJSgRsrOQaALidKXY3U8th-8-858gggytA4yEmY-9Nc/edit?usp=sharing" TargetMode="External"/><Relationship Id="rId447" Type="http://schemas.openxmlformats.org/officeDocument/2006/relationships/hyperlink" Target="https://docs.google.com/document/d/1Oj9aQexkb3EGzQhhJ7SH4zDQhfCYr-JiCQj-lfNnqZ0/edit?usp=sharing" TargetMode="External"/><Relationship Id="rId448" Type="http://schemas.openxmlformats.org/officeDocument/2006/relationships/hyperlink" Target="https://docs.google.com/document/d/1ZfLBq6QdTqwlWfVbevqHKGM_eKuvIwmR-E_O3uKchKI/edit?usp=sharing" TargetMode="External"/><Relationship Id="rId449" Type="http://schemas.openxmlformats.org/officeDocument/2006/relationships/hyperlink" Target="https://ec.europa.eu/info/funding-tenders/opportunities/portal/screen/opportunities/topic-details/horizon-cl4-2021-digital-emerging-01-13;callCode=null;freeTextSearchKeyword=;matchWholeText=true;typeCodes=1;statusCodes=31094503;programmePeriod=2021%20-%202027;programCcm2Id=43108390;programDivisionCode=null;focusAreaCode=null;destinationGroup=null;missionGroup=null;geographicalZonesCode=null;programmeDivisionProspect=null;startDateLte=null;startDateGte=null;crossCuttingPriorityCode=null;cpvCode=null;performanceOfDelivery=null;sortQuery=deadlineDate;orderBy=desc;onlyTenders=false;topicListKey=topicSearchTablePageState" TargetMode="External"/><Relationship Id="rId450" Type="http://schemas.openxmlformats.org/officeDocument/2006/relationships/hyperlink" Target="https://docs.google.com/document/d/1Wi3WDEGMV5QgP_nsbljwVfOgDsWYZUwQ3CgAajTftU4/edit?usp=sharing" TargetMode="External"/><Relationship Id="rId451" Type="http://schemas.openxmlformats.org/officeDocument/2006/relationships/hyperlink" Target="https://apply-for-innovation-funding.service.gov.uk/competition/1415/overview/ea580f20-6c68-4784-89b1-29ea076fdb3d" TargetMode="External"/><Relationship Id="rId452" Type="http://schemas.openxmlformats.org/officeDocument/2006/relationships/hyperlink" Target="https://www.ivv.fraunhofer.de/en/food/future-proteins.html" TargetMode="External"/><Relationship Id="rId453" Type="http://schemas.openxmlformats.org/officeDocument/2006/relationships/hyperlink" Target="https://www.eitfood.eu/projects/taste2meat" TargetMode="External"/><Relationship Id="rId454" Type="http://schemas.openxmlformats.org/officeDocument/2006/relationships/hyperlink" Target="https://www.nwo.nl/en/projects/ocenwxs242078" TargetMode="External"/><Relationship Id="rId455" Type="http://schemas.openxmlformats.org/officeDocument/2006/relationships/hyperlink" Target="https://gtr.ukri.org/projects?ref=studentship-2854398" TargetMode="External"/><Relationship Id="rId456" Type="http://schemas.openxmlformats.org/officeDocument/2006/relationships/hyperlink" Target="https://cordis.europa.eu/project/id/101181982" TargetMode="External"/><Relationship Id="rId457" Type="http://schemas.openxmlformats.org/officeDocument/2006/relationships/hyperlink" Target="https://www.vr.se/swecris.html" TargetMode="External"/><Relationship Id="rId458" Type="http://schemas.openxmlformats.org/officeDocument/2006/relationships/hyperlink" Target="https://gtr.ukri.org/projects?ref=10131349" TargetMode="External"/><Relationship Id="rId459" Type="http://schemas.openxmlformats.org/officeDocument/2006/relationships/hyperlink" Target="https://www.vr.se/swecris.html" TargetMode="External"/><Relationship Id="rId460" Type="http://schemas.openxmlformats.org/officeDocument/2006/relationships/hyperlink" Target="https://gtr.ukri.org/projects?ref=10086928" TargetMode="External"/><Relationship Id="rId461" Type="http://schemas.openxmlformats.org/officeDocument/2006/relationships/hyperlink" Target="https://gtr.ukri.org/projects?ref=10087261" TargetMode="External"/><Relationship Id="rId462" Type="http://schemas.openxmlformats.org/officeDocument/2006/relationships/hyperlink" Target="https://gtr.ukri.org/projects?ref=BB%2FY513568%2F1" TargetMode="External"/><Relationship Id="rId463" Type="http://schemas.openxmlformats.org/officeDocument/2006/relationships/hyperlink" Target="https://gtr.ukri.org/projects?ref=BB%2FY513556%2F1" TargetMode="External"/><Relationship Id="rId464" Type="http://schemas.openxmlformats.org/officeDocument/2006/relationships/hyperlink" Target="https://gtr.ukri.org/projects?ref=10073346" TargetMode="External"/><Relationship Id="rId465" Type="http://schemas.openxmlformats.org/officeDocument/2006/relationships/hyperlink" Target="https://cordis.europa.eu/project/id/101150806" TargetMode="External"/><Relationship Id="rId466" Type="http://schemas.openxmlformats.org/officeDocument/2006/relationships/hyperlink" Target="https://www.vr.se/swecris.html" TargetMode="External"/><Relationship Id="rId467" Type="http://schemas.openxmlformats.org/officeDocument/2006/relationships/hyperlink" Target="https://cordis.europa.eu/project/id/101188773" TargetMode="External"/><Relationship Id="rId468" Type="http://schemas.openxmlformats.org/officeDocument/2006/relationships/hyperlink" Target="https://cordis.europa.eu/project/id/101188965" TargetMode="External"/><Relationship Id="rId469" Type="http://schemas.openxmlformats.org/officeDocument/2006/relationships/hyperlink" Target="https://www.vr.se/swecris.html" TargetMode="External"/><Relationship Id="rId470" Type="http://schemas.openxmlformats.org/officeDocument/2006/relationships/hyperlink" Target="https://cordis.europa.eu/project/id/101182324" TargetMode="External"/><Relationship Id="rId471" Type="http://schemas.openxmlformats.org/officeDocument/2006/relationships/hyperlink" Target="https://cordis.europa.eu/project/id/101060607" TargetMode="External"/><Relationship Id="rId472" Type="http://schemas.openxmlformats.org/officeDocument/2006/relationships/hyperlink" Target="https://gepris.dfg.de/gepris/projekt/555001364?context=projekt&amp;task=showDetail&amp;id=555001364&amp;" TargetMode="External"/><Relationship Id="rId473" Type="http://schemas.openxmlformats.org/officeDocument/2006/relationships/hyperlink" Target="https://www.vr.se/swecris.html" TargetMode="External"/><Relationship Id="rId474" Type="http://schemas.openxmlformats.org/officeDocument/2006/relationships/hyperlink" Target="https://www.nwo.nl/en/projects/20883" TargetMode="External"/><Relationship Id="rId475" Type="http://schemas.openxmlformats.org/officeDocument/2006/relationships/hyperlink" Target="https://gtr.ukri.org/projects?ref=EP%2FZ000785%2F1" TargetMode="External"/><Relationship Id="rId476" Type="http://schemas.openxmlformats.org/officeDocument/2006/relationships/hyperlink" Target="https://cordis.europa.eu/project/id/101149224" TargetMode="External"/><Relationship Id="rId477" Type="http://schemas.openxmlformats.org/officeDocument/2006/relationships/hyperlink" Target="https://gtr.ukri.org/projects?ref=10127896" TargetMode="External"/><Relationship Id="rId478" Type="http://schemas.openxmlformats.org/officeDocument/2006/relationships/hyperlink" Target="https://cordis.europa.eu/project/id/101188544" TargetMode="External"/><Relationship Id="rId479" Type="http://schemas.openxmlformats.org/officeDocument/2006/relationships/hyperlink" Target="https://cordis.europa.eu/project/id/101158968" TargetMode="External"/><Relationship Id="rId480" Type="http://schemas.openxmlformats.org/officeDocument/2006/relationships/hyperlink" Target="https://cordis.europa.eu/project/id/101158173" TargetMode="External"/><Relationship Id="rId481" Type="http://schemas.openxmlformats.org/officeDocument/2006/relationships/hyperlink" Target="https://gtr.ukri.org/projects?ref=BB%2FZ516089%2F1" TargetMode="External"/><Relationship Id="rId482" Type="http://schemas.openxmlformats.org/officeDocument/2006/relationships/hyperlink" Target="https://cordis.europa.eu/project/id/101157382" TargetMode="External"/><Relationship Id="rId483" Type="http://schemas.openxmlformats.org/officeDocument/2006/relationships/hyperlink" Target="https://wellcome.org/research-funding/funding-portfolio/funded-grants/maximising-potential-plant-based-convenience-foods" TargetMode="External"/><Relationship Id="rId484" Type="http://schemas.openxmlformats.org/officeDocument/2006/relationships/hyperlink" Target="https://gtr.ukri.org/projects?ref=EP%2FY032748%2F1" TargetMode="External"/><Relationship Id="rId485" Type="http://schemas.openxmlformats.org/officeDocument/2006/relationships/hyperlink" Target="https://gtr.ukri.org/projects?ref=studentship-2905301" TargetMode="External"/><Relationship Id="rId486" Type="http://schemas.openxmlformats.org/officeDocument/2006/relationships/hyperlink" Target="https://www.vr.se/swecris.html" TargetMode="External"/><Relationship Id="rId487" Type="http://schemas.openxmlformats.org/officeDocument/2006/relationships/hyperlink" Target="https://gtr.ukri.org/projects?ref=studentship-2434424" TargetMode="External"/><Relationship Id="rId488" Type="http://schemas.openxmlformats.org/officeDocument/2006/relationships/hyperlink" Target="https://www.aramis.admin.ch/Grunddaten/?ProjectID=46944&amp;Sprache=en-US" TargetMode="External"/><Relationship Id="rId489" Type="http://schemas.openxmlformats.org/officeDocument/2006/relationships/hyperlink" Target="https://www.etis.ee/Portal/Projects/Display/682eb1d6-9107-4373-8d4c-177d38540ee4" TargetMode="External"/><Relationship Id="rId490" Type="http://schemas.openxmlformats.org/officeDocument/2006/relationships/hyperlink" Target="https://www.fisaonline.de/en/find-projects/details/?tx_fisaresearch_projects%5Baction%5D=projectDetails&amp;tx_fisaresearch_projects%5Bcontroller%5D=Projects&amp;tx_fisaresearch_projects%5Bp_id%5D=18021&amp;cHash=b22a4a500f3926d8334e5f8b21a32e20" TargetMode="External"/><Relationship Id="rId491" Type="http://schemas.openxmlformats.org/officeDocument/2006/relationships/hyperlink" Target="https://nofima.com/projects/sustainable-cell-culture-media-for-cultivated-meat/" TargetMode="External"/><Relationship Id="rId492" Type="http://schemas.openxmlformats.org/officeDocument/2006/relationships/hyperlink" Target="http://gtr.ukri.org/projects?ref=10112087" TargetMode="External"/><Relationship Id="rId493" Type="http://schemas.openxmlformats.org/officeDocument/2006/relationships/hyperlink" Target="http://gtr.ukri.org/projects?ref=studentship-2928996" TargetMode="External"/><Relationship Id="rId494" Type="http://schemas.openxmlformats.org/officeDocument/2006/relationships/hyperlink" Target="https://www.aramis.admin.ch/Texte/?ProjectID=55932&amp;Sprache=en-US" TargetMode="External"/><Relationship Id="rId495" Type="http://schemas.openxmlformats.org/officeDocument/2006/relationships/hyperlink" Target="https://portal.research.lu.se/en/projects/how-to-make-consumers-choose-plant-based-food-in-the-store-an-eco" TargetMode="External"/><Relationship Id="rId496" Type="http://schemas.openxmlformats.org/officeDocument/2006/relationships/hyperlink" Target="https://www.vinnova.se/en/p/successful-protein-shift-in-schoolsprototyping-a-norm-change-tool-kit-towards-alternative-proteins/" TargetMode="External"/><Relationship Id="rId497" Type="http://schemas.openxmlformats.org/officeDocument/2006/relationships/hyperlink" Target="https://www.vinnova.se/en/p/alternative-proteins-a-norm-challenging-guerrilla-experiment-in-festival-environment/" TargetMode="External"/><Relationship Id="rId498" Type="http://schemas.openxmlformats.org/officeDocument/2006/relationships/hyperlink" Target="https://research.kuleuven.be/portal/en/project/3E231234" TargetMode="External"/><Relationship Id="rId499" Type="http://schemas.openxmlformats.org/officeDocument/2006/relationships/hyperlink" Target="https://researchportal.be/en/project/matchmaking-unveiling-optimal-soybean-rhizobia-matches-north-western-european-environments" TargetMode="External"/><Relationship Id="rId500" Type="http://schemas.openxmlformats.org/officeDocument/2006/relationships/hyperlink" Target="https://research.ugent.be/web/result/project/2332b727-ab0f-11ef-aed6-33a67d5acda9/details/en" TargetMode="External"/><Relationship Id="rId501" Type="http://schemas.openxmlformats.org/officeDocument/2006/relationships/hyperlink" Target="https://www.zhaw.ch/en/research/project/77412" TargetMode="External"/><Relationship Id="rId502" Type="http://schemas.openxmlformats.org/officeDocument/2006/relationships/hyperlink" Target="https://prosjektbanken.forskningsradet.no/en/project/FORISS/353505" TargetMode="External"/><Relationship Id="rId503" Type="http://schemas.openxmlformats.org/officeDocument/2006/relationships/hyperlink" Target="https://gtr.ukri.org/projects?ref=10041447" TargetMode="External"/><Relationship Id="rId504" Type="http://schemas.openxmlformats.org/officeDocument/2006/relationships/hyperlink" Target="https://cordis.europa.eu/project/id/720728" TargetMode="External"/><Relationship Id="rId505" Type="http://schemas.openxmlformats.org/officeDocument/2006/relationships/hyperlink" Target="https://research.ie/assets/uploads/2023/09/GOI-Awardee-list-2023.pdf" TargetMode="External"/><Relationship Id="rId506" Type="http://schemas.openxmlformats.org/officeDocument/2006/relationships/hyperlink" Target="https://nora.adm.dtu.dk/" TargetMode="External"/><Relationship Id="rId507" Type="http://schemas.openxmlformats.org/officeDocument/2006/relationships/hyperlink" Target="https://socialsciences.ku.dk/news/2023/five-social-science-projects-to-investigate-green-transition/" TargetMode="External"/><Relationship Id="rId508" Type="http://schemas.openxmlformats.org/officeDocument/2006/relationships/hyperlink" Target="https://nora.adm.dtu.dk/" TargetMode="External"/><Relationship Id="rId509" Type="http://schemas.openxmlformats.org/officeDocument/2006/relationships/hyperlink" Target="https://gtr.ukri.org/" TargetMode="External"/><Relationship Id="rId510" Type="http://schemas.openxmlformats.org/officeDocument/2006/relationships/hyperlink" Target="http://gtr.ukri.org/projects?ref=BB/Y513933/1" TargetMode="External"/><Relationship Id="rId511" Type="http://schemas.openxmlformats.org/officeDocument/2006/relationships/hyperlink" Target="https://gtr.ukri.org/" TargetMode="External"/><Relationship Id="rId512" Type="http://schemas.openxmlformats.org/officeDocument/2006/relationships/hyperlink" Target="http://gtr.ukri.org/projects?ref=10086903" TargetMode="External"/><Relationship Id="rId513" Type="http://schemas.openxmlformats.org/officeDocument/2006/relationships/hyperlink" Target="https://gtr.ukri.org/" TargetMode="External"/><Relationship Id="rId514" Type="http://schemas.openxmlformats.org/officeDocument/2006/relationships/hyperlink" Target="http://gtr.ukri.org/projects?ref=10108649" TargetMode="External"/><Relationship Id="rId515" Type="http://schemas.openxmlformats.org/officeDocument/2006/relationships/hyperlink" Target="https://gtr.ukri.org/" TargetMode="External"/><Relationship Id="rId516" Type="http://schemas.openxmlformats.org/officeDocument/2006/relationships/hyperlink" Target="http://gtr.ukri.org/projects?ref=10087261" TargetMode="External"/><Relationship Id="rId517" Type="http://schemas.openxmlformats.org/officeDocument/2006/relationships/hyperlink" Target="https://gtr.ukri.org/" TargetMode="External"/><Relationship Id="rId518" Type="http://schemas.openxmlformats.org/officeDocument/2006/relationships/hyperlink" Target="http://gtr.ukri.org/projects?ref=ES/Y01040X/1" TargetMode="External"/><Relationship Id="rId519" Type="http://schemas.openxmlformats.org/officeDocument/2006/relationships/hyperlink" Target="https://gtr.ukri.org/" TargetMode="External"/><Relationship Id="rId520" Type="http://schemas.openxmlformats.org/officeDocument/2006/relationships/hyperlink" Target="http://gtr.ukri.org/projects?ref=MR/Y013662/1" TargetMode="External"/><Relationship Id="rId521" Type="http://schemas.openxmlformats.org/officeDocument/2006/relationships/hyperlink" Target="https://gtr.ukri.org/" TargetMode="External"/><Relationship Id="rId522" Type="http://schemas.openxmlformats.org/officeDocument/2006/relationships/hyperlink" Target="http://gtr.ukri.org/projects?ref=EP/Z000785/1" TargetMode="External"/><Relationship Id="rId523" Type="http://schemas.openxmlformats.org/officeDocument/2006/relationships/hyperlink" Target="https://gtr.ukri.org/" TargetMode="External"/><Relationship Id="rId524" Type="http://schemas.openxmlformats.org/officeDocument/2006/relationships/hyperlink" Target="http://gtr.ukri.org/projects?ref=BB/Y513568/1" TargetMode="External"/><Relationship Id="rId525" Type="http://schemas.openxmlformats.org/officeDocument/2006/relationships/hyperlink" Target="https://gtr.ukri.org/" TargetMode="External"/><Relationship Id="rId526" Type="http://schemas.openxmlformats.org/officeDocument/2006/relationships/hyperlink" Target="http://gtr.ukri.org/projects?ref=ES/Y003667/1" TargetMode="External"/><Relationship Id="rId527" Type="http://schemas.openxmlformats.org/officeDocument/2006/relationships/hyperlink" Target="https://gtr.ukri.org/" TargetMode="External"/><Relationship Id="rId528" Type="http://schemas.openxmlformats.org/officeDocument/2006/relationships/hyperlink" Target="http://gtr.ukri.org/projects?ref=studentship-2905301" TargetMode="External"/><Relationship Id="rId529" Type="http://schemas.openxmlformats.org/officeDocument/2006/relationships/hyperlink" Target="https://www.vr.se/english/swecris.html" TargetMode="External"/><Relationship Id="rId530" Type="http://schemas.openxmlformats.org/officeDocument/2006/relationships/hyperlink" Target="https://www.oru.se/english/research/research-projects/rp/?rdb=p2655" TargetMode="External"/><Relationship Id="rId531" Type="http://schemas.openxmlformats.org/officeDocument/2006/relationships/hyperlink" Target="https://www.vr.se/english/swecris.html" TargetMode="External"/><Relationship Id="rId532" Type="http://schemas.openxmlformats.org/officeDocument/2006/relationships/hyperlink" Target="https://www.vr.se/english/swecris.html?project%3D2024-01030_Formas" TargetMode="External"/><Relationship Id="rId533" Type="http://schemas.openxmlformats.org/officeDocument/2006/relationships/hyperlink" Target="https://researchportal.be/en" TargetMode="External"/><Relationship Id="rId534" Type="http://schemas.openxmlformats.org/officeDocument/2006/relationships/hyperlink" Target="https://pureportal.ilvo.be/en/projects/duurzame-eiwitten-van-lokaal-gekweekt-zeewier" TargetMode="External"/><Relationship Id="rId535" Type="http://schemas.openxmlformats.org/officeDocument/2006/relationships/hyperlink" Target="https://researchportal.be/en" TargetMode="External"/><Relationship Id="rId536" Type="http://schemas.openxmlformats.org/officeDocument/2006/relationships/hyperlink" Target="https://researchportal.be/en" TargetMode="External"/><Relationship Id="rId537" Type="http://schemas.openxmlformats.org/officeDocument/2006/relationships/hyperlink" Target="https://www.nwo.nl/en/projects/21120" TargetMode="External"/><Relationship Id="rId538" Type="http://schemas.openxmlformats.org/officeDocument/2006/relationships/hyperlink" Target="https://scanr.enseignementsup-recherche.gouv.fr/" TargetMode="External"/><Relationship Id="rId539" Type="http://schemas.openxmlformats.org/officeDocument/2006/relationships/hyperlink" Target="https://scanr.enseignementsup-recherche.gouv.fr/" TargetMode="External"/><Relationship Id="rId540" Type="http://schemas.openxmlformats.org/officeDocument/2006/relationships/hyperlink" Target="https://anr.fr/Project-ANR-23-CE44-0028" TargetMode="External"/><Relationship Id="rId541" Type="http://schemas.openxmlformats.org/officeDocument/2006/relationships/hyperlink" Target="https://scanr.enseignementsup-recherche.gouv.fr/" TargetMode="External"/><Relationship Id="rId542" Type="http://schemas.openxmlformats.org/officeDocument/2006/relationships/hyperlink" Target="https://cordis.europa.eu/project/id/101158710" TargetMode="External"/><Relationship Id="rId543" Type="http://schemas.openxmlformats.org/officeDocument/2006/relationships/hyperlink" Target="https://vegconomist.com/investments-finance/91-million-investment-for-pea-protein-facility-in-sweden/?utm_medium=email&amp;utm_source=rasa_io&amp;utm_campaign=newsletter" TargetMode="External"/><Relationship Id="rId544" Type="http://schemas.openxmlformats.org/officeDocument/2006/relationships/hyperlink" Target="https://cordis.europa.eu/project/id/613781" TargetMode="External"/><Relationship Id="rId545" Type="http://schemas.openxmlformats.org/officeDocument/2006/relationships/hyperlink" Target="https://cordis.europa.eu/project/id/613551" TargetMode="External"/><Relationship Id="rId546" Type="http://schemas.openxmlformats.org/officeDocument/2006/relationships/hyperlink" Target="https://cordis.europa.eu/project/id/862980" TargetMode="External"/><Relationship Id="rId547" Type="http://schemas.openxmlformats.org/officeDocument/2006/relationships/hyperlink" Target="https://cordis.europa.eu/project/id/868154" TargetMode="External"/><Relationship Id="rId548" Type="http://schemas.openxmlformats.org/officeDocument/2006/relationships/hyperlink" Target="https://www.carlsbergfondet.dk/en/what-we-have-funded/cf18-1024/" TargetMode="External"/><Relationship Id="rId549" Type="http://schemas.openxmlformats.org/officeDocument/2006/relationships/hyperlink" Target="https://www.wur.nl/nl/onderzoek-resultaten/kennisonline-onderzoeksprojecten-lvvn/kennisonline/safe-precision-fermentation-for-production-of-dairy-and-meat-protein-analogues-saferment-1.htm" TargetMode="External"/><Relationship Id="rId550" Type="http://schemas.openxmlformats.org/officeDocument/2006/relationships/hyperlink" Target="https://groenprojektbank.dk/plantefonden/2023/transforming-plant-based-protein-with-protein-rich-microorganisms" TargetMode="External"/><Relationship Id="rId551" Type="http://schemas.openxmlformats.org/officeDocument/2006/relationships/hyperlink" Target="https://groenprojektbank.dk/plantefonden/2023/the-potential-of-different-oat-varieties-for-oat-drink-poatential" TargetMode="External"/><Relationship Id="rId552" Type="http://schemas.openxmlformats.org/officeDocument/2006/relationships/hyperlink" Target="http://teknologisk.dk/figo-og-8211-forbrugerdreven-innovation-til-den-groenne-omstilling/45760" TargetMode="External"/><Relationship Id="rId553" Type="http://schemas.openxmlformats.org/officeDocument/2006/relationships/hyperlink" Target="https://www.fei-bonn.de/gefoerderte-projekte/projektdatenbank/01if00364c.projekt" TargetMode="External"/><Relationship Id="rId554" Type="http://schemas.openxmlformats.org/officeDocument/2006/relationships/hyperlink" Target="https://www.fei-bonn.de/gefoerderte-projekte/projektdatenbank/01if22378n.projekt" TargetMode="External"/><Relationship Id="rId555" Type="http://schemas.openxmlformats.org/officeDocument/2006/relationships/hyperlink" Target="https://www.fei-bonn.de/gefoerderte-projekte/projektdatenbank/01if22476n.projekt" TargetMode="External"/><Relationship Id="rId556" Type="http://schemas.openxmlformats.org/officeDocument/2006/relationships/hyperlink" Target="https://www.fei-bonn.de/gefoerderte-projekte/projektdatenbank/01if22684n.projekt" TargetMode="External"/><Relationship Id="rId557" Type="http://schemas.openxmlformats.org/officeDocument/2006/relationships/hyperlink" Target="https://www.fei-bonn.de/gefoerderte-projekte/projektdatenbank/01if22876n.projekt" TargetMode="External"/><Relationship Id="rId558" Type="http://schemas.openxmlformats.org/officeDocument/2006/relationships/hyperlink" Target="https://www.fei-bonn.de/gefoerderte-projekte/projektdatenbank/01if23019n.projekt" TargetMode="External"/><Relationship Id="rId559" Type="http://schemas.openxmlformats.org/officeDocument/2006/relationships/hyperlink" Target="https://www.fei-bonn.de/gefoerderte-projekte/projektdatenbank/01if23031n.projekt" TargetMode="External"/><Relationship Id="rId560" Type="http://schemas.openxmlformats.org/officeDocument/2006/relationships/hyperlink" Target="https://www.fei-bonn.de/gefoerderte-projekte/projektdatenbank/01if23032n.projekt" TargetMode="External"/><Relationship Id="rId561" Type="http://schemas.openxmlformats.org/officeDocument/2006/relationships/hyperlink" Target="https://www.fei-bonn.de/gefoerderte-projekte/projektdatenbank/01if23036n.projekt" TargetMode="External"/><Relationship Id="rId562" Type="http://schemas.openxmlformats.org/officeDocument/2006/relationships/hyperlink" Target="https://www.fei-bonn.de/gefoerderte-projekte/projektdatenbank/01if23048n.projekt" TargetMode="External"/><Relationship Id="rId563" Type="http://schemas.openxmlformats.org/officeDocument/2006/relationships/hyperlink" Target="https://www.fei-bonn.de/gefoerderte-projekte/projektdatenbank/01if23346n.projekt" TargetMode="External"/><Relationship Id="rId564" Type="http://schemas.openxmlformats.org/officeDocument/2006/relationships/hyperlink" Target="https://www.fei-bonn.de/gefoerderte-projekte/projektdatenbank/01if23335n.projekt" TargetMode="External"/><Relationship Id="rId565" Type="http://schemas.openxmlformats.org/officeDocument/2006/relationships/hyperlink" Target="https://www.fei-bonn.de/gefoerderte-projekte/projektdatenbank/01if23315n.projekt" TargetMode="External"/><Relationship Id="rId566" Type="http://schemas.openxmlformats.org/officeDocument/2006/relationships/hyperlink" Target="https://www.middleeastvegansociety.org/blog/turkish-researchers-secure-horizon-europe-funding-for-plant-based-protein-innovation" TargetMode="External"/><Relationship Id="rId567" Type="http://schemas.openxmlformats.org/officeDocument/2006/relationships/hyperlink" Target="https://localnutleg.eu/" TargetMode="External"/><Relationship Id="rId568" Type="http://schemas.openxmlformats.org/officeDocument/2006/relationships/hyperlink" Target="https://cordis.europa.eu/project/id/101112884" TargetMode="External"/><Relationship Id="rId569" Type="http://schemas.openxmlformats.org/officeDocument/2006/relationships/hyperlink" Target="https://cordis.europa.eu/project/id/720719" TargetMode="External"/><Relationship Id="rId570" Type="http://schemas.openxmlformats.org/officeDocument/2006/relationships/hyperlink" Target="https://snis.ch/projects/the-political-economy-of-meat-system-transformation/" TargetMode="External"/><Relationship Id="rId571" Type="http://schemas.openxmlformats.org/officeDocument/2006/relationships/hyperlink" Target="https://agrifoodture.com/projects/safepro/" TargetMode="External"/><Relationship Id="rId572" Type="http://schemas.openxmlformats.org/officeDocument/2006/relationships/hyperlink" Target="https://www.mynewsdesk.com/de/universitaet-vechta/pressreleases/teilprojekt-an-der-universitaet-vechta-untersucht-akzeptanz-und-oekonomische-umsetzungschancen-von-zellbasierten-fischlebensmitteln-bundesministerium-bmel-foerdert-gesamtes-verbund-forschungsvorhaben-zu-innovativer-in-vitro-technologie-3279926" TargetMode="External"/><Relationship Id="rId573" Type="http://schemas.openxmlformats.org/officeDocument/2006/relationships/hyperlink" Target="https://www.cbe.europa.eu/projects/proteus" TargetMode="External"/><Relationship Id="rId574" Type="http://schemas.openxmlformats.org/officeDocument/2006/relationships/hyperlink" Target="https://www.gov.ie/en/department-of-agriculture-food-and-the-marine/press-releases/minister-heydon-announces-223-million-in-new-research-grants/" TargetMode="External"/><Relationship Id="rId575" Type="http://schemas.openxmlformats.org/officeDocument/2006/relationships/hyperlink" Target="https://www.gov.ie/en/department-of-agriculture-food-and-the-marine/press-releases/minister-heydon-announces-223-million-in-new-research-grants/" TargetMode="External"/><Relationship Id="rId576" Type="http://schemas.openxmlformats.org/officeDocument/2006/relationships/hyperlink" Target="https://techfundingnews.com/finnish-biotech-onego-bio-secures-e14m-to-scale-animal-free-egg-protein/" TargetMode="External"/><Relationship Id="rId577" Type="http://schemas.openxmlformats.org/officeDocument/2006/relationships/hyperlink" Target="https://vegconomist.com/company-news/meltmarble-e2-76m-eu-grants-market-launch-designer-fats-2025/?utm_medium=email&amp;utm_source=rasa_io&amp;utm_campaign=newsletter" TargetMode="External"/><Relationship Id="rId578" Type="http://schemas.openxmlformats.org/officeDocument/2006/relationships/hyperlink" Target="https://www.portalspozywczy.pl/mieso/wiadomosci/polska-spolka-na-technologie-wytwarzania-miesa-metoda-komorkowa-otrzymala-ponad-9-mln-zl-z-ncbr,261093.html" TargetMode="External"/><Relationship Id="rId579" Type="http://schemas.openxmlformats.org/officeDocument/2006/relationships/hyperlink" Target="https://www.ainia.com/proyectos-publicos/smartfarm/" TargetMode="External"/><Relationship Id="rId580" Type="http://schemas.openxmlformats.org/officeDocument/2006/relationships/hyperlink" Target="https://vegconomist.com/investments-finance/nandi-proteins-500000-egg-white-replacer-undesirable-ingredients/?utm_medium=email&amp;utm_source=rasa_io&amp;utm_campaign=newsletter" TargetMode="External"/><Relationship Id="rId581" Type="http://schemas.openxmlformats.org/officeDocument/2006/relationships/hyperlink" Target="https://cris.vtt.fi/en/projects/climate-smart-food-and-nutritition-research-infrastructure" TargetMode="External"/><Relationship Id="rId582" Type="http://schemas.openxmlformats.org/officeDocument/2006/relationships/hyperlink" Target="https://www.justfood.fi/en-US/About_the_project" TargetMode="External"/><Relationship Id="rId583" Type="http://schemas.openxmlformats.org/officeDocument/2006/relationships/hyperlink" Target="https://cordis.europa.eu/project/id/101112943/reporting" TargetMode="External"/><Relationship Id="rId584" Type="http://schemas.openxmlformats.org/officeDocument/2006/relationships/hyperlink" Target="https://www.valio.com/news/valio-is-launching-an-extensive-rdi-project-food-2-0-with-business-finlands-funding-to-develop-a-food-system-of-the-future/" TargetMode="External"/><Relationship Id="rId585" Type="http://schemas.openxmlformats.org/officeDocument/2006/relationships/hyperlink" Target="https://data.snf.ch/grants/grant/182725" TargetMode="External"/><Relationship Id="rId586" Type="http://schemas.openxmlformats.org/officeDocument/2006/relationships/hyperlink" Target="https://data.snf.ch/grants/grant/166764" TargetMode="External"/><Relationship Id="rId587" Type="http://schemas.openxmlformats.org/officeDocument/2006/relationships/hyperlink" Target="https://gtr.ukri.org/projects?ref=BB%2FY01278X%2F1" TargetMode="External"/><Relationship Id="rId588" Type="http://schemas.openxmlformats.org/officeDocument/2006/relationships/hyperlink" Target="https://gtr.ukri.org/projects?ref=10087894" TargetMode="External"/><Relationship Id="rId589" Type="http://schemas.openxmlformats.org/officeDocument/2006/relationships/hyperlink" Target="https://gtr.ukri.org/projects?ref=ES%2FZ503174%2F1" TargetMode="External"/><Relationship Id="rId590" Type="http://schemas.openxmlformats.org/officeDocument/2006/relationships/hyperlink" Target="https://gtr.ukri.org/projects?ref=studentship-2925518" TargetMode="External"/><Relationship Id="rId591" Type="http://schemas.openxmlformats.org/officeDocument/2006/relationships/hyperlink" Target="https://gtr.ukri.org/projects?ref=10126544" TargetMode="External"/><Relationship Id="rId592" Type="http://schemas.openxmlformats.org/officeDocument/2006/relationships/hyperlink" Target="https://gtr.ukri.org/projects?ref=10110181" TargetMode="External"/><Relationship Id="rId593" Type="http://schemas.openxmlformats.org/officeDocument/2006/relationships/hyperlink" Target="https://gtr.ukri.org/projects?ref=10107612" TargetMode="External"/><Relationship Id="rId594" Type="http://schemas.openxmlformats.org/officeDocument/2006/relationships/hyperlink" Target="https://gtr.ukri.org/projects?ref=10114832" TargetMode="External"/><Relationship Id="rId595" Type="http://schemas.openxmlformats.org/officeDocument/2006/relationships/hyperlink" Target="http://gtr.ukri.org/projects?ref=10064370" TargetMode="External"/><Relationship Id="rId596" Type="http://schemas.openxmlformats.org/officeDocument/2006/relationships/hyperlink" Target="https://gtr.ukri.org/projects?ref=10116412" TargetMode="External"/><Relationship Id="rId597" Type="http://schemas.openxmlformats.org/officeDocument/2006/relationships/hyperlink" Target="https://service.ble.de/ptdb/index2.php?detail_id=102854874&amp;ssk=PTDB-alles&amp;site_key=141&amp;sLfd=laufend&amp;lbm=1&amp;lbj=2024&amp;stichw=Alternative+Proteine&amp;zeilenzahl_zaehler=241" TargetMode="External"/><Relationship Id="rId598" Type="http://schemas.openxmlformats.org/officeDocument/2006/relationships/hyperlink" Target="https://service.ble.de/ptdb/index2.php?detail_id=114253832&amp;ssk=PTDB-alles&amp;site_key=141&amp;sLfd=laufend&amp;lbm=1&amp;lbj=2024&amp;stichw=Alternative+Proteine&amp;zeilenzahl_zaehler=241&amp;NextRow=20" TargetMode="External"/><Relationship Id="rId599" Type="http://schemas.openxmlformats.org/officeDocument/2006/relationships/hyperlink" Target="https://service.ble.de/ptdb/index2.php?detail_id=93964786&amp;ssk=PTDB-alles&amp;site_key=141&amp;sLfd=laufend&amp;lbm=1&amp;lbj=2024&amp;stichw=Alternative+Proteine&amp;zeilenzahl_zaehler=241&amp;NextRow=30" TargetMode="External"/><Relationship Id="rId600" Type="http://schemas.openxmlformats.org/officeDocument/2006/relationships/hyperlink" Target="https://service.ble.de/ptdb/index2.php?detail_id=119672759&amp;ssk=PTDB-alles&amp;site_key=141&amp;sLfd=laufend&amp;lbm=1&amp;lbj=2024&amp;stichw=Alternative+Proteine&amp;zeilenzahl_zaehler=241&amp;NextRow=30" TargetMode="External"/><Relationship Id="rId601" Type="http://schemas.openxmlformats.org/officeDocument/2006/relationships/hyperlink" Target="https://service.ble.de/ptdb/index2.php?detail_id=120014561&amp;ssk=PTDB-alles&amp;site_key=141&amp;sLfd=laufend&amp;lbm=1&amp;lbj=2024&amp;stichw=Alternative+Proteine&amp;zeilenzahl_zaehler=241&amp;NextRow=30" TargetMode="External"/><Relationship Id="rId602" Type="http://schemas.openxmlformats.org/officeDocument/2006/relationships/hyperlink" Target="https://service.ble.de/ptdb/index2.php?detail_id=97395452&amp;ssk=PTDB-alles&amp;site_key=141&amp;sLfd=laufend&amp;lbm=1&amp;lbj=2024&amp;stichw=Alternative+Proteine&amp;zeilenzahl_zaehler=241&amp;NextRow=90" TargetMode="External"/><Relationship Id="rId603" Type="http://schemas.openxmlformats.org/officeDocument/2006/relationships/hyperlink" Target="https://service.ble.de/ptdb/index2.php?detail_id=91379515&amp;ssk=PTDB-alles&amp;site_key=141&amp;stichw=Alternative+Proteine&amp;sLfd=laufend&amp;lbm=1&amp;lbj=2024&amp;zeilenzahl_zaehler=241&amp;NextRow=120" TargetMode="External"/><Relationship Id="rId604" Type="http://schemas.openxmlformats.org/officeDocument/2006/relationships/hyperlink" Target="https://service.ble.de/ptdb/index2.php?detail_id=113095757&amp;ssk=PTDB-alles&amp;site_key=141&amp;stichw=Alternative+Proteine&amp;sLfd=laufend&amp;lbm=1&amp;lbj=2024&amp;zeilenzahl_zaehler=241&amp;NextRow=130" TargetMode="External"/><Relationship Id="rId605" Type="http://schemas.openxmlformats.org/officeDocument/2006/relationships/hyperlink" Target="https://service.ble.de/ptdb/index2.php?detail_id=91861791&amp;ssk=PTDB-alles&amp;site_key=141&amp;stichw=Alternative+Proteine&amp;sLfd=laufend&amp;lbm=1&amp;lbj=2024&amp;zeilenzahl_zaehler=241&amp;NextRow=200" TargetMode="External"/><Relationship Id="rId606" Type="http://schemas.openxmlformats.org/officeDocument/2006/relationships/hyperlink" Target="https://service.ble.de/ptdb/index2.php?detail_id=91861771&amp;ssk=PTDB-alles&amp;site_key=141&amp;stichw=Alternative+Proteine&amp;sLfd=laufend&amp;lbm=1&amp;lbj=2024&amp;zeilenzahl_zaehler=241&amp;NextRow=110" TargetMode="External"/><Relationship Id="rId607" Type="http://schemas.openxmlformats.org/officeDocument/2006/relationships/hyperlink" Target="https://plantbasednews.org/news/economics/faerm-fermented-vegan-cheese/" TargetMode="External"/><Relationship Id="rId608" Type="http://schemas.openxmlformats.org/officeDocument/2006/relationships/hyperlink" Target="https://sifted.eu/articles/enifer-mycoprotein-raise-startup" TargetMode="External"/><Relationship Id="rId609" Type="http://schemas.openxmlformats.org/officeDocument/2006/relationships/hyperlink" Target="https://novonordiskfonden.dk/en/projects/bright/" TargetMode="External"/><Relationship Id="rId610" Type="http://schemas.openxmlformats.org/officeDocument/2006/relationships/hyperlink" Target="https://iuk-business-connect.org.uk/news/global-innovation-network-lead-customer-programme-projects-announced/" TargetMode="External"/><Relationship Id="rId611" Type="http://schemas.openxmlformats.org/officeDocument/2006/relationships/hyperlink" Target="https://iuk-business-connect.org.uk/news/global-innovation-network-lead-customer-programme-projects-announced/" TargetMode="External"/><Relationship Id="rId612" Type="http://schemas.openxmlformats.org/officeDocument/2006/relationships/hyperlink" Target="https://agrifoodture.com/projects/mycoflavor/" TargetMode="External"/><Relationship Id="rId613" Type="http://schemas.openxmlformats.org/officeDocument/2006/relationships/hyperlink" Target="https://food.ku.dk/english/news/2025/ai4naturalfood/?utm_source=www.foodtechweekly.com&amp;utm_medium=newsletter&amp;utm_campaign=foodtech-weekly-237-by-daniel-s-ruben" TargetMode="External"/><Relationship Id="rId614" Type="http://schemas.openxmlformats.org/officeDocument/2006/relationships/hyperlink" Target="https://www.aber.ac.uk/en/life-sciences/news/top-stories/title-267652-en.html" TargetMode="External"/><Relationship Id="rId615" Type="http://schemas.openxmlformats.org/officeDocument/2006/relationships/hyperlink" Target="https://research.birmingham.ac.uk/en/projects/integrated-risk-mapping-for-cultured-meat" TargetMode="External"/><Relationship Id="rId616" Type="http://schemas.openxmlformats.org/officeDocument/2006/relationships/hyperlink" Target="https://vegconomist.com/food-and-beverage/egg-alternatives/south-holland-invests-1-million-develop-plant-based-egg-alternative/?utm_medium=email&amp;utm_source=rasa_io&amp;utm_campaign=newsletter" TargetMode="External"/><Relationship Id="rId617" Type="http://schemas.openxmlformats.org/officeDocument/2006/relationships/hyperlink" Target="https://vegconomist.com/protein/solar-foods-advances-solein-new-funding-us-introduction-protein-bites/?utm_medium=email&amp;utm_source=rasa_io&amp;utm_campaign=newsletter" TargetMode="External"/><Relationship Id="rId618" Type="http://schemas.openxmlformats.org/officeDocument/2006/relationships/hyperlink" Target="https://tech.eu/2024/10/31/revo-foods-paleo-score-new-funding-for-imitation-vegan-salmon/" TargetMode="External"/><Relationship Id="rId619" Type="http://schemas.openxmlformats.org/officeDocument/2006/relationships/hyperlink" Target="https://www.linkedin.com/posts/those-vegan-cowboys-grassroots-bandits_vlaio-thosevegancowboys-duurzaamvoedsel-ugcPost-7231208720179830785-QAou" TargetMode="External"/><Relationship Id="rId620" Type="http://schemas.openxmlformats.org/officeDocument/2006/relationships/hyperlink" Target="https://www.meatable.com/releases-announcements/meatable-awarded-eur-7-6-million-rvo-innovation-credit/" TargetMode="External"/><Relationship Id="rId621" Type="http://schemas.openxmlformats.org/officeDocument/2006/relationships/hyperlink" Target="https://vegconomist.com/protein/finnish-alternative-protein-firms-secure-e10m-collaborative-rd-business-finland/" TargetMode="External"/><Relationship Id="rId622" Type="http://schemas.openxmlformats.org/officeDocument/2006/relationships/hyperlink" Target="https://vegconomist.com/protein/finnish-alternative-protein-firms-secure-e10m-collaborative-rd-business-finland/" TargetMode="External"/><Relationship Id="rId623" Type="http://schemas.openxmlformats.org/officeDocument/2006/relationships/hyperlink" Target="https://vegconomist.com/protein/pan-sweden-lantmannen-plant-based-protein-research/" TargetMode="External"/><Relationship Id="rId624" Type="http://schemas.openxmlformats.org/officeDocument/2006/relationships/hyperlink" Target="http://groenprojektbank.dk/" TargetMode="External"/><Relationship Id="rId625" Type="http://schemas.openxmlformats.org/officeDocument/2006/relationships/hyperlink" Target="https://groenprojektbank.dk/plantefonden/2024/plant-food-festival-2025-i-aarhus-og-koebenhavn" TargetMode="External"/><Relationship Id="rId626" Type="http://schemas.openxmlformats.org/officeDocument/2006/relationships/hyperlink" Target="http://groenprojektbank.dk/" TargetMode="External"/><Relationship Id="rId627" Type="http://schemas.openxmlformats.org/officeDocument/2006/relationships/hyperlink" Target="https://groenprojektbank.dk/plantefonden/2024/optimeret-holdbarhed-og-foedevaresikkerhed-af-plantebaserede-foedevarer-plantepredict" TargetMode="External"/><Relationship Id="rId628" Type="http://schemas.openxmlformats.org/officeDocument/2006/relationships/hyperlink" Target="http://groenprojektbank.dk/" TargetMode="External"/><Relationship Id="rId629" Type="http://schemas.openxmlformats.org/officeDocument/2006/relationships/hyperlink" Target="https://groenprojektbank.dk/plantefonden/2024/plate-the-effect-of-plant-based-diet-on-disease-activity-in-patients-with-rheumatoid-arthritis" TargetMode="External"/><Relationship Id="rId630" Type="http://schemas.openxmlformats.org/officeDocument/2006/relationships/hyperlink" Target="http://groenprojektbank.dk/" TargetMode="External"/><Relationship Id="rId631" Type="http://schemas.openxmlformats.org/officeDocument/2006/relationships/hyperlink" Target="https://groenprojektbank.dk/plantefonden/2024/mere-umami-med-baelgfrugter-umami-baelg" TargetMode="External"/><Relationship Id="rId632" Type="http://schemas.openxmlformats.org/officeDocument/2006/relationships/hyperlink" Target="http://groenprojektbank.dk/" TargetMode="External"/><Relationship Id="rId633" Type="http://schemas.openxmlformats.org/officeDocument/2006/relationships/hyperlink" Target="https://groenprojektbank.dk/plantefonden/2024/plantefermentater-for-bedre-holdbarhed-og-foedevaresikkerhed-af-salater-og-gryderetter-planteferm" TargetMode="External"/><Relationship Id="rId634" Type="http://schemas.openxmlformats.org/officeDocument/2006/relationships/hyperlink" Target="http://groenprojektbank.dk/" TargetMode="External"/><Relationship Id="rId635" Type="http://schemas.openxmlformats.org/officeDocument/2006/relationships/hyperlink" Target="https://groenprojektbank.dk/plantefonden/2024/rapeseeds-a-local-source-for-a-new-generation-of-food-products" TargetMode="External"/><Relationship Id="rId636" Type="http://schemas.openxmlformats.org/officeDocument/2006/relationships/hyperlink" Target="http://groenprojektbank.dk/" TargetMode="External"/><Relationship Id="rId637" Type="http://schemas.openxmlformats.org/officeDocument/2006/relationships/hyperlink" Target="https://groenprojektbank.dk/plantefonden/2024/craveable-fungi-futures" TargetMode="External"/><Relationship Id="rId638" Type="http://schemas.openxmlformats.org/officeDocument/2006/relationships/hyperlink" Target="http://groenprojektbank.dk/" TargetMode="External"/><Relationship Id="rId639" Type="http://schemas.openxmlformats.org/officeDocument/2006/relationships/hyperlink" Target="https://groenprojektbank.dk/plantefonden/2024/udviklingsforloeb-for-producenter-af-plantebaserede-foedevarer-plantevaekst" TargetMode="External"/><Relationship Id="rId640" Type="http://schemas.openxmlformats.org/officeDocument/2006/relationships/hyperlink" Target="http://groenprojektbank.dk/" TargetMode="External"/><Relationship Id="rId641" Type="http://schemas.openxmlformats.org/officeDocument/2006/relationships/hyperlink" Target="https://groenprojektbank.dk/plantefonden/2024/plantehub-10-sammen-er-vi-klogere" TargetMode="External"/><Relationship Id="rId642" Type="http://schemas.openxmlformats.org/officeDocument/2006/relationships/hyperlink" Target="http://groenprojektbank.dk/" TargetMode="External"/><Relationship Id="rId643" Type="http://schemas.openxmlformats.org/officeDocument/2006/relationships/hyperlink" Target="http://groenprojektbank.dk/" TargetMode="External"/><Relationship Id="rId644" Type="http://schemas.openxmlformats.org/officeDocument/2006/relationships/hyperlink" Target="https://groenprojektbank.dk/plantefonden/2024/lupiner-de-nye-baelgfrugter-i-klassen" TargetMode="External"/><Relationship Id="rId645" Type="http://schemas.openxmlformats.org/officeDocument/2006/relationships/hyperlink" Target="http://groenprojektbank.dk/" TargetMode="External"/><Relationship Id="rId646" Type="http://schemas.openxmlformats.org/officeDocument/2006/relationships/hyperlink" Target="https://groenprojektbank.dk/plantefonden/2024/fremtidens-supermarked" TargetMode="External"/><Relationship Id="rId647" Type="http://schemas.openxmlformats.org/officeDocument/2006/relationships/hyperlink" Target="http://groenprojektbank.dk/" TargetMode="External"/><Relationship Id="rId648" Type="http://schemas.openxmlformats.org/officeDocument/2006/relationships/hyperlink" Target="https://groenprojektbank.dk/plantefonden/2023/transforming-plant-based-protein-with-protein-rich-microorganisms" TargetMode="External"/><Relationship Id="rId649" Type="http://schemas.openxmlformats.org/officeDocument/2006/relationships/hyperlink" Target="http://groenprojektbank.dk/" TargetMode="External"/><Relationship Id="rId650" Type="http://schemas.openxmlformats.org/officeDocument/2006/relationships/hyperlink" Target="https://groenprojektbank.dk/gudp/2022/animal-free-protein-fermentation-produced-milk-protein" TargetMode="External"/><Relationship Id="rId651" Type="http://schemas.openxmlformats.org/officeDocument/2006/relationships/hyperlink" Target="http://groenprojektbank.dk/" TargetMode="External"/><Relationship Id="rId652" Type="http://schemas.openxmlformats.org/officeDocument/2006/relationships/hyperlink" Target="https://groenprojektbank.dk/gudp/2020/ferblend-fermentation-induced-valorization-of-side-stream-blends-from-oilseed-and-dairy-industry" TargetMode="External"/><Relationship Id="rId653" Type="http://schemas.openxmlformats.org/officeDocument/2006/relationships/hyperlink" Target="http://groenprojektbank.dk/" TargetMode="External"/><Relationship Id="rId654" Type="http://schemas.openxmlformats.org/officeDocument/2006/relationships/hyperlink" Target="https://groenprojektbank.dk/gudp/2024/continuous-fermentation-of-milk-protein-contimilk" TargetMode="External"/><Relationship Id="rId655" Type="http://schemas.openxmlformats.org/officeDocument/2006/relationships/hyperlink" Target="http://groenprojektbank.dk/" TargetMode="External"/><Relationship Id="rId656" Type="http://schemas.openxmlformats.org/officeDocument/2006/relationships/hyperlink" Target="https://groenprojektbank.dk/plantefonden/2023/the-potential-of-different-oat-varieties-for-oat-drink-poatential" TargetMode="External"/><Relationship Id="rId657" Type="http://schemas.openxmlformats.org/officeDocument/2006/relationships/hyperlink" Target="http://groenprojektbank.dk/" TargetMode="External"/><Relationship Id="rId658" Type="http://schemas.openxmlformats.org/officeDocument/2006/relationships/hyperlink" Target="https://groenprojektbank.dk/plantefonden/2023/futuredairy-non-animal-dairy-favorites-danbo-cheese-and-natural-yogurt" TargetMode="External"/><Relationship Id="rId659" Type="http://schemas.openxmlformats.org/officeDocument/2006/relationships/hyperlink" Target="https://prosjektbanken.forskningsradet.no/" TargetMode="External"/><Relationship Id="rId660" Type="http://schemas.openxmlformats.org/officeDocument/2006/relationships/hyperlink" Target="https://prosjektbanken.forskningsradet.no/en/project/FORISS/353521?Kilde=FORISS&amp;distribution=Ar&amp;chart=bar&amp;calcType=funding&amp;Sprak=no&amp;sortBy=score&amp;sortOrder=desc&amp;resultCount=30&amp;offset=0&amp;source=FORISS&amp;projectId=325452&amp;Fritekst=fermentation&amp;Ar=2024&amp;Ar=2023&amp;Ar=2025&amp;Ar=2022&amp;Ar=2021&amp;Ar=2020" TargetMode="External"/><Relationship Id="rId661" Type="http://schemas.openxmlformats.org/officeDocument/2006/relationships/hyperlink" Target="https://prosjektbanken.forskningsradet.no/" TargetMode="External"/><Relationship Id="rId662" Type="http://schemas.openxmlformats.org/officeDocument/2006/relationships/hyperlink" Target="https://prosjektbanken.forskningsradet.no/en/project/FORISS/329128?Kilde=FORISS&amp;distribution=Ar&amp;chart=bar&amp;calcType=funding&amp;Sprak=no&amp;sortBy=score&amp;sortOrder=desc&amp;resultCount=30&amp;offset=0&amp;source=FORISS&amp;projectId=325452&amp;Fritekst=fermentation&amp;Ar=2024&amp;Ar=2023&amp;Ar=2025&amp;Ar=2022&amp;Ar=2021&amp;Ar=2020" TargetMode="External"/><Relationship Id="rId663" Type="http://schemas.openxmlformats.org/officeDocument/2006/relationships/hyperlink" Target="https://prosjektbanken.forskningsradet.no/" TargetMode="External"/><Relationship Id="rId664" Type="http://schemas.openxmlformats.org/officeDocument/2006/relationships/hyperlink" Target="https://prosjektbanken.forskningsradet.no/en/project/FORISS/270048?Kilde=FORISS&amp;distribution=Ar&amp;chart=bar&amp;calcType=funding&amp;Sprak=no&amp;sortBy=score&amp;sortOrder=desc&amp;resultCount=30&amp;offset=0&amp;source=FORISS&amp;projectId=325452&amp;Fritekst=fermentation" TargetMode="External"/><Relationship Id="rId665" Type="http://schemas.openxmlformats.org/officeDocument/2006/relationships/hyperlink" Target="https://prosjektbanken.forskningsradet.no/" TargetMode="External"/><Relationship Id="rId666" Type="http://schemas.openxmlformats.org/officeDocument/2006/relationships/hyperlink" Target="https://prosjektbanken.forskningsradet.no/en/project/FORISS/331901?Kilde=FORISS&amp;distribution=Ar&amp;chart=bar&amp;calcType=funding&amp;Sprak=no&amp;sortBy=score&amp;sortOrder=desc&amp;resultCount=30&amp;offset=0&amp;source=FORISS&amp;projectId=270048&amp;Fritekst=fermentation&amp;Ar=2025&amp;Ar=2024&amp;Ar=2023&amp;Ar=2022&amp;Ar=2021&amp;Ar=2020" TargetMode="External"/><Relationship Id="rId667" Type="http://schemas.openxmlformats.org/officeDocument/2006/relationships/hyperlink" Target="https://prosjektbanken.forskningsradet.no/" TargetMode="External"/><Relationship Id="rId668" Type="http://schemas.openxmlformats.org/officeDocument/2006/relationships/hyperlink" Target="https://prosjektbanken.forskningsradet.no/en/project/FORISS/305215?Kilde=FORISS&amp;distribution=Ar&amp;chart=bar&amp;calcType=funding&amp;Sprak=no&amp;sortBy=score&amp;sortOrder=desc&amp;resultCount=30&amp;offset=0&amp;source=FORISS&amp;projectId=270048&amp;Fritekst=fermentation&amp;Ar=2025&amp;Ar=2024&amp;Ar=2023&amp;Ar=2022&amp;Ar=2021&amp;Ar=2020" TargetMode="External"/><Relationship Id="rId669" Type="http://schemas.openxmlformats.org/officeDocument/2006/relationships/hyperlink" Target="https://prosjektbanken.forskningsradet.no/" TargetMode="External"/><Relationship Id="rId670" Type="http://schemas.openxmlformats.org/officeDocument/2006/relationships/hyperlink" Target="https://prosjektbanken.forskningsradet.no/en/project/FORISS/355478?Kilde=FORISS&amp;distribution=Ar&amp;chart=bar&amp;calcType=funding&amp;Sprak=no&amp;sortBy=score&amp;sortOrder=desc&amp;resultCount=30&amp;offset=0&amp;source=FORISS&amp;projectId=270048&amp;Fritekst=fermentation&amp;Ar=2025&amp;Ar=2024&amp;Ar=2023&amp;Ar=2022&amp;Ar=2021&amp;Ar=2020" TargetMode="External"/><Relationship Id="rId671" Type="http://schemas.openxmlformats.org/officeDocument/2006/relationships/hyperlink" Target="https://prosjektbanken.forskningsradet.no/en/explore/statistics?Organisasjon.3=SIFOTEK+AS&amp;Kilde=FORISS&amp;offset=0" TargetMode="External"/><Relationship Id="rId672" Type="http://schemas.openxmlformats.org/officeDocument/2006/relationships/hyperlink" Target="https://prosjektbanken.forskningsradet.no/" TargetMode="External"/><Relationship Id="rId673" Type="http://schemas.openxmlformats.org/officeDocument/2006/relationships/hyperlink" Target="https://prosjektbanken.forskningsradet.no/en/project/FORISS/353591?Kilde=FORISS&amp;distribution=Ar&amp;chart=bar&amp;calcType=funding&amp;Sprak=no&amp;sortBy=score&amp;sortOrder=desc&amp;resultCount=30&amp;offset=0&amp;source=FORISS&amp;projectId=270048&amp;Fritekst=fermentation&amp;Ar=2025&amp;Ar=2024&amp;Ar=2023&amp;Ar=2022&amp;Ar=2021&amp;Ar=2020" TargetMode="External"/><Relationship Id="rId674" Type="http://schemas.openxmlformats.org/officeDocument/2006/relationships/hyperlink" Target="https://prosjektbanken.forskningsradet.no/en/explore/statistics?Organisasjon.3=SIFOTEK+AS&amp;Kilde=FORISS&amp;offset=0" TargetMode="External"/><Relationship Id="rId675" Type="http://schemas.openxmlformats.org/officeDocument/2006/relationships/hyperlink" Target="https://prosjektbanken.forskningsradet.no/" TargetMode="External"/><Relationship Id="rId676" Type="http://schemas.openxmlformats.org/officeDocument/2006/relationships/hyperlink" Target="https://prosjektbanken.forskningsradet.no/en/project/FORISS/284381?Kilde=FORISS&amp;distribution=Ar&amp;chart=bar&amp;calcType=funding&amp;Sprak=no&amp;sortBy=score&amp;sortOrder=desc&amp;resultCount=30&amp;offset=0&amp;source=FORISS&amp;projectId=270048&amp;Fritekst=fermentation&amp;Ar=2025&amp;Ar=2024&amp;Ar=2023&amp;Ar=2022&amp;Ar=2021&amp;Ar=2020" TargetMode="External"/><Relationship Id="rId677" Type="http://schemas.openxmlformats.org/officeDocument/2006/relationships/hyperlink" Target="https://prosjektbanken.forskningsradet.no/" TargetMode="External"/><Relationship Id="rId678" Type="http://schemas.openxmlformats.org/officeDocument/2006/relationships/hyperlink" Target="https://prosjektbanken.forskningsradet.no/en/project/FORISS/317645?Kilde=FORISS&amp;distribution=Ar&amp;chart=bar&amp;calcType=funding&amp;Sprak=no&amp;sortBy=score&amp;sortOrder=desc&amp;resultCount=30&amp;offset=0&amp;source=FORISS&amp;projectId=270048&amp;Fritekst=fermentation&amp;Ar=2025&amp;Ar=2024&amp;Ar=2023&amp;Ar=2022&amp;Ar=2021&amp;Ar=2020" TargetMode="External"/><Relationship Id="rId679" Type="http://schemas.openxmlformats.org/officeDocument/2006/relationships/hyperlink" Target="https://prosjektbanken.forskningsradet.no/en/explore/statistics?Organisasjon.4=SEAWEED+SOLUTIONS+AS&amp;Kilde=FORISS&amp;offset=0" TargetMode="External"/><Relationship Id="rId680" Type="http://schemas.openxmlformats.org/officeDocument/2006/relationships/hyperlink" Target="https://prosjektbanken.forskningsradet.no/" TargetMode="External"/><Relationship Id="rId681" Type="http://schemas.openxmlformats.org/officeDocument/2006/relationships/hyperlink" Target="https://prosjektbanken.forskningsradet.no/en/project/FORISS/309558?Kilde=FORISS&amp;distribution=Ar&amp;chart=bar&amp;calcType=funding&amp;Sprak=no&amp;sortBy=score&amp;sortOrder=desc&amp;resultCount=30&amp;offset=0&amp;source=FORISS&amp;projectId=270048&amp;Fritekst=fermentation&amp;Ar=2025&amp;Ar=2024&amp;Ar=2023&amp;Ar=2022&amp;Ar=2021&amp;Ar=2020" TargetMode="External"/><Relationship Id="rId682" Type="http://schemas.openxmlformats.org/officeDocument/2006/relationships/hyperlink" Target="https://prosjektbanken.forskningsradet.no/en/explore/statistics?Organisasjon.3=SINTEF+AS&amp;Kilde=FORISS&amp;offset=0" TargetMode="External"/><Relationship Id="rId683" Type="http://schemas.openxmlformats.org/officeDocument/2006/relationships/hyperlink" Target="https://prosjektbanken.forskningsradet.no/" TargetMode="External"/><Relationship Id="rId684" Type="http://schemas.openxmlformats.org/officeDocument/2006/relationships/hyperlink" Target="https://prosjektbanken.forskningsradet.no/en/project/FORISS/326803?Kilde=FORISS&amp;distribution=Ar&amp;chart=bar&amp;calcType=funding&amp;Sprak=no&amp;sortBy=score&amp;sortOrder=desc&amp;resultCount=30&amp;offset=30&amp;source=FORISS&amp;projectId=270048&amp;Fritekst=fermentation&amp;Ar=2025&amp;Ar=2024&amp;Ar=2023&amp;Ar=2022&amp;Ar=2021&amp;Ar=2020" TargetMode="External"/><Relationship Id="rId685" Type="http://schemas.openxmlformats.org/officeDocument/2006/relationships/hyperlink" Target="https://prosjektbanken.forskningsradet.no/en/explore/statistics?Organisasjon.3=M&#216;REFORSKING+AS&amp;Kilde=FORISS&amp;offset=0" TargetMode="External"/><Relationship Id="rId686" Type="http://schemas.openxmlformats.org/officeDocument/2006/relationships/hyperlink" Target="https://prosjektbanken.forskningsradet.no/" TargetMode="External"/><Relationship Id="rId687" Type="http://schemas.openxmlformats.org/officeDocument/2006/relationships/hyperlink" Target="https://prosjektbanken.forskningsradet.no/en/project/FORISS/301834?Kilde=FORISS&amp;distribution=Ar&amp;chart=bar&amp;calcType=funding&amp;Sprak=no&amp;sortBy=score&amp;sortOrder=desc&amp;resultCount=30&amp;offset=30&amp;source=FORISS&amp;projectId=270048&amp;Fritekst=fermentation&amp;Ar=2025&amp;Ar=2024&amp;Ar=2023&amp;Ar=2022&amp;Ar=2021&amp;Ar=2020" TargetMode="External"/><Relationship Id="rId688" Type="http://schemas.openxmlformats.org/officeDocument/2006/relationships/hyperlink" Target="https://prosjektbanken.forskningsradet.no/" TargetMode="External"/><Relationship Id="rId689" Type="http://schemas.openxmlformats.org/officeDocument/2006/relationships/hyperlink" Target="https://prosjektbanken.forskningsradet.no/en/project/FORISS/353505?Kilde=FORISS&amp;distribution=Ar&amp;chart=bar&amp;calcType=funding&amp;Sprak=no&amp;sortBy=score&amp;sortOrder=desc&amp;resultCount=30&amp;offset=0&amp;source=FORISS&amp;projectId=270048&amp;Fritekst=cultivated+meat&amp;Ar=2025&amp;Ar=2024&amp;Ar=2023&amp;Ar=2022&amp;Ar=2021&amp;Ar=2020" TargetMode="External"/><Relationship Id="rId690" Type="http://schemas.openxmlformats.org/officeDocument/2006/relationships/hyperlink" Target="https://prosjektbanken.forskningsradet.no/" TargetMode="External"/><Relationship Id="rId691" Type="http://schemas.openxmlformats.org/officeDocument/2006/relationships/hyperlink" Target="https://prosjektbanken.forskningsradet.no/en/project/FORISS/294777?Kilde=FORISS&amp;distribution=Ar&amp;chart=bar&amp;calcType=funding&amp;Sprak=no&amp;sortBy=score&amp;sortOrder=desc&amp;resultCount=30&amp;offset=0&amp;source=FORISS&amp;projectId=270048&amp;Fritekst=cultivated+meat&amp;Ar=2025&amp;Ar=2024&amp;Ar=2023&amp;Ar=2022&amp;Ar=2021&amp;Ar=2020" TargetMode="External"/><Relationship Id="rId692" Type="http://schemas.openxmlformats.org/officeDocument/2006/relationships/hyperlink" Target="https://prosjektbanken.forskningsradet.no/" TargetMode="External"/><Relationship Id="rId693" Type="http://schemas.openxmlformats.org/officeDocument/2006/relationships/hyperlink" Target="https://prosjektbanken.forskningsradet.no/en/project/FORISS/323888?Kilde=FORISS&amp;distribution=Ar&amp;chart=bar&amp;calcType=funding&amp;Sprak=no&amp;sortBy=score&amp;sortOrder=desc&amp;resultCount=30&amp;offset=0&amp;source=FORISS&amp;projectId=270048&amp;Fritekst=cultivated+meat&amp;Ar=2025&amp;Ar=2024&amp;Ar=2023&amp;Ar=2022&amp;Ar=2021&amp;Ar=2020" TargetMode="External"/><Relationship Id="rId694" Type="http://schemas.openxmlformats.org/officeDocument/2006/relationships/hyperlink" Target="https://prosjektbanken.forskningsradet.no/en/explore/statistics?Organisasjon.3=CORRELATE+AS&amp;Kilde=FORISS&amp;offset=0" TargetMode="External"/><Relationship Id="rId695" Type="http://schemas.openxmlformats.org/officeDocument/2006/relationships/hyperlink" Target="https://prosjektbanken.forskningsradet.no/" TargetMode="External"/><Relationship Id="rId696" Type="http://schemas.openxmlformats.org/officeDocument/2006/relationships/hyperlink" Target="https://prosjektbanken.forskningsradet.no/en/project/FORISS/269432?Kilde=FORISS&amp;distribution=Ar&amp;chart=bar&amp;calcType=funding&amp;Sprak=no&amp;sortBy=score&amp;sortOrder=desc&amp;resultCount=30&amp;offset=60&amp;source=FORISS&amp;projectId=270048&amp;Fritekst=cultivated+meat&amp;Ar=2025&amp;Ar=2024&amp;Ar=2023&amp;Ar=2022&amp;Ar=2021&amp;Ar=2020" TargetMode="External"/><Relationship Id="rId697" Type="http://schemas.openxmlformats.org/officeDocument/2006/relationships/hyperlink" Target="https://prosjektbanken.forskningsradet.no/" TargetMode="External"/><Relationship Id="rId698" Type="http://schemas.openxmlformats.org/officeDocument/2006/relationships/hyperlink" Target="https://prosjektbanken.forskningsradet.no/en/project/FORISS/314318?Kilde=FORISS&amp;distribution=Ar&amp;chart=bar&amp;calcType=funding&amp;Sprak=no&amp;sortBy=score&amp;sortOrder=desc&amp;resultCount=30&amp;offset=60&amp;source=FORISS&amp;projectId=270048&amp;Fritekst=cultivated+meat&amp;Ar=2025&amp;Ar=2024&amp;Ar=2023&amp;Ar=2022&amp;Ar=2021&amp;Ar=2020" TargetMode="External"/><Relationship Id="rId699" Type="http://schemas.openxmlformats.org/officeDocument/2006/relationships/hyperlink" Target="https://prosjektbanken.forskningsradet.no/" TargetMode="External"/><Relationship Id="rId700" Type="http://schemas.openxmlformats.org/officeDocument/2006/relationships/hyperlink" Target="https://prosjektbanken.forskningsradet.no/en/project/FORISS/352089?Kilde=FORISS&amp;distribution=Ar&amp;chart=bar&amp;calcType=funding&amp;Sprak=no&amp;sortBy=score&amp;sortOrder=desc&amp;resultCount=30&amp;offset=0&amp;source=FORISS&amp;projectId=270048&amp;Fritekst=plant-based&amp;Ar=2025&amp;Ar=2024&amp;Ar=2023&amp;Ar=2022&amp;Ar=2021&amp;Ar=2020" TargetMode="External"/><Relationship Id="rId701" Type="http://schemas.openxmlformats.org/officeDocument/2006/relationships/hyperlink" Target="https://prosjektbanken.forskningsradet.no/" TargetMode="External"/><Relationship Id="rId702" Type="http://schemas.openxmlformats.org/officeDocument/2006/relationships/hyperlink" Target="https://prosjektbanken.forskningsradet.no/en/project/FORISS/354183?Kilde=FORISS&amp;distribution=Ar&amp;chart=bar&amp;calcType=funding&amp;Sprak=no&amp;sortBy=score&amp;sortOrder=desc&amp;resultCount=30&amp;offset=0&amp;source=FORISS&amp;projectId=270048&amp;Fritekst=plant-based&amp;Ar=2025&amp;Ar=2024&amp;Ar=2023&amp;Ar=2022&amp;Ar=2021&amp;Ar=2020" TargetMode="External"/><Relationship Id="rId703" Type="http://schemas.openxmlformats.org/officeDocument/2006/relationships/hyperlink" Target="https://www.bezosearthfund.org/news-and-insights/bezos-center-for-sustainable-protein-launches-at-imperial-with-30m-funding" TargetMode="External"/><Relationship Id="rId704" Type="http://schemas.openxmlformats.org/officeDocument/2006/relationships/hyperlink" Target="https://vegconomist.com/cultivated-cell-cultured-biotechnology/3d-technology/revo-foods-mycorena-3d-printable-mycoprotein/" TargetMode="External"/><Relationship Id="rId705" Type="http://schemas.openxmlformats.org/officeDocument/2006/relationships/hyperlink" Target="https://gfi.org/researchgrants/" TargetMode="External"/><Relationship Id="rId706" Type="http://schemas.openxmlformats.org/officeDocument/2006/relationships/hyperlink" Target="https://gfi.org/researchgrants/" TargetMode="External"/><Relationship Id="rId707" Type="http://schemas.openxmlformats.org/officeDocument/2006/relationships/hyperlink" Target="https://gfi.org/researchgrants/" TargetMode="External"/><Relationship Id="rId708" Type="http://schemas.openxmlformats.org/officeDocument/2006/relationships/hyperlink" Target="https://gfi.org/researchgrants/" TargetMode="External"/><Relationship Id="rId709" Type="http://schemas.openxmlformats.org/officeDocument/2006/relationships/hyperlink" Target="https://uploads.mwp.mprod.getusinfo.com/uploads/sites/77/2022/04/Alumni-NOFO-FY2021-PAS-Belgrade.pdf" TargetMode="External"/><Relationship Id="rId710" Type="http://schemas.openxmlformats.org/officeDocument/2006/relationships/hyperlink" Target="https://gfi.org/researchgrants/" TargetMode="External"/><Relationship Id="rId711" Type="http://schemas.openxmlformats.org/officeDocument/2006/relationships/hyperlink" Target="https://gfi.org/researchgrants/" TargetMode="External"/><Relationship Id="rId712" Type="http://schemas.openxmlformats.org/officeDocument/2006/relationships/hyperlink" Target="https://gfi.org/researchgrants/" TargetMode="External"/><Relationship Id="rId713" Type="http://schemas.openxmlformats.org/officeDocument/2006/relationships/hyperlink" Target="https://gfi.org/researchgrants/" TargetMode="External"/><Relationship Id="rId714" Type="http://schemas.openxmlformats.org/officeDocument/2006/relationships/hyperlink" Target="https://gfi.org/researchgrants/" TargetMode="External"/><Relationship Id="rId715" Type="http://schemas.openxmlformats.org/officeDocument/2006/relationships/hyperlink" Target="https://gfi.org/researchgrants/" TargetMode="External"/><Relationship Id="rId716" Type="http://schemas.openxmlformats.org/officeDocument/2006/relationships/hyperlink" Target="https://gfi.org/researchgrants/" TargetMode="External"/><Relationship Id="rId717" Type="http://schemas.openxmlformats.org/officeDocument/2006/relationships/hyperlink" Target="https://gfi.org/researchgrants/" TargetMode="External"/><Relationship Id="rId718" Type="http://schemas.openxmlformats.org/officeDocument/2006/relationships/hyperlink" Target="https://gfi.org/researchgrants/" TargetMode="External"/><Relationship Id="rId719" Type="http://schemas.openxmlformats.org/officeDocument/2006/relationships/hyperlink" Target="https://gfi.org/researchgrants/" TargetMode="External"/><Relationship Id="rId720" Type="http://schemas.openxmlformats.org/officeDocument/2006/relationships/hyperlink" Target="https://gfi.org/researchgrants/" TargetMode="External"/><Relationship Id="rId721" Type="http://schemas.openxmlformats.org/officeDocument/2006/relationships/hyperlink" Target="https://gfi.org/researchgrants/" TargetMode="External"/><Relationship Id="rId722" Type="http://schemas.openxmlformats.org/officeDocument/2006/relationships/hyperlink" Target="https://gfi.org/researchgrants/" TargetMode="External"/><Relationship Id="rId723" Type="http://schemas.openxmlformats.org/officeDocument/2006/relationships/hyperlink" Target="https://gfi.org/researchgrants/" TargetMode="External"/><Relationship Id="rId724" Type="http://schemas.openxmlformats.org/officeDocument/2006/relationships/hyperlink" Target="https://gfi.org/researchgrants/" TargetMode="External"/><Relationship Id="rId725" Type="http://schemas.openxmlformats.org/officeDocument/2006/relationships/hyperlink" Target="https://gfi.org/researchgrants/" TargetMode="External"/><Relationship Id="rId726" Type="http://schemas.openxmlformats.org/officeDocument/2006/relationships/hyperlink" Target="https://gfi.org/researchgrants/" TargetMode="External"/><Relationship Id="rId727" Type="http://schemas.openxmlformats.org/officeDocument/2006/relationships/hyperlink" Target="https://gfi.org/researchgrants/" TargetMode="External"/><Relationship Id="rId728" Type="http://schemas.openxmlformats.org/officeDocument/2006/relationships/hyperlink" Target="https://gfi.org/researchgrants/" TargetMode="External"/><Relationship Id="rId729" Type="http://schemas.openxmlformats.org/officeDocument/2006/relationships/hyperlink" Target="https://new-harvest.org/research-projects/building-vessels/" TargetMode="External"/><Relationship Id="rId730" Type="http://schemas.openxmlformats.org/officeDocument/2006/relationships/hyperlink" Target="https://new-harvest.org/research-projects/scalable-bioreactors/" TargetMode="External"/><Relationship Id="rId731" Type="http://schemas.openxmlformats.org/officeDocument/2006/relationships/hyperlink" Target="https://new-harvest.org/research-projects/curved-culture-surfaces/" TargetMode="External"/><Relationship Id="rId732" Type="http://schemas.openxmlformats.org/officeDocument/2006/relationships/hyperlink" Target="https://new-harvest.org/research-projects/3d-printing-cultured-meat/" TargetMode="External"/><Relationship Id="rId733" Type="http://schemas.openxmlformats.org/officeDocument/2006/relationships/hyperlink" Target="https://new-harvest.org/research-projects/sustainability-cultured-meat/" TargetMode="External"/><Relationship Id="rId734" Type="http://schemas.openxmlformats.org/officeDocument/2006/relationships/hyperlink" Target="https://new-harvest.org/research-projects/crowded-culture/" TargetMode="External"/><Relationship Id="rId735" Type="http://schemas.openxmlformats.org/officeDocument/2006/relationships/hyperlink" Target="https://new-harvest.org/research-projects/cultured-mollusks/" TargetMode="External"/><Relationship Id="rId736" Type="http://schemas.openxmlformats.org/officeDocument/2006/relationships/hyperlink" Target="https://new-harvest.org/research-projects/continuous-bioprocessing/" TargetMode="External"/><Relationship Id="rId737" Type="http://schemas.openxmlformats.org/officeDocument/2006/relationships/hyperlink" Target="https://new-harvest.org/research-projects/bioreactor-and-media-interaction/" TargetMode="External"/><Relationship Id="rId738" Type="http://schemas.openxmlformats.org/officeDocument/2006/relationships/hyperlink" Target="https://new-harvest.org/research-projects/pattern-formation/" TargetMode="External"/><Relationship Id="rId739" Type="http://schemas.openxmlformats.org/officeDocument/2006/relationships/hyperlink" Target="https://web.archive.org/web/20201125103739/https://www.new-harvest.org/past_research_projects" TargetMode="External"/><Relationship Id="rId740" Type="http://schemas.openxmlformats.org/officeDocument/2006/relationships/hyperlink" Target="https://web.archive.org/web/20201125103739/https://www.new-harvest.org/past_research_projects" TargetMode="External"/><Relationship Id="rId741" Type="http://schemas.openxmlformats.org/officeDocument/2006/relationships/hyperlink" Target="https://experiment.com/projects/mapping-the-potential-for-uk-universities-to-become-research-and-teaching-hubs-for-cellular-agriculture?mc_cid=2abef4f850&amp;mc_eid=702607fe99" TargetMode="External"/><Relationship Id="rId742" Type="http://schemas.openxmlformats.org/officeDocument/2006/relationships/hyperlink" Target="https://experiment.com/projects/can-immune-cells-prevent-3d-printed-blood-vessels-from-falling-apart?mc_cid=327f1a8f2b&amp;mc_eid=702607fe99" TargetMode="External"/><Relationship Id="rId743" Type="http://schemas.openxmlformats.org/officeDocument/2006/relationships/hyperlink" Target="https://www.bezosearthfund.org/news-and-insights/phase-i-grants-ai-grand-challenge-climate-nature" TargetMode="External"/><Relationship Id="rId744" Type="http://schemas.openxmlformats.org/officeDocument/2006/relationships/hyperlink" Target="https://www.bezosearthfund.org/news-and-insights/phase-i-grants-ai-grand-challenge-climate-nature" TargetMode="External"/><Relationship Id="rId745" Type="http://schemas.openxmlformats.org/officeDocument/2006/relationships/hyperlink" Target="https://www.bezosearthfund.org/news-and-insights/phase-i-grants-ai-grand-challenge-climate-nature" TargetMode="External"/><Relationship Id="rId746" Type="http://schemas.openxmlformats.org/officeDocument/2006/relationships/hyperlink" Target="https://www.bezosearthfund.org/news-and-insights/phase-i-grants-ai-grand-challenge-climate-nature" TargetMode="External"/><Relationship Id="rId747" Type="http://schemas.openxmlformats.org/officeDocument/2006/relationships/hyperlink" Target="https://www.vinnova.se/en/p/food--biotech-heights/" TargetMode="External"/><Relationship Id="rId748" Type="http://schemas.openxmlformats.org/officeDocument/2006/relationships/hyperlink" Target="https://www.proteinproductiontechnology.com/post/biotech-heights-secures-continued-funding-to-drive-fermentation-led-food-innovation" TargetMode="External"/><Relationship Id="rId749" Type="http://schemas.openxmlformats.org/officeDocument/2006/relationships/hyperlink" Target="https://proveg.org/article/backing-the-future-of-food-polands-ncbr-on-funding-alt-protein-rd/" TargetMode="External"/><Relationship Id="rId750"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K1904"/>
  <sheetViews>
    <sheetView showFormulas="false" showGridLines="true" showRowColHeaders="true" showZeros="true" rightToLeft="false" tabSelected="true" showOutlineSymbols="true" defaultGridColor="true" view="normal" topLeftCell="CU1" colorId="64" zoomScale="100" zoomScaleNormal="100" zoomScalePageLayoutView="100" workbookViewId="0">
      <pane xSplit="0" ySplit="1" topLeftCell="A2" activePane="bottomLeft" state="frozen"/>
      <selection pane="topLeft" activeCell="CU1" activeCellId="0" sqref="CU1"/>
      <selection pane="bottomLeft" activeCell="BL2" activeCellId="0" sqref="BL2"/>
    </sheetView>
  </sheetViews>
  <sheetFormatPr defaultColWidth="12.6328125" defaultRowHeight="15.75" customHeight="true" zeroHeight="false" outlineLevelRow="0" outlineLevelCol="0"/>
  <cols>
    <col collapsed="false" customWidth="true" hidden="false" outlineLevel="0" max="1" min="1" style="0" width="32.25"/>
    <col collapsed="false" customWidth="true" hidden="false" outlineLevel="0" max="35" min="35" style="0" width="15.63"/>
    <col collapsed="false" customWidth="true" hidden="false" outlineLevel="0" max="39" min="39" style="0" width="30.38"/>
    <col collapsed="false" customWidth="true" hidden="false" outlineLevel="0" max="48" min="47" style="0" width="7.38"/>
    <col collapsed="false" customWidth="true" hidden="false" outlineLevel="0" max="56" min="56" style="0" width="27.13"/>
    <col collapsed="false" customWidth="true" hidden="false" outlineLevel="0" max="16384" min="16338" style="0" width="11.53"/>
  </cols>
  <sheetData>
    <row r="1" customFormat="false" ht="16.5" hidden="false" customHeight="true" outlineLevel="0" collapsed="false">
      <c r="A1" s="1" t="s">
        <v>0</v>
      </c>
      <c r="B1" s="1" t="s">
        <v>1</v>
      </c>
      <c r="C1" s="1" t="s">
        <v>2</v>
      </c>
      <c r="D1" s="1" t="s">
        <v>3</v>
      </c>
      <c r="E1" s="1" t="s">
        <v>4</v>
      </c>
      <c r="F1" s="1" t="s">
        <v>5</v>
      </c>
      <c r="G1" s="1" t="s">
        <v>6</v>
      </c>
      <c r="H1" s="1" t="s">
        <v>7</v>
      </c>
      <c r="I1" s="1" t="s">
        <v>8</v>
      </c>
      <c r="J1" s="2" t="s">
        <v>9</v>
      </c>
      <c r="K1" s="2" t="s">
        <v>10</v>
      </c>
      <c r="L1" s="1" t="s">
        <v>11</v>
      </c>
      <c r="M1" s="3" t="s">
        <v>12</v>
      </c>
      <c r="N1" s="1" t="s">
        <v>13</v>
      </c>
      <c r="O1" s="1" t="s">
        <v>14</v>
      </c>
      <c r="P1" s="3"/>
      <c r="Q1" s="3"/>
      <c r="R1" s="3" t="s">
        <v>15</v>
      </c>
      <c r="S1" s="3" t="s">
        <v>16</v>
      </c>
      <c r="T1" s="1" t="s">
        <v>17</v>
      </c>
      <c r="U1" s="1" t="s">
        <v>18</v>
      </c>
      <c r="V1" s="1" t="s">
        <v>19</v>
      </c>
      <c r="W1" s="1" t="s">
        <v>20</v>
      </c>
      <c r="X1" s="1" t="s">
        <v>21</v>
      </c>
      <c r="Y1" s="1" t="s">
        <v>22</v>
      </c>
      <c r="Z1" s="1" t="s">
        <v>23</v>
      </c>
      <c r="AA1" s="3" t="s">
        <v>24</v>
      </c>
      <c r="AB1" s="3" t="s">
        <v>25</v>
      </c>
      <c r="AC1" s="1" t="s">
        <v>26</v>
      </c>
      <c r="AD1" s="1" t="s">
        <v>27</v>
      </c>
      <c r="AE1" s="1" t="s">
        <v>28</v>
      </c>
      <c r="AF1" s="3" t="s">
        <v>29</v>
      </c>
      <c r="AG1" s="3" t="s">
        <v>30</v>
      </c>
      <c r="AH1" s="1" t="s">
        <v>31</v>
      </c>
      <c r="AI1" s="1" t="s">
        <v>32</v>
      </c>
      <c r="AJ1" s="1" t="s">
        <v>33</v>
      </c>
      <c r="AK1" s="3" t="s">
        <v>34</v>
      </c>
      <c r="AL1" s="3" t="s">
        <v>35</v>
      </c>
      <c r="AM1" s="1" t="s">
        <v>36</v>
      </c>
      <c r="AN1" s="1" t="s">
        <v>37</v>
      </c>
      <c r="AO1" s="4" t="s">
        <v>38</v>
      </c>
      <c r="AP1" s="3" t="s">
        <v>39</v>
      </c>
      <c r="AQ1" s="1" t="s">
        <v>40</v>
      </c>
      <c r="AR1" s="1" t="s">
        <v>41</v>
      </c>
      <c r="AS1" s="1" t="s">
        <v>42</v>
      </c>
      <c r="AT1" s="1" t="s">
        <v>43</v>
      </c>
      <c r="AU1" s="1" t="s">
        <v>44</v>
      </c>
      <c r="AV1" s="1" t="s">
        <v>45</v>
      </c>
      <c r="AW1" s="1" t="s">
        <v>46</v>
      </c>
      <c r="AX1" s="4" t="s">
        <v>47</v>
      </c>
      <c r="AY1" s="4" t="s">
        <v>48</v>
      </c>
      <c r="AZ1" s="1" t="s">
        <v>49</v>
      </c>
      <c r="BA1" s="3" t="s">
        <v>50</v>
      </c>
      <c r="BB1" s="3" t="s">
        <v>51</v>
      </c>
      <c r="BC1" s="3" t="s">
        <v>52</v>
      </c>
      <c r="BD1" s="3" t="s">
        <v>53</v>
      </c>
      <c r="BE1" s="3" t="s">
        <v>54</v>
      </c>
      <c r="BF1" s="3" t="s">
        <v>55</v>
      </c>
      <c r="BG1" s="3" t="s">
        <v>56</v>
      </c>
      <c r="BH1" s="3" t="s">
        <v>57</v>
      </c>
      <c r="BI1" s="3" t="s">
        <v>58</v>
      </c>
      <c r="BJ1" s="1" t="s">
        <v>59</v>
      </c>
      <c r="BK1" s="1" t="s">
        <v>60</v>
      </c>
    </row>
    <row r="2" customFormat="false" ht="16.5" hidden="false" customHeight="true" outlineLevel="0" collapsed="false">
      <c r="A2" s="5" t="s">
        <v>61</v>
      </c>
      <c r="C2" s="5"/>
      <c r="D2" s="5" t="s">
        <v>62</v>
      </c>
      <c r="E2" s="5" t="n">
        <v>1250000000</v>
      </c>
      <c r="F2" s="5" t="n">
        <v>1250000000</v>
      </c>
      <c r="G2" s="5" t="s">
        <v>63</v>
      </c>
      <c r="H2" s="6" t="n">
        <v>177000000</v>
      </c>
      <c r="I2" s="6" t="n">
        <v>177000000</v>
      </c>
      <c r="J2" s="7" t="n">
        <f aca="false">E2*0.13</f>
        <v>162500000</v>
      </c>
      <c r="K2" s="7" t="n">
        <f aca="false">F2*0.13</f>
        <v>162500000</v>
      </c>
      <c r="L2" s="5" t="s">
        <v>64</v>
      </c>
      <c r="M2" s="5" t="s">
        <v>65</v>
      </c>
      <c r="N2" s="8" t="s">
        <v>66</v>
      </c>
      <c r="P2" s="5"/>
      <c r="Q2" s="5"/>
      <c r="R2" s="5" t="s">
        <v>67</v>
      </c>
      <c r="S2" s="5" t="s">
        <v>68</v>
      </c>
      <c r="T2" s="5" t="s">
        <v>69</v>
      </c>
      <c r="U2" s="5" t="s">
        <v>70</v>
      </c>
      <c r="V2" s="5" t="s">
        <v>71</v>
      </c>
      <c r="W2" s="5" t="s">
        <v>69</v>
      </c>
      <c r="X2" s="5" t="s">
        <v>72</v>
      </c>
      <c r="Y2" s="5" t="s">
        <v>73</v>
      </c>
      <c r="Z2" s="5" t="s">
        <v>70</v>
      </c>
      <c r="AE2" s="5" t="s">
        <v>74</v>
      </c>
      <c r="AI2" s="9" t="n">
        <v>44475</v>
      </c>
      <c r="AJ2" s="5" t="n">
        <v>9</v>
      </c>
      <c r="AK2" s="5" t="s">
        <v>75</v>
      </c>
      <c r="AL2" s="5" t="n">
        <v>19666667</v>
      </c>
      <c r="AM2" s="5" t="s">
        <v>76</v>
      </c>
      <c r="AN2" s="5"/>
      <c r="AQ2" s="5" t="s">
        <v>77</v>
      </c>
      <c r="AR2" s="5" t="s">
        <v>72</v>
      </c>
      <c r="AS2" s="5" t="s">
        <v>73</v>
      </c>
      <c r="AT2" s="5" t="s">
        <v>78</v>
      </c>
      <c r="AU2" s="10" t="s">
        <v>79</v>
      </c>
      <c r="AV2" s="10"/>
      <c r="AW2" s="5" t="s">
        <v>80</v>
      </c>
      <c r="BD2" s="9" t="n">
        <v>45029</v>
      </c>
      <c r="BE2" s="9" t="n">
        <v>45264</v>
      </c>
      <c r="BI2" s="5" t="s">
        <v>81</v>
      </c>
      <c r="BJ2" s="5" t="n">
        <v>2021</v>
      </c>
      <c r="BK2" s="11" t="n">
        <v>47644</v>
      </c>
    </row>
    <row r="3" customFormat="false" ht="16.5" hidden="false" customHeight="true" outlineLevel="0" collapsed="false">
      <c r="A3" s="5" t="s">
        <v>82</v>
      </c>
      <c r="B3" s="5" t="s">
        <v>83</v>
      </c>
      <c r="C3" s="5"/>
      <c r="D3" s="5" t="s">
        <v>62</v>
      </c>
      <c r="E3" s="5" t="n">
        <v>200000000</v>
      </c>
      <c r="F3" s="5" t="n">
        <v>200000000</v>
      </c>
      <c r="G3" s="5" t="s">
        <v>63</v>
      </c>
      <c r="H3" s="6" t="n">
        <v>28473000</v>
      </c>
      <c r="I3" s="6" t="n">
        <v>0</v>
      </c>
      <c r="J3" s="7" t="n">
        <f aca="false">E3*0.13</f>
        <v>26000000</v>
      </c>
      <c r="K3" s="7" t="n">
        <f aca="false">F3*0.13</f>
        <v>26000000</v>
      </c>
      <c r="L3" s="5" t="s">
        <v>84</v>
      </c>
      <c r="M3" s="5" t="s">
        <v>65</v>
      </c>
      <c r="N3" s="8" t="s">
        <v>85</v>
      </c>
      <c r="P3" s="5"/>
      <c r="Q3" s="5"/>
      <c r="R3" s="5" t="s">
        <v>86</v>
      </c>
      <c r="S3" s="5"/>
      <c r="T3" s="5" t="s">
        <v>87</v>
      </c>
      <c r="U3" s="5" t="s">
        <v>88</v>
      </c>
      <c r="V3" s="5" t="s">
        <v>89</v>
      </c>
      <c r="W3" s="5" t="s">
        <v>90</v>
      </c>
      <c r="X3" s="5" t="s">
        <v>72</v>
      </c>
      <c r="Y3" s="5" t="s">
        <v>73</v>
      </c>
      <c r="Z3" s="5" t="s">
        <v>70</v>
      </c>
      <c r="AD3" s="5" t="s">
        <v>91</v>
      </c>
      <c r="AE3" s="5" t="s">
        <v>74</v>
      </c>
      <c r="AI3" s="9" t="n">
        <v>44875</v>
      </c>
      <c r="AJ3" s="5" t="n">
        <v>5</v>
      </c>
      <c r="AK3" s="5" t="s">
        <v>75</v>
      </c>
      <c r="AL3" s="5" t="n">
        <v>5694600</v>
      </c>
      <c r="AM3" s="5" t="s">
        <v>92</v>
      </c>
      <c r="AN3" s="5"/>
      <c r="AQ3" s="5" t="s">
        <v>93</v>
      </c>
      <c r="AR3" s="5" t="s">
        <v>72</v>
      </c>
      <c r="AS3" s="5" t="s">
        <v>73</v>
      </c>
      <c r="AT3" s="5" t="s">
        <v>78</v>
      </c>
      <c r="AW3" s="5" t="s">
        <v>94</v>
      </c>
      <c r="AX3" s="10" t="str">
        <f aca="false" t="array" ref="AX3:AX3">IFERROR(INDEX('full database 2024'!ar:ar, MATCH(A3, 'full database 2024'!b:b, 0)), "")</f>
        <v/>
      </c>
      <c r="AZ3" s="5" t="s">
        <v>95</v>
      </c>
      <c r="BD3" s="9" t="n">
        <v>44984</v>
      </c>
      <c r="BE3" s="9" t="n">
        <v>45035</v>
      </c>
      <c r="BI3" s="5" t="s">
        <v>81</v>
      </c>
      <c r="BJ3" s="5" t="n">
        <v>2022</v>
      </c>
      <c r="BK3" s="11" t="n">
        <v>46671</v>
      </c>
    </row>
    <row r="4" customFormat="false" ht="16.5" hidden="false" customHeight="true" outlineLevel="0" collapsed="false">
      <c r="A4" s="5" t="s">
        <v>96</v>
      </c>
      <c r="B4" s="5" t="s">
        <v>97</v>
      </c>
      <c r="C4" s="5"/>
      <c r="D4" s="5" t="s">
        <v>62</v>
      </c>
      <c r="E4" s="5" t="n">
        <v>100000000</v>
      </c>
      <c r="F4" s="5" t="n">
        <v>100000000</v>
      </c>
      <c r="G4" s="5" t="s">
        <v>63</v>
      </c>
      <c r="H4" s="6" t="n">
        <v>27000000</v>
      </c>
      <c r="I4" s="6" t="n">
        <v>0</v>
      </c>
      <c r="J4" s="7" t="n">
        <f aca="false">E4*0.13</f>
        <v>13000000</v>
      </c>
      <c r="K4" s="7" t="n">
        <f aca="false">F4*0.13</f>
        <v>13000000</v>
      </c>
      <c r="L4" s="5" t="s">
        <v>84</v>
      </c>
      <c r="M4" s="5" t="s">
        <v>65</v>
      </c>
      <c r="N4" s="8" t="s">
        <v>98</v>
      </c>
      <c r="P4" s="5"/>
      <c r="Q4" s="5"/>
      <c r="R4" s="5" t="s">
        <v>99</v>
      </c>
      <c r="T4" s="5" t="s">
        <v>100</v>
      </c>
      <c r="U4" s="5" t="s">
        <v>70</v>
      </c>
      <c r="V4" s="5" t="s">
        <v>101</v>
      </c>
      <c r="W4" s="5" t="s">
        <v>102</v>
      </c>
      <c r="X4" s="5" t="s">
        <v>72</v>
      </c>
      <c r="Y4" s="5" t="s">
        <v>73</v>
      </c>
      <c r="Z4" s="5" t="s">
        <v>70</v>
      </c>
      <c r="AD4" s="5" t="s">
        <v>103</v>
      </c>
      <c r="AE4" s="5" t="s">
        <v>74</v>
      </c>
      <c r="AI4" s="9" t="n">
        <v>45078</v>
      </c>
      <c r="AJ4" s="5" t="n">
        <v>2</v>
      </c>
      <c r="AK4" s="5" t="s">
        <v>75</v>
      </c>
      <c r="AL4" s="5" t="n">
        <v>13500000</v>
      </c>
      <c r="AM4" s="5" t="s">
        <v>92</v>
      </c>
      <c r="AN4" s="5"/>
      <c r="AQ4" s="5" t="s">
        <v>93</v>
      </c>
      <c r="AR4" s="5" t="s">
        <v>72</v>
      </c>
      <c r="AS4" s="5" t="s">
        <v>104</v>
      </c>
      <c r="AT4" s="5" t="s">
        <v>105</v>
      </c>
      <c r="AU4" s="10" t="s">
        <v>106</v>
      </c>
      <c r="AW4" s="5" t="s">
        <v>94</v>
      </c>
      <c r="AX4" s="5" t="s">
        <v>79</v>
      </c>
      <c r="AZ4" s="5" t="s">
        <v>107</v>
      </c>
      <c r="BD4" s="9" t="n">
        <v>45377</v>
      </c>
      <c r="BE4" s="9" t="n">
        <v>45779</v>
      </c>
      <c r="BI4" s="5" t="s">
        <v>81</v>
      </c>
      <c r="BJ4" s="5" t="n">
        <v>2023</v>
      </c>
      <c r="BK4" s="11" t="n">
        <v>45663</v>
      </c>
    </row>
    <row r="5" customFormat="false" ht="16.5" hidden="false" customHeight="true" outlineLevel="0" collapsed="false">
      <c r="A5" s="5" t="s">
        <v>108</v>
      </c>
      <c r="B5" s="5" t="s">
        <v>109</v>
      </c>
      <c r="C5" s="5"/>
      <c r="D5" s="5" t="s">
        <v>62</v>
      </c>
      <c r="E5" s="12" t="n">
        <v>64200000</v>
      </c>
      <c r="F5" s="12" t="n">
        <v>64200000</v>
      </c>
      <c r="G5" s="13" t="s">
        <v>110</v>
      </c>
      <c r="H5" s="14"/>
      <c r="I5" s="14"/>
      <c r="J5" s="12" t="n">
        <v>5585400</v>
      </c>
      <c r="K5" s="12" t="n">
        <v>5585400</v>
      </c>
      <c r="L5" s="15" t="s">
        <v>84</v>
      </c>
      <c r="M5" s="5" t="s">
        <v>65</v>
      </c>
      <c r="N5" s="8" t="s">
        <v>111</v>
      </c>
      <c r="P5" s="5"/>
      <c r="Q5" s="5"/>
      <c r="R5" s="5" t="s">
        <v>112</v>
      </c>
      <c r="T5" s="5" t="s">
        <v>113</v>
      </c>
      <c r="U5" s="5" t="s">
        <v>70</v>
      </c>
      <c r="V5" s="5" t="s">
        <v>114</v>
      </c>
      <c r="W5" s="5" t="s">
        <v>102</v>
      </c>
      <c r="X5" s="5" t="s">
        <v>115</v>
      </c>
      <c r="Y5" s="5" t="s">
        <v>73</v>
      </c>
      <c r="Z5" s="5" t="s">
        <v>70</v>
      </c>
      <c r="AC5" s="5" t="s">
        <v>116</v>
      </c>
      <c r="AD5" s="5" t="s">
        <v>114</v>
      </c>
      <c r="AE5" s="5" t="s">
        <v>117</v>
      </c>
      <c r="AI5" s="9" t="n">
        <v>44197</v>
      </c>
      <c r="AJ5" s="5" t="n">
        <v>4</v>
      </c>
      <c r="AK5" s="5" t="s">
        <v>75</v>
      </c>
      <c r="AL5" s="5" t="n">
        <v>1767689</v>
      </c>
      <c r="AM5" s="5" t="s">
        <v>118</v>
      </c>
      <c r="AN5" s="5"/>
      <c r="AP5" s="8" t="s">
        <v>119</v>
      </c>
      <c r="AQ5" s="5" t="s">
        <v>77</v>
      </c>
      <c r="AR5" s="5" t="s">
        <v>115</v>
      </c>
      <c r="AS5" s="5" t="s">
        <v>73</v>
      </c>
      <c r="AT5" s="5" t="s">
        <v>71</v>
      </c>
      <c r="AU5" s="10" t="s">
        <v>120</v>
      </c>
      <c r="AW5" s="5" t="s">
        <v>94</v>
      </c>
      <c r="AX5" s="10" t="str">
        <f aca="false">IFERROR(INDEX('full database 2024'!ar:ar, MATCH(A5, 'full database 2024'!b:b, 0)), "")</f>
        <v/>
      </c>
      <c r="AZ5" s="5" t="s">
        <v>121</v>
      </c>
      <c r="BD5" s="9" t="n">
        <v>44985</v>
      </c>
      <c r="BE5" s="9" t="n">
        <v>45036</v>
      </c>
      <c r="BI5" s="5" t="s">
        <v>81</v>
      </c>
      <c r="BJ5" s="5" t="n">
        <v>2021</v>
      </c>
      <c r="BK5" s="11" t="n">
        <v>45658</v>
      </c>
    </row>
    <row r="6" customFormat="false" ht="16.5" hidden="false" customHeight="true" outlineLevel="0" collapsed="false">
      <c r="A6" s="5" t="s">
        <v>122</v>
      </c>
      <c r="B6" s="5" t="s">
        <v>123</v>
      </c>
      <c r="C6" s="5"/>
      <c r="D6" s="5" t="s">
        <v>62</v>
      </c>
      <c r="E6" s="5" t="n">
        <v>55900000</v>
      </c>
      <c r="F6" s="5" t="n">
        <v>55900000</v>
      </c>
      <c r="G6" s="5" t="s">
        <v>63</v>
      </c>
      <c r="H6" s="6" t="n">
        <v>8172831</v>
      </c>
      <c r="I6" s="6" t="n">
        <v>0</v>
      </c>
      <c r="J6" s="7" t="n">
        <f aca="false">E6*0.13</f>
        <v>7267000</v>
      </c>
      <c r="K6" s="7" t="n">
        <f aca="false">F6*0.13</f>
        <v>7267000</v>
      </c>
      <c r="L6" s="5" t="s">
        <v>84</v>
      </c>
      <c r="M6" s="5" t="s">
        <v>65</v>
      </c>
      <c r="N6" s="8" t="s">
        <v>124</v>
      </c>
      <c r="O6" s="13"/>
      <c r="P6" s="5"/>
      <c r="Q6" s="5"/>
      <c r="R6" s="5" t="s">
        <v>125</v>
      </c>
      <c r="T6" s="5" t="s">
        <v>126</v>
      </c>
      <c r="U6" s="5" t="s">
        <v>127</v>
      </c>
      <c r="V6" s="5" t="s">
        <v>128</v>
      </c>
      <c r="W6" s="5" t="s">
        <v>90</v>
      </c>
      <c r="X6" s="5" t="s">
        <v>72</v>
      </c>
      <c r="Y6" s="5" t="s">
        <v>73</v>
      </c>
      <c r="Z6" s="5" t="s">
        <v>70</v>
      </c>
      <c r="AC6" s="5"/>
      <c r="AD6" s="5"/>
      <c r="AE6" s="5" t="s">
        <v>117</v>
      </c>
      <c r="AI6" s="9" t="n">
        <v>44354</v>
      </c>
      <c r="AJ6" s="5" t="n">
        <v>6</v>
      </c>
      <c r="AK6" s="5" t="s">
        <v>75</v>
      </c>
      <c r="AL6" s="5" t="n">
        <v>1362139</v>
      </c>
      <c r="AM6" s="5" t="s">
        <v>92</v>
      </c>
      <c r="AN6" s="5"/>
      <c r="AP6" s="5"/>
      <c r="AQ6" s="5" t="s">
        <v>93</v>
      </c>
      <c r="AR6" s="5" t="s">
        <v>72</v>
      </c>
      <c r="AS6" s="5" t="s">
        <v>73</v>
      </c>
      <c r="AT6" s="5" t="s">
        <v>78</v>
      </c>
      <c r="AW6" s="5" t="s">
        <v>94</v>
      </c>
      <c r="AX6" s="10" t="str">
        <f aca="false">IFERROR(INDEX('full database 2024'!ar:ar, MATCH(A6, 'full database 2024'!b:b, 0)), "")</f>
        <v/>
      </c>
      <c r="AZ6" s="5" t="s">
        <v>129</v>
      </c>
      <c r="BD6" s="9" t="n">
        <v>45020</v>
      </c>
      <c r="BE6" s="9" t="n">
        <v>45035</v>
      </c>
      <c r="BI6" s="5" t="s">
        <v>81</v>
      </c>
      <c r="BJ6" s="5" t="n">
        <v>2021</v>
      </c>
      <c r="BK6" s="11" t="n">
        <v>46574</v>
      </c>
    </row>
    <row r="7" customFormat="false" ht="16.5" hidden="false" customHeight="true" outlineLevel="0" collapsed="false">
      <c r="A7" s="5" t="s">
        <v>130</v>
      </c>
      <c r="B7" s="5" t="s">
        <v>131</v>
      </c>
      <c r="C7" s="5"/>
      <c r="D7" s="5" t="s">
        <v>62</v>
      </c>
      <c r="E7" s="16" t="n">
        <v>38000000</v>
      </c>
      <c r="F7" s="17" t="n">
        <v>16001352</v>
      </c>
      <c r="G7" s="5" t="s">
        <v>132</v>
      </c>
      <c r="H7" s="6" t="n">
        <v>48859450</v>
      </c>
      <c r="I7" s="6" t="n">
        <v>18697500</v>
      </c>
      <c r="J7" s="7" t="n">
        <f aca="false">E7*1.19</f>
        <v>45220000</v>
      </c>
      <c r="K7" s="7" t="n">
        <f aca="false">F7*1.19</f>
        <v>19041608.88</v>
      </c>
      <c r="L7" s="5" t="s">
        <v>84</v>
      </c>
      <c r="M7" s="5" t="s">
        <v>65</v>
      </c>
      <c r="N7" s="8" t="s">
        <v>133</v>
      </c>
      <c r="O7" s="5" t="s">
        <v>134</v>
      </c>
      <c r="P7" s="5"/>
      <c r="Q7" s="5"/>
      <c r="R7" s="5" t="s">
        <v>135</v>
      </c>
      <c r="S7" s="5" t="s">
        <v>136</v>
      </c>
      <c r="T7" s="5" t="s">
        <v>137</v>
      </c>
      <c r="U7" s="5" t="s">
        <v>70</v>
      </c>
      <c r="V7" s="5" t="s">
        <v>138</v>
      </c>
      <c r="W7" s="5" t="s">
        <v>90</v>
      </c>
      <c r="X7" s="5" t="s">
        <v>139</v>
      </c>
      <c r="Y7" s="5" t="s">
        <v>73</v>
      </c>
      <c r="Z7" s="5" t="s">
        <v>70</v>
      </c>
      <c r="AE7" s="5"/>
      <c r="AI7" s="9" t="n">
        <v>45515</v>
      </c>
      <c r="AJ7" s="5" t="n">
        <v>5</v>
      </c>
      <c r="AK7" s="5" t="s">
        <v>75</v>
      </c>
      <c r="AL7" s="5" t="n">
        <v>9771890</v>
      </c>
      <c r="AM7" s="5" t="s">
        <v>140</v>
      </c>
      <c r="AN7" s="5" t="s">
        <v>141</v>
      </c>
      <c r="AP7" s="8" t="s">
        <v>142</v>
      </c>
      <c r="AQ7" s="5" t="s">
        <v>77</v>
      </c>
      <c r="AR7" s="5" t="s">
        <v>143</v>
      </c>
      <c r="AS7" s="5" t="s">
        <v>73</v>
      </c>
      <c r="AT7" s="5" t="s">
        <v>71</v>
      </c>
      <c r="AU7" s="10"/>
      <c r="AW7" s="5" t="s">
        <v>144</v>
      </c>
      <c r="AX7" s="5" t="s">
        <v>79</v>
      </c>
      <c r="AY7" s="5"/>
      <c r="AZ7" s="5" t="s">
        <v>95</v>
      </c>
      <c r="BD7" s="9" t="n">
        <v>45177</v>
      </c>
      <c r="BE7" s="9" t="n">
        <v>45779</v>
      </c>
      <c r="BH7" s="5" t="s">
        <v>65</v>
      </c>
      <c r="BI7" s="5" t="s">
        <v>145</v>
      </c>
      <c r="BJ7" s="5" t="n">
        <v>2024</v>
      </c>
      <c r="BK7" s="11" t="n">
        <v>47430</v>
      </c>
    </row>
    <row r="8" customFormat="false" ht="16.5" hidden="false" customHeight="true" outlineLevel="0" collapsed="false">
      <c r="A8" s="5" t="s">
        <v>146</v>
      </c>
      <c r="B8" s="5"/>
      <c r="C8" s="5"/>
      <c r="D8" s="5" t="s">
        <v>62</v>
      </c>
      <c r="E8" s="5" t="n">
        <v>38000000</v>
      </c>
      <c r="F8" s="5" t="n">
        <v>38000000</v>
      </c>
      <c r="G8" s="5" t="s">
        <v>147</v>
      </c>
      <c r="H8" s="6" t="n">
        <v>41115050</v>
      </c>
      <c r="I8" s="6" t="n">
        <v>41115050</v>
      </c>
      <c r="J8" s="7" t="n">
        <v>38000000</v>
      </c>
      <c r="K8" s="7" t="n">
        <v>38000000</v>
      </c>
      <c r="L8" s="5" t="s">
        <v>64</v>
      </c>
      <c r="M8" s="5" t="s">
        <v>65</v>
      </c>
      <c r="N8" s="8" t="s">
        <v>148</v>
      </c>
      <c r="O8" s="5"/>
      <c r="P8" s="5"/>
      <c r="Q8" s="5"/>
      <c r="R8" s="5" t="s">
        <v>149</v>
      </c>
      <c r="S8" s="5" t="s">
        <v>150</v>
      </c>
      <c r="T8" s="5" t="s">
        <v>69</v>
      </c>
      <c r="U8" s="5" t="s">
        <v>70</v>
      </c>
      <c r="V8" s="5" t="s">
        <v>69</v>
      </c>
      <c r="W8" s="5" t="s">
        <v>69</v>
      </c>
      <c r="X8" s="5" t="s">
        <v>151</v>
      </c>
      <c r="Y8" s="5" t="s">
        <v>73</v>
      </c>
      <c r="Z8" s="5" t="s">
        <v>70</v>
      </c>
      <c r="AE8" s="5" t="s">
        <v>74</v>
      </c>
      <c r="AI8" s="9" t="n">
        <v>45292</v>
      </c>
      <c r="AJ8" s="5" t="n">
        <v>1</v>
      </c>
      <c r="AK8" s="5" t="s">
        <v>152</v>
      </c>
      <c r="AL8" s="5" t="n">
        <v>41115050</v>
      </c>
      <c r="AM8" s="5" t="s">
        <v>153</v>
      </c>
      <c r="AN8" s="5"/>
      <c r="AP8" s="5"/>
      <c r="AQ8" s="5" t="s">
        <v>77</v>
      </c>
      <c r="AR8" s="5" t="s">
        <v>151</v>
      </c>
      <c r="AS8" s="5" t="s">
        <v>73</v>
      </c>
      <c r="AT8" s="5" t="s">
        <v>79</v>
      </c>
      <c r="AU8" s="10" t="s">
        <v>79</v>
      </c>
      <c r="AV8" s="10"/>
      <c r="AW8" s="5" t="s">
        <v>154</v>
      </c>
      <c r="BD8" s="9" t="n">
        <v>45264</v>
      </c>
      <c r="BE8" s="9" t="n">
        <v>45264</v>
      </c>
      <c r="BH8" s="5"/>
      <c r="BI8" s="5" t="s">
        <v>145</v>
      </c>
      <c r="BJ8" s="5" t="n">
        <v>2024</v>
      </c>
      <c r="BK8" s="11" t="n">
        <v>45658</v>
      </c>
    </row>
    <row r="9" customFormat="false" ht="16.5" hidden="false" customHeight="true" outlineLevel="0" collapsed="false">
      <c r="A9" s="5" t="s">
        <v>155</v>
      </c>
      <c r="C9" s="5"/>
      <c r="D9" s="5" t="s">
        <v>62</v>
      </c>
      <c r="E9" s="5" t="n">
        <v>34000000</v>
      </c>
      <c r="F9" s="5" t="n">
        <v>34000000</v>
      </c>
      <c r="G9" s="5" t="s">
        <v>147</v>
      </c>
      <c r="H9" s="6" t="n">
        <v>37298680</v>
      </c>
      <c r="I9" s="6" t="n">
        <v>37298680</v>
      </c>
      <c r="J9" s="7" t="n">
        <v>34000000</v>
      </c>
      <c r="K9" s="7" t="n">
        <v>34000000</v>
      </c>
      <c r="L9" s="5" t="s">
        <v>84</v>
      </c>
      <c r="M9" s="5" t="s">
        <v>65</v>
      </c>
      <c r="N9" s="8" t="s">
        <v>156</v>
      </c>
      <c r="P9" s="5"/>
      <c r="Q9" s="5"/>
      <c r="R9" s="5" t="s">
        <v>157</v>
      </c>
      <c r="S9" s="5"/>
      <c r="T9" s="5" t="s">
        <v>158</v>
      </c>
      <c r="U9" s="5" t="s">
        <v>70</v>
      </c>
      <c r="V9" s="5" t="s">
        <v>159</v>
      </c>
      <c r="W9" s="5" t="s">
        <v>102</v>
      </c>
      <c r="X9" s="5" t="s">
        <v>160</v>
      </c>
      <c r="Y9" s="5" t="s">
        <v>73</v>
      </c>
      <c r="Z9" s="5" t="s">
        <v>70</v>
      </c>
      <c r="AE9" s="5" t="s">
        <v>117</v>
      </c>
      <c r="AI9" s="9" t="n">
        <v>44917</v>
      </c>
      <c r="AJ9" s="5" t="n">
        <v>3</v>
      </c>
      <c r="AK9" s="5" t="s">
        <v>75</v>
      </c>
      <c r="AL9" s="5" t="n">
        <v>12432893</v>
      </c>
      <c r="AM9" s="5" t="s">
        <v>161</v>
      </c>
      <c r="AN9" s="5"/>
      <c r="AQ9" s="5" t="s">
        <v>77</v>
      </c>
      <c r="AR9" s="5" t="s">
        <v>160</v>
      </c>
      <c r="AS9" s="5" t="s">
        <v>73</v>
      </c>
      <c r="AT9" s="5" t="s">
        <v>105</v>
      </c>
      <c r="AU9" s="10" t="s">
        <v>106</v>
      </c>
      <c r="AW9" s="5" t="s">
        <v>162</v>
      </c>
      <c r="AX9" s="10" t="str">
        <f aca="false">IFERROR(INDEX('full database 2024'!ar:ar, MATCH(A9, 'full database 2024'!b:b, 0)), "")</f>
        <v/>
      </c>
      <c r="AZ9" s="5" t="s">
        <v>163</v>
      </c>
      <c r="BD9" s="9" t="n">
        <v>45034</v>
      </c>
      <c r="BE9" s="9" t="n">
        <v>45035</v>
      </c>
      <c r="BI9" s="5" t="s">
        <v>81</v>
      </c>
      <c r="BJ9" s="5" t="n">
        <v>2022</v>
      </c>
      <c r="BK9" s="5" t="s">
        <v>164</v>
      </c>
    </row>
    <row r="10" customFormat="false" ht="16.5" hidden="false" customHeight="true" outlineLevel="0" collapsed="false">
      <c r="A10" s="5" t="s">
        <v>165</v>
      </c>
      <c r="B10" s="5" t="s">
        <v>166</v>
      </c>
      <c r="C10" s="5"/>
      <c r="D10" s="5" t="s">
        <v>62</v>
      </c>
      <c r="E10" s="5" t="n">
        <v>27600000</v>
      </c>
      <c r="F10" s="5" t="n">
        <v>27600000</v>
      </c>
      <c r="G10" s="5" t="s">
        <v>110</v>
      </c>
      <c r="H10" s="6" t="n">
        <v>2604048</v>
      </c>
      <c r="I10" s="6" t="n">
        <v>2604048</v>
      </c>
      <c r="J10" s="18" t="n">
        <f aca="false">E10*0.087</f>
        <v>2401200</v>
      </c>
      <c r="K10" s="18" t="n">
        <f aca="false">F10*0.087</f>
        <v>2401200</v>
      </c>
      <c r="L10" s="5" t="s">
        <v>84</v>
      </c>
      <c r="M10" s="5" t="s">
        <v>65</v>
      </c>
      <c r="N10" s="8" t="s">
        <v>167</v>
      </c>
      <c r="O10" s="10" t="s">
        <v>168</v>
      </c>
      <c r="P10" s="5"/>
      <c r="Q10" s="5"/>
      <c r="R10" s="5" t="s">
        <v>169</v>
      </c>
      <c r="T10" s="5" t="s">
        <v>170</v>
      </c>
      <c r="U10" s="5" t="s">
        <v>70</v>
      </c>
      <c r="V10" s="5" t="s">
        <v>114</v>
      </c>
      <c r="W10" s="5" t="s">
        <v>102</v>
      </c>
      <c r="X10" s="5" t="s">
        <v>115</v>
      </c>
      <c r="Y10" s="5" t="s">
        <v>73</v>
      </c>
      <c r="Z10" s="5" t="s">
        <v>70</v>
      </c>
      <c r="AC10" s="5" t="s">
        <v>171</v>
      </c>
      <c r="AD10" s="5" t="s">
        <v>172</v>
      </c>
      <c r="AE10" s="5" t="s">
        <v>74</v>
      </c>
      <c r="AI10" s="9" t="n">
        <v>44287</v>
      </c>
      <c r="AJ10" s="5" t="n">
        <v>4</v>
      </c>
      <c r="AK10" s="5" t="s">
        <v>75</v>
      </c>
      <c r="AL10" s="5" t="n">
        <v>651012</v>
      </c>
      <c r="AM10" s="5" t="s">
        <v>173</v>
      </c>
      <c r="AN10" s="5"/>
      <c r="AQ10" s="5" t="s">
        <v>77</v>
      </c>
      <c r="AR10" s="5" t="s">
        <v>115</v>
      </c>
      <c r="AS10" s="5" t="s">
        <v>73</v>
      </c>
      <c r="AT10" s="5" t="s">
        <v>78</v>
      </c>
      <c r="AW10" s="5" t="s">
        <v>94</v>
      </c>
      <c r="AX10" s="10" t="str">
        <f aca="false">IFERROR(INDEX('full database 2024'!ar:ar, MATCH(A10, 'full database 2024'!b:b, 0)), "")</f>
        <v/>
      </c>
      <c r="AZ10" s="5" t="s">
        <v>129</v>
      </c>
      <c r="BD10" s="9" t="n">
        <v>45037</v>
      </c>
      <c r="BE10" s="9" t="n">
        <v>45037</v>
      </c>
      <c r="BI10" s="5" t="s">
        <v>81</v>
      </c>
      <c r="BJ10" s="5" t="n">
        <v>2021</v>
      </c>
      <c r="BK10" s="11" t="n">
        <v>45661</v>
      </c>
    </row>
    <row r="11" customFormat="false" ht="16.5" hidden="false" customHeight="true" outlineLevel="0" collapsed="false">
      <c r="A11" s="5" t="s">
        <v>174</v>
      </c>
      <c r="B11" s="5" t="s">
        <v>175</v>
      </c>
      <c r="C11" s="5"/>
      <c r="D11" s="5" t="s">
        <v>62</v>
      </c>
      <c r="E11" s="5" t="n">
        <v>23000000</v>
      </c>
      <c r="F11" s="5" t="n">
        <v>14000000</v>
      </c>
      <c r="G11" s="5" t="s">
        <v>147</v>
      </c>
      <c r="H11" s="6" t="n">
        <v>25829000</v>
      </c>
      <c r="I11" s="6" t="n">
        <v>15722000</v>
      </c>
      <c r="J11" s="7" t="n">
        <v>23000000</v>
      </c>
      <c r="K11" s="7" t="n">
        <v>14000000</v>
      </c>
      <c r="L11" s="5" t="s">
        <v>84</v>
      </c>
      <c r="M11" s="5" t="s">
        <v>65</v>
      </c>
      <c r="N11" s="8" t="s">
        <v>176</v>
      </c>
      <c r="P11" s="5"/>
      <c r="Q11" s="5"/>
      <c r="R11" s="5" t="s">
        <v>177</v>
      </c>
      <c r="T11" s="5" t="s">
        <v>178</v>
      </c>
      <c r="U11" s="5" t="s">
        <v>70</v>
      </c>
      <c r="V11" s="5" t="s">
        <v>179</v>
      </c>
      <c r="W11" s="5" t="s">
        <v>102</v>
      </c>
      <c r="X11" s="5" t="s">
        <v>180</v>
      </c>
      <c r="Y11" s="5" t="s">
        <v>73</v>
      </c>
      <c r="Z11" s="5" t="s">
        <v>70</v>
      </c>
      <c r="AC11" s="5"/>
      <c r="AD11" s="5" t="s">
        <v>181</v>
      </c>
      <c r="AE11" s="5" t="s">
        <v>74</v>
      </c>
      <c r="AI11" s="9" t="n">
        <v>45078</v>
      </c>
      <c r="AJ11" s="5" t="n">
        <v>3</v>
      </c>
      <c r="AK11" s="5" t="s">
        <v>75</v>
      </c>
      <c r="AL11" s="5" t="n">
        <v>8609667</v>
      </c>
      <c r="AM11" s="5" t="s">
        <v>182</v>
      </c>
      <c r="AN11" s="5" t="s">
        <v>183</v>
      </c>
      <c r="AQ11" s="5" t="s">
        <v>184</v>
      </c>
      <c r="AR11" s="5" t="s">
        <v>185</v>
      </c>
      <c r="AS11" s="5" t="s">
        <v>73</v>
      </c>
      <c r="AT11" s="5" t="s">
        <v>105</v>
      </c>
      <c r="AU11" s="10" t="s">
        <v>186</v>
      </c>
      <c r="AW11" s="5" t="s">
        <v>187</v>
      </c>
      <c r="AX11" s="10" t="str">
        <f aca="false">IFERROR(INDEX('full database 2024'!ar:ar, MATCH(A11, 'full database 2024'!b:b, 0)), "")</f>
        <v/>
      </c>
      <c r="AZ11" s="5" t="s">
        <v>188</v>
      </c>
      <c r="BD11" s="9" t="n">
        <v>45120</v>
      </c>
      <c r="BE11" s="9" t="n">
        <v>45123</v>
      </c>
      <c r="BI11" s="5" t="s">
        <v>81</v>
      </c>
      <c r="BJ11" s="5" t="n">
        <v>2023</v>
      </c>
      <c r="BK11" s="11" t="n">
        <v>46028</v>
      </c>
    </row>
    <row r="12" customFormat="false" ht="16.5" hidden="false" customHeight="true" outlineLevel="0" collapsed="false">
      <c r="A12" s="5" t="s">
        <v>189</v>
      </c>
      <c r="B12" s="5" t="s">
        <v>190</v>
      </c>
      <c r="C12" s="5"/>
      <c r="D12" s="5" t="s">
        <v>62</v>
      </c>
      <c r="E12" s="16" t="n">
        <v>21214469</v>
      </c>
      <c r="F12" s="16" t="n">
        <v>12302109</v>
      </c>
      <c r="G12" s="5" t="s">
        <v>132</v>
      </c>
      <c r="H12" s="6" t="n">
        <v>26130285</v>
      </c>
      <c r="I12" s="6" t="n">
        <v>15655848</v>
      </c>
      <c r="J12" s="7" t="n">
        <f aca="false">E12*1.19</f>
        <v>25245218.11</v>
      </c>
      <c r="K12" s="7" t="n">
        <f aca="false">F12*1.19</f>
        <v>14639509.71</v>
      </c>
      <c r="L12" s="5" t="s">
        <v>84</v>
      </c>
      <c r="M12" s="5" t="s">
        <v>65</v>
      </c>
      <c r="N12" s="8" t="s">
        <v>191</v>
      </c>
      <c r="O12" s="5" t="s">
        <v>192</v>
      </c>
      <c r="P12" s="5"/>
      <c r="Q12" s="5"/>
      <c r="R12" s="5" t="s">
        <v>193</v>
      </c>
      <c r="S12" s="5" t="s">
        <v>194</v>
      </c>
      <c r="T12" s="5" t="s">
        <v>195</v>
      </c>
      <c r="U12" s="5" t="s">
        <v>196</v>
      </c>
      <c r="V12" s="5" t="s">
        <v>197</v>
      </c>
      <c r="W12" s="5" t="s">
        <v>90</v>
      </c>
      <c r="X12" s="5" t="s">
        <v>139</v>
      </c>
      <c r="Y12" s="5" t="s">
        <v>73</v>
      </c>
      <c r="Z12" s="5" t="s">
        <v>70</v>
      </c>
      <c r="AD12" s="5" t="s">
        <v>198</v>
      </c>
      <c r="AE12" s="5" t="s">
        <v>74</v>
      </c>
      <c r="AI12" s="9" t="n">
        <v>45108</v>
      </c>
      <c r="AJ12" s="5" t="n">
        <v>7</v>
      </c>
      <c r="AK12" s="5" t="s">
        <v>152</v>
      </c>
      <c r="AL12" s="5" t="n">
        <v>3732898</v>
      </c>
      <c r="AM12" s="5" t="s">
        <v>140</v>
      </c>
      <c r="AN12" s="5" t="s">
        <v>199</v>
      </c>
      <c r="AO12" s="5" t="s">
        <v>200</v>
      </c>
      <c r="AQ12" s="5" t="s">
        <v>184</v>
      </c>
      <c r="AR12" s="5" t="s">
        <v>143</v>
      </c>
      <c r="AS12" s="5" t="s">
        <v>73</v>
      </c>
      <c r="AT12" s="5" t="s">
        <v>71</v>
      </c>
      <c r="AU12" s="10" t="s">
        <v>120</v>
      </c>
      <c r="AW12" s="5" t="s">
        <v>201</v>
      </c>
      <c r="AX12" s="10" t="str">
        <f aca="false">IFERROR(INDEX('full database 2024'!ar:ar, MATCH(A12, 'full database 2024'!b:b, 0)), "")</f>
        <v/>
      </c>
      <c r="AZ12" s="5" t="s">
        <v>95</v>
      </c>
      <c r="BA12" s="5" t="s">
        <v>65</v>
      </c>
      <c r="BD12" s="9" t="n">
        <v>45014</v>
      </c>
      <c r="BE12" s="9" t="n">
        <v>45779</v>
      </c>
      <c r="BF12" s="5" t="s">
        <v>65</v>
      </c>
      <c r="BH12" s="5" t="s">
        <v>65</v>
      </c>
      <c r="BI12" s="5" t="s">
        <v>145</v>
      </c>
      <c r="BJ12" s="5" t="n">
        <v>2023</v>
      </c>
      <c r="BK12" s="11" t="n">
        <v>47490</v>
      </c>
    </row>
    <row r="13" customFormat="false" ht="16.5" hidden="false" customHeight="true" outlineLevel="0" collapsed="false">
      <c r="A13" s="5" t="s">
        <v>202</v>
      </c>
      <c r="B13" s="5" t="s">
        <v>203</v>
      </c>
      <c r="C13" s="5"/>
      <c r="D13" s="5" t="s">
        <v>62</v>
      </c>
      <c r="E13" s="5" t="n">
        <v>20000000</v>
      </c>
      <c r="F13" s="5" t="n">
        <v>20000000</v>
      </c>
      <c r="G13" s="5" t="s">
        <v>110</v>
      </c>
      <c r="H13" s="6" t="n">
        <v>1993440</v>
      </c>
      <c r="I13" s="6" t="n">
        <v>1993440</v>
      </c>
      <c r="J13" s="18" t="n">
        <f aca="false">E13*0.087</f>
        <v>1740000</v>
      </c>
      <c r="K13" s="18" t="n">
        <f aca="false">F13*0.087</f>
        <v>1740000</v>
      </c>
      <c r="L13" s="5" t="s">
        <v>84</v>
      </c>
      <c r="M13" s="5" t="s">
        <v>65</v>
      </c>
      <c r="N13" s="8" t="s">
        <v>204</v>
      </c>
      <c r="O13" s="5" t="s">
        <v>205</v>
      </c>
      <c r="P13" s="5"/>
      <c r="Q13" s="5"/>
      <c r="R13" s="5" t="s">
        <v>206</v>
      </c>
      <c r="S13" s="5"/>
      <c r="T13" s="5" t="s">
        <v>207</v>
      </c>
      <c r="U13" s="5" t="s">
        <v>70</v>
      </c>
      <c r="V13" s="5" t="s">
        <v>114</v>
      </c>
      <c r="W13" s="5" t="s">
        <v>102</v>
      </c>
      <c r="X13" s="5" t="s">
        <v>115</v>
      </c>
      <c r="Y13" s="5" t="s">
        <v>73</v>
      </c>
      <c r="Z13" s="5" t="s">
        <v>70</v>
      </c>
      <c r="AD13" s="5" t="s">
        <v>208</v>
      </c>
      <c r="AE13" s="5" t="s">
        <v>74</v>
      </c>
      <c r="AI13" s="9" t="n">
        <v>44927</v>
      </c>
      <c r="AJ13" s="5" t="n">
        <v>4</v>
      </c>
      <c r="AK13" s="5" t="s">
        <v>75</v>
      </c>
      <c r="AL13" s="5" t="n">
        <v>498360</v>
      </c>
      <c r="AM13" s="5" t="s">
        <v>173</v>
      </c>
      <c r="AN13" s="5"/>
      <c r="AO13" s="5"/>
      <c r="AQ13" s="5" t="s">
        <v>77</v>
      </c>
      <c r="AR13" s="5" t="s">
        <v>115</v>
      </c>
      <c r="AS13" s="5" t="s">
        <v>73</v>
      </c>
      <c r="AT13" s="5" t="s">
        <v>71</v>
      </c>
      <c r="AU13" s="10" t="s">
        <v>120</v>
      </c>
      <c r="AW13" s="5" t="s">
        <v>94</v>
      </c>
      <c r="AX13" s="10" t="str">
        <f aca="false">IFERROR(INDEX('full database 2024'!ar:ar, MATCH(A13, 'full database 2024'!b:b, 0)), "")</f>
        <v/>
      </c>
      <c r="AZ13" s="5" t="s">
        <v>209</v>
      </c>
      <c r="BA13" s="5"/>
      <c r="BD13" s="9" t="n">
        <v>44959</v>
      </c>
      <c r="BE13" s="9" t="n">
        <v>45779</v>
      </c>
      <c r="BF13" s="5"/>
      <c r="BH13" s="5"/>
      <c r="BI13" s="5" t="s">
        <v>81</v>
      </c>
      <c r="BJ13" s="5" t="n">
        <v>2023</v>
      </c>
      <c r="BK13" s="11" t="n">
        <v>46388</v>
      </c>
    </row>
    <row r="14" customFormat="false" ht="16.5" hidden="false" customHeight="true" outlineLevel="0" collapsed="false">
      <c r="A14" s="5" t="s">
        <v>210</v>
      </c>
      <c r="B14" s="5" t="s">
        <v>211</v>
      </c>
      <c r="C14" s="5"/>
      <c r="D14" s="5" t="s">
        <v>62</v>
      </c>
      <c r="E14" s="5" t="n">
        <v>19991495</v>
      </c>
      <c r="F14" s="5" t="n">
        <v>19991495</v>
      </c>
      <c r="G14" s="5" t="s">
        <v>212</v>
      </c>
      <c r="H14" s="6" t="n">
        <v>1879201</v>
      </c>
      <c r="I14" s="6" t="n">
        <v>1879201</v>
      </c>
      <c r="J14" s="7" t="n">
        <f aca="false">E14*0.091</f>
        <v>1819226.045</v>
      </c>
      <c r="K14" s="7" t="n">
        <f aca="false">F14*0.091</f>
        <v>1819226.045</v>
      </c>
      <c r="L14" s="5" t="s">
        <v>84</v>
      </c>
      <c r="M14" s="5" t="s">
        <v>65</v>
      </c>
      <c r="N14" s="8" t="s">
        <v>213</v>
      </c>
      <c r="O14" s="5"/>
      <c r="P14" s="5"/>
      <c r="Q14" s="5"/>
      <c r="R14" s="5"/>
      <c r="T14" s="5"/>
      <c r="U14" s="5"/>
      <c r="V14" s="5" t="s">
        <v>214</v>
      </c>
      <c r="W14" s="5"/>
      <c r="X14" s="5" t="s">
        <v>215</v>
      </c>
      <c r="Y14" s="5" t="s">
        <v>73</v>
      </c>
      <c r="Z14" s="5"/>
      <c r="AD14" s="5"/>
      <c r="AE14" s="5"/>
      <c r="AI14" s="9" t="n">
        <v>44938</v>
      </c>
      <c r="AJ14" s="5" t="n">
        <v>61</v>
      </c>
      <c r="AK14" s="5" t="s">
        <v>216</v>
      </c>
      <c r="AL14" s="5" t="n">
        <v>30807</v>
      </c>
      <c r="AM14" s="5" t="s">
        <v>217</v>
      </c>
      <c r="AN14" s="5"/>
      <c r="AQ14" s="5" t="s">
        <v>77</v>
      </c>
      <c r="AR14" s="5" t="s">
        <v>215</v>
      </c>
      <c r="AS14" s="5" t="s">
        <v>73</v>
      </c>
      <c r="AT14" s="5" t="s">
        <v>78</v>
      </c>
      <c r="AW14" s="5" t="s">
        <v>94</v>
      </c>
      <c r="AX14" s="5" t="s">
        <v>218</v>
      </c>
      <c r="AY14" s="5"/>
      <c r="AZ14" s="5" t="s">
        <v>219</v>
      </c>
      <c r="BD14" s="9" t="n">
        <v>45596</v>
      </c>
      <c r="BE14" s="9" t="n">
        <v>45596</v>
      </c>
      <c r="BI14" s="5"/>
      <c r="BJ14" s="5" t="n">
        <v>2023</v>
      </c>
      <c r="BK14" s="11" t="n">
        <v>36526</v>
      </c>
    </row>
    <row r="15" customFormat="false" ht="16.5" hidden="false" customHeight="true" outlineLevel="0" collapsed="false">
      <c r="A15" s="5" t="s">
        <v>220</v>
      </c>
      <c r="B15" s="5" t="s">
        <v>221</v>
      </c>
      <c r="C15" s="5"/>
      <c r="D15" s="5" t="s">
        <v>62</v>
      </c>
      <c r="E15" s="5" t="n">
        <v>19980675</v>
      </c>
      <c r="F15" s="5" t="n">
        <v>19980675</v>
      </c>
      <c r="G15" s="5" t="s">
        <v>63</v>
      </c>
      <c r="H15" s="6" t="n">
        <v>2912812</v>
      </c>
      <c r="I15" s="6" t="n">
        <v>0</v>
      </c>
      <c r="J15" s="7" t="n">
        <f aca="false">E15*0.13</f>
        <v>2597487.75</v>
      </c>
      <c r="K15" s="7" t="n">
        <f aca="false">F15*0.13</f>
        <v>2597487.75</v>
      </c>
      <c r="L15" s="5" t="s">
        <v>84</v>
      </c>
      <c r="M15" s="5" t="s">
        <v>65</v>
      </c>
      <c r="N15" s="8" t="s">
        <v>222</v>
      </c>
      <c r="O15" s="5" t="s">
        <v>223</v>
      </c>
      <c r="P15" s="5"/>
      <c r="Q15" s="5"/>
      <c r="R15" s="5" t="s">
        <v>224</v>
      </c>
      <c r="T15" s="5" t="s">
        <v>225</v>
      </c>
      <c r="U15" s="5" t="s">
        <v>70</v>
      </c>
      <c r="V15" s="5" t="s">
        <v>226</v>
      </c>
      <c r="W15" s="5" t="s">
        <v>102</v>
      </c>
      <c r="X15" s="5" t="s">
        <v>72</v>
      </c>
      <c r="Y15" s="5" t="s">
        <v>73</v>
      </c>
      <c r="Z15" s="5" t="s">
        <v>70</v>
      </c>
      <c r="AD15" s="5" t="s">
        <v>227</v>
      </c>
      <c r="AE15" s="5" t="s">
        <v>74</v>
      </c>
      <c r="AI15" s="9" t="n">
        <v>44348</v>
      </c>
      <c r="AJ15" s="5" t="n">
        <v>3</v>
      </c>
      <c r="AK15" s="5" t="s">
        <v>228</v>
      </c>
      <c r="AL15" s="5" t="n">
        <v>970937</v>
      </c>
      <c r="AM15" s="5" t="s">
        <v>229</v>
      </c>
      <c r="AN15" s="5"/>
      <c r="AO15" s="5" t="s">
        <v>230</v>
      </c>
      <c r="AQ15" s="5" t="s">
        <v>93</v>
      </c>
      <c r="AR15" s="5" t="s">
        <v>72</v>
      </c>
      <c r="AS15" s="5" t="s">
        <v>73</v>
      </c>
      <c r="AT15" s="5" t="s">
        <v>78</v>
      </c>
      <c r="AW15" s="5" t="s">
        <v>94</v>
      </c>
      <c r="AX15" s="10" t="str">
        <f aca="false" t="array" ref="AX15:AX15">IFERROR(INDEX('full database 2024'!ar:ar, MATCH(A15, 'full database 2024'!b:b, 0)), "")</f>
        <v/>
      </c>
      <c r="AZ15" s="5" t="s">
        <v>129</v>
      </c>
      <c r="BD15" s="9" t="n">
        <v>45421</v>
      </c>
      <c r="BE15" s="9" t="n">
        <v>45448</v>
      </c>
      <c r="BI15" s="5" t="s">
        <v>81</v>
      </c>
      <c r="BJ15" s="5" t="n">
        <v>2021</v>
      </c>
      <c r="BK15" s="11" t="n">
        <v>45297</v>
      </c>
    </row>
    <row r="16" customFormat="false" ht="16.5" hidden="false" customHeight="true" outlineLevel="0" collapsed="false">
      <c r="A16" s="5" t="s">
        <v>231</v>
      </c>
      <c r="B16" s="5" t="s">
        <v>232</v>
      </c>
      <c r="C16" s="5"/>
      <c r="D16" s="5" t="s">
        <v>62</v>
      </c>
      <c r="E16" s="5" t="n">
        <v>15000000</v>
      </c>
      <c r="F16" s="5" t="n">
        <v>15000000</v>
      </c>
      <c r="G16" s="5" t="s">
        <v>63</v>
      </c>
      <c r="H16" s="6" t="n">
        <v>2135505</v>
      </c>
      <c r="I16" s="6" t="n">
        <v>0</v>
      </c>
      <c r="J16" s="7" t="n">
        <f aca="false">E16*0.13</f>
        <v>1950000</v>
      </c>
      <c r="K16" s="7" t="n">
        <f aca="false">F16*0.13</f>
        <v>1950000</v>
      </c>
      <c r="L16" s="5" t="s">
        <v>84</v>
      </c>
      <c r="M16" s="5" t="s">
        <v>65</v>
      </c>
      <c r="N16" s="8" t="s">
        <v>233</v>
      </c>
      <c r="O16" s="5" t="s">
        <v>70</v>
      </c>
      <c r="P16" s="5"/>
      <c r="Q16" s="5"/>
      <c r="R16" s="5" t="s">
        <v>234</v>
      </c>
      <c r="S16" s="5" t="s">
        <v>235</v>
      </c>
      <c r="T16" s="5" t="s">
        <v>236</v>
      </c>
      <c r="U16" s="5" t="s">
        <v>127</v>
      </c>
      <c r="V16" s="5" t="s">
        <v>89</v>
      </c>
      <c r="W16" s="5" t="s">
        <v>90</v>
      </c>
      <c r="X16" s="5" t="s">
        <v>72</v>
      </c>
      <c r="Y16" s="5" t="s">
        <v>73</v>
      </c>
      <c r="Z16" s="5" t="s">
        <v>70</v>
      </c>
      <c r="AC16" s="5" t="s">
        <v>237</v>
      </c>
      <c r="AD16" s="5" t="s">
        <v>89</v>
      </c>
      <c r="AE16" s="5" t="s">
        <v>117</v>
      </c>
      <c r="AF16" s="9" t="n">
        <v>44321</v>
      </c>
      <c r="AG16" s="5" t="n">
        <v>2021</v>
      </c>
      <c r="AI16" s="9" t="n">
        <v>44774</v>
      </c>
      <c r="AJ16" s="5" t="n">
        <v>4</v>
      </c>
      <c r="AK16" s="5" t="s">
        <v>75</v>
      </c>
      <c r="AL16" s="5" t="n">
        <v>533876</v>
      </c>
      <c r="AM16" s="5" t="s">
        <v>238</v>
      </c>
      <c r="AN16" s="5"/>
      <c r="AO16" s="5"/>
      <c r="AQ16" s="5" t="s">
        <v>93</v>
      </c>
      <c r="AR16" s="5" t="s">
        <v>72</v>
      </c>
      <c r="AS16" s="5" t="s">
        <v>73</v>
      </c>
      <c r="AT16" s="5" t="s">
        <v>71</v>
      </c>
      <c r="AU16" s="10" t="s">
        <v>120</v>
      </c>
      <c r="AW16" s="5" t="s">
        <v>201</v>
      </c>
      <c r="AX16" s="5" t="s">
        <v>79</v>
      </c>
      <c r="AY16" s="5"/>
      <c r="AZ16" s="5" t="s">
        <v>239</v>
      </c>
      <c r="BD16" s="9" t="n">
        <v>44980</v>
      </c>
      <c r="BE16" s="9" t="n">
        <v>45566</v>
      </c>
      <c r="BF16" s="5" t="s">
        <v>65</v>
      </c>
      <c r="BG16" s="8" t="s">
        <v>240</v>
      </c>
      <c r="BI16" s="5" t="s">
        <v>241</v>
      </c>
      <c r="BJ16" s="5" t="n">
        <v>2022</v>
      </c>
      <c r="BK16" s="11" t="n">
        <v>46030</v>
      </c>
    </row>
    <row r="17" customFormat="false" ht="16.5" hidden="false" customHeight="true" outlineLevel="0" collapsed="false">
      <c r="A17" s="5" t="s">
        <v>242</v>
      </c>
      <c r="B17" s="5" t="s">
        <v>243</v>
      </c>
      <c r="C17" s="5"/>
      <c r="D17" s="5" t="s">
        <v>62</v>
      </c>
      <c r="E17" s="16" t="n">
        <v>14000000</v>
      </c>
      <c r="F17" s="17" t="n">
        <v>12634909</v>
      </c>
      <c r="G17" s="5" t="s">
        <v>132</v>
      </c>
      <c r="H17" s="6" t="n">
        <v>17427480</v>
      </c>
      <c r="I17" s="6" t="n">
        <v>14937840</v>
      </c>
      <c r="J17" s="7" t="n">
        <f aca="false">E17*1.19</f>
        <v>16660000</v>
      </c>
      <c r="K17" s="7" t="n">
        <f aca="false">F17*1.19</f>
        <v>15035541.71</v>
      </c>
      <c r="L17" s="5" t="s">
        <v>84</v>
      </c>
      <c r="M17" s="5" t="s">
        <v>65</v>
      </c>
      <c r="N17" s="8" t="s">
        <v>244</v>
      </c>
      <c r="O17" s="5" t="s">
        <v>245</v>
      </c>
      <c r="P17" s="5"/>
      <c r="Q17" s="5"/>
      <c r="R17" s="5"/>
      <c r="S17" s="5"/>
      <c r="T17" s="5" t="s">
        <v>246</v>
      </c>
      <c r="U17" s="5"/>
      <c r="V17" s="5" t="s">
        <v>247</v>
      </c>
      <c r="W17" s="5" t="s">
        <v>90</v>
      </c>
      <c r="X17" s="5" t="s">
        <v>139</v>
      </c>
      <c r="Y17" s="5" t="s">
        <v>73</v>
      </c>
      <c r="Z17" s="5"/>
      <c r="AC17" s="5" t="s">
        <v>248</v>
      </c>
      <c r="AD17" s="5"/>
      <c r="AE17" s="5" t="s">
        <v>117</v>
      </c>
      <c r="AF17" s="9"/>
      <c r="AG17" s="5"/>
      <c r="AH17" s="9" t="n">
        <v>45331</v>
      </c>
      <c r="AI17" s="9" t="n">
        <v>45383</v>
      </c>
      <c r="AJ17" s="5" t="n">
        <v>5</v>
      </c>
      <c r="AK17" s="5" t="s">
        <v>75</v>
      </c>
      <c r="AL17" s="5" t="n">
        <v>3485496</v>
      </c>
      <c r="AM17" s="5" t="s">
        <v>140</v>
      </c>
      <c r="AN17" s="5" t="s">
        <v>141</v>
      </c>
      <c r="AQ17" s="5" t="s">
        <v>77</v>
      </c>
      <c r="AR17" s="5" t="s">
        <v>143</v>
      </c>
      <c r="AS17" s="5" t="s">
        <v>73</v>
      </c>
      <c r="AT17" s="5" t="s">
        <v>105</v>
      </c>
      <c r="AU17" s="10" t="s">
        <v>106</v>
      </c>
      <c r="AW17" s="5" t="s">
        <v>94</v>
      </c>
      <c r="AX17" s="10" t="str">
        <f aca="false">IFERROR(INDEX('full database 2024'!ar:ar, MATCH(A17, 'full database 2024'!b:b, 0)), "")</f>
        <v/>
      </c>
      <c r="AZ17" s="5" t="s">
        <v>95</v>
      </c>
      <c r="BA17" s="5"/>
      <c r="BD17" s="9" t="n">
        <v>45406</v>
      </c>
      <c r="BE17" s="9" t="n">
        <v>45779</v>
      </c>
      <c r="BF17" s="5" t="s">
        <v>65</v>
      </c>
      <c r="BG17" s="8" t="s">
        <v>249</v>
      </c>
      <c r="BH17" s="5" t="s">
        <v>65</v>
      </c>
      <c r="BI17" s="5"/>
      <c r="BJ17" s="5" t="n">
        <v>2024</v>
      </c>
      <c r="BK17" s="11" t="n">
        <v>47122</v>
      </c>
    </row>
    <row r="18" customFormat="false" ht="16.5" hidden="false" customHeight="true" outlineLevel="0" collapsed="false">
      <c r="A18" s="5" t="s">
        <v>250</v>
      </c>
      <c r="B18" s="5" t="s">
        <v>251</v>
      </c>
      <c r="C18" s="5"/>
      <c r="D18" s="5" t="s">
        <v>62</v>
      </c>
      <c r="E18" s="5" t="n">
        <v>13909093</v>
      </c>
      <c r="F18" s="5" t="n">
        <v>11999660</v>
      </c>
      <c r="G18" s="5" t="s">
        <v>147</v>
      </c>
      <c r="H18" s="6" t="n">
        <v>14715959</v>
      </c>
      <c r="I18" s="6" t="n">
        <v>12695760</v>
      </c>
      <c r="J18" s="7" t="n">
        <v>13909093</v>
      </c>
      <c r="K18" s="7" t="n">
        <v>11999660</v>
      </c>
      <c r="L18" s="5" t="s">
        <v>84</v>
      </c>
      <c r="M18" s="5" t="s">
        <v>65</v>
      </c>
      <c r="N18" s="8" t="s">
        <v>252</v>
      </c>
      <c r="O18" s="5" t="s">
        <v>253</v>
      </c>
      <c r="P18" s="5"/>
      <c r="Q18" s="5"/>
      <c r="R18" s="5" t="s">
        <v>254</v>
      </c>
      <c r="T18" s="5" t="s">
        <v>255</v>
      </c>
      <c r="U18" s="5" t="s">
        <v>70</v>
      </c>
      <c r="V18" s="5" t="s">
        <v>256</v>
      </c>
      <c r="W18" s="5" t="s">
        <v>102</v>
      </c>
      <c r="X18" s="5" t="s">
        <v>257</v>
      </c>
      <c r="Y18" s="5" t="s">
        <v>73</v>
      </c>
      <c r="Z18" s="5" t="s">
        <v>70</v>
      </c>
      <c r="AC18" s="5"/>
      <c r="AD18" s="5" t="s">
        <v>258</v>
      </c>
      <c r="AE18" s="5" t="s">
        <v>74</v>
      </c>
      <c r="AH18" s="9"/>
      <c r="AI18" s="9" t="n">
        <v>44866</v>
      </c>
      <c r="AJ18" s="5" t="n">
        <v>4</v>
      </c>
      <c r="AK18" s="5" t="s">
        <v>75</v>
      </c>
      <c r="AL18" s="5" t="n">
        <v>3678990</v>
      </c>
      <c r="AM18" s="5" t="s">
        <v>182</v>
      </c>
      <c r="AN18" s="5" t="str">
        <f aca="false">IFERROR(INDEX('full database 2024'!aj:aj, MATCH(A18, 'full database 2024'!b:b, 0)), "")</f>
        <v/>
      </c>
      <c r="AQ18" s="5" t="s">
        <v>184</v>
      </c>
      <c r="AR18" s="5" t="s">
        <v>185</v>
      </c>
      <c r="AS18" s="5" t="s">
        <v>73</v>
      </c>
      <c r="AT18" s="5" t="s">
        <v>78</v>
      </c>
      <c r="AU18" s="10" t="s">
        <v>259</v>
      </c>
      <c r="AW18" s="5" t="s">
        <v>260</v>
      </c>
      <c r="AX18" s="10" t="str">
        <f aca="false">IFERROR(INDEX('full database 2024'!ar:ar, MATCH(A18, 'full database 2024'!b:b, 0)), "")</f>
        <v/>
      </c>
      <c r="AZ18" s="5" t="s">
        <v>261</v>
      </c>
      <c r="BD18" s="9" t="n">
        <v>44984</v>
      </c>
      <c r="BE18" s="9" t="n">
        <v>45779</v>
      </c>
      <c r="BF18" s="5"/>
      <c r="BG18" s="5"/>
      <c r="BH18" s="5"/>
      <c r="BI18" s="5" t="s">
        <v>81</v>
      </c>
      <c r="BJ18" s="5" t="n">
        <v>2022</v>
      </c>
      <c r="BK18" s="11" t="n">
        <v>46033</v>
      </c>
    </row>
    <row r="19" customFormat="false" ht="16.5" hidden="false" customHeight="true" outlineLevel="0" collapsed="false">
      <c r="A19" s="5" t="s">
        <v>262</v>
      </c>
      <c r="B19" s="19" t="s">
        <v>263</v>
      </c>
      <c r="C19" s="5"/>
      <c r="D19" s="5" t="s">
        <v>62</v>
      </c>
      <c r="E19" s="20" t="s">
        <v>264</v>
      </c>
      <c r="F19" s="20" t="s">
        <v>264</v>
      </c>
      <c r="G19" s="5" t="s">
        <v>147</v>
      </c>
      <c r="H19" s="6"/>
      <c r="I19" s="6"/>
      <c r="J19" s="21" t="n">
        <v>11303944.75</v>
      </c>
      <c r="K19" s="21" t="n">
        <v>11303944.75</v>
      </c>
      <c r="L19" s="5" t="s">
        <v>84</v>
      </c>
      <c r="M19" s="5" t="s">
        <v>65</v>
      </c>
      <c r="N19" s="8" t="s">
        <v>265</v>
      </c>
      <c r="O19" s="15" t="s">
        <v>266</v>
      </c>
      <c r="P19" s="5"/>
      <c r="Q19" s="5"/>
      <c r="R19" s="5" t="s">
        <v>267</v>
      </c>
      <c r="T19" s="5" t="s">
        <v>268</v>
      </c>
      <c r="U19" s="5" t="s">
        <v>269</v>
      </c>
      <c r="V19" s="5" t="s">
        <v>270</v>
      </c>
      <c r="W19" s="5" t="s">
        <v>90</v>
      </c>
      <c r="X19" s="5" t="s">
        <v>271</v>
      </c>
      <c r="Y19" s="5" t="s">
        <v>73</v>
      </c>
      <c r="Z19" s="5" t="s">
        <v>70</v>
      </c>
      <c r="AD19" s="5" t="s">
        <v>272</v>
      </c>
      <c r="AE19" s="5" t="s">
        <v>74</v>
      </c>
      <c r="AI19" s="9" t="n">
        <v>44805</v>
      </c>
      <c r="AJ19" s="5" t="n">
        <v>4</v>
      </c>
      <c r="AK19" s="5" t="s">
        <v>75</v>
      </c>
      <c r="AL19" s="5" t="n">
        <v>3470337</v>
      </c>
      <c r="AM19" s="5" t="s">
        <v>182</v>
      </c>
      <c r="AN19" s="5" t="str">
        <f aca="false">IFERROR(INDEX('full database 2024'!aj:aj, MATCH(A19, 'full database 2024'!b:b, 0)), "")</f>
        <v/>
      </c>
      <c r="AQ19" s="5" t="s">
        <v>77</v>
      </c>
      <c r="AR19" s="5" t="s">
        <v>185</v>
      </c>
      <c r="AS19" s="5" t="s">
        <v>73</v>
      </c>
      <c r="AT19" s="5" t="s">
        <v>78</v>
      </c>
      <c r="AU19" s="10" t="s">
        <v>259</v>
      </c>
      <c r="AW19" s="5" t="s">
        <v>94</v>
      </c>
      <c r="AX19" s="10" t="str">
        <f aca="false">IFERROR(INDEX('full database 2024'!ar:ar, MATCH(A19, 'full database 2024'!b:b, 0)), "")</f>
        <v/>
      </c>
      <c r="AZ19" s="5" t="s">
        <v>273</v>
      </c>
      <c r="BD19" s="9" t="n">
        <v>44985</v>
      </c>
      <c r="BE19" s="9" t="n">
        <v>45035</v>
      </c>
      <c r="BI19" s="5" t="s">
        <v>145</v>
      </c>
      <c r="BJ19" s="5" t="n">
        <v>2022</v>
      </c>
      <c r="BK19" s="11" t="n">
        <v>46031</v>
      </c>
    </row>
    <row r="20" customFormat="false" ht="16.5" hidden="false" customHeight="true" outlineLevel="0" collapsed="false">
      <c r="A20" s="5" t="s">
        <v>274</v>
      </c>
      <c r="B20" s="5" t="s">
        <v>275</v>
      </c>
      <c r="C20" s="5"/>
      <c r="D20" s="5" t="s">
        <v>62</v>
      </c>
      <c r="E20" s="5" t="n">
        <v>12000000</v>
      </c>
      <c r="F20" s="5" t="n">
        <v>12000000</v>
      </c>
      <c r="G20" s="5" t="s">
        <v>147</v>
      </c>
      <c r="H20" s="6" t="n">
        <v>13145700</v>
      </c>
      <c r="I20" s="6" t="n">
        <v>13145700</v>
      </c>
      <c r="J20" s="7" t="n">
        <v>12000000</v>
      </c>
      <c r="K20" s="7" t="n">
        <v>12000000</v>
      </c>
      <c r="L20" s="5" t="s">
        <v>84</v>
      </c>
      <c r="M20" s="5" t="s">
        <v>65</v>
      </c>
      <c r="N20" s="8" t="s">
        <v>276</v>
      </c>
      <c r="P20" s="5"/>
      <c r="Q20" s="5"/>
      <c r="R20" s="5" t="s">
        <v>277</v>
      </c>
      <c r="T20" s="5" t="s">
        <v>278</v>
      </c>
      <c r="U20" s="5" t="s">
        <v>70</v>
      </c>
      <c r="V20" s="5" t="s">
        <v>279</v>
      </c>
      <c r="W20" s="5" t="s">
        <v>102</v>
      </c>
      <c r="X20" s="5" t="s">
        <v>160</v>
      </c>
      <c r="Y20" s="5" t="s">
        <v>73</v>
      </c>
      <c r="Z20" s="5" t="s">
        <v>70</v>
      </c>
      <c r="AD20" s="5"/>
      <c r="AE20" s="5" t="s">
        <v>117</v>
      </c>
      <c r="AI20" s="9" t="n">
        <v>45301</v>
      </c>
      <c r="AJ20" s="5" t="n">
        <v>2</v>
      </c>
      <c r="AK20" s="5" t="s">
        <v>75</v>
      </c>
      <c r="AL20" s="5" t="n">
        <v>6572850</v>
      </c>
      <c r="AM20" s="5" t="s">
        <v>182</v>
      </c>
      <c r="AN20" s="22" t="s">
        <v>280</v>
      </c>
      <c r="AQ20" s="5" t="s">
        <v>77</v>
      </c>
      <c r="AR20" s="5" t="s">
        <v>185</v>
      </c>
      <c r="AS20" s="5" t="s">
        <v>73</v>
      </c>
      <c r="AT20" s="5" t="s">
        <v>105</v>
      </c>
      <c r="AU20" s="10" t="s">
        <v>186</v>
      </c>
      <c r="AW20" s="5" t="s">
        <v>162</v>
      </c>
      <c r="AX20" s="10" t="str">
        <f aca="false">IFERROR(INDEX('full database 2024'!ar:ar, MATCH(A20, 'full database 2024'!b:b, 0)), "")</f>
        <v/>
      </c>
      <c r="AZ20" s="5" t="s">
        <v>121</v>
      </c>
      <c r="BD20" s="9" t="n">
        <v>45303</v>
      </c>
      <c r="BE20" s="9" t="n">
        <v>45303</v>
      </c>
      <c r="BI20" s="5" t="s">
        <v>81</v>
      </c>
      <c r="BJ20" s="5" t="n">
        <v>2024</v>
      </c>
      <c r="BK20" s="11" t="n">
        <v>46296</v>
      </c>
    </row>
    <row r="21" customFormat="false" ht="16.5" hidden="false" customHeight="true" outlineLevel="0" collapsed="false">
      <c r="A21" s="5" t="s">
        <v>281</v>
      </c>
      <c r="B21" s="5" t="s">
        <v>282</v>
      </c>
      <c r="C21" s="5"/>
      <c r="D21" s="5" t="s">
        <v>62</v>
      </c>
      <c r="E21" s="5" t="n">
        <v>11955980</v>
      </c>
      <c r="F21" s="5" t="n">
        <v>11955980</v>
      </c>
      <c r="G21" s="5" t="s">
        <v>110</v>
      </c>
      <c r="H21" s="6" t="n">
        <v>1213201</v>
      </c>
      <c r="I21" s="6" t="n">
        <v>1213201</v>
      </c>
      <c r="J21" s="18" t="n">
        <f aca="false">E21*0.087</f>
        <v>1040170.26</v>
      </c>
      <c r="K21" s="18" t="n">
        <f aca="false">F21*0.087</f>
        <v>1040170.26</v>
      </c>
      <c r="L21" s="5" t="s">
        <v>84</v>
      </c>
      <c r="M21" s="5" t="s">
        <v>65</v>
      </c>
      <c r="N21" s="8" t="s">
        <v>283</v>
      </c>
      <c r="O21" s="13"/>
      <c r="P21" s="5"/>
      <c r="Q21" s="5"/>
      <c r="R21" s="5"/>
      <c r="T21" s="5" t="s">
        <v>284</v>
      </c>
      <c r="U21" s="5"/>
      <c r="V21" s="5" t="s">
        <v>285</v>
      </c>
      <c r="W21" s="5"/>
      <c r="X21" s="5" t="s">
        <v>115</v>
      </c>
      <c r="Y21" s="5" t="s">
        <v>73</v>
      </c>
      <c r="Z21" s="5"/>
      <c r="AE21" s="5"/>
      <c r="AI21" s="9" t="n">
        <v>44197</v>
      </c>
      <c r="AJ21" s="5"/>
      <c r="AK21" s="5"/>
      <c r="AL21" s="5" t="n">
        <v>1213201</v>
      </c>
      <c r="AM21" s="5" t="s">
        <v>173</v>
      </c>
      <c r="AN21" s="5"/>
      <c r="AQ21" s="5" t="s">
        <v>77</v>
      </c>
      <c r="AR21" s="5" t="s">
        <v>115</v>
      </c>
      <c r="AS21" s="5" t="s">
        <v>73</v>
      </c>
      <c r="AT21" s="5" t="s">
        <v>71</v>
      </c>
      <c r="AU21" s="10" t="s">
        <v>286</v>
      </c>
      <c r="AW21" s="5" t="s">
        <v>94</v>
      </c>
      <c r="AX21" s="10" t="str">
        <f aca="false">IFERROR(INDEX('full database 2024'!ar:ar, MATCH(A21, 'full database 2024'!b:b, 0)), "")</f>
        <v/>
      </c>
      <c r="AZ21" s="5" t="s">
        <v>287</v>
      </c>
      <c r="BD21" s="9" t="n">
        <v>45596</v>
      </c>
      <c r="BE21" s="9" t="n">
        <v>45596</v>
      </c>
      <c r="BI21" s="5"/>
      <c r="BJ21" s="5" t="n">
        <v>2021</v>
      </c>
      <c r="BK21" s="11" t="n">
        <v>36526</v>
      </c>
    </row>
    <row r="22" customFormat="false" ht="16.5" hidden="false" customHeight="true" outlineLevel="0" collapsed="false">
      <c r="A22" s="5" t="s">
        <v>288</v>
      </c>
      <c r="B22" s="5" t="s">
        <v>289</v>
      </c>
      <c r="C22" s="5"/>
      <c r="D22" s="5" t="s">
        <v>62</v>
      </c>
      <c r="E22" s="5" t="n">
        <v>11400000</v>
      </c>
      <c r="F22" s="5" t="n">
        <v>8300000</v>
      </c>
      <c r="G22" s="5" t="s">
        <v>147</v>
      </c>
      <c r="H22" s="6" t="n">
        <v>12110619</v>
      </c>
      <c r="I22" s="6" t="n">
        <v>8817380</v>
      </c>
      <c r="J22" s="7" t="n">
        <v>11400000</v>
      </c>
      <c r="K22" s="7" t="n">
        <v>8300000</v>
      </c>
      <c r="L22" s="5" t="s">
        <v>84</v>
      </c>
      <c r="M22" s="5" t="s">
        <v>65</v>
      </c>
      <c r="N22" s="8" t="s">
        <v>290</v>
      </c>
      <c r="P22" s="5"/>
      <c r="Q22" s="5"/>
      <c r="R22" s="5" t="s">
        <v>291</v>
      </c>
      <c r="T22" s="5" t="s">
        <v>292</v>
      </c>
      <c r="U22" s="5" t="s">
        <v>70</v>
      </c>
      <c r="V22" s="5" t="s">
        <v>293</v>
      </c>
      <c r="W22" s="5" t="s">
        <v>102</v>
      </c>
      <c r="X22" s="5" t="s">
        <v>180</v>
      </c>
      <c r="Y22" s="5" t="s">
        <v>73</v>
      </c>
      <c r="Z22" s="5" t="s">
        <v>70</v>
      </c>
      <c r="AD22" s="5" t="s">
        <v>294</v>
      </c>
      <c r="AE22" s="5" t="s">
        <v>74</v>
      </c>
      <c r="AI22" s="9" t="n">
        <v>44985</v>
      </c>
      <c r="AJ22" s="5" t="n">
        <v>5</v>
      </c>
      <c r="AK22" s="5" t="s">
        <v>75</v>
      </c>
      <c r="AL22" s="5" t="n">
        <v>2422124</v>
      </c>
      <c r="AM22" s="5" t="s">
        <v>295</v>
      </c>
      <c r="AN22" s="5"/>
      <c r="AQ22" s="5" t="s">
        <v>184</v>
      </c>
      <c r="AR22" s="5" t="s">
        <v>180</v>
      </c>
      <c r="AS22" s="5" t="s">
        <v>73</v>
      </c>
      <c r="AT22" s="5" t="s">
        <v>78</v>
      </c>
      <c r="AW22" s="5" t="s">
        <v>94</v>
      </c>
      <c r="AX22" s="5" t="s">
        <v>296</v>
      </c>
      <c r="AY22" s="5" t="s">
        <v>297</v>
      </c>
      <c r="AZ22" s="5" t="s">
        <v>188</v>
      </c>
      <c r="BD22" s="9" t="n">
        <v>44985</v>
      </c>
      <c r="BE22" s="9" t="n">
        <v>45035</v>
      </c>
      <c r="BI22" s="5" t="s">
        <v>81</v>
      </c>
      <c r="BJ22" s="5" t="n">
        <v>2023</v>
      </c>
      <c r="BK22" s="5" t="s">
        <v>298</v>
      </c>
    </row>
    <row r="23" customFormat="false" ht="16.5" hidden="false" customHeight="true" outlineLevel="0" collapsed="false">
      <c r="A23" s="5" t="s">
        <v>299</v>
      </c>
      <c r="B23" s="23" t="s">
        <v>300</v>
      </c>
      <c r="C23" s="5"/>
      <c r="D23" s="5" t="s">
        <v>62</v>
      </c>
      <c r="E23" s="5" t="n">
        <v>11209955</v>
      </c>
      <c r="F23" s="5" t="n">
        <v>2999797</v>
      </c>
      <c r="G23" s="5" t="s">
        <v>147</v>
      </c>
      <c r="H23" s="6" t="n">
        <v>12238602</v>
      </c>
      <c r="I23" s="6" t="n">
        <v>3275064</v>
      </c>
      <c r="J23" s="7" t="n">
        <v>11209955</v>
      </c>
      <c r="K23" s="7" t="n">
        <v>2999797</v>
      </c>
      <c r="L23" s="5" t="s">
        <v>84</v>
      </c>
      <c r="M23" s="5" t="s">
        <v>65</v>
      </c>
      <c r="N23" s="8" t="s">
        <v>301</v>
      </c>
      <c r="P23" s="5"/>
      <c r="Q23" s="5"/>
      <c r="R23" s="5" t="s">
        <v>302</v>
      </c>
      <c r="T23" s="5" t="s">
        <v>303</v>
      </c>
      <c r="U23" s="5" t="s">
        <v>70</v>
      </c>
      <c r="V23" s="5" t="s">
        <v>304</v>
      </c>
      <c r="W23" s="5" t="s">
        <v>305</v>
      </c>
      <c r="X23" s="5" t="s">
        <v>180</v>
      </c>
      <c r="Y23" s="5" t="s">
        <v>73</v>
      </c>
      <c r="Z23" s="5" t="s">
        <v>70</v>
      </c>
      <c r="AD23" s="5" t="s">
        <v>306</v>
      </c>
      <c r="AE23" s="5" t="s">
        <v>74</v>
      </c>
      <c r="AI23" s="9" t="n">
        <v>44927</v>
      </c>
      <c r="AJ23" s="5" t="n">
        <v>6</v>
      </c>
      <c r="AK23" s="5" t="s">
        <v>75</v>
      </c>
      <c r="AL23" s="5" t="n">
        <v>2039767</v>
      </c>
      <c r="AM23" s="5" t="s">
        <v>307</v>
      </c>
      <c r="AN23" s="5"/>
      <c r="AP23" s="8" t="s">
        <v>308</v>
      </c>
      <c r="AQ23" s="5" t="s">
        <v>184</v>
      </c>
      <c r="AR23" s="5" t="s">
        <v>180</v>
      </c>
      <c r="AS23" s="5" t="s">
        <v>73</v>
      </c>
      <c r="AT23" s="5" t="s">
        <v>78</v>
      </c>
      <c r="AW23" s="5" t="s">
        <v>94</v>
      </c>
      <c r="AX23" s="10" t="str">
        <f aca="false">IFERROR(INDEX('full database 2024'!ar:ar, MATCH(A23, 'full database 2024'!b:b, 0)), "")</f>
        <v/>
      </c>
      <c r="AZ23" s="5" t="s">
        <v>309</v>
      </c>
      <c r="BD23" s="9" t="n">
        <v>45057</v>
      </c>
      <c r="BE23" s="9" t="n">
        <v>45057</v>
      </c>
      <c r="BI23" s="5" t="s">
        <v>81</v>
      </c>
      <c r="BJ23" s="5" t="n">
        <v>2023</v>
      </c>
      <c r="BK23" s="11" t="n">
        <v>47119</v>
      </c>
    </row>
    <row r="24" customFormat="false" ht="16.5" hidden="false" customHeight="true" outlineLevel="0" collapsed="false">
      <c r="A24" s="5" t="s">
        <v>310</v>
      </c>
      <c r="B24" s="5" t="s">
        <v>311</v>
      </c>
      <c r="C24" s="5"/>
      <c r="D24" s="5" t="s">
        <v>62</v>
      </c>
      <c r="E24" s="5" t="n">
        <v>10815148</v>
      </c>
      <c r="F24" s="5" t="n">
        <v>10815148</v>
      </c>
      <c r="G24" s="5" t="s">
        <v>147</v>
      </c>
      <c r="H24" s="6" t="n">
        <v>11871463</v>
      </c>
      <c r="I24" s="6" t="n">
        <v>11871463</v>
      </c>
      <c r="J24" s="7" t="n">
        <v>10815148</v>
      </c>
      <c r="K24" s="7" t="n">
        <v>10815148</v>
      </c>
      <c r="L24" s="5" t="s">
        <v>84</v>
      </c>
      <c r="M24" s="5" t="s">
        <v>65</v>
      </c>
      <c r="N24" s="8" t="s">
        <v>312</v>
      </c>
      <c r="P24" s="5"/>
      <c r="Q24" s="5"/>
      <c r="R24" s="5" t="s">
        <v>313</v>
      </c>
      <c r="T24" s="5" t="s">
        <v>314</v>
      </c>
      <c r="U24" s="5" t="s">
        <v>315</v>
      </c>
      <c r="V24" s="5" t="s">
        <v>316</v>
      </c>
      <c r="W24" s="5" t="s">
        <v>305</v>
      </c>
      <c r="X24" s="5" t="s">
        <v>180</v>
      </c>
      <c r="Y24" s="5" t="s">
        <v>73</v>
      </c>
      <c r="Z24" s="5" t="s">
        <v>70</v>
      </c>
      <c r="AD24" s="5" t="s">
        <v>317</v>
      </c>
      <c r="AE24" s="5" t="s">
        <v>74</v>
      </c>
      <c r="AI24" s="9" t="n">
        <v>44986</v>
      </c>
      <c r="AJ24" s="5" t="n">
        <v>5</v>
      </c>
      <c r="AK24" s="5" t="s">
        <v>75</v>
      </c>
      <c r="AL24" s="5" t="n">
        <v>2374293</v>
      </c>
      <c r="AM24" s="5" t="s">
        <v>182</v>
      </c>
      <c r="AN24" s="5" t="str">
        <f aca="false" t="array" ref="AN24:AN24">IFERROR(INDEX('full database 2024'!aj:aj, MATCH(A24, 'full database 2024'!b:b, 0)), "")</f>
        <v/>
      </c>
      <c r="AP24" s="5"/>
      <c r="AQ24" s="5" t="s">
        <v>77</v>
      </c>
      <c r="AR24" s="5" t="s">
        <v>185</v>
      </c>
      <c r="AS24" s="5" t="s">
        <v>73</v>
      </c>
      <c r="AT24" s="5" t="s">
        <v>78</v>
      </c>
      <c r="AU24" s="10" t="s">
        <v>259</v>
      </c>
      <c r="AW24" s="5" t="s">
        <v>94</v>
      </c>
      <c r="AX24" s="10" t="str">
        <f aca="false">IFERROR(INDEX('full database 2024'!ar:ar, MATCH(A24, 'full database 2024'!b:b, 0)), "")</f>
        <v/>
      </c>
      <c r="AZ24" s="5" t="s">
        <v>318</v>
      </c>
      <c r="BD24" s="9" t="n">
        <v>45037</v>
      </c>
      <c r="BE24" s="9" t="n">
        <v>45037</v>
      </c>
      <c r="BI24" s="5" t="s">
        <v>81</v>
      </c>
      <c r="BJ24" s="5" t="n">
        <v>2023</v>
      </c>
      <c r="BK24" s="11" t="n">
        <v>46755</v>
      </c>
    </row>
    <row r="25" customFormat="false" ht="16.5" hidden="false" customHeight="true" outlineLevel="0" collapsed="false">
      <c r="A25" s="5" t="s">
        <v>319</v>
      </c>
      <c r="B25" s="5" t="s">
        <v>320</v>
      </c>
      <c r="C25" s="5"/>
      <c r="D25" s="5" t="s">
        <v>62</v>
      </c>
      <c r="E25" s="5" t="n">
        <v>10400000</v>
      </c>
      <c r="F25" s="5" t="n">
        <v>10400000</v>
      </c>
      <c r="G25" s="5" t="s">
        <v>147</v>
      </c>
      <c r="H25" s="6" t="n">
        <v>11425804</v>
      </c>
      <c r="I25" s="6" t="n">
        <v>11425804</v>
      </c>
      <c r="J25" s="7" t="n">
        <v>10400000</v>
      </c>
      <c r="K25" s="7" t="n">
        <v>10400000</v>
      </c>
      <c r="L25" s="5" t="s">
        <v>84</v>
      </c>
      <c r="M25" s="5" t="s">
        <v>65</v>
      </c>
      <c r="N25" s="8" t="s">
        <v>321</v>
      </c>
      <c r="P25" s="5"/>
      <c r="Q25" s="5"/>
      <c r="R25" s="5" t="s">
        <v>322</v>
      </c>
      <c r="T25" s="5" t="s">
        <v>323</v>
      </c>
      <c r="U25" s="5" t="s">
        <v>70</v>
      </c>
      <c r="V25" s="5" t="s">
        <v>324</v>
      </c>
      <c r="W25" s="5" t="s">
        <v>102</v>
      </c>
      <c r="X25" s="5" t="s">
        <v>180</v>
      </c>
      <c r="Y25" s="5" t="s">
        <v>73</v>
      </c>
      <c r="Z25" s="5" t="s">
        <v>70</v>
      </c>
      <c r="AD25" s="5"/>
      <c r="AE25" s="5" t="s">
        <v>117</v>
      </c>
      <c r="AI25" s="9" t="n">
        <v>44903</v>
      </c>
      <c r="AJ25" s="5" t="n">
        <v>2</v>
      </c>
      <c r="AK25" s="5" t="s">
        <v>75</v>
      </c>
      <c r="AL25" s="5" t="n">
        <v>5712902</v>
      </c>
      <c r="AM25" s="5" t="s">
        <v>325</v>
      </c>
      <c r="AN25" s="5"/>
      <c r="AP25" s="8" t="s">
        <v>326</v>
      </c>
      <c r="AQ25" s="5" t="s">
        <v>77</v>
      </c>
      <c r="AR25" s="5" t="s">
        <v>180</v>
      </c>
      <c r="AS25" s="5" t="s">
        <v>73</v>
      </c>
      <c r="AT25" s="5" t="s">
        <v>78</v>
      </c>
      <c r="AW25" s="5" t="s">
        <v>162</v>
      </c>
      <c r="AX25" s="10" t="str">
        <f aca="false">IFERROR(INDEX('full database 2024'!ar:ar, MATCH(A25, 'full database 2024'!b:b, 0)), "")</f>
        <v/>
      </c>
      <c r="AZ25" s="10"/>
      <c r="BD25" s="9" t="n">
        <v>45036</v>
      </c>
      <c r="BE25" s="9" t="n">
        <v>45265</v>
      </c>
      <c r="BI25" s="5" t="s">
        <v>81</v>
      </c>
      <c r="BJ25" s="5" t="n">
        <v>2022</v>
      </c>
      <c r="BK25" s="11" t="n">
        <v>45516</v>
      </c>
    </row>
    <row r="26" customFormat="false" ht="16.5" hidden="false" customHeight="true" outlineLevel="0" collapsed="false">
      <c r="A26" s="5" t="s">
        <v>327</v>
      </c>
      <c r="C26" s="5"/>
      <c r="D26" s="5" t="s">
        <v>62</v>
      </c>
      <c r="E26" s="5" t="n">
        <v>10347863</v>
      </c>
      <c r="F26" s="5" t="n">
        <v>10272862</v>
      </c>
      <c r="G26" s="5" t="s">
        <v>147</v>
      </c>
      <c r="H26" s="6" t="n">
        <v>11338774</v>
      </c>
      <c r="I26" s="6" t="n">
        <v>11256591</v>
      </c>
      <c r="J26" s="7" t="n">
        <v>10347863</v>
      </c>
      <c r="K26" s="7" t="n">
        <v>10272862</v>
      </c>
      <c r="L26" s="5" t="s">
        <v>84</v>
      </c>
      <c r="M26" s="5" t="s">
        <v>65</v>
      </c>
      <c r="N26" s="8" t="s">
        <v>328</v>
      </c>
      <c r="P26" s="5"/>
      <c r="Q26" s="5"/>
      <c r="R26" s="5" t="s">
        <v>329</v>
      </c>
      <c r="T26" s="5" t="s">
        <v>330</v>
      </c>
      <c r="U26" s="5" t="s">
        <v>331</v>
      </c>
      <c r="V26" s="5" t="s">
        <v>332</v>
      </c>
      <c r="W26" s="5" t="s">
        <v>90</v>
      </c>
      <c r="X26" s="5" t="s">
        <v>333</v>
      </c>
      <c r="Y26" s="5" t="s">
        <v>73</v>
      </c>
      <c r="Z26" s="5" t="s">
        <v>70</v>
      </c>
      <c r="AD26" s="5" t="s">
        <v>334</v>
      </c>
      <c r="AE26" s="5" t="s">
        <v>74</v>
      </c>
      <c r="AI26" s="9" t="n">
        <v>44805</v>
      </c>
      <c r="AJ26" s="5" t="n">
        <v>4</v>
      </c>
      <c r="AK26" s="5" t="s">
        <v>75</v>
      </c>
      <c r="AL26" s="5" t="n">
        <v>2834694</v>
      </c>
      <c r="AM26" s="5" t="s">
        <v>182</v>
      </c>
      <c r="AN26" s="5" t="str">
        <f aca="false" t="array" ref="AN26:AN26">IFERROR(INDEX('full database 2024'!aj:aj, MATCH(A26, 'full database 2024'!b:b, 0)), "")</f>
        <v/>
      </c>
      <c r="AP26" s="5"/>
      <c r="AQ26" s="5" t="s">
        <v>77</v>
      </c>
      <c r="AR26" s="5" t="s">
        <v>185</v>
      </c>
      <c r="AS26" s="5" t="s">
        <v>73</v>
      </c>
      <c r="AT26" s="5" t="s">
        <v>71</v>
      </c>
      <c r="AU26" s="10" t="s">
        <v>286</v>
      </c>
      <c r="AW26" s="5" t="s">
        <v>94</v>
      </c>
      <c r="AX26" s="10" t="str">
        <f aca="false">IFERROR(INDEX('full database 2024'!ar:ar, MATCH(A26, 'full database 2024'!b:b, 0)), "")</f>
        <v/>
      </c>
      <c r="AZ26" s="5" t="s">
        <v>335</v>
      </c>
      <c r="BD26" s="9" t="n">
        <v>45035</v>
      </c>
      <c r="BE26" s="9" t="n">
        <v>45035</v>
      </c>
      <c r="BI26" s="5" t="s">
        <v>81</v>
      </c>
      <c r="BJ26" s="5" t="n">
        <v>2022</v>
      </c>
      <c r="BK26" s="11" t="n">
        <v>46031</v>
      </c>
    </row>
    <row r="27" customFormat="false" ht="16.5" hidden="false" customHeight="true" outlineLevel="0" collapsed="false">
      <c r="A27" s="5" t="s">
        <v>336</v>
      </c>
      <c r="B27" s="5" t="s">
        <v>337</v>
      </c>
      <c r="C27" s="5"/>
      <c r="D27" s="5" t="s">
        <v>62</v>
      </c>
      <c r="E27" s="5" t="n">
        <v>10000000</v>
      </c>
      <c r="F27" s="5" t="n">
        <v>10000000</v>
      </c>
      <c r="G27" s="5" t="s">
        <v>147</v>
      </c>
      <c r="H27" s="6" t="n">
        <v>10969100</v>
      </c>
      <c r="I27" s="6" t="n">
        <v>10969100</v>
      </c>
      <c r="J27" s="7" t="n">
        <v>10000000</v>
      </c>
      <c r="K27" s="7" t="n">
        <v>10000000</v>
      </c>
      <c r="L27" s="5" t="s">
        <v>84</v>
      </c>
      <c r="M27" s="5" t="s">
        <v>65</v>
      </c>
      <c r="N27" s="8" t="s">
        <v>338</v>
      </c>
      <c r="P27" s="5"/>
      <c r="Q27" s="5"/>
      <c r="R27" s="5" t="s">
        <v>339</v>
      </c>
      <c r="T27" s="5" t="s">
        <v>158</v>
      </c>
      <c r="U27" s="5" t="s">
        <v>70</v>
      </c>
      <c r="V27" s="5" t="s">
        <v>159</v>
      </c>
      <c r="W27" s="5" t="s">
        <v>102</v>
      </c>
      <c r="X27" s="5" t="s">
        <v>160</v>
      </c>
      <c r="Y27" s="5" t="s">
        <v>73</v>
      </c>
      <c r="Z27" s="5" t="s">
        <v>70</v>
      </c>
      <c r="AD27" s="5"/>
      <c r="AE27" s="5" t="s">
        <v>117</v>
      </c>
      <c r="AI27" s="9" t="n">
        <v>44416</v>
      </c>
      <c r="AJ27" s="5" t="n">
        <v>2</v>
      </c>
      <c r="AK27" s="5" t="s">
        <v>75</v>
      </c>
      <c r="AL27" s="5" t="n">
        <v>5484550</v>
      </c>
      <c r="AM27" s="5" t="s">
        <v>340</v>
      </c>
      <c r="AN27" s="5"/>
      <c r="AQ27" s="5" t="s">
        <v>77</v>
      </c>
      <c r="AR27" s="5" t="s">
        <v>160</v>
      </c>
      <c r="AS27" s="5" t="s">
        <v>73</v>
      </c>
      <c r="AT27" s="5" t="s">
        <v>105</v>
      </c>
      <c r="AU27" s="10" t="s">
        <v>106</v>
      </c>
      <c r="AW27" s="5" t="s">
        <v>162</v>
      </c>
      <c r="AX27" s="10" t="str">
        <f aca="false">IFERROR(INDEX('full database 2024'!ar:ar, MATCH(A27, 'full database 2024'!b:b, 0)), "")</f>
        <v/>
      </c>
      <c r="AZ27" s="10"/>
      <c r="BD27" s="9" t="n">
        <v>45034</v>
      </c>
      <c r="BE27" s="9" t="n">
        <v>45035</v>
      </c>
      <c r="BI27" s="5" t="s">
        <v>81</v>
      </c>
      <c r="BJ27" s="5" t="n">
        <v>2021</v>
      </c>
      <c r="BK27" s="11" t="n">
        <v>45146</v>
      </c>
    </row>
    <row r="28" customFormat="false" ht="16.5" hidden="false" customHeight="true" outlineLevel="0" collapsed="false">
      <c r="A28" s="5" t="s">
        <v>341</v>
      </c>
      <c r="C28" s="5"/>
      <c r="D28" s="5" t="s">
        <v>62</v>
      </c>
      <c r="E28" s="5" t="n">
        <v>10000000</v>
      </c>
      <c r="F28" s="5" t="n">
        <v>10000000</v>
      </c>
      <c r="G28" s="5" t="s">
        <v>147</v>
      </c>
      <c r="H28" s="6" t="n">
        <v>10786050</v>
      </c>
      <c r="I28" s="6" t="n">
        <v>10786050</v>
      </c>
      <c r="J28" s="7" t="n">
        <v>10000000</v>
      </c>
      <c r="K28" s="7" t="n">
        <v>10000000</v>
      </c>
      <c r="L28" s="5" t="s">
        <v>84</v>
      </c>
      <c r="M28" s="5" t="s">
        <v>65</v>
      </c>
      <c r="N28" s="8" t="s">
        <v>342</v>
      </c>
      <c r="P28" s="5"/>
      <c r="Q28" s="5"/>
      <c r="R28" s="5" t="s">
        <v>343</v>
      </c>
      <c r="T28" s="5" t="s">
        <v>323</v>
      </c>
      <c r="U28" s="5" t="s">
        <v>70</v>
      </c>
      <c r="V28" s="5" t="s">
        <v>324</v>
      </c>
      <c r="W28" s="5" t="s">
        <v>102</v>
      </c>
      <c r="X28" s="5" t="s">
        <v>180</v>
      </c>
      <c r="Y28" s="5" t="s">
        <v>73</v>
      </c>
      <c r="Z28" s="5" t="s">
        <v>70</v>
      </c>
      <c r="AE28" s="5" t="s">
        <v>117</v>
      </c>
      <c r="AI28" s="9" t="n">
        <v>45202</v>
      </c>
      <c r="AJ28" s="5" t="n">
        <v>5</v>
      </c>
      <c r="AK28" s="5" t="s">
        <v>75</v>
      </c>
      <c r="AL28" s="5" t="n">
        <v>2157210</v>
      </c>
      <c r="AM28" s="5" t="s">
        <v>295</v>
      </c>
      <c r="AN28" s="5"/>
      <c r="AQ28" s="5" t="s">
        <v>184</v>
      </c>
      <c r="AR28" s="5" t="s">
        <v>180</v>
      </c>
      <c r="AS28" s="5" t="s">
        <v>73</v>
      </c>
      <c r="AT28" s="5" t="s">
        <v>78</v>
      </c>
      <c r="AW28" s="5" t="s">
        <v>162</v>
      </c>
      <c r="AX28" s="10" t="str">
        <f aca="false">IFERROR(INDEX('full database 2024'!ar:ar, MATCH(A28, 'full database 2024'!b:b, 0)), "")</f>
        <v/>
      </c>
      <c r="AZ28" s="10"/>
      <c r="BD28" s="9" t="n">
        <v>45265</v>
      </c>
      <c r="BE28" s="9" t="n">
        <v>45265</v>
      </c>
      <c r="BI28" s="5" t="s">
        <v>81</v>
      </c>
      <c r="BJ28" s="5" t="n">
        <v>2023</v>
      </c>
      <c r="BK28" s="11" t="n">
        <v>46822</v>
      </c>
    </row>
    <row r="29" customFormat="false" ht="16.5" hidden="false" customHeight="true" outlineLevel="0" collapsed="false">
      <c r="A29" s="5" t="s">
        <v>344</v>
      </c>
      <c r="B29" s="5" t="s">
        <v>345</v>
      </c>
      <c r="C29" s="5"/>
      <c r="D29" s="5" t="s">
        <v>62</v>
      </c>
      <c r="E29" s="5" t="n">
        <v>9647489</v>
      </c>
      <c r="F29" s="5" t="n">
        <v>8662360</v>
      </c>
      <c r="G29" s="5" t="s">
        <v>147</v>
      </c>
      <c r="H29" s="6" t="n">
        <v>10531777</v>
      </c>
      <c r="I29" s="6" t="n">
        <v>9456351</v>
      </c>
      <c r="J29" s="7" t="n">
        <v>9647489</v>
      </c>
      <c r="K29" s="7" t="n">
        <v>8662360</v>
      </c>
      <c r="L29" s="5" t="s">
        <v>84</v>
      </c>
      <c r="M29" s="5" t="s">
        <v>65</v>
      </c>
      <c r="N29" s="8" t="s">
        <v>346</v>
      </c>
      <c r="O29" s="15" t="s">
        <v>347</v>
      </c>
      <c r="P29" s="5"/>
      <c r="Q29" s="5"/>
      <c r="R29" s="5" t="s">
        <v>348</v>
      </c>
      <c r="T29" s="5" t="s">
        <v>349</v>
      </c>
      <c r="U29" s="5" t="s">
        <v>350</v>
      </c>
      <c r="V29" s="5" t="s">
        <v>351</v>
      </c>
      <c r="W29" s="5" t="s">
        <v>305</v>
      </c>
      <c r="X29" s="5" t="s">
        <v>352</v>
      </c>
      <c r="Y29" s="5" t="s">
        <v>73</v>
      </c>
      <c r="Z29" s="5" t="s">
        <v>70</v>
      </c>
      <c r="AD29" s="5" t="s">
        <v>353</v>
      </c>
      <c r="AE29" s="5" t="s">
        <v>74</v>
      </c>
      <c r="AI29" s="9" t="n">
        <v>44805</v>
      </c>
      <c r="AJ29" s="5" t="n">
        <v>4</v>
      </c>
      <c r="AK29" s="5" t="s">
        <v>75</v>
      </c>
      <c r="AL29" s="5" t="n">
        <v>2632944</v>
      </c>
      <c r="AM29" s="5" t="s">
        <v>182</v>
      </c>
      <c r="AN29" s="5" t="str">
        <f aca="false" t="array" ref="AN29:AN29">IFERROR(INDEX('full database 2024'!aj:aj, MATCH(A29, 'full database 2024'!b:b, 0)), "")</f>
        <v/>
      </c>
      <c r="AQ29" s="5" t="s">
        <v>184</v>
      </c>
      <c r="AR29" s="5" t="s">
        <v>185</v>
      </c>
      <c r="AS29" s="5" t="s">
        <v>73</v>
      </c>
      <c r="AT29" s="5" t="s">
        <v>78</v>
      </c>
      <c r="AW29" s="5" t="s">
        <v>94</v>
      </c>
      <c r="AX29" s="10" t="str">
        <f aca="false">IFERROR(INDEX('full database 2024'!ar:ar, MATCH(A29, 'full database 2024'!b:b, 0)), "")</f>
        <v/>
      </c>
      <c r="AZ29" s="5" t="s">
        <v>354</v>
      </c>
      <c r="BD29" s="9" t="n">
        <v>45057</v>
      </c>
      <c r="BE29" s="9" t="n">
        <v>45779</v>
      </c>
      <c r="BI29" s="5" t="s">
        <v>81</v>
      </c>
      <c r="BJ29" s="5" t="n">
        <v>2022</v>
      </c>
      <c r="BK29" s="11" t="n">
        <v>46031</v>
      </c>
    </row>
    <row r="30" customFormat="false" ht="16.5" hidden="false" customHeight="true" outlineLevel="0" collapsed="false">
      <c r="A30" s="5" t="s">
        <v>355</v>
      </c>
      <c r="B30" s="5" t="s">
        <v>356</v>
      </c>
      <c r="C30" s="5"/>
      <c r="D30" s="5" t="s">
        <v>62</v>
      </c>
      <c r="E30" s="5" t="n">
        <v>9607844</v>
      </c>
      <c r="F30" s="5" t="n">
        <v>8179215</v>
      </c>
      <c r="G30" s="5" t="s">
        <v>147</v>
      </c>
      <c r="H30" s="6" t="n">
        <v>10308928</v>
      </c>
      <c r="I30" s="6" t="n">
        <v>8776052</v>
      </c>
      <c r="J30" s="7" t="n">
        <v>9607844</v>
      </c>
      <c r="K30" s="7" t="n">
        <v>8179215</v>
      </c>
      <c r="L30" s="5" t="s">
        <v>84</v>
      </c>
      <c r="M30" s="5" t="s">
        <v>65</v>
      </c>
      <c r="N30" s="8" t="s">
        <v>357</v>
      </c>
      <c r="O30" s="5" t="s">
        <v>358</v>
      </c>
      <c r="P30" s="5"/>
      <c r="Q30" s="5"/>
      <c r="R30" s="5" t="s">
        <v>359</v>
      </c>
      <c r="T30" s="5" t="s">
        <v>360</v>
      </c>
      <c r="U30" s="5" t="s">
        <v>70</v>
      </c>
      <c r="V30" s="5" t="s">
        <v>361</v>
      </c>
      <c r="W30" s="5" t="s">
        <v>90</v>
      </c>
      <c r="X30" s="5" t="s">
        <v>352</v>
      </c>
      <c r="Y30" s="5" t="s">
        <v>73</v>
      </c>
      <c r="Z30" s="5" t="s">
        <v>70</v>
      </c>
      <c r="AD30" s="5" t="s">
        <v>362</v>
      </c>
      <c r="AE30" s="5" t="s">
        <v>74</v>
      </c>
      <c r="AI30" s="9" t="n">
        <v>43831</v>
      </c>
      <c r="AJ30" s="5" t="n">
        <v>4</v>
      </c>
      <c r="AK30" s="5" t="s">
        <v>75</v>
      </c>
      <c r="AL30" s="5" t="n">
        <v>2577232</v>
      </c>
      <c r="AM30" s="5" t="s">
        <v>182</v>
      </c>
      <c r="AN30" s="24" t="s">
        <v>363</v>
      </c>
      <c r="AQ30" s="5" t="s">
        <v>184</v>
      </c>
      <c r="AR30" s="5" t="s">
        <v>185</v>
      </c>
      <c r="AS30" s="5" t="s">
        <v>73</v>
      </c>
      <c r="AT30" s="5" t="s">
        <v>78</v>
      </c>
      <c r="AU30" s="10" t="s">
        <v>259</v>
      </c>
      <c r="AW30" s="5" t="s">
        <v>94</v>
      </c>
      <c r="AX30" s="10" t="str">
        <f aca="false">IFERROR(INDEX('full database 2024'!ar:ar, MATCH(A30, 'full database 2024'!b:b, 0)), "")</f>
        <v/>
      </c>
      <c r="AZ30" s="5" t="s">
        <v>95</v>
      </c>
      <c r="BD30" s="9" t="n">
        <v>44999</v>
      </c>
      <c r="BE30" s="9" t="n">
        <v>45779</v>
      </c>
      <c r="BH30" s="5" t="s">
        <v>65</v>
      </c>
      <c r="BI30" s="5" t="s">
        <v>145</v>
      </c>
      <c r="BJ30" s="5" t="n">
        <v>2020</v>
      </c>
      <c r="BK30" s="11" t="n">
        <v>45292</v>
      </c>
    </row>
    <row r="31" customFormat="false" ht="16.5" hidden="false" customHeight="true" outlineLevel="0" collapsed="false">
      <c r="A31" s="5" t="s">
        <v>364</v>
      </c>
      <c r="B31" s="5" t="s">
        <v>365</v>
      </c>
      <c r="C31" s="5"/>
      <c r="D31" s="5" t="s">
        <v>62</v>
      </c>
      <c r="E31" s="5" t="n">
        <v>9000000</v>
      </c>
      <c r="F31" s="5" t="n">
        <v>9000000</v>
      </c>
      <c r="G31" s="5" t="s">
        <v>366</v>
      </c>
      <c r="H31" s="6" t="n">
        <v>2324250</v>
      </c>
      <c r="I31" s="6" t="n">
        <v>2324250</v>
      </c>
      <c r="J31" s="7" t="n">
        <f aca="false">E31*0.23</f>
        <v>2070000</v>
      </c>
      <c r="K31" s="7" t="n">
        <f aca="false">F31*0.23</f>
        <v>2070000</v>
      </c>
      <c r="L31" s="5" t="s">
        <v>84</v>
      </c>
      <c r="M31" s="5" t="s">
        <v>65</v>
      </c>
      <c r="N31" s="8" t="s">
        <v>367</v>
      </c>
      <c r="O31" s="5" t="s">
        <v>223</v>
      </c>
      <c r="P31" s="5"/>
      <c r="Q31" s="5"/>
      <c r="R31" s="5" t="s">
        <v>368</v>
      </c>
      <c r="T31" s="5" t="s">
        <v>369</v>
      </c>
      <c r="U31" s="5" t="s">
        <v>70</v>
      </c>
      <c r="V31" s="5" t="s">
        <v>370</v>
      </c>
      <c r="W31" s="5" t="s">
        <v>102</v>
      </c>
      <c r="X31" s="5" t="s">
        <v>371</v>
      </c>
      <c r="Y31" s="5" t="s">
        <v>73</v>
      </c>
      <c r="Z31" s="5" t="s">
        <v>70</v>
      </c>
      <c r="AE31" s="5" t="s">
        <v>117</v>
      </c>
      <c r="AF31" s="9"/>
      <c r="AG31" s="5"/>
      <c r="AI31" s="9" t="n">
        <v>45499</v>
      </c>
      <c r="AJ31" s="5" t="n">
        <v>2</v>
      </c>
      <c r="AK31" s="5" t="s">
        <v>75</v>
      </c>
      <c r="AL31" s="5" t="n">
        <v>1162125</v>
      </c>
      <c r="AM31" s="5" t="s">
        <v>372</v>
      </c>
      <c r="AN31" s="5"/>
      <c r="AO31" s="5" t="s">
        <v>373</v>
      </c>
      <c r="AP31" s="5"/>
      <c r="AQ31" s="5" t="s">
        <v>77</v>
      </c>
      <c r="AR31" s="5" t="s">
        <v>371</v>
      </c>
      <c r="AS31" s="5" t="s">
        <v>73</v>
      </c>
      <c r="AT31" s="5" t="s">
        <v>374</v>
      </c>
      <c r="AU31" s="10"/>
      <c r="AW31" s="5" t="s">
        <v>94</v>
      </c>
      <c r="AX31" s="25" t="s">
        <v>375</v>
      </c>
      <c r="AY31" s="5" t="s">
        <v>376</v>
      </c>
      <c r="AZ31" s="5" t="s">
        <v>377</v>
      </c>
      <c r="BD31" s="9" t="n">
        <v>45520</v>
      </c>
      <c r="BE31" s="9" t="n">
        <v>45520</v>
      </c>
      <c r="BI31" s="5" t="s">
        <v>81</v>
      </c>
      <c r="BJ31" s="5" t="n">
        <v>2024</v>
      </c>
      <c r="BK31" s="5" t="s">
        <v>378</v>
      </c>
    </row>
    <row r="32" customFormat="false" ht="16.5" hidden="false" customHeight="true" outlineLevel="0" collapsed="false">
      <c r="A32" s="5" t="s">
        <v>379</v>
      </c>
      <c r="B32" s="5"/>
      <c r="C32" s="5"/>
      <c r="D32" s="5" t="s">
        <v>62</v>
      </c>
      <c r="E32" s="5" t="n">
        <v>8826825</v>
      </c>
      <c r="F32" s="5" t="n">
        <v>7000000</v>
      </c>
      <c r="G32" s="5" t="s">
        <v>147</v>
      </c>
      <c r="H32" s="6" t="n">
        <v>10062581</v>
      </c>
      <c r="I32" s="6" t="n">
        <v>7979999</v>
      </c>
      <c r="J32" s="7" t="n">
        <v>8826825</v>
      </c>
      <c r="K32" s="7" t="n">
        <v>7000000</v>
      </c>
      <c r="L32" s="5" t="s">
        <v>84</v>
      </c>
      <c r="M32" s="5" t="s">
        <v>65</v>
      </c>
      <c r="N32" s="8" t="s">
        <v>380</v>
      </c>
      <c r="O32" s="15" t="s">
        <v>381</v>
      </c>
      <c r="P32" s="5"/>
      <c r="Q32" s="5"/>
      <c r="R32" s="5"/>
      <c r="S32" s="5" t="s">
        <v>382</v>
      </c>
      <c r="T32" s="5"/>
      <c r="U32" s="5"/>
      <c r="V32" s="5" t="s">
        <v>383</v>
      </c>
      <c r="W32" s="5" t="s">
        <v>384</v>
      </c>
      <c r="X32" s="5" t="s">
        <v>385</v>
      </c>
      <c r="Y32" s="5" t="s">
        <v>73</v>
      </c>
      <c r="Z32" s="5"/>
      <c r="AD32" s="5" t="s">
        <v>386</v>
      </c>
      <c r="AE32" s="5" t="s">
        <v>74</v>
      </c>
      <c r="AI32" s="9" t="n">
        <v>43952</v>
      </c>
      <c r="AJ32" s="5"/>
      <c r="AK32" s="5"/>
      <c r="AL32" s="5" t="n">
        <v>10062581</v>
      </c>
      <c r="AM32" s="5" t="s">
        <v>182</v>
      </c>
      <c r="AN32" s="24" t="s">
        <v>363</v>
      </c>
      <c r="AO32" s="5"/>
      <c r="AQ32" s="5" t="s">
        <v>77</v>
      </c>
      <c r="AR32" s="5" t="s">
        <v>185</v>
      </c>
      <c r="AS32" s="5" t="s">
        <v>73</v>
      </c>
      <c r="AT32" s="5" t="s">
        <v>78</v>
      </c>
      <c r="AW32" s="5" t="s">
        <v>94</v>
      </c>
      <c r="AX32" s="10" t="str">
        <f aca="false">IFERROR(INDEX('full database 2024'!ar:ar, MATCH(A32, 'full database 2024'!b:b, 0)), "")</f>
        <v/>
      </c>
      <c r="AZ32" s="5" t="s">
        <v>309</v>
      </c>
      <c r="BD32" s="9" t="n">
        <v>45377</v>
      </c>
      <c r="BE32" s="9" t="n">
        <v>45779</v>
      </c>
      <c r="BI32" s="5" t="s">
        <v>81</v>
      </c>
      <c r="BJ32" s="5" t="n">
        <v>2020</v>
      </c>
      <c r="BK32" s="5" t="s">
        <v>387</v>
      </c>
    </row>
    <row r="33" customFormat="false" ht="16.5" hidden="false" customHeight="true" outlineLevel="0" collapsed="false">
      <c r="A33" s="5" t="s">
        <v>388</v>
      </c>
      <c r="C33" s="5"/>
      <c r="D33" s="5" t="s">
        <v>62</v>
      </c>
      <c r="E33" s="5" t="n">
        <v>8600000</v>
      </c>
      <c r="F33" s="5" t="n">
        <v>4300000</v>
      </c>
      <c r="G33" s="5" t="s">
        <v>147</v>
      </c>
      <c r="H33" s="6" t="n">
        <v>9136081</v>
      </c>
      <c r="I33" s="6" t="n">
        <v>4568040</v>
      </c>
      <c r="J33" s="7" t="n">
        <v>8600000</v>
      </c>
      <c r="K33" s="7" t="n">
        <v>4300000</v>
      </c>
      <c r="L33" s="5" t="s">
        <v>84</v>
      </c>
      <c r="M33" s="5" t="s">
        <v>65</v>
      </c>
      <c r="N33" s="8" t="s">
        <v>389</v>
      </c>
      <c r="P33" s="5"/>
      <c r="Q33" s="5"/>
      <c r="R33" s="5" t="s">
        <v>390</v>
      </c>
      <c r="S33" s="5" t="s">
        <v>391</v>
      </c>
      <c r="T33" s="5" t="s">
        <v>158</v>
      </c>
      <c r="U33" s="5" t="s">
        <v>70</v>
      </c>
      <c r="V33" s="5" t="s">
        <v>159</v>
      </c>
      <c r="W33" s="5" t="s">
        <v>102</v>
      </c>
      <c r="X33" s="5" t="s">
        <v>160</v>
      </c>
      <c r="Y33" s="5" t="s">
        <v>73</v>
      </c>
      <c r="Z33" s="5" t="s">
        <v>70</v>
      </c>
      <c r="AD33" s="5"/>
      <c r="AE33" s="5" t="s">
        <v>117</v>
      </c>
      <c r="AI33" s="9" t="n">
        <v>44166</v>
      </c>
      <c r="AJ33" s="5" t="n">
        <v>3</v>
      </c>
      <c r="AK33" s="5" t="s">
        <v>75</v>
      </c>
      <c r="AL33" s="5" t="n">
        <v>3045360</v>
      </c>
      <c r="AM33" s="5" t="s">
        <v>161</v>
      </c>
      <c r="AN33" s="5"/>
      <c r="AQ33" s="5" t="s">
        <v>77</v>
      </c>
      <c r="AR33" s="5" t="s">
        <v>160</v>
      </c>
      <c r="AS33" s="5" t="s">
        <v>73</v>
      </c>
      <c r="AT33" s="5" t="s">
        <v>105</v>
      </c>
      <c r="AU33" s="10" t="s">
        <v>106</v>
      </c>
      <c r="AW33" s="5" t="s">
        <v>162</v>
      </c>
      <c r="AX33" s="10" t="str">
        <f aca="false">IFERROR(INDEX('full database 2024'!ar:ar, MATCH(A33, 'full database 2024'!b:b, 0)), "")</f>
        <v/>
      </c>
      <c r="AZ33" s="10"/>
      <c r="BD33" s="9" t="n">
        <v>44985</v>
      </c>
      <c r="BE33" s="9" t="n">
        <v>45035</v>
      </c>
      <c r="BI33" s="5" t="s">
        <v>81</v>
      </c>
      <c r="BJ33" s="5" t="n">
        <v>2020</v>
      </c>
      <c r="BK33" s="11" t="n">
        <v>44938</v>
      </c>
    </row>
    <row r="34" customFormat="false" ht="16.5" hidden="false" customHeight="true" outlineLevel="0" collapsed="false">
      <c r="A34" s="5" t="s">
        <v>392</v>
      </c>
      <c r="C34" s="5"/>
      <c r="D34" s="5" t="s">
        <v>62</v>
      </c>
      <c r="E34" s="5" t="n">
        <v>7999955</v>
      </c>
      <c r="F34" s="5" t="n">
        <v>7999955</v>
      </c>
      <c r="G34" s="5" t="s">
        <v>212</v>
      </c>
      <c r="H34" s="6" t="n">
        <v>751996</v>
      </c>
      <c r="I34" s="6" t="n">
        <v>751996</v>
      </c>
      <c r="J34" s="7" t="n">
        <f aca="false">E34*0.091</f>
        <v>727995.905</v>
      </c>
      <c r="K34" s="7" t="n">
        <f aca="false">F34*0.091</f>
        <v>727995.905</v>
      </c>
      <c r="L34" s="5" t="s">
        <v>84</v>
      </c>
      <c r="M34" s="5" t="s">
        <v>65</v>
      </c>
      <c r="N34" s="5"/>
      <c r="O34" s="13"/>
      <c r="P34" s="5"/>
      <c r="Q34" s="5"/>
      <c r="R34" s="5"/>
      <c r="S34" s="5"/>
      <c r="T34" s="5"/>
      <c r="U34" s="5"/>
      <c r="V34" s="5" t="s">
        <v>393</v>
      </c>
      <c r="W34" s="5"/>
      <c r="X34" s="5" t="s">
        <v>215</v>
      </c>
      <c r="Y34" s="5" t="s">
        <v>73</v>
      </c>
      <c r="Z34" s="5"/>
      <c r="AE34" s="5"/>
      <c r="AI34" s="9" t="n">
        <v>44208</v>
      </c>
      <c r="AJ34" s="5" t="n">
        <v>49</v>
      </c>
      <c r="AK34" s="5" t="s">
        <v>216</v>
      </c>
      <c r="AL34" s="5" t="n">
        <v>15347</v>
      </c>
      <c r="AM34" s="5" t="s">
        <v>217</v>
      </c>
      <c r="AN34" s="5"/>
      <c r="AQ34" s="5" t="s">
        <v>77</v>
      </c>
      <c r="AR34" s="5" t="s">
        <v>215</v>
      </c>
      <c r="AS34" s="5" t="s">
        <v>73</v>
      </c>
      <c r="AT34" s="5" t="s">
        <v>78</v>
      </c>
      <c r="AW34" s="5" t="s">
        <v>94</v>
      </c>
      <c r="AX34" s="10" t="str">
        <f aca="false">IFERROR(INDEX('full database 2024'!ar:ar, MATCH(A34, 'full database 2024'!b:b, 0)), "")</f>
        <v/>
      </c>
      <c r="AZ34" s="5" t="s">
        <v>394</v>
      </c>
      <c r="BD34" s="9" t="n">
        <v>45596</v>
      </c>
      <c r="BE34" s="9" t="n">
        <v>45596</v>
      </c>
      <c r="BI34" s="5"/>
      <c r="BJ34" s="5" t="n">
        <v>2021</v>
      </c>
      <c r="BK34" s="11" t="n">
        <v>36526</v>
      </c>
    </row>
    <row r="35" customFormat="false" ht="16.5" hidden="false" customHeight="true" outlineLevel="0" collapsed="false">
      <c r="A35" s="5" t="s">
        <v>395</v>
      </c>
      <c r="C35" s="5"/>
      <c r="D35" s="5" t="s">
        <v>62</v>
      </c>
      <c r="E35" s="5" t="n">
        <v>7999174</v>
      </c>
      <c r="F35" s="5" t="n">
        <v>7999174</v>
      </c>
      <c r="G35" s="5" t="s">
        <v>212</v>
      </c>
      <c r="H35" s="6" t="n">
        <v>751922</v>
      </c>
      <c r="I35" s="6" t="n">
        <v>751922</v>
      </c>
      <c r="J35" s="7" t="n">
        <f aca="false">E35*0.091</f>
        <v>727924.834</v>
      </c>
      <c r="K35" s="7" t="n">
        <f aca="false">F35*0.091</f>
        <v>727924.834</v>
      </c>
      <c r="L35" s="5" t="s">
        <v>84</v>
      </c>
      <c r="M35" s="5" t="s">
        <v>65</v>
      </c>
      <c r="O35" s="13"/>
      <c r="V35" s="5" t="s">
        <v>393</v>
      </c>
      <c r="X35" s="5" t="s">
        <v>215</v>
      </c>
      <c r="Y35" s="5" t="s">
        <v>73</v>
      </c>
      <c r="AI35" s="9" t="n">
        <v>44208</v>
      </c>
      <c r="AJ35" s="5" t="n">
        <v>49</v>
      </c>
      <c r="AK35" s="5" t="s">
        <v>216</v>
      </c>
      <c r="AL35" s="5" t="n">
        <v>15345</v>
      </c>
      <c r="AM35" s="5" t="s">
        <v>217</v>
      </c>
      <c r="AN35" s="5"/>
      <c r="AQ35" s="5" t="s">
        <v>77</v>
      </c>
      <c r="AR35" s="5" t="s">
        <v>215</v>
      </c>
      <c r="AS35" s="5" t="s">
        <v>73</v>
      </c>
      <c r="AT35" s="5" t="s">
        <v>78</v>
      </c>
      <c r="AW35" s="5" t="s">
        <v>94</v>
      </c>
      <c r="AX35" s="10" t="str">
        <f aca="false">IFERROR(INDEX('full database 2024'!ar:ar, MATCH(A35, 'full database 2024'!b:b, 0)), "")</f>
        <v/>
      </c>
      <c r="AZ35" s="5" t="s">
        <v>396</v>
      </c>
      <c r="BD35" s="9" t="n">
        <v>45596</v>
      </c>
      <c r="BE35" s="9" t="n">
        <v>45596</v>
      </c>
      <c r="BJ35" s="5" t="n">
        <v>2021</v>
      </c>
      <c r="BK35" s="11" t="n">
        <v>36526</v>
      </c>
    </row>
    <row r="36" customFormat="false" ht="16.5" hidden="false" customHeight="true" outlineLevel="0" collapsed="false">
      <c r="A36" s="5" t="s">
        <v>397</v>
      </c>
      <c r="C36" s="5"/>
      <c r="D36" s="5" t="s">
        <v>62</v>
      </c>
      <c r="E36" s="5" t="n">
        <v>7999052</v>
      </c>
      <c r="F36" s="5" t="n">
        <v>7999052</v>
      </c>
      <c r="G36" s="5" t="s">
        <v>212</v>
      </c>
      <c r="H36" s="6" t="n">
        <v>751911</v>
      </c>
      <c r="I36" s="6" t="n">
        <v>751911</v>
      </c>
      <c r="J36" s="7" t="n">
        <f aca="false">E36*0.091</f>
        <v>727913.732</v>
      </c>
      <c r="K36" s="7" t="n">
        <f aca="false">F36*0.091</f>
        <v>727913.732</v>
      </c>
      <c r="L36" s="5" t="s">
        <v>84</v>
      </c>
      <c r="M36" s="5" t="s">
        <v>65</v>
      </c>
      <c r="V36" s="5" t="s">
        <v>398</v>
      </c>
      <c r="X36" s="5" t="s">
        <v>215</v>
      </c>
      <c r="Y36" s="5" t="s">
        <v>73</v>
      </c>
      <c r="AI36" s="9" t="n">
        <v>44208</v>
      </c>
      <c r="AJ36" s="5" t="n">
        <v>49</v>
      </c>
      <c r="AK36" s="5" t="s">
        <v>216</v>
      </c>
      <c r="AL36" s="5" t="n">
        <v>15345</v>
      </c>
      <c r="AM36" s="5" t="s">
        <v>217</v>
      </c>
      <c r="AN36" s="5"/>
      <c r="AQ36" s="5" t="s">
        <v>77</v>
      </c>
      <c r="AR36" s="5" t="s">
        <v>215</v>
      </c>
      <c r="AS36" s="5" t="s">
        <v>73</v>
      </c>
      <c r="AT36" s="5" t="s">
        <v>78</v>
      </c>
      <c r="AW36" s="5" t="s">
        <v>94</v>
      </c>
      <c r="AX36" s="10" t="str">
        <f aca="false">IFERROR(INDEX('full database 2024'!ar:ar, MATCH(A36, 'full database 2024'!b:b, 0)), "")</f>
        <v/>
      </c>
      <c r="AZ36" s="5" t="s">
        <v>399</v>
      </c>
      <c r="BD36" s="9" t="n">
        <v>45596</v>
      </c>
      <c r="BE36" s="9" t="n">
        <v>45596</v>
      </c>
      <c r="BJ36" s="5" t="n">
        <v>2021</v>
      </c>
      <c r="BK36" s="11" t="n">
        <v>36526</v>
      </c>
    </row>
    <row r="37" customFormat="false" ht="16.5" hidden="false" customHeight="true" outlineLevel="0" collapsed="false">
      <c r="A37" s="5" t="s">
        <v>400</v>
      </c>
      <c r="C37" s="5"/>
      <c r="D37" s="5" t="s">
        <v>62</v>
      </c>
      <c r="E37" s="5" t="n">
        <v>7825297</v>
      </c>
      <c r="F37" s="5" t="n">
        <v>7825297</v>
      </c>
      <c r="G37" s="5" t="s">
        <v>147</v>
      </c>
      <c r="H37" s="6" t="n">
        <v>8450954</v>
      </c>
      <c r="I37" s="6" t="n">
        <v>8450954</v>
      </c>
      <c r="J37" s="7" t="n">
        <v>7825297</v>
      </c>
      <c r="K37" s="7" t="n">
        <v>7825297</v>
      </c>
      <c r="L37" s="5" t="s">
        <v>84</v>
      </c>
      <c r="M37" s="5" t="s">
        <v>65</v>
      </c>
      <c r="N37" s="8" t="s">
        <v>401</v>
      </c>
      <c r="O37" s="13"/>
      <c r="V37" s="5"/>
      <c r="X37" s="5" t="s">
        <v>180</v>
      </c>
      <c r="Y37" s="5" t="s">
        <v>73</v>
      </c>
      <c r="AD37" s="5" t="s">
        <v>402</v>
      </c>
      <c r="AE37" s="5" t="s">
        <v>403</v>
      </c>
      <c r="AI37" s="9" t="n">
        <v>44896</v>
      </c>
      <c r="AJ37" s="5"/>
      <c r="AK37" s="5"/>
      <c r="AL37" s="5" t="n">
        <v>8450954</v>
      </c>
      <c r="AM37" s="5" t="s">
        <v>182</v>
      </c>
      <c r="AN37" s="24" t="s">
        <v>404</v>
      </c>
      <c r="AQ37" s="5" t="s">
        <v>77</v>
      </c>
      <c r="AR37" s="5" t="s">
        <v>185</v>
      </c>
      <c r="AS37" s="5" t="s">
        <v>73</v>
      </c>
      <c r="AT37" s="5" t="s">
        <v>71</v>
      </c>
      <c r="AU37" s="10" t="s">
        <v>286</v>
      </c>
      <c r="AW37" s="5" t="s">
        <v>94</v>
      </c>
      <c r="AX37" s="10" t="str">
        <f aca="false">IFERROR(INDEX('full database 2024'!ar:ar, MATCH(A37, 'full database 2024'!b:b, 0)), "")</f>
        <v/>
      </c>
      <c r="AZ37" s="5" t="s">
        <v>405</v>
      </c>
      <c r="BD37" s="9" t="n">
        <v>45596</v>
      </c>
      <c r="BE37" s="9" t="n">
        <v>45596</v>
      </c>
      <c r="BJ37" s="5" t="n">
        <v>2022</v>
      </c>
      <c r="BK37" s="11" t="n">
        <v>36526</v>
      </c>
    </row>
    <row r="38" customFormat="false" ht="16.5" hidden="false" customHeight="true" outlineLevel="0" collapsed="false">
      <c r="A38" s="5" t="s">
        <v>406</v>
      </c>
      <c r="C38" s="5"/>
      <c r="D38" s="5" t="s">
        <v>62</v>
      </c>
      <c r="E38" s="5" t="n">
        <v>7000000</v>
      </c>
      <c r="F38" s="5" t="n">
        <v>7000000</v>
      </c>
      <c r="G38" s="5" t="s">
        <v>147</v>
      </c>
      <c r="H38" s="6" t="n">
        <v>7667380</v>
      </c>
      <c r="I38" s="6" t="n">
        <v>7667380</v>
      </c>
      <c r="J38" s="7" t="n">
        <v>7000000</v>
      </c>
      <c r="K38" s="7" t="n">
        <v>7000000</v>
      </c>
      <c r="L38" s="5" t="s">
        <v>64</v>
      </c>
      <c r="M38" s="5" t="s">
        <v>65</v>
      </c>
      <c r="N38" s="8" t="s">
        <v>407</v>
      </c>
      <c r="P38" s="5"/>
      <c r="Q38" s="5"/>
      <c r="R38" s="5" t="s">
        <v>408</v>
      </c>
      <c r="T38" s="5" t="s">
        <v>69</v>
      </c>
      <c r="U38" s="5" t="s">
        <v>70</v>
      </c>
      <c r="V38" s="5" t="s">
        <v>69</v>
      </c>
      <c r="W38" s="5" t="s">
        <v>69</v>
      </c>
      <c r="X38" s="5" t="s">
        <v>69</v>
      </c>
      <c r="Y38" s="5" t="s">
        <v>73</v>
      </c>
      <c r="Z38" s="5" t="s">
        <v>70</v>
      </c>
      <c r="AD38" s="5"/>
      <c r="AE38" s="5" t="s">
        <v>74</v>
      </c>
      <c r="AF38" s="9" t="n">
        <v>45028</v>
      </c>
      <c r="AG38" s="5" t="n">
        <v>2023</v>
      </c>
      <c r="AI38" s="9"/>
      <c r="AK38" s="5" t="s">
        <v>152</v>
      </c>
      <c r="AL38" s="5" t="n">
        <v>7667380</v>
      </c>
      <c r="AM38" s="5" t="s">
        <v>182</v>
      </c>
      <c r="AN38" s="5"/>
      <c r="AP38" s="8" t="s">
        <v>409</v>
      </c>
      <c r="AQ38" s="5" t="s">
        <v>77</v>
      </c>
      <c r="AR38" s="5" t="s">
        <v>185</v>
      </c>
      <c r="AS38" s="5" t="s">
        <v>73</v>
      </c>
      <c r="AT38" s="5" t="s">
        <v>374</v>
      </c>
      <c r="AU38" s="10" t="s">
        <v>410</v>
      </c>
      <c r="AV38" s="10"/>
      <c r="AW38" s="5" t="s">
        <v>94</v>
      </c>
      <c r="BD38" s="9" t="n">
        <v>45035</v>
      </c>
      <c r="BE38" s="9" t="n">
        <v>45035</v>
      </c>
      <c r="BI38" s="5" t="s">
        <v>81</v>
      </c>
      <c r="BJ38" s="5" t="n">
        <v>2023</v>
      </c>
      <c r="BK38" s="11"/>
    </row>
    <row r="39" customFormat="false" ht="16.5" hidden="false" customHeight="true" outlineLevel="0" collapsed="false">
      <c r="A39" s="5" t="s">
        <v>411</v>
      </c>
      <c r="C39" s="5"/>
      <c r="D39" s="5" t="s">
        <v>62</v>
      </c>
      <c r="E39" s="5" t="n">
        <v>7000000</v>
      </c>
      <c r="F39" s="5" t="n">
        <v>7000000</v>
      </c>
      <c r="G39" s="5" t="s">
        <v>147</v>
      </c>
      <c r="H39" s="6" t="n">
        <v>7429065</v>
      </c>
      <c r="I39" s="6" t="n">
        <v>7429065</v>
      </c>
      <c r="J39" s="7" t="n">
        <v>7000000</v>
      </c>
      <c r="K39" s="7" t="n">
        <v>7000000</v>
      </c>
      <c r="L39" s="5" t="s">
        <v>84</v>
      </c>
      <c r="M39" s="5" t="s">
        <v>65</v>
      </c>
      <c r="N39" s="8" t="s">
        <v>412</v>
      </c>
      <c r="P39" s="5"/>
      <c r="Q39" s="5"/>
      <c r="R39" s="5" t="s">
        <v>413</v>
      </c>
      <c r="T39" s="5" t="s">
        <v>414</v>
      </c>
      <c r="U39" s="5" t="s">
        <v>70</v>
      </c>
      <c r="V39" s="5" t="s">
        <v>415</v>
      </c>
      <c r="W39" s="5" t="s">
        <v>305</v>
      </c>
      <c r="X39" s="5" t="s">
        <v>257</v>
      </c>
      <c r="Y39" s="5" t="s">
        <v>73</v>
      </c>
      <c r="Z39" s="5" t="s">
        <v>70</v>
      </c>
      <c r="AE39" s="5" t="s">
        <v>74</v>
      </c>
      <c r="AF39" s="9"/>
      <c r="AG39" s="5"/>
      <c r="AI39" s="9" t="n">
        <v>45208</v>
      </c>
      <c r="AJ39" s="5" t="n">
        <v>4</v>
      </c>
      <c r="AK39" s="5" t="s">
        <v>75</v>
      </c>
      <c r="AL39" s="5" t="n">
        <v>1857266</v>
      </c>
      <c r="AM39" s="5" t="s">
        <v>416</v>
      </c>
      <c r="AN39" s="5"/>
      <c r="AP39" s="5"/>
      <c r="AQ39" s="5" t="s">
        <v>77</v>
      </c>
      <c r="AR39" s="5" t="s">
        <v>257</v>
      </c>
      <c r="AS39" s="5" t="s">
        <v>73</v>
      </c>
      <c r="AT39" s="5" t="s">
        <v>71</v>
      </c>
      <c r="AU39" s="10" t="s">
        <v>286</v>
      </c>
      <c r="AW39" s="5" t="s">
        <v>187</v>
      </c>
      <c r="AX39" s="10" t="str">
        <f aca="false">IFERROR(INDEX('full database 2024'!ar:ar, MATCH(A39, 'full database 2024'!b:b, 0)), "")</f>
        <v/>
      </c>
      <c r="AZ39" s="5" t="s">
        <v>95</v>
      </c>
      <c r="BD39" s="9" t="n">
        <v>45210</v>
      </c>
      <c r="BE39" s="9" t="n">
        <v>45210</v>
      </c>
      <c r="BI39" s="5" t="s">
        <v>81</v>
      </c>
      <c r="BJ39" s="5" t="n">
        <v>2023</v>
      </c>
      <c r="BK39" s="11" t="n">
        <v>46640</v>
      </c>
    </row>
    <row r="40" customFormat="false" ht="16.5" hidden="false" customHeight="true" outlineLevel="0" collapsed="false">
      <c r="A40" s="5" t="s">
        <v>417</v>
      </c>
      <c r="B40" s="5" t="s">
        <v>418</v>
      </c>
      <c r="C40" s="5"/>
      <c r="D40" s="5" t="s">
        <v>62</v>
      </c>
      <c r="E40" s="5" t="n">
        <v>6600000</v>
      </c>
      <c r="F40" s="5" t="n">
        <v>2990000</v>
      </c>
      <c r="G40" s="5" t="s">
        <v>147</v>
      </c>
      <c r="H40" s="6" t="n">
        <v>7170603</v>
      </c>
      <c r="I40" s="6" t="n">
        <v>3248500</v>
      </c>
      <c r="J40" s="7" t="n">
        <v>6600000</v>
      </c>
      <c r="K40" s="7" t="n">
        <v>2990000</v>
      </c>
      <c r="L40" s="5" t="s">
        <v>84</v>
      </c>
      <c r="M40" s="5" t="s">
        <v>65</v>
      </c>
      <c r="N40" s="8" t="s">
        <v>419</v>
      </c>
      <c r="O40" s="5" t="s">
        <v>70</v>
      </c>
      <c r="P40" s="5"/>
      <c r="Q40" s="5"/>
      <c r="R40" s="5" t="s">
        <v>420</v>
      </c>
      <c r="T40" s="5" t="s">
        <v>421</v>
      </c>
      <c r="U40" s="5" t="s">
        <v>70</v>
      </c>
      <c r="V40" s="5" t="s">
        <v>422</v>
      </c>
      <c r="W40" s="5" t="s">
        <v>102</v>
      </c>
      <c r="X40" s="5" t="s">
        <v>160</v>
      </c>
      <c r="Y40" s="5" t="s">
        <v>73</v>
      </c>
      <c r="Z40" s="5" t="s">
        <v>70</v>
      </c>
      <c r="AE40" s="5" t="s">
        <v>117</v>
      </c>
      <c r="AF40" s="9" t="n">
        <v>45428</v>
      </c>
      <c r="AH40" s="9" t="n">
        <v>45427</v>
      </c>
      <c r="AI40" s="9" t="n">
        <v>45427</v>
      </c>
      <c r="AJ40" s="5" t="n">
        <v>2</v>
      </c>
      <c r="AK40" s="5" t="s">
        <v>75</v>
      </c>
      <c r="AL40" s="5" t="n">
        <v>3585302</v>
      </c>
      <c r="AM40" s="5" t="s">
        <v>161</v>
      </c>
      <c r="AN40" s="5"/>
      <c r="AO40" s="5" t="s">
        <v>423</v>
      </c>
      <c r="AQ40" s="5" t="s">
        <v>77</v>
      </c>
      <c r="AR40" s="5" t="s">
        <v>160</v>
      </c>
      <c r="AS40" s="5" t="s">
        <v>73</v>
      </c>
      <c r="AT40" s="5" t="s">
        <v>71</v>
      </c>
      <c r="AU40" s="10" t="s">
        <v>120</v>
      </c>
      <c r="AW40" s="5" t="s">
        <v>162</v>
      </c>
      <c r="AX40" s="10" t="str">
        <f aca="false">IFERROR(INDEX('full database 2024'!ar:ar, MATCH(A40, 'full database 2024'!b:b, 0)), "")</f>
        <v/>
      </c>
      <c r="AZ40" s="10"/>
      <c r="BD40" s="9" t="n">
        <v>45428</v>
      </c>
      <c r="BE40" s="9" t="n">
        <v>45434</v>
      </c>
      <c r="BI40" s="5" t="s">
        <v>81</v>
      </c>
      <c r="BJ40" s="5" t="n">
        <v>2024</v>
      </c>
      <c r="BK40" s="5" t="s">
        <v>424</v>
      </c>
    </row>
    <row r="41" customFormat="false" ht="16.5" hidden="false" customHeight="true" outlineLevel="0" collapsed="false">
      <c r="A41" s="5" t="s">
        <v>425</v>
      </c>
      <c r="B41" s="5"/>
      <c r="C41" s="5"/>
      <c r="D41" s="5" t="s">
        <v>62</v>
      </c>
      <c r="E41" s="5" t="n">
        <v>6000000</v>
      </c>
      <c r="F41" s="5" t="n">
        <v>6000000</v>
      </c>
      <c r="G41" s="5" t="s">
        <v>212</v>
      </c>
      <c r="H41" s="6" t="n">
        <v>564000</v>
      </c>
      <c r="I41" s="6" t="n">
        <v>564000</v>
      </c>
      <c r="J41" s="7" t="n">
        <f aca="false">E41*0.091</f>
        <v>546000</v>
      </c>
      <c r="K41" s="7" t="n">
        <f aca="false">F41*0.091</f>
        <v>546000</v>
      </c>
      <c r="L41" s="5" t="s">
        <v>84</v>
      </c>
      <c r="M41" s="5" t="s">
        <v>65</v>
      </c>
      <c r="N41" s="5"/>
      <c r="O41" s="13"/>
      <c r="P41" s="5"/>
      <c r="Q41" s="5"/>
      <c r="R41" s="5"/>
      <c r="T41" s="5"/>
      <c r="U41" s="5"/>
      <c r="V41" s="5" t="s">
        <v>426</v>
      </c>
      <c r="W41" s="5"/>
      <c r="X41" s="5" t="s">
        <v>215</v>
      </c>
      <c r="Y41" s="5" t="s">
        <v>73</v>
      </c>
      <c r="Z41" s="5"/>
      <c r="AE41" s="5"/>
      <c r="AF41" s="9"/>
      <c r="AH41" s="9"/>
      <c r="AI41" s="9" t="n">
        <v>44573</v>
      </c>
      <c r="AJ41" s="5" t="n">
        <v>38</v>
      </c>
      <c r="AK41" s="5" t="s">
        <v>216</v>
      </c>
      <c r="AL41" s="5" t="n">
        <v>14842</v>
      </c>
      <c r="AM41" s="5" t="s">
        <v>217</v>
      </c>
      <c r="AN41" s="5"/>
      <c r="AO41" s="5"/>
      <c r="AQ41" s="5" t="s">
        <v>77</v>
      </c>
      <c r="AR41" s="5" t="s">
        <v>215</v>
      </c>
      <c r="AS41" s="5" t="s">
        <v>73</v>
      </c>
      <c r="AT41" s="5" t="s">
        <v>78</v>
      </c>
      <c r="AW41" s="5" t="s">
        <v>94</v>
      </c>
      <c r="AX41" s="10" t="str">
        <f aca="false">IFERROR(INDEX('full database 2024'!ar:ar, MATCH(A41, 'full database 2024'!b:b, 0)), "")</f>
        <v/>
      </c>
      <c r="AZ41" s="5" t="s">
        <v>95</v>
      </c>
      <c r="BD41" s="9" t="n">
        <v>45596</v>
      </c>
      <c r="BE41" s="9" t="n">
        <v>45596</v>
      </c>
      <c r="BI41" s="5"/>
      <c r="BJ41" s="5" t="n">
        <v>2022</v>
      </c>
      <c r="BK41" s="11" t="n">
        <v>36526</v>
      </c>
    </row>
    <row r="42" customFormat="false" ht="16.5" hidden="false" customHeight="true" outlineLevel="0" collapsed="false">
      <c r="A42" s="5" t="s">
        <v>427</v>
      </c>
      <c r="B42" s="5" t="s">
        <v>428</v>
      </c>
      <c r="C42" s="5"/>
      <c r="D42" s="5" t="s">
        <v>62</v>
      </c>
      <c r="E42" s="5" t="n">
        <v>6000000</v>
      </c>
      <c r="F42" s="5" t="n">
        <v>6000000</v>
      </c>
      <c r="G42" s="5" t="s">
        <v>212</v>
      </c>
      <c r="H42" s="6" t="n">
        <v>564000</v>
      </c>
      <c r="I42" s="6" t="n">
        <v>564000</v>
      </c>
      <c r="J42" s="7" t="n">
        <f aca="false">E42*0.091</f>
        <v>546000</v>
      </c>
      <c r="K42" s="7" t="n">
        <f aca="false">F42*0.091</f>
        <v>546000</v>
      </c>
      <c r="L42" s="5" t="s">
        <v>84</v>
      </c>
      <c r="M42" s="5" t="s">
        <v>65</v>
      </c>
      <c r="N42" s="8" t="s">
        <v>429</v>
      </c>
      <c r="O42" s="5" t="s">
        <v>430</v>
      </c>
      <c r="T42" s="5" t="s">
        <v>431</v>
      </c>
      <c r="V42" s="5" t="s">
        <v>432</v>
      </c>
      <c r="X42" s="5" t="s">
        <v>215</v>
      </c>
      <c r="Y42" s="5" t="s">
        <v>73</v>
      </c>
      <c r="AI42" s="9" t="n">
        <v>44896</v>
      </c>
      <c r="AJ42" s="5" t="n">
        <v>36</v>
      </c>
      <c r="AK42" s="5" t="s">
        <v>433</v>
      </c>
      <c r="AL42" s="5" t="n">
        <v>15667</v>
      </c>
      <c r="AM42" s="5" t="s">
        <v>217</v>
      </c>
      <c r="AN42" s="5"/>
      <c r="AQ42" s="5" t="s">
        <v>77</v>
      </c>
      <c r="AR42" s="5" t="s">
        <v>215</v>
      </c>
      <c r="AS42" s="5" t="s">
        <v>73</v>
      </c>
      <c r="AT42" s="5" t="s">
        <v>78</v>
      </c>
      <c r="AW42" s="5" t="s">
        <v>94</v>
      </c>
      <c r="AX42" s="10" t="str">
        <f aca="false">IFERROR(INDEX('full database 2024'!ar:ar, MATCH(A42, 'full database 2024'!b:b, 0)), "")</f>
        <v/>
      </c>
      <c r="AZ42" s="5" t="s">
        <v>188</v>
      </c>
      <c r="BD42" s="9" t="n">
        <v>45596</v>
      </c>
      <c r="BE42" s="9" t="n">
        <v>45779</v>
      </c>
      <c r="BJ42" s="5" t="n">
        <v>2022</v>
      </c>
      <c r="BK42" s="11" t="n">
        <v>36526</v>
      </c>
    </row>
    <row r="43" customFormat="false" ht="16.5" hidden="false" customHeight="true" outlineLevel="0" collapsed="false">
      <c r="A43" s="5" t="s">
        <v>434</v>
      </c>
      <c r="B43" s="5" t="s">
        <v>435</v>
      </c>
      <c r="C43" s="5"/>
      <c r="D43" s="5" t="s">
        <v>62</v>
      </c>
      <c r="E43" s="5" t="n">
        <v>5999351</v>
      </c>
      <c r="F43" s="5" t="n">
        <v>5999351</v>
      </c>
      <c r="G43" s="5" t="s">
        <v>212</v>
      </c>
      <c r="H43" s="6" t="n">
        <v>563939</v>
      </c>
      <c r="I43" s="6" t="n">
        <v>563939</v>
      </c>
      <c r="J43" s="7" t="n">
        <f aca="false">E43*0.091</f>
        <v>545940.941</v>
      </c>
      <c r="K43" s="7" t="n">
        <f aca="false">F43*0.091</f>
        <v>545940.941</v>
      </c>
      <c r="L43" s="5" t="s">
        <v>84</v>
      </c>
      <c r="M43" s="5" t="s">
        <v>65</v>
      </c>
      <c r="N43" s="8" t="s">
        <v>436</v>
      </c>
      <c r="O43" s="5" t="s">
        <v>437</v>
      </c>
      <c r="T43" s="5"/>
      <c r="V43" s="5" t="s">
        <v>426</v>
      </c>
      <c r="X43" s="5" t="s">
        <v>215</v>
      </c>
      <c r="Y43" s="5" t="s">
        <v>73</v>
      </c>
      <c r="AI43" s="9" t="n">
        <v>44573</v>
      </c>
      <c r="AJ43" s="5" t="n">
        <v>38</v>
      </c>
      <c r="AK43" s="5" t="s">
        <v>216</v>
      </c>
      <c r="AL43" s="5" t="n">
        <v>14840</v>
      </c>
      <c r="AM43" s="5" t="s">
        <v>217</v>
      </c>
      <c r="AN43" s="5"/>
      <c r="AQ43" s="5" t="s">
        <v>77</v>
      </c>
      <c r="AR43" s="5" t="s">
        <v>215</v>
      </c>
      <c r="AS43" s="5" t="s">
        <v>73</v>
      </c>
      <c r="AT43" s="5" t="s">
        <v>78</v>
      </c>
      <c r="AW43" s="5" t="s">
        <v>94</v>
      </c>
      <c r="AX43" s="10" t="str">
        <f aca="false">IFERROR(INDEX('full database 2024'!ar:ar, MATCH(A43, 'full database 2024'!b:b, 0)), "")</f>
        <v/>
      </c>
      <c r="AZ43" s="5" t="s">
        <v>394</v>
      </c>
      <c r="BD43" s="9" t="n">
        <v>45596</v>
      </c>
      <c r="BE43" s="9" t="n">
        <v>45779</v>
      </c>
      <c r="BJ43" s="5" t="n">
        <v>2022</v>
      </c>
      <c r="BK43" s="11" t="n">
        <v>36526</v>
      </c>
    </row>
    <row r="44" customFormat="false" ht="16.5" hidden="false" customHeight="true" outlineLevel="0" collapsed="false">
      <c r="A44" s="5" t="s">
        <v>438</v>
      </c>
      <c r="B44" s="5"/>
      <c r="C44" s="5"/>
      <c r="D44" s="5" t="s">
        <v>62</v>
      </c>
      <c r="E44" s="5" t="n">
        <v>5998593</v>
      </c>
      <c r="F44" s="5" t="n">
        <v>5998593</v>
      </c>
      <c r="G44" s="5" t="s">
        <v>212</v>
      </c>
      <c r="H44" s="6" t="n">
        <v>563868</v>
      </c>
      <c r="I44" s="6" t="n">
        <v>563868</v>
      </c>
      <c r="J44" s="7" t="n">
        <f aca="false">E44*0.091</f>
        <v>545871.963</v>
      </c>
      <c r="K44" s="7" t="n">
        <f aca="false">F44*0.091</f>
        <v>545871.963</v>
      </c>
      <c r="L44" s="5" t="s">
        <v>84</v>
      </c>
      <c r="M44" s="5" t="s">
        <v>65</v>
      </c>
      <c r="N44" s="5"/>
      <c r="O44" s="5"/>
      <c r="V44" s="5" t="s">
        <v>439</v>
      </c>
      <c r="X44" s="5" t="s">
        <v>215</v>
      </c>
      <c r="Y44" s="5" t="s">
        <v>73</v>
      </c>
      <c r="AI44" s="9" t="n">
        <v>44573</v>
      </c>
      <c r="AJ44" s="5" t="n">
        <v>38</v>
      </c>
      <c r="AK44" s="5" t="s">
        <v>216</v>
      </c>
      <c r="AL44" s="5" t="n">
        <v>14839</v>
      </c>
      <c r="AM44" s="5" t="s">
        <v>217</v>
      </c>
      <c r="AN44" s="5"/>
      <c r="AQ44" s="5" t="s">
        <v>77</v>
      </c>
      <c r="AR44" s="5" t="s">
        <v>215</v>
      </c>
      <c r="AS44" s="5" t="s">
        <v>73</v>
      </c>
      <c r="AT44" s="5" t="s">
        <v>78</v>
      </c>
      <c r="AW44" s="5" t="s">
        <v>94</v>
      </c>
      <c r="AX44" s="10" t="str">
        <f aca="false">IFERROR(INDEX('full database 2024'!ar:ar, MATCH(A44, 'full database 2024'!b:b, 0)), "")</f>
        <v/>
      </c>
      <c r="AZ44" s="5" t="s">
        <v>129</v>
      </c>
      <c r="BD44" s="9" t="n">
        <v>45596</v>
      </c>
      <c r="BE44" s="9" t="n">
        <v>45596</v>
      </c>
      <c r="BJ44" s="5" t="n">
        <v>2022</v>
      </c>
      <c r="BK44" s="11" t="n">
        <v>36526</v>
      </c>
    </row>
    <row r="45" customFormat="false" ht="16.5" hidden="false" customHeight="true" outlineLevel="0" collapsed="false">
      <c r="A45" s="5" t="s">
        <v>440</v>
      </c>
      <c r="C45" s="5"/>
      <c r="D45" s="5" t="s">
        <v>62</v>
      </c>
      <c r="E45" s="5" t="n">
        <v>5613000</v>
      </c>
      <c r="F45" s="5" t="n">
        <v>5613000</v>
      </c>
      <c r="G45" s="5" t="s">
        <v>212</v>
      </c>
      <c r="H45" s="6" t="n">
        <v>527622</v>
      </c>
      <c r="I45" s="6" t="n">
        <v>527622</v>
      </c>
      <c r="J45" s="7" t="n">
        <f aca="false">E45*0.091</f>
        <v>510783</v>
      </c>
      <c r="K45" s="7" t="n">
        <f aca="false">F45*0.091</f>
        <v>510783</v>
      </c>
      <c r="L45" s="5" t="s">
        <v>84</v>
      </c>
      <c r="M45" s="5" t="s">
        <v>65</v>
      </c>
      <c r="V45" s="5" t="s">
        <v>441</v>
      </c>
      <c r="X45" s="5" t="s">
        <v>215</v>
      </c>
      <c r="Y45" s="5" t="s">
        <v>73</v>
      </c>
      <c r="AI45" s="9" t="n">
        <v>45293</v>
      </c>
      <c r="AJ45" s="5" t="n">
        <v>37</v>
      </c>
      <c r="AK45" s="5" t="s">
        <v>433</v>
      </c>
      <c r="AL45" s="5" t="n">
        <v>14260</v>
      </c>
      <c r="AM45" s="5" t="s">
        <v>217</v>
      </c>
      <c r="AN45" s="5"/>
      <c r="AQ45" s="5" t="s">
        <v>77</v>
      </c>
      <c r="AR45" s="5" t="s">
        <v>215</v>
      </c>
      <c r="AS45" s="5" t="s">
        <v>73</v>
      </c>
      <c r="AT45" s="5" t="s">
        <v>78</v>
      </c>
      <c r="AU45" s="10"/>
      <c r="AW45" s="5" t="s">
        <v>94</v>
      </c>
      <c r="AX45" s="25" t="s">
        <v>79</v>
      </c>
      <c r="AZ45" s="5" t="s">
        <v>405</v>
      </c>
      <c r="BD45" s="9" t="n">
        <v>45596</v>
      </c>
      <c r="BE45" s="9" t="n">
        <v>45596</v>
      </c>
      <c r="BJ45" s="5" t="n">
        <v>2024</v>
      </c>
      <c r="BK45" s="11" t="n">
        <v>36526</v>
      </c>
    </row>
    <row r="46" customFormat="false" ht="16.5" hidden="false" customHeight="true" outlineLevel="0" collapsed="false">
      <c r="A46" s="5" t="s">
        <v>442</v>
      </c>
      <c r="C46" s="5"/>
      <c r="D46" s="5" t="s">
        <v>62</v>
      </c>
      <c r="E46" s="5" t="n">
        <v>5500000</v>
      </c>
      <c r="F46" s="5" t="n">
        <v>5500000</v>
      </c>
      <c r="G46" s="5" t="s">
        <v>147</v>
      </c>
      <c r="H46" s="6" t="n">
        <v>5983477</v>
      </c>
      <c r="I46" s="6" t="n">
        <v>5983477</v>
      </c>
      <c r="J46" s="7" t="n">
        <v>5500000</v>
      </c>
      <c r="K46" s="7" t="n">
        <v>5500000</v>
      </c>
      <c r="L46" s="5" t="s">
        <v>84</v>
      </c>
      <c r="M46" s="5" t="s">
        <v>65</v>
      </c>
      <c r="N46" s="8" t="s">
        <v>443</v>
      </c>
      <c r="P46" s="5"/>
      <c r="Q46" s="5"/>
      <c r="R46" s="5" t="s">
        <v>444</v>
      </c>
      <c r="T46" s="5" t="s">
        <v>158</v>
      </c>
      <c r="U46" s="5" t="s">
        <v>70</v>
      </c>
      <c r="V46" s="5" t="s">
        <v>159</v>
      </c>
      <c r="W46" s="5" t="s">
        <v>102</v>
      </c>
      <c r="X46" s="5" t="s">
        <v>160</v>
      </c>
      <c r="Y46" s="5" t="s">
        <v>73</v>
      </c>
      <c r="Z46" s="5" t="s">
        <v>70</v>
      </c>
      <c r="AD46" s="5" t="s">
        <v>445</v>
      </c>
      <c r="AE46" s="5" t="s">
        <v>74</v>
      </c>
      <c r="AI46" s="9" t="n">
        <v>45180</v>
      </c>
      <c r="AJ46" s="5" t="n">
        <v>4</v>
      </c>
      <c r="AK46" s="5" t="s">
        <v>75</v>
      </c>
      <c r="AL46" s="5" t="n">
        <v>1495869</v>
      </c>
      <c r="AM46" s="5" t="s">
        <v>182</v>
      </c>
      <c r="AN46" s="5" t="s">
        <v>446</v>
      </c>
      <c r="AQ46" s="5" t="s">
        <v>77</v>
      </c>
      <c r="AR46" s="5" t="s">
        <v>185</v>
      </c>
      <c r="AS46" s="5" t="s">
        <v>73</v>
      </c>
      <c r="AT46" s="5" t="s">
        <v>105</v>
      </c>
      <c r="AU46" s="10" t="s">
        <v>106</v>
      </c>
      <c r="AW46" s="5" t="s">
        <v>94</v>
      </c>
      <c r="AX46" s="10" t="str">
        <f aca="false" t="array" ref="AX46:AX46">IFERROR(INDEX('full database 2024'!ar:ar, MATCH(A46, 'full database 2024'!b:b, 0)), "")</f>
        <v/>
      </c>
      <c r="AY46" s="5" t="s">
        <v>447</v>
      </c>
      <c r="AZ46" s="5" t="s">
        <v>448</v>
      </c>
      <c r="BD46" s="9" t="n">
        <v>45245</v>
      </c>
      <c r="BE46" s="9" t="n">
        <v>45247</v>
      </c>
      <c r="BI46" s="5" t="s">
        <v>81</v>
      </c>
      <c r="BJ46" s="5" t="n">
        <v>2023</v>
      </c>
      <c r="BK46" s="11" t="n">
        <v>46700</v>
      </c>
    </row>
    <row r="47" customFormat="false" ht="16.5" hidden="false" customHeight="true" outlineLevel="0" collapsed="false">
      <c r="A47" s="5" t="s">
        <v>449</v>
      </c>
      <c r="B47" s="5" t="s">
        <v>450</v>
      </c>
      <c r="C47" s="5"/>
      <c r="D47" s="5" t="s">
        <v>62</v>
      </c>
      <c r="E47" s="5" t="n">
        <v>5300000</v>
      </c>
      <c r="F47" s="5" t="n">
        <v>2650000</v>
      </c>
      <c r="G47" s="5" t="s">
        <v>147</v>
      </c>
      <c r="H47" s="6" t="n">
        <v>5752222</v>
      </c>
      <c r="I47" s="6" t="n">
        <v>2876111</v>
      </c>
      <c r="J47" s="7" t="n">
        <v>5300000</v>
      </c>
      <c r="K47" s="7" t="n">
        <v>2650000</v>
      </c>
      <c r="L47" s="5" t="s">
        <v>84</v>
      </c>
      <c r="M47" s="5" t="s">
        <v>65</v>
      </c>
      <c r="N47" s="8" t="s">
        <v>451</v>
      </c>
      <c r="O47" s="5" t="s">
        <v>452</v>
      </c>
      <c r="P47" s="5"/>
      <c r="Q47" s="5"/>
      <c r="R47" s="5" t="s">
        <v>453</v>
      </c>
      <c r="S47" s="5" t="s">
        <v>454</v>
      </c>
      <c r="T47" s="5" t="s">
        <v>455</v>
      </c>
      <c r="U47" s="5" t="s">
        <v>456</v>
      </c>
      <c r="V47" s="5" t="s">
        <v>457</v>
      </c>
      <c r="W47" s="5" t="s">
        <v>90</v>
      </c>
      <c r="X47" s="5" t="s">
        <v>333</v>
      </c>
      <c r="Y47" s="5" t="s">
        <v>73</v>
      </c>
      <c r="Z47" s="5" t="s">
        <v>70</v>
      </c>
      <c r="AD47" s="5" t="s">
        <v>458</v>
      </c>
      <c r="AE47" s="5" t="s">
        <v>74</v>
      </c>
      <c r="AI47" s="9" t="n">
        <v>45323</v>
      </c>
      <c r="AJ47" s="5" t="n">
        <v>6</v>
      </c>
      <c r="AK47" s="5" t="s">
        <v>75</v>
      </c>
      <c r="AL47" s="5" t="n">
        <v>958704</v>
      </c>
      <c r="AM47" s="5" t="s">
        <v>459</v>
      </c>
      <c r="AN47" s="5"/>
      <c r="AQ47" s="5" t="s">
        <v>184</v>
      </c>
      <c r="AR47" s="5" t="s">
        <v>333</v>
      </c>
      <c r="AS47" s="5" t="s">
        <v>73</v>
      </c>
      <c r="AT47" s="5" t="s">
        <v>78</v>
      </c>
      <c r="AU47" s="10" t="s">
        <v>259</v>
      </c>
      <c r="AW47" s="5" t="s">
        <v>94</v>
      </c>
      <c r="AX47" s="5" t="s">
        <v>79</v>
      </c>
      <c r="AZ47" s="5" t="s">
        <v>129</v>
      </c>
      <c r="BA47" s="5" t="s">
        <v>65</v>
      </c>
      <c r="BD47" s="9" t="n">
        <v>45341</v>
      </c>
      <c r="BE47" s="9" t="n">
        <v>45644</v>
      </c>
      <c r="BI47" s="5" t="s">
        <v>81</v>
      </c>
      <c r="BJ47" s="5" t="n">
        <v>2024</v>
      </c>
      <c r="BK47" s="11" t="n">
        <v>47485</v>
      </c>
    </row>
    <row r="48" customFormat="false" ht="16.5" hidden="false" customHeight="true" outlineLevel="0" collapsed="false">
      <c r="A48" s="5" t="s">
        <v>460</v>
      </c>
      <c r="B48" s="5"/>
      <c r="C48" s="5"/>
      <c r="D48" s="5" t="s">
        <v>62</v>
      </c>
      <c r="E48" s="5" t="n">
        <v>5200000</v>
      </c>
      <c r="F48" s="5" t="n">
        <v>5200000</v>
      </c>
      <c r="G48" s="5" t="s">
        <v>147</v>
      </c>
      <c r="H48" s="6" t="n">
        <v>6310000</v>
      </c>
      <c r="I48" s="6" t="n">
        <v>6310000</v>
      </c>
      <c r="J48" s="7" t="n">
        <v>5200000</v>
      </c>
      <c r="K48" s="7" t="n">
        <v>5200000</v>
      </c>
      <c r="L48" s="5" t="s">
        <v>84</v>
      </c>
      <c r="M48" s="5" t="s">
        <v>65</v>
      </c>
      <c r="N48" s="8" t="s">
        <v>461</v>
      </c>
      <c r="O48" s="5"/>
      <c r="P48" s="5"/>
      <c r="Q48" s="5"/>
      <c r="R48" s="5" t="s">
        <v>462</v>
      </c>
      <c r="S48" s="5"/>
      <c r="T48" s="5" t="s">
        <v>463</v>
      </c>
      <c r="U48" s="5" t="s">
        <v>70</v>
      </c>
      <c r="V48" s="5" t="s">
        <v>464</v>
      </c>
      <c r="W48" s="5" t="s">
        <v>102</v>
      </c>
      <c r="X48" s="5" t="s">
        <v>257</v>
      </c>
      <c r="Y48" s="5" t="s">
        <v>73</v>
      </c>
      <c r="Z48" s="5" t="s">
        <v>70</v>
      </c>
      <c r="AD48" s="5" t="s">
        <v>465</v>
      </c>
      <c r="AE48" s="5" t="s">
        <v>74</v>
      </c>
      <c r="AI48" s="9" t="n">
        <v>44217</v>
      </c>
      <c r="AJ48" s="5" t="n">
        <v>3</v>
      </c>
      <c r="AK48" s="5" t="s">
        <v>75</v>
      </c>
      <c r="AL48" s="5" t="n">
        <v>2103333</v>
      </c>
      <c r="AM48" s="5" t="s">
        <v>466</v>
      </c>
      <c r="AN48" s="5"/>
      <c r="AQ48" s="5" t="s">
        <v>77</v>
      </c>
      <c r="AR48" s="5" t="s">
        <v>257</v>
      </c>
      <c r="AS48" s="5" t="s">
        <v>73</v>
      </c>
      <c r="AT48" s="5" t="s">
        <v>374</v>
      </c>
      <c r="AW48" s="5" t="s">
        <v>94</v>
      </c>
      <c r="AX48" s="10" t="str">
        <f aca="false" t="array" ref="AX48:AX48">IFERROR(INDEX('full database 2024'!ar:ar, MATCH(A48, 'full database 2024'!b:b, 0)), "")</f>
        <v/>
      </c>
      <c r="AZ48" s="5" t="s">
        <v>467</v>
      </c>
      <c r="BA48" s="5"/>
      <c r="BD48" s="9" t="n">
        <v>44985</v>
      </c>
      <c r="BE48" s="9" t="n">
        <v>45035</v>
      </c>
      <c r="BI48" s="5" t="s">
        <v>241</v>
      </c>
      <c r="BJ48" s="5" t="n">
        <v>2021</v>
      </c>
      <c r="BK48" s="5" t="s">
        <v>468</v>
      </c>
    </row>
    <row r="49" customFormat="false" ht="16.5" hidden="false" customHeight="true" outlineLevel="0" collapsed="false">
      <c r="A49" s="5" t="s">
        <v>469</v>
      </c>
      <c r="B49" s="5" t="s">
        <v>470</v>
      </c>
      <c r="C49" s="5"/>
      <c r="D49" s="5" t="s">
        <v>62</v>
      </c>
      <c r="E49" s="5" t="n">
        <v>5043848</v>
      </c>
      <c r="F49" s="5" t="n">
        <v>4592392</v>
      </c>
      <c r="G49" s="5" t="s">
        <v>147</v>
      </c>
      <c r="H49" s="6" t="n">
        <v>5447355</v>
      </c>
      <c r="I49" s="6" t="n">
        <v>4959783</v>
      </c>
      <c r="J49" s="7" t="n">
        <v>5043848</v>
      </c>
      <c r="K49" s="7" t="n">
        <v>4592392</v>
      </c>
      <c r="L49" s="5" t="s">
        <v>84</v>
      </c>
      <c r="M49" s="5" t="s">
        <v>65</v>
      </c>
      <c r="N49" s="8" t="s">
        <v>471</v>
      </c>
      <c r="O49" s="13"/>
      <c r="P49" s="5"/>
      <c r="Q49" s="5"/>
      <c r="R49" s="5"/>
      <c r="T49" s="5"/>
      <c r="U49" s="5"/>
      <c r="V49" s="5" t="s">
        <v>472</v>
      </c>
      <c r="W49" s="5"/>
      <c r="X49" s="5" t="s">
        <v>257</v>
      </c>
      <c r="Y49" s="5" t="s">
        <v>73</v>
      </c>
      <c r="Z49" s="5"/>
      <c r="AD49" s="5" t="s">
        <v>473</v>
      </c>
      <c r="AE49" s="5"/>
      <c r="AI49" s="9" t="n">
        <v>45078</v>
      </c>
      <c r="AJ49" s="5"/>
      <c r="AK49" s="5" t="s">
        <v>228</v>
      </c>
      <c r="AL49" s="5" t="n">
        <v>5447355</v>
      </c>
      <c r="AM49" s="5" t="s">
        <v>182</v>
      </c>
      <c r="AN49" s="5" t="s">
        <v>183</v>
      </c>
      <c r="AQ49" s="5" t="s">
        <v>77</v>
      </c>
      <c r="AR49" s="5" t="s">
        <v>185</v>
      </c>
      <c r="AS49" s="5" t="s">
        <v>73</v>
      </c>
      <c r="AT49" s="5" t="s">
        <v>71</v>
      </c>
      <c r="AU49" s="10"/>
      <c r="AW49" s="5" t="s">
        <v>94</v>
      </c>
      <c r="AX49" s="25" t="s">
        <v>79</v>
      </c>
      <c r="AZ49" s="5" t="s">
        <v>474</v>
      </c>
      <c r="BD49" s="9" t="n">
        <v>45596</v>
      </c>
      <c r="BE49" s="9" t="n">
        <v>45596</v>
      </c>
      <c r="BI49" s="5"/>
      <c r="BJ49" s="5" t="n">
        <v>2022</v>
      </c>
      <c r="BK49" s="11" t="n">
        <v>36526</v>
      </c>
    </row>
    <row r="50" customFormat="false" ht="16.5" hidden="false" customHeight="true" outlineLevel="0" collapsed="false">
      <c r="A50" s="5" t="s">
        <v>475</v>
      </c>
      <c r="B50" s="5" t="s">
        <v>476</v>
      </c>
      <c r="C50" s="5"/>
      <c r="D50" s="5" t="s">
        <v>62</v>
      </c>
      <c r="E50" s="5" t="n">
        <v>4970184</v>
      </c>
      <c r="F50" s="5" t="n">
        <v>4970184</v>
      </c>
      <c r="G50" s="5" t="s">
        <v>212</v>
      </c>
      <c r="H50" s="6" t="n">
        <v>467197</v>
      </c>
      <c r="I50" s="6" t="n">
        <v>467197</v>
      </c>
      <c r="J50" s="7" t="n">
        <f aca="false">E50*0.091</f>
        <v>452286.744</v>
      </c>
      <c r="K50" s="7" t="n">
        <f aca="false">F50*0.091</f>
        <v>452286.744</v>
      </c>
      <c r="L50" s="5" t="s">
        <v>84</v>
      </c>
      <c r="M50" s="5" t="s">
        <v>65</v>
      </c>
      <c r="N50" s="8" t="s">
        <v>477</v>
      </c>
      <c r="O50" s="5" t="s">
        <v>478</v>
      </c>
      <c r="T50" s="5" t="s">
        <v>479</v>
      </c>
      <c r="V50" s="5" t="s">
        <v>480</v>
      </c>
      <c r="X50" s="5" t="s">
        <v>215</v>
      </c>
      <c r="Y50" s="5" t="s">
        <v>73</v>
      </c>
      <c r="AD50" s="5"/>
      <c r="AI50" s="9" t="n">
        <v>45139</v>
      </c>
      <c r="AJ50" s="5" t="n">
        <v>36</v>
      </c>
      <c r="AK50" s="5" t="s">
        <v>433</v>
      </c>
      <c r="AL50" s="5" t="n">
        <v>12978</v>
      </c>
      <c r="AM50" s="5" t="s">
        <v>217</v>
      </c>
      <c r="AN50" s="5"/>
      <c r="AQ50" s="5" t="s">
        <v>77</v>
      </c>
      <c r="AR50" s="5" t="s">
        <v>215</v>
      </c>
      <c r="AS50" s="5" t="s">
        <v>73</v>
      </c>
      <c r="AT50" s="5" t="s">
        <v>71</v>
      </c>
      <c r="AU50" s="10" t="s">
        <v>481</v>
      </c>
      <c r="AW50" s="5" t="s">
        <v>94</v>
      </c>
      <c r="AX50" s="10" t="str">
        <f aca="false">IFERROR(INDEX('full database 2024'!ar:ar, MATCH(A50, 'full database 2024'!b:b, 0)), "")</f>
        <v/>
      </c>
      <c r="AZ50" s="5" t="s">
        <v>396</v>
      </c>
      <c r="BD50" s="9" t="n">
        <v>45596</v>
      </c>
      <c r="BE50" s="9" t="n">
        <v>45779</v>
      </c>
      <c r="BJ50" s="5" t="n">
        <v>2023</v>
      </c>
      <c r="BK50" s="11" t="n">
        <v>36526</v>
      </c>
    </row>
    <row r="51" customFormat="false" ht="16.5" hidden="false" customHeight="true" outlineLevel="0" collapsed="false">
      <c r="A51" s="5" t="s">
        <v>482</v>
      </c>
      <c r="B51" s="5" t="s">
        <v>483</v>
      </c>
      <c r="C51" s="5"/>
      <c r="D51" s="5" t="s">
        <v>62</v>
      </c>
      <c r="E51" s="5" t="n">
        <v>4920671</v>
      </c>
      <c r="F51" s="5" t="n">
        <v>4920671</v>
      </c>
      <c r="G51" s="5" t="s">
        <v>212</v>
      </c>
      <c r="H51" s="6" t="n">
        <v>462543</v>
      </c>
      <c r="I51" s="6" t="n">
        <v>462543</v>
      </c>
      <c r="J51" s="7" t="n">
        <f aca="false">E51*0.091</f>
        <v>447781.061</v>
      </c>
      <c r="K51" s="7" t="n">
        <f aca="false">F51*0.091</f>
        <v>447781.061</v>
      </c>
      <c r="L51" s="5" t="s">
        <v>84</v>
      </c>
      <c r="M51" s="5" t="s">
        <v>65</v>
      </c>
      <c r="N51" s="8" t="s">
        <v>484</v>
      </c>
      <c r="O51" s="5" t="s">
        <v>485</v>
      </c>
      <c r="P51" s="5"/>
      <c r="Q51" s="5"/>
      <c r="R51" s="5" t="s">
        <v>486</v>
      </c>
      <c r="T51" s="5" t="s">
        <v>487</v>
      </c>
      <c r="V51" s="5" t="s">
        <v>488</v>
      </c>
      <c r="X51" s="5" t="s">
        <v>215</v>
      </c>
      <c r="Y51" s="5" t="s">
        <v>73</v>
      </c>
      <c r="AI51" s="9" t="n">
        <v>44205</v>
      </c>
      <c r="AJ51" s="5" t="n">
        <v>37</v>
      </c>
      <c r="AK51" s="5" t="s">
        <v>216</v>
      </c>
      <c r="AL51" s="5" t="n">
        <v>12501</v>
      </c>
      <c r="AM51" s="5" t="s">
        <v>489</v>
      </c>
      <c r="AN51" s="5"/>
      <c r="AQ51" s="5" t="s">
        <v>77</v>
      </c>
      <c r="AR51" s="5" t="s">
        <v>215</v>
      </c>
      <c r="AS51" s="5" t="s">
        <v>73</v>
      </c>
      <c r="AT51" s="5" t="s">
        <v>78</v>
      </c>
      <c r="AU51" s="10" t="s">
        <v>259</v>
      </c>
      <c r="AW51" s="5" t="s">
        <v>94</v>
      </c>
      <c r="AX51" s="10" t="str">
        <f aca="false">IFERROR(INDEX('full database 2024'!ar:ar, MATCH(A51, 'full database 2024'!b:b, 0)), "")</f>
        <v/>
      </c>
      <c r="AZ51" s="5" t="s">
        <v>129</v>
      </c>
      <c r="BD51" s="9" t="n">
        <v>45596</v>
      </c>
      <c r="BE51" s="9" t="n">
        <v>45596</v>
      </c>
      <c r="BJ51" s="5" t="n">
        <v>2021</v>
      </c>
      <c r="BK51" s="11" t="n">
        <v>36526</v>
      </c>
    </row>
    <row r="52" customFormat="false" ht="16.5" hidden="false" customHeight="true" outlineLevel="0" collapsed="false">
      <c r="A52" s="5" t="s">
        <v>490</v>
      </c>
      <c r="C52" s="5"/>
      <c r="D52" s="5" t="s">
        <v>62</v>
      </c>
      <c r="E52" s="5" t="n">
        <v>4500000</v>
      </c>
      <c r="F52" s="5" t="n">
        <v>4500000</v>
      </c>
      <c r="G52" s="5" t="s">
        <v>147</v>
      </c>
      <c r="H52" s="6" t="n">
        <v>4768402</v>
      </c>
      <c r="I52" s="6" t="n">
        <v>4768402</v>
      </c>
      <c r="J52" s="7" t="n">
        <v>4500000</v>
      </c>
      <c r="K52" s="7" t="n">
        <v>4500000</v>
      </c>
      <c r="L52" s="5" t="s">
        <v>84</v>
      </c>
      <c r="M52" s="5" t="s">
        <v>65</v>
      </c>
      <c r="N52" s="8" t="s">
        <v>491</v>
      </c>
      <c r="P52" s="5"/>
      <c r="Q52" s="5"/>
      <c r="R52" s="5" t="s">
        <v>492</v>
      </c>
      <c r="T52" s="5" t="s">
        <v>493</v>
      </c>
      <c r="U52" s="5" t="s">
        <v>70</v>
      </c>
      <c r="V52" s="5" t="s">
        <v>494</v>
      </c>
      <c r="W52" s="5" t="s">
        <v>102</v>
      </c>
      <c r="X52" s="5" t="s">
        <v>160</v>
      </c>
      <c r="Y52" s="5" t="s">
        <v>73</v>
      </c>
      <c r="Z52" s="5" t="s">
        <v>70</v>
      </c>
      <c r="AD52" s="5"/>
      <c r="AE52" s="5" t="s">
        <v>117</v>
      </c>
      <c r="AI52" s="9" t="n">
        <v>44812</v>
      </c>
      <c r="AJ52" s="5" t="n">
        <v>2</v>
      </c>
      <c r="AK52" s="5" t="s">
        <v>75</v>
      </c>
      <c r="AL52" s="5" t="n">
        <v>2384201</v>
      </c>
      <c r="AM52" s="5" t="s">
        <v>161</v>
      </c>
      <c r="AN52" s="5"/>
      <c r="AQ52" s="5" t="s">
        <v>77</v>
      </c>
      <c r="AR52" s="5" t="s">
        <v>160</v>
      </c>
      <c r="AS52" s="5" t="s">
        <v>73</v>
      </c>
      <c r="AT52" s="5" t="s">
        <v>105</v>
      </c>
      <c r="AU52" s="10" t="s">
        <v>106</v>
      </c>
      <c r="AW52" s="5" t="s">
        <v>94</v>
      </c>
      <c r="AX52" s="5" t="s">
        <v>495</v>
      </c>
      <c r="AY52" s="5"/>
      <c r="AZ52" s="5" t="s">
        <v>121</v>
      </c>
      <c r="BD52" s="9" t="n">
        <v>44985</v>
      </c>
      <c r="BE52" s="9" t="n">
        <v>45035</v>
      </c>
      <c r="BI52" s="5" t="s">
        <v>81</v>
      </c>
      <c r="BJ52" s="5" t="n">
        <v>2022</v>
      </c>
      <c r="BK52" s="11" t="n">
        <v>45513</v>
      </c>
    </row>
    <row r="53" customFormat="false" ht="16.5" hidden="false" customHeight="true" outlineLevel="0" collapsed="false">
      <c r="A53" s="5" t="s">
        <v>496</v>
      </c>
      <c r="B53" s="5" t="s">
        <v>497</v>
      </c>
      <c r="C53" s="5"/>
      <c r="D53" s="5" t="s">
        <v>62</v>
      </c>
      <c r="E53" s="5" t="n">
        <v>4356398</v>
      </c>
      <c r="F53" s="5" t="n">
        <v>4356398</v>
      </c>
      <c r="G53" s="5" t="s">
        <v>212</v>
      </c>
      <c r="H53" s="6" t="n">
        <v>409501</v>
      </c>
      <c r="I53" s="6" t="n">
        <v>409501</v>
      </c>
      <c r="J53" s="7" t="n">
        <f aca="false">E53*0.091</f>
        <v>396432.218</v>
      </c>
      <c r="K53" s="7" t="n">
        <f aca="false">F53*0.091</f>
        <v>396432.218</v>
      </c>
      <c r="L53" s="5" t="s">
        <v>84</v>
      </c>
      <c r="M53" s="5" t="s">
        <v>65</v>
      </c>
      <c r="N53" s="8" t="s">
        <v>498</v>
      </c>
      <c r="O53" s="5" t="s">
        <v>499</v>
      </c>
      <c r="P53" s="5"/>
      <c r="Q53" s="5"/>
      <c r="R53" s="5"/>
      <c r="T53" s="5"/>
      <c r="U53" s="5"/>
      <c r="V53" s="5" t="s">
        <v>500</v>
      </c>
      <c r="W53" s="5"/>
      <c r="X53" s="5" t="s">
        <v>215</v>
      </c>
      <c r="Y53" s="5" t="s">
        <v>73</v>
      </c>
      <c r="Z53" s="5"/>
      <c r="AE53" s="5"/>
      <c r="AI53" s="9" t="n">
        <v>44565</v>
      </c>
      <c r="AJ53" s="5" t="n">
        <v>37</v>
      </c>
      <c r="AK53" s="5" t="s">
        <v>216</v>
      </c>
      <c r="AL53" s="5" t="n">
        <v>11068</v>
      </c>
      <c r="AM53" s="5" t="s">
        <v>489</v>
      </c>
      <c r="AN53" s="5"/>
      <c r="AQ53" s="5" t="s">
        <v>77</v>
      </c>
      <c r="AR53" s="5" t="s">
        <v>215</v>
      </c>
      <c r="AS53" s="5" t="s">
        <v>73</v>
      </c>
      <c r="AT53" s="5" t="s">
        <v>78</v>
      </c>
      <c r="AW53" s="5" t="s">
        <v>94</v>
      </c>
      <c r="AX53" s="10" t="str">
        <f aca="false" t="array" ref="AX53:AX53">IFERROR(INDEX('full database 2024'!ar:ar, MATCH(A53, 'full database 2024'!b:b, 0)), "")</f>
        <v/>
      </c>
      <c r="AY53" s="5" t="s">
        <v>501</v>
      </c>
      <c r="AZ53" s="5" t="s">
        <v>502</v>
      </c>
      <c r="BD53" s="9" t="n">
        <v>45596</v>
      </c>
      <c r="BE53" s="9" t="n">
        <v>45779</v>
      </c>
      <c r="BI53" s="5"/>
      <c r="BJ53" s="5" t="n">
        <v>2022</v>
      </c>
      <c r="BK53" s="11" t="n">
        <v>36526</v>
      </c>
    </row>
    <row r="54" customFormat="false" ht="16.5" hidden="false" customHeight="true" outlineLevel="0" collapsed="false">
      <c r="A54" s="5" t="s">
        <v>503</v>
      </c>
      <c r="B54" s="5" t="s">
        <v>504</v>
      </c>
      <c r="C54" s="5"/>
      <c r="D54" s="5" t="s">
        <v>62</v>
      </c>
      <c r="E54" s="5" t="n">
        <v>4041810</v>
      </c>
      <c r="F54" s="5" t="n">
        <v>4041810</v>
      </c>
      <c r="G54" s="5" t="s">
        <v>147</v>
      </c>
      <c r="H54" s="6" t="n">
        <v>4041810</v>
      </c>
      <c r="I54" s="6" t="n">
        <v>4041810</v>
      </c>
      <c r="J54" s="7" t="n">
        <v>4041810</v>
      </c>
      <c r="K54" s="7" t="n">
        <v>4041810</v>
      </c>
      <c r="L54" s="5" t="s">
        <v>84</v>
      </c>
      <c r="M54" s="5" t="s">
        <v>65</v>
      </c>
      <c r="N54" s="8" t="s">
        <v>505</v>
      </c>
      <c r="O54" s="5" t="s">
        <v>506</v>
      </c>
      <c r="V54" s="5" t="s">
        <v>304</v>
      </c>
      <c r="W54" s="5" t="s">
        <v>305</v>
      </c>
      <c r="X54" s="5" t="s">
        <v>180</v>
      </c>
      <c r="Y54" s="5" t="s">
        <v>73</v>
      </c>
      <c r="AD54" s="5" t="s">
        <v>507</v>
      </c>
      <c r="AE54" s="5" t="s">
        <v>74</v>
      </c>
      <c r="AF54" s="9" t="n">
        <v>45538</v>
      </c>
      <c r="AG54" s="5" t="n">
        <v>2024</v>
      </c>
      <c r="AH54" s="9" t="n">
        <v>45489</v>
      </c>
      <c r="AI54" s="9" t="n">
        <v>45717</v>
      </c>
      <c r="AJ54" s="5" t="n">
        <v>4</v>
      </c>
      <c r="AK54" s="5" t="s">
        <v>152</v>
      </c>
      <c r="AL54" s="5" t="n">
        <v>1010453</v>
      </c>
      <c r="AM54" s="5" t="s">
        <v>182</v>
      </c>
      <c r="AN54" s="24" t="s">
        <v>508</v>
      </c>
      <c r="AQ54" s="5" t="s">
        <v>77</v>
      </c>
      <c r="AR54" s="5" t="s">
        <v>185</v>
      </c>
      <c r="AS54" s="5" t="s">
        <v>73</v>
      </c>
      <c r="AT54" s="5" t="s">
        <v>78</v>
      </c>
      <c r="AU54" s="10"/>
      <c r="AW54" s="5" t="s">
        <v>509</v>
      </c>
      <c r="AX54" s="25" t="s">
        <v>79</v>
      </c>
      <c r="AZ54" s="5" t="s">
        <v>396</v>
      </c>
      <c r="BD54" s="9" t="n">
        <v>45538</v>
      </c>
      <c r="BE54" s="9" t="n">
        <v>45736</v>
      </c>
      <c r="BI54" s="5" t="s">
        <v>81</v>
      </c>
      <c r="BJ54" s="5" t="n">
        <v>2025</v>
      </c>
      <c r="BK54" s="11" t="n">
        <v>47121</v>
      </c>
    </row>
    <row r="55" customFormat="false" ht="16.5" hidden="false" customHeight="true" outlineLevel="0" collapsed="false">
      <c r="A55" s="5" t="s">
        <v>510</v>
      </c>
      <c r="B55" s="5"/>
      <c r="C55" s="5"/>
      <c r="D55" s="5" t="s">
        <v>62</v>
      </c>
      <c r="E55" s="5" t="n">
        <v>4000000</v>
      </c>
      <c r="F55" s="5" t="n">
        <v>4000000</v>
      </c>
      <c r="G55" s="5" t="s">
        <v>212</v>
      </c>
      <c r="H55" s="6" t="n">
        <v>376000</v>
      </c>
      <c r="I55" s="6" t="n">
        <v>376000</v>
      </c>
      <c r="J55" s="7" t="n">
        <f aca="false">E55*0.091</f>
        <v>364000</v>
      </c>
      <c r="K55" s="7" t="n">
        <f aca="false">F55*0.091</f>
        <v>364000</v>
      </c>
      <c r="L55" s="5" t="s">
        <v>84</v>
      </c>
      <c r="M55" s="5" t="s">
        <v>65</v>
      </c>
      <c r="N55" s="5"/>
      <c r="O55" s="5"/>
      <c r="V55" s="5" t="s">
        <v>511</v>
      </c>
      <c r="W55" s="5"/>
      <c r="X55" s="5" t="s">
        <v>215</v>
      </c>
      <c r="Y55" s="5" t="s">
        <v>73</v>
      </c>
      <c r="AD55" s="5"/>
      <c r="AE55" s="5"/>
      <c r="AF55" s="9"/>
      <c r="AG55" s="5"/>
      <c r="AH55" s="9"/>
      <c r="AI55" s="9" t="n">
        <v>44938</v>
      </c>
      <c r="AJ55" s="5" t="n">
        <v>25</v>
      </c>
      <c r="AK55" s="5" t="s">
        <v>216</v>
      </c>
      <c r="AL55" s="5" t="n">
        <v>15040</v>
      </c>
      <c r="AM55" s="5" t="s">
        <v>217</v>
      </c>
      <c r="AN55" s="5"/>
      <c r="AQ55" s="5" t="s">
        <v>77</v>
      </c>
      <c r="AR55" s="5" t="s">
        <v>215</v>
      </c>
      <c r="AS55" s="5" t="s">
        <v>73</v>
      </c>
      <c r="AT55" s="5" t="s">
        <v>105</v>
      </c>
      <c r="AU55" s="10" t="s">
        <v>186</v>
      </c>
      <c r="AW55" s="5" t="s">
        <v>94</v>
      </c>
      <c r="AX55" s="10" t="str">
        <f aca="false">IFERROR(INDEX('full database 2024'!ar:ar, MATCH(A55, 'full database 2024'!b:b, 0)), "")</f>
        <v/>
      </c>
      <c r="AZ55" s="5" t="s">
        <v>107</v>
      </c>
      <c r="BD55" s="9" t="n">
        <v>45596</v>
      </c>
      <c r="BE55" s="9" t="n">
        <v>45596</v>
      </c>
      <c r="BI55" s="5"/>
      <c r="BJ55" s="5" t="n">
        <v>2023</v>
      </c>
      <c r="BK55" s="11" t="n">
        <v>36526</v>
      </c>
    </row>
    <row r="56" customFormat="false" ht="16.5" hidden="false" customHeight="true" outlineLevel="0" collapsed="false">
      <c r="A56" s="5" t="s">
        <v>512</v>
      </c>
      <c r="B56" s="5" t="s">
        <v>513</v>
      </c>
      <c r="C56" s="5"/>
      <c r="D56" s="5" t="s">
        <v>62</v>
      </c>
      <c r="E56" s="5" t="n">
        <v>4000000</v>
      </c>
      <c r="F56" s="5" t="n">
        <v>4000000</v>
      </c>
      <c r="G56" s="5" t="s">
        <v>212</v>
      </c>
      <c r="H56" s="6" t="n">
        <v>376000</v>
      </c>
      <c r="I56" s="6" t="n">
        <v>376000</v>
      </c>
      <c r="J56" s="7" t="n">
        <f aca="false">E56*0.091</f>
        <v>364000</v>
      </c>
      <c r="K56" s="7" t="n">
        <f aca="false">F56*0.091</f>
        <v>364000</v>
      </c>
      <c r="L56" s="5" t="s">
        <v>84</v>
      </c>
      <c r="M56" s="5" t="s">
        <v>65</v>
      </c>
      <c r="N56" s="8" t="s">
        <v>514</v>
      </c>
      <c r="O56" s="5" t="s">
        <v>515</v>
      </c>
      <c r="T56" s="5" t="s">
        <v>516</v>
      </c>
      <c r="V56" s="5" t="s">
        <v>432</v>
      </c>
      <c r="X56" s="5" t="s">
        <v>215</v>
      </c>
      <c r="Y56" s="5" t="s">
        <v>73</v>
      </c>
      <c r="AI56" s="9" t="n">
        <v>45261</v>
      </c>
      <c r="AJ56" s="5" t="n">
        <v>24</v>
      </c>
      <c r="AK56" s="5" t="s">
        <v>433</v>
      </c>
      <c r="AL56" s="5" t="n">
        <v>15667</v>
      </c>
      <c r="AM56" s="5" t="s">
        <v>217</v>
      </c>
      <c r="AN56" s="5"/>
      <c r="AQ56" s="5" t="s">
        <v>77</v>
      </c>
      <c r="AR56" s="5" t="s">
        <v>215</v>
      </c>
      <c r="AS56" s="5" t="s">
        <v>73</v>
      </c>
      <c r="AT56" s="5" t="s">
        <v>78</v>
      </c>
      <c r="AW56" s="5" t="s">
        <v>94</v>
      </c>
      <c r="AX56" s="10" t="str">
        <f aca="false">IFERROR(INDEX('full database 2024'!ar:ar, MATCH(A56, 'full database 2024'!b:b, 0)), "")</f>
        <v/>
      </c>
      <c r="AZ56" s="5" t="s">
        <v>129</v>
      </c>
      <c r="BD56" s="9" t="n">
        <v>45596</v>
      </c>
      <c r="BE56" s="9" t="n">
        <v>45779</v>
      </c>
      <c r="BJ56" s="5" t="n">
        <v>2023</v>
      </c>
      <c r="BK56" s="11" t="n">
        <v>36526</v>
      </c>
    </row>
    <row r="57" customFormat="false" ht="16.5" hidden="false" customHeight="true" outlineLevel="0" collapsed="false">
      <c r="A57" s="5" t="s">
        <v>517</v>
      </c>
      <c r="B57" s="5"/>
      <c r="C57" s="5"/>
      <c r="D57" s="5" t="s">
        <v>62</v>
      </c>
      <c r="E57" s="5" t="n">
        <v>3999972</v>
      </c>
      <c r="F57" s="5" t="n">
        <v>3999972</v>
      </c>
      <c r="G57" s="5" t="s">
        <v>63</v>
      </c>
      <c r="H57" s="6" t="n">
        <v>576688</v>
      </c>
      <c r="I57" s="6" t="n">
        <v>0</v>
      </c>
      <c r="J57" s="7" t="n">
        <f aca="false">E57*0.13</f>
        <v>519996.36</v>
      </c>
      <c r="K57" s="7" t="n">
        <f aca="false">F57*0.13</f>
        <v>519996.36</v>
      </c>
      <c r="L57" s="5" t="s">
        <v>84</v>
      </c>
      <c r="M57" s="5" t="s">
        <v>65</v>
      </c>
      <c r="N57" s="5"/>
      <c r="O57" s="5" t="s">
        <v>518</v>
      </c>
      <c r="T57" s="5" t="s">
        <v>519</v>
      </c>
      <c r="V57" s="5" t="s">
        <v>520</v>
      </c>
      <c r="X57" s="5" t="s">
        <v>72</v>
      </c>
      <c r="Y57" s="5" t="s">
        <v>73</v>
      </c>
      <c r="AI57" s="9" t="n">
        <v>44652</v>
      </c>
      <c r="AJ57" s="5"/>
      <c r="AK57" s="5"/>
      <c r="AL57" s="5" t="n">
        <v>576688</v>
      </c>
      <c r="AM57" s="5" t="s">
        <v>92</v>
      </c>
      <c r="AN57" s="5"/>
      <c r="AQ57" s="5" t="s">
        <v>93</v>
      </c>
      <c r="AR57" s="5" t="s">
        <v>72</v>
      </c>
      <c r="AS57" s="5" t="s">
        <v>73</v>
      </c>
      <c r="AT57" s="5" t="s">
        <v>105</v>
      </c>
      <c r="AU57" s="10" t="s">
        <v>106</v>
      </c>
      <c r="AW57" s="5" t="s">
        <v>94</v>
      </c>
      <c r="AX57" s="10" t="str">
        <f aca="false">IFERROR(INDEX('full database 2024'!ar:ar, MATCH(A57, 'full database 2024'!b:b, 0)), "")</f>
        <v/>
      </c>
      <c r="AZ57" s="5" t="s">
        <v>521</v>
      </c>
      <c r="BD57" s="9" t="n">
        <v>45596</v>
      </c>
      <c r="BE57" s="9" t="n">
        <v>45596</v>
      </c>
      <c r="BJ57" s="5" t="n">
        <v>2022</v>
      </c>
      <c r="BK57" s="11" t="n">
        <v>36526</v>
      </c>
    </row>
    <row r="58" customFormat="false" ht="16.5" hidden="false" customHeight="true" outlineLevel="0" collapsed="false">
      <c r="A58" s="5" t="s">
        <v>522</v>
      </c>
      <c r="C58" s="5"/>
      <c r="D58" s="5" t="s">
        <v>62</v>
      </c>
      <c r="E58" s="5" t="n">
        <v>3998443</v>
      </c>
      <c r="F58" s="5" t="n">
        <v>3998443</v>
      </c>
      <c r="G58" s="5" t="s">
        <v>212</v>
      </c>
      <c r="H58" s="6" t="n">
        <v>375854</v>
      </c>
      <c r="I58" s="6" t="n">
        <v>375854</v>
      </c>
      <c r="J58" s="7" t="n">
        <f aca="false">E58*0.091</f>
        <v>363858.313</v>
      </c>
      <c r="K58" s="7" t="n">
        <f aca="false">F58*0.091</f>
        <v>363858.313</v>
      </c>
      <c r="L58" s="5" t="s">
        <v>84</v>
      </c>
      <c r="M58" s="5" t="s">
        <v>65</v>
      </c>
      <c r="T58" s="5" t="s">
        <v>523</v>
      </c>
      <c r="V58" s="5" t="s">
        <v>524</v>
      </c>
      <c r="X58" s="5" t="s">
        <v>215</v>
      </c>
      <c r="Y58" s="5" t="s">
        <v>73</v>
      </c>
      <c r="AI58" s="9" t="n">
        <v>45292</v>
      </c>
      <c r="AJ58" s="5" t="n">
        <v>36</v>
      </c>
      <c r="AK58" s="5" t="s">
        <v>433</v>
      </c>
      <c r="AL58" s="5" t="n">
        <v>10440</v>
      </c>
      <c r="AM58" s="5" t="s">
        <v>217</v>
      </c>
      <c r="AN58" s="5"/>
      <c r="AQ58" s="5" t="s">
        <v>77</v>
      </c>
      <c r="AR58" s="5" t="s">
        <v>215</v>
      </c>
      <c r="AS58" s="5" t="s">
        <v>73</v>
      </c>
      <c r="AT58" s="5" t="s">
        <v>78</v>
      </c>
      <c r="AW58" s="5" t="s">
        <v>94</v>
      </c>
      <c r="AX58" s="10" t="str">
        <f aca="false">IFERROR(INDEX('full database 2024'!ar:ar, MATCH(A58, 'full database 2024'!b:b, 0)), "")</f>
        <v/>
      </c>
      <c r="AZ58" s="5" t="s">
        <v>525</v>
      </c>
      <c r="BD58" s="9" t="n">
        <v>45596</v>
      </c>
      <c r="BE58" s="9" t="n">
        <v>45596</v>
      </c>
      <c r="BJ58" s="5" t="n">
        <v>2024</v>
      </c>
      <c r="BK58" s="11" t="n">
        <v>36526</v>
      </c>
    </row>
    <row r="59" customFormat="false" ht="16.5" hidden="false" customHeight="true" outlineLevel="0" collapsed="false">
      <c r="A59" s="5" t="s">
        <v>526</v>
      </c>
      <c r="B59" s="5" t="s">
        <v>527</v>
      </c>
      <c r="C59" s="5"/>
      <c r="D59" s="5" t="s">
        <v>62</v>
      </c>
      <c r="E59" s="5" t="n">
        <v>3809356</v>
      </c>
      <c r="F59" s="5" t="n">
        <v>2500000</v>
      </c>
      <c r="G59" s="5" t="s">
        <v>147</v>
      </c>
      <c r="H59" s="6" t="n">
        <v>4177301</v>
      </c>
      <c r="I59" s="6" t="n">
        <v>2741475</v>
      </c>
      <c r="J59" s="7" t="n">
        <v>3809356</v>
      </c>
      <c r="K59" s="7" t="n">
        <v>2500000</v>
      </c>
      <c r="L59" s="5" t="s">
        <v>84</v>
      </c>
      <c r="M59" s="5" t="s">
        <v>65</v>
      </c>
      <c r="N59" s="8" t="s">
        <v>528</v>
      </c>
      <c r="O59" s="5" t="s">
        <v>529</v>
      </c>
      <c r="P59" s="5"/>
      <c r="Q59" s="5"/>
      <c r="R59" s="5" t="s">
        <v>530</v>
      </c>
      <c r="T59" s="5" t="s">
        <v>531</v>
      </c>
      <c r="U59" s="5" t="s">
        <v>70</v>
      </c>
      <c r="V59" s="5" t="s">
        <v>532</v>
      </c>
      <c r="W59" s="5" t="s">
        <v>102</v>
      </c>
      <c r="X59" s="5" t="s">
        <v>533</v>
      </c>
      <c r="Y59" s="5" t="s">
        <v>73</v>
      </c>
      <c r="Z59" s="5" t="s">
        <v>70</v>
      </c>
      <c r="AE59" s="5" t="s">
        <v>117</v>
      </c>
      <c r="AI59" s="9" t="n">
        <v>44105</v>
      </c>
      <c r="AJ59" s="5" t="n">
        <v>2</v>
      </c>
      <c r="AK59" s="5" t="s">
        <v>228</v>
      </c>
      <c r="AL59" s="5" t="n">
        <v>2088651</v>
      </c>
      <c r="AM59" s="5" t="s">
        <v>182</v>
      </c>
      <c r="AN59" s="24" t="s">
        <v>363</v>
      </c>
      <c r="AQ59" s="5" t="s">
        <v>77</v>
      </c>
      <c r="AR59" s="5" t="s">
        <v>185</v>
      </c>
      <c r="AS59" s="5" t="s">
        <v>73</v>
      </c>
      <c r="AT59" s="5" t="s">
        <v>374</v>
      </c>
      <c r="AW59" s="5" t="s">
        <v>94</v>
      </c>
      <c r="AX59" s="10" t="str">
        <f aca="false">IFERROR(INDEX('full database 2024'!ar:ar, MATCH(A59, 'full database 2024'!b:b, 0)), "")</f>
        <v/>
      </c>
      <c r="AZ59" s="5" t="s">
        <v>534</v>
      </c>
      <c r="BD59" s="9" t="n">
        <v>44999</v>
      </c>
      <c r="BE59" s="9" t="n">
        <v>45779</v>
      </c>
      <c r="BI59" s="5" t="s">
        <v>81</v>
      </c>
      <c r="BJ59" s="5" t="n">
        <v>2020</v>
      </c>
      <c r="BK59" s="11" t="n">
        <v>44571</v>
      </c>
    </row>
    <row r="60" customFormat="false" ht="16.5" hidden="false" customHeight="true" outlineLevel="0" collapsed="false">
      <c r="A60" s="5" t="s">
        <v>535</v>
      </c>
      <c r="B60" s="5" t="s">
        <v>536</v>
      </c>
      <c r="C60" s="5"/>
      <c r="D60" s="5" t="s">
        <v>62</v>
      </c>
      <c r="E60" s="5" t="n">
        <v>3747305</v>
      </c>
      <c r="F60" s="5" t="n">
        <v>3747305</v>
      </c>
      <c r="G60" s="5" t="s">
        <v>147</v>
      </c>
      <c r="H60" s="6" t="n">
        <v>4047089</v>
      </c>
      <c r="I60" s="6" t="n">
        <v>4047089</v>
      </c>
      <c r="J60" s="7" t="n">
        <v>3747305</v>
      </c>
      <c r="K60" s="7" t="n">
        <v>3747305</v>
      </c>
      <c r="L60" s="5" t="s">
        <v>84</v>
      </c>
      <c r="M60" s="5" t="s">
        <v>65</v>
      </c>
      <c r="N60" s="8" t="s">
        <v>537</v>
      </c>
      <c r="O60" s="13"/>
      <c r="V60" s="5" t="s">
        <v>538</v>
      </c>
      <c r="X60" s="5" t="s">
        <v>180</v>
      </c>
      <c r="Y60" s="5" t="s">
        <v>73</v>
      </c>
      <c r="AD60" s="5" t="s">
        <v>539</v>
      </c>
      <c r="AI60" s="9" t="n">
        <v>45352</v>
      </c>
      <c r="AJ60" s="5"/>
      <c r="AK60" s="5" t="s">
        <v>228</v>
      </c>
      <c r="AL60" s="5" t="n">
        <v>4047089</v>
      </c>
      <c r="AM60" s="5" t="s">
        <v>182</v>
      </c>
      <c r="AN60" s="24" t="s">
        <v>508</v>
      </c>
      <c r="AQ60" s="5" t="s">
        <v>77</v>
      </c>
      <c r="AR60" s="5" t="s">
        <v>185</v>
      </c>
      <c r="AS60" s="5" t="s">
        <v>73</v>
      </c>
      <c r="AT60" s="5" t="s">
        <v>78</v>
      </c>
      <c r="AU60" s="10" t="s">
        <v>259</v>
      </c>
      <c r="AW60" s="5" t="s">
        <v>94</v>
      </c>
      <c r="AX60" s="10" t="str">
        <f aca="false">IFERROR(INDEX('full database 2024'!ar:ar, MATCH(A60, 'full database 2024'!b:b, 0)), "")</f>
        <v/>
      </c>
      <c r="AZ60" s="5" t="s">
        <v>540</v>
      </c>
      <c r="BD60" s="9" t="n">
        <v>45596</v>
      </c>
      <c r="BE60" s="9" t="n">
        <v>45779</v>
      </c>
      <c r="BJ60" s="5" t="n">
        <v>2024</v>
      </c>
      <c r="BK60" s="11" t="n">
        <v>36526</v>
      </c>
    </row>
    <row r="61" customFormat="false" ht="16.5" hidden="false" customHeight="true" outlineLevel="0" collapsed="false">
      <c r="A61" s="5" t="s">
        <v>541</v>
      </c>
      <c r="B61" s="5"/>
      <c r="C61" s="5"/>
      <c r="D61" s="5" t="s">
        <v>62</v>
      </c>
      <c r="E61" s="5" t="n">
        <v>3600000</v>
      </c>
      <c r="F61" s="5" t="n">
        <v>3600000</v>
      </c>
      <c r="G61" s="5" t="s">
        <v>147</v>
      </c>
      <c r="H61" s="6" t="n">
        <v>3862692</v>
      </c>
      <c r="I61" s="6" t="n">
        <v>3862692</v>
      </c>
      <c r="J61" s="7" t="n">
        <v>3600000</v>
      </c>
      <c r="K61" s="7" t="n">
        <v>3600000</v>
      </c>
      <c r="L61" s="5" t="s">
        <v>84</v>
      </c>
      <c r="M61" s="5" t="s">
        <v>65</v>
      </c>
      <c r="N61" s="8" t="s">
        <v>542</v>
      </c>
      <c r="O61" s="5"/>
      <c r="P61" s="5"/>
      <c r="Q61" s="5"/>
      <c r="R61" s="5" t="s">
        <v>543</v>
      </c>
      <c r="T61" s="5" t="s">
        <v>544</v>
      </c>
      <c r="U61" s="5" t="s">
        <v>70</v>
      </c>
      <c r="V61" s="5" t="s">
        <v>545</v>
      </c>
      <c r="W61" s="5" t="s">
        <v>102</v>
      </c>
      <c r="X61" s="5" t="s">
        <v>271</v>
      </c>
      <c r="Y61" s="5" t="s">
        <v>73</v>
      </c>
      <c r="Z61" s="5" t="s">
        <v>70</v>
      </c>
      <c r="AD61" s="5" t="s">
        <v>546</v>
      </c>
      <c r="AE61" s="5" t="s">
        <v>74</v>
      </c>
      <c r="AI61" s="9" t="n">
        <v>43831</v>
      </c>
      <c r="AJ61" s="5" t="n">
        <v>3</v>
      </c>
      <c r="AK61" s="5" t="s">
        <v>228</v>
      </c>
      <c r="AL61" s="5" t="n">
        <v>1287564</v>
      </c>
      <c r="AM61" s="5" t="s">
        <v>547</v>
      </c>
      <c r="AN61" s="5"/>
      <c r="AQ61" s="5" t="s">
        <v>77</v>
      </c>
      <c r="AR61" s="5" t="s">
        <v>271</v>
      </c>
      <c r="AS61" s="5" t="s">
        <v>73</v>
      </c>
      <c r="AT61" s="5" t="s">
        <v>374</v>
      </c>
      <c r="AW61" s="5" t="s">
        <v>94</v>
      </c>
      <c r="AX61" s="10" t="str">
        <f aca="false">IFERROR(INDEX('full database 2024'!ar:ar, MATCH(A61, 'full database 2024'!b:b, 0)), "")</f>
        <v/>
      </c>
      <c r="AZ61" s="5" t="s">
        <v>239</v>
      </c>
      <c r="BD61" s="9" t="n">
        <v>44999</v>
      </c>
      <c r="BE61" s="9" t="n">
        <v>45035</v>
      </c>
      <c r="BI61" s="5" t="s">
        <v>81</v>
      </c>
      <c r="BJ61" s="5" t="n">
        <v>2020</v>
      </c>
      <c r="BK61" s="11" t="n">
        <v>44927</v>
      </c>
    </row>
    <row r="62" customFormat="false" ht="16.5" hidden="false" customHeight="true" outlineLevel="0" collapsed="false">
      <c r="A62" s="5" t="s">
        <v>548</v>
      </c>
      <c r="B62" s="5" t="s">
        <v>549</v>
      </c>
      <c r="C62" s="5"/>
      <c r="D62" s="5" t="s">
        <v>62</v>
      </c>
      <c r="E62" s="5" t="n">
        <v>3600000</v>
      </c>
      <c r="F62" s="5" t="n">
        <v>2700000</v>
      </c>
      <c r="G62" s="5" t="s">
        <v>147</v>
      </c>
      <c r="H62" s="6" t="n">
        <v>0</v>
      </c>
      <c r="I62" s="6" t="n">
        <v>0</v>
      </c>
      <c r="J62" s="7" t="n">
        <v>3600000</v>
      </c>
      <c r="K62" s="7" t="n">
        <v>2700000</v>
      </c>
      <c r="L62" s="5" t="s">
        <v>84</v>
      </c>
      <c r="M62" s="5"/>
      <c r="N62" s="8" t="s">
        <v>550</v>
      </c>
      <c r="O62" s="5" t="s">
        <v>551</v>
      </c>
      <c r="V62" s="5" t="s">
        <v>552</v>
      </c>
      <c r="X62" s="5" t="s">
        <v>553</v>
      </c>
      <c r="Y62" s="5" t="s">
        <v>73</v>
      </c>
      <c r="AI62" s="9" t="n">
        <v>44929</v>
      </c>
      <c r="AJ62" s="5"/>
      <c r="AK62" s="5"/>
      <c r="AL62" s="5" t="n">
        <v>0</v>
      </c>
      <c r="AM62" s="5" t="s">
        <v>554</v>
      </c>
      <c r="AN62" s="5"/>
      <c r="AQ62" s="5" t="s">
        <v>77</v>
      </c>
      <c r="AR62" s="5" t="s">
        <v>553</v>
      </c>
      <c r="AS62" s="5" t="s">
        <v>73</v>
      </c>
      <c r="AT62" s="5" t="s">
        <v>105</v>
      </c>
      <c r="AU62" s="10" t="s">
        <v>106</v>
      </c>
      <c r="AW62" s="5" t="s">
        <v>94</v>
      </c>
      <c r="AX62" s="10" t="str">
        <f aca="false">IFERROR(INDEX('full database 2024'!ar:ar, MATCH(A62, 'full database 2024'!b:b, 0)), "")</f>
        <v/>
      </c>
      <c r="AZ62" s="5" t="s">
        <v>540</v>
      </c>
      <c r="BD62" s="9" t="n">
        <v>45671</v>
      </c>
      <c r="BE62" s="9" t="n">
        <v>45779</v>
      </c>
      <c r="BJ62" s="5" t="n">
        <v>2023</v>
      </c>
      <c r="BK62" s="5" t="s">
        <v>555</v>
      </c>
    </row>
    <row r="63" customFormat="false" ht="16.5" hidden="false" customHeight="true" outlineLevel="0" collapsed="false">
      <c r="A63" s="5" t="s">
        <v>556</v>
      </c>
      <c r="B63" s="5"/>
      <c r="C63" s="5"/>
      <c r="D63" s="5" t="s">
        <v>62</v>
      </c>
      <c r="E63" s="5" t="n">
        <v>3535625</v>
      </c>
      <c r="F63" s="5" t="n">
        <v>2474938</v>
      </c>
      <c r="G63" s="5" t="s">
        <v>147</v>
      </c>
      <c r="H63" s="6" t="n">
        <v>3818475</v>
      </c>
      <c r="I63" s="6" t="n">
        <v>2672933</v>
      </c>
      <c r="J63" s="7" t="n">
        <v>3535625</v>
      </c>
      <c r="K63" s="7" t="n">
        <v>2474938</v>
      </c>
      <c r="L63" s="5" t="s">
        <v>84</v>
      </c>
      <c r="M63" s="5" t="s">
        <v>65</v>
      </c>
      <c r="N63" s="5"/>
      <c r="O63" s="13"/>
      <c r="V63" s="5" t="s">
        <v>557</v>
      </c>
      <c r="X63" s="5" t="s">
        <v>180</v>
      </c>
      <c r="Y63" s="5" t="s">
        <v>73</v>
      </c>
      <c r="AI63" s="9" t="n">
        <v>44743</v>
      </c>
      <c r="AK63" s="5" t="s">
        <v>228</v>
      </c>
      <c r="AL63" s="5" t="n">
        <v>3818475</v>
      </c>
      <c r="AM63" s="5" t="s">
        <v>182</v>
      </c>
      <c r="AN63" s="5" t="str">
        <f aca="false" t="array" ref="AN63:AN63">IFERROR(INDEX('full database 2024'!aj:aj, MATCH(A63, 'full database 2024'!b:b, 0)), "")</f>
        <v/>
      </c>
      <c r="AQ63" s="5" t="s">
        <v>77</v>
      </c>
      <c r="AR63" s="5" t="s">
        <v>185</v>
      </c>
      <c r="AS63" s="5" t="s">
        <v>73</v>
      </c>
      <c r="AT63" s="5" t="s">
        <v>78</v>
      </c>
      <c r="AU63" s="10" t="s">
        <v>259</v>
      </c>
      <c r="AW63" s="5" t="s">
        <v>94</v>
      </c>
      <c r="AX63" s="10" t="str">
        <f aca="false">IFERROR(INDEX('full database 2024'!ar:ar, MATCH(A63, 'full database 2024'!b:b, 0)), "")</f>
        <v/>
      </c>
      <c r="AZ63" s="5" t="s">
        <v>129</v>
      </c>
      <c r="BD63" s="9" t="n">
        <v>45596</v>
      </c>
      <c r="BE63" s="9" t="n">
        <v>45596</v>
      </c>
      <c r="BJ63" s="5" t="n">
        <v>2022</v>
      </c>
      <c r="BK63" s="11" t="n">
        <v>36526</v>
      </c>
    </row>
    <row r="64" customFormat="false" ht="16.5" hidden="false" customHeight="true" outlineLevel="0" collapsed="false">
      <c r="A64" s="5" t="s">
        <v>558</v>
      </c>
      <c r="C64" s="5"/>
      <c r="D64" s="5" t="s">
        <v>62</v>
      </c>
      <c r="E64" s="5" t="n">
        <v>3495647</v>
      </c>
      <c r="F64" s="5" t="n">
        <v>3495647</v>
      </c>
      <c r="G64" s="5" t="s">
        <v>212</v>
      </c>
      <c r="H64" s="6" t="n">
        <v>328591</v>
      </c>
      <c r="I64" s="6" t="n">
        <v>328591</v>
      </c>
      <c r="J64" s="7" t="n">
        <f aca="false">E64*0.091</f>
        <v>318103.877</v>
      </c>
      <c r="K64" s="7" t="n">
        <f aca="false">F64*0.091</f>
        <v>318103.877</v>
      </c>
      <c r="L64" s="5" t="s">
        <v>84</v>
      </c>
      <c r="M64" s="5" t="s">
        <v>65</v>
      </c>
      <c r="V64" s="5" t="s">
        <v>559</v>
      </c>
      <c r="X64" s="5" t="s">
        <v>215</v>
      </c>
      <c r="Y64" s="5" t="s">
        <v>73</v>
      </c>
      <c r="AI64" s="9" t="n">
        <v>45210</v>
      </c>
      <c r="AJ64" s="5" t="n">
        <v>18</v>
      </c>
      <c r="AK64" s="5" t="s">
        <v>216</v>
      </c>
      <c r="AL64" s="5" t="n">
        <v>18255</v>
      </c>
      <c r="AM64" s="5" t="s">
        <v>489</v>
      </c>
      <c r="AN64" s="5"/>
      <c r="AQ64" s="5" t="s">
        <v>77</v>
      </c>
      <c r="AR64" s="5" t="s">
        <v>215</v>
      </c>
      <c r="AS64" s="5" t="s">
        <v>73</v>
      </c>
      <c r="AT64" s="5" t="s">
        <v>71</v>
      </c>
      <c r="AU64" s="10" t="s">
        <v>286</v>
      </c>
      <c r="AW64" s="5" t="s">
        <v>94</v>
      </c>
      <c r="AX64" s="10" t="str">
        <f aca="false">IFERROR(INDEX('full database 2024'!ar:ar, MATCH(A64, 'full database 2024'!b:b, 0)), "")</f>
        <v/>
      </c>
      <c r="AZ64" s="5" t="s">
        <v>95</v>
      </c>
      <c r="BD64" s="9" t="n">
        <v>45596</v>
      </c>
      <c r="BE64" s="9" t="n">
        <v>45596</v>
      </c>
      <c r="BJ64" s="5" t="n">
        <v>2023</v>
      </c>
      <c r="BK64" s="11" t="n">
        <v>36526</v>
      </c>
    </row>
    <row r="65" customFormat="false" ht="16.5" hidden="false" customHeight="true" outlineLevel="0" collapsed="false">
      <c r="A65" s="5" t="s">
        <v>560</v>
      </c>
      <c r="C65" s="5"/>
      <c r="D65" s="5" t="s">
        <v>62</v>
      </c>
      <c r="E65" s="5" t="n">
        <v>3467500</v>
      </c>
      <c r="F65" s="5" t="n">
        <v>2426375</v>
      </c>
      <c r="G65" s="5" t="s">
        <v>147</v>
      </c>
      <c r="H65" s="6" t="n">
        <v>3744900</v>
      </c>
      <c r="I65" s="6" t="n">
        <v>2620485</v>
      </c>
      <c r="J65" s="7" t="n">
        <v>3467500</v>
      </c>
      <c r="K65" s="7" t="n">
        <v>2426375</v>
      </c>
      <c r="L65" s="5" t="s">
        <v>84</v>
      </c>
      <c r="M65" s="5" t="s">
        <v>65</v>
      </c>
      <c r="O65" s="13"/>
      <c r="V65" s="5" t="s">
        <v>561</v>
      </c>
      <c r="X65" s="5" t="s">
        <v>151</v>
      </c>
      <c r="Y65" s="5" t="s">
        <v>73</v>
      </c>
      <c r="AI65" s="9" t="n">
        <v>44866</v>
      </c>
      <c r="AJ65" s="5"/>
      <c r="AK65" s="5" t="s">
        <v>228</v>
      </c>
      <c r="AL65" s="5" t="n">
        <v>3744900</v>
      </c>
      <c r="AM65" s="5" t="s">
        <v>182</v>
      </c>
      <c r="AN65" s="5" t="str">
        <f aca="false" t="array" ref="AN65:AN65">IFERROR(INDEX('full database 2024'!aj:aj, MATCH(A65, 'full database 2024'!b:b, 0)), "")</f>
        <v/>
      </c>
      <c r="AQ65" s="5" t="s">
        <v>77</v>
      </c>
      <c r="AR65" s="5" t="s">
        <v>185</v>
      </c>
      <c r="AS65" s="5" t="s">
        <v>73</v>
      </c>
      <c r="AT65" s="5" t="s">
        <v>105</v>
      </c>
      <c r="AU65" s="10" t="s">
        <v>186</v>
      </c>
      <c r="AW65" s="5" t="s">
        <v>94</v>
      </c>
      <c r="AX65" s="10" t="str">
        <f aca="false">IFERROR(INDEX('full database 2024'!ar:ar, MATCH(A65, 'full database 2024'!b:b, 0)), "")</f>
        <v/>
      </c>
      <c r="AZ65" s="5" t="s">
        <v>540</v>
      </c>
      <c r="BD65" s="9" t="n">
        <v>45596</v>
      </c>
      <c r="BE65" s="9" t="n">
        <v>45596</v>
      </c>
      <c r="BJ65" s="5" t="n">
        <v>2022</v>
      </c>
      <c r="BK65" s="11" t="n">
        <v>36526</v>
      </c>
    </row>
    <row r="66" customFormat="false" ht="16.5" hidden="false" customHeight="true" outlineLevel="0" collapsed="false">
      <c r="A66" s="5" t="s">
        <v>562</v>
      </c>
      <c r="C66" s="5"/>
      <c r="D66" s="5" t="s">
        <v>62</v>
      </c>
      <c r="E66" s="5" t="n">
        <v>3440000</v>
      </c>
      <c r="F66" s="5" t="n">
        <v>3440000</v>
      </c>
      <c r="G66" s="5" t="s">
        <v>212</v>
      </c>
      <c r="H66" s="6" t="n">
        <v>323360</v>
      </c>
      <c r="I66" s="6" t="n">
        <v>323360</v>
      </c>
      <c r="J66" s="7" t="n">
        <f aca="false">E66*0.091</f>
        <v>313040</v>
      </c>
      <c r="K66" s="7" t="n">
        <f aca="false">F66*0.091</f>
        <v>313040</v>
      </c>
      <c r="L66" s="5" t="s">
        <v>84</v>
      </c>
      <c r="M66" s="5" t="s">
        <v>65</v>
      </c>
      <c r="V66" s="5" t="s">
        <v>393</v>
      </c>
      <c r="X66" s="5" t="s">
        <v>215</v>
      </c>
      <c r="Y66" s="5" t="s">
        <v>73</v>
      </c>
      <c r="AI66" s="9" t="n">
        <v>45292</v>
      </c>
      <c r="AJ66" s="5" t="n">
        <v>49</v>
      </c>
      <c r="AK66" s="5" t="s">
        <v>433</v>
      </c>
      <c r="AL66" s="5" t="n">
        <v>6599</v>
      </c>
      <c r="AM66" s="5" t="s">
        <v>563</v>
      </c>
      <c r="AN66" s="5"/>
      <c r="AQ66" s="5" t="s">
        <v>77</v>
      </c>
      <c r="AR66" s="5" t="s">
        <v>215</v>
      </c>
      <c r="AS66" s="5" t="s">
        <v>73</v>
      </c>
      <c r="AT66" s="5" t="s">
        <v>105</v>
      </c>
      <c r="AU66" s="10" t="s">
        <v>106</v>
      </c>
      <c r="AW66" s="5" t="s">
        <v>94</v>
      </c>
      <c r="AX66" s="10" t="str">
        <f aca="false">IFERROR(INDEX('full database 2024'!ar:ar, MATCH(A66, 'full database 2024'!b:b, 0)), "")</f>
        <v/>
      </c>
      <c r="AZ66" s="5" t="s">
        <v>540</v>
      </c>
      <c r="BD66" s="9" t="n">
        <v>45596</v>
      </c>
      <c r="BE66" s="9" t="n">
        <v>45596</v>
      </c>
      <c r="BJ66" s="5" t="n">
        <v>2024</v>
      </c>
      <c r="BK66" s="11" t="n">
        <v>36526</v>
      </c>
    </row>
    <row r="67" customFormat="false" ht="16.5" hidden="false" customHeight="true" outlineLevel="0" collapsed="false">
      <c r="A67" s="5" t="s">
        <v>564</v>
      </c>
      <c r="C67" s="5"/>
      <c r="D67" s="5" t="s">
        <v>62</v>
      </c>
      <c r="E67" s="5" t="n">
        <v>3417451</v>
      </c>
      <c r="F67" s="5" t="n">
        <v>3417451</v>
      </c>
      <c r="G67" s="5" t="s">
        <v>212</v>
      </c>
      <c r="H67" s="6" t="n">
        <v>321240</v>
      </c>
      <c r="I67" s="6" t="n">
        <v>321240</v>
      </c>
      <c r="J67" s="7" t="n">
        <f aca="false">E67*0.091</f>
        <v>310988.041</v>
      </c>
      <c r="K67" s="7" t="n">
        <f aca="false">F67*0.091</f>
        <v>310988.041</v>
      </c>
      <c r="L67" s="5" t="s">
        <v>84</v>
      </c>
      <c r="M67" s="5" t="s">
        <v>65</v>
      </c>
      <c r="V67" s="5" t="s">
        <v>565</v>
      </c>
      <c r="X67" s="5" t="s">
        <v>215</v>
      </c>
      <c r="Y67" s="5" t="s">
        <v>73</v>
      </c>
      <c r="AI67" s="9" t="n">
        <v>44927</v>
      </c>
      <c r="AJ67" s="5" t="n">
        <v>12</v>
      </c>
      <c r="AK67" s="5" t="s">
        <v>216</v>
      </c>
      <c r="AL67" s="5" t="n">
        <v>26770</v>
      </c>
      <c r="AM67" s="5" t="s">
        <v>489</v>
      </c>
      <c r="AN67" s="5"/>
      <c r="AQ67" s="5" t="s">
        <v>77</v>
      </c>
      <c r="AR67" s="5" t="s">
        <v>215</v>
      </c>
      <c r="AS67" s="5" t="s">
        <v>73</v>
      </c>
      <c r="AT67" s="5" t="s">
        <v>105</v>
      </c>
      <c r="AU67" s="10" t="s">
        <v>186</v>
      </c>
      <c r="AW67" s="5" t="s">
        <v>94</v>
      </c>
      <c r="AX67" s="10" t="str">
        <f aca="false">IFERROR(INDEX('full database 2024'!ar:ar, MATCH(A67, 'full database 2024'!b:b, 0)), "")</f>
        <v/>
      </c>
      <c r="AZ67" s="5" t="s">
        <v>540</v>
      </c>
      <c r="BD67" s="9" t="n">
        <v>45596</v>
      </c>
      <c r="BE67" s="9" t="n">
        <v>45596</v>
      </c>
      <c r="BJ67" s="5" t="n">
        <v>2023</v>
      </c>
      <c r="BK67" s="11" t="n">
        <v>36526</v>
      </c>
    </row>
    <row r="68" customFormat="false" ht="16.5" hidden="false" customHeight="true" outlineLevel="0" collapsed="false">
      <c r="A68" s="5" t="s">
        <v>566</v>
      </c>
      <c r="C68" s="5"/>
      <c r="D68" s="5" t="s">
        <v>62</v>
      </c>
      <c r="E68" s="5" t="n">
        <v>3355534</v>
      </c>
      <c r="F68" s="5" t="n">
        <v>2348873</v>
      </c>
      <c r="G68" s="5" t="s">
        <v>147</v>
      </c>
      <c r="H68" s="6" t="n">
        <v>3623976</v>
      </c>
      <c r="I68" s="6" t="n">
        <v>2536783</v>
      </c>
      <c r="J68" s="7" t="n">
        <v>3355534</v>
      </c>
      <c r="K68" s="7" t="n">
        <v>2348873</v>
      </c>
      <c r="L68" s="5" t="s">
        <v>84</v>
      </c>
      <c r="M68" s="5" t="s">
        <v>65</v>
      </c>
      <c r="O68" s="13"/>
      <c r="V68" s="5" t="s">
        <v>567</v>
      </c>
      <c r="X68" s="5" t="s">
        <v>568</v>
      </c>
      <c r="Y68" s="5" t="s">
        <v>73</v>
      </c>
      <c r="AI68" s="9" t="n">
        <v>44562</v>
      </c>
      <c r="AJ68" s="5"/>
      <c r="AK68" s="5" t="s">
        <v>228</v>
      </c>
      <c r="AL68" s="5" t="n">
        <v>3623976</v>
      </c>
      <c r="AM68" s="5" t="s">
        <v>182</v>
      </c>
      <c r="AN68" s="5" t="str">
        <f aca="false" t="array" ref="AN68:AN68">IFERROR(INDEX('full database 2024'!aj:aj, MATCH(A68, 'full database 2024'!b:b, 0)), "")</f>
        <v/>
      </c>
      <c r="AQ68" s="5" t="s">
        <v>77</v>
      </c>
      <c r="AR68" s="5" t="s">
        <v>185</v>
      </c>
      <c r="AS68" s="5" t="s">
        <v>73</v>
      </c>
      <c r="AT68" s="5" t="s">
        <v>105</v>
      </c>
      <c r="AU68" s="5" t="s">
        <v>186</v>
      </c>
      <c r="AV68" s="10" t="s">
        <v>569</v>
      </c>
      <c r="AW68" s="5" t="s">
        <v>94</v>
      </c>
      <c r="AX68" s="10" t="str">
        <f aca="false">IFERROR(INDEX('full database 2024'!ar:ar, MATCH(A68, 'full database 2024'!b:b, 0)), "")</f>
        <v/>
      </c>
      <c r="AZ68" s="5" t="s">
        <v>121</v>
      </c>
      <c r="BD68" s="9" t="n">
        <v>45596</v>
      </c>
      <c r="BE68" s="9" t="n">
        <v>45596</v>
      </c>
      <c r="BJ68" s="5" t="n">
        <v>2022</v>
      </c>
      <c r="BK68" s="11" t="n">
        <v>36526</v>
      </c>
    </row>
    <row r="69" customFormat="false" ht="16.5" hidden="false" customHeight="true" outlineLevel="0" collapsed="false">
      <c r="A69" s="5" t="s">
        <v>570</v>
      </c>
      <c r="C69" s="5"/>
      <c r="D69" s="5" t="s">
        <v>62</v>
      </c>
      <c r="E69" s="5" t="n">
        <v>3333332</v>
      </c>
      <c r="F69" s="5" t="n">
        <v>3333332</v>
      </c>
      <c r="G69" s="5" t="s">
        <v>212</v>
      </c>
      <c r="H69" s="6" t="n">
        <v>313333</v>
      </c>
      <c r="I69" s="6" t="n">
        <v>313333</v>
      </c>
      <c r="J69" s="7" t="n">
        <f aca="false">E69*0.091</f>
        <v>303333.212</v>
      </c>
      <c r="K69" s="7" t="n">
        <f aca="false">F69*0.091</f>
        <v>303333.212</v>
      </c>
      <c r="L69" s="5" t="s">
        <v>84</v>
      </c>
      <c r="M69" s="5" t="s">
        <v>65</v>
      </c>
      <c r="V69" s="5" t="s">
        <v>571</v>
      </c>
      <c r="X69" s="5" t="s">
        <v>215</v>
      </c>
      <c r="Y69" s="5" t="s">
        <v>73</v>
      </c>
      <c r="AI69" s="9" t="n">
        <v>45293</v>
      </c>
      <c r="AJ69" s="5" t="n">
        <v>37</v>
      </c>
      <c r="AK69" s="5" t="s">
        <v>433</v>
      </c>
      <c r="AL69" s="5" t="n">
        <v>8468</v>
      </c>
      <c r="AM69" s="5" t="s">
        <v>217</v>
      </c>
      <c r="AN69" s="5"/>
      <c r="AQ69" s="5" t="s">
        <v>77</v>
      </c>
      <c r="AR69" s="5" t="s">
        <v>215</v>
      </c>
      <c r="AS69" s="5" t="s">
        <v>73</v>
      </c>
      <c r="AT69" s="5" t="s">
        <v>78</v>
      </c>
      <c r="AW69" s="5" t="s">
        <v>94</v>
      </c>
      <c r="AX69" s="10" t="str">
        <f aca="false">IFERROR(INDEX('full database 2024'!ar:ar, MATCH(A69, 'full database 2024'!b:b, 0)), "")</f>
        <v/>
      </c>
      <c r="AZ69" s="5" t="s">
        <v>129</v>
      </c>
      <c r="BD69" s="9" t="n">
        <v>45596</v>
      </c>
      <c r="BE69" s="9" t="n">
        <v>45596</v>
      </c>
      <c r="BJ69" s="5" t="n">
        <v>2024</v>
      </c>
      <c r="BK69" s="11" t="n">
        <v>36526</v>
      </c>
    </row>
    <row r="70" customFormat="false" ht="16.5" hidden="false" customHeight="true" outlineLevel="0" collapsed="false">
      <c r="A70" s="5" t="s">
        <v>572</v>
      </c>
      <c r="B70" s="5" t="s">
        <v>573</v>
      </c>
      <c r="C70" s="5"/>
      <c r="D70" s="5" t="s">
        <v>62</v>
      </c>
      <c r="E70" s="5" t="n">
        <v>3211053</v>
      </c>
      <c r="F70" s="5" t="n">
        <v>1988942</v>
      </c>
      <c r="G70" s="5" t="s">
        <v>147</v>
      </c>
      <c r="H70" s="6" t="n">
        <v>3411214</v>
      </c>
      <c r="I70" s="6" t="n">
        <v>2112922</v>
      </c>
      <c r="J70" s="7" t="n">
        <v>3211053</v>
      </c>
      <c r="K70" s="7" t="n">
        <v>1988942</v>
      </c>
      <c r="L70" s="5" t="s">
        <v>84</v>
      </c>
      <c r="M70" s="5" t="s">
        <v>65</v>
      </c>
      <c r="N70" s="8" t="s">
        <v>574</v>
      </c>
      <c r="P70" s="5"/>
      <c r="Q70" s="5"/>
      <c r="R70" s="5" t="s">
        <v>575</v>
      </c>
      <c r="T70" s="5" t="s">
        <v>576</v>
      </c>
      <c r="U70" s="5" t="s">
        <v>70</v>
      </c>
      <c r="V70" s="5" t="s">
        <v>577</v>
      </c>
      <c r="W70" s="5" t="s">
        <v>102</v>
      </c>
      <c r="X70" s="5" t="s">
        <v>333</v>
      </c>
      <c r="Y70" s="5" t="s">
        <v>73</v>
      </c>
      <c r="Z70" s="5" t="s">
        <v>70</v>
      </c>
      <c r="AD70" s="5" t="s">
        <v>578</v>
      </c>
      <c r="AE70" s="5" t="s">
        <v>74</v>
      </c>
      <c r="AI70" s="9" t="n">
        <v>44317</v>
      </c>
      <c r="AJ70" s="5" t="n">
        <v>3</v>
      </c>
      <c r="AK70" s="5" t="s">
        <v>75</v>
      </c>
      <c r="AL70" s="5" t="n">
        <v>1137071</v>
      </c>
      <c r="AM70" s="5" t="s">
        <v>182</v>
      </c>
      <c r="AN70" s="5" t="s">
        <v>579</v>
      </c>
      <c r="AQ70" s="5" t="s">
        <v>184</v>
      </c>
      <c r="AR70" s="5" t="s">
        <v>185</v>
      </c>
      <c r="AS70" s="5" t="s">
        <v>73</v>
      </c>
      <c r="AT70" s="5" t="s">
        <v>374</v>
      </c>
      <c r="AW70" s="5" t="s">
        <v>94</v>
      </c>
      <c r="AX70" s="10" t="str">
        <f aca="false">IFERROR(INDEX('full database 2024'!ar:ar, MATCH(A70, 'full database 2024'!b:b, 0)), "")</f>
        <v/>
      </c>
      <c r="AZ70" s="5" t="s">
        <v>95</v>
      </c>
      <c r="BD70" s="9" t="n">
        <v>44985</v>
      </c>
      <c r="BE70" s="9" t="n">
        <v>45035</v>
      </c>
      <c r="BI70" s="5" t="s">
        <v>81</v>
      </c>
      <c r="BJ70" s="5" t="n">
        <v>2021</v>
      </c>
      <c r="BK70" s="11" t="n">
        <v>45296</v>
      </c>
    </row>
    <row r="71" customFormat="false" ht="16.5" hidden="false" customHeight="true" outlineLevel="0" collapsed="false">
      <c r="A71" s="5" t="s">
        <v>580</v>
      </c>
      <c r="C71" s="5"/>
      <c r="D71" s="5" t="s">
        <v>62</v>
      </c>
      <c r="E71" s="5" t="n">
        <v>3162717</v>
      </c>
      <c r="F71" s="5" t="n">
        <v>3162717</v>
      </c>
      <c r="G71" s="5" t="s">
        <v>212</v>
      </c>
      <c r="H71" s="6" t="n">
        <v>297295</v>
      </c>
      <c r="I71" s="6" t="n">
        <v>297295</v>
      </c>
      <c r="J71" s="7" t="n">
        <f aca="false">E71*0.091</f>
        <v>287807.247</v>
      </c>
      <c r="K71" s="7" t="n">
        <f aca="false">F71*0.091</f>
        <v>287807.247</v>
      </c>
      <c r="L71" s="5" t="s">
        <v>84</v>
      </c>
      <c r="M71" s="5" t="s">
        <v>65</v>
      </c>
      <c r="N71" s="5"/>
      <c r="P71" s="5"/>
      <c r="Q71" s="5"/>
      <c r="R71" s="5"/>
      <c r="T71" s="5"/>
      <c r="U71" s="5"/>
      <c r="V71" s="5" t="s">
        <v>426</v>
      </c>
      <c r="W71" s="5"/>
      <c r="X71" s="5" t="s">
        <v>215</v>
      </c>
      <c r="Y71" s="5" t="s">
        <v>73</v>
      </c>
      <c r="Z71" s="5"/>
      <c r="AD71" s="5"/>
      <c r="AE71" s="5"/>
      <c r="AI71" s="9" t="n">
        <v>44573</v>
      </c>
      <c r="AJ71" s="5" t="n">
        <v>49</v>
      </c>
      <c r="AK71" s="5" t="s">
        <v>216</v>
      </c>
      <c r="AL71" s="5" t="n">
        <v>6067</v>
      </c>
      <c r="AM71" s="5" t="s">
        <v>217</v>
      </c>
      <c r="AN71" s="5"/>
      <c r="AQ71" s="5" t="s">
        <v>77</v>
      </c>
      <c r="AR71" s="5" t="s">
        <v>215</v>
      </c>
      <c r="AS71" s="5" t="s">
        <v>73</v>
      </c>
      <c r="AT71" s="5" t="s">
        <v>78</v>
      </c>
      <c r="AW71" s="5" t="s">
        <v>94</v>
      </c>
      <c r="AX71" s="10" t="str">
        <f aca="false">IFERROR(INDEX('full database 2024'!ar:ar, MATCH(A71, 'full database 2024'!b:b, 0)), "")</f>
        <v/>
      </c>
      <c r="AZ71" s="5" t="s">
        <v>309</v>
      </c>
      <c r="BD71" s="9" t="n">
        <v>45596</v>
      </c>
      <c r="BE71" s="9" t="n">
        <v>45596</v>
      </c>
      <c r="BI71" s="5"/>
      <c r="BJ71" s="5" t="n">
        <v>2023</v>
      </c>
      <c r="BK71" s="11" t="n">
        <v>36526</v>
      </c>
    </row>
    <row r="72" customFormat="false" ht="16.5" hidden="false" customHeight="true" outlineLevel="0" collapsed="false">
      <c r="A72" s="5" t="s">
        <v>581</v>
      </c>
      <c r="C72" s="5"/>
      <c r="D72" s="5" t="s">
        <v>62</v>
      </c>
      <c r="E72" s="5" t="n">
        <v>3153558</v>
      </c>
      <c r="F72" s="5" t="n">
        <v>3153558</v>
      </c>
      <c r="G72" s="5" t="s">
        <v>147</v>
      </c>
      <c r="H72" s="6" t="n">
        <v>3405842</v>
      </c>
      <c r="I72" s="6" t="n">
        <v>3405842</v>
      </c>
      <c r="J72" s="7" t="n">
        <v>3153558</v>
      </c>
      <c r="K72" s="7" t="n">
        <v>3153558</v>
      </c>
      <c r="L72" s="5" t="s">
        <v>84</v>
      </c>
      <c r="M72" s="5" t="s">
        <v>65</v>
      </c>
      <c r="O72" s="13"/>
      <c r="V72" s="5" t="s">
        <v>582</v>
      </c>
      <c r="X72" s="5" t="s">
        <v>257</v>
      </c>
      <c r="Y72" s="5" t="s">
        <v>73</v>
      </c>
      <c r="AD72" s="5" t="s">
        <v>583</v>
      </c>
      <c r="AI72" s="9" t="n">
        <v>44805</v>
      </c>
      <c r="AJ72" s="5"/>
      <c r="AK72" s="5" t="s">
        <v>228</v>
      </c>
      <c r="AL72" s="5" t="n">
        <v>3405842</v>
      </c>
      <c r="AM72" s="5" t="s">
        <v>182</v>
      </c>
      <c r="AN72" s="5" t="str">
        <f aca="false" t="array" ref="AN72:AN72">IFERROR(INDEX('full database 2024'!aj:aj, MATCH(A72, 'full database 2024'!b:b, 0)), "")</f>
        <v/>
      </c>
      <c r="AQ72" s="5" t="s">
        <v>77</v>
      </c>
      <c r="AR72" s="5" t="s">
        <v>185</v>
      </c>
      <c r="AS72" s="5" t="s">
        <v>73</v>
      </c>
      <c r="AT72" s="5" t="s">
        <v>78</v>
      </c>
      <c r="AW72" s="5" t="s">
        <v>94</v>
      </c>
      <c r="AX72" s="10" t="str">
        <f aca="false">IFERROR(INDEX('full database 2024'!ar:ar, MATCH(A72, 'full database 2024'!b:b, 0)), "")</f>
        <v/>
      </c>
      <c r="AZ72" s="5" t="s">
        <v>584</v>
      </c>
      <c r="BD72" s="9" t="n">
        <v>45596</v>
      </c>
      <c r="BE72" s="9" t="n">
        <v>45596</v>
      </c>
      <c r="BJ72" s="5" t="n">
        <v>2022</v>
      </c>
      <c r="BK72" s="11" t="n">
        <v>36526</v>
      </c>
    </row>
    <row r="73" customFormat="false" ht="16.5" hidden="false" customHeight="true" outlineLevel="0" collapsed="false">
      <c r="A73" s="5" t="s">
        <v>585</v>
      </c>
      <c r="B73" s="26" t="s">
        <v>586</v>
      </c>
      <c r="C73" s="5"/>
      <c r="D73" s="5" t="s">
        <v>62</v>
      </c>
      <c r="E73" s="5" t="n">
        <v>3000000</v>
      </c>
      <c r="F73" s="5" t="n">
        <v>3000000</v>
      </c>
      <c r="G73" s="5" t="s">
        <v>147</v>
      </c>
      <c r="H73" s="6" t="n">
        <v>3267330</v>
      </c>
      <c r="I73" s="6" t="n">
        <v>3267330</v>
      </c>
      <c r="J73" s="7" t="n">
        <v>3000000</v>
      </c>
      <c r="K73" s="7" t="n">
        <v>3000000</v>
      </c>
      <c r="L73" s="5" t="s">
        <v>84</v>
      </c>
      <c r="M73" s="5" t="s">
        <v>65</v>
      </c>
      <c r="N73" s="8" t="s">
        <v>587</v>
      </c>
      <c r="P73" s="5"/>
      <c r="Q73" s="5"/>
      <c r="R73" s="5" t="s">
        <v>588</v>
      </c>
      <c r="T73" s="5" t="s">
        <v>589</v>
      </c>
      <c r="U73" s="5" t="s">
        <v>70</v>
      </c>
      <c r="V73" s="5" t="s">
        <v>351</v>
      </c>
      <c r="W73" s="5" t="s">
        <v>305</v>
      </c>
      <c r="X73" s="5" t="s">
        <v>352</v>
      </c>
      <c r="Y73" s="5" t="s">
        <v>73</v>
      </c>
      <c r="Z73" s="5" t="s">
        <v>70</v>
      </c>
      <c r="AD73" s="5" t="s">
        <v>590</v>
      </c>
      <c r="AE73" s="5" t="s">
        <v>74</v>
      </c>
      <c r="AI73" s="9" t="n">
        <v>44136</v>
      </c>
      <c r="AJ73" s="5" t="n">
        <v>3</v>
      </c>
      <c r="AK73" s="5" t="s">
        <v>75</v>
      </c>
      <c r="AL73" s="5" t="n">
        <v>1089110</v>
      </c>
      <c r="AM73" s="5" t="s">
        <v>591</v>
      </c>
      <c r="AN73" s="5"/>
      <c r="AQ73" s="5" t="s">
        <v>77</v>
      </c>
      <c r="AR73" s="5" t="s">
        <v>352</v>
      </c>
      <c r="AS73" s="5" t="s">
        <v>73</v>
      </c>
      <c r="AT73" s="5" t="s">
        <v>78</v>
      </c>
      <c r="AW73" s="5" t="s">
        <v>94</v>
      </c>
      <c r="AX73" s="10" t="str">
        <f aca="false">IFERROR(INDEX('full database 2024'!ar:ar, MATCH(A73, 'full database 2024'!b:b, 0)), "")</f>
        <v/>
      </c>
      <c r="AZ73" s="5" t="s">
        <v>95</v>
      </c>
      <c r="BD73" s="9" t="n">
        <v>45020</v>
      </c>
      <c r="BE73" s="9" t="n">
        <v>45035</v>
      </c>
      <c r="BI73" s="5" t="s">
        <v>81</v>
      </c>
      <c r="BJ73" s="5" t="n">
        <v>2020</v>
      </c>
      <c r="BK73" s="11" t="n">
        <v>44937</v>
      </c>
    </row>
    <row r="74" customFormat="false" ht="16.5" hidden="false" customHeight="true" outlineLevel="0" collapsed="false">
      <c r="A74" s="5" t="s">
        <v>592</v>
      </c>
      <c r="C74" s="5"/>
      <c r="D74" s="5" t="s">
        <v>62</v>
      </c>
      <c r="E74" s="5" t="n">
        <v>3000000</v>
      </c>
      <c r="F74" s="5" t="n">
        <v>3000000</v>
      </c>
      <c r="G74" s="5" t="s">
        <v>212</v>
      </c>
      <c r="H74" s="6" t="n">
        <v>290898</v>
      </c>
      <c r="I74" s="6" t="n">
        <v>290898</v>
      </c>
      <c r="J74" s="7" t="n">
        <f aca="false">E74*0.091</f>
        <v>273000</v>
      </c>
      <c r="K74" s="7" t="n">
        <f aca="false">F74*0.091</f>
        <v>273000</v>
      </c>
      <c r="L74" s="5" t="s">
        <v>84</v>
      </c>
      <c r="M74" s="5" t="s">
        <v>65</v>
      </c>
      <c r="N74" s="8" t="s">
        <v>593</v>
      </c>
      <c r="P74" s="5"/>
      <c r="Q74" s="5"/>
      <c r="R74" s="5" t="s">
        <v>594</v>
      </c>
      <c r="T74" s="5" t="s">
        <v>595</v>
      </c>
      <c r="U74" s="5" t="s">
        <v>596</v>
      </c>
      <c r="V74" s="5" t="s">
        <v>393</v>
      </c>
      <c r="W74" s="5" t="s">
        <v>90</v>
      </c>
      <c r="X74" s="5" t="s">
        <v>215</v>
      </c>
      <c r="Y74" s="5" t="s">
        <v>73</v>
      </c>
      <c r="Z74" s="5" t="s">
        <v>70</v>
      </c>
      <c r="AD74" s="5" t="s">
        <v>597</v>
      </c>
      <c r="AE74" s="5" t="s">
        <v>74</v>
      </c>
      <c r="AI74" s="9" t="n">
        <v>44501</v>
      </c>
      <c r="AJ74" s="5" t="n">
        <v>2</v>
      </c>
      <c r="AK74" s="5" t="s">
        <v>75</v>
      </c>
      <c r="AL74" s="5" t="n">
        <v>145449</v>
      </c>
      <c r="AM74" s="5" t="s">
        <v>489</v>
      </c>
      <c r="AN74" s="5"/>
      <c r="AQ74" s="5" t="s">
        <v>77</v>
      </c>
      <c r="AR74" s="5" t="s">
        <v>215</v>
      </c>
      <c r="AS74" s="5" t="s">
        <v>73</v>
      </c>
      <c r="AT74" s="5" t="s">
        <v>78</v>
      </c>
      <c r="AW74" s="5" t="s">
        <v>94</v>
      </c>
      <c r="AX74" s="10" t="str">
        <f aca="false">IFERROR(INDEX('full database 2024'!ar:ar, MATCH(A74, 'full database 2024'!b:b, 0)), "")</f>
        <v/>
      </c>
      <c r="AZ74" s="5" t="s">
        <v>129</v>
      </c>
      <c r="BD74" s="9" t="n">
        <v>45037</v>
      </c>
      <c r="BE74" s="9" t="n">
        <v>45037</v>
      </c>
      <c r="BI74" s="5" t="s">
        <v>81</v>
      </c>
      <c r="BJ74" s="5" t="n">
        <v>2021</v>
      </c>
      <c r="BK74" s="11" t="n">
        <v>44937</v>
      </c>
    </row>
    <row r="75" customFormat="false" ht="16.5" hidden="false" customHeight="true" outlineLevel="0" collapsed="false">
      <c r="A75" s="5" t="s">
        <v>598</v>
      </c>
      <c r="C75" s="5"/>
      <c r="D75" s="5" t="s">
        <v>62</v>
      </c>
      <c r="E75" s="5" t="n">
        <v>3000000</v>
      </c>
      <c r="F75" s="5" t="n">
        <v>3000000</v>
      </c>
      <c r="G75" s="5" t="s">
        <v>147</v>
      </c>
      <c r="H75" s="6" t="n">
        <v>3285135</v>
      </c>
      <c r="I75" s="6" t="n">
        <v>3285135</v>
      </c>
      <c r="J75" s="7" t="n">
        <v>3000000</v>
      </c>
      <c r="K75" s="7" t="n">
        <v>3000000</v>
      </c>
      <c r="L75" s="5" t="s">
        <v>84</v>
      </c>
      <c r="M75" s="5" t="s">
        <v>65</v>
      </c>
      <c r="N75" s="8" t="s">
        <v>599</v>
      </c>
      <c r="P75" s="5"/>
      <c r="Q75" s="5"/>
      <c r="R75" s="5" t="s">
        <v>600</v>
      </c>
      <c r="T75" s="5" t="s">
        <v>601</v>
      </c>
      <c r="U75" s="5" t="s">
        <v>70</v>
      </c>
      <c r="V75" s="5" t="s">
        <v>602</v>
      </c>
      <c r="W75" s="5" t="s">
        <v>102</v>
      </c>
      <c r="X75" s="5" t="s">
        <v>180</v>
      </c>
      <c r="Y75" s="5" t="s">
        <v>73</v>
      </c>
      <c r="Z75" s="5" t="s">
        <v>70</v>
      </c>
      <c r="AD75" s="5"/>
      <c r="AE75" s="5" t="s">
        <v>117</v>
      </c>
      <c r="AI75" s="9" t="n">
        <v>45300</v>
      </c>
      <c r="AJ75" s="5" t="n">
        <v>2</v>
      </c>
      <c r="AK75" s="5" t="s">
        <v>75</v>
      </c>
      <c r="AL75" s="5" t="n">
        <v>1642568</v>
      </c>
      <c r="AM75" s="5" t="s">
        <v>603</v>
      </c>
      <c r="AN75" s="5"/>
      <c r="AQ75" s="5" t="s">
        <v>77</v>
      </c>
      <c r="AR75" s="5" t="s">
        <v>180</v>
      </c>
      <c r="AS75" s="5" t="s">
        <v>73</v>
      </c>
      <c r="AT75" s="5" t="s">
        <v>105</v>
      </c>
      <c r="AU75" s="10" t="s">
        <v>106</v>
      </c>
      <c r="AW75" s="5" t="s">
        <v>162</v>
      </c>
      <c r="AX75" s="10" t="str">
        <f aca="false">IFERROR(INDEX('full database 2024'!ar:ar, MATCH(A75, 'full database 2024'!b:b, 0)), "")</f>
        <v/>
      </c>
      <c r="BD75" s="9" t="n">
        <v>45303</v>
      </c>
      <c r="BE75" s="9" t="n">
        <v>45303</v>
      </c>
      <c r="BI75" s="5" t="s">
        <v>81</v>
      </c>
      <c r="BJ75" s="5" t="n">
        <v>2024</v>
      </c>
      <c r="BK75" s="11" t="n">
        <v>46266</v>
      </c>
    </row>
    <row r="76" customFormat="false" ht="16.5" hidden="false" customHeight="true" outlineLevel="0" collapsed="false">
      <c r="A76" s="5" t="s">
        <v>604</v>
      </c>
      <c r="B76" s="5" t="s">
        <v>605</v>
      </c>
      <c r="C76" s="5"/>
      <c r="D76" s="5" t="s">
        <v>62</v>
      </c>
      <c r="E76" s="5" t="n">
        <v>3000000</v>
      </c>
      <c r="F76" s="5" t="n">
        <v>3000000</v>
      </c>
      <c r="G76" s="5" t="s">
        <v>147</v>
      </c>
      <c r="H76" s="6" t="n">
        <v>3285135</v>
      </c>
      <c r="I76" s="6" t="n">
        <v>3285135</v>
      </c>
      <c r="J76" s="7" t="n">
        <v>3000000</v>
      </c>
      <c r="K76" s="7" t="n">
        <v>3000000</v>
      </c>
      <c r="L76" s="5" t="s">
        <v>84</v>
      </c>
      <c r="M76" s="5" t="s">
        <v>65</v>
      </c>
      <c r="N76" s="8" t="s">
        <v>606</v>
      </c>
      <c r="O76" s="5" t="s">
        <v>70</v>
      </c>
      <c r="P76" s="5"/>
      <c r="Q76" s="5"/>
      <c r="R76" s="5" t="s">
        <v>607</v>
      </c>
      <c r="T76" s="5" t="s">
        <v>608</v>
      </c>
      <c r="U76" s="5" t="s">
        <v>609</v>
      </c>
      <c r="V76" s="5" t="s">
        <v>610</v>
      </c>
      <c r="W76" s="5" t="s">
        <v>90</v>
      </c>
      <c r="X76" s="5" t="s">
        <v>333</v>
      </c>
      <c r="Y76" s="5" t="s">
        <v>73</v>
      </c>
      <c r="Z76" s="5" t="s">
        <v>70</v>
      </c>
      <c r="AD76" s="5" t="s">
        <v>611</v>
      </c>
      <c r="AE76" s="5" t="s">
        <v>74</v>
      </c>
      <c r="AI76" s="9" t="n">
        <v>45273</v>
      </c>
      <c r="AJ76" s="5" t="n">
        <v>2</v>
      </c>
      <c r="AK76" s="5" t="s">
        <v>75</v>
      </c>
      <c r="AL76" s="5" t="n">
        <v>1642568</v>
      </c>
      <c r="AM76" s="5" t="s">
        <v>459</v>
      </c>
      <c r="AN76" s="5"/>
      <c r="AO76" s="5" t="s">
        <v>230</v>
      </c>
      <c r="AQ76" s="5" t="s">
        <v>77</v>
      </c>
      <c r="AR76" s="5" t="s">
        <v>333</v>
      </c>
      <c r="AS76" s="5" t="s">
        <v>73</v>
      </c>
      <c r="AT76" s="5" t="s">
        <v>374</v>
      </c>
      <c r="AW76" s="5" t="s">
        <v>94</v>
      </c>
      <c r="AX76" s="10" t="str">
        <f aca="false">IFERROR(INDEX('full database 2024'!ar:ar, MATCH(A76, 'full database 2024'!b:b, 0)), "")</f>
        <v/>
      </c>
      <c r="AZ76" s="5" t="s">
        <v>467</v>
      </c>
      <c r="BD76" s="9" t="n">
        <v>45303</v>
      </c>
      <c r="BE76" s="9" t="n">
        <v>45435</v>
      </c>
      <c r="BI76" s="5" t="s">
        <v>81</v>
      </c>
      <c r="BJ76" s="5" t="n">
        <v>2023</v>
      </c>
      <c r="BK76" s="5" t="s">
        <v>612</v>
      </c>
    </row>
    <row r="77" customFormat="false" ht="16.5" hidden="false" customHeight="true" outlineLevel="0" collapsed="false">
      <c r="A77" s="5" t="s">
        <v>613</v>
      </c>
      <c r="B77" s="5" t="s">
        <v>614</v>
      </c>
      <c r="C77" s="5"/>
      <c r="D77" s="5" t="s">
        <v>62</v>
      </c>
      <c r="E77" s="5" t="n">
        <v>3000000</v>
      </c>
      <c r="F77" s="5" t="n">
        <v>3000000</v>
      </c>
      <c r="G77" s="5" t="s">
        <v>147</v>
      </c>
      <c r="H77" s="6" t="n">
        <v>3256260</v>
      </c>
      <c r="I77" s="6" t="n">
        <v>3256260</v>
      </c>
      <c r="J77" s="7" t="n">
        <v>3000000</v>
      </c>
      <c r="K77" s="7" t="n">
        <v>3000000</v>
      </c>
      <c r="L77" s="5" t="s">
        <v>84</v>
      </c>
      <c r="M77" s="5" t="s">
        <v>65</v>
      </c>
      <c r="N77" s="8" t="s">
        <v>615</v>
      </c>
      <c r="O77" s="5" t="s">
        <v>223</v>
      </c>
      <c r="P77" s="5"/>
      <c r="Q77" s="5"/>
      <c r="R77" s="5" t="s">
        <v>588</v>
      </c>
      <c r="T77" s="5" t="s">
        <v>616</v>
      </c>
      <c r="U77" s="5" t="s">
        <v>70</v>
      </c>
      <c r="V77" s="5" t="s">
        <v>617</v>
      </c>
      <c r="W77" s="5" t="s">
        <v>102</v>
      </c>
      <c r="X77" s="5" t="s">
        <v>160</v>
      </c>
      <c r="Y77" s="5" t="s">
        <v>73</v>
      </c>
      <c r="Z77" s="5" t="s">
        <v>70</v>
      </c>
      <c r="AD77" s="5" t="s">
        <v>618</v>
      </c>
      <c r="AE77" s="5" t="s">
        <v>74</v>
      </c>
      <c r="AI77" s="9" t="n">
        <v>45253</v>
      </c>
      <c r="AJ77" s="5" t="n">
        <v>3</v>
      </c>
      <c r="AK77" s="5" t="s">
        <v>75</v>
      </c>
      <c r="AL77" s="5" t="n">
        <v>1085420</v>
      </c>
      <c r="AM77" s="5" t="s">
        <v>161</v>
      </c>
      <c r="AN77" s="5"/>
      <c r="AO77" s="5"/>
      <c r="AQ77" s="5" t="s">
        <v>77</v>
      </c>
      <c r="AR77" s="5" t="s">
        <v>160</v>
      </c>
      <c r="AS77" s="5" t="s">
        <v>73</v>
      </c>
      <c r="AT77" s="5" t="s">
        <v>78</v>
      </c>
      <c r="AW77" s="5" t="s">
        <v>94</v>
      </c>
      <c r="AX77" s="10" t="str">
        <f aca="false">IFERROR(INDEX('full database 2024'!ar:ar, MATCH(A77, 'full database 2024'!b:b, 0)), "")</f>
        <v/>
      </c>
      <c r="AZ77" s="5" t="s">
        <v>129</v>
      </c>
      <c r="BD77" s="9" t="n">
        <v>45421</v>
      </c>
      <c r="BE77" s="9" t="n">
        <v>45441</v>
      </c>
      <c r="BI77" s="5" t="s">
        <v>81</v>
      </c>
      <c r="BJ77" s="5" t="n">
        <v>2023</v>
      </c>
      <c r="BK77" s="5" t="s">
        <v>619</v>
      </c>
    </row>
    <row r="78" customFormat="false" ht="16.5" hidden="false" customHeight="true" outlineLevel="0" collapsed="false">
      <c r="A78" s="5" t="s">
        <v>620</v>
      </c>
      <c r="B78" s="5" t="s">
        <v>621</v>
      </c>
      <c r="C78" s="5"/>
      <c r="D78" s="5" t="s">
        <v>62</v>
      </c>
      <c r="E78" s="5" t="n">
        <v>3000000</v>
      </c>
      <c r="F78" s="5" t="n">
        <v>3000000</v>
      </c>
      <c r="G78" s="5" t="s">
        <v>212</v>
      </c>
      <c r="H78" s="6" t="n">
        <v>282000</v>
      </c>
      <c r="I78" s="6" t="n">
        <v>282000</v>
      </c>
      <c r="J78" s="7" t="n">
        <f aca="false">E78*0.091</f>
        <v>273000</v>
      </c>
      <c r="K78" s="7" t="n">
        <f aca="false">F78*0.091</f>
        <v>273000</v>
      </c>
      <c r="L78" s="5" t="s">
        <v>84</v>
      </c>
      <c r="M78" s="5" t="s">
        <v>65</v>
      </c>
      <c r="N78" s="5"/>
      <c r="O78" s="5" t="s">
        <v>622</v>
      </c>
      <c r="P78" s="5"/>
      <c r="Q78" s="5"/>
      <c r="R78" s="5"/>
      <c r="T78" s="5"/>
      <c r="U78" s="5"/>
      <c r="V78" s="5" t="s">
        <v>623</v>
      </c>
      <c r="W78" s="5"/>
      <c r="X78" s="5" t="s">
        <v>215</v>
      </c>
      <c r="Y78" s="5" t="s">
        <v>73</v>
      </c>
      <c r="Z78" s="5"/>
      <c r="AD78" s="5"/>
      <c r="AE78" s="5"/>
      <c r="AI78" s="9" t="n">
        <v>44207</v>
      </c>
      <c r="AJ78" s="5" t="n">
        <v>24</v>
      </c>
      <c r="AK78" s="5" t="s">
        <v>216</v>
      </c>
      <c r="AL78" s="5" t="n">
        <v>11750</v>
      </c>
      <c r="AM78" s="5" t="s">
        <v>489</v>
      </c>
      <c r="AN78" s="5"/>
      <c r="AQ78" s="5" t="s">
        <v>77</v>
      </c>
      <c r="AR78" s="5" t="s">
        <v>215</v>
      </c>
      <c r="AS78" s="5" t="s">
        <v>73</v>
      </c>
      <c r="AT78" s="5" t="s">
        <v>78</v>
      </c>
      <c r="AW78" s="5" t="s">
        <v>94</v>
      </c>
      <c r="AX78" s="10" t="str">
        <f aca="false">IFERROR(INDEX('full database 2024'!ar:ar, MATCH(A78, 'full database 2024'!b:b, 0)), "")</f>
        <v/>
      </c>
      <c r="AZ78" s="5" t="s">
        <v>624</v>
      </c>
      <c r="BD78" s="9" t="n">
        <v>45596</v>
      </c>
      <c r="BE78" s="9" t="n">
        <v>45779</v>
      </c>
      <c r="BI78" s="5"/>
      <c r="BJ78" s="5" t="n">
        <v>2021</v>
      </c>
      <c r="BK78" s="11" t="n">
        <v>36526</v>
      </c>
    </row>
    <row r="79" customFormat="false" ht="16.5" hidden="false" customHeight="true" outlineLevel="0" collapsed="false">
      <c r="A79" s="5" t="s">
        <v>625</v>
      </c>
      <c r="B79" s="5"/>
      <c r="C79" s="5"/>
      <c r="D79" s="5" t="s">
        <v>62</v>
      </c>
      <c r="E79" s="5" t="n">
        <v>3000000</v>
      </c>
      <c r="F79" s="5" t="n">
        <v>3000000</v>
      </c>
      <c r="G79" s="5" t="s">
        <v>212</v>
      </c>
      <c r="H79" s="6" t="n">
        <v>282000</v>
      </c>
      <c r="I79" s="6" t="n">
        <v>282000</v>
      </c>
      <c r="J79" s="7" t="n">
        <f aca="false">E79*0.091</f>
        <v>273000</v>
      </c>
      <c r="K79" s="7" t="n">
        <f aca="false">F79*0.091</f>
        <v>273000</v>
      </c>
      <c r="L79" s="5" t="s">
        <v>84</v>
      </c>
      <c r="M79" s="5" t="s">
        <v>65</v>
      </c>
      <c r="O79" s="5"/>
      <c r="V79" s="5" t="s">
        <v>626</v>
      </c>
      <c r="X79" s="5" t="s">
        <v>215</v>
      </c>
      <c r="Y79" s="5" t="s">
        <v>73</v>
      </c>
      <c r="AI79" s="9" t="n">
        <v>44207</v>
      </c>
      <c r="AJ79" s="5" t="n">
        <v>27</v>
      </c>
      <c r="AK79" s="5" t="s">
        <v>216</v>
      </c>
      <c r="AL79" s="5" t="n">
        <v>10444</v>
      </c>
      <c r="AM79" s="5" t="s">
        <v>489</v>
      </c>
      <c r="AN79" s="5"/>
      <c r="AQ79" s="5" t="s">
        <v>77</v>
      </c>
      <c r="AR79" s="5" t="s">
        <v>215</v>
      </c>
      <c r="AS79" s="5" t="s">
        <v>73</v>
      </c>
      <c r="AT79" s="5" t="s">
        <v>78</v>
      </c>
      <c r="AW79" s="5" t="s">
        <v>94</v>
      </c>
      <c r="AX79" s="10" t="str">
        <f aca="false">IFERROR(INDEX('full database 2024'!ar:ar, MATCH(A79, 'full database 2024'!b:b, 0)), "")</f>
        <v/>
      </c>
      <c r="AZ79" s="5" t="s">
        <v>309</v>
      </c>
      <c r="BD79" s="9" t="n">
        <v>45596</v>
      </c>
      <c r="BE79" s="9" t="n">
        <v>45596</v>
      </c>
      <c r="BJ79" s="5" t="n">
        <v>2021</v>
      </c>
      <c r="BK79" s="11" t="n">
        <v>36526</v>
      </c>
    </row>
    <row r="80" customFormat="false" ht="16.5" hidden="false" customHeight="true" outlineLevel="0" collapsed="false">
      <c r="A80" s="5" t="s">
        <v>627</v>
      </c>
      <c r="B80" s="5" t="s">
        <v>628</v>
      </c>
      <c r="C80" s="5"/>
      <c r="D80" s="5" t="s">
        <v>62</v>
      </c>
      <c r="E80" s="5" t="n">
        <v>2995416</v>
      </c>
      <c r="F80" s="5" t="n">
        <v>2995416</v>
      </c>
      <c r="G80" s="5" t="s">
        <v>212</v>
      </c>
      <c r="H80" s="6" t="n">
        <v>281569</v>
      </c>
      <c r="I80" s="6" t="n">
        <v>281569</v>
      </c>
      <c r="J80" s="7" t="n">
        <f aca="false">E80*0.091</f>
        <v>272582.856</v>
      </c>
      <c r="K80" s="7" t="n">
        <f aca="false">F80*0.091</f>
        <v>272582.856</v>
      </c>
      <c r="L80" s="5" t="s">
        <v>84</v>
      </c>
      <c r="M80" s="5" t="s">
        <v>65</v>
      </c>
      <c r="N80" s="8" t="s">
        <v>629</v>
      </c>
      <c r="O80" s="5" t="s">
        <v>630</v>
      </c>
      <c r="T80" s="5" t="s">
        <v>631</v>
      </c>
      <c r="V80" s="5" t="s">
        <v>432</v>
      </c>
      <c r="X80" s="5" t="s">
        <v>215</v>
      </c>
      <c r="Y80" s="5" t="s">
        <v>73</v>
      </c>
      <c r="AI80" s="9" t="n">
        <v>44927</v>
      </c>
      <c r="AJ80" s="5" t="n">
        <v>36</v>
      </c>
      <c r="AK80" s="5" t="s">
        <v>433</v>
      </c>
      <c r="AL80" s="5" t="n">
        <v>7821</v>
      </c>
      <c r="AM80" s="5" t="s">
        <v>217</v>
      </c>
      <c r="AN80" s="5"/>
      <c r="AQ80" s="5" t="s">
        <v>77</v>
      </c>
      <c r="AR80" s="5" t="s">
        <v>215</v>
      </c>
      <c r="AS80" s="5" t="s">
        <v>73</v>
      </c>
      <c r="AT80" s="5" t="s">
        <v>78</v>
      </c>
      <c r="AW80" s="5" t="s">
        <v>94</v>
      </c>
      <c r="AX80" s="10" t="str">
        <f aca="false">IFERROR(INDEX('full database 2024'!ar:ar, MATCH(A80, 'full database 2024'!b:b, 0)), "")</f>
        <v/>
      </c>
      <c r="AZ80" s="5" t="s">
        <v>396</v>
      </c>
      <c r="BD80" s="9" t="n">
        <v>45596</v>
      </c>
      <c r="BE80" s="9" t="n">
        <v>45779</v>
      </c>
      <c r="BJ80" s="5" t="n">
        <v>2023</v>
      </c>
      <c r="BK80" s="11" t="n">
        <v>36526</v>
      </c>
    </row>
    <row r="81" customFormat="false" ht="16.5" hidden="false" customHeight="true" outlineLevel="0" collapsed="false">
      <c r="A81" s="5" t="s">
        <v>632</v>
      </c>
      <c r="B81" s="5" t="s">
        <v>633</v>
      </c>
      <c r="C81" s="5"/>
      <c r="D81" s="5" t="s">
        <v>62</v>
      </c>
      <c r="E81" s="5" t="n">
        <v>2989182</v>
      </c>
      <c r="F81" s="5" t="n">
        <v>2989182</v>
      </c>
      <c r="G81" s="5" t="s">
        <v>63</v>
      </c>
      <c r="H81" s="6" t="n">
        <v>425555</v>
      </c>
      <c r="I81" s="6" t="n">
        <v>0</v>
      </c>
      <c r="J81" s="7" t="n">
        <f aca="false">E81*0.13</f>
        <v>388593.66</v>
      </c>
      <c r="K81" s="7" t="n">
        <f aca="false">F81*0.13</f>
        <v>388593.66</v>
      </c>
      <c r="L81" s="5" t="s">
        <v>84</v>
      </c>
      <c r="M81" s="5" t="s">
        <v>65</v>
      </c>
      <c r="N81" s="8" t="s">
        <v>634</v>
      </c>
      <c r="O81" s="5" t="s">
        <v>635</v>
      </c>
      <c r="P81" s="5"/>
      <c r="Q81" s="5"/>
      <c r="R81" s="5" t="s">
        <v>636</v>
      </c>
      <c r="T81" s="5" t="s">
        <v>637</v>
      </c>
      <c r="U81" s="5" t="s">
        <v>127</v>
      </c>
      <c r="V81" s="5" t="s">
        <v>89</v>
      </c>
      <c r="W81" s="5" t="s">
        <v>90</v>
      </c>
      <c r="X81" s="5" t="s">
        <v>72</v>
      </c>
      <c r="Y81" s="5" t="s">
        <v>73</v>
      </c>
      <c r="Z81" s="5" t="s">
        <v>70</v>
      </c>
      <c r="AE81" s="5" t="s">
        <v>117</v>
      </c>
      <c r="AI81" s="9" t="n">
        <v>44937</v>
      </c>
      <c r="AJ81" s="5" t="n">
        <v>3</v>
      </c>
      <c r="AK81" s="5" t="s">
        <v>75</v>
      </c>
      <c r="AL81" s="5" t="n">
        <v>141852</v>
      </c>
      <c r="AM81" s="5" t="s">
        <v>92</v>
      </c>
      <c r="AN81" s="5"/>
      <c r="AQ81" s="5" t="s">
        <v>93</v>
      </c>
      <c r="AR81" s="5" t="s">
        <v>72</v>
      </c>
      <c r="AS81" s="5" t="s">
        <v>73</v>
      </c>
      <c r="AT81" s="5" t="s">
        <v>78</v>
      </c>
      <c r="AW81" s="5" t="s">
        <v>94</v>
      </c>
      <c r="AX81" s="10" t="str">
        <f aca="false">IFERROR(INDEX('full database 2024'!ar:ar, MATCH(A81, 'full database 2024'!b:b, 0)), "")</f>
        <v/>
      </c>
      <c r="AZ81" s="5" t="s">
        <v>396</v>
      </c>
      <c r="BA81" s="5" t="s">
        <v>65</v>
      </c>
      <c r="BD81" s="9" t="n">
        <v>44984</v>
      </c>
      <c r="BE81" s="9" t="n">
        <v>45733</v>
      </c>
      <c r="BI81" s="5" t="s">
        <v>145</v>
      </c>
      <c r="BJ81" s="5" t="n">
        <v>2023</v>
      </c>
      <c r="BK81" s="11" t="n">
        <v>46327</v>
      </c>
    </row>
    <row r="82" customFormat="false" ht="16.5" hidden="false" customHeight="true" outlineLevel="0" collapsed="false">
      <c r="A82" s="5" t="s">
        <v>638</v>
      </c>
      <c r="B82" s="5"/>
      <c r="C82" s="5"/>
      <c r="D82" s="5" t="s">
        <v>62</v>
      </c>
      <c r="E82" s="5" t="n">
        <v>2971096</v>
      </c>
      <c r="F82" s="5" t="n">
        <v>2971096</v>
      </c>
      <c r="G82" s="5" t="s">
        <v>212</v>
      </c>
      <c r="H82" s="6" t="n">
        <v>279283</v>
      </c>
      <c r="I82" s="6" t="n">
        <v>279283</v>
      </c>
      <c r="J82" s="7" t="n">
        <f aca="false">E82*0.091</f>
        <v>270369.736</v>
      </c>
      <c r="K82" s="7" t="n">
        <f aca="false">F82*0.091</f>
        <v>270369.736</v>
      </c>
      <c r="L82" s="5" t="s">
        <v>84</v>
      </c>
      <c r="M82" s="5" t="s">
        <v>65</v>
      </c>
      <c r="N82" s="5"/>
      <c r="O82" s="5"/>
      <c r="P82" s="5"/>
      <c r="Q82" s="5"/>
      <c r="R82" s="5"/>
      <c r="T82" s="5"/>
      <c r="U82" s="5"/>
      <c r="V82" s="5" t="s">
        <v>571</v>
      </c>
      <c r="W82" s="5"/>
      <c r="X82" s="5" t="s">
        <v>215</v>
      </c>
      <c r="Y82" s="5" t="s">
        <v>73</v>
      </c>
      <c r="Z82" s="5"/>
      <c r="AE82" s="5"/>
      <c r="AI82" s="9" t="n">
        <v>45292</v>
      </c>
      <c r="AJ82" s="5" t="n">
        <v>37</v>
      </c>
      <c r="AK82" s="5" t="s">
        <v>433</v>
      </c>
      <c r="AL82" s="5" t="n">
        <v>7548</v>
      </c>
      <c r="AM82" s="5" t="s">
        <v>217</v>
      </c>
      <c r="AN82" s="5"/>
      <c r="AQ82" s="5" t="s">
        <v>77</v>
      </c>
      <c r="AR82" s="5" t="s">
        <v>215</v>
      </c>
      <c r="AS82" s="5" t="s">
        <v>73</v>
      </c>
      <c r="AT82" s="5" t="s">
        <v>78</v>
      </c>
      <c r="AW82" s="5" t="s">
        <v>94</v>
      </c>
      <c r="AX82" s="10" t="str">
        <f aca="false">IFERROR(INDEX('full database 2024'!ar:ar, MATCH(A82, 'full database 2024'!b:b, 0)), "")</f>
        <v/>
      </c>
      <c r="AZ82" s="5" t="s">
        <v>639</v>
      </c>
      <c r="BA82" s="5"/>
      <c r="BD82" s="9" t="n">
        <v>45596</v>
      </c>
      <c r="BE82" s="9" t="n">
        <v>45596</v>
      </c>
      <c r="BI82" s="5"/>
      <c r="BJ82" s="5" t="n">
        <v>2024</v>
      </c>
      <c r="BK82" s="11" t="n">
        <v>36526</v>
      </c>
    </row>
    <row r="83" customFormat="false" ht="16.5" hidden="false" customHeight="true" outlineLevel="0" collapsed="false">
      <c r="A83" s="5" t="s">
        <v>640</v>
      </c>
      <c r="C83" s="5"/>
      <c r="D83" s="5" t="s">
        <v>62</v>
      </c>
      <c r="E83" s="5" t="n">
        <v>2967405</v>
      </c>
      <c r="F83" s="5" t="n">
        <v>2967405</v>
      </c>
      <c r="G83" s="5" t="s">
        <v>212</v>
      </c>
      <c r="H83" s="6" t="n">
        <v>278936</v>
      </c>
      <c r="I83" s="6" t="n">
        <v>278936</v>
      </c>
      <c r="J83" s="7" t="n">
        <f aca="false">E83*0.091</f>
        <v>270033.855</v>
      </c>
      <c r="K83" s="7" t="n">
        <f aca="false">F83*0.091</f>
        <v>270033.855</v>
      </c>
      <c r="L83" s="5" t="s">
        <v>84</v>
      </c>
      <c r="M83" s="5" t="s">
        <v>65</v>
      </c>
      <c r="O83" s="13"/>
      <c r="T83" s="5" t="s">
        <v>641</v>
      </c>
      <c r="V83" s="5" t="s">
        <v>642</v>
      </c>
      <c r="X83" s="5" t="s">
        <v>215</v>
      </c>
      <c r="Y83" s="5" t="s">
        <v>73</v>
      </c>
      <c r="AI83" s="9" t="n">
        <v>44197</v>
      </c>
      <c r="AJ83" s="5" t="n">
        <v>26</v>
      </c>
      <c r="AK83" s="5" t="s">
        <v>216</v>
      </c>
      <c r="AL83" s="5" t="n">
        <v>10728</v>
      </c>
      <c r="AM83" s="5" t="s">
        <v>217</v>
      </c>
      <c r="AN83" s="5"/>
      <c r="AQ83" s="5" t="s">
        <v>77</v>
      </c>
      <c r="AR83" s="5" t="s">
        <v>215</v>
      </c>
      <c r="AS83" s="5" t="s">
        <v>73</v>
      </c>
      <c r="AT83" s="5" t="s">
        <v>78</v>
      </c>
      <c r="AW83" s="5" t="s">
        <v>94</v>
      </c>
      <c r="AX83" s="10" t="str">
        <f aca="false">IFERROR(INDEX('full database 2024'!ar:ar, MATCH(A83, 'full database 2024'!b:b, 0)), "")</f>
        <v/>
      </c>
      <c r="AZ83" s="5" t="s">
        <v>639</v>
      </c>
      <c r="BD83" s="9" t="n">
        <v>45596</v>
      </c>
      <c r="BE83" s="9" t="n">
        <v>45596</v>
      </c>
      <c r="BJ83" s="5" t="n">
        <v>2021</v>
      </c>
      <c r="BK83" s="11" t="n">
        <v>36526</v>
      </c>
    </row>
    <row r="84" customFormat="false" ht="16.5" hidden="false" customHeight="true" outlineLevel="0" collapsed="false">
      <c r="A84" s="5" t="s">
        <v>643</v>
      </c>
      <c r="C84" s="5"/>
      <c r="D84" s="5" t="s">
        <v>62</v>
      </c>
      <c r="E84" s="5" t="n">
        <v>2925793</v>
      </c>
      <c r="F84" s="5" t="n">
        <v>2925793</v>
      </c>
      <c r="G84" s="5" t="s">
        <v>212</v>
      </c>
      <c r="H84" s="6" t="n">
        <v>275025</v>
      </c>
      <c r="I84" s="6" t="n">
        <v>275025</v>
      </c>
      <c r="J84" s="7" t="n">
        <f aca="false">E84*0.091</f>
        <v>266247.163</v>
      </c>
      <c r="K84" s="7" t="n">
        <f aca="false">F84*0.091</f>
        <v>266247.163</v>
      </c>
      <c r="L84" s="5" t="s">
        <v>84</v>
      </c>
      <c r="M84" s="5" t="s">
        <v>65</v>
      </c>
      <c r="T84" s="5"/>
      <c r="V84" s="5" t="s">
        <v>644</v>
      </c>
      <c r="X84" s="5" t="s">
        <v>215</v>
      </c>
      <c r="Y84" s="5" t="s">
        <v>73</v>
      </c>
      <c r="AI84" s="9" t="n">
        <v>44572</v>
      </c>
      <c r="AJ84" s="5" t="n">
        <v>24</v>
      </c>
      <c r="AK84" s="5" t="s">
        <v>216</v>
      </c>
      <c r="AL84" s="5" t="n">
        <v>11459</v>
      </c>
      <c r="AM84" s="5" t="s">
        <v>489</v>
      </c>
      <c r="AN84" s="5"/>
      <c r="AQ84" s="5" t="s">
        <v>77</v>
      </c>
      <c r="AR84" s="5" t="s">
        <v>215</v>
      </c>
      <c r="AS84" s="5" t="s">
        <v>73</v>
      </c>
      <c r="AT84" s="5" t="s">
        <v>105</v>
      </c>
      <c r="AU84" s="10" t="s">
        <v>106</v>
      </c>
      <c r="AW84" s="5" t="s">
        <v>94</v>
      </c>
      <c r="AX84" s="10" t="str">
        <f aca="false">IFERROR(INDEX('full database 2024'!ar:ar, MATCH(A84, 'full database 2024'!b:b, 0)), "")</f>
        <v/>
      </c>
      <c r="AZ84" s="5" t="s">
        <v>540</v>
      </c>
      <c r="BD84" s="9" t="n">
        <v>45596</v>
      </c>
      <c r="BE84" s="9" t="n">
        <v>45596</v>
      </c>
      <c r="BJ84" s="5" t="n">
        <v>2022</v>
      </c>
      <c r="BK84" s="11" t="n">
        <v>36526</v>
      </c>
    </row>
    <row r="85" customFormat="false" ht="16.5" hidden="false" customHeight="true" outlineLevel="0" collapsed="false">
      <c r="A85" s="5" t="s">
        <v>645</v>
      </c>
      <c r="B85" s="5" t="s">
        <v>646</v>
      </c>
      <c r="C85" s="5"/>
      <c r="D85" s="5" t="s">
        <v>62</v>
      </c>
      <c r="E85" s="5" t="n">
        <v>2837219</v>
      </c>
      <c r="F85" s="5" t="n">
        <v>1986053</v>
      </c>
      <c r="G85" s="5" t="s">
        <v>147</v>
      </c>
      <c r="H85" s="6" t="n">
        <v>3045385</v>
      </c>
      <c r="I85" s="6" t="n">
        <v>2131769</v>
      </c>
      <c r="J85" s="7" t="n">
        <v>2837219</v>
      </c>
      <c r="K85" s="7" t="n">
        <v>1986053</v>
      </c>
      <c r="L85" s="5" t="s">
        <v>84</v>
      </c>
      <c r="M85" s="5" t="s">
        <v>65</v>
      </c>
      <c r="N85" s="8" t="s">
        <v>647</v>
      </c>
      <c r="O85" s="5" t="s">
        <v>648</v>
      </c>
      <c r="P85" s="5"/>
      <c r="Q85" s="5"/>
      <c r="R85" s="5" t="s">
        <v>649</v>
      </c>
      <c r="T85" s="5" t="s">
        <v>650</v>
      </c>
      <c r="U85" s="5" t="s">
        <v>70</v>
      </c>
      <c r="V85" s="5" t="s">
        <v>651</v>
      </c>
      <c r="W85" s="5" t="s">
        <v>102</v>
      </c>
      <c r="X85" s="5" t="s">
        <v>180</v>
      </c>
      <c r="Y85" s="5" t="s">
        <v>73</v>
      </c>
      <c r="Z85" s="5" t="s">
        <v>70</v>
      </c>
      <c r="AC85" s="5" t="s">
        <v>652</v>
      </c>
      <c r="AD85" s="5" t="s">
        <v>653</v>
      </c>
      <c r="AE85" s="5" t="s">
        <v>74</v>
      </c>
      <c r="AI85" s="9" t="n">
        <v>44409</v>
      </c>
      <c r="AJ85" s="5" t="n">
        <v>2</v>
      </c>
      <c r="AK85" s="5" t="s">
        <v>228</v>
      </c>
      <c r="AL85" s="5" t="n">
        <v>1522693</v>
      </c>
      <c r="AM85" s="5" t="s">
        <v>182</v>
      </c>
      <c r="AN85" s="5" t="str">
        <f aca="false">IFERROR(INDEX('full database 2024'!aj:aj, MATCH(A85, 'full database 2024'!b:b, 0)), "")</f>
        <v/>
      </c>
      <c r="AQ85" s="5" t="s">
        <v>77</v>
      </c>
      <c r="AR85" s="5" t="s">
        <v>185</v>
      </c>
      <c r="AS85" s="5" t="s">
        <v>73</v>
      </c>
      <c r="AT85" s="5" t="s">
        <v>105</v>
      </c>
      <c r="AU85" s="5" t="s">
        <v>186</v>
      </c>
      <c r="AV85" s="10" t="s">
        <v>569</v>
      </c>
      <c r="AW85" s="5" t="s">
        <v>94</v>
      </c>
      <c r="AX85" s="10" t="str">
        <f aca="false">IFERROR(INDEX('full database 2024'!ar:ar, MATCH(A85, 'full database 2024'!b:b, 0)), "")</f>
        <v/>
      </c>
      <c r="AZ85" s="5" t="s">
        <v>188</v>
      </c>
      <c r="BD85" s="9" t="n">
        <v>45181</v>
      </c>
      <c r="BE85" s="9" t="n">
        <v>45644</v>
      </c>
      <c r="BI85" s="5" t="s">
        <v>81</v>
      </c>
      <c r="BJ85" s="5" t="n">
        <v>2021</v>
      </c>
      <c r="BK85" s="11" t="n">
        <v>44934</v>
      </c>
    </row>
    <row r="86" customFormat="false" ht="16.5" hidden="false" customHeight="true" outlineLevel="0" collapsed="false">
      <c r="A86" s="5" t="s">
        <v>654</v>
      </c>
      <c r="B86" s="5" t="s">
        <v>655</v>
      </c>
      <c r="C86" s="5"/>
      <c r="D86" s="5" t="s">
        <v>62</v>
      </c>
      <c r="E86" s="5" t="n">
        <v>2724231</v>
      </c>
      <c r="F86" s="5" t="n">
        <v>1906961</v>
      </c>
      <c r="G86" s="5" t="s">
        <v>147</v>
      </c>
      <c r="H86" s="6" t="n">
        <v>2944948</v>
      </c>
      <c r="I86" s="6" t="n">
        <v>2061462</v>
      </c>
      <c r="J86" s="7" t="n">
        <v>2724231</v>
      </c>
      <c r="K86" s="7" t="n">
        <v>1906961</v>
      </c>
      <c r="L86" s="5" t="s">
        <v>84</v>
      </c>
      <c r="M86" s="5" t="s">
        <v>65</v>
      </c>
      <c r="N86" s="8" t="s">
        <v>656</v>
      </c>
      <c r="O86" s="5" t="s">
        <v>657</v>
      </c>
      <c r="P86" s="5"/>
      <c r="Q86" s="5"/>
      <c r="R86" s="5" t="s">
        <v>658</v>
      </c>
      <c r="T86" s="5" t="s">
        <v>463</v>
      </c>
      <c r="U86" s="5" t="s">
        <v>70</v>
      </c>
      <c r="V86" s="5" t="s">
        <v>464</v>
      </c>
      <c r="W86" s="5" t="s">
        <v>102</v>
      </c>
      <c r="X86" s="5" t="s">
        <v>257</v>
      </c>
      <c r="Y86" s="5" t="s">
        <v>73</v>
      </c>
      <c r="Z86" s="5" t="s">
        <v>70</v>
      </c>
      <c r="AC86" s="5"/>
      <c r="AD86" s="5" t="s">
        <v>659</v>
      </c>
      <c r="AE86" s="5" t="s">
        <v>74</v>
      </c>
      <c r="AF86" s="9" t="n">
        <v>43868</v>
      </c>
      <c r="AG86" s="5" t="n">
        <v>2020</v>
      </c>
      <c r="AI86" s="9" t="n">
        <v>44044</v>
      </c>
      <c r="AJ86" s="5" t="n">
        <v>3</v>
      </c>
      <c r="AK86" s="5" t="s">
        <v>75</v>
      </c>
      <c r="AL86" s="5" t="n">
        <v>981649</v>
      </c>
      <c r="AM86" s="5" t="s">
        <v>182</v>
      </c>
      <c r="AN86" s="5" t="str">
        <f aca="false">IFERROR(INDEX('full database 2024'!aj:aj, MATCH(A86, 'full database 2024'!b:b, 0)), "")</f>
        <v/>
      </c>
      <c r="AQ86" s="5" t="s">
        <v>184</v>
      </c>
      <c r="AR86" s="5" t="s">
        <v>185</v>
      </c>
      <c r="AS86" s="5" t="s">
        <v>73</v>
      </c>
      <c r="AT86" s="5" t="s">
        <v>374</v>
      </c>
      <c r="AW86" s="5" t="s">
        <v>187</v>
      </c>
      <c r="AX86" s="10" t="str">
        <f aca="false">IFERROR(INDEX('full database 2024'!ar:ar, MATCH(A86, 'full database 2024'!b:b, 0)), "")</f>
        <v/>
      </c>
      <c r="AZ86" s="5" t="s">
        <v>188</v>
      </c>
      <c r="BD86" s="9" t="n">
        <v>44960</v>
      </c>
      <c r="BE86" s="9" t="n">
        <v>45779</v>
      </c>
      <c r="BF86" s="5" t="s">
        <v>65</v>
      </c>
      <c r="BG86" s="8" t="s">
        <v>660</v>
      </c>
      <c r="BI86" s="5" t="s">
        <v>241</v>
      </c>
      <c r="BJ86" s="5" t="n">
        <v>2020</v>
      </c>
      <c r="BK86" s="11" t="n">
        <v>44934</v>
      </c>
    </row>
    <row r="87" customFormat="false" ht="16.5" hidden="false" customHeight="true" outlineLevel="0" collapsed="false">
      <c r="A87" s="5" t="s">
        <v>661</v>
      </c>
      <c r="B87" s="5"/>
      <c r="C87" s="5"/>
      <c r="D87" s="5" t="s">
        <v>62</v>
      </c>
      <c r="E87" s="5" t="n">
        <v>2692505</v>
      </c>
      <c r="F87" s="5" t="n">
        <v>2692505</v>
      </c>
      <c r="G87" s="5" t="s">
        <v>147</v>
      </c>
      <c r="H87" s="6" t="n">
        <v>2955481</v>
      </c>
      <c r="I87" s="6" t="n">
        <v>2955481</v>
      </c>
      <c r="J87" s="7" t="n">
        <v>2692505</v>
      </c>
      <c r="K87" s="7" t="n">
        <v>2692505</v>
      </c>
      <c r="L87" s="5" t="s">
        <v>84</v>
      </c>
      <c r="M87" s="5" t="s">
        <v>65</v>
      </c>
      <c r="N87" s="8" t="s">
        <v>662</v>
      </c>
      <c r="O87" s="5" t="s">
        <v>70</v>
      </c>
      <c r="P87" s="5"/>
      <c r="Q87" s="5"/>
      <c r="R87" s="5" t="s">
        <v>663</v>
      </c>
      <c r="T87" s="5" t="s">
        <v>463</v>
      </c>
      <c r="U87" s="5" t="s">
        <v>70</v>
      </c>
      <c r="V87" s="5" t="s">
        <v>464</v>
      </c>
      <c r="W87" s="5" t="s">
        <v>102</v>
      </c>
      <c r="X87" s="5" t="s">
        <v>257</v>
      </c>
      <c r="Y87" s="5" t="s">
        <v>73</v>
      </c>
      <c r="Z87" s="5" t="s">
        <v>70</v>
      </c>
      <c r="AD87" s="5"/>
      <c r="AE87" s="5" t="s">
        <v>117</v>
      </c>
      <c r="AF87" s="9"/>
      <c r="AG87" s="5"/>
      <c r="AI87" s="9" t="n">
        <v>44922</v>
      </c>
      <c r="AJ87" s="5" t="n">
        <v>2</v>
      </c>
      <c r="AK87" s="5" t="s">
        <v>75</v>
      </c>
      <c r="AL87" s="5" t="n">
        <v>1477741</v>
      </c>
      <c r="AM87" s="5" t="s">
        <v>664</v>
      </c>
      <c r="AN87" s="5"/>
      <c r="AQ87" s="5" t="s">
        <v>77</v>
      </c>
      <c r="AR87" s="5" t="s">
        <v>257</v>
      </c>
      <c r="AS87" s="5" t="s">
        <v>73</v>
      </c>
      <c r="AT87" s="5" t="s">
        <v>374</v>
      </c>
      <c r="AW87" s="5" t="s">
        <v>162</v>
      </c>
      <c r="AX87" s="10" t="str">
        <f aca="false">IFERROR(INDEX('full database 2024'!ar:ar, MATCH(A87, 'full database 2024'!b:b, 0)), "")</f>
        <v/>
      </c>
      <c r="BD87" s="9" t="n">
        <v>45037</v>
      </c>
      <c r="BE87" s="9" t="n">
        <v>45566</v>
      </c>
      <c r="BF87" s="5"/>
      <c r="BG87" s="5"/>
      <c r="BI87" s="5" t="s">
        <v>81</v>
      </c>
      <c r="BJ87" s="5" t="n">
        <v>2022</v>
      </c>
      <c r="BK87" s="5" t="s">
        <v>665</v>
      </c>
    </row>
    <row r="88" customFormat="false" ht="16.5" hidden="false" customHeight="true" outlineLevel="0" collapsed="false">
      <c r="A88" s="5" t="s">
        <v>666</v>
      </c>
      <c r="B88" s="5" t="s">
        <v>667</v>
      </c>
      <c r="C88" s="5"/>
      <c r="D88" s="5" t="s">
        <v>62</v>
      </c>
      <c r="E88" s="16" t="n">
        <v>2690800</v>
      </c>
      <c r="F88" s="16" t="n">
        <v>2152612</v>
      </c>
      <c r="G88" s="5" t="s">
        <v>132</v>
      </c>
      <c r="H88" s="6" t="n">
        <v>2906064</v>
      </c>
      <c r="I88" s="6" t="n">
        <v>2324821</v>
      </c>
      <c r="J88" s="7" t="n">
        <f aca="false">E88*1.19</f>
        <v>3202052</v>
      </c>
      <c r="K88" s="7" t="n">
        <f aca="false">F88*1.19</f>
        <v>2561608.28</v>
      </c>
      <c r="L88" s="5" t="s">
        <v>84</v>
      </c>
      <c r="M88" s="5" t="s">
        <v>65</v>
      </c>
      <c r="N88" s="8" t="s">
        <v>668</v>
      </c>
      <c r="O88" s="5" t="s">
        <v>669</v>
      </c>
      <c r="P88" s="5"/>
      <c r="Q88" s="5"/>
      <c r="R88" s="5" t="s">
        <v>670</v>
      </c>
      <c r="T88" s="5" t="s">
        <v>671</v>
      </c>
      <c r="U88" s="5"/>
      <c r="V88" s="5" t="s">
        <v>672</v>
      </c>
      <c r="W88" s="5" t="s">
        <v>102</v>
      </c>
      <c r="X88" s="5" t="s">
        <v>139</v>
      </c>
      <c r="Y88" s="5" t="s">
        <v>73</v>
      </c>
      <c r="Z88" s="5"/>
      <c r="AE88" s="5" t="s">
        <v>117</v>
      </c>
      <c r="AI88" s="9" t="n">
        <v>44927</v>
      </c>
      <c r="AJ88" s="5" t="n">
        <v>2</v>
      </c>
      <c r="AK88" s="5" t="s">
        <v>75</v>
      </c>
      <c r="AL88" s="5" t="n">
        <v>1453032</v>
      </c>
      <c r="AM88" s="5" t="s">
        <v>140</v>
      </c>
      <c r="AN88" s="5" t="s">
        <v>673</v>
      </c>
      <c r="AQ88" s="5" t="s">
        <v>77</v>
      </c>
      <c r="AR88" s="5" t="s">
        <v>143</v>
      </c>
      <c r="AS88" s="5" t="s">
        <v>73</v>
      </c>
      <c r="AT88" s="5" t="s">
        <v>374</v>
      </c>
      <c r="AW88" s="5" t="s">
        <v>94</v>
      </c>
      <c r="AX88" s="10" t="str">
        <f aca="false">IFERROR(INDEX('full database 2024'!ar:ar, MATCH(A88, 'full database 2024'!b:b, 0)), "")</f>
        <v/>
      </c>
      <c r="AZ88" s="5" t="s">
        <v>534</v>
      </c>
      <c r="BD88" s="9" t="n">
        <v>45377</v>
      </c>
      <c r="BE88" s="9" t="n">
        <v>45779</v>
      </c>
      <c r="BI88" s="5" t="s">
        <v>81</v>
      </c>
      <c r="BJ88" s="5" t="n">
        <v>2023</v>
      </c>
      <c r="BK88" s="5"/>
    </row>
    <row r="89" customFormat="false" ht="16.5" hidden="false" customHeight="true" outlineLevel="0" collapsed="false">
      <c r="A89" s="5" t="s">
        <v>674</v>
      </c>
      <c r="B89" s="5"/>
      <c r="C89" s="5"/>
      <c r="D89" s="5" t="s">
        <v>62</v>
      </c>
      <c r="E89" s="5" t="n">
        <v>2658179</v>
      </c>
      <c r="F89" s="5" t="n">
        <v>1860725</v>
      </c>
      <c r="G89" s="5" t="s">
        <v>147</v>
      </c>
      <c r="H89" s="6" t="n">
        <v>2870833</v>
      </c>
      <c r="I89" s="6" t="n">
        <v>2009583</v>
      </c>
      <c r="J89" s="7" t="n">
        <v>2658179</v>
      </c>
      <c r="K89" s="7" t="n">
        <v>1860725</v>
      </c>
      <c r="L89" s="5" t="s">
        <v>84</v>
      </c>
      <c r="M89" s="5" t="s">
        <v>65</v>
      </c>
      <c r="N89" s="8" t="s">
        <v>675</v>
      </c>
      <c r="O89" s="5" t="s">
        <v>676</v>
      </c>
      <c r="P89" s="5"/>
      <c r="Q89" s="5"/>
      <c r="R89" s="5"/>
      <c r="T89" s="5"/>
      <c r="V89" s="5" t="s">
        <v>677</v>
      </c>
      <c r="W89" s="5"/>
      <c r="X89" s="5" t="s">
        <v>257</v>
      </c>
      <c r="Y89" s="5" t="s">
        <v>73</v>
      </c>
      <c r="AE89" s="5"/>
      <c r="AI89" s="9" t="n">
        <v>44562</v>
      </c>
      <c r="AJ89" s="5"/>
      <c r="AK89" s="5" t="s">
        <v>228</v>
      </c>
      <c r="AL89" s="5" t="n">
        <v>2870833</v>
      </c>
      <c r="AM89" s="5" t="s">
        <v>182</v>
      </c>
      <c r="AN89" s="5" t="s">
        <v>446</v>
      </c>
      <c r="AQ89" s="5" t="s">
        <v>77</v>
      </c>
      <c r="AR89" s="5" t="s">
        <v>185</v>
      </c>
      <c r="AS89" s="5" t="s">
        <v>73</v>
      </c>
      <c r="AT89" s="5" t="s">
        <v>78</v>
      </c>
      <c r="AW89" s="5" t="s">
        <v>94</v>
      </c>
      <c r="AX89" s="10" t="str">
        <f aca="false">IFERROR(INDEX('full database 2024'!ar:ar, MATCH(A89, 'full database 2024'!b:b, 0)), "")</f>
        <v/>
      </c>
      <c r="AZ89" s="5" t="s">
        <v>396</v>
      </c>
      <c r="BD89" s="9" t="n">
        <v>45596</v>
      </c>
      <c r="BE89" s="9" t="n">
        <v>45596</v>
      </c>
      <c r="BI89" s="5"/>
      <c r="BJ89" s="5" t="n">
        <v>2022</v>
      </c>
      <c r="BK89" s="11" t="n">
        <v>36526</v>
      </c>
    </row>
    <row r="90" customFormat="false" ht="16.5" hidden="false" customHeight="true" outlineLevel="0" collapsed="false">
      <c r="A90" s="5" t="s">
        <v>678</v>
      </c>
      <c r="B90" s="5" t="s">
        <v>679</v>
      </c>
      <c r="C90" s="5"/>
      <c r="D90" s="5" t="s">
        <v>62</v>
      </c>
      <c r="E90" s="5" t="n">
        <v>2651300</v>
      </c>
      <c r="F90" s="5" t="n">
        <v>2651300</v>
      </c>
      <c r="G90" s="5" t="s">
        <v>212</v>
      </c>
      <c r="H90" s="6" t="n">
        <v>249222</v>
      </c>
      <c r="I90" s="6" t="n">
        <v>249222</v>
      </c>
      <c r="J90" s="7" t="n">
        <f aca="false">E90*0.091</f>
        <v>241268.3</v>
      </c>
      <c r="K90" s="7" t="n">
        <f aca="false">F90*0.091</f>
        <v>241268.3</v>
      </c>
      <c r="L90" s="5" t="s">
        <v>84</v>
      </c>
      <c r="M90" s="5" t="s">
        <v>65</v>
      </c>
      <c r="N90" s="8" t="s">
        <v>680</v>
      </c>
      <c r="O90" s="5" t="s">
        <v>681</v>
      </c>
      <c r="T90" s="5" t="s">
        <v>682</v>
      </c>
      <c r="V90" s="5" t="s">
        <v>683</v>
      </c>
      <c r="X90" s="5" t="s">
        <v>215</v>
      </c>
      <c r="Y90" s="5" t="s">
        <v>73</v>
      </c>
      <c r="AI90" s="9" t="n">
        <v>44866</v>
      </c>
      <c r="AJ90" s="5" t="n">
        <v>24</v>
      </c>
      <c r="AK90" s="5" t="s">
        <v>216</v>
      </c>
      <c r="AL90" s="5" t="n">
        <v>10384</v>
      </c>
      <c r="AM90" s="5" t="s">
        <v>489</v>
      </c>
      <c r="AN90" s="5"/>
      <c r="AQ90" s="5" t="s">
        <v>77</v>
      </c>
      <c r="AR90" s="5" t="s">
        <v>215</v>
      </c>
      <c r="AS90" s="5" t="s">
        <v>73</v>
      </c>
      <c r="AT90" s="5" t="s">
        <v>78</v>
      </c>
      <c r="AW90" s="5" t="s">
        <v>94</v>
      </c>
      <c r="AX90" s="10" t="str">
        <f aca="false">IFERROR(INDEX('full database 2024'!ar:ar, MATCH(A90, 'full database 2024'!b:b, 0)), "")</f>
        <v/>
      </c>
      <c r="AZ90" s="5" t="s">
        <v>684</v>
      </c>
      <c r="BD90" s="9" t="n">
        <v>45596</v>
      </c>
      <c r="BE90" s="9" t="n">
        <v>45779</v>
      </c>
      <c r="BJ90" s="5" t="n">
        <v>2022</v>
      </c>
      <c r="BK90" s="11" t="n">
        <v>36526</v>
      </c>
    </row>
    <row r="91" customFormat="false" ht="16.5" hidden="false" customHeight="true" outlineLevel="0" collapsed="false">
      <c r="A91" s="5" t="s">
        <v>685</v>
      </c>
      <c r="B91" s="5"/>
      <c r="C91" s="5"/>
      <c r="D91" s="5" t="s">
        <v>62</v>
      </c>
      <c r="E91" s="16" t="n">
        <v>2534500</v>
      </c>
      <c r="F91" s="16" t="n">
        <v>2027638</v>
      </c>
      <c r="G91" s="5" t="s">
        <v>132</v>
      </c>
      <c r="H91" s="6" t="n">
        <v>2661225</v>
      </c>
      <c r="I91" s="6" t="n">
        <v>2129020</v>
      </c>
      <c r="J91" s="7" t="n">
        <f aca="false">E91*1.19</f>
        <v>3016055</v>
      </c>
      <c r="K91" s="7" t="n">
        <f aca="false">F91*1.19</f>
        <v>2412889.22</v>
      </c>
      <c r="L91" s="5" t="s">
        <v>84</v>
      </c>
      <c r="M91" s="5" t="s">
        <v>65</v>
      </c>
      <c r="N91" s="8" t="s">
        <v>686</v>
      </c>
      <c r="O91" s="5"/>
      <c r="P91" s="5"/>
      <c r="Q91" s="5"/>
      <c r="R91" s="5" t="s">
        <v>670</v>
      </c>
      <c r="T91" s="5" t="s">
        <v>687</v>
      </c>
      <c r="V91" s="5" t="s">
        <v>688</v>
      </c>
      <c r="W91" s="5" t="s">
        <v>90</v>
      </c>
      <c r="X91" s="5" t="s">
        <v>139</v>
      </c>
      <c r="Y91" s="5" t="s">
        <v>73</v>
      </c>
      <c r="AE91" s="5" t="s">
        <v>117</v>
      </c>
      <c r="AI91" s="9" t="n">
        <v>44562</v>
      </c>
      <c r="AJ91" s="5" t="n">
        <v>3</v>
      </c>
      <c r="AK91" s="5" t="s">
        <v>75</v>
      </c>
      <c r="AL91" s="5" t="n">
        <v>887075</v>
      </c>
      <c r="AM91" s="5" t="s">
        <v>140</v>
      </c>
      <c r="AN91" s="5" t="s">
        <v>141</v>
      </c>
      <c r="AQ91" s="5" t="s">
        <v>77</v>
      </c>
      <c r="AR91" s="5" t="s">
        <v>143</v>
      </c>
      <c r="AS91" s="5" t="s">
        <v>73</v>
      </c>
      <c r="AT91" s="5" t="s">
        <v>78</v>
      </c>
      <c r="AW91" s="5" t="s">
        <v>94</v>
      </c>
      <c r="AX91" s="10" t="str">
        <f aca="false">IFERROR(INDEX('full database 2024'!ar:ar, MATCH(A91, 'full database 2024'!b:b, 0)), "")</f>
        <v/>
      </c>
      <c r="AZ91" s="5" t="s">
        <v>394</v>
      </c>
      <c r="BD91" s="9" t="n">
        <v>45377</v>
      </c>
      <c r="BE91" s="9" t="n">
        <v>45779</v>
      </c>
      <c r="BI91" s="5" t="s">
        <v>81</v>
      </c>
      <c r="BJ91" s="5" t="n">
        <v>2022</v>
      </c>
      <c r="BK91" s="11"/>
    </row>
    <row r="92" customFormat="false" ht="16.5" hidden="false" customHeight="true" outlineLevel="0" collapsed="false">
      <c r="A92" s="5" t="s">
        <v>689</v>
      </c>
      <c r="C92" s="5"/>
      <c r="D92" s="5" t="s">
        <v>62</v>
      </c>
      <c r="E92" s="16" t="n">
        <v>2508100</v>
      </c>
      <c r="F92" s="16" t="n">
        <v>2006492</v>
      </c>
      <c r="G92" s="5" t="s">
        <v>132</v>
      </c>
      <c r="H92" s="6" t="n">
        <v>2633505</v>
      </c>
      <c r="I92" s="6" t="n">
        <v>2106817</v>
      </c>
      <c r="J92" s="7" t="n">
        <f aca="false">E92*1.19</f>
        <v>2984639</v>
      </c>
      <c r="K92" s="7" t="n">
        <f aca="false">F92*1.19</f>
        <v>2387725.48</v>
      </c>
      <c r="L92" s="5" t="s">
        <v>84</v>
      </c>
      <c r="M92" s="5" t="s">
        <v>65</v>
      </c>
      <c r="N92" s="8" t="s">
        <v>690</v>
      </c>
      <c r="O92" s="13"/>
      <c r="P92" s="5"/>
      <c r="Q92" s="5"/>
      <c r="R92" s="5" t="s">
        <v>670</v>
      </c>
      <c r="S92" s="5" t="s">
        <v>691</v>
      </c>
      <c r="T92" s="5" t="s">
        <v>692</v>
      </c>
      <c r="V92" s="5" t="s">
        <v>693</v>
      </c>
      <c r="W92" s="5" t="s">
        <v>90</v>
      </c>
      <c r="X92" s="5" t="s">
        <v>139</v>
      </c>
      <c r="Y92" s="5" t="s">
        <v>73</v>
      </c>
      <c r="AE92" s="5" t="s">
        <v>117</v>
      </c>
      <c r="AI92" s="9" t="n">
        <v>44562</v>
      </c>
      <c r="AJ92" s="5" t="n">
        <v>3</v>
      </c>
      <c r="AK92" s="5" t="s">
        <v>75</v>
      </c>
      <c r="AL92" s="5" t="n">
        <v>877835</v>
      </c>
      <c r="AM92" s="5" t="s">
        <v>140</v>
      </c>
      <c r="AN92" s="5" t="s">
        <v>141</v>
      </c>
      <c r="AQ92" s="5" t="s">
        <v>77</v>
      </c>
      <c r="AR92" s="5" t="s">
        <v>143</v>
      </c>
      <c r="AS92" s="5" t="s">
        <v>73</v>
      </c>
      <c r="AT92" s="5" t="s">
        <v>105</v>
      </c>
      <c r="AU92" s="10" t="s">
        <v>106</v>
      </c>
      <c r="AW92" s="5" t="s">
        <v>94</v>
      </c>
      <c r="AX92" s="10" t="str">
        <f aca="false">IFERROR(INDEX('full database 2024'!ar:ar, MATCH(A92, 'full database 2024'!b:b, 0)), "")</f>
        <v/>
      </c>
      <c r="AZ92" s="5" t="s">
        <v>107</v>
      </c>
      <c r="BD92" s="9" t="n">
        <v>45377</v>
      </c>
      <c r="BE92" s="9" t="n">
        <v>45779</v>
      </c>
      <c r="BI92" s="5" t="s">
        <v>81</v>
      </c>
      <c r="BJ92" s="5" t="n">
        <v>2022</v>
      </c>
    </row>
    <row r="93" customFormat="false" ht="16.5" hidden="false" customHeight="true" outlineLevel="0" collapsed="false">
      <c r="A93" s="5" t="s">
        <v>694</v>
      </c>
      <c r="C93" s="5"/>
      <c r="D93" s="5" t="s">
        <v>62</v>
      </c>
      <c r="E93" s="5" t="n">
        <v>2500000</v>
      </c>
      <c r="F93" s="5" t="n">
        <v>2500000</v>
      </c>
      <c r="G93" s="5" t="s">
        <v>695</v>
      </c>
      <c r="H93" s="6" t="n">
        <v>2500000</v>
      </c>
      <c r="I93" s="6" t="n">
        <v>2500000</v>
      </c>
      <c r="J93" s="7" t="n">
        <f aca="false">E93*0.88</f>
        <v>2200000</v>
      </c>
      <c r="K93" s="7" t="n">
        <f aca="false">F93*0.88</f>
        <v>2200000</v>
      </c>
      <c r="L93" s="5" t="s">
        <v>84</v>
      </c>
      <c r="M93" s="5" t="s">
        <v>65</v>
      </c>
      <c r="N93" s="8" t="s">
        <v>696</v>
      </c>
      <c r="P93" s="5"/>
      <c r="Q93" s="5"/>
      <c r="R93" s="5" t="s">
        <v>697</v>
      </c>
      <c r="S93" s="5"/>
      <c r="T93" s="5" t="s">
        <v>671</v>
      </c>
      <c r="U93" s="5" t="s">
        <v>70</v>
      </c>
      <c r="V93" s="5" t="s">
        <v>698</v>
      </c>
      <c r="W93" s="5" t="s">
        <v>102</v>
      </c>
      <c r="X93" s="5" t="s">
        <v>139</v>
      </c>
      <c r="Y93" s="5" t="s">
        <v>73</v>
      </c>
      <c r="Z93" s="5" t="s">
        <v>70</v>
      </c>
      <c r="AE93" s="5" t="s">
        <v>117</v>
      </c>
      <c r="AI93" s="9" t="n">
        <v>44942</v>
      </c>
      <c r="AJ93" s="5" t="n">
        <v>2</v>
      </c>
      <c r="AK93" s="5" t="s">
        <v>75</v>
      </c>
      <c r="AL93" s="5" t="n">
        <v>1250000</v>
      </c>
      <c r="AM93" s="5" t="s">
        <v>140</v>
      </c>
      <c r="AN93" s="5" t="s">
        <v>699</v>
      </c>
      <c r="AQ93" s="5" t="s">
        <v>77</v>
      </c>
      <c r="AR93" s="5" t="s">
        <v>143</v>
      </c>
      <c r="AS93" s="5" t="s">
        <v>73</v>
      </c>
      <c r="AT93" s="5" t="s">
        <v>374</v>
      </c>
      <c r="AW93" s="5" t="s">
        <v>162</v>
      </c>
      <c r="AX93" s="10" t="str">
        <f aca="false">IFERROR(INDEX('full database 2024'!ar:ar, MATCH(A93, 'full database 2024'!b:b, 0)), "")</f>
        <v/>
      </c>
      <c r="BD93" s="9" t="n">
        <v>45029</v>
      </c>
      <c r="BE93" s="9" t="n">
        <v>45779</v>
      </c>
      <c r="BI93" s="5" t="s">
        <v>81</v>
      </c>
      <c r="BJ93" s="5" t="n">
        <v>2023</v>
      </c>
      <c r="BK93" s="5" t="s">
        <v>700</v>
      </c>
    </row>
    <row r="94" customFormat="false" ht="16.5" hidden="false" customHeight="true" outlineLevel="0" collapsed="false">
      <c r="A94" s="5" t="s">
        <v>701</v>
      </c>
      <c r="C94" s="5"/>
      <c r="D94" s="5" t="s">
        <v>62</v>
      </c>
      <c r="E94" s="5" t="n">
        <v>2450101</v>
      </c>
      <c r="F94" s="5" t="n">
        <v>2450101</v>
      </c>
      <c r="G94" s="5" t="s">
        <v>147</v>
      </c>
      <c r="H94" s="6" t="n">
        <v>2684943</v>
      </c>
      <c r="I94" s="6" t="n">
        <v>2684943</v>
      </c>
      <c r="J94" s="7" t="n">
        <v>2450101</v>
      </c>
      <c r="K94" s="7" t="n">
        <v>2450101</v>
      </c>
      <c r="L94" s="5" t="s">
        <v>84</v>
      </c>
      <c r="M94" s="5" t="s">
        <v>65</v>
      </c>
      <c r="N94" s="8" t="s">
        <v>702</v>
      </c>
      <c r="P94" s="5"/>
      <c r="Q94" s="5"/>
      <c r="R94" s="5" t="s">
        <v>703</v>
      </c>
      <c r="T94" s="5" t="s">
        <v>704</v>
      </c>
      <c r="U94" s="5" t="s">
        <v>705</v>
      </c>
      <c r="V94" s="5" t="s">
        <v>316</v>
      </c>
      <c r="W94" s="5" t="s">
        <v>305</v>
      </c>
      <c r="X94" s="5" t="s">
        <v>180</v>
      </c>
      <c r="Y94" s="5" t="s">
        <v>73</v>
      </c>
      <c r="Z94" s="5" t="s">
        <v>70</v>
      </c>
      <c r="AD94" s="5" t="s">
        <v>706</v>
      </c>
      <c r="AE94" s="5" t="s">
        <v>74</v>
      </c>
      <c r="AG94" s="5" t="n">
        <v>2022</v>
      </c>
      <c r="AI94" s="9" t="n">
        <v>44927</v>
      </c>
      <c r="AJ94" s="5" t="n">
        <v>6</v>
      </c>
      <c r="AK94" s="5" t="s">
        <v>75</v>
      </c>
      <c r="AL94" s="5" t="n">
        <v>447491</v>
      </c>
      <c r="AM94" s="5" t="s">
        <v>307</v>
      </c>
      <c r="AN94" s="5"/>
      <c r="AP94" s="8" t="s">
        <v>308</v>
      </c>
      <c r="AQ94" s="5" t="s">
        <v>77</v>
      </c>
      <c r="AR94" s="5" t="s">
        <v>180</v>
      </c>
      <c r="AS94" s="5" t="s">
        <v>73</v>
      </c>
      <c r="AT94" s="5" t="s">
        <v>78</v>
      </c>
      <c r="AW94" s="5" t="s">
        <v>94</v>
      </c>
      <c r="AX94" s="10" t="str">
        <f aca="false">IFERROR(INDEX('full database 2024'!ar:ar, MATCH(A94, 'full database 2024'!b:b, 0)), "")</f>
        <v/>
      </c>
      <c r="AZ94" s="5" t="s">
        <v>394</v>
      </c>
      <c r="BD94" s="9" t="n">
        <v>45099</v>
      </c>
      <c r="BE94" s="9" t="n">
        <v>45099</v>
      </c>
      <c r="BI94" s="5" t="s">
        <v>81</v>
      </c>
      <c r="BJ94" s="5" t="n">
        <v>2023</v>
      </c>
      <c r="BK94" s="11" t="n">
        <v>47119</v>
      </c>
    </row>
    <row r="95" customFormat="false" ht="16.5" hidden="false" customHeight="true" outlineLevel="0" collapsed="false">
      <c r="A95" s="5" t="s">
        <v>707</v>
      </c>
      <c r="C95" s="5"/>
      <c r="D95" s="5" t="s">
        <v>62</v>
      </c>
      <c r="E95" s="5" t="n">
        <v>2450101</v>
      </c>
      <c r="F95" s="5" t="n">
        <v>2450101</v>
      </c>
      <c r="G95" s="5" t="s">
        <v>147</v>
      </c>
      <c r="H95" s="6" t="n">
        <v>2684943</v>
      </c>
      <c r="I95" s="6" t="n">
        <v>2684943</v>
      </c>
      <c r="J95" s="7" t="n">
        <v>2450101</v>
      </c>
      <c r="K95" s="7" t="n">
        <v>2450101</v>
      </c>
      <c r="L95" s="5" t="s">
        <v>84</v>
      </c>
      <c r="M95" s="5" t="s">
        <v>65</v>
      </c>
      <c r="N95" s="8" t="s">
        <v>708</v>
      </c>
      <c r="P95" s="5"/>
      <c r="Q95" s="5"/>
      <c r="R95" s="5" t="s">
        <v>703</v>
      </c>
      <c r="T95" s="5" t="s">
        <v>69</v>
      </c>
      <c r="U95" s="5" t="s">
        <v>70</v>
      </c>
      <c r="V95" s="5" t="s">
        <v>709</v>
      </c>
      <c r="W95" s="5" t="s">
        <v>90</v>
      </c>
      <c r="X95" s="5" t="s">
        <v>180</v>
      </c>
      <c r="Y95" s="5" t="s">
        <v>73</v>
      </c>
      <c r="Z95" s="5" t="s">
        <v>70</v>
      </c>
      <c r="AD95" s="5" t="s">
        <v>710</v>
      </c>
      <c r="AE95" s="5" t="s">
        <v>74</v>
      </c>
      <c r="AG95" s="5" t="n">
        <v>2022</v>
      </c>
      <c r="AI95" s="9" t="n">
        <v>44942</v>
      </c>
      <c r="AJ95" s="5" t="n">
        <v>4</v>
      </c>
      <c r="AK95" s="5" t="s">
        <v>75</v>
      </c>
      <c r="AL95" s="5" t="n">
        <v>671236</v>
      </c>
      <c r="AM95" s="5" t="s">
        <v>307</v>
      </c>
      <c r="AN95" s="5"/>
      <c r="AP95" s="8" t="s">
        <v>308</v>
      </c>
      <c r="AQ95" s="5" t="s">
        <v>77</v>
      </c>
      <c r="AR95" s="5" t="s">
        <v>180</v>
      </c>
      <c r="AS95" s="5" t="s">
        <v>73</v>
      </c>
      <c r="AT95" s="5" t="s">
        <v>78</v>
      </c>
      <c r="AW95" s="5" t="s">
        <v>94</v>
      </c>
      <c r="AX95" s="10" t="str">
        <f aca="false">IFERROR(INDEX('full database 2024'!ar:ar, MATCH(A95, 'full database 2024'!b:b, 0)), "")</f>
        <v/>
      </c>
      <c r="AZ95" s="5" t="s">
        <v>188</v>
      </c>
      <c r="BD95" s="9" t="n">
        <v>45099</v>
      </c>
      <c r="BE95" s="9" t="n">
        <v>45099</v>
      </c>
      <c r="BI95" s="5" t="s">
        <v>81</v>
      </c>
      <c r="BJ95" s="5" t="n">
        <v>2023</v>
      </c>
      <c r="BK95" s="5" t="s">
        <v>711</v>
      </c>
    </row>
    <row r="96" customFormat="false" ht="16.5" hidden="false" customHeight="true" outlineLevel="0" collapsed="false">
      <c r="A96" s="5" t="s">
        <v>712</v>
      </c>
      <c r="B96" s="5" t="s">
        <v>713</v>
      </c>
      <c r="C96" s="5"/>
      <c r="D96" s="5" t="s">
        <v>62</v>
      </c>
      <c r="E96" s="5" t="n">
        <v>2318811</v>
      </c>
      <c r="F96" s="5" t="n">
        <v>2318811</v>
      </c>
      <c r="G96" s="5" t="s">
        <v>147</v>
      </c>
      <c r="H96" s="6" t="n">
        <v>2541069</v>
      </c>
      <c r="I96" s="6" t="n">
        <v>2541069</v>
      </c>
      <c r="J96" s="7" t="n">
        <v>2318811</v>
      </c>
      <c r="K96" s="7" t="n">
        <v>2318811</v>
      </c>
      <c r="L96" s="5" t="s">
        <v>84</v>
      </c>
      <c r="M96" s="5" t="s">
        <v>65</v>
      </c>
      <c r="N96" s="8" t="s">
        <v>714</v>
      </c>
      <c r="O96" s="5" t="s">
        <v>70</v>
      </c>
      <c r="P96" s="5"/>
      <c r="Q96" s="5"/>
      <c r="R96" s="5" t="s">
        <v>715</v>
      </c>
      <c r="T96" s="5" t="s">
        <v>716</v>
      </c>
      <c r="U96" s="5" t="s">
        <v>70</v>
      </c>
      <c r="V96" s="5" t="s">
        <v>717</v>
      </c>
      <c r="W96" s="5" t="s">
        <v>718</v>
      </c>
      <c r="X96" s="5" t="s">
        <v>385</v>
      </c>
      <c r="Y96" s="5" t="s">
        <v>73</v>
      </c>
      <c r="Z96" s="5" t="s">
        <v>70</v>
      </c>
      <c r="AD96" s="5" t="s">
        <v>719</v>
      </c>
      <c r="AE96" s="5" t="s">
        <v>74</v>
      </c>
      <c r="AG96" s="5"/>
      <c r="AI96" s="9" t="n">
        <v>44866</v>
      </c>
      <c r="AJ96" s="5" t="n">
        <v>5</v>
      </c>
      <c r="AK96" s="5" t="s">
        <v>75</v>
      </c>
      <c r="AL96" s="5" t="n">
        <v>508214</v>
      </c>
      <c r="AM96" s="5" t="s">
        <v>182</v>
      </c>
      <c r="AN96" s="5" t="str">
        <f aca="false" t="array" ref="AN96:AN96">IFERROR(INDEX('full database 2024'!aj:aj, MATCH(A96, 'full database 2024'!b:b, 0)), "")</f>
        <v/>
      </c>
      <c r="AO96" s="5" t="s">
        <v>720</v>
      </c>
      <c r="AP96" s="5"/>
      <c r="AQ96" s="5" t="s">
        <v>77</v>
      </c>
      <c r="AR96" s="5" t="s">
        <v>185</v>
      </c>
      <c r="AS96" s="5" t="s">
        <v>73</v>
      </c>
      <c r="AT96" s="5" t="s">
        <v>374</v>
      </c>
      <c r="AW96" s="5" t="s">
        <v>94</v>
      </c>
      <c r="AX96" s="10" t="str">
        <f aca="false">IFERROR(INDEX('full database 2024'!ar:ar, MATCH(A96, 'full database 2024'!b:b, 0)), "")</f>
        <v/>
      </c>
      <c r="AZ96" s="5" t="s">
        <v>239</v>
      </c>
      <c r="BD96" s="9" t="n">
        <v>45099</v>
      </c>
      <c r="BE96" s="9" t="n">
        <v>45436</v>
      </c>
      <c r="BI96" s="5" t="s">
        <v>81</v>
      </c>
      <c r="BJ96" s="5" t="n">
        <v>2022</v>
      </c>
      <c r="BK96" s="11" t="n">
        <v>46398</v>
      </c>
    </row>
    <row r="97" customFormat="false" ht="16.5" hidden="false" customHeight="true" outlineLevel="0" collapsed="false">
      <c r="A97" s="5" t="s">
        <v>721</v>
      </c>
      <c r="B97" s="5"/>
      <c r="C97" s="5"/>
      <c r="D97" s="5" t="s">
        <v>62</v>
      </c>
      <c r="E97" s="5" t="n">
        <v>2173976</v>
      </c>
      <c r="F97" s="5" t="n">
        <v>2173976</v>
      </c>
      <c r="G97" s="5" t="s">
        <v>212</v>
      </c>
      <c r="H97" s="6" t="n">
        <v>204354</v>
      </c>
      <c r="I97" s="6" t="n">
        <v>204354</v>
      </c>
      <c r="J97" s="7" t="n">
        <f aca="false">E97*0.091</f>
        <v>197831.816</v>
      </c>
      <c r="K97" s="7" t="n">
        <f aca="false">F97*0.091</f>
        <v>197831.816</v>
      </c>
      <c r="L97" s="5" t="s">
        <v>84</v>
      </c>
      <c r="M97" s="5" t="s">
        <v>65</v>
      </c>
      <c r="N97" s="5"/>
      <c r="O97" s="13"/>
      <c r="P97" s="5"/>
      <c r="Q97" s="5"/>
      <c r="R97" s="5"/>
      <c r="T97" s="5" t="s">
        <v>523</v>
      </c>
      <c r="U97" s="5"/>
      <c r="V97" s="5" t="s">
        <v>524</v>
      </c>
      <c r="W97" s="5"/>
      <c r="X97" s="5" t="s">
        <v>215</v>
      </c>
      <c r="Y97" s="5" t="s">
        <v>73</v>
      </c>
      <c r="Z97" s="5"/>
      <c r="AD97" s="5"/>
      <c r="AE97" s="5"/>
      <c r="AI97" s="9" t="n">
        <v>44562</v>
      </c>
      <c r="AJ97" s="5" t="n">
        <v>24</v>
      </c>
      <c r="AK97" s="5" t="s">
        <v>216</v>
      </c>
      <c r="AL97" s="5" t="n">
        <v>8515</v>
      </c>
      <c r="AM97" s="5" t="s">
        <v>217</v>
      </c>
      <c r="AN97" s="5"/>
      <c r="AO97" s="5"/>
      <c r="AQ97" s="5" t="s">
        <v>77</v>
      </c>
      <c r="AR97" s="5" t="s">
        <v>215</v>
      </c>
      <c r="AS97" s="5" t="s">
        <v>73</v>
      </c>
      <c r="AT97" s="5" t="s">
        <v>78</v>
      </c>
      <c r="AW97" s="5" t="s">
        <v>94</v>
      </c>
      <c r="AX97" s="10" t="str">
        <f aca="false">IFERROR(INDEX('full database 2024'!ar:ar, MATCH(A97, 'full database 2024'!b:b, 0)), "")</f>
        <v/>
      </c>
      <c r="AZ97" s="5" t="s">
        <v>525</v>
      </c>
      <c r="BD97" s="9" t="n">
        <v>45596</v>
      </c>
      <c r="BE97" s="9" t="n">
        <v>45596</v>
      </c>
      <c r="BI97" s="5"/>
      <c r="BJ97" s="5" t="n">
        <v>2022</v>
      </c>
      <c r="BK97" s="11" t="n">
        <v>36526</v>
      </c>
    </row>
    <row r="98" customFormat="false" ht="16.5" hidden="false" customHeight="true" outlineLevel="0" collapsed="false">
      <c r="A98" s="5" t="s">
        <v>722</v>
      </c>
      <c r="C98" s="5"/>
      <c r="D98" s="5" t="s">
        <v>62</v>
      </c>
      <c r="E98" s="5" t="n">
        <v>2166129</v>
      </c>
      <c r="F98" s="5" t="n">
        <v>2166129</v>
      </c>
      <c r="G98" s="5" t="s">
        <v>212</v>
      </c>
      <c r="H98" s="6" t="n">
        <v>203616</v>
      </c>
      <c r="I98" s="6" t="n">
        <v>203616</v>
      </c>
      <c r="J98" s="7" t="n">
        <f aca="false">E98*0.091</f>
        <v>197117.739</v>
      </c>
      <c r="K98" s="7" t="n">
        <f aca="false">F98*0.091</f>
        <v>197117.739</v>
      </c>
      <c r="L98" s="5" t="s">
        <v>84</v>
      </c>
      <c r="M98" s="5" t="s">
        <v>65</v>
      </c>
      <c r="T98" s="5"/>
      <c r="V98" s="5" t="s">
        <v>426</v>
      </c>
      <c r="X98" s="5" t="s">
        <v>215</v>
      </c>
      <c r="Y98" s="5" t="s">
        <v>73</v>
      </c>
      <c r="AI98" s="9" t="n">
        <v>44573</v>
      </c>
      <c r="AJ98" s="5" t="n">
        <v>49</v>
      </c>
      <c r="AK98" s="5" t="s">
        <v>216</v>
      </c>
      <c r="AL98" s="5" t="n">
        <v>4155</v>
      </c>
      <c r="AM98" s="5" t="s">
        <v>217</v>
      </c>
      <c r="AN98" s="5"/>
      <c r="AQ98" s="5" t="s">
        <v>77</v>
      </c>
      <c r="AR98" s="5" t="s">
        <v>215</v>
      </c>
      <c r="AS98" s="5" t="s">
        <v>73</v>
      </c>
      <c r="AT98" s="5" t="s">
        <v>78</v>
      </c>
      <c r="AW98" s="5" t="s">
        <v>94</v>
      </c>
      <c r="AX98" s="10" t="str">
        <f aca="false">IFERROR(INDEX('full database 2024'!ar:ar, MATCH(A98, 'full database 2024'!b:b, 0)), "")</f>
        <v/>
      </c>
      <c r="AZ98" s="5" t="s">
        <v>287</v>
      </c>
      <c r="BD98" s="9" t="n">
        <v>45596</v>
      </c>
      <c r="BE98" s="9" t="n">
        <v>45596</v>
      </c>
      <c r="BJ98" s="5" t="n">
        <v>2023</v>
      </c>
      <c r="BK98" s="11" t="n">
        <v>36526</v>
      </c>
    </row>
    <row r="99" customFormat="false" ht="16.5" hidden="false" customHeight="true" outlineLevel="0" collapsed="false">
      <c r="A99" s="5" t="s">
        <v>723</v>
      </c>
      <c r="C99" s="5"/>
      <c r="D99" s="5" t="s">
        <v>62</v>
      </c>
      <c r="E99" s="5" t="n">
        <v>2100000</v>
      </c>
      <c r="F99" s="5" t="n">
        <v>2100000</v>
      </c>
      <c r="G99" s="5" t="s">
        <v>147</v>
      </c>
      <c r="H99" s="6" t="n">
        <v>2215584</v>
      </c>
      <c r="I99" s="6" t="n">
        <v>2215584</v>
      </c>
      <c r="J99" s="7" t="n">
        <v>2100000</v>
      </c>
      <c r="K99" s="7" t="n">
        <v>2100000</v>
      </c>
      <c r="L99" s="5" t="s">
        <v>84</v>
      </c>
      <c r="M99" s="5" t="s">
        <v>65</v>
      </c>
      <c r="N99" s="8" t="s">
        <v>724</v>
      </c>
      <c r="O99" s="15" t="s">
        <v>725</v>
      </c>
      <c r="P99" s="5"/>
      <c r="Q99" s="5"/>
      <c r="R99" s="5" t="s">
        <v>726</v>
      </c>
      <c r="T99" s="5" t="s">
        <v>727</v>
      </c>
      <c r="U99" s="5" t="s">
        <v>728</v>
      </c>
      <c r="V99" s="5" t="s">
        <v>617</v>
      </c>
      <c r="W99" s="5" t="s">
        <v>102</v>
      </c>
      <c r="X99" s="5" t="s">
        <v>160</v>
      </c>
      <c r="Y99" s="5" t="s">
        <v>73</v>
      </c>
      <c r="Z99" s="5" t="s">
        <v>70</v>
      </c>
      <c r="AD99" s="5" t="s">
        <v>729</v>
      </c>
      <c r="AE99" s="5" t="s">
        <v>74</v>
      </c>
      <c r="AI99" s="9" t="n">
        <v>43994</v>
      </c>
      <c r="AJ99" s="5" t="n">
        <v>2</v>
      </c>
      <c r="AK99" s="5" t="s">
        <v>228</v>
      </c>
      <c r="AL99" s="5" t="n">
        <v>1107792</v>
      </c>
      <c r="AM99" s="5" t="s">
        <v>161</v>
      </c>
      <c r="AN99" s="5"/>
      <c r="AQ99" s="5" t="s">
        <v>77</v>
      </c>
      <c r="AR99" s="5" t="s">
        <v>160</v>
      </c>
      <c r="AS99" s="5" t="s">
        <v>73</v>
      </c>
      <c r="AT99" s="5" t="s">
        <v>78</v>
      </c>
      <c r="AW99" s="5" t="s">
        <v>94</v>
      </c>
      <c r="AX99" s="10" t="str">
        <f aca="false">IFERROR(INDEX('full database 2024'!ar:ar, MATCH(A99, 'full database 2024'!b:b, 0)), "")</f>
        <v/>
      </c>
      <c r="AZ99" s="5" t="s">
        <v>396</v>
      </c>
      <c r="BD99" s="9" t="n">
        <v>44992</v>
      </c>
      <c r="BE99" s="9" t="n">
        <v>45035</v>
      </c>
      <c r="BI99" s="5" t="s">
        <v>81</v>
      </c>
      <c r="BJ99" s="5" t="n">
        <v>2020</v>
      </c>
      <c r="BK99" s="11" t="n">
        <v>44901</v>
      </c>
    </row>
    <row r="100" customFormat="false" ht="16.5" hidden="false" customHeight="true" outlineLevel="0" collapsed="false">
      <c r="A100" s="5" t="s">
        <v>730</v>
      </c>
      <c r="B100" s="5" t="s">
        <v>731</v>
      </c>
      <c r="C100" s="5"/>
      <c r="D100" s="5" t="s">
        <v>62</v>
      </c>
      <c r="E100" s="5" t="n">
        <v>2025034</v>
      </c>
      <c r="F100" s="5" t="n">
        <v>2025034</v>
      </c>
      <c r="G100" s="5" t="s">
        <v>732</v>
      </c>
      <c r="H100" s="6" t="n">
        <v>2227537</v>
      </c>
      <c r="I100" s="6" t="n">
        <v>2227537</v>
      </c>
      <c r="J100" s="7" t="n">
        <f aca="false">E100*1.07</f>
        <v>2166786.38</v>
      </c>
      <c r="K100" s="7" t="n">
        <f aca="false">F100*1.07</f>
        <v>2166786.38</v>
      </c>
      <c r="L100" s="5" t="s">
        <v>84</v>
      </c>
      <c r="M100" s="5" t="s">
        <v>65</v>
      </c>
      <c r="N100" s="8" t="s">
        <v>733</v>
      </c>
      <c r="O100" s="5" t="s">
        <v>734</v>
      </c>
      <c r="P100" s="5"/>
      <c r="Q100" s="5"/>
      <c r="R100" s="5"/>
      <c r="T100" s="5" t="s">
        <v>735</v>
      </c>
      <c r="U100" s="5"/>
      <c r="V100" s="5"/>
      <c r="W100" s="5"/>
      <c r="X100" s="5"/>
      <c r="Y100" s="5" t="s">
        <v>73</v>
      </c>
      <c r="Z100" s="5"/>
      <c r="AD100" s="5"/>
      <c r="AE100" s="5"/>
      <c r="AI100" s="9" t="n">
        <v>45049</v>
      </c>
      <c r="AJ100" s="5" t="n">
        <v>24</v>
      </c>
      <c r="AK100" s="5" t="s">
        <v>228</v>
      </c>
      <c r="AL100" s="5" t="n">
        <v>92814</v>
      </c>
      <c r="AM100" s="5" t="s">
        <v>736</v>
      </c>
      <c r="AN100" s="5"/>
      <c r="AQ100" s="5" t="s">
        <v>77</v>
      </c>
      <c r="AR100" s="5" t="s">
        <v>737</v>
      </c>
      <c r="AS100" s="5" t="s">
        <v>73</v>
      </c>
      <c r="AT100" s="5" t="s">
        <v>78</v>
      </c>
      <c r="AW100" s="5" t="s">
        <v>94</v>
      </c>
      <c r="AX100" s="10" t="str">
        <f aca="false">IFERROR(INDEX('full database 2024'!ar:ar, MATCH(A100, 'full database 2024'!b:b, 0)), "")</f>
        <v/>
      </c>
      <c r="AZ100" s="5" t="s">
        <v>396</v>
      </c>
      <c r="BD100" s="9" t="n">
        <v>45596</v>
      </c>
      <c r="BE100" s="9" t="n">
        <v>45779</v>
      </c>
      <c r="BI100" s="5"/>
      <c r="BJ100" s="5" t="n">
        <v>2023</v>
      </c>
      <c r="BK100" s="11" t="n">
        <v>36526</v>
      </c>
    </row>
    <row r="101" customFormat="false" ht="16.5" hidden="false" customHeight="true" outlineLevel="0" collapsed="false">
      <c r="A101" s="5" t="s">
        <v>738</v>
      </c>
      <c r="B101" s="5"/>
      <c r="C101" s="5"/>
      <c r="D101" s="5" t="s">
        <v>62</v>
      </c>
      <c r="E101" s="5" t="n">
        <v>2000000</v>
      </c>
      <c r="F101" s="5" t="n">
        <v>2000000</v>
      </c>
      <c r="G101" s="5" t="s">
        <v>132</v>
      </c>
      <c r="H101" s="6" t="n">
        <v>2500000</v>
      </c>
      <c r="I101" s="6" t="n">
        <v>2500000</v>
      </c>
      <c r="J101" s="7" t="n">
        <f aca="false">E101*1.19</f>
        <v>2380000</v>
      </c>
      <c r="K101" s="7" t="n">
        <f aca="false">F101*1.19</f>
        <v>2380000</v>
      </c>
      <c r="L101" s="5" t="s">
        <v>84</v>
      </c>
      <c r="M101" s="5" t="s">
        <v>65</v>
      </c>
      <c r="N101" s="8" t="s">
        <v>739</v>
      </c>
      <c r="O101" s="5"/>
      <c r="T101" s="5"/>
      <c r="V101" s="5" t="s">
        <v>740</v>
      </c>
      <c r="X101" s="5" t="s">
        <v>139</v>
      </c>
      <c r="Y101" s="5" t="s">
        <v>73</v>
      </c>
      <c r="AI101" s="9"/>
      <c r="AJ101" s="5"/>
      <c r="AK101" s="5"/>
      <c r="AL101" s="5" t="n">
        <v>2500000</v>
      </c>
      <c r="AM101" s="5" t="s">
        <v>741</v>
      </c>
      <c r="AN101" s="5"/>
      <c r="AQ101" s="5" t="s">
        <v>77</v>
      </c>
      <c r="AR101" s="5" t="s">
        <v>143</v>
      </c>
      <c r="AS101" s="5" t="s">
        <v>73</v>
      </c>
      <c r="AT101" s="5" t="s">
        <v>71</v>
      </c>
      <c r="AU101" s="10" t="s">
        <v>120</v>
      </c>
      <c r="AW101" s="5" t="s">
        <v>162</v>
      </c>
      <c r="AX101" s="10" t="str">
        <f aca="false">IFERROR(INDEX('full database 2024'!ar:ar, MATCH(A101, 'full database 2024'!b:b, 0)), "")</f>
        <v/>
      </c>
      <c r="BD101" s="9" t="n">
        <v>45596</v>
      </c>
      <c r="BE101" s="9" t="n">
        <v>45596</v>
      </c>
      <c r="BJ101" s="5" t="n">
        <v>2022</v>
      </c>
      <c r="BK101" s="11"/>
    </row>
    <row r="102" customFormat="false" ht="16.5" hidden="false" customHeight="true" outlineLevel="0" collapsed="false">
      <c r="A102" s="5" t="s">
        <v>742</v>
      </c>
      <c r="B102" s="5" t="s">
        <v>743</v>
      </c>
      <c r="C102" s="5"/>
      <c r="D102" s="5" t="s">
        <v>62</v>
      </c>
      <c r="E102" s="5" t="n">
        <v>1830000</v>
      </c>
      <c r="F102" s="5" t="n">
        <v>1830000</v>
      </c>
      <c r="G102" s="5" t="s">
        <v>147</v>
      </c>
      <c r="H102" s="6" t="n">
        <v>1997737</v>
      </c>
      <c r="I102" s="6" t="n">
        <v>1997737</v>
      </c>
      <c r="J102" s="7" t="n">
        <v>1830000</v>
      </c>
      <c r="K102" s="7" t="n">
        <v>1830000</v>
      </c>
      <c r="L102" s="5" t="s">
        <v>84</v>
      </c>
      <c r="M102" s="5" t="s">
        <v>65</v>
      </c>
      <c r="N102" s="8" t="s">
        <v>744</v>
      </c>
      <c r="P102" s="5"/>
      <c r="Q102" s="5"/>
      <c r="R102" s="5" t="s">
        <v>745</v>
      </c>
      <c r="T102" s="5" t="s">
        <v>746</v>
      </c>
      <c r="U102" s="5" t="s">
        <v>70</v>
      </c>
      <c r="V102" s="5" t="s">
        <v>602</v>
      </c>
      <c r="W102" s="5" t="s">
        <v>102</v>
      </c>
      <c r="X102" s="5" t="s">
        <v>180</v>
      </c>
      <c r="Y102" s="5" t="s">
        <v>73</v>
      </c>
      <c r="Z102" s="5" t="s">
        <v>70</v>
      </c>
      <c r="AE102" s="5" t="s">
        <v>117</v>
      </c>
      <c r="AI102" s="9" t="n">
        <v>44868</v>
      </c>
      <c r="AJ102" s="5" t="n">
        <v>2</v>
      </c>
      <c r="AK102" s="5" t="s">
        <v>75</v>
      </c>
      <c r="AL102" s="5" t="n">
        <v>998869</v>
      </c>
      <c r="AM102" s="5" t="s">
        <v>295</v>
      </c>
      <c r="AN102" s="5"/>
      <c r="AQ102" s="5" t="s">
        <v>77</v>
      </c>
      <c r="AR102" s="5" t="s">
        <v>180</v>
      </c>
      <c r="AS102" s="5" t="s">
        <v>73</v>
      </c>
      <c r="AT102" s="5" t="s">
        <v>78</v>
      </c>
      <c r="AU102" s="10" t="s">
        <v>259</v>
      </c>
      <c r="AW102" s="5" t="s">
        <v>94</v>
      </c>
      <c r="AX102" s="10" t="str">
        <f aca="false">IFERROR(INDEX('full database 2024'!ar:ar, MATCH(A102, 'full database 2024'!b:b, 0)), "")</f>
        <v/>
      </c>
      <c r="AY102" s="5" t="s">
        <v>297</v>
      </c>
      <c r="AZ102" s="5" t="s">
        <v>188</v>
      </c>
      <c r="BD102" s="9" t="n">
        <v>45057</v>
      </c>
      <c r="BE102" s="9" t="n">
        <v>45057</v>
      </c>
      <c r="BI102" s="5" t="s">
        <v>81</v>
      </c>
      <c r="BJ102" s="5" t="n">
        <v>2022</v>
      </c>
      <c r="BK102" s="11" t="n">
        <v>45362</v>
      </c>
    </row>
    <row r="103" customFormat="false" ht="16.5" hidden="false" customHeight="true" outlineLevel="0" collapsed="false">
      <c r="A103" s="5" t="s">
        <v>747</v>
      </c>
      <c r="C103" s="5"/>
      <c r="D103" s="5" t="s">
        <v>62</v>
      </c>
      <c r="E103" s="5" t="n">
        <v>1783046</v>
      </c>
      <c r="F103" s="5" t="n">
        <v>1783046</v>
      </c>
      <c r="G103" s="5" t="s">
        <v>212</v>
      </c>
      <c r="H103" s="6" t="n">
        <v>167606</v>
      </c>
      <c r="I103" s="6" t="n">
        <v>167606</v>
      </c>
      <c r="J103" s="7" t="n">
        <f aca="false">E103*0.091</f>
        <v>162257.186</v>
      </c>
      <c r="K103" s="7" t="n">
        <f aca="false">F103*0.091</f>
        <v>162257.186</v>
      </c>
      <c r="L103" s="5" t="s">
        <v>84</v>
      </c>
      <c r="M103" s="5" t="s">
        <v>65</v>
      </c>
      <c r="N103" s="5"/>
      <c r="P103" s="5"/>
      <c r="Q103" s="5"/>
      <c r="R103" s="5"/>
      <c r="T103" s="5"/>
      <c r="U103" s="5"/>
      <c r="V103" s="5" t="s">
        <v>426</v>
      </c>
      <c r="W103" s="5"/>
      <c r="X103" s="5" t="s">
        <v>215</v>
      </c>
      <c r="Y103" s="5" t="s">
        <v>73</v>
      </c>
      <c r="Z103" s="5"/>
      <c r="AE103" s="5"/>
      <c r="AI103" s="9" t="n">
        <v>44205</v>
      </c>
      <c r="AJ103" s="5" t="n">
        <v>24</v>
      </c>
      <c r="AK103" s="5" t="s">
        <v>216</v>
      </c>
      <c r="AL103" s="5" t="n">
        <v>6984</v>
      </c>
      <c r="AM103" s="5" t="s">
        <v>217</v>
      </c>
      <c r="AN103" s="5"/>
      <c r="AQ103" s="5" t="s">
        <v>77</v>
      </c>
      <c r="AR103" s="5" t="s">
        <v>215</v>
      </c>
      <c r="AS103" s="5" t="s">
        <v>73</v>
      </c>
      <c r="AT103" s="5" t="s">
        <v>71</v>
      </c>
      <c r="AW103" s="5" t="s">
        <v>94</v>
      </c>
      <c r="AX103" s="10" t="str">
        <f aca="false">IFERROR(INDEX('full database 2024'!ar:ar, MATCH(A103, 'full database 2024'!b:b, 0)), "")</f>
        <v/>
      </c>
      <c r="AZ103" s="5" t="s">
        <v>748</v>
      </c>
      <c r="BD103" s="9" t="n">
        <v>45596</v>
      </c>
      <c r="BE103" s="9" t="n">
        <v>45596</v>
      </c>
      <c r="BI103" s="5"/>
      <c r="BJ103" s="5" t="n">
        <v>2021</v>
      </c>
      <c r="BK103" s="11" t="n">
        <v>36526</v>
      </c>
    </row>
    <row r="104" customFormat="false" ht="16.5" hidden="false" customHeight="true" outlineLevel="0" collapsed="false">
      <c r="A104" s="5" t="s">
        <v>749</v>
      </c>
      <c r="B104" s="27" t="s">
        <v>750</v>
      </c>
      <c r="C104" s="5"/>
      <c r="D104" s="5" t="s">
        <v>62</v>
      </c>
      <c r="E104" s="5" t="n">
        <v>1686000</v>
      </c>
      <c r="F104" s="5" t="n">
        <v>1686000</v>
      </c>
      <c r="G104" s="5" t="s">
        <v>147</v>
      </c>
      <c r="H104" s="6" t="n">
        <v>1840538</v>
      </c>
      <c r="I104" s="6" t="n">
        <v>1840538</v>
      </c>
      <c r="J104" s="7" t="n">
        <v>1686000</v>
      </c>
      <c r="K104" s="7" t="n">
        <v>1686000</v>
      </c>
      <c r="L104" s="5" t="s">
        <v>84</v>
      </c>
      <c r="M104" s="5" t="s">
        <v>65</v>
      </c>
      <c r="N104" s="8" t="s">
        <v>751</v>
      </c>
      <c r="P104" s="5"/>
      <c r="Q104" s="5"/>
      <c r="R104" s="5" t="s">
        <v>752</v>
      </c>
      <c r="T104" s="5" t="s">
        <v>753</v>
      </c>
      <c r="U104" s="5" t="s">
        <v>70</v>
      </c>
      <c r="V104" s="5" t="s">
        <v>754</v>
      </c>
      <c r="W104" s="5" t="s">
        <v>102</v>
      </c>
      <c r="X104" s="5" t="s">
        <v>180</v>
      </c>
      <c r="Y104" s="5" t="s">
        <v>73</v>
      </c>
      <c r="Z104" s="5" t="s">
        <v>70</v>
      </c>
      <c r="AE104" s="5" t="s">
        <v>117</v>
      </c>
      <c r="AI104" s="9" t="n">
        <v>44957</v>
      </c>
      <c r="AJ104" s="5" t="n">
        <v>2</v>
      </c>
      <c r="AK104" s="5" t="s">
        <v>75</v>
      </c>
      <c r="AL104" s="5" t="n">
        <v>920269</v>
      </c>
      <c r="AM104" s="5" t="s">
        <v>295</v>
      </c>
      <c r="AN104" s="5"/>
      <c r="AQ104" s="5" t="s">
        <v>77</v>
      </c>
      <c r="AR104" s="5" t="s">
        <v>180</v>
      </c>
      <c r="AS104" s="5" t="s">
        <v>73</v>
      </c>
      <c r="AT104" s="5" t="s">
        <v>78</v>
      </c>
      <c r="AW104" s="5" t="s">
        <v>94</v>
      </c>
      <c r="AX104" s="10" t="str">
        <f aca="false">IFERROR(INDEX('full database 2024'!ar:ar, MATCH(A104, 'full database 2024'!b:b, 0)), "")</f>
        <v/>
      </c>
      <c r="AZ104" s="5" t="s">
        <v>188</v>
      </c>
      <c r="BD104" s="9" t="n">
        <v>45057</v>
      </c>
      <c r="BE104" s="9" t="n">
        <v>45057</v>
      </c>
      <c r="BI104" s="5" t="s">
        <v>81</v>
      </c>
      <c r="BJ104" s="5" t="n">
        <v>2023</v>
      </c>
      <c r="BK104" s="5" t="s">
        <v>755</v>
      </c>
    </row>
    <row r="105" customFormat="false" ht="16.5" hidden="false" customHeight="true" outlineLevel="0" collapsed="false">
      <c r="A105" s="5" t="s">
        <v>756</v>
      </c>
      <c r="B105" s="27" t="s">
        <v>757</v>
      </c>
      <c r="C105" s="5"/>
      <c r="D105" s="5" t="s">
        <v>62</v>
      </c>
      <c r="E105" s="5" t="n">
        <v>1686000</v>
      </c>
      <c r="F105" s="5" t="n">
        <v>1686000</v>
      </c>
      <c r="G105" s="5" t="s">
        <v>147</v>
      </c>
      <c r="H105" s="6" t="n">
        <v>1840538</v>
      </c>
      <c r="I105" s="6" t="n">
        <v>1840538</v>
      </c>
      <c r="J105" s="7" t="n">
        <v>1686000</v>
      </c>
      <c r="K105" s="7" t="n">
        <v>1686000</v>
      </c>
      <c r="L105" s="5" t="s">
        <v>84</v>
      </c>
      <c r="M105" s="5" t="s">
        <v>65</v>
      </c>
      <c r="N105" s="8" t="s">
        <v>751</v>
      </c>
      <c r="P105" s="5"/>
      <c r="Q105" s="5"/>
      <c r="R105" s="5" t="s">
        <v>752</v>
      </c>
      <c r="T105" s="5" t="s">
        <v>758</v>
      </c>
      <c r="U105" s="5" t="s">
        <v>70</v>
      </c>
      <c r="V105" s="5" t="s">
        <v>557</v>
      </c>
      <c r="W105" s="5" t="s">
        <v>102</v>
      </c>
      <c r="X105" s="5" t="s">
        <v>180</v>
      </c>
      <c r="Y105" s="5" t="s">
        <v>73</v>
      </c>
      <c r="Z105" s="5" t="s">
        <v>70</v>
      </c>
      <c r="AE105" s="5" t="s">
        <v>117</v>
      </c>
      <c r="AI105" s="9" t="n">
        <v>44957</v>
      </c>
      <c r="AJ105" s="5" t="n">
        <v>2</v>
      </c>
      <c r="AK105" s="5" t="s">
        <v>75</v>
      </c>
      <c r="AL105" s="5" t="n">
        <v>920269</v>
      </c>
      <c r="AM105" s="5" t="s">
        <v>295</v>
      </c>
      <c r="AN105" s="5"/>
      <c r="AQ105" s="5" t="s">
        <v>77</v>
      </c>
      <c r="AR105" s="5" t="s">
        <v>180</v>
      </c>
      <c r="AS105" s="5" t="s">
        <v>73</v>
      </c>
      <c r="AT105" s="5" t="s">
        <v>78</v>
      </c>
      <c r="AU105" s="10" t="s">
        <v>259</v>
      </c>
      <c r="AV105" s="10"/>
      <c r="AW105" s="5" t="s">
        <v>94</v>
      </c>
      <c r="AX105" s="10" t="str">
        <f aca="false">IFERROR(INDEX('full database 2024'!ar:ar, MATCH(A105, 'full database 2024'!b:b, 0)), "")</f>
        <v/>
      </c>
      <c r="AZ105" s="5" t="s">
        <v>129</v>
      </c>
      <c r="BD105" s="9" t="n">
        <v>45057</v>
      </c>
      <c r="BE105" s="9" t="n">
        <v>45057</v>
      </c>
      <c r="BI105" s="5" t="s">
        <v>81</v>
      </c>
      <c r="BJ105" s="5" t="n">
        <v>2023</v>
      </c>
      <c r="BK105" s="5" t="s">
        <v>755</v>
      </c>
    </row>
    <row r="106" customFormat="false" ht="16.5" hidden="false" customHeight="true" outlineLevel="0" collapsed="false">
      <c r="A106" s="5" t="s">
        <v>759</v>
      </c>
      <c r="B106" s="27" t="s">
        <v>760</v>
      </c>
      <c r="C106" s="5"/>
      <c r="D106" s="5" t="s">
        <v>62</v>
      </c>
      <c r="E106" s="5" t="n">
        <v>1686000</v>
      </c>
      <c r="F106" s="5" t="n">
        <v>1686000</v>
      </c>
      <c r="G106" s="5" t="s">
        <v>147</v>
      </c>
      <c r="H106" s="6" t="n">
        <v>1840538</v>
      </c>
      <c r="I106" s="6" t="n">
        <v>1840538</v>
      </c>
      <c r="J106" s="7" t="n">
        <v>1686000</v>
      </c>
      <c r="K106" s="7" t="n">
        <v>1686000</v>
      </c>
      <c r="L106" s="5" t="s">
        <v>84</v>
      </c>
      <c r="M106" s="5" t="s">
        <v>65</v>
      </c>
      <c r="N106" s="8" t="s">
        <v>751</v>
      </c>
      <c r="P106" s="5"/>
      <c r="Q106" s="5"/>
      <c r="R106" s="5" t="s">
        <v>752</v>
      </c>
      <c r="T106" s="5" t="s">
        <v>761</v>
      </c>
      <c r="U106" s="5" t="s">
        <v>70</v>
      </c>
      <c r="V106" s="5" t="s">
        <v>762</v>
      </c>
      <c r="W106" s="5" t="s">
        <v>102</v>
      </c>
      <c r="X106" s="5" t="s">
        <v>180</v>
      </c>
      <c r="Y106" s="5" t="s">
        <v>73</v>
      </c>
      <c r="Z106" s="5" t="s">
        <v>70</v>
      </c>
      <c r="AE106" s="5" t="s">
        <v>117</v>
      </c>
      <c r="AI106" s="9" t="n">
        <v>44957</v>
      </c>
      <c r="AJ106" s="5" t="n">
        <v>2</v>
      </c>
      <c r="AK106" s="5" t="s">
        <v>75</v>
      </c>
      <c r="AL106" s="5" t="n">
        <v>920269</v>
      </c>
      <c r="AM106" s="5" t="s">
        <v>295</v>
      </c>
      <c r="AN106" s="5"/>
      <c r="AQ106" s="5" t="s">
        <v>77</v>
      </c>
      <c r="AR106" s="5" t="s">
        <v>180</v>
      </c>
      <c r="AS106" s="5" t="s">
        <v>73</v>
      </c>
      <c r="AT106" s="5" t="s">
        <v>78</v>
      </c>
      <c r="AU106" s="10" t="s">
        <v>259</v>
      </c>
      <c r="AV106" s="10"/>
      <c r="AW106" s="5" t="s">
        <v>94</v>
      </c>
      <c r="AX106" s="10" t="str">
        <f aca="false">IFERROR(INDEX('full database 2024'!ar:ar, MATCH(A106, 'full database 2024'!b:b, 0)), "")</f>
        <v/>
      </c>
      <c r="AZ106" s="5" t="s">
        <v>129</v>
      </c>
      <c r="BD106" s="9" t="n">
        <v>45057</v>
      </c>
      <c r="BE106" s="9" t="n">
        <v>45057</v>
      </c>
      <c r="BI106" s="5" t="s">
        <v>81</v>
      </c>
      <c r="BJ106" s="5" t="n">
        <v>2023</v>
      </c>
      <c r="BK106" s="5" t="s">
        <v>755</v>
      </c>
    </row>
    <row r="107" customFormat="false" ht="16.5" hidden="false" customHeight="true" outlineLevel="0" collapsed="false">
      <c r="A107" s="5" t="s">
        <v>763</v>
      </c>
      <c r="B107" s="5" t="s">
        <v>764</v>
      </c>
      <c r="C107" s="5"/>
      <c r="D107" s="5" t="s">
        <v>62</v>
      </c>
      <c r="E107" s="5" t="n">
        <v>1686000</v>
      </c>
      <c r="F107" s="5" t="n">
        <v>1686000</v>
      </c>
      <c r="G107" s="5" t="s">
        <v>147</v>
      </c>
      <c r="H107" s="6" t="n">
        <v>1840538</v>
      </c>
      <c r="I107" s="6" t="n">
        <v>1840538</v>
      </c>
      <c r="J107" s="7" t="n">
        <v>1686000</v>
      </c>
      <c r="K107" s="7" t="n">
        <v>1686000</v>
      </c>
      <c r="L107" s="5" t="s">
        <v>84</v>
      </c>
      <c r="M107" s="5" t="s">
        <v>65</v>
      </c>
      <c r="N107" s="8" t="s">
        <v>751</v>
      </c>
      <c r="P107" s="5"/>
      <c r="Q107" s="5"/>
      <c r="R107" s="5" t="s">
        <v>752</v>
      </c>
      <c r="T107" s="5" t="s">
        <v>765</v>
      </c>
      <c r="U107" s="5" t="s">
        <v>70</v>
      </c>
      <c r="V107" s="5" t="s">
        <v>766</v>
      </c>
      <c r="W107" s="5" t="s">
        <v>102</v>
      </c>
      <c r="X107" s="5" t="s">
        <v>180</v>
      </c>
      <c r="Y107" s="5" t="s">
        <v>73</v>
      </c>
      <c r="Z107" s="5" t="s">
        <v>70</v>
      </c>
      <c r="AE107" s="5" t="s">
        <v>117</v>
      </c>
      <c r="AI107" s="9" t="n">
        <v>44957</v>
      </c>
      <c r="AJ107" s="5" t="n">
        <v>2</v>
      </c>
      <c r="AK107" s="5" t="s">
        <v>75</v>
      </c>
      <c r="AL107" s="5" t="n">
        <v>920269</v>
      </c>
      <c r="AM107" s="5" t="s">
        <v>295</v>
      </c>
      <c r="AN107" s="5"/>
      <c r="AQ107" s="5" t="s">
        <v>77</v>
      </c>
      <c r="AR107" s="5" t="s">
        <v>180</v>
      </c>
      <c r="AS107" s="5" t="s">
        <v>73</v>
      </c>
      <c r="AT107" s="5" t="s">
        <v>78</v>
      </c>
      <c r="AW107" s="5" t="s">
        <v>94</v>
      </c>
      <c r="AX107" s="10" t="str">
        <f aca="false">IFERROR(INDEX('full database 2024'!ar:ar, MATCH(A107, 'full database 2024'!b:b, 0)), "")</f>
        <v/>
      </c>
      <c r="AZ107" s="5" t="s">
        <v>129</v>
      </c>
      <c r="BD107" s="9" t="n">
        <v>45057</v>
      </c>
      <c r="BE107" s="9" t="n">
        <v>45057</v>
      </c>
      <c r="BI107" s="5" t="s">
        <v>81</v>
      </c>
      <c r="BJ107" s="5" t="n">
        <v>2023</v>
      </c>
      <c r="BK107" s="5" t="s">
        <v>755</v>
      </c>
    </row>
    <row r="108" customFormat="false" ht="16.5" hidden="false" customHeight="true" outlineLevel="0" collapsed="false">
      <c r="A108" s="5" t="s">
        <v>767</v>
      </c>
      <c r="C108" s="5"/>
      <c r="D108" s="5" t="s">
        <v>62</v>
      </c>
      <c r="E108" s="16" t="n">
        <v>1653471</v>
      </c>
      <c r="F108" s="16" t="n">
        <v>1653471</v>
      </c>
      <c r="G108" s="5" t="s">
        <v>132</v>
      </c>
      <c r="H108" s="6" t="n">
        <v>2066839</v>
      </c>
      <c r="I108" s="6" t="n">
        <v>2066839</v>
      </c>
      <c r="J108" s="7" t="n">
        <f aca="false">E108*1.19</f>
        <v>1967630.49</v>
      </c>
      <c r="K108" s="7" t="n">
        <f aca="false">F108*1.19</f>
        <v>1967630.49</v>
      </c>
      <c r="L108" s="5" t="s">
        <v>84</v>
      </c>
      <c r="M108" s="5" t="s">
        <v>65</v>
      </c>
      <c r="N108" s="8" t="s">
        <v>768</v>
      </c>
      <c r="O108" s="13"/>
      <c r="P108" s="5"/>
      <c r="Q108" s="5"/>
      <c r="R108" s="5"/>
      <c r="T108" s="5" t="s">
        <v>769</v>
      </c>
      <c r="U108" s="5"/>
      <c r="V108" s="5" t="s">
        <v>770</v>
      </c>
      <c r="W108" s="5"/>
      <c r="X108" s="5" t="s">
        <v>139</v>
      </c>
      <c r="Y108" s="5" t="s">
        <v>73</v>
      </c>
      <c r="Z108" s="5"/>
      <c r="AE108" s="5"/>
      <c r="AI108" s="9" t="n">
        <v>45295</v>
      </c>
      <c r="AJ108" s="5" t="n">
        <v>60</v>
      </c>
      <c r="AK108" s="5" t="s">
        <v>433</v>
      </c>
      <c r="AL108" s="5" t="n">
        <v>34447</v>
      </c>
      <c r="AM108" s="5" t="s">
        <v>140</v>
      </c>
      <c r="AN108" s="5" t="s">
        <v>771</v>
      </c>
      <c r="AQ108" s="5" t="s">
        <v>77</v>
      </c>
      <c r="AR108" s="5" t="s">
        <v>143</v>
      </c>
      <c r="AS108" s="5" t="s">
        <v>73</v>
      </c>
      <c r="AT108" s="5" t="s">
        <v>78</v>
      </c>
      <c r="AW108" s="5" t="s">
        <v>94</v>
      </c>
      <c r="AX108" s="10" t="str">
        <f aca="false">IFERROR(INDEX('full database 2024'!ar:ar, MATCH(A108, 'full database 2024'!b:b, 0)), "")</f>
        <v/>
      </c>
      <c r="AZ108" s="5" t="s">
        <v>525</v>
      </c>
      <c r="BD108" s="9" t="n">
        <v>45596</v>
      </c>
      <c r="BE108" s="9" t="n">
        <v>45779</v>
      </c>
      <c r="BI108" s="5"/>
      <c r="BJ108" s="5" t="n">
        <v>2024</v>
      </c>
      <c r="BK108" s="11" t="n">
        <v>36526</v>
      </c>
    </row>
    <row r="109" customFormat="false" ht="16.5" hidden="false" customHeight="true" outlineLevel="0" collapsed="false">
      <c r="A109" s="5" t="s">
        <v>772</v>
      </c>
      <c r="C109" s="5"/>
      <c r="D109" s="5" t="s">
        <v>62</v>
      </c>
      <c r="E109" s="5" t="n">
        <v>1501270</v>
      </c>
      <c r="F109" s="5" t="n">
        <v>1501270</v>
      </c>
      <c r="G109" s="5" t="s">
        <v>212</v>
      </c>
      <c r="H109" s="6" t="n">
        <v>141119</v>
      </c>
      <c r="I109" s="6" t="n">
        <v>141119</v>
      </c>
      <c r="J109" s="7" t="n">
        <f aca="false">E109*0.091</f>
        <v>136615.57</v>
      </c>
      <c r="K109" s="7" t="n">
        <f aca="false">F109*0.091</f>
        <v>136615.57</v>
      </c>
      <c r="L109" s="5" t="s">
        <v>84</v>
      </c>
      <c r="M109" s="5" t="s">
        <v>65</v>
      </c>
      <c r="O109" s="13"/>
      <c r="T109" s="5" t="s">
        <v>773</v>
      </c>
      <c r="V109" s="5" t="s">
        <v>774</v>
      </c>
      <c r="X109" s="5" t="s">
        <v>215</v>
      </c>
      <c r="Y109" s="5" t="s">
        <v>73</v>
      </c>
      <c r="AI109" s="9" t="n">
        <v>44440</v>
      </c>
      <c r="AJ109" s="5" t="n">
        <v>24</v>
      </c>
      <c r="AK109" s="5" t="s">
        <v>216</v>
      </c>
      <c r="AL109" s="5" t="n">
        <v>5880</v>
      </c>
      <c r="AM109" s="5" t="s">
        <v>217</v>
      </c>
      <c r="AN109" s="5"/>
      <c r="AQ109" s="5" t="s">
        <v>77</v>
      </c>
      <c r="AR109" s="5" t="s">
        <v>215</v>
      </c>
      <c r="AS109" s="5" t="s">
        <v>73</v>
      </c>
      <c r="AT109" s="5" t="s">
        <v>78</v>
      </c>
      <c r="AW109" s="5" t="s">
        <v>94</v>
      </c>
      <c r="AX109" s="10" t="str">
        <f aca="false">IFERROR(INDEX('full database 2024'!ar:ar, MATCH(A109, 'full database 2024'!b:b, 0)), "")</f>
        <v/>
      </c>
      <c r="AZ109" s="5" t="s">
        <v>399</v>
      </c>
      <c r="BD109" s="9" t="n">
        <v>45596</v>
      </c>
      <c r="BE109" s="9" t="n">
        <v>45596</v>
      </c>
      <c r="BJ109" s="5" t="n">
        <v>2021</v>
      </c>
      <c r="BK109" s="11" t="n">
        <v>36526</v>
      </c>
    </row>
    <row r="110" customFormat="false" ht="16.5" hidden="false" customHeight="true" outlineLevel="0" collapsed="false">
      <c r="A110" s="5" t="s">
        <v>775</v>
      </c>
      <c r="C110" s="5"/>
      <c r="D110" s="5" t="s">
        <v>62</v>
      </c>
      <c r="E110" s="5" t="n">
        <v>1500000</v>
      </c>
      <c r="F110" s="5" t="n">
        <v>1500000</v>
      </c>
      <c r="G110" s="5" t="s">
        <v>212</v>
      </c>
      <c r="H110" s="6" t="n">
        <v>141000</v>
      </c>
      <c r="I110" s="6" t="n">
        <v>141000</v>
      </c>
      <c r="J110" s="7" t="n">
        <f aca="false">E110*0.091</f>
        <v>136500</v>
      </c>
      <c r="K110" s="7" t="n">
        <f aca="false">F110*0.091</f>
        <v>136500</v>
      </c>
      <c r="L110" s="5" t="s">
        <v>84</v>
      </c>
      <c r="M110" s="5" t="s">
        <v>65</v>
      </c>
      <c r="T110" s="5"/>
      <c r="V110" s="5" t="s">
        <v>432</v>
      </c>
      <c r="X110" s="5" t="s">
        <v>215</v>
      </c>
      <c r="Y110" s="5" t="s">
        <v>73</v>
      </c>
      <c r="AI110" s="9" t="n">
        <v>44200</v>
      </c>
      <c r="AJ110" s="5" t="n">
        <v>9</v>
      </c>
      <c r="AK110" s="5" t="s">
        <v>216</v>
      </c>
      <c r="AL110" s="5" t="n">
        <v>15667</v>
      </c>
      <c r="AM110" s="5" t="s">
        <v>217</v>
      </c>
      <c r="AN110" s="5"/>
      <c r="AQ110" s="5" t="s">
        <v>77</v>
      </c>
      <c r="AR110" s="5" t="s">
        <v>215</v>
      </c>
      <c r="AS110" s="5" t="s">
        <v>73</v>
      </c>
      <c r="AT110" s="5" t="s">
        <v>78</v>
      </c>
      <c r="AW110" s="5" t="s">
        <v>94</v>
      </c>
      <c r="AX110" s="10" t="str">
        <f aca="false">IFERROR(INDEX('full database 2024'!ar:ar, MATCH(A110, 'full database 2024'!b:b, 0)), "")</f>
        <v/>
      </c>
      <c r="AZ110" s="5" t="s">
        <v>776</v>
      </c>
      <c r="BD110" s="9" t="n">
        <v>45596</v>
      </c>
      <c r="BE110" s="9" t="n">
        <v>45596</v>
      </c>
      <c r="BJ110" s="5" t="n">
        <v>2021</v>
      </c>
      <c r="BK110" s="11" t="n">
        <v>36526</v>
      </c>
    </row>
    <row r="111" customFormat="false" ht="16.5" hidden="false" customHeight="true" outlineLevel="0" collapsed="false">
      <c r="A111" s="5" t="s">
        <v>777</v>
      </c>
      <c r="C111" s="5"/>
      <c r="D111" s="5" t="s">
        <v>62</v>
      </c>
      <c r="E111" s="5" t="n">
        <v>1499961</v>
      </c>
      <c r="F111" s="5" t="n">
        <v>1499961</v>
      </c>
      <c r="G111" s="5" t="s">
        <v>147</v>
      </c>
      <c r="H111" s="6" t="n">
        <v>1619958</v>
      </c>
      <c r="I111" s="6" t="n">
        <v>1619958</v>
      </c>
      <c r="J111" s="7" t="n">
        <v>1499961</v>
      </c>
      <c r="K111" s="7" t="n">
        <v>1499961</v>
      </c>
      <c r="L111" s="5" t="s">
        <v>84</v>
      </c>
      <c r="M111" s="5" t="s">
        <v>65</v>
      </c>
      <c r="N111" s="8" t="s">
        <v>778</v>
      </c>
      <c r="O111" s="13"/>
      <c r="V111" s="5" t="s">
        <v>779</v>
      </c>
      <c r="X111" s="5" t="s">
        <v>151</v>
      </c>
      <c r="Y111" s="5" t="s">
        <v>73</v>
      </c>
      <c r="AD111" s="5" t="s">
        <v>780</v>
      </c>
      <c r="AI111" s="9" t="n">
        <v>45292</v>
      </c>
      <c r="AJ111" s="5"/>
      <c r="AK111" s="5" t="s">
        <v>228</v>
      </c>
      <c r="AL111" s="5" t="n">
        <v>1619958</v>
      </c>
      <c r="AM111" s="5" t="s">
        <v>182</v>
      </c>
      <c r="AN111" s="5" t="str">
        <f aca="false">IFERROR(INDEX('full database 2024'!aj:aj, MATCH(A111, 'full database 2024'!b:b, 0)), "")</f>
        <v/>
      </c>
      <c r="AQ111" s="5" t="s">
        <v>77</v>
      </c>
      <c r="AR111" s="5" t="s">
        <v>185</v>
      </c>
      <c r="AS111" s="5" t="s">
        <v>73</v>
      </c>
      <c r="AT111" s="5" t="s">
        <v>78</v>
      </c>
      <c r="AW111" s="5" t="s">
        <v>94</v>
      </c>
      <c r="AX111" s="10" t="str">
        <f aca="false">IFERROR(INDEX('full database 2024'!ar:ar, MATCH(A111, 'full database 2024'!b:b, 0)), "")</f>
        <v/>
      </c>
      <c r="AZ111" s="5" t="s">
        <v>309</v>
      </c>
      <c r="BD111" s="9" t="n">
        <v>45596</v>
      </c>
      <c r="BE111" s="9" t="n">
        <v>45596</v>
      </c>
      <c r="BJ111" s="5" t="n">
        <v>2024</v>
      </c>
      <c r="BK111" s="11" t="n">
        <v>36526</v>
      </c>
    </row>
    <row r="112" customFormat="false" ht="16.5" hidden="false" customHeight="true" outlineLevel="0" collapsed="false">
      <c r="A112" s="5" t="s">
        <v>781</v>
      </c>
      <c r="C112" s="5"/>
      <c r="D112" s="5" t="s">
        <v>62</v>
      </c>
      <c r="E112" s="5" t="n">
        <v>1496250</v>
      </c>
      <c r="F112" s="5" t="n">
        <v>1496250</v>
      </c>
      <c r="G112" s="5" t="s">
        <v>147</v>
      </c>
      <c r="H112" s="6" t="n">
        <v>1615950</v>
      </c>
      <c r="I112" s="6" t="n">
        <v>1615950</v>
      </c>
      <c r="J112" s="7" t="n">
        <v>1496250</v>
      </c>
      <c r="K112" s="7" t="n">
        <v>1496250</v>
      </c>
      <c r="L112" s="5" t="s">
        <v>84</v>
      </c>
      <c r="M112" s="5" t="s">
        <v>65</v>
      </c>
      <c r="V112" s="5" t="s">
        <v>782</v>
      </c>
      <c r="X112" s="5" t="s">
        <v>271</v>
      </c>
      <c r="Y112" s="5" t="s">
        <v>73</v>
      </c>
      <c r="AD112" s="5"/>
      <c r="AI112" s="9" t="n">
        <v>44743</v>
      </c>
      <c r="AK112" s="5" t="s">
        <v>228</v>
      </c>
      <c r="AL112" s="5" t="n">
        <v>1615950</v>
      </c>
      <c r="AM112" s="5" t="s">
        <v>182</v>
      </c>
      <c r="AN112" s="5" t="str">
        <f aca="false">IFERROR(INDEX('full database 2024'!aj:aj, MATCH(A112, 'full database 2024'!b:b, 0)), "")</f>
        <v/>
      </c>
      <c r="AQ112" s="5" t="s">
        <v>77</v>
      </c>
      <c r="AR112" s="5" t="s">
        <v>185</v>
      </c>
      <c r="AS112" s="5" t="s">
        <v>73</v>
      </c>
      <c r="AT112" s="5" t="s">
        <v>78</v>
      </c>
      <c r="AW112" s="5" t="s">
        <v>94</v>
      </c>
      <c r="AX112" s="10" t="str">
        <f aca="false">IFERROR(INDEX('full database 2024'!ar:ar, MATCH(A112, 'full database 2024'!b:b, 0)), "")</f>
        <v/>
      </c>
      <c r="AZ112" s="5" t="s">
        <v>309</v>
      </c>
      <c r="BD112" s="9" t="n">
        <v>45596</v>
      </c>
      <c r="BE112" s="9" t="n">
        <v>45596</v>
      </c>
      <c r="BJ112" s="5" t="n">
        <v>2022</v>
      </c>
      <c r="BK112" s="11" t="n">
        <v>36526</v>
      </c>
    </row>
    <row r="113" customFormat="false" ht="16.5" hidden="false" customHeight="true" outlineLevel="0" collapsed="false">
      <c r="A113" s="5" t="s">
        <v>783</v>
      </c>
      <c r="B113" s="5" t="s">
        <v>784</v>
      </c>
      <c r="C113" s="5"/>
      <c r="D113" s="5" t="s">
        <v>62</v>
      </c>
      <c r="E113" s="5" t="n">
        <v>1300000</v>
      </c>
      <c r="F113" s="5" t="n">
        <v>1300000</v>
      </c>
      <c r="G113" s="5" t="s">
        <v>147</v>
      </c>
      <c r="H113" s="6" t="n">
        <v>1414276</v>
      </c>
      <c r="I113" s="6" t="n">
        <v>1414276</v>
      </c>
      <c r="J113" s="7" t="n">
        <v>1300000</v>
      </c>
      <c r="K113" s="7" t="n">
        <v>1300000</v>
      </c>
      <c r="L113" s="5" t="s">
        <v>84</v>
      </c>
      <c r="M113" s="5" t="s">
        <v>65</v>
      </c>
      <c r="N113" s="8" t="s">
        <v>785</v>
      </c>
      <c r="O113" s="5" t="s">
        <v>70</v>
      </c>
      <c r="P113" s="5"/>
      <c r="Q113" s="5"/>
      <c r="R113" s="5" t="s">
        <v>786</v>
      </c>
      <c r="S113" s="5" t="s">
        <v>787</v>
      </c>
      <c r="T113" s="5" t="s">
        <v>788</v>
      </c>
      <c r="U113" s="5" t="s">
        <v>789</v>
      </c>
      <c r="V113" s="5" t="s">
        <v>790</v>
      </c>
      <c r="W113" s="5" t="s">
        <v>90</v>
      </c>
      <c r="X113" s="5" t="s">
        <v>151</v>
      </c>
      <c r="Y113" s="5" t="s">
        <v>73</v>
      </c>
      <c r="Z113" s="5" t="s">
        <v>70</v>
      </c>
      <c r="AD113" s="5" t="s">
        <v>791</v>
      </c>
      <c r="AE113" s="5" t="s">
        <v>74</v>
      </c>
      <c r="AI113" s="9" t="n">
        <v>45216</v>
      </c>
      <c r="AJ113" s="5" t="n">
        <v>3</v>
      </c>
      <c r="AK113" s="5" t="s">
        <v>75</v>
      </c>
      <c r="AL113" s="5" t="n">
        <v>471425</v>
      </c>
      <c r="AM113" s="5" t="s">
        <v>153</v>
      </c>
      <c r="AN113" s="5"/>
      <c r="AO113" s="5" t="s">
        <v>373</v>
      </c>
      <c r="AQ113" s="5" t="s">
        <v>77</v>
      </c>
      <c r="AR113" s="5" t="s">
        <v>151</v>
      </c>
      <c r="AS113" s="5" t="s">
        <v>73</v>
      </c>
      <c r="AT113" s="5" t="s">
        <v>374</v>
      </c>
      <c r="AW113" s="5" t="s">
        <v>94</v>
      </c>
      <c r="AX113" s="10" t="str">
        <f aca="false">IFERROR(INDEX('full database 2024'!ar:ar, MATCH(A113, 'full database 2024'!b:b, 0)), "")</f>
        <v/>
      </c>
      <c r="AZ113" s="5" t="s">
        <v>95</v>
      </c>
      <c r="BD113" s="9" t="n">
        <v>45239</v>
      </c>
      <c r="BE113" s="9" t="n">
        <v>45435</v>
      </c>
      <c r="BI113" s="5" t="s">
        <v>81</v>
      </c>
      <c r="BJ113" s="5" t="n">
        <v>2023</v>
      </c>
      <c r="BK113" s="5" t="s">
        <v>792</v>
      </c>
    </row>
    <row r="114" customFormat="false" ht="16.5" hidden="false" customHeight="true" outlineLevel="0" collapsed="false">
      <c r="A114" s="5" t="s">
        <v>793</v>
      </c>
      <c r="B114" s="5" t="s">
        <v>794</v>
      </c>
      <c r="C114" s="5"/>
      <c r="D114" s="5" t="s">
        <v>62</v>
      </c>
      <c r="E114" s="16" t="n">
        <v>1282500</v>
      </c>
      <c r="F114" s="16" t="n">
        <v>1025972</v>
      </c>
      <c r="G114" s="5" t="s">
        <v>132</v>
      </c>
      <c r="H114" s="6" t="n">
        <v>1513350</v>
      </c>
      <c r="I114" s="6" t="n">
        <v>1210647</v>
      </c>
      <c r="J114" s="7" t="n">
        <f aca="false">E114*1.19</f>
        <v>1526175</v>
      </c>
      <c r="K114" s="7" t="n">
        <f aca="false">F114*1.19</f>
        <v>1220906.68</v>
      </c>
      <c r="L114" s="5" t="s">
        <v>84</v>
      </c>
      <c r="M114" s="5" t="s">
        <v>65</v>
      </c>
      <c r="N114" s="8" t="s">
        <v>795</v>
      </c>
      <c r="O114" s="5" t="s">
        <v>796</v>
      </c>
      <c r="P114" s="5"/>
      <c r="Q114" s="5"/>
      <c r="R114" s="5" t="s">
        <v>670</v>
      </c>
      <c r="S114" s="5"/>
      <c r="T114" s="5" t="s">
        <v>797</v>
      </c>
      <c r="U114" s="5"/>
      <c r="V114" s="5" t="s">
        <v>798</v>
      </c>
      <c r="W114" s="5" t="s">
        <v>102</v>
      </c>
      <c r="X114" s="5" t="s">
        <v>139</v>
      </c>
      <c r="Y114" s="5" t="s">
        <v>73</v>
      </c>
      <c r="Z114" s="5"/>
      <c r="AD114" s="5"/>
      <c r="AE114" s="5" t="s">
        <v>117</v>
      </c>
      <c r="AI114" s="9" t="n">
        <v>44197</v>
      </c>
      <c r="AJ114" s="5" t="n">
        <v>2.5</v>
      </c>
      <c r="AK114" s="5" t="s">
        <v>75</v>
      </c>
      <c r="AL114" s="5" t="n">
        <v>605340</v>
      </c>
      <c r="AM114" s="5" t="s">
        <v>140</v>
      </c>
      <c r="AN114" s="5" t="s">
        <v>699</v>
      </c>
      <c r="AO114" s="5"/>
      <c r="AQ114" s="5" t="s">
        <v>77</v>
      </c>
      <c r="AR114" s="5" t="s">
        <v>143</v>
      </c>
      <c r="AS114" s="5" t="s">
        <v>73</v>
      </c>
      <c r="AT114" s="5" t="s">
        <v>374</v>
      </c>
      <c r="AW114" s="5" t="s">
        <v>187</v>
      </c>
      <c r="AX114" s="10" t="str">
        <f aca="false">IFERROR(INDEX('full database 2024'!ar:ar, MATCH(A114, 'full database 2024'!b:b, 0)), "")</f>
        <v/>
      </c>
      <c r="AZ114" s="5" t="s">
        <v>121</v>
      </c>
      <c r="BD114" s="9" t="n">
        <v>45377</v>
      </c>
      <c r="BE114" s="9" t="n">
        <v>45779</v>
      </c>
      <c r="BI114" s="5" t="s">
        <v>81</v>
      </c>
      <c r="BJ114" s="5" t="n">
        <v>2021</v>
      </c>
      <c r="BK114" s="5"/>
    </row>
    <row r="115" customFormat="false" ht="16.5" hidden="false" customHeight="true" outlineLevel="0" collapsed="false">
      <c r="A115" s="5" t="s">
        <v>799</v>
      </c>
      <c r="B115" s="5"/>
      <c r="C115" s="5"/>
      <c r="D115" s="5" t="s">
        <v>62</v>
      </c>
      <c r="E115" s="5" t="n">
        <v>1272530</v>
      </c>
      <c r="F115" s="5" t="n">
        <v>1272530</v>
      </c>
      <c r="G115" s="5" t="s">
        <v>147</v>
      </c>
      <c r="H115" s="6" t="n">
        <v>1387058</v>
      </c>
      <c r="I115" s="6" t="n">
        <v>1387058</v>
      </c>
      <c r="J115" s="7" t="n">
        <v>1272530</v>
      </c>
      <c r="K115" s="7" t="n">
        <v>1272530</v>
      </c>
      <c r="L115" s="5" t="s">
        <v>84</v>
      </c>
      <c r="M115" s="5" t="s">
        <v>65</v>
      </c>
      <c r="N115" s="8" t="s">
        <v>800</v>
      </c>
      <c r="O115" s="5"/>
      <c r="P115" s="5"/>
      <c r="Q115" s="5"/>
      <c r="R115" s="5"/>
      <c r="T115" s="5"/>
      <c r="V115" s="5" t="s">
        <v>801</v>
      </c>
      <c r="W115" s="5"/>
      <c r="X115" s="5" t="s">
        <v>151</v>
      </c>
      <c r="Y115" s="5" t="s">
        <v>73</v>
      </c>
      <c r="AE115" s="5"/>
      <c r="AI115" s="9" t="n">
        <v>45113</v>
      </c>
      <c r="AJ115" s="5"/>
      <c r="AK115" s="5"/>
      <c r="AL115" s="5" t="n">
        <v>1387058</v>
      </c>
      <c r="AM115" s="5" t="s">
        <v>153</v>
      </c>
      <c r="AN115" s="5"/>
      <c r="AQ115" s="5" t="s">
        <v>77</v>
      </c>
      <c r="AR115" s="5" t="s">
        <v>151</v>
      </c>
      <c r="AS115" s="5" t="s">
        <v>73</v>
      </c>
      <c r="AT115" s="5" t="s">
        <v>78</v>
      </c>
      <c r="AW115" s="5" t="s">
        <v>94</v>
      </c>
      <c r="AX115" s="10" t="str">
        <f aca="false">IFERROR(INDEX('full database 2024'!ar:ar, MATCH(A115, 'full database 2024'!b:b, 0)), "")</f>
        <v/>
      </c>
      <c r="AZ115" s="5" t="s">
        <v>188</v>
      </c>
      <c r="BD115" s="9" t="n">
        <v>45596</v>
      </c>
      <c r="BE115" s="9" t="n">
        <v>45779</v>
      </c>
      <c r="BI115" s="5"/>
      <c r="BJ115" s="5" t="n">
        <v>2023</v>
      </c>
      <c r="BK115" s="11" t="n">
        <v>46149</v>
      </c>
    </row>
    <row r="116" customFormat="false" ht="16.5" hidden="false" customHeight="true" outlineLevel="0" collapsed="false">
      <c r="A116" s="5" t="s">
        <v>802</v>
      </c>
      <c r="B116" s="5" t="s">
        <v>803</v>
      </c>
      <c r="C116" s="5"/>
      <c r="D116" s="5" t="s">
        <v>62</v>
      </c>
      <c r="E116" s="5" t="n">
        <v>1266000</v>
      </c>
      <c r="F116" s="5" t="n">
        <v>1266000</v>
      </c>
      <c r="G116" s="5" t="s">
        <v>147</v>
      </c>
      <c r="H116" s="6" t="n">
        <v>1356136</v>
      </c>
      <c r="I116" s="6" t="n">
        <v>1356136</v>
      </c>
      <c r="J116" s="7" t="n">
        <v>1266000</v>
      </c>
      <c r="K116" s="7" t="n">
        <v>1266000</v>
      </c>
      <c r="L116" s="5" t="s">
        <v>84</v>
      </c>
      <c r="M116" s="5" t="s">
        <v>65</v>
      </c>
      <c r="N116" s="8" t="s">
        <v>804</v>
      </c>
      <c r="O116" s="5" t="s">
        <v>805</v>
      </c>
      <c r="P116" s="5"/>
      <c r="Q116" s="5"/>
      <c r="R116" s="5" t="s">
        <v>806</v>
      </c>
      <c r="T116" s="5" t="s">
        <v>616</v>
      </c>
      <c r="U116" s="5" t="s">
        <v>70</v>
      </c>
      <c r="V116" s="5" t="s">
        <v>617</v>
      </c>
      <c r="W116" s="5" t="s">
        <v>102</v>
      </c>
      <c r="X116" s="5" t="s">
        <v>160</v>
      </c>
      <c r="Y116" s="5" t="s">
        <v>73</v>
      </c>
      <c r="Z116" s="5" t="s">
        <v>70</v>
      </c>
      <c r="AD116" s="5" t="s">
        <v>807</v>
      </c>
      <c r="AE116" s="5" t="s">
        <v>74</v>
      </c>
      <c r="AI116" s="9" t="n">
        <v>44659</v>
      </c>
      <c r="AJ116" s="5" t="n">
        <v>2</v>
      </c>
      <c r="AK116" s="5" t="s">
        <v>228</v>
      </c>
      <c r="AL116" s="5" t="n">
        <v>678068</v>
      </c>
      <c r="AM116" s="5" t="s">
        <v>161</v>
      </c>
      <c r="AN116" s="5"/>
      <c r="AO116" s="5" t="s">
        <v>230</v>
      </c>
      <c r="AQ116" s="5" t="s">
        <v>77</v>
      </c>
      <c r="AR116" s="5" t="s">
        <v>160</v>
      </c>
      <c r="AS116" s="5" t="s">
        <v>73</v>
      </c>
      <c r="AT116" s="5" t="s">
        <v>71</v>
      </c>
      <c r="AU116" s="10" t="s">
        <v>120</v>
      </c>
      <c r="AV116" s="10"/>
      <c r="AW116" s="5" t="s">
        <v>94</v>
      </c>
      <c r="AX116" s="25" t="s">
        <v>79</v>
      </c>
      <c r="AZ116" s="5" t="s">
        <v>808</v>
      </c>
      <c r="BD116" s="9" t="n">
        <v>45566</v>
      </c>
      <c r="BE116" s="9" t="n">
        <v>45566</v>
      </c>
      <c r="BI116" s="5" t="s">
        <v>81</v>
      </c>
      <c r="BJ116" s="5" t="n">
        <v>2022</v>
      </c>
      <c r="BK116" s="11" t="n">
        <v>45508</v>
      </c>
    </row>
    <row r="117" customFormat="false" ht="16.5" hidden="false" customHeight="true" outlineLevel="0" collapsed="false">
      <c r="A117" s="5" t="s">
        <v>809</v>
      </c>
      <c r="B117" s="5" t="s">
        <v>810</v>
      </c>
      <c r="C117" s="5"/>
      <c r="D117" s="5" t="s">
        <v>62</v>
      </c>
      <c r="E117" s="5" t="n">
        <v>1257700</v>
      </c>
      <c r="F117" s="5" t="n">
        <v>1257700</v>
      </c>
      <c r="G117" s="5" t="s">
        <v>212</v>
      </c>
      <c r="H117" s="6" t="n">
        <v>118224</v>
      </c>
      <c r="I117" s="6" t="n">
        <v>118224</v>
      </c>
      <c r="J117" s="7" t="n">
        <f aca="false">E117*0.091</f>
        <v>114450.7</v>
      </c>
      <c r="K117" s="7" t="n">
        <f aca="false">F117*0.091</f>
        <v>114450.7</v>
      </c>
      <c r="L117" s="5" t="s">
        <v>84</v>
      </c>
      <c r="M117" s="5" t="s">
        <v>65</v>
      </c>
      <c r="N117" s="8" t="s">
        <v>811</v>
      </c>
      <c r="O117" s="5" t="s">
        <v>812</v>
      </c>
      <c r="P117" s="5"/>
      <c r="Q117" s="5"/>
      <c r="R117" s="5" t="s">
        <v>486</v>
      </c>
      <c r="T117" s="5" t="s">
        <v>813</v>
      </c>
      <c r="U117" s="5"/>
      <c r="V117" s="5" t="s">
        <v>814</v>
      </c>
      <c r="W117" s="5"/>
      <c r="X117" s="5" t="s">
        <v>215</v>
      </c>
      <c r="Y117" s="5" t="s">
        <v>73</v>
      </c>
      <c r="Z117" s="5"/>
      <c r="AD117" s="5"/>
      <c r="AE117" s="5"/>
      <c r="AI117" s="9" t="n">
        <v>44861</v>
      </c>
      <c r="AJ117" s="5" t="n">
        <v>18</v>
      </c>
      <c r="AK117" s="5" t="s">
        <v>216</v>
      </c>
      <c r="AL117" s="5" t="n">
        <v>6568</v>
      </c>
      <c r="AM117" s="5" t="s">
        <v>489</v>
      </c>
      <c r="AN117" s="5"/>
      <c r="AO117" s="5"/>
      <c r="AQ117" s="5" t="s">
        <v>77</v>
      </c>
      <c r="AR117" s="5" t="s">
        <v>215</v>
      </c>
      <c r="AS117" s="5" t="s">
        <v>73</v>
      </c>
      <c r="AT117" s="5" t="s">
        <v>78</v>
      </c>
      <c r="AW117" s="5" t="s">
        <v>94</v>
      </c>
      <c r="AX117" s="10" t="str">
        <f aca="false" t="array" ref="AX117:AX117">IFERROR(INDEX('full database 2024'!ar:ar, MATCH(A117, 'full database 2024'!b:b, 0)), "")</f>
        <v/>
      </c>
      <c r="AZ117" s="5" t="s">
        <v>129</v>
      </c>
      <c r="BD117" s="9" t="n">
        <v>45596</v>
      </c>
      <c r="BE117" s="9" t="n">
        <v>45779</v>
      </c>
      <c r="BI117" s="5"/>
      <c r="BJ117" s="5" t="n">
        <v>2022</v>
      </c>
      <c r="BK117" s="5" t="n">
        <v>2024</v>
      </c>
    </row>
    <row r="118" customFormat="false" ht="16.5" hidden="false" customHeight="true" outlineLevel="0" collapsed="false">
      <c r="A118" s="5" t="s">
        <v>815</v>
      </c>
      <c r="C118" s="5"/>
      <c r="D118" s="5" t="s">
        <v>62</v>
      </c>
      <c r="E118" s="5" t="n">
        <v>1186942</v>
      </c>
      <c r="F118" s="5" t="n">
        <v>1186942</v>
      </c>
      <c r="G118" s="5" t="s">
        <v>147</v>
      </c>
      <c r="H118" s="6" t="n">
        <v>1250384</v>
      </c>
      <c r="I118" s="6" t="n">
        <v>1250384</v>
      </c>
      <c r="J118" s="7" t="n">
        <v>1186942</v>
      </c>
      <c r="K118" s="7" t="n">
        <v>1186942</v>
      </c>
      <c r="L118" s="5" t="s">
        <v>84</v>
      </c>
      <c r="M118" s="5" t="s">
        <v>65</v>
      </c>
      <c r="N118" s="8" t="s">
        <v>816</v>
      </c>
      <c r="P118" s="5"/>
      <c r="Q118" s="5"/>
      <c r="R118" s="5" t="s">
        <v>817</v>
      </c>
      <c r="S118" s="5" t="s">
        <v>818</v>
      </c>
      <c r="T118" s="5" t="s">
        <v>819</v>
      </c>
      <c r="U118" s="5" t="s">
        <v>70</v>
      </c>
      <c r="V118" s="5" t="s">
        <v>820</v>
      </c>
      <c r="W118" s="5" t="s">
        <v>305</v>
      </c>
      <c r="X118" s="5" t="s">
        <v>151</v>
      </c>
      <c r="Y118" s="5" t="s">
        <v>73</v>
      </c>
      <c r="Z118" s="5" t="s">
        <v>70</v>
      </c>
      <c r="AE118" s="5" t="s">
        <v>74</v>
      </c>
      <c r="AI118" s="9" t="n">
        <v>43831</v>
      </c>
      <c r="AJ118" s="5" t="n">
        <v>2</v>
      </c>
      <c r="AK118" s="5" t="s">
        <v>228</v>
      </c>
      <c r="AL118" s="5" t="n">
        <v>625192</v>
      </c>
      <c r="AM118" s="5" t="s">
        <v>821</v>
      </c>
      <c r="AN118" s="5"/>
      <c r="AQ118" s="5" t="s">
        <v>77</v>
      </c>
      <c r="AR118" s="5" t="s">
        <v>151</v>
      </c>
      <c r="AS118" s="5" t="s">
        <v>73</v>
      </c>
      <c r="AT118" s="5" t="s">
        <v>374</v>
      </c>
      <c r="AU118" s="10"/>
      <c r="AW118" s="5" t="s">
        <v>94</v>
      </c>
      <c r="AX118" s="25" t="s">
        <v>375</v>
      </c>
      <c r="AZ118" s="5" t="s">
        <v>822</v>
      </c>
      <c r="BD118" s="9" t="n">
        <v>44992</v>
      </c>
      <c r="BE118" s="9" t="n">
        <v>45035</v>
      </c>
      <c r="BI118" s="5" t="s">
        <v>81</v>
      </c>
      <c r="BJ118" s="5" t="n">
        <v>2020</v>
      </c>
      <c r="BK118" s="11" t="n">
        <v>44562</v>
      </c>
    </row>
    <row r="119" customFormat="false" ht="16.5" hidden="false" customHeight="true" outlineLevel="0" collapsed="false">
      <c r="A119" s="5" t="s">
        <v>823</v>
      </c>
      <c r="C119" s="5"/>
      <c r="D119" s="5" t="s">
        <v>62</v>
      </c>
      <c r="E119" s="5" t="n">
        <v>1147670</v>
      </c>
      <c r="F119" s="5" t="n">
        <v>1147670</v>
      </c>
      <c r="G119" s="5" t="s">
        <v>147</v>
      </c>
      <c r="H119" s="6" t="n">
        <v>1250960</v>
      </c>
      <c r="I119" s="6" t="n">
        <v>1250960</v>
      </c>
      <c r="J119" s="7" t="n">
        <v>1147670</v>
      </c>
      <c r="K119" s="7" t="n">
        <v>1147670</v>
      </c>
      <c r="L119" s="5" t="s">
        <v>84</v>
      </c>
      <c r="M119" s="5" t="s">
        <v>65</v>
      </c>
      <c r="N119" s="5"/>
      <c r="P119" s="5"/>
      <c r="Q119" s="5"/>
      <c r="R119" s="5"/>
      <c r="S119" s="5"/>
      <c r="T119" s="5"/>
      <c r="U119" s="5"/>
      <c r="V119" s="5" t="s">
        <v>824</v>
      </c>
      <c r="W119" s="5"/>
      <c r="X119" s="5" t="s">
        <v>151</v>
      </c>
      <c r="Y119" s="5" t="s">
        <v>73</v>
      </c>
      <c r="Z119" s="5"/>
      <c r="AE119" s="5"/>
      <c r="AI119" s="9" t="n">
        <v>44105</v>
      </c>
      <c r="AJ119" s="5"/>
      <c r="AK119" s="5"/>
      <c r="AL119" s="5" t="n">
        <v>1250960</v>
      </c>
      <c r="AM119" s="5" t="s">
        <v>821</v>
      </c>
      <c r="AN119" s="5"/>
      <c r="AQ119" s="5" t="s">
        <v>77</v>
      </c>
      <c r="AR119" s="5" t="s">
        <v>151</v>
      </c>
      <c r="AS119" s="5" t="s">
        <v>73</v>
      </c>
      <c r="AT119" s="5" t="s">
        <v>71</v>
      </c>
      <c r="AW119" s="5" t="s">
        <v>94</v>
      </c>
      <c r="AX119" s="10" t="str">
        <f aca="false">IFERROR(INDEX('full database 2024'!ar:ar, MATCH(A119, 'full database 2024'!b:b, 0)), "")</f>
        <v/>
      </c>
      <c r="AZ119" s="5" t="s">
        <v>129</v>
      </c>
      <c r="BD119" s="9" t="n">
        <v>45596</v>
      </c>
      <c r="BE119" s="9" t="n">
        <v>45596</v>
      </c>
      <c r="BI119" s="5"/>
      <c r="BJ119" s="5" t="n">
        <v>2020</v>
      </c>
      <c r="BK119" s="11"/>
    </row>
    <row r="120" customFormat="false" ht="16.5" hidden="false" customHeight="true" outlineLevel="0" collapsed="false">
      <c r="A120" s="5" t="s">
        <v>825</v>
      </c>
      <c r="B120" s="5" t="s">
        <v>826</v>
      </c>
      <c r="C120" s="5"/>
      <c r="D120" s="5" t="s">
        <v>62</v>
      </c>
      <c r="E120" s="16" t="n">
        <v>1140861</v>
      </c>
      <c r="F120" s="16" t="n">
        <v>1140861</v>
      </c>
      <c r="G120" s="5" t="s">
        <v>132</v>
      </c>
      <c r="H120" s="6" t="n">
        <v>1426076</v>
      </c>
      <c r="I120" s="6" t="n">
        <v>1426076</v>
      </c>
      <c r="J120" s="7" t="n">
        <f aca="false">E120*1.19</f>
        <v>1357624.59</v>
      </c>
      <c r="K120" s="7" t="n">
        <f aca="false">F120*1.19</f>
        <v>1357624.59</v>
      </c>
      <c r="L120" s="5" t="s">
        <v>84</v>
      </c>
      <c r="M120" s="5" t="s">
        <v>65</v>
      </c>
      <c r="N120" s="8" t="s">
        <v>827</v>
      </c>
      <c r="O120" s="5" t="s">
        <v>828</v>
      </c>
      <c r="T120" s="5" t="s">
        <v>829</v>
      </c>
      <c r="V120" s="5" t="s">
        <v>770</v>
      </c>
      <c r="X120" s="5" t="s">
        <v>139</v>
      </c>
      <c r="Y120" s="5" t="s">
        <v>73</v>
      </c>
      <c r="AI120" s="9" t="n">
        <v>45412</v>
      </c>
      <c r="AJ120" s="5" t="n">
        <v>24</v>
      </c>
      <c r="AK120" s="5" t="s">
        <v>75</v>
      </c>
      <c r="AL120" s="5" t="n">
        <v>59420</v>
      </c>
      <c r="AM120" s="5" t="s">
        <v>140</v>
      </c>
      <c r="AN120" s="5" t="s">
        <v>141</v>
      </c>
      <c r="AQ120" s="5" t="s">
        <v>77</v>
      </c>
      <c r="AR120" s="5" t="s">
        <v>143</v>
      </c>
      <c r="AS120" s="5" t="s">
        <v>73</v>
      </c>
      <c r="AT120" s="5" t="s">
        <v>374</v>
      </c>
      <c r="AW120" s="5" t="s">
        <v>94</v>
      </c>
      <c r="AX120" s="10" t="str">
        <f aca="false">IFERROR(INDEX('full database 2024'!ar:ar, MATCH(A120, 'full database 2024'!b:b, 0)), "")</f>
        <v/>
      </c>
      <c r="AZ120" s="5" t="s">
        <v>239</v>
      </c>
      <c r="BD120" s="9" t="n">
        <v>45596</v>
      </c>
      <c r="BE120" s="9" t="n">
        <v>45779</v>
      </c>
      <c r="BJ120" s="5" t="n">
        <v>2024</v>
      </c>
      <c r="BK120" s="5" t="s">
        <v>830</v>
      </c>
    </row>
    <row r="121" customFormat="false" ht="16.5" hidden="false" customHeight="true" outlineLevel="0" collapsed="false">
      <c r="A121" s="5" t="s">
        <v>831</v>
      </c>
      <c r="B121" s="5"/>
      <c r="C121" s="5"/>
      <c r="D121" s="5" t="s">
        <v>62</v>
      </c>
      <c r="E121" s="5" t="n">
        <v>1100381</v>
      </c>
      <c r="F121" s="5" t="n">
        <v>1100381</v>
      </c>
      <c r="G121" s="5" t="s">
        <v>147</v>
      </c>
      <c r="H121" s="6" t="n">
        <v>1199415</v>
      </c>
      <c r="I121" s="6" t="n">
        <v>1199415</v>
      </c>
      <c r="J121" s="7" t="n">
        <v>1100381</v>
      </c>
      <c r="K121" s="7" t="n">
        <v>1100381</v>
      </c>
      <c r="L121" s="5" t="s">
        <v>84</v>
      </c>
      <c r="M121" s="5" t="s">
        <v>65</v>
      </c>
      <c r="N121" s="5"/>
      <c r="O121" s="5"/>
      <c r="T121" s="5"/>
      <c r="V121" s="5" t="s">
        <v>832</v>
      </c>
      <c r="X121" s="5" t="s">
        <v>151</v>
      </c>
      <c r="Y121" s="5" t="s">
        <v>73</v>
      </c>
      <c r="AI121" s="9" t="n">
        <v>45292</v>
      </c>
      <c r="AJ121" s="5"/>
      <c r="AK121" s="5"/>
      <c r="AL121" s="5" t="n">
        <v>1199415</v>
      </c>
      <c r="AM121" s="5" t="s">
        <v>153</v>
      </c>
      <c r="AN121" s="5"/>
      <c r="AQ121" s="5" t="s">
        <v>77</v>
      </c>
      <c r="AR121" s="5" t="s">
        <v>151</v>
      </c>
      <c r="AS121" s="5" t="s">
        <v>73</v>
      </c>
      <c r="AT121" s="5" t="s">
        <v>78</v>
      </c>
      <c r="AW121" s="5" t="s">
        <v>94</v>
      </c>
      <c r="AX121" s="10" t="str">
        <f aca="false">IFERROR(INDEX('full database 2024'!ar:ar, MATCH(A121, 'full database 2024'!b:b, 0)), "")</f>
        <v/>
      </c>
      <c r="AZ121" s="5" t="s">
        <v>309</v>
      </c>
      <c r="BD121" s="9" t="n">
        <v>45596</v>
      </c>
      <c r="BE121" s="9" t="n">
        <v>45596</v>
      </c>
      <c r="BJ121" s="5" t="n">
        <v>2024</v>
      </c>
      <c r="BK121" s="5"/>
    </row>
    <row r="122" customFormat="false" ht="16.5" hidden="false" customHeight="true" outlineLevel="0" collapsed="false">
      <c r="A122" s="5" t="s">
        <v>833</v>
      </c>
      <c r="C122" s="5"/>
      <c r="D122" s="5" t="s">
        <v>62</v>
      </c>
      <c r="E122" s="5" t="n">
        <v>1040000</v>
      </c>
      <c r="F122" s="5" t="n">
        <v>1040000</v>
      </c>
      <c r="G122" s="5" t="s">
        <v>212</v>
      </c>
      <c r="H122" s="6" t="n">
        <v>97760</v>
      </c>
      <c r="I122" s="6" t="n">
        <v>97760</v>
      </c>
      <c r="J122" s="7" t="n">
        <f aca="false">E122*0.091</f>
        <v>94640</v>
      </c>
      <c r="K122" s="7" t="n">
        <f aca="false">F122*0.091</f>
        <v>94640</v>
      </c>
      <c r="L122" s="5" t="s">
        <v>84</v>
      </c>
      <c r="M122" s="5" t="s">
        <v>65</v>
      </c>
      <c r="O122" s="13" t="s">
        <v>834</v>
      </c>
      <c r="T122" s="5" t="s">
        <v>835</v>
      </c>
      <c r="V122" s="5" t="s">
        <v>432</v>
      </c>
      <c r="X122" s="5" t="s">
        <v>215</v>
      </c>
      <c r="Y122" s="5" t="s">
        <v>73</v>
      </c>
      <c r="AI122" s="9" t="n">
        <v>45240</v>
      </c>
      <c r="AJ122" s="5" t="n">
        <v>24</v>
      </c>
      <c r="AK122" s="5" t="s">
        <v>433</v>
      </c>
      <c r="AL122" s="5" t="n">
        <v>4073</v>
      </c>
      <c r="AM122" s="5" t="s">
        <v>489</v>
      </c>
      <c r="AN122" s="5"/>
      <c r="AQ122" s="5" t="s">
        <v>77</v>
      </c>
      <c r="AR122" s="5" t="s">
        <v>215</v>
      </c>
      <c r="AS122" s="5" t="s">
        <v>73</v>
      </c>
      <c r="AT122" s="5" t="s">
        <v>78</v>
      </c>
      <c r="AW122" s="5" t="s">
        <v>94</v>
      </c>
      <c r="AX122" s="10" t="str">
        <f aca="false">IFERROR(INDEX('full database 2024'!ar:ar, MATCH(A122, 'full database 2024'!b:b, 0)), "")</f>
        <v/>
      </c>
      <c r="AZ122" s="5" t="s">
        <v>396</v>
      </c>
      <c r="BD122" s="9" t="n">
        <v>45596</v>
      </c>
      <c r="BE122" s="9" t="n">
        <v>45596</v>
      </c>
      <c r="BJ122" s="5" t="n">
        <v>2023</v>
      </c>
      <c r="BK122" s="11" t="n">
        <v>36526</v>
      </c>
    </row>
    <row r="123" customFormat="false" ht="16.5" hidden="false" customHeight="true" outlineLevel="0" collapsed="false">
      <c r="A123" s="5" t="s">
        <v>836</v>
      </c>
      <c r="C123" s="5"/>
      <c r="D123" s="5" t="s">
        <v>62</v>
      </c>
      <c r="E123" s="5" t="n">
        <v>1036361</v>
      </c>
      <c r="F123" s="5" t="n">
        <v>1036361</v>
      </c>
      <c r="G123" s="5" t="s">
        <v>147</v>
      </c>
      <c r="H123" s="6" t="n">
        <v>1129809</v>
      </c>
      <c r="I123" s="6" t="n">
        <v>1129809</v>
      </c>
      <c r="J123" s="7" t="n">
        <v>1036361</v>
      </c>
      <c r="K123" s="7" t="n">
        <v>1036361</v>
      </c>
      <c r="L123" s="5" t="s">
        <v>84</v>
      </c>
      <c r="M123" s="5" t="s">
        <v>65</v>
      </c>
      <c r="N123" s="8" t="s">
        <v>837</v>
      </c>
      <c r="P123" s="5"/>
      <c r="Q123" s="5"/>
      <c r="R123" s="5" t="s">
        <v>838</v>
      </c>
      <c r="S123" s="5" t="s">
        <v>839</v>
      </c>
      <c r="T123" s="5" t="s">
        <v>840</v>
      </c>
      <c r="U123" s="5" t="s">
        <v>70</v>
      </c>
      <c r="V123" s="5" t="s">
        <v>351</v>
      </c>
      <c r="W123" s="5" t="s">
        <v>305</v>
      </c>
      <c r="X123" s="5" t="s">
        <v>352</v>
      </c>
      <c r="Y123" s="5" t="s">
        <v>73</v>
      </c>
      <c r="Z123" s="5" t="s">
        <v>70</v>
      </c>
      <c r="AD123" s="5" t="s">
        <v>841</v>
      </c>
      <c r="AE123" s="5" t="s">
        <v>74</v>
      </c>
      <c r="AI123" s="9" t="n">
        <v>45273</v>
      </c>
      <c r="AJ123" s="5" t="n">
        <v>3</v>
      </c>
      <c r="AK123" s="5" t="s">
        <v>75</v>
      </c>
      <c r="AL123" s="5" t="n">
        <v>376603</v>
      </c>
      <c r="AM123" s="5" t="s">
        <v>591</v>
      </c>
      <c r="AN123" s="5"/>
      <c r="AQ123" s="5" t="s">
        <v>77</v>
      </c>
      <c r="AR123" s="5" t="s">
        <v>352</v>
      </c>
      <c r="AS123" s="5" t="s">
        <v>73</v>
      </c>
      <c r="AT123" s="5" t="s">
        <v>78</v>
      </c>
      <c r="AU123" s="10" t="s">
        <v>259</v>
      </c>
      <c r="AW123" s="5" t="s">
        <v>94</v>
      </c>
      <c r="AX123" s="10" t="str">
        <f aca="false">IFERROR(INDEX('full database 2024'!ar:ar, MATCH(A123, 'full database 2024'!b:b, 0)), "")</f>
        <v/>
      </c>
      <c r="AZ123" s="5" t="s">
        <v>540</v>
      </c>
      <c r="BD123" s="9" t="n">
        <v>45274</v>
      </c>
      <c r="BE123" s="9" t="n">
        <v>45275</v>
      </c>
      <c r="BI123" s="5" t="s">
        <v>81</v>
      </c>
      <c r="BJ123" s="5" t="n">
        <v>2023</v>
      </c>
      <c r="BK123" s="5" t="s">
        <v>842</v>
      </c>
    </row>
    <row r="124" customFormat="false" ht="16.5" hidden="false" customHeight="true" outlineLevel="0" collapsed="false">
      <c r="A124" s="5" t="s">
        <v>843</v>
      </c>
      <c r="B124" s="5" t="s">
        <v>713</v>
      </c>
      <c r="C124" s="5"/>
      <c r="D124" s="5" t="s">
        <v>62</v>
      </c>
      <c r="E124" s="16" t="n">
        <v>1000000</v>
      </c>
      <c r="F124" s="16" t="n">
        <v>1000000</v>
      </c>
      <c r="G124" s="5" t="s">
        <v>132</v>
      </c>
      <c r="H124" s="6" t="n">
        <v>1242807</v>
      </c>
      <c r="I124" s="6" t="n">
        <v>1242807</v>
      </c>
      <c r="J124" s="7" t="n">
        <f aca="false">E124*1.19</f>
        <v>1190000</v>
      </c>
      <c r="K124" s="7" t="n">
        <f aca="false">F124*1.19</f>
        <v>1190000</v>
      </c>
      <c r="L124" s="5" t="s">
        <v>84</v>
      </c>
      <c r="M124" s="5" t="s">
        <v>65</v>
      </c>
      <c r="N124" s="8" t="s">
        <v>844</v>
      </c>
      <c r="O124" s="5" t="s">
        <v>70</v>
      </c>
      <c r="P124" s="5"/>
      <c r="Q124" s="5"/>
      <c r="R124" s="5" t="s">
        <v>845</v>
      </c>
      <c r="T124" s="5" t="s">
        <v>846</v>
      </c>
      <c r="U124" s="5" t="s">
        <v>70</v>
      </c>
      <c r="V124" s="5" t="s">
        <v>847</v>
      </c>
      <c r="W124" s="5" t="s">
        <v>102</v>
      </c>
      <c r="X124" s="5" t="s">
        <v>139</v>
      </c>
      <c r="Y124" s="5" t="s">
        <v>73</v>
      </c>
      <c r="Z124" s="5" t="s">
        <v>70</v>
      </c>
      <c r="AD124" s="5" t="s">
        <v>70</v>
      </c>
      <c r="AE124" s="5" t="s">
        <v>117</v>
      </c>
      <c r="AI124" s="9" t="n">
        <v>44509</v>
      </c>
      <c r="AJ124" s="5" t="n">
        <v>1</v>
      </c>
      <c r="AK124" s="5" t="s">
        <v>228</v>
      </c>
      <c r="AL124" s="5" t="n">
        <v>1242807</v>
      </c>
      <c r="AM124" s="5" t="s">
        <v>140</v>
      </c>
      <c r="AN124" s="5" t="s">
        <v>699</v>
      </c>
      <c r="AO124" s="5" t="s">
        <v>720</v>
      </c>
      <c r="AQ124" s="5" t="s">
        <v>77</v>
      </c>
      <c r="AR124" s="5" t="s">
        <v>143</v>
      </c>
      <c r="AS124" s="5" t="s">
        <v>73</v>
      </c>
      <c r="AT124" s="5" t="s">
        <v>374</v>
      </c>
      <c r="AW124" s="5" t="s">
        <v>94</v>
      </c>
      <c r="AX124" s="10" t="str">
        <f aca="false">IFERROR(INDEX('full database 2024'!ar:ar, MATCH(A124, 'full database 2024'!b:b, 0)), "")</f>
        <v/>
      </c>
      <c r="AZ124" s="5" t="s">
        <v>239</v>
      </c>
      <c r="BD124" s="9" t="n">
        <v>45034</v>
      </c>
      <c r="BE124" s="9" t="n">
        <v>45779</v>
      </c>
      <c r="BI124" s="5" t="s">
        <v>81</v>
      </c>
      <c r="BJ124" s="5" t="n">
        <v>2021</v>
      </c>
      <c r="BK124" s="11" t="n">
        <v>44815</v>
      </c>
    </row>
    <row r="125" customFormat="false" ht="16.5" hidden="false" customHeight="true" outlineLevel="0" collapsed="false">
      <c r="A125" s="5" t="s">
        <v>848</v>
      </c>
      <c r="B125" s="5"/>
      <c r="C125" s="5"/>
      <c r="D125" s="5" t="s">
        <v>62</v>
      </c>
      <c r="E125" s="5" t="n">
        <v>1000000</v>
      </c>
      <c r="F125" s="5" t="n">
        <v>1000000</v>
      </c>
      <c r="G125" s="5" t="s">
        <v>147</v>
      </c>
      <c r="H125" s="6" t="n">
        <v>1098635</v>
      </c>
      <c r="I125" s="6" t="n">
        <v>1098635</v>
      </c>
      <c r="J125" s="7" t="n">
        <v>1000000</v>
      </c>
      <c r="K125" s="7" t="n">
        <v>1000000</v>
      </c>
      <c r="L125" s="5" t="s">
        <v>84</v>
      </c>
      <c r="M125" s="5" t="s">
        <v>65</v>
      </c>
      <c r="N125" s="8" t="s">
        <v>849</v>
      </c>
      <c r="O125" s="5"/>
      <c r="P125" s="5"/>
      <c r="Q125" s="5"/>
      <c r="R125" s="5" t="s">
        <v>850</v>
      </c>
      <c r="T125" s="5" t="s">
        <v>851</v>
      </c>
      <c r="U125" s="5" t="s">
        <v>852</v>
      </c>
      <c r="V125" s="5" t="s">
        <v>853</v>
      </c>
      <c r="W125" s="5" t="s">
        <v>90</v>
      </c>
      <c r="X125" s="5" t="s">
        <v>333</v>
      </c>
      <c r="Y125" s="5" t="s">
        <v>73</v>
      </c>
      <c r="Z125" s="5" t="s">
        <v>70</v>
      </c>
      <c r="AC125" s="5" t="s">
        <v>854</v>
      </c>
      <c r="AD125" s="5" t="s">
        <v>855</v>
      </c>
      <c r="AE125" s="5" t="s">
        <v>74</v>
      </c>
      <c r="AI125" s="9" t="n">
        <v>44916</v>
      </c>
      <c r="AJ125" s="5" t="n">
        <v>5</v>
      </c>
      <c r="AK125" s="5" t="s">
        <v>75</v>
      </c>
      <c r="AL125" s="5" t="n">
        <v>219727</v>
      </c>
      <c r="AM125" s="5" t="s">
        <v>459</v>
      </c>
      <c r="AN125" s="5"/>
      <c r="AO125" s="5"/>
      <c r="AP125" s="8" t="s">
        <v>856</v>
      </c>
      <c r="AQ125" s="5" t="s">
        <v>77</v>
      </c>
      <c r="AR125" s="5" t="s">
        <v>333</v>
      </c>
      <c r="AS125" s="5" t="s">
        <v>73</v>
      </c>
      <c r="AT125" s="5" t="s">
        <v>374</v>
      </c>
      <c r="AW125" s="5" t="s">
        <v>94</v>
      </c>
      <c r="AX125" s="10" t="str">
        <f aca="false">IFERROR(INDEX('full database 2024'!ar:ar, MATCH(A125, 'full database 2024'!b:b, 0)), "")</f>
        <v/>
      </c>
      <c r="AZ125" s="5" t="s">
        <v>857</v>
      </c>
      <c r="BD125" s="9" t="n">
        <v>45036</v>
      </c>
      <c r="BE125" s="9" t="n">
        <v>45036</v>
      </c>
      <c r="BI125" s="5" t="s">
        <v>81</v>
      </c>
      <c r="BJ125" s="5" t="n">
        <v>2022</v>
      </c>
      <c r="BK125" s="5" t="s">
        <v>858</v>
      </c>
    </row>
    <row r="126" customFormat="false" ht="16.5" hidden="false" customHeight="true" outlineLevel="0" collapsed="false">
      <c r="A126" s="5" t="s">
        <v>859</v>
      </c>
      <c r="B126" s="5" t="s">
        <v>860</v>
      </c>
      <c r="C126" s="5"/>
      <c r="D126" s="5" t="s">
        <v>62</v>
      </c>
      <c r="E126" s="16" t="n">
        <v>1000000</v>
      </c>
      <c r="F126" s="16" t="n">
        <v>1000000</v>
      </c>
      <c r="G126" s="5" t="s">
        <v>132</v>
      </c>
      <c r="H126" s="6" t="n">
        <v>1274567</v>
      </c>
      <c r="I126" s="6" t="n">
        <v>1274567</v>
      </c>
      <c r="J126" s="7" t="n">
        <f aca="false">E126*1.19</f>
        <v>1190000</v>
      </c>
      <c r="K126" s="7" t="n">
        <f aca="false">F126*1.19</f>
        <v>1190000</v>
      </c>
      <c r="L126" s="5" t="s">
        <v>84</v>
      </c>
      <c r="M126" s="5" t="s">
        <v>65</v>
      </c>
      <c r="N126" s="8" t="s">
        <v>861</v>
      </c>
      <c r="O126" s="5" t="s">
        <v>862</v>
      </c>
      <c r="P126" s="5"/>
      <c r="Q126" s="5"/>
      <c r="R126" s="5" t="s">
        <v>863</v>
      </c>
      <c r="T126" s="5" t="s">
        <v>864</v>
      </c>
      <c r="U126" s="5" t="s">
        <v>70</v>
      </c>
      <c r="V126" s="5" t="s">
        <v>865</v>
      </c>
      <c r="W126" s="5" t="s">
        <v>102</v>
      </c>
      <c r="X126" s="5" t="s">
        <v>139</v>
      </c>
      <c r="Y126" s="5" t="s">
        <v>73</v>
      </c>
      <c r="Z126" s="5" t="s">
        <v>70</v>
      </c>
      <c r="AC126" s="5"/>
      <c r="AD126" s="5" t="s">
        <v>866</v>
      </c>
      <c r="AE126" s="5" t="s">
        <v>74</v>
      </c>
      <c r="AI126" s="9" t="n">
        <v>45200</v>
      </c>
      <c r="AJ126" s="5" t="n">
        <v>1</v>
      </c>
      <c r="AK126" s="5" t="s">
        <v>75</v>
      </c>
      <c r="AL126" s="5" t="n">
        <v>1274567</v>
      </c>
      <c r="AM126" s="5" t="s">
        <v>140</v>
      </c>
      <c r="AN126" s="5" t="s">
        <v>141</v>
      </c>
      <c r="AP126" s="5"/>
      <c r="AQ126" s="5" t="s">
        <v>77</v>
      </c>
      <c r="AR126" s="5" t="s">
        <v>143</v>
      </c>
      <c r="AS126" s="5" t="s">
        <v>73</v>
      </c>
      <c r="AT126" s="5" t="s">
        <v>374</v>
      </c>
      <c r="AW126" s="5" t="s">
        <v>94</v>
      </c>
      <c r="AX126" s="10" t="str">
        <f aca="false">IFERROR(INDEX('full database 2024'!ar:ar, MATCH(A126, 'full database 2024'!b:b, 0)), "")</f>
        <v/>
      </c>
      <c r="AZ126" s="5" t="s">
        <v>534</v>
      </c>
      <c r="BD126" s="9" t="n">
        <v>45275</v>
      </c>
      <c r="BE126" s="9" t="n">
        <v>45779</v>
      </c>
      <c r="BI126" s="5" t="s">
        <v>241</v>
      </c>
      <c r="BJ126" s="5" t="n">
        <v>2023</v>
      </c>
      <c r="BK126" s="11" t="n">
        <v>45301</v>
      </c>
    </row>
    <row r="127" customFormat="false" ht="16.5" hidden="false" customHeight="true" outlineLevel="0" collapsed="false">
      <c r="A127" s="5" t="s">
        <v>867</v>
      </c>
      <c r="C127" s="5"/>
      <c r="D127" s="5" t="s">
        <v>62</v>
      </c>
      <c r="E127" s="5" t="n">
        <v>988750</v>
      </c>
      <c r="F127" s="5" t="n">
        <v>988750</v>
      </c>
      <c r="G127" s="5" t="s">
        <v>868</v>
      </c>
      <c r="H127" s="6" t="n">
        <v>144890</v>
      </c>
      <c r="I127" s="6" t="n">
        <v>144890</v>
      </c>
      <c r="J127" s="7" t="n">
        <f aca="false">E127*0.132732</f>
        <v>131238.765</v>
      </c>
      <c r="K127" s="7" t="n">
        <f aca="false">F127*0.132732</f>
        <v>131238.765</v>
      </c>
      <c r="L127" s="5" t="s">
        <v>84</v>
      </c>
      <c r="M127" s="5" t="s">
        <v>65</v>
      </c>
      <c r="O127" s="13" t="s">
        <v>869</v>
      </c>
      <c r="T127" s="5" t="s">
        <v>870</v>
      </c>
      <c r="V127" s="5" t="s">
        <v>871</v>
      </c>
      <c r="X127" s="5" t="s">
        <v>872</v>
      </c>
      <c r="Y127" s="5" t="s">
        <v>73</v>
      </c>
      <c r="AD127" s="5" t="s">
        <v>873</v>
      </c>
      <c r="AI127" s="9" t="n">
        <v>43891</v>
      </c>
      <c r="AK127" s="5"/>
      <c r="AL127" s="5" t="n">
        <v>144890</v>
      </c>
      <c r="AM127" s="5" t="s">
        <v>874</v>
      </c>
      <c r="AN127" s="5"/>
      <c r="AQ127" s="5" t="s">
        <v>77</v>
      </c>
      <c r="AR127" s="5" t="s">
        <v>872</v>
      </c>
      <c r="AS127" s="5" t="s">
        <v>73</v>
      </c>
      <c r="AT127" s="5" t="s">
        <v>78</v>
      </c>
      <c r="AW127" s="5" t="s">
        <v>94</v>
      </c>
      <c r="AX127" s="10" t="str">
        <f aca="false">IFERROR(INDEX('full database 2024'!ar:ar, MATCH(A127, 'full database 2024'!b:b, 0)), "")</f>
        <v/>
      </c>
      <c r="AZ127" s="5" t="s">
        <v>129</v>
      </c>
      <c r="BD127" s="9" t="n">
        <v>45596</v>
      </c>
      <c r="BE127" s="9" t="n">
        <v>45596</v>
      </c>
      <c r="BJ127" s="5" t="n">
        <v>2020</v>
      </c>
      <c r="BK127" s="11" t="n">
        <v>36526</v>
      </c>
    </row>
    <row r="128" customFormat="false" ht="16.5" hidden="false" customHeight="true" outlineLevel="0" collapsed="false">
      <c r="A128" s="5" t="s">
        <v>875</v>
      </c>
      <c r="C128" s="5"/>
      <c r="D128" s="5" t="s">
        <v>62</v>
      </c>
      <c r="E128" s="5" t="n">
        <v>987791</v>
      </c>
      <c r="F128" s="5" t="n">
        <v>987791</v>
      </c>
      <c r="G128" s="5" t="s">
        <v>147</v>
      </c>
      <c r="H128" s="6" t="n">
        <v>1076692</v>
      </c>
      <c r="I128" s="6" t="n">
        <v>1076692</v>
      </c>
      <c r="J128" s="7" t="n">
        <v>987791</v>
      </c>
      <c r="K128" s="7" t="n">
        <v>987791</v>
      </c>
      <c r="L128" s="5" t="s">
        <v>84</v>
      </c>
      <c r="M128" s="5" t="s">
        <v>65</v>
      </c>
      <c r="T128" s="5"/>
      <c r="V128" s="5" t="s">
        <v>876</v>
      </c>
      <c r="X128" s="5" t="s">
        <v>151</v>
      </c>
      <c r="Y128" s="5" t="s">
        <v>73</v>
      </c>
      <c r="AD128" s="5"/>
      <c r="AI128" s="9" t="n">
        <v>45294</v>
      </c>
      <c r="AL128" s="5" t="n">
        <v>1076692</v>
      </c>
      <c r="AM128" s="5" t="s">
        <v>153</v>
      </c>
      <c r="AN128" s="5"/>
      <c r="AQ128" s="5" t="s">
        <v>77</v>
      </c>
      <c r="AR128" s="5" t="s">
        <v>151</v>
      </c>
      <c r="AS128" s="5" t="s">
        <v>73</v>
      </c>
      <c r="AT128" s="5" t="s">
        <v>78</v>
      </c>
      <c r="AW128" s="5" t="s">
        <v>94</v>
      </c>
      <c r="AX128" s="10" t="str">
        <f aca="false">IFERROR(INDEX('full database 2024'!ar:ar, MATCH(A128, 'full database 2024'!b:b, 0)), "")</f>
        <v/>
      </c>
      <c r="AZ128" s="5" t="s">
        <v>129</v>
      </c>
      <c r="BD128" s="9" t="n">
        <v>45596</v>
      </c>
      <c r="BE128" s="9" t="n">
        <v>45596</v>
      </c>
      <c r="BJ128" s="5" t="n">
        <v>2024</v>
      </c>
      <c r="BK128" s="11"/>
    </row>
    <row r="129" customFormat="false" ht="16.5" hidden="false" customHeight="true" outlineLevel="0" collapsed="false">
      <c r="A129" s="5" t="s">
        <v>877</v>
      </c>
      <c r="B129" s="5" t="s">
        <v>878</v>
      </c>
      <c r="C129" s="5"/>
      <c r="D129" s="5" t="s">
        <v>62</v>
      </c>
      <c r="E129" s="16" t="n">
        <v>970800</v>
      </c>
      <c r="F129" s="16" t="n">
        <v>776659</v>
      </c>
      <c r="G129" s="5" t="s">
        <v>132</v>
      </c>
      <c r="H129" s="6" t="n">
        <v>1048464</v>
      </c>
      <c r="I129" s="6" t="n">
        <v>838792</v>
      </c>
      <c r="J129" s="7" t="n">
        <f aca="false">E129*1.19</f>
        <v>1155252</v>
      </c>
      <c r="K129" s="7" t="n">
        <f aca="false">F129*1.19</f>
        <v>924224.21</v>
      </c>
      <c r="L129" s="5" t="s">
        <v>84</v>
      </c>
      <c r="M129" s="5" t="s">
        <v>65</v>
      </c>
      <c r="N129" s="8" t="s">
        <v>879</v>
      </c>
      <c r="O129" s="5" t="s">
        <v>880</v>
      </c>
      <c r="P129" s="5"/>
      <c r="Q129" s="5"/>
      <c r="R129" s="5" t="s">
        <v>670</v>
      </c>
      <c r="T129" s="5" t="s">
        <v>881</v>
      </c>
      <c r="V129" s="5" t="s">
        <v>882</v>
      </c>
      <c r="W129" s="5" t="s">
        <v>883</v>
      </c>
      <c r="X129" s="5" t="s">
        <v>139</v>
      </c>
      <c r="Y129" s="5" t="s">
        <v>73</v>
      </c>
      <c r="AE129" s="5" t="s">
        <v>117</v>
      </c>
      <c r="AI129" s="9" t="n">
        <v>44927</v>
      </c>
      <c r="AJ129" s="5" t="n">
        <v>4</v>
      </c>
      <c r="AK129" s="5" t="s">
        <v>75</v>
      </c>
      <c r="AL129" s="5" t="n">
        <v>262116</v>
      </c>
      <c r="AM129" s="5" t="s">
        <v>140</v>
      </c>
      <c r="AN129" s="5" t="s">
        <v>141</v>
      </c>
      <c r="AQ129" s="5" t="s">
        <v>77</v>
      </c>
      <c r="AR129" s="5" t="s">
        <v>143</v>
      </c>
      <c r="AS129" s="5" t="s">
        <v>73</v>
      </c>
      <c r="AT129" s="5" t="s">
        <v>78</v>
      </c>
      <c r="AW129" s="5" t="s">
        <v>94</v>
      </c>
      <c r="AX129" s="10" t="str">
        <f aca="false">IFERROR(INDEX('full database 2024'!ar:ar, MATCH(A129, 'full database 2024'!b:b, 0)), "")</f>
        <v/>
      </c>
      <c r="AZ129" s="5" t="s">
        <v>309</v>
      </c>
      <c r="BD129" s="9" t="n">
        <v>45377</v>
      </c>
      <c r="BE129" s="9" t="n">
        <v>45779</v>
      </c>
      <c r="BI129" s="5" t="s">
        <v>81</v>
      </c>
      <c r="BJ129" s="5" t="n">
        <v>2023</v>
      </c>
    </row>
    <row r="130" customFormat="false" ht="16.5" hidden="false" customHeight="true" outlineLevel="0" collapsed="false">
      <c r="A130" s="5" t="s">
        <v>884</v>
      </c>
      <c r="C130" s="5"/>
      <c r="D130" s="5" t="s">
        <v>62</v>
      </c>
      <c r="E130" s="5" t="n">
        <v>938800</v>
      </c>
      <c r="F130" s="5" t="n">
        <v>938800</v>
      </c>
      <c r="G130" s="6" t="s">
        <v>885</v>
      </c>
      <c r="H130" s="6" t="n">
        <v>40368</v>
      </c>
      <c r="I130" s="6" t="n">
        <v>40368</v>
      </c>
      <c r="J130" s="7" t="n">
        <f aca="false">E130*0.04</f>
        <v>37552</v>
      </c>
      <c r="K130" s="7" t="n">
        <f aca="false">F130*0.04</f>
        <v>37552</v>
      </c>
      <c r="L130" s="5" t="s">
        <v>84</v>
      </c>
      <c r="M130" s="5" t="s">
        <v>65</v>
      </c>
      <c r="N130" s="8" t="s">
        <v>886</v>
      </c>
      <c r="O130" s="15" t="s">
        <v>887</v>
      </c>
      <c r="S130" s="5"/>
      <c r="U130" s="5"/>
      <c r="V130" s="5"/>
      <c r="W130" s="5"/>
      <c r="X130" s="5" t="s">
        <v>888</v>
      </c>
      <c r="Y130" s="5" t="s">
        <v>73</v>
      </c>
      <c r="AD130" s="5"/>
      <c r="AH130" s="9"/>
      <c r="AI130" s="9" t="n">
        <v>44470</v>
      </c>
      <c r="AJ130" s="5" t="n">
        <v>5</v>
      </c>
      <c r="AK130" s="5" t="s">
        <v>216</v>
      </c>
      <c r="AL130" s="5" t="n">
        <v>8074</v>
      </c>
      <c r="AM130" s="5" t="s">
        <v>889</v>
      </c>
      <c r="AQ130" s="5" t="s">
        <v>77</v>
      </c>
      <c r="AR130" s="5" t="s">
        <v>890</v>
      </c>
      <c r="AS130" s="5" t="s">
        <v>73</v>
      </c>
      <c r="AT130" s="5" t="s">
        <v>374</v>
      </c>
      <c r="AU130" s="10"/>
      <c r="AW130" s="5" t="s">
        <v>94</v>
      </c>
      <c r="AX130" s="25" t="s">
        <v>375</v>
      </c>
      <c r="AZ130" s="5" t="s">
        <v>534</v>
      </c>
      <c r="BC130" s="9"/>
      <c r="BD130" s="9" t="n">
        <v>45596</v>
      </c>
      <c r="BE130" s="9" t="n">
        <v>45596</v>
      </c>
      <c r="BH130" s="5"/>
      <c r="BI130" s="5"/>
      <c r="BJ130" s="5" t="n">
        <v>2021</v>
      </c>
      <c r="BK130" s="11" t="n">
        <v>36526</v>
      </c>
    </row>
    <row r="131" customFormat="false" ht="16.5" hidden="false" customHeight="true" outlineLevel="0" collapsed="false">
      <c r="A131" s="5" t="s">
        <v>891</v>
      </c>
      <c r="B131" s="5" t="s">
        <v>892</v>
      </c>
      <c r="C131" s="5"/>
      <c r="D131" s="5" t="s">
        <v>62</v>
      </c>
      <c r="E131" s="16" t="n">
        <v>915900</v>
      </c>
      <c r="F131" s="16" t="n">
        <v>732734</v>
      </c>
      <c r="G131" s="5" t="s">
        <v>132</v>
      </c>
      <c r="H131" s="6" t="n">
        <v>989172</v>
      </c>
      <c r="I131" s="6" t="n">
        <v>791353</v>
      </c>
      <c r="J131" s="7" t="n">
        <f aca="false">E131*1.19</f>
        <v>1089921</v>
      </c>
      <c r="K131" s="7" t="n">
        <f aca="false">F131*1.19</f>
        <v>871953.46</v>
      </c>
      <c r="L131" s="6" t="s">
        <v>84</v>
      </c>
      <c r="M131" s="5" t="s">
        <v>65</v>
      </c>
      <c r="N131" s="8" t="s">
        <v>893</v>
      </c>
      <c r="O131" s="5" t="s">
        <v>894</v>
      </c>
      <c r="P131" s="5"/>
      <c r="Q131" s="5"/>
      <c r="R131" s="5" t="s">
        <v>670</v>
      </c>
      <c r="T131" s="5" t="s">
        <v>895</v>
      </c>
      <c r="V131" s="5" t="s">
        <v>896</v>
      </c>
      <c r="W131" s="5" t="s">
        <v>90</v>
      </c>
      <c r="X131" s="5" t="s">
        <v>139</v>
      </c>
      <c r="Y131" s="5" t="s">
        <v>73</v>
      </c>
      <c r="Z131" s="5"/>
      <c r="AE131" s="5" t="s">
        <v>117</v>
      </c>
      <c r="AI131" s="9" t="n">
        <v>44927</v>
      </c>
      <c r="AJ131" s="5" t="n">
        <v>5</v>
      </c>
      <c r="AK131" s="5" t="s">
        <v>75</v>
      </c>
      <c r="AL131" s="5" t="n">
        <v>197834</v>
      </c>
      <c r="AM131" s="5" t="s">
        <v>140</v>
      </c>
      <c r="AN131" s="5" t="s">
        <v>141</v>
      </c>
      <c r="AO131" s="5"/>
      <c r="AQ131" s="5" t="s">
        <v>77</v>
      </c>
      <c r="AR131" s="5" t="s">
        <v>143</v>
      </c>
      <c r="AS131" s="5" t="s">
        <v>73</v>
      </c>
      <c r="AT131" s="5" t="s">
        <v>78</v>
      </c>
      <c r="AW131" s="5" t="s">
        <v>94</v>
      </c>
      <c r="AX131" s="10" t="str">
        <f aca="false">IFERROR(INDEX('full database 2024'!ar:ar, MATCH(A131, 'full database 2024'!b:b, 0)), "")</f>
        <v/>
      </c>
      <c r="AZ131" s="5" t="s">
        <v>525</v>
      </c>
      <c r="BD131" s="9" t="n">
        <v>45377</v>
      </c>
      <c r="BE131" s="9" t="n">
        <v>45779</v>
      </c>
      <c r="BF131" s="9"/>
      <c r="BI131" s="5" t="s">
        <v>81</v>
      </c>
      <c r="BJ131" s="5" t="n">
        <v>2023</v>
      </c>
      <c r="BK131" s="5"/>
    </row>
    <row r="132" customFormat="false" ht="16.5" hidden="false" customHeight="true" outlineLevel="0" collapsed="false">
      <c r="A132" s="5" t="s">
        <v>897</v>
      </c>
      <c r="B132" s="5"/>
      <c r="C132" s="5"/>
      <c r="D132" s="5" t="s">
        <v>62</v>
      </c>
      <c r="E132" s="16" t="n">
        <v>748571</v>
      </c>
      <c r="F132" s="16" t="n">
        <v>748571</v>
      </c>
      <c r="G132" s="5" t="s">
        <v>132</v>
      </c>
      <c r="H132" s="6" t="n">
        <v>943513</v>
      </c>
      <c r="I132" s="6" t="n">
        <v>943513</v>
      </c>
      <c r="J132" s="7" t="n">
        <f aca="false">E132*1.19</f>
        <v>890799.49</v>
      </c>
      <c r="K132" s="7" t="n">
        <f aca="false">F132*1.19</f>
        <v>890799.49</v>
      </c>
      <c r="L132" s="5" t="s">
        <v>84</v>
      </c>
      <c r="M132" s="5" t="s">
        <v>65</v>
      </c>
      <c r="N132" s="8" t="s">
        <v>898</v>
      </c>
      <c r="O132" s="5"/>
      <c r="P132" s="5"/>
      <c r="Q132" s="5"/>
      <c r="R132" s="5"/>
      <c r="T132" s="5" t="s">
        <v>899</v>
      </c>
      <c r="V132" s="5" t="s">
        <v>900</v>
      </c>
      <c r="W132" s="5" t="s">
        <v>384</v>
      </c>
      <c r="X132" s="5" t="s">
        <v>139</v>
      </c>
      <c r="Y132" s="5" t="s">
        <v>73</v>
      </c>
      <c r="AD132" s="5" t="s">
        <v>901</v>
      </c>
      <c r="AE132" s="5" t="s">
        <v>74</v>
      </c>
      <c r="AI132" s="9" t="n">
        <v>44652</v>
      </c>
      <c r="AJ132" s="5"/>
      <c r="AK132" s="5"/>
      <c r="AL132" s="5" t="n">
        <v>943513</v>
      </c>
      <c r="AM132" s="5" t="s">
        <v>140</v>
      </c>
      <c r="AN132" s="5" t="s">
        <v>141</v>
      </c>
      <c r="AQ132" s="5" t="s">
        <v>77</v>
      </c>
      <c r="AR132" s="5" t="s">
        <v>143</v>
      </c>
      <c r="AS132" s="5" t="s">
        <v>73</v>
      </c>
      <c r="AT132" s="5" t="s">
        <v>105</v>
      </c>
      <c r="AU132" s="10" t="s">
        <v>186</v>
      </c>
      <c r="AW132" s="5" t="s">
        <v>94</v>
      </c>
      <c r="AX132" s="10" t="str">
        <f aca="false">IFERROR(INDEX('full database 2024'!ar:ar, MATCH(A132, 'full database 2024'!b:b, 0)), "")</f>
        <v/>
      </c>
      <c r="AZ132" s="5" t="s">
        <v>540</v>
      </c>
      <c r="BD132" s="9" t="n">
        <v>45377</v>
      </c>
      <c r="BE132" s="9" t="n">
        <v>45779</v>
      </c>
      <c r="BI132" s="5" t="s">
        <v>81</v>
      </c>
      <c r="BJ132" s="5" t="n">
        <v>2022</v>
      </c>
      <c r="BK132" s="11" t="n">
        <v>45660</v>
      </c>
    </row>
    <row r="133" customFormat="false" ht="16.5" hidden="false" customHeight="true" outlineLevel="0" collapsed="false">
      <c r="A133" s="5" t="s">
        <v>902</v>
      </c>
      <c r="C133" s="5"/>
      <c r="D133" s="5" t="s">
        <v>62</v>
      </c>
      <c r="E133" s="5" t="n">
        <v>875500</v>
      </c>
      <c r="F133" s="5" t="n">
        <v>154500</v>
      </c>
      <c r="G133" s="5" t="s">
        <v>147</v>
      </c>
      <c r="H133" s="6" t="n">
        <v>945540</v>
      </c>
      <c r="I133" s="6" t="n">
        <v>166860</v>
      </c>
      <c r="J133" s="7" t="n">
        <v>875500</v>
      </c>
      <c r="K133" s="7" t="n">
        <v>154500</v>
      </c>
      <c r="L133" s="5" t="s">
        <v>84</v>
      </c>
      <c r="M133" s="5" t="s">
        <v>65</v>
      </c>
      <c r="N133" s="8" t="s">
        <v>903</v>
      </c>
      <c r="T133" s="5" t="s">
        <v>904</v>
      </c>
      <c r="V133" s="5" t="s">
        <v>905</v>
      </c>
      <c r="W133" s="5"/>
      <c r="X133" s="5" t="s">
        <v>906</v>
      </c>
      <c r="Y133" s="5" t="s">
        <v>73</v>
      </c>
      <c r="AD133" s="5" t="s">
        <v>907</v>
      </c>
      <c r="AE133" s="5" t="s">
        <v>908</v>
      </c>
      <c r="AI133" s="9" t="n">
        <v>44201</v>
      </c>
      <c r="AJ133" s="5" t="n">
        <v>37</v>
      </c>
      <c r="AK133" s="5" t="s">
        <v>433</v>
      </c>
      <c r="AL133" s="5" t="n">
        <v>25555</v>
      </c>
      <c r="AM133" s="5" t="s">
        <v>909</v>
      </c>
      <c r="AQ133" s="5" t="s">
        <v>77</v>
      </c>
      <c r="AR133" s="5" t="s">
        <v>115</v>
      </c>
      <c r="AS133" s="5" t="s">
        <v>73</v>
      </c>
      <c r="AT133" s="5" t="s">
        <v>78</v>
      </c>
      <c r="AW133" s="5" t="s">
        <v>94</v>
      </c>
      <c r="AX133" s="10" t="str">
        <f aca="false">IFERROR(INDEX('full database 2024'!ar:ar, MATCH(A133, 'full database 2024'!b:b, 0)), "")</f>
        <v/>
      </c>
      <c r="AZ133" s="5" t="s">
        <v>309</v>
      </c>
      <c r="BD133" s="9" t="n">
        <v>45596</v>
      </c>
      <c r="BE133" s="9" t="n">
        <v>45596</v>
      </c>
      <c r="BI133" s="5"/>
      <c r="BJ133" s="5" t="n">
        <v>2024</v>
      </c>
      <c r="BK133" s="11" t="n">
        <v>36526</v>
      </c>
    </row>
    <row r="134" customFormat="false" ht="16.5" hidden="false" customHeight="true" outlineLevel="0" collapsed="false">
      <c r="A134" s="5" t="s">
        <v>910</v>
      </c>
      <c r="C134" s="5"/>
      <c r="D134" s="5" t="s">
        <v>62</v>
      </c>
      <c r="E134" s="5" t="n">
        <v>873351</v>
      </c>
      <c r="F134" s="5" t="n">
        <v>873351</v>
      </c>
      <c r="G134" s="5" t="s">
        <v>147</v>
      </c>
      <c r="H134" s="6" t="n">
        <v>951953</v>
      </c>
      <c r="I134" s="6" t="n">
        <v>951953</v>
      </c>
      <c r="J134" s="7" t="n">
        <v>873351</v>
      </c>
      <c r="K134" s="7" t="n">
        <v>873351</v>
      </c>
      <c r="L134" s="5" t="s">
        <v>84</v>
      </c>
      <c r="M134" s="5" t="s">
        <v>65</v>
      </c>
      <c r="N134" s="5"/>
      <c r="T134" s="5"/>
      <c r="V134" s="5" t="s">
        <v>911</v>
      </c>
      <c r="X134" s="5" t="s">
        <v>151</v>
      </c>
      <c r="Y134" s="5" t="s">
        <v>73</v>
      </c>
      <c r="AD134" s="5"/>
      <c r="AE134" s="5"/>
      <c r="AI134" s="9" t="n">
        <v>45293</v>
      </c>
      <c r="AJ134" s="5"/>
      <c r="AK134" s="5"/>
      <c r="AL134" s="5" t="n">
        <v>951953</v>
      </c>
      <c r="AM134" s="5" t="s">
        <v>153</v>
      </c>
      <c r="AQ134" s="5" t="s">
        <v>77</v>
      </c>
      <c r="AR134" s="5" t="s">
        <v>151</v>
      </c>
      <c r="AS134" s="5" t="s">
        <v>73</v>
      </c>
      <c r="AT134" s="5" t="s">
        <v>78</v>
      </c>
      <c r="AW134" s="5" t="s">
        <v>94</v>
      </c>
      <c r="AX134" s="10" t="str">
        <f aca="false">IFERROR(INDEX('full database 2024'!ar:ar, MATCH(A134, 'full database 2024'!b:b, 0)), "")</f>
        <v/>
      </c>
      <c r="AZ134" s="5" t="s">
        <v>129</v>
      </c>
      <c r="BD134" s="9" t="n">
        <v>45596</v>
      </c>
      <c r="BE134" s="9" t="n">
        <v>45596</v>
      </c>
      <c r="BJ134" s="5" t="n">
        <v>2024</v>
      </c>
      <c r="BK134" s="11"/>
    </row>
    <row r="135" customFormat="false" ht="16.5" hidden="false" customHeight="true" outlineLevel="0" collapsed="false">
      <c r="A135" s="5" t="s">
        <v>912</v>
      </c>
      <c r="C135" s="5"/>
      <c r="D135" s="5" t="s">
        <v>62</v>
      </c>
      <c r="E135" s="5" t="n">
        <v>800000</v>
      </c>
      <c r="F135" s="5" t="n">
        <v>800000</v>
      </c>
      <c r="G135" s="5" t="s">
        <v>147</v>
      </c>
      <c r="H135" s="6" t="n">
        <v>872520</v>
      </c>
      <c r="I135" s="6" t="n">
        <v>872520</v>
      </c>
      <c r="J135" s="7" t="n">
        <v>800000</v>
      </c>
      <c r="K135" s="7" t="n">
        <v>800000</v>
      </c>
      <c r="L135" s="5" t="s">
        <v>84</v>
      </c>
      <c r="M135" s="5" t="s">
        <v>65</v>
      </c>
      <c r="N135" s="8" t="s">
        <v>913</v>
      </c>
      <c r="P135" s="5"/>
      <c r="Q135" s="5"/>
      <c r="R135" s="5" t="s">
        <v>914</v>
      </c>
      <c r="S135" s="5" t="s">
        <v>915</v>
      </c>
      <c r="T135" s="5" t="s">
        <v>158</v>
      </c>
      <c r="U135" s="5" t="s">
        <v>70</v>
      </c>
      <c r="V135" s="5" t="s">
        <v>159</v>
      </c>
      <c r="W135" s="5" t="s">
        <v>102</v>
      </c>
      <c r="X135" s="5" t="s">
        <v>160</v>
      </c>
      <c r="Y135" s="5" t="s">
        <v>73</v>
      </c>
      <c r="Z135" s="5" t="s">
        <v>70</v>
      </c>
      <c r="AE135" s="5" t="s">
        <v>117</v>
      </c>
      <c r="AI135" s="9" t="n">
        <v>44105</v>
      </c>
      <c r="AJ135" s="5" t="n">
        <v>1</v>
      </c>
      <c r="AK135" s="5" t="s">
        <v>228</v>
      </c>
      <c r="AL135" s="5" t="n">
        <v>872520</v>
      </c>
      <c r="AM135" s="5" t="s">
        <v>161</v>
      </c>
      <c r="AQ135" s="5" t="s">
        <v>77</v>
      </c>
      <c r="AR135" s="5" t="s">
        <v>160</v>
      </c>
      <c r="AS135" s="5" t="s">
        <v>73</v>
      </c>
      <c r="AT135" s="5" t="s">
        <v>105</v>
      </c>
      <c r="AU135" s="10" t="s">
        <v>106</v>
      </c>
      <c r="AW135" s="5" t="s">
        <v>94</v>
      </c>
      <c r="AX135" s="10" t="str">
        <f aca="false">IFERROR(INDEX('full database 2024'!ar:ar, MATCH(A135, 'full database 2024'!b:b, 0)), "")</f>
        <v/>
      </c>
      <c r="AZ135" s="5" t="s">
        <v>399</v>
      </c>
      <c r="BD135" s="9" t="n">
        <v>45015</v>
      </c>
      <c r="BE135" s="9" t="n">
        <v>45035</v>
      </c>
      <c r="BI135" s="5" t="s">
        <v>81</v>
      </c>
      <c r="BJ135" s="5" t="n">
        <v>2020</v>
      </c>
      <c r="BK135" s="11" t="n">
        <v>44206</v>
      </c>
    </row>
    <row r="136" customFormat="false" ht="16.5" hidden="false" customHeight="true" outlineLevel="0" collapsed="false">
      <c r="A136" s="5" t="s">
        <v>916</v>
      </c>
      <c r="C136" s="5"/>
      <c r="D136" s="5" t="s">
        <v>62</v>
      </c>
      <c r="E136" s="16" t="n">
        <v>779700</v>
      </c>
      <c r="F136" s="16" t="n">
        <v>623758</v>
      </c>
      <c r="G136" s="5" t="s">
        <v>132</v>
      </c>
      <c r="H136" s="6" t="n">
        <v>818685</v>
      </c>
      <c r="I136" s="6" t="n">
        <v>654946</v>
      </c>
      <c r="J136" s="7" t="n">
        <f aca="false">E136*1.19</f>
        <v>927843</v>
      </c>
      <c r="K136" s="7" t="n">
        <f aca="false">F136*1.19</f>
        <v>742272.02</v>
      </c>
      <c r="L136" s="5" t="s">
        <v>84</v>
      </c>
      <c r="M136" s="5" t="s">
        <v>65</v>
      </c>
      <c r="N136" s="8" t="s">
        <v>917</v>
      </c>
      <c r="P136" s="5"/>
      <c r="Q136" s="5"/>
      <c r="R136" s="5" t="s">
        <v>670</v>
      </c>
      <c r="S136" s="5"/>
      <c r="T136" s="5" t="s">
        <v>918</v>
      </c>
      <c r="U136" s="5"/>
      <c r="V136" s="5" t="s">
        <v>847</v>
      </c>
      <c r="W136" s="5" t="s">
        <v>102</v>
      </c>
      <c r="X136" s="5" t="s">
        <v>139</v>
      </c>
      <c r="Y136" s="5" t="s">
        <v>73</v>
      </c>
      <c r="Z136" s="5"/>
      <c r="AE136" s="5" t="s">
        <v>117</v>
      </c>
      <c r="AI136" s="9" t="n">
        <v>44562</v>
      </c>
      <c r="AJ136" s="5" t="n">
        <v>3</v>
      </c>
      <c r="AK136" s="5" t="s">
        <v>75</v>
      </c>
      <c r="AL136" s="5" t="n">
        <v>272895</v>
      </c>
      <c r="AM136" s="5" t="s">
        <v>140</v>
      </c>
      <c r="AN136" s="5" t="s">
        <v>699</v>
      </c>
      <c r="AQ136" s="5" t="s">
        <v>77</v>
      </c>
      <c r="AR136" s="5" t="s">
        <v>143</v>
      </c>
      <c r="AS136" s="5" t="s">
        <v>73</v>
      </c>
      <c r="AT136" s="5" t="s">
        <v>374</v>
      </c>
      <c r="AW136" s="5" t="s">
        <v>94</v>
      </c>
      <c r="AX136" s="10" t="str">
        <f aca="false">IFERROR(INDEX('full database 2024'!ar:ar, MATCH(A136, 'full database 2024'!b:b, 0)), "")</f>
        <v/>
      </c>
      <c r="AZ136" s="5" t="s">
        <v>239</v>
      </c>
      <c r="BD136" s="9" t="n">
        <v>45377</v>
      </c>
      <c r="BE136" s="9" t="n">
        <v>45779</v>
      </c>
      <c r="BI136" s="5" t="s">
        <v>81</v>
      </c>
      <c r="BJ136" s="5" t="n">
        <v>2022</v>
      </c>
      <c r="BK136" s="11"/>
    </row>
    <row r="137" customFormat="false" ht="16.5" hidden="false" customHeight="true" outlineLevel="0" collapsed="false">
      <c r="A137" s="5" t="s">
        <v>919</v>
      </c>
      <c r="B137" s="5" t="s">
        <v>920</v>
      </c>
      <c r="C137" s="5"/>
      <c r="D137" s="5" t="s">
        <v>62</v>
      </c>
      <c r="E137" s="5" t="n">
        <v>768825</v>
      </c>
      <c r="F137" s="5" t="n">
        <v>768825</v>
      </c>
      <c r="G137" s="5" t="s">
        <v>147</v>
      </c>
      <c r="H137" s="6" t="n">
        <v>824278</v>
      </c>
      <c r="I137" s="6" t="n">
        <v>824278</v>
      </c>
      <c r="J137" s="7" t="n">
        <v>768825</v>
      </c>
      <c r="K137" s="7" t="n">
        <v>768825</v>
      </c>
      <c r="L137" s="5" t="s">
        <v>84</v>
      </c>
      <c r="M137" s="5"/>
      <c r="N137" s="8" t="s">
        <v>921</v>
      </c>
      <c r="O137" s="5" t="s">
        <v>922</v>
      </c>
      <c r="P137" s="5"/>
      <c r="Q137" s="5"/>
      <c r="R137" s="5"/>
      <c r="T137" s="5"/>
      <c r="V137" s="5" t="s">
        <v>923</v>
      </c>
      <c r="W137" s="5"/>
      <c r="X137" s="5" t="s">
        <v>151</v>
      </c>
      <c r="Y137" s="5" t="s">
        <v>73</v>
      </c>
      <c r="AE137" s="5"/>
      <c r="AI137" s="9" t="n">
        <v>44593</v>
      </c>
      <c r="AJ137" s="5"/>
      <c r="AK137" s="5"/>
      <c r="AL137" s="5" t="n">
        <v>824278</v>
      </c>
      <c r="AM137" s="5" t="s">
        <v>924</v>
      </c>
      <c r="AQ137" s="5" t="s">
        <v>77</v>
      </c>
      <c r="AR137" s="5" t="s">
        <v>151</v>
      </c>
      <c r="AS137" s="5" t="s">
        <v>73</v>
      </c>
      <c r="AT137" s="5" t="s">
        <v>374</v>
      </c>
      <c r="AW137" s="5" t="s">
        <v>94</v>
      </c>
      <c r="AX137" s="10" t="str">
        <f aca="false">IFERROR(INDEX('full database 2024'!ar:ar, MATCH(A137, 'full database 2024'!b:b, 0)), "")</f>
        <v/>
      </c>
      <c r="AZ137" s="5" t="s">
        <v>857</v>
      </c>
      <c r="BD137" s="9" t="n">
        <v>45671</v>
      </c>
      <c r="BE137" s="9" t="n">
        <v>45779</v>
      </c>
      <c r="BI137" s="5"/>
      <c r="BJ137" s="5" t="n">
        <v>2022</v>
      </c>
      <c r="BK137" s="5" t="s">
        <v>925</v>
      </c>
    </row>
    <row r="138" customFormat="false" ht="16.5" hidden="false" customHeight="true" outlineLevel="0" collapsed="false">
      <c r="A138" s="5" t="s">
        <v>926</v>
      </c>
      <c r="B138" s="5"/>
      <c r="C138" s="5"/>
      <c r="D138" s="5" t="s">
        <v>62</v>
      </c>
      <c r="E138" s="16" t="n">
        <v>766495</v>
      </c>
      <c r="F138" s="16" t="n">
        <v>766495</v>
      </c>
      <c r="G138" s="5" t="s">
        <v>132</v>
      </c>
      <c r="H138" s="6" t="n">
        <v>988779</v>
      </c>
      <c r="I138" s="6" t="n">
        <v>988779</v>
      </c>
      <c r="J138" s="7" t="n">
        <f aca="false">E138*1.19</f>
        <v>912129.05</v>
      </c>
      <c r="K138" s="7" t="n">
        <f aca="false">F138*1.19</f>
        <v>912129.05</v>
      </c>
      <c r="L138" s="5" t="s">
        <v>84</v>
      </c>
      <c r="M138" s="5" t="s">
        <v>65</v>
      </c>
      <c r="N138" s="8" t="s">
        <v>927</v>
      </c>
      <c r="O138" s="5"/>
      <c r="P138" s="5"/>
      <c r="Q138" s="5"/>
      <c r="R138" s="5" t="s">
        <v>928</v>
      </c>
      <c r="T138" s="5" t="s">
        <v>929</v>
      </c>
      <c r="U138" s="5" t="s">
        <v>70</v>
      </c>
      <c r="V138" s="5" t="s">
        <v>930</v>
      </c>
      <c r="W138" s="5" t="s">
        <v>102</v>
      </c>
      <c r="X138" s="5" t="s">
        <v>139</v>
      </c>
      <c r="Y138" s="5" t="s">
        <v>73</v>
      </c>
      <c r="Z138" s="5" t="s">
        <v>70</v>
      </c>
      <c r="AD138" s="5" t="s">
        <v>931</v>
      </c>
      <c r="AE138" s="5" t="s">
        <v>74</v>
      </c>
      <c r="AI138" s="9" t="n">
        <v>45210</v>
      </c>
      <c r="AJ138" s="5" t="n">
        <v>1</v>
      </c>
      <c r="AK138" s="5" t="s">
        <v>75</v>
      </c>
      <c r="AL138" s="5" t="n">
        <v>988779</v>
      </c>
      <c r="AM138" s="5" t="s">
        <v>140</v>
      </c>
      <c r="AN138" s="5" t="s">
        <v>699</v>
      </c>
      <c r="AQ138" s="5" t="s">
        <v>77</v>
      </c>
      <c r="AR138" s="5" t="s">
        <v>143</v>
      </c>
      <c r="AS138" s="5" t="s">
        <v>73</v>
      </c>
      <c r="AT138" s="5" t="s">
        <v>78</v>
      </c>
      <c r="AW138" s="5" t="s">
        <v>94</v>
      </c>
      <c r="AX138" s="10" t="str">
        <f aca="false">IFERROR(INDEX('full database 2024'!ar:ar, MATCH(A138, 'full database 2024'!b:b, 0)), "")</f>
        <v/>
      </c>
      <c r="AZ138" s="5" t="s">
        <v>188</v>
      </c>
      <c r="BD138" s="9" t="n">
        <v>45265</v>
      </c>
      <c r="BE138" s="9" t="n">
        <v>45779</v>
      </c>
      <c r="BI138" s="5" t="s">
        <v>81</v>
      </c>
      <c r="BJ138" s="5" t="n">
        <v>2023</v>
      </c>
      <c r="BK138" s="11" t="n">
        <v>45606</v>
      </c>
    </row>
    <row r="139" customFormat="false" ht="16.5" hidden="false" customHeight="true" outlineLevel="0" collapsed="false">
      <c r="A139" s="5" t="s">
        <v>932</v>
      </c>
      <c r="B139" s="5" t="s">
        <v>933</v>
      </c>
      <c r="C139" s="5"/>
      <c r="D139" s="5" t="s">
        <v>62</v>
      </c>
      <c r="E139" s="5" t="n">
        <v>753000</v>
      </c>
      <c r="F139" s="5" t="n">
        <v>753000</v>
      </c>
      <c r="G139" s="5" t="s">
        <v>147</v>
      </c>
      <c r="H139" s="6" t="n">
        <v>826545</v>
      </c>
      <c r="I139" s="6" t="n">
        <v>826545</v>
      </c>
      <c r="J139" s="7" t="n">
        <v>753000</v>
      </c>
      <c r="K139" s="7" t="n">
        <v>753000</v>
      </c>
      <c r="L139" s="5" t="s">
        <v>84</v>
      </c>
      <c r="M139" s="5" t="s">
        <v>65</v>
      </c>
      <c r="N139" s="8" t="s">
        <v>934</v>
      </c>
      <c r="P139" s="5"/>
      <c r="Q139" s="5"/>
      <c r="R139" s="5" t="s">
        <v>935</v>
      </c>
      <c r="T139" s="5" t="s">
        <v>463</v>
      </c>
      <c r="U139" s="5" t="s">
        <v>70</v>
      </c>
      <c r="V139" s="5" t="s">
        <v>464</v>
      </c>
      <c r="W139" s="5" t="s">
        <v>102</v>
      </c>
      <c r="X139" s="5" t="s">
        <v>257</v>
      </c>
      <c r="Y139" s="5" t="s">
        <v>73</v>
      </c>
      <c r="Z139" s="5" t="s">
        <v>70</v>
      </c>
      <c r="AD139" s="5"/>
      <c r="AE139" s="5" t="s">
        <v>117</v>
      </c>
      <c r="AI139" s="9" t="n">
        <v>44816</v>
      </c>
      <c r="AJ139" s="5" t="n">
        <v>2</v>
      </c>
      <c r="AK139" s="5" t="s">
        <v>75</v>
      </c>
      <c r="AL139" s="5" t="n">
        <v>413273</v>
      </c>
      <c r="AM139" s="5" t="s">
        <v>936</v>
      </c>
      <c r="AQ139" s="5" t="s">
        <v>77</v>
      </c>
      <c r="AR139" s="5" t="s">
        <v>257</v>
      </c>
      <c r="AS139" s="5" t="s">
        <v>73</v>
      </c>
      <c r="AT139" s="5" t="s">
        <v>374</v>
      </c>
      <c r="AW139" s="5" t="s">
        <v>94</v>
      </c>
      <c r="AX139" s="10" t="str">
        <f aca="false">IFERROR(INDEX('full database 2024'!ar:ar, MATCH(A139, 'full database 2024'!b:b, 0)), "")</f>
        <v/>
      </c>
      <c r="AZ139" s="5" t="s">
        <v>467</v>
      </c>
      <c r="BD139" s="9" t="n">
        <v>45037</v>
      </c>
      <c r="BE139" s="9" t="n">
        <v>45037</v>
      </c>
      <c r="BI139" s="5" t="s">
        <v>81</v>
      </c>
      <c r="BJ139" s="5" t="n">
        <v>2022</v>
      </c>
      <c r="BK139" s="11" t="n">
        <v>45635</v>
      </c>
    </row>
    <row r="140" customFormat="false" ht="16.5" hidden="false" customHeight="true" outlineLevel="0" collapsed="false">
      <c r="A140" s="5" t="s">
        <v>937</v>
      </c>
      <c r="B140" s="5" t="s">
        <v>938</v>
      </c>
      <c r="C140" s="5"/>
      <c r="D140" s="5" t="s">
        <v>62</v>
      </c>
      <c r="E140" s="5" t="n">
        <v>750000</v>
      </c>
      <c r="F140" s="5" t="n">
        <v>750000</v>
      </c>
      <c r="G140" s="5" t="s">
        <v>147</v>
      </c>
      <c r="H140" s="6" t="n">
        <v>0</v>
      </c>
      <c r="I140" s="6" t="n">
        <v>0</v>
      </c>
      <c r="J140" s="7" t="n">
        <v>750000</v>
      </c>
      <c r="K140" s="7" t="n">
        <v>750000</v>
      </c>
      <c r="L140" s="5" t="s">
        <v>84</v>
      </c>
      <c r="M140" s="5"/>
      <c r="N140" s="8" t="s">
        <v>939</v>
      </c>
      <c r="O140" s="5" t="s">
        <v>940</v>
      </c>
      <c r="P140" s="5"/>
      <c r="Q140" s="5"/>
      <c r="R140" s="5" t="s">
        <v>941</v>
      </c>
      <c r="T140" s="5" t="s">
        <v>942</v>
      </c>
      <c r="U140" s="5"/>
      <c r="V140" s="5"/>
      <c r="W140" s="5"/>
      <c r="X140" s="5"/>
      <c r="Y140" s="5" t="s">
        <v>73</v>
      </c>
      <c r="Z140" s="5"/>
      <c r="AE140" s="5"/>
      <c r="AI140" s="9" t="n">
        <v>45047</v>
      </c>
      <c r="AJ140" s="5"/>
      <c r="AK140" s="5"/>
      <c r="AL140" s="5" t="n">
        <v>0</v>
      </c>
      <c r="AM140" s="5" t="s">
        <v>459</v>
      </c>
      <c r="AQ140" s="5" t="s">
        <v>77</v>
      </c>
      <c r="AR140" s="5" t="s">
        <v>333</v>
      </c>
      <c r="AS140" s="5" t="s">
        <v>73</v>
      </c>
      <c r="AT140" s="5" t="s">
        <v>374</v>
      </c>
      <c r="AW140" s="5" t="s">
        <v>94</v>
      </c>
      <c r="AX140" s="10" t="str">
        <f aca="false">IFERROR(INDEX('full database 2024'!ar:ar, MATCH(A140, 'full database 2024'!b:b, 0)), "")</f>
        <v/>
      </c>
      <c r="AZ140" s="5" t="s">
        <v>857</v>
      </c>
      <c r="BD140" s="9" t="n">
        <v>45671</v>
      </c>
      <c r="BE140" s="9" t="n">
        <v>45779</v>
      </c>
      <c r="BI140" s="5"/>
      <c r="BJ140" s="5" t="n">
        <v>2023</v>
      </c>
      <c r="BK140" s="5" t="s">
        <v>943</v>
      </c>
    </row>
    <row r="141" customFormat="false" ht="16.5" hidden="false" customHeight="true" outlineLevel="0" collapsed="false">
      <c r="A141" s="5" t="s">
        <v>400</v>
      </c>
      <c r="C141" s="5"/>
      <c r="D141" s="5" t="s">
        <v>62</v>
      </c>
      <c r="E141" s="5" t="n">
        <v>705812</v>
      </c>
      <c r="F141" s="5" t="n">
        <v>705812</v>
      </c>
      <c r="G141" s="5" t="s">
        <v>732</v>
      </c>
      <c r="H141" s="6" t="n">
        <v>771550</v>
      </c>
      <c r="I141" s="6" t="n">
        <v>771550</v>
      </c>
      <c r="J141" s="7" t="n">
        <f aca="false">E141*1.07</f>
        <v>755218.84</v>
      </c>
      <c r="K141" s="7" t="n">
        <f aca="false">F141*1.07</f>
        <v>755218.84</v>
      </c>
      <c r="L141" s="5" t="s">
        <v>84</v>
      </c>
      <c r="M141" s="5" t="s">
        <v>65</v>
      </c>
      <c r="N141" s="8" t="s">
        <v>944</v>
      </c>
      <c r="P141" s="5"/>
      <c r="Q141" s="5"/>
      <c r="R141" s="5"/>
      <c r="S141" s="5"/>
      <c r="T141" s="5"/>
      <c r="U141" s="5"/>
      <c r="V141" s="5"/>
      <c r="W141" s="5"/>
      <c r="X141" s="5"/>
      <c r="Y141" s="5" t="s">
        <v>73</v>
      </c>
      <c r="Z141" s="5"/>
      <c r="AC141" s="5"/>
      <c r="AD141" s="5"/>
      <c r="AE141" s="5"/>
      <c r="AF141" s="9"/>
      <c r="AG141" s="5"/>
      <c r="AI141" s="9" t="n">
        <v>44896</v>
      </c>
      <c r="AJ141" s="5"/>
      <c r="AK141" s="5"/>
      <c r="AL141" s="5" t="n">
        <v>771550</v>
      </c>
      <c r="AM141" s="5" t="s">
        <v>945</v>
      </c>
      <c r="AQ141" s="5" t="s">
        <v>77</v>
      </c>
      <c r="AR141" s="5" t="s">
        <v>737</v>
      </c>
      <c r="AS141" s="5" t="s">
        <v>73</v>
      </c>
      <c r="AT141" s="5" t="s">
        <v>71</v>
      </c>
      <c r="AU141" s="10" t="s">
        <v>286</v>
      </c>
      <c r="AW141" s="5" t="s">
        <v>94</v>
      </c>
      <c r="AX141" s="10" t="str">
        <f aca="false">IFERROR(INDEX('full database 2024'!ar:ar, MATCH(A141, 'full database 2024'!b:b, 0)), "")</f>
        <v/>
      </c>
      <c r="AZ141" s="5" t="s">
        <v>107</v>
      </c>
      <c r="BB141" s="5"/>
      <c r="BD141" s="9" t="n">
        <v>45596</v>
      </c>
      <c r="BE141" s="9" t="n">
        <v>45596</v>
      </c>
      <c r="BF141" s="5"/>
      <c r="BG141" s="5"/>
      <c r="BI141" s="5"/>
      <c r="BJ141" s="5" t="n">
        <v>2022</v>
      </c>
      <c r="BK141" s="11" t="n">
        <v>36526</v>
      </c>
    </row>
    <row r="142" customFormat="false" ht="16.5" hidden="false" customHeight="true" outlineLevel="0" collapsed="false">
      <c r="A142" s="5" t="s">
        <v>946</v>
      </c>
      <c r="B142" s="5" t="s">
        <v>947</v>
      </c>
      <c r="C142" s="5"/>
      <c r="D142" s="5" t="s">
        <v>62</v>
      </c>
      <c r="E142" s="5" t="n">
        <v>699411</v>
      </c>
      <c r="F142" s="5" t="n">
        <v>699411</v>
      </c>
      <c r="G142" s="5" t="s">
        <v>147</v>
      </c>
      <c r="H142" s="6" t="n">
        <v>7563369</v>
      </c>
      <c r="I142" s="6" t="n">
        <v>7563369</v>
      </c>
      <c r="J142" s="21" t="n">
        <v>6999411.25</v>
      </c>
      <c r="K142" s="21" t="n">
        <v>6999411.25</v>
      </c>
      <c r="L142" s="5" t="s">
        <v>84</v>
      </c>
      <c r="M142" s="5" t="s">
        <v>65</v>
      </c>
      <c r="N142" s="8" t="s">
        <v>948</v>
      </c>
      <c r="O142" s="5" t="s">
        <v>949</v>
      </c>
      <c r="P142" s="5"/>
      <c r="Q142" s="5"/>
      <c r="R142" s="5" t="s">
        <v>950</v>
      </c>
      <c r="S142" s="5" t="s">
        <v>951</v>
      </c>
      <c r="T142" s="5" t="s">
        <v>952</v>
      </c>
      <c r="U142" s="5" t="s">
        <v>953</v>
      </c>
      <c r="V142" s="5" t="s">
        <v>954</v>
      </c>
      <c r="W142" s="5" t="s">
        <v>90</v>
      </c>
      <c r="X142" s="5" t="s">
        <v>568</v>
      </c>
      <c r="Y142" s="5" t="s">
        <v>73</v>
      </c>
      <c r="Z142" s="5" t="s">
        <v>70</v>
      </c>
      <c r="AD142" s="5" t="s">
        <v>955</v>
      </c>
      <c r="AE142" s="5" t="s">
        <v>74</v>
      </c>
      <c r="AI142" s="9" t="n">
        <v>45261</v>
      </c>
      <c r="AJ142" s="5" t="n">
        <v>3</v>
      </c>
      <c r="AK142" s="5" t="s">
        <v>75</v>
      </c>
      <c r="AL142" s="5" t="n">
        <v>2521123</v>
      </c>
      <c r="AM142" s="5" t="s">
        <v>182</v>
      </c>
      <c r="AN142" s="5" t="s">
        <v>404</v>
      </c>
      <c r="AO142" s="5" t="s">
        <v>230</v>
      </c>
      <c r="AP142" s="8" t="s">
        <v>956</v>
      </c>
      <c r="AQ142" s="5" t="s">
        <v>77</v>
      </c>
      <c r="AR142" s="5" t="s">
        <v>185</v>
      </c>
      <c r="AS142" s="5" t="s">
        <v>73</v>
      </c>
      <c r="AT142" s="5" t="s">
        <v>374</v>
      </c>
      <c r="AU142" s="10"/>
      <c r="AW142" s="5" t="s">
        <v>94</v>
      </c>
      <c r="AX142" s="25" t="s">
        <v>79</v>
      </c>
      <c r="AZ142" s="5" t="s">
        <v>95</v>
      </c>
      <c r="BA142" s="5" t="s">
        <v>65</v>
      </c>
      <c r="BD142" s="9" t="n">
        <v>45323</v>
      </c>
      <c r="BE142" s="9" t="n">
        <v>45434</v>
      </c>
      <c r="BI142" s="5" t="s">
        <v>241</v>
      </c>
      <c r="BJ142" s="5" t="n">
        <v>2024</v>
      </c>
      <c r="BK142" s="11" t="n">
        <v>46034</v>
      </c>
    </row>
    <row r="143" customFormat="false" ht="16.5" hidden="false" customHeight="true" outlineLevel="0" collapsed="false">
      <c r="A143" s="5" t="s">
        <v>957</v>
      </c>
      <c r="B143" s="5"/>
      <c r="C143" s="5"/>
      <c r="D143" s="5" t="s">
        <v>62</v>
      </c>
      <c r="E143" s="5" t="n">
        <v>685999</v>
      </c>
      <c r="F143" s="5" t="n">
        <v>685999</v>
      </c>
      <c r="G143" s="5" t="s">
        <v>147</v>
      </c>
      <c r="H143" s="6" t="n">
        <v>747739</v>
      </c>
      <c r="I143" s="6" t="n">
        <v>747739</v>
      </c>
      <c r="J143" s="7" t="n">
        <v>685999</v>
      </c>
      <c r="K143" s="7" t="n">
        <v>685999</v>
      </c>
      <c r="L143" s="5" t="s">
        <v>84</v>
      </c>
      <c r="M143" s="5" t="s">
        <v>65</v>
      </c>
      <c r="N143" s="5"/>
      <c r="O143" s="5"/>
      <c r="P143" s="5"/>
      <c r="Q143" s="5"/>
      <c r="R143" s="5"/>
      <c r="S143" s="5"/>
      <c r="T143" s="5"/>
      <c r="U143" s="5"/>
      <c r="V143" s="5" t="s">
        <v>876</v>
      </c>
      <c r="W143" s="5"/>
      <c r="X143" s="5" t="s">
        <v>151</v>
      </c>
      <c r="Y143" s="5" t="s">
        <v>73</v>
      </c>
      <c r="Z143" s="5"/>
      <c r="AD143" s="5"/>
      <c r="AE143" s="5"/>
      <c r="AI143" s="9" t="n">
        <v>44933</v>
      </c>
      <c r="AJ143" s="5"/>
      <c r="AK143" s="5"/>
      <c r="AL143" s="5" t="n">
        <v>747739</v>
      </c>
      <c r="AM143" s="5" t="s">
        <v>153</v>
      </c>
      <c r="AO143" s="5"/>
      <c r="AP143" s="5"/>
      <c r="AQ143" s="5" t="s">
        <v>77</v>
      </c>
      <c r="AR143" s="5" t="s">
        <v>151</v>
      </c>
      <c r="AS143" s="5" t="s">
        <v>73</v>
      </c>
      <c r="AT143" s="5" t="s">
        <v>78</v>
      </c>
      <c r="AW143" s="5" t="s">
        <v>94</v>
      </c>
      <c r="AX143" s="10" t="str">
        <f aca="false">IFERROR(INDEX('full database 2024'!ar:ar, MATCH(A143, 'full database 2024'!b:b, 0)), "")</f>
        <v/>
      </c>
      <c r="AZ143" s="5" t="s">
        <v>525</v>
      </c>
      <c r="BA143" s="5"/>
      <c r="BD143" s="9" t="n">
        <v>45596</v>
      </c>
      <c r="BE143" s="9" t="n">
        <v>45596</v>
      </c>
      <c r="BI143" s="5"/>
      <c r="BJ143" s="5" t="n">
        <v>2023</v>
      </c>
      <c r="BK143" s="11"/>
    </row>
    <row r="144" customFormat="false" ht="16.5" hidden="false" customHeight="true" outlineLevel="0" collapsed="false">
      <c r="A144" s="5" t="s">
        <v>958</v>
      </c>
      <c r="C144" s="5"/>
      <c r="D144" s="5" t="s">
        <v>62</v>
      </c>
      <c r="E144" s="5" t="n">
        <v>642859</v>
      </c>
      <c r="F144" s="5" t="n">
        <v>642859</v>
      </c>
      <c r="G144" s="5" t="s">
        <v>147</v>
      </c>
      <c r="H144" s="6" t="n">
        <v>700717</v>
      </c>
      <c r="I144" s="6" t="n">
        <v>700717</v>
      </c>
      <c r="J144" s="7" t="n">
        <v>642859</v>
      </c>
      <c r="K144" s="7" t="n">
        <v>642859</v>
      </c>
      <c r="L144" s="5" t="s">
        <v>84</v>
      </c>
      <c r="M144" s="5" t="s">
        <v>65</v>
      </c>
      <c r="V144" s="5" t="s">
        <v>959</v>
      </c>
      <c r="X144" s="5"/>
      <c r="Y144" s="5" t="s">
        <v>73</v>
      </c>
      <c r="AI144" s="9" t="n">
        <v>43922</v>
      </c>
      <c r="AL144" s="5" t="n">
        <v>700717</v>
      </c>
      <c r="AM144" s="5" t="s">
        <v>821</v>
      </c>
      <c r="AQ144" s="5" t="s">
        <v>77</v>
      </c>
      <c r="AR144" s="5" t="s">
        <v>151</v>
      </c>
      <c r="AS144" s="5" t="s">
        <v>73</v>
      </c>
      <c r="AT144" s="5" t="s">
        <v>78</v>
      </c>
      <c r="AW144" s="5" t="s">
        <v>94</v>
      </c>
      <c r="AX144" s="10" t="str">
        <f aca="false">IFERROR(INDEX('full database 2024'!ar:ar, MATCH(A144, 'full database 2024'!b:b, 0)), "")</f>
        <v/>
      </c>
      <c r="AZ144" s="5" t="s">
        <v>960</v>
      </c>
      <c r="BD144" s="9" t="n">
        <v>45596</v>
      </c>
      <c r="BE144" s="9" t="n">
        <v>45596</v>
      </c>
      <c r="BJ144" s="5" t="n">
        <v>2020</v>
      </c>
    </row>
    <row r="145" customFormat="false" ht="16.5" hidden="false" customHeight="true" outlineLevel="0" collapsed="false">
      <c r="A145" s="5" t="s">
        <v>961</v>
      </c>
      <c r="C145" s="5"/>
      <c r="D145" s="5" t="s">
        <v>62</v>
      </c>
      <c r="E145" s="5" t="n">
        <v>640802</v>
      </c>
      <c r="F145" s="5" t="n">
        <v>640802</v>
      </c>
      <c r="G145" s="5" t="s">
        <v>147</v>
      </c>
      <c r="H145" s="6" t="n">
        <v>698474</v>
      </c>
      <c r="I145" s="6" t="n">
        <v>698474</v>
      </c>
      <c r="J145" s="7" t="n">
        <v>640802</v>
      </c>
      <c r="K145" s="7" t="n">
        <v>640802</v>
      </c>
      <c r="L145" s="5" t="s">
        <v>84</v>
      </c>
      <c r="M145" s="5" t="s">
        <v>65</v>
      </c>
      <c r="V145" s="5" t="s">
        <v>832</v>
      </c>
      <c r="Y145" s="5" t="s">
        <v>73</v>
      </c>
      <c r="AI145" s="9" t="n">
        <v>45292</v>
      </c>
      <c r="AL145" s="5" t="n">
        <v>698474</v>
      </c>
      <c r="AM145" s="5" t="s">
        <v>153</v>
      </c>
      <c r="AQ145" s="5" t="s">
        <v>77</v>
      </c>
      <c r="AR145" s="5" t="s">
        <v>151</v>
      </c>
      <c r="AS145" s="5" t="s">
        <v>73</v>
      </c>
      <c r="AT145" s="5" t="s">
        <v>105</v>
      </c>
      <c r="AU145" s="10" t="s">
        <v>106</v>
      </c>
      <c r="AW145" s="5" t="s">
        <v>94</v>
      </c>
      <c r="AX145" s="10" t="str">
        <f aca="false">IFERROR(INDEX('full database 2024'!ar:ar, MATCH(A145, 'full database 2024'!b:b, 0)), "")</f>
        <v/>
      </c>
      <c r="AY145" s="5" t="s">
        <v>447</v>
      </c>
      <c r="AZ145" s="5" t="s">
        <v>188</v>
      </c>
      <c r="BD145" s="9" t="n">
        <v>45596</v>
      </c>
      <c r="BE145" s="9" t="n">
        <v>45596</v>
      </c>
      <c r="BJ145" s="5" t="n">
        <v>2024</v>
      </c>
    </row>
    <row r="146" customFormat="false" ht="16.5" hidden="false" customHeight="true" outlineLevel="0" collapsed="false">
      <c r="A146" s="5" t="s">
        <v>962</v>
      </c>
      <c r="C146" s="5"/>
      <c r="D146" s="5" t="s">
        <v>62</v>
      </c>
      <c r="E146" s="5" t="n">
        <v>611394</v>
      </c>
      <c r="F146" s="5" t="n">
        <v>611394</v>
      </c>
      <c r="G146" s="5" t="s">
        <v>147</v>
      </c>
      <c r="H146" s="6" t="n">
        <v>721445</v>
      </c>
      <c r="I146" s="6" t="n">
        <v>721445</v>
      </c>
      <c r="J146" s="7" t="n">
        <v>611394</v>
      </c>
      <c r="K146" s="7" t="n">
        <v>611394</v>
      </c>
      <c r="L146" s="5" t="s">
        <v>84</v>
      </c>
      <c r="M146" s="5"/>
      <c r="N146" s="8" t="s">
        <v>963</v>
      </c>
      <c r="O146" s="5" t="s">
        <v>70</v>
      </c>
      <c r="S146" s="5" t="s">
        <v>964</v>
      </c>
      <c r="V146" s="5" t="s">
        <v>965</v>
      </c>
      <c r="W146" s="5" t="s">
        <v>384</v>
      </c>
      <c r="X146" s="5" t="s">
        <v>737</v>
      </c>
      <c r="Y146" s="5" t="s">
        <v>73</v>
      </c>
      <c r="Z146" s="5" t="s">
        <v>70</v>
      </c>
      <c r="AD146" s="5" t="s">
        <v>966</v>
      </c>
      <c r="AE146" s="5" t="s">
        <v>74</v>
      </c>
      <c r="AI146" s="9" t="n">
        <v>44205</v>
      </c>
      <c r="AL146" s="5" t="n">
        <v>721445</v>
      </c>
      <c r="AM146" s="5" t="s">
        <v>736</v>
      </c>
      <c r="AQ146" s="5" t="s">
        <v>77</v>
      </c>
      <c r="AR146" s="5" t="s">
        <v>737</v>
      </c>
      <c r="AS146" s="5" t="s">
        <v>73</v>
      </c>
      <c r="AT146" s="5" t="s">
        <v>374</v>
      </c>
      <c r="AW146" s="5" t="s">
        <v>94</v>
      </c>
      <c r="AX146" s="10" t="str">
        <f aca="false">IFERROR(INDEX('full database 2024'!ar:ar, MATCH(A146, 'full database 2024'!b:b, 0)), "")</f>
        <v/>
      </c>
      <c r="AZ146" s="5" t="s">
        <v>239</v>
      </c>
      <c r="BD146" s="9" t="n">
        <v>45377</v>
      </c>
      <c r="BE146" s="9" t="n">
        <v>45566</v>
      </c>
      <c r="BI146" s="5" t="s">
        <v>81</v>
      </c>
      <c r="BJ146" s="5" t="n">
        <v>2021</v>
      </c>
      <c r="BK146" s="11" t="n">
        <v>45170</v>
      </c>
    </row>
    <row r="147" customFormat="false" ht="16.5" hidden="false" customHeight="true" outlineLevel="0" collapsed="false">
      <c r="A147" s="5" t="s">
        <v>967</v>
      </c>
      <c r="C147" s="5"/>
      <c r="D147" s="5" t="s">
        <v>62</v>
      </c>
      <c r="E147" s="5" t="n">
        <v>608736</v>
      </c>
      <c r="F147" s="5" t="n">
        <v>608736</v>
      </c>
      <c r="G147" s="5" t="s">
        <v>147</v>
      </c>
      <c r="H147" s="6" t="n">
        <v>663522</v>
      </c>
      <c r="I147" s="6" t="n">
        <v>663522</v>
      </c>
      <c r="J147" s="7" t="n">
        <v>608736</v>
      </c>
      <c r="K147" s="7" t="n">
        <v>608736</v>
      </c>
      <c r="L147" s="5" t="s">
        <v>84</v>
      </c>
      <c r="M147" s="5" t="s">
        <v>65</v>
      </c>
      <c r="N147" s="5"/>
      <c r="O147" s="5"/>
      <c r="S147" s="5"/>
      <c r="V147" s="5" t="s">
        <v>968</v>
      </c>
      <c r="W147" s="5"/>
      <c r="X147" s="5" t="s">
        <v>151</v>
      </c>
      <c r="Y147" s="5" t="s">
        <v>73</v>
      </c>
      <c r="Z147" s="5"/>
      <c r="AD147" s="5"/>
      <c r="AE147" s="5"/>
      <c r="AI147" s="9" t="n">
        <v>44562</v>
      </c>
      <c r="AL147" s="5" t="n">
        <v>663522</v>
      </c>
      <c r="AM147" s="5" t="s">
        <v>153</v>
      </c>
      <c r="AQ147" s="5" t="s">
        <v>77</v>
      </c>
      <c r="AR147" s="5" t="s">
        <v>151</v>
      </c>
      <c r="AS147" s="5" t="s">
        <v>73</v>
      </c>
      <c r="AT147" s="5" t="s">
        <v>78</v>
      </c>
      <c r="AW147" s="5" t="s">
        <v>969</v>
      </c>
      <c r="AX147" s="10" t="str">
        <f aca="false">IFERROR(INDEX('full database 2024'!ar:ar, MATCH(A147, 'full database 2024'!b:b, 0)), "")</f>
        <v/>
      </c>
      <c r="AZ147" s="5" t="s">
        <v>309</v>
      </c>
      <c r="BD147" s="9" t="n">
        <v>45596</v>
      </c>
      <c r="BE147" s="9" t="n">
        <v>45596</v>
      </c>
      <c r="BI147" s="5"/>
      <c r="BJ147" s="5" t="n">
        <v>2022</v>
      </c>
      <c r="BK147" s="11"/>
    </row>
    <row r="148" customFormat="false" ht="16.5" hidden="false" customHeight="true" outlineLevel="0" collapsed="false">
      <c r="A148" s="5" t="s">
        <v>970</v>
      </c>
      <c r="C148" s="5"/>
      <c r="D148" s="5" t="s">
        <v>62</v>
      </c>
      <c r="E148" s="5" t="n">
        <v>600000</v>
      </c>
      <c r="F148" s="5" t="n">
        <v>0</v>
      </c>
      <c r="G148" s="5" t="s">
        <v>147</v>
      </c>
      <c r="H148" s="6" t="n">
        <v>638769</v>
      </c>
      <c r="I148" s="6" t="n">
        <v>0</v>
      </c>
      <c r="J148" s="7" t="n">
        <v>600000</v>
      </c>
      <c r="K148" s="7" t="n">
        <v>600000</v>
      </c>
      <c r="L148" s="5" t="s">
        <v>84</v>
      </c>
      <c r="M148" s="5" t="s">
        <v>65</v>
      </c>
      <c r="N148" s="8" t="s">
        <v>971</v>
      </c>
      <c r="P148" s="5"/>
      <c r="Q148" s="5"/>
      <c r="R148" s="5" t="s">
        <v>972</v>
      </c>
      <c r="T148" s="5" t="s">
        <v>973</v>
      </c>
      <c r="U148" s="5" t="s">
        <v>70</v>
      </c>
      <c r="V148" s="5" t="s">
        <v>974</v>
      </c>
      <c r="W148" s="5" t="s">
        <v>102</v>
      </c>
      <c r="X148" s="5" t="s">
        <v>975</v>
      </c>
      <c r="Y148" s="5" t="s">
        <v>73</v>
      </c>
      <c r="Z148" s="5" t="s">
        <v>70</v>
      </c>
      <c r="AE148" s="5" t="s">
        <v>117</v>
      </c>
      <c r="AI148" s="9" t="n">
        <v>45182</v>
      </c>
      <c r="AJ148" s="5" t="n">
        <v>2</v>
      </c>
      <c r="AK148" s="5" t="s">
        <v>75</v>
      </c>
      <c r="AL148" s="5" t="n">
        <v>319385</v>
      </c>
      <c r="AM148" s="5" t="s">
        <v>182</v>
      </c>
      <c r="AN148" s="5" t="s">
        <v>976</v>
      </c>
      <c r="AQ148" s="5" t="s">
        <v>77</v>
      </c>
      <c r="AR148" s="5" t="s">
        <v>185</v>
      </c>
      <c r="AS148" s="5" t="s">
        <v>73</v>
      </c>
      <c r="AT148" s="5" t="s">
        <v>374</v>
      </c>
      <c r="AW148" s="5" t="s">
        <v>94</v>
      </c>
      <c r="AX148" s="10" t="str">
        <f aca="false">IFERROR(INDEX('full database 2024'!ar:ar, MATCH(A148, 'full database 2024'!b:b, 0)), "")</f>
        <v/>
      </c>
      <c r="AZ148" s="5" t="s">
        <v>534</v>
      </c>
      <c r="BD148" s="9" t="n">
        <v>45183</v>
      </c>
      <c r="BE148" s="9" t="n">
        <v>45183</v>
      </c>
      <c r="BH148" s="5" t="s">
        <v>65</v>
      </c>
      <c r="BI148" s="5" t="s">
        <v>145</v>
      </c>
      <c r="BJ148" s="5" t="n">
        <v>2023</v>
      </c>
      <c r="BK148" s="5" t="s">
        <v>977</v>
      </c>
    </row>
    <row r="149" customFormat="false" ht="16.5" hidden="false" customHeight="true" outlineLevel="0" collapsed="false">
      <c r="A149" s="5" t="s">
        <v>978</v>
      </c>
      <c r="C149" s="5"/>
      <c r="D149" s="5" t="s">
        <v>62</v>
      </c>
      <c r="E149" s="5" t="n">
        <v>600000</v>
      </c>
      <c r="F149" s="5" t="n">
        <v>0</v>
      </c>
      <c r="G149" s="5" t="s">
        <v>147</v>
      </c>
      <c r="H149" s="6" t="n">
        <v>638769</v>
      </c>
      <c r="I149" s="6" t="n">
        <v>0</v>
      </c>
      <c r="J149" s="7" t="n">
        <v>600000</v>
      </c>
      <c r="K149" s="7" t="n">
        <v>600000</v>
      </c>
      <c r="L149" s="5" t="s">
        <v>84</v>
      </c>
      <c r="M149" s="5" t="s">
        <v>65</v>
      </c>
      <c r="N149" s="8" t="s">
        <v>971</v>
      </c>
      <c r="P149" s="5"/>
      <c r="Q149" s="5"/>
      <c r="R149" s="5" t="s">
        <v>972</v>
      </c>
      <c r="T149" s="5" t="s">
        <v>979</v>
      </c>
      <c r="U149" s="5" t="s">
        <v>70</v>
      </c>
      <c r="V149" s="5" t="s">
        <v>980</v>
      </c>
      <c r="W149" s="5" t="s">
        <v>102</v>
      </c>
      <c r="X149" s="5" t="s">
        <v>139</v>
      </c>
      <c r="Y149" s="5" t="s">
        <v>73</v>
      </c>
      <c r="Z149" s="5" t="s">
        <v>70</v>
      </c>
      <c r="AD149" s="5" t="s">
        <v>981</v>
      </c>
      <c r="AE149" s="5" t="s">
        <v>74</v>
      </c>
      <c r="AI149" s="9" t="n">
        <v>45182</v>
      </c>
      <c r="AJ149" s="5" t="n">
        <v>2</v>
      </c>
      <c r="AK149" s="5" t="s">
        <v>75</v>
      </c>
      <c r="AL149" s="5" t="n">
        <v>319385</v>
      </c>
      <c r="AM149" s="5" t="s">
        <v>182</v>
      </c>
      <c r="AN149" s="5" t="s">
        <v>976</v>
      </c>
      <c r="AQ149" s="5" t="s">
        <v>77</v>
      </c>
      <c r="AR149" s="5" t="s">
        <v>185</v>
      </c>
      <c r="AS149" s="5" t="s">
        <v>73</v>
      </c>
      <c r="AT149" s="5" t="s">
        <v>374</v>
      </c>
      <c r="AW149" s="5" t="s">
        <v>94</v>
      </c>
      <c r="AX149" s="10" t="str">
        <f aca="false">IFERROR(INDEX('full database 2024'!ar:ar, MATCH(A149, 'full database 2024'!b:b, 0)), "")</f>
        <v/>
      </c>
      <c r="AZ149" s="5" t="s">
        <v>534</v>
      </c>
      <c r="BD149" s="9" t="n">
        <v>45183</v>
      </c>
      <c r="BE149" s="9" t="n">
        <v>45183</v>
      </c>
      <c r="BH149" s="5" t="s">
        <v>65</v>
      </c>
      <c r="BI149" s="5" t="s">
        <v>145</v>
      </c>
      <c r="BJ149" s="5" t="n">
        <v>2023</v>
      </c>
      <c r="BK149" s="5" t="s">
        <v>977</v>
      </c>
    </row>
    <row r="150" customFormat="false" ht="16.5" hidden="false" customHeight="true" outlineLevel="0" collapsed="false">
      <c r="A150" s="5" t="s">
        <v>982</v>
      </c>
      <c r="C150" s="5"/>
      <c r="D150" s="5" t="s">
        <v>62</v>
      </c>
      <c r="E150" s="5" t="n">
        <v>597311</v>
      </c>
      <c r="F150" s="5" t="n">
        <v>597311</v>
      </c>
      <c r="G150" s="5" t="s">
        <v>147</v>
      </c>
      <c r="H150" s="6" t="n">
        <v>651069</v>
      </c>
      <c r="I150" s="6" t="n">
        <v>651069</v>
      </c>
      <c r="J150" s="7" t="n">
        <v>597311</v>
      </c>
      <c r="K150" s="7" t="n">
        <v>597311</v>
      </c>
      <c r="L150" s="5" t="s">
        <v>84</v>
      </c>
      <c r="M150" s="5" t="s">
        <v>65</v>
      </c>
      <c r="N150" s="5"/>
      <c r="P150" s="5"/>
      <c r="Q150" s="5"/>
      <c r="R150" s="5"/>
      <c r="T150" s="5"/>
      <c r="U150" s="5"/>
      <c r="V150" s="5" t="s">
        <v>832</v>
      </c>
      <c r="W150" s="5"/>
      <c r="X150" s="5"/>
      <c r="Y150" s="5" t="s">
        <v>73</v>
      </c>
      <c r="Z150" s="5"/>
      <c r="AD150" s="5"/>
      <c r="AE150" s="5"/>
      <c r="AI150" s="9" t="n">
        <v>44287</v>
      </c>
      <c r="AJ150" s="5"/>
      <c r="AK150" s="5"/>
      <c r="AL150" s="5" t="n">
        <v>651069</v>
      </c>
      <c r="AM150" s="5" t="s">
        <v>821</v>
      </c>
      <c r="AQ150" s="5" t="s">
        <v>77</v>
      </c>
      <c r="AR150" s="5" t="s">
        <v>151</v>
      </c>
      <c r="AS150" s="5" t="s">
        <v>73</v>
      </c>
      <c r="AT150" s="5" t="s">
        <v>78</v>
      </c>
      <c r="AW150" s="5" t="s">
        <v>94</v>
      </c>
      <c r="AX150" s="10" t="str">
        <f aca="false">IFERROR(INDEX('full database 2024'!ar:ar, MATCH(A150, 'full database 2024'!b:b, 0)), "")</f>
        <v/>
      </c>
      <c r="AZ150" s="5" t="s">
        <v>309</v>
      </c>
      <c r="BD150" s="9" t="n">
        <v>45596</v>
      </c>
      <c r="BE150" s="9" t="n">
        <v>45596</v>
      </c>
      <c r="BH150" s="5"/>
      <c r="BI150" s="5"/>
      <c r="BJ150" s="5" t="n">
        <v>2021</v>
      </c>
      <c r="BK150" s="5"/>
    </row>
    <row r="151" customFormat="false" ht="16.5" hidden="false" customHeight="true" outlineLevel="0" collapsed="false">
      <c r="A151" s="5" t="s">
        <v>983</v>
      </c>
      <c r="C151" s="5"/>
      <c r="D151" s="5" t="s">
        <v>62</v>
      </c>
      <c r="E151" s="5" t="n">
        <v>597220</v>
      </c>
      <c r="F151" s="5" t="n">
        <v>597220</v>
      </c>
      <c r="G151" s="5" t="s">
        <v>147</v>
      </c>
      <c r="H151" s="6" t="n">
        <v>650970</v>
      </c>
      <c r="I151" s="6" t="n">
        <v>650970</v>
      </c>
      <c r="J151" s="7" t="n">
        <v>597220</v>
      </c>
      <c r="K151" s="7" t="n">
        <v>597220</v>
      </c>
      <c r="L151" s="5" t="s">
        <v>84</v>
      </c>
      <c r="M151" s="5" t="s">
        <v>65</v>
      </c>
      <c r="V151" s="5" t="s">
        <v>984</v>
      </c>
      <c r="X151" s="5" t="s">
        <v>151</v>
      </c>
      <c r="Y151" s="5" t="s">
        <v>73</v>
      </c>
      <c r="AI151" s="9" t="n">
        <v>45292</v>
      </c>
      <c r="AL151" s="5" t="n">
        <v>650970</v>
      </c>
      <c r="AM151" s="5" t="s">
        <v>153</v>
      </c>
      <c r="AQ151" s="5" t="s">
        <v>77</v>
      </c>
      <c r="AR151" s="5" t="s">
        <v>151</v>
      </c>
      <c r="AS151" s="5" t="s">
        <v>73</v>
      </c>
      <c r="AT151" s="5" t="s">
        <v>78</v>
      </c>
      <c r="AW151" s="5" t="s">
        <v>94</v>
      </c>
      <c r="AX151" s="10" t="str">
        <f aca="false">IFERROR(INDEX('full database 2024'!ar:ar, MATCH(A151, 'full database 2024'!b:b, 0)), "")</f>
        <v/>
      </c>
      <c r="AZ151" s="5" t="s">
        <v>309</v>
      </c>
      <c r="BD151" s="9" t="n">
        <v>45596</v>
      </c>
      <c r="BE151" s="9" t="n">
        <v>45596</v>
      </c>
      <c r="BJ151" s="5" t="n">
        <v>2024</v>
      </c>
    </row>
    <row r="152" customFormat="false" ht="16.5" hidden="false" customHeight="true" outlineLevel="0" collapsed="false">
      <c r="A152" s="5" t="s">
        <v>985</v>
      </c>
      <c r="C152" s="5"/>
      <c r="D152" s="5" t="s">
        <v>62</v>
      </c>
      <c r="E152" s="5" t="n">
        <v>585377</v>
      </c>
      <c r="F152" s="5" t="n">
        <v>585377</v>
      </c>
      <c r="G152" s="5" t="s">
        <v>147</v>
      </c>
      <c r="H152" s="6" t="n">
        <v>638061</v>
      </c>
      <c r="I152" s="6" t="n">
        <v>638061</v>
      </c>
      <c r="J152" s="7" t="n">
        <v>585377</v>
      </c>
      <c r="K152" s="7" t="n">
        <v>585377</v>
      </c>
      <c r="L152" s="5" t="s">
        <v>84</v>
      </c>
      <c r="M152" s="5" t="s">
        <v>65</v>
      </c>
      <c r="V152" s="5" t="s">
        <v>986</v>
      </c>
      <c r="X152" s="5"/>
      <c r="Y152" s="5" t="s">
        <v>73</v>
      </c>
      <c r="AI152" s="9" t="n">
        <v>43922</v>
      </c>
      <c r="AL152" s="5" t="n">
        <v>638061</v>
      </c>
      <c r="AM152" s="5" t="s">
        <v>821</v>
      </c>
      <c r="AQ152" s="5" t="s">
        <v>77</v>
      </c>
      <c r="AR152" s="5" t="s">
        <v>151</v>
      </c>
      <c r="AS152" s="5" t="s">
        <v>73</v>
      </c>
      <c r="AT152" s="5" t="s">
        <v>78</v>
      </c>
      <c r="AW152" s="5" t="s">
        <v>94</v>
      </c>
      <c r="AX152" s="10" t="str">
        <f aca="false">IFERROR(INDEX('full database 2024'!ar:ar, MATCH(A152, 'full database 2024'!b:b, 0)), "")</f>
        <v/>
      </c>
      <c r="AZ152" s="5" t="s">
        <v>129</v>
      </c>
      <c r="BD152" s="9" t="n">
        <v>45596</v>
      </c>
      <c r="BE152" s="9" t="n">
        <v>45596</v>
      </c>
      <c r="BJ152" s="5" t="n">
        <v>2020</v>
      </c>
    </row>
    <row r="153" customFormat="false" ht="16.5" hidden="false" customHeight="true" outlineLevel="0" collapsed="false">
      <c r="A153" s="5" t="s">
        <v>967</v>
      </c>
      <c r="C153" s="5"/>
      <c r="D153" s="5" t="s">
        <v>62</v>
      </c>
      <c r="E153" s="5" t="n">
        <v>574352</v>
      </c>
      <c r="F153" s="5" t="n">
        <v>574352</v>
      </c>
      <c r="G153" s="5" t="s">
        <v>147</v>
      </c>
      <c r="H153" s="6" t="n">
        <v>626043</v>
      </c>
      <c r="I153" s="6" t="n">
        <v>626043</v>
      </c>
      <c r="J153" s="7" t="n">
        <v>574352</v>
      </c>
      <c r="K153" s="7" t="n">
        <v>574352</v>
      </c>
      <c r="L153" s="5" t="s">
        <v>84</v>
      </c>
      <c r="M153" s="5" t="s">
        <v>65</v>
      </c>
      <c r="V153" s="5" t="s">
        <v>987</v>
      </c>
      <c r="X153" s="5" t="s">
        <v>151</v>
      </c>
      <c r="Y153" s="5" t="s">
        <v>73</v>
      </c>
      <c r="AI153" s="9" t="n">
        <v>44562</v>
      </c>
      <c r="AL153" s="5" t="n">
        <v>626043</v>
      </c>
      <c r="AM153" s="5" t="s">
        <v>153</v>
      </c>
      <c r="AQ153" s="5" t="s">
        <v>77</v>
      </c>
      <c r="AR153" s="5" t="s">
        <v>151</v>
      </c>
      <c r="AS153" s="5" t="s">
        <v>73</v>
      </c>
      <c r="AT153" s="5" t="s">
        <v>78</v>
      </c>
      <c r="AW153" s="5" t="s">
        <v>969</v>
      </c>
      <c r="AX153" s="10" t="str">
        <f aca="false">IFERROR(INDEX('full database 2024'!ar:ar, MATCH(A153, 'full database 2024'!b:b, 0)), "")</f>
        <v/>
      </c>
      <c r="AZ153" s="5" t="s">
        <v>309</v>
      </c>
      <c r="BD153" s="9" t="n">
        <v>45596</v>
      </c>
      <c r="BE153" s="9" t="n">
        <v>45596</v>
      </c>
      <c r="BJ153" s="5" t="n">
        <v>2022</v>
      </c>
    </row>
    <row r="154" customFormat="false" ht="16.5" hidden="false" customHeight="true" outlineLevel="0" collapsed="false">
      <c r="A154" s="5" t="s">
        <v>988</v>
      </c>
      <c r="B154" s="5" t="s">
        <v>989</v>
      </c>
      <c r="C154" s="5"/>
      <c r="D154" s="5" t="s">
        <v>62</v>
      </c>
      <c r="E154" s="5" t="n">
        <v>560067</v>
      </c>
      <c r="F154" s="5" t="n">
        <v>560067</v>
      </c>
      <c r="G154" s="5" t="s">
        <v>147</v>
      </c>
      <c r="H154" s="6" t="n">
        <v>660879</v>
      </c>
      <c r="I154" s="6" t="n">
        <v>660879</v>
      </c>
      <c r="J154" s="7" t="n">
        <v>560067</v>
      </c>
      <c r="K154" s="7" t="n">
        <v>560067</v>
      </c>
      <c r="L154" s="5" t="s">
        <v>84</v>
      </c>
      <c r="M154" s="5" t="s">
        <v>65</v>
      </c>
      <c r="N154" s="8" t="s">
        <v>990</v>
      </c>
      <c r="O154" s="5" t="s">
        <v>991</v>
      </c>
      <c r="T154" s="5" t="s">
        <v>992</v>
      </c>
      <c r="V154" s="5" t="s">
        <v>993</v>
      </c>
      <c r="W154" s="5" t="s">
        <v>384</v>
      </c>
      <c r="X154" s="5" t="s">
        <v>737</v>
      </c>
      <c r="Y154" s="5" t="s">
        <v>73</v>
      </c>
      <c r="AC154" s="5" t="s">
        <v>994</v>
      </c>
      <c r="AD154" s="5" t="s">
        <v>995</v>
      </c>
      <c r="AE154" s="5" t="s">
        <v>74</v>
      </c>
      <c r="AI154" s="9" t="n">
        <v>44287</v>
      </c>
      <c r="AL154" s="5" t="n">
        <v>660879</v>
      </c>
      <c r="AM154" s="5" t="s">
        <v>736</v>
      </c>
      <c r="AQ154" s="5" t="s">
        <v>77</v>
      </c>
      <c r="AR154" s="5" t="s">
        <v>737</v>
      </c>
      <c r="AS154" s="5" t="s">
        <v>73</v>
      </c>
      <c r="AT154" s="5" t="s">
        <v>78</v>
      </c>
      <c r="AW154" s="5" t="s">
        <v>94</v>
      </c>
      <c r="AX154" s="10" t="str">
        <f aca="false">IFERROR(INDEX('full database 2024'!ar:ar, MATCH(A154, 'full database 2024'!b:b, 0)), "")</f>
        <v/>
      </c>
      <c r="AZ154" s="5" t="s">
        <v>188</v>
      </c>
      <c r="BD154" s="9" t="n">
        <v>45377</v>
      </c>
      <c r="BE154" s="9" t="n">
        <v>45779</v>
      </c>
      <c r="BI154" s="5" t="s">
        <v>81</v>
      </c>
      <c r="BJ154" s="5" t="n">
        <v>2021</v>
      </c>
      <c r="BK154" s="11" t="n">
        <v>44930</v>
      </c>
    </row>
    <row r="155" customFormat="false" ht="16.5" hidden="false" customHeight="true" outlineLevel="0" collapsed="false">
      <c r="A155" s="5" t="s">
        <v>996</v>
      </c>
      <c r="B155" s="5"/>
      <c r="C155" s="5"/>
      <c r="D155" s="5" t="s">
        <v>62</v>
      </c>
      <c r="E155" s="5" t="n">
        <v>552455</v>
      </c>
      <c r="F155" s="5" t="n">
        <v>552455</v>
      </c>
      <c r="G155" s="5" t="s">
        <v>732</v>
      </c>
      <c r="H155" s="6" t="n">
        <v>607701</v>
      </c>
      <c r="I155" s="6" t="n">
        <v>607701</v>
      </c>
      <c r="J155" s="7" t="n">
        <f aca="false">E155*1.07</f>
        <v>591126.85</v>
      </c>
      <c r="K155" s="7" t="n">
        <f aca="false">F155*1.07</f>
        <v>591126.85</v>
      </c>
      <c r="L155" s="5" t="s">
        <v>84</v>
      </c>
      <c r="M155" s="5" t="s">
        <v>65</v>
      </c>
      <c r="N155" s="8" t="s">
        <v>997</v>
      </c>
      <c r="O155" s="5" t="s">
        <v>998</v>
      </c>
      <c r="P155" s="5"/>
      <c r="Q155" s="5"/>
      <c r="R155" s="5" t="s">
        <v>486</v>
      </c>
      <c r="T155" s="5" t="s">
        <v>999</v>
      </c>
      <c r="V155" s="5"/>
      <c r="W155" s="5"/>
      <c r="X155" s="5"/>
      <c r="Y155" s="5" t="s">
        <v>73</v>
      </c>
      <c r="AC155" s="5"/>
      <c r="AD155" s="5"/>
      <c r="AE155" s="5"/>
      <c r="AI155" s="9" t="n">
        <v>44866</v>
      </c>
      <c r="AJ155" s="5" t="n">
        <v>36</v>
      </c>
      <c r="AK155" s="5" t="s">
        <v>433</v>
      </c>
      <c r="AL155" s="5" t="n">
        <v>16881</v>
      </c>
      <c r="AM155" s="5" t="s">
        <v>736</v>
      </c>
      <c r="AQ155" s="5" t="s">
        <v>77</v>
      </c>
      <c r="AR155" s="5" t="s">
        <v>737</v>
      </c>
      <c r="AS155" s="5" t="s">
        <v>73</v>
      </c>
      <c r="AT155" s="5" t="s">
        <v>78</v>
      </c>
      <c r="AW155" s="5" t="s">
        <v>94</v>
      </c>
      <c r="AX155" s="10" t="str">
        <f aca="false">IFERROR(INDEX('full database 2024'!ar:ar, MATCH(A155, 'full database 2024'!b:b, 0)), "")</f>
        <v/>
      </c>
      <c r="AZ155" s="5" t="s">
        <v>396</v>
      </c>
      <c r="BD155" s="9" t="n">
        <v>45596</v>
      </c>
      <c r="BE155" s="9" t="n">
        <v>45596</v>
      </c>
      <c r="BI155" s="5"/>
      <c r="BJ155" s="5" t="n">
        <v>2022</v>
      </c>
      <c r="BK155" s="11" t="n">
        <v>36526</v>
      </c>
    </row>
    <row r="156" customFormat="false" ht="16.5" hidden="false" customHeight="true" outlineLevel="0" collapsed="false">
      <c r="A156" s="5" t="s">
        <v>1000</v>
      </c>
      <c r="C156" s="5"/>
      <c r="D156" s="5" t="s">
        <v>62</v>
      </c>
      <c r="E156" s="5" t="n">
        <v>550867</v>
      </c>
      <c r="F156" s="5" t="n">
        <v>550867</v>
      </c>
      <c r="G156" s="5" t="s">
        <v>147</v>
      </c>
      <c r="H156" s="6" t="n">
        <v>600445</v>
      </c>
      <c r="I156" s="6" t="n">
        <v>600445</v>
      </c>
      <c r="J156" s="7" t="n">
        <v>550867</v>
      </c>
      <c r="K156" s="7" t="n">
        <v>550867</v>
      </c>
      <c r="L156" s="5" t="s">
        <v>84</v>
      </c>
      <c r="M156" s="5" t="s">
        <v>65</v>
      </c>
      <c r="T156" s="5"/>
      <c r="V156" s="5" t="s">
        <v>1001</v>
      </c>
      <c r="X156" s="5" t="s">
        <v>151</v>
      </c>
      <c r="Y156" s="5" t="s">
        <v>73</v>
      </c>
      <c r="AI156" s="9" t="n">
        <v>44562</v>
      </c>
      <c r="AJ156" s="5"/>
      <c r="AK156" s="5"/>
      <c r="AL156" s="5" t="n">
        <v>600445</v>
      </c>
      <c r="AM156" s="5" t="s">
        <v>153</v>
      </c>
      <c r="AQ156" s="5" t="s">
        <v>77</v>
      </c>
      <c r="AR156" s="5" t="s">
        <v>151</v>
      </c>
      <c r="AS156" s="5" t="s">
        <v>73</v>
      </c>
      <c r="AT156" s="5" t="s">
        <v>78</v>
      </c>
      <c r="AW156" s="5" t="s">
        <v>969</v>
      </c>
      <c r="AX156" s="10" t="str">
        <f aca="false">IFERROR(INDEX('full database 2024'!ar:ar, MATCH(A156, 'full database 2024'!b:b, 0)), "")</f>
        <v/>
      </c>
      <c r="AZ156" s="5" t="s">
        <v>309</v>
      </c>
      <c r="BD156" s="9" t="n">
        <v>45596</v>
      </c>
      <c r="BE156" s="9" t="n">
        <v>45596</v>
      </c>
      <c r="BJ156" s="5" t="n">
        <v>2022</v>
      </c>
      <c r="BK156" s="11"/>
    </row>
    <row r="157" customFormat="false" ht="16.5" hidden="false" customHeight="true" outlineLevel="0" collapsed="false">
      <c r="A157" s="5" t="s">
        <v>1002</v>
      </c>
      <c r="C157" s="5"/>
      <c r="D157" s="5" t="s">
        <v>62</v>
      </c>
      <c r="E157" s="5" t="n">
        <v>540095</v>
      </c>
      <c r="F157" s="5" t="n">
        <v>540095</v>
      </c>
      <c r="G157" s="5" t="s">
        <v>147</v>
      </c>
      <c r="H157" s="6" t="n">
        <v>588703</v>
      </c>
      <c r="I157" s="6" t="n">
        <v>588703</v>
      </c>
      <c r="J157" s="7" t="n">
        <v>540095</v>
      </c>
      <c r="K157" s="7" t="n">
        <v>540095</v>
      </c>
      <c r="L157" s="5" t="s">
        <v>84</v>
      </c>
      <c r="M157" s="5" t="s">
        <v>65</v>
      </c>
      <c r="V157" s="5" t="s">
        <v>1003</v>
      </c>
      <c r="X157" s="5" t="s">
        <v>151</v>
      </c>
      <c r="Y157" s="5" t="s">
        <v>73</v>
      </c>
      <c r="AI157" s="9"/>
      <c r="AL157" s="5" t="n">
        <v>588703</v>
      </c>
      <c r="AM157" s="5" t="s">
        <v>153</v>
      </c>
      <c r="AQ157" s="5" t="s">
        <v>77</v>
      </c>
      <c r="AR157" s="5" t="s">
        <v>151</v>
      </c>
      <c r="AS157" s="5" t="s">
        <v>73</v>
      </c>
      <c r="AT157" s="5" t="s">
        <v>78</v>
      </c>
      <c r="AW157" s="5" t="s">
        <v>94</v>
      </c>
      <c r="AX157" s="10" t="str">
        <f aca="false">IFERROR(INDEX('full database 2024'!ar:ar, MATCH(A157, 'full database 2024'!b:b, 0)), "")</f>
        <v/>
      </c>
      <c r="AZ157" s="5" t="s">
        <v>309</v>
      </c>
      <c r="BD157" s="9" t="n">
        <v>45596</v>
      </c>
      <c r="BE157" s="9" t="n">
        <v>45596</v>
      </c>
      <c r="BJ157" s="5" t="n">
        <v>2023</v>
      </c>
    </row>
    <row r="158" customFormat="false" ht="16.5" hidden="false" customHeight="true" outlineLevel="0" collapsed="false">
      <c r="A158" s="5" t="s">
        <v>1004</v>
      </c>
      <c r="C158" s="5"/>
      <c r="D158" s="5" t="s">
        <v>62</v>
      </c>
      <c r="E158" s="5" t="n">
        <v>539807</v>
      </c>
      <c r="F158" s="5" t="n">
        <v>539807</v>
      </c>
      <c r="G158" s="5" t="s">
        <v>147</v>
      </c>
      <c r="H158" s="6" t="n">
        <v>588390</v>
      </c>
      <c r="I158" s="6" t="n">
        <v>588390</v>
      </c>
      <c r="J158" s="7" t="n">
        <v>539807</v>
      </c>
      <c r="K158" s="7" t="n">
        <v>539807</v>
      </c>
      <c r="L158" s="5" t="s">
        <v>84</v>
      </c>
      <c r="M158" s="5" t="s">
        <v>65</v>
      </c>
      <c r="V158" s="5" t="s">
        <v>1005</v>
      </c>
      <c r="X158" s="5" t="s">
        <v>151</v>
      </c>
      <c r="Y158" s="5" t="s">
        <v>73</v>
      </c>
      <c r="AI158" s="9" t="n">
        <v>44933</v>
      </c>
      <c r="AL158" s="5" t="n">
        <v>588390</v>
      </c>
      <c r="AM158" s="5" t="s">
        <v>153</v>
      </c>
      <c r="AQ158" s="5" t="s">
        <v>77</v>
      </c>
      <c r="AR158" s="5" t="s">
        <v>151</v>
      </c>
      <c r="AS158" s="5" t="s">
        <v>73</v>
      </c>
      <c r="AT158" s="5" t="s">
        <v>78</v>
      </c>
      <c r="AW158" s="5" t="s">
        <v>94</v>
      </c>
      <c r="AX158" s="10" t="str">
        <f aca="false">IFERROR(INDEX('full database 2024'!ar:ar, MATCH(A158, 'full database 2024'!b:b, 0)), "")</f>
        <v/>
      </c>
      <c r="AZ158" s="5" t="s">
        <v>129</v>
      </c>
      <c r="BD158" s="9" t="n">
        <v>45596</v>
      </c>
      <c r="BE158" s="9" t="n">
        <v>45596</v>
      </c>
      <c r="BJ158" s="5" t="n">
        <v>2023</v>
      </c>
    </row>
    <row r="159" customFormat="false" ht="16.5" hidden="false" customHeight="true" outlineLevel="0" collapsed="false">
      <c r="A159" s="5" t="s">
        <v>1006</v>
      </c>
      <c r="B159" s="5" t="s">
        <v>1007</v>
      </c>
      <c r="C159" s="5"/>
      <c r="D159" s="5" t="s">
        <v>62</v>
      </c>
      <c r="E159" s="16" t="n">
        <v>448703</v>
      </c>
      <c r="F159" s="16" t="n">
        <v>448703</v>
      </c>
      <c r="G159" s="5" t="s">
        <v>132</v>
      </c>
      <c r="H159" s="6" t="n">
        <v>635038</v>
      </c>
      <c r="I159" s="6" t="n">
        <v>635038</v>
      </c>
      <c r="J159" s="7" t="n">
        <f aca="false">E159*1.19</f>
        <v>533956.57</v>
      </c>
      <c r="K159" s="7" t="n">
        <f aca="false">F159*1.19</f>
        <v>533956.57</v>
      </c>
      <c r="L159" s="5" t="s">
        <v>84</v>
      </c>
      <c r="M159" s="5" t="s">
        <v>65</v>
      </c>
      <c r="N159" s="8" t="s">
        <v>1008</v>
      </c>
      <c r="O159" s="5" t="s">
        <v>1009</v>
      </c>
      <c r="T159" s="5" t="s">
        <v>1010</v>
      </c>
      <c r="V159" s="5" t="s">
        <v>847</v>
      </c>
      <c r="W159" s="5" t="s">
        <v>102</v>
      </c>
      <c r="X159" s="5" t="s">
        <v>139</v>
      </c>
      <c r="Y159" s="5" t="s">
        <v>73</v>
      </c>
      <c r="AE159" s="5" t="s">
        <v>117</v>
      </c>
      <c r="AI159" s="9" t="n">
        <v>44470</v>
      </c>
      <c r="AL159" s="5" t="n">
        <v>635038</v>
      </c>
      <c r="AM159" s="5" t="s">
        <v>140</v>
      </c>
      <c r="AN159" s="5" t="s">
        <v>699</v>
      </c>
      <c r="AQ159" s="5" t="s">
        <v>77</v>
      </c>
      <c r="AR159" s="5" t="s">
        <v>143</v>
      </c>
      <c r="AS159" s="5" t="s">
        <v>73</v>
      </c>
      <c r="AT159" s="5" t="s">
        <v>374</v>
      </c>
      <c r="AW159" s="5" t="s">
        <v>94</v>
      </c>
      <c r="AX159" s="10" t="str">
        <f aca="false">IFERROR(INDEX('full database 2024'!ar:ar, MATCH(A159, 'full database 2024'!b:b, 0)), "")</f>
        <v/>
      </c>
      <c r="AZ159" s="5" t="s">
        <v>239</v>
      </c>
      <c r="BD159" s="9" t="n">
        <v>45377</v>
      </c>
      <c r="BE159" s="9" t="n">
        <v>45779</v>
      </c>
      <c r="BI159" s="5" t="s">
        <v>81</v>
      </c>
      <c r="BJ159" s="5" t="n">
        <v>2021</v>
      </c>
      <c r="BK159" s="11" t="n">
        <v>44929</v>
      </c>
    </row>
    <row r="160" customFormat="false" ht="16.5" hidden="false" customHeight="true" outlineLevel="0" collapsed="false">
      <c r="A160" s="5" t="s">
        <v>1011</v>
      </c>
      <c r="B160" s="5"/>
      <c r="C160" s="5"/>
      <c r="D160" s="5" t="s">
        <v>62</v>
      </c>
      <c r="E160" s="5" t="n">
        <v>537447</v>
      </c>
      <c r="F160" s="5" t="n">
        <v>537447</v>
      </c>
      <c r="G160" s="5" t="s">
        <v>147</v>
      </c>
      <c r="H160" s="6" t="n">
        <v>585817</v>
      </c>
      <c r="I160" s="6" t="n">
        <v>585817</v>
      </c>
      <c r="J160" s="7" t="n">
        <v>537447</v>
      </c>
      <c r="K160" s="7" t="n">
        <v>537447</v>
      </c>
      <c r="L160" s="5" t="s">
        <v>84</v>
      </c>
      <c r="M160" s="5" t="s">
        <v>65</v>
      </c>
      <c r="N160" s="5"/>
      <c r="O160" s="5"/>
      <c r="T160" s="5"/>
      <c r="V160" s="5" t="s">
        <v>1012</v>
      </c>
      <c r="W160" s="5"/>
      <c r="X160" s="5" t="s">
        <v>151</v>
      </c>
      <c r="Y160" s="5" t="s">
        <v>73</v>
      </c>
      <c r="AE160" s="5"/>
      <c r="AI160" s="9" t="n">
        <v>45293</v>
      </c>
      <c r="AL160" s="5" t="n">
        <v>585817</v>
      </c>
      <c r="AM160" s="5" t="s">
        <v>153</v>
      </c>
      <c r="AQ160" s="5" t="s">
        <v>77</v>
      </c>
      <c r="AR160" s="5" t="s">
        <v>151</v>
      </c>
      <c r="AS160" s="5" t="s">
        <v>73</v>
      </c>
      <c r="AT160" s="5" t="s">
        <v>78</v>
      </c>
      <c r="AW160" s="5" t="s">
        <v>94</v>
      </c>
      <c r="AX160" s="10" t="str">
        <f aca="false">IFERROR(INDEX('full database 2024'!ar:ar, MATCH(A160, 'full database 2024'!b:b, 0)), "")</f>
        <v/>
      </c>
      <c r="AZ160" s="5" t="s">
        <v>525</v>
      </c>
      <c r="BD160" s="9" t="n">
        <v>45596</v>
      </c>
      <c r="BE160" s="9" t="n">
        <v>45596</v>
      </c>
      <c r="BI160" s="5"/>
      <c r="BJ160" s="5" t="n">
        <v>2024</v>
      </c>
      <c r="BK160" s="11"/>
    </row>
    <row r="161" customFormat="false" ht="16.5" hidden="false" customHeight="true" outlineLevel="0" collapsed="false">
      <c r="A161" s="5" t="s">
        <v>1013</v>
      </c>
      <c r="C161" s="5"/>
      <c r="D161" s="5" t="s">
        <v>62</v>
      </c>
      <c r="E161" s="16" t="n">
        <v>530502</v>
      </c>
      <c r="F161" s="16" t="n">
        <v>530502</v>
      </c>
      <c r="G161" s="5" t="s">
        <v>132</v>
      </c>
      <c r="H161" s="6" t="n">
        <v>663128</v>
      </c>
      <c r="I161" s="6" t="n">
        <v>663128</v>
      </c>
      <c r="J161" s="7" t="n">
        <f aca="false">E161*1.19</f>
        <v>631297.38</v>
      </c>
      <c r="K161" s="7" t="n">
        <f aca="false">F161*1.19</f>
        <v>631297.38</v>
      </c>
      <c r="L161" s="5" t="s">
        <v>84</v>
      </c>
      <c r="M161" s="5" t="s">
        <v>65</v>
      </c>
      <c r="T161" s="5" t="s">
        <v>1014</v>
      </c>
      <c r="V161" s="5" t="s">
        <v>1015</v>
      </c>
      <c r="X161" s="5" t="s">
        <v>139</v>
      </c>
      <c r="Y161" s="5" t="s">
        <v>73</v>
      </c>
      <c r="AI161" s="9" t="n">
        <v>44927</v>
      </c>
      <c r="AJ161" s="5" t="n">
        <v>49</v>
      </c>
      <c r="AK161" s="5" t="s">
        <v>433</v>
      </c>
      <c r="AL161" s="5" t="n">
        <v>13533</v>
      </c>
      <c r="AM161" s="5" t="s">
        <v>140</v>
      </c>
      <c r="AN161" s="5" t="s">
        <v>673</v>
      </c>
      <c r="AQ161" s="5" t="s">
        <v>77</v>
      </c>
      <c r="AR161" s="5" t="s">
        <v>143</v>
      </c>
      <c r="AS161" s="5" t="s">
        <v>73</v>
      </c>
      <c r="AT161" s="5" t="s">
        <v>105</v>
      </c>
      <c r="AU161" s="10" t="s">
        <v>106</v>
      </c>
      <c r="AW161" s="5" t="s">
        <v>94</v>
      </c>
      <c r="AX161" s="10" t="str">
        <f aca="false">IFERROR(INDEX('full database 2024'!ar:ar, MATCH(A161, 'full database 2024'!b:b, 0)), "")</f>
        <v/>
      </c>
      <c r="AZ161" s="5" t="s">
        <v>121</v>
      </c>
      <c r="BD161" s="9" t="n">
        <v>45596</v>
      </c>
      <c r="BE161" s="9" t="n">
        <v>45779</v>
      </c>
      <c r="BJ161" s="5" t="n">
        <v>2023</v>
      </c>
      <c r="BK161" s="11" t="n">
        <v>36526</v>
      </c>
    </row>
    <row r="162" customFormat="false" ht="16.5" hidden="false" customHeight="true" outlineLevel="0" collapsed="false">
      <c r="A162" s="5" t="s">
        <v>967</v>
      </c>
      <c r="C162" s="5"/>
      <c r="D162" s="5" t="s">
        <v>62</v>
      </c>
      <c r="E162" s="5" t="n">
        <v>523573</v>
      </c>
      <c r="F162" s="5" t="n">
        <v>523573</v>
      </c>
      <c r="G162" s="5" t="s">
        <v>147</v>
      </c>
      <c r="H162" s="6" t="n">
        <v>570695</v>
      </c>
      <c r="I162" s="6" t="n">
        <v>570695</v>
      </c>
      <c r="J162" s="7" t="n">
        <v>523573</v>
      </c>
      <c r="K162" s="7" t="n">
        <v>523573</v>
      </c>
      <c r="L162" s="5" t="s">
        <v>84</v>
      </c>
      <c r="M162" s="5" t="s">
        <v>65</v>
      </c>
      <c r="T162" s="5"/>
      <c r="V162" s="5" t="s">
        <v>1016</v>
      </c>
      <c r="X162" s="5" t="s">
        <v>151</v>
      </c>
      <c r="Y162" s="5" t="s">
        <v>73</v>
      </c>
      <c r="AI162" s="9" t="n">
        <v>44562</v>
      </c>
      <c r="AJ162" s="5"/>
      <c r="AK162" s="5"/>
      <c r="AL162" s="5" t="n">
        <v>570695</v>
      </c>
      <c r="AM162" s="5" t="s">
        <v>153</v>
      </c>
      <c r="AQ162" s="5" t="s">
        <v>77</v>
      </c>
      <c r="AR162" s="5" t="s">
        <v>151</v>
      </c>
      <c r="AS162" s="5" t="s">
        <v>73</v>
      </c>
      <c r="AT162" s="5" t="s">
        <v>78</v>
      </c>
      <c r="AW162" s="5" t="s">
        <v>969</v>
      </c>
      <c r="AX162" s="10" t="str">
        <f aca="false">IFERROR(INDEX('full database 2024'!ar:ar, MATCH(A162, 'full database 2024'!b:b, 0)), "")</f>
        <v/>
      </c>
      <c r="AZ162" s="5" t="s">
        <v>309</v>
      </c>
      <c r="BD162" s="9" t="n">
        <v>45596</v>
      </c>
      <c r="BE162" s="9" t="n">
        <v>45596</v>
      </c>
      <c r="BJ162" s="5" t="n">
        <v>2022</v>
      </c>
      <c r="BK162" s="11"/>
    </row>
    <row r="163" customFormat="false" ht="16.5" hidden="false" customHeight="true" outlineLevel="0" collapsed="false">
      <c r="A163" s="5" t="s">
        <v>1017</v>
      </c>
      <c r="C163" s="5"/>
      <c r="D163" s="5" t="s">
        <v>62</v>
      </c>
      <c r="E163" s="16" t="n">
        <v>523355</v>
      </c>
      <c r="F163" s="16" t="n">
        <v>523355</v>
      </c>
      <c r="G163" s="5" t="s">
        <v>132</v>
      </c>
      <c r="H163" s="6" t="n">
        <v>651315</v>
      </c>
      <c r="I163" s="6" t="n">
        <v>651315</v>
      </c>
      <c r="J163" s="7" t="n">
        <f aca="false">E163*1.19</f>
        <v>622792.45</v>
      </c>
      <c r="K163" s="7" t="n">
        <f aca="false">F163*1.19</f>
        <v>622792.45</v>
      </c>
      <c r="L163" s="5" t="s">
        <v>84</v>
      </c>
      <c r="M163" s="5"/>
      <c r="N163" s="8" t="s">
        <v>1018</v>
      </c>
      <c r="O163" s="5" t="s">
        <v>70</v>
      </c>
      <c r="P163" s="5"/>
      <c r="Q163" s="5"/>
      <c r="R163" s="5" t="s">
        <v>1019</v>
      </c>
      <c r="S163" s="5" t="s">
        <v>1020</v>
      </c>
      <c r="T163" s="5" t="s">
        <v>1021</v>
      </c>
      <c r="U163" s="5" t="s">
        <v>1022</v>
      </c>
      <c r="V163" s="5" t="s">
        <v>1023</v>
      </c>
      <c r="W163" s="5" t="s">
        <v>90</v>
      </c>
      <c r="X163" s="5" t="s">
        <v>139</v>
      </c>
      <c r="Y163" s="5" t="s">
        <v>73</v>
      </c>
      <c r="Z163" s="5" t="s">
        <v>70</v>
      </c>
      <c r="AD163" s="5" t="s">
        <v>1024</v>
      </c>
      <c r="AE163" s="5" t="s">
        <v>74</v>
      </c>
      <c r="AI163" s="9" t="n">
        <v>44805</v>
      </c>
      <c r="AJ163" s="5" t="n">
        <v>2</v>
      </c>
      <c r="AK163" s="5" t="s">
        <v>75</v>
      </c>
      <c r="AL163" s="5" t="n">
        <v>325658</v>
      </c>
      <c r="AM163" s="5" t="s">
        <v>140</v>
      </c>
      <c r="AN163" s="5" t="s">
        <v>141</v>
      </c>
      <c r="AQ163" s="5" t="s">
        <v>77</v>
      </c>
      <c r="AR163" s="5" t="s">
        <v>143</v>
      </c>
      <c r="AS163" s="5" t="s">
        <v>73</v>
      </c>
      <c r="AT163" s="5" t="s">
        <v>374</v>
      </c>
      <c r="AW163" s="5" t="s">
        <v>94</v>
      </c>
      <c r="AX163" s="10" t="str">
        <f aca="false">IFERROR(INDEX('full database 2024'!ar:ar, MATCH(A163, 'full database 2024'!b:b, 0)), "")</f>
        <v/>
      </c>
      <c r="AZ163" s="5" t="s">
        <v>287</v>
      </c>
      <c r="BD163" s="9" t="n">
        <v>45035</v>
      </c>
      <c r="BE163" s="9" t="n">
        <v>45779</v>
      </c>
      <c r="BI163" s="5" t="s">
        <v>145</v>
      </c>
      <c r="BJ163" s="5" t="n">
        <v>2022</v>
      </c>
      <c r="BK163" s="11" t="n">
        <v>45300</v>
      </c>
    </row>
    <row r="164" customFormat="false" ht="16.5" hidden="false" customHeight="true" outlineLevel="0" collapsed="false">
      <c r="A164" s="5" t="s">
        <v>1025</v>
      </c>
      <c r="B164" s="5" t="s">
        <v>1026</v>
      </c>
      <c r="C164" s="5"/>
      <c r="D164" s="5" t="s">
        <v>62</v>
      </c>
      <c r="E164" s="5" t="n">
        <v>522799</v>
      </c>
      <c r="F164" s="5" t="n">
        <v>522799</v>
      </c>
      <c r="G164" s="5" t="s">
        <v>732</v>
      </c>
      <c r="H164" s="6" t="n">
        <v>575079</v>
      </c>
      <c r="I164" s="6" t="n">
        <v>575079</v>
      </c>
      <c r="J164" s="7" t="n">
        <f aca="false">E164*1.07</f>
        <v>559394.93</v>
      </c>
      <c r="K164" s="7" t="n">
        <f aca="false">F164*1.07</f>
        <v>559394.93</v>
      </c>
      <c r="L164" s="5" t="s">
        <v>84</v>
      </c>
      <c r="M164" s="5" t="s">
        <v>65</v>
      </c>
      <c r="N164" s="8" t="s">
        <v>1027</v>
      </c>
      <c r="O164" s="5" t="s">
        <v>1028</v>
      </c>
      <c r="P164" s="5"/>
      <c r="Q164" s="5"/>
      <c r="R164" s="5"/>
      <c r="S164" s="5"/>
      <c r="T164" s="5" t="s">
        <v>1029</v>
      </c>
      <c r="U164" s="5"/>
      <c r="V164" s="5"/>
      <c r="W164" s="5"/>
      <c r="X164" s="5"/>
      <c r="Y164" s="5" t="s">
        <v>73</v>
      </c>
      <c r="Z164" s="5"/>
      <c r="AD164" s="5"/>
      <c r="AE164" s="5"/>
      <c r="AI164" s="9" t="n">
        <v>44835</v>
      </c>
      <c r="AJ164" s="5" t="n">
        <v>24</v>
      </c>
      <c r="AK164" s="5" t="s">
        <v>433</v>
      </c>
      <c r="AL164" s="5" t="n">
        <v>23962</v>
      </c>
      <c r="AM164" s="5" t="s">
        <v>736</v>
      </c>
      <c r="AN164" s="5"/>
      <c r="AQ164" s="5" t="s">
        <v>77</v>
      </c>
      <c r="AR164" s="5" t="s">
        <v>737</v>
      </c>
      <c r="AS164" s="5" t="s">
        <v>73</v>
      </c>
      <c r="AT164" s="5" t="s">
        <v>78</v>
      </c>
      <c r="AW164" s="5" t="s">
        <v>94</v>
      </c>
      <c r="AX164" s="10" t="str">
        <f aca="false">IFERROR(INDEX('full database 2024'!ar:ar, MATCH(A164, 'full database 2024'!b:b, 0)), "")</f>
        <v/>
      </c>
      <c r="AY164" s="5" t="s">
        <v>447</v>
      </c>
      <c r="AZ164" s="5" t="s">
        <v>188</v>
      </c>
      <c r="BD164" s="9" t="n">
        <v>45596</v>
      </c>
      <c r="BE164" s="9" t="n">
        <v>45779</v>
      </c>
      <c r="BI164" s="5"/>
      <c r="BJ164" s="5" t="n">
        <v>2022</v>
      </c>
      <c r="BK164" s="11" t="n">
        <v>36526</v>
      </c>
    </row>
    <row r="165" customFormat="false" ht="16.5" hidden="false" customHeight="true" outlineLevel="0" collapsed="false">
      <c r="A165" s="5" t="s">
        <v>1030</v>
      </c>
      <c r="B165" s="5" t="s">
        <v>920</v>
      </c>
      <c r="C165" s="5"/>
      <c r="D165" s="5" t="s">
        <v>62</v>
      </c>
      <c r="E165" s="5" t="n">
        <v>521407</v>
      </c>
      <c r="F165" s="5" t="n">
        <v>521407</v>
      </c>
      <c r="G165" s="5" t="s">
        <v>147</v>
      </c>
      <c r="H165" s="6" t="n">
        <v>563410</v>
      </c>
      <c r="I165" s="6" t="n">
        <v>563410</v>
      </c>
      <c r="J165" s="7" t="n">
        <v>521407</v>
      </c>
      <c r="K165" s="7" t="n">
        <v>521407</v>
      </c>
      <c r="L165" s="5" t="s">
        <v>84</v>
      </c>
      <c r="M165" s="5"/>
      <c r="N165" s="8" t="s">
        <v>1031</v>
      </c>
      <c r="O165" s="5" t="s">
        <v>1032</v>
      </c>
      <c r="T165" s="5"/>
      <c r="V165" s="5" t="s">
        <v>923</v>
      </c>
      <c r="X165" s="5" t="s">
        <v>151</v>
      </c>
      <c r="Y165" s="5" t="s">
        <v>73</v>
      </c>
      <c r="AI165" s="9" t="n">
        <v>45170</v>
      </c>
      <c r="AJ165" s="5"/>
      <c r="AK165" s="5"/>
      <c r="AL165" s="5" t="n">
        <v>563410</v>
      </c>
      <c r="AM165" s="5" t="s">
        <v>924</v>
      </c>
      <c r="AN165" s="5"/>
      <c r="AQ165" s="5" t="s">
        <v>77</v>
      </c>
      <c r="AR165" s="5" t="s">
        <v>151</v>
      </c>
      <c r="AS165" s="5" t="s">
        <v>73</v>
      </c>
      <c r="AT165" s="5" t="s">
        <v>78</v>
      </c>
      <c r="AW165" s="5" t="s">
        <v>94</v>
      </c>
      <c r="AX165" s="10" t="str">
        <f aca="false">IFERROR(INDEX('full database 2024'!ar:ar, MATCH(A165, 'full database 2024'!b:b, 0)), "")</f>
        <v/>
      </c>
      <c r="AZ165" s="5" t="s">
        <v>129</v>
      </c>
      <c r="BD165" s="9" t="n">
        <v>45671</v>
      </c>
      <c r="BE165" s="9" t="n">
        <v>45779</v>
      </c>
      <c r="BJ165" s="5" t="n">
        <v>2023</v>
      </c>
      <c r="BK165" s="5" t="s">
        <v>1033</v>
      </c>
    </row>
    <row r="166" customFormat="false" ht="16.5" hidden="false" customHeight="true" outlineLevel="0" collapsed="false">
      <c r="A166" s="5" t="s">
        <v>1034</v>
      </c>
      <c r="B166" s="5"/>
      <c r="C166" s="5"/>
      <c r="D166" s="5" t="s">
        <v>62</v>
      </c>
      <c r="E166" s="5" t="n">
        <v>514795</v>
      </c>
      <c r="F166" s="5" t="n">
        <v>514795</v>
      </c>
      <c r="G166" s="5" t="s">
        <v>147</v>
      </c>
      <c r="H166" s="6" t="n">
        <v>561127</v>
      </c>
      <c r="I166" s="6" t="n">
        <v>561127</v>
      </c>
      <c r="J166" s="7" t="n">
        <v>514795</v>
      </c>
      <c r="K166" s="7" t="n">
        <v>514795</v>
      </c>
      <c r="L166" s="5" t="s">
        <v>84</v>
      </c>
      <c r="M166" s="5" t="s">
        <v>65</v>
      </c>
      <c r="N166" s="5"/>
      <c r="O166" s="5"/>
      <c r="V166" s="5" t="s">
        <v>1035</v>
      </c>
      <c r="X166" s="5"/>
      <c r="Y166" s="5" t="s">
        <v>73</v>
      </c>
      <c r="AI166" s="9" t="n">
        <v>44805</v>
      </c>
      <c r="AL166" s="5" t="n">
        <v>561127</v>
      </c>
      <c r="AM166" s="5" t="s">
        <v>924</v>
      </c>
      <c r="AN166" s="5"/>
      <c r="AQ166" s="5" t="s">
        <v>77</v>
      </c>
      <c r="AR166" s="5" t="s">
        <v>151</v>
      </c>
      <c r="AS166" s="5" t="s">
        <v>73</v>
      </c>
      <c r="AT166" s="5" t="s">
        <v>78</v>
      </c>
      <c r="AW166" s="5" t="s">
        <v>94</v>
      </c>
      <c r="AX166" s="10" t="str">
        <f aca="false">IFERROR(INDEX('full database 2024'!ar:ar, MATCH(A166, 'full database 2024'!b:b, 0)), "")</f>
        <v/>
      </c>
      <c r="AZ166" s="5" t="s">
        <v>129</v>
      </c>
      <c r="BD166" s="9" t="n">
        <v>45596</v>
      </c>
      <c r="BE166" s="9" t="n">
        <v>45596</v>
      </c>
      <c r="BJ166" s="5" t="n">
        <v>2022</v>
      </c>
      <c r="BK166" s="5"/>
    </row>
    <row r="167" customFormat="false" ht="16.5" hidden="false" customHeight="true" outlineLevel="0" collapsed="false">
      <c r="A167" s="5" t="s">
        <v>967</v>
      </c>
      <c r="C167" s="5"/>
      <c r="D167" s="5" t="s">
        <v>62</v>
      </c>
      <c r="E167" s="5" t="n">
        <v>510161</v>
      </c>
      <c r="F167" s="5" t="n">
        <v>510161</v>
      </c>
      <c r="G167" s="5" t="s">
        <v>147</v>
      </c>
      <c r="H167" s="6" t="n">
        <v>556076</v>
      </c>
      <c r="I167" s="6" t="n">
        <v>556076</v>
      </c>
      <c r="J167" s="7" t="n">
        <v>510161</v>
      </c>
      <c r="K167" s="7" t="n">
        <v>510161</v>
      </c>
      <c r="L167" s="5" t="s">
        <v>84</v>
      </c>
      <c r="M167" s="5" t="s">
        <v>65</v>
      </c>
      <c r="V167" s="5" t="s">
        <v>1036</v>
      </c>
      <c r="X167" s="5" t="s">
        <v>151</v>
      </c>
      <c r="Y167" s="5" t="s">
        <v>73</v>
      </c>
      <c r="AI167" s="9"/>
      <c r="AL167" s="5" t="n">
        <v>556076</v>
      </c>
      <c r="AM167" s="5" t="s">
        <v>153</v>
      </c>
      <c r="AN167" s="5"/>
      <c r="AQ167" s="5" t="s">
        <v>77</v>
      </c>
      <c r="AR167" s="5" t="s">
        <v>151</v>
      </c>
      <c r="AS167" s="5" t="s">
        <v>73</v>
      </c>
      <c r="AT167" s="5" t="s">
        <v>78</v>
      </c>
      <c r="AW167" s="5" t="s">
        <v>969</v>
      </c>
      <c r="AX167" s="10" t="str">
        <f aca="false">IFERROR(INDEX('full database 2024'!ar:ar, MATCH(A167, 'full database 2024'!b:b, 0)), "")</f>
        <v/>
      </c>
      <c r="AZ167" s="5" t="s">
        <v>309</v>
      </c>
      <c r="BD167" s="9" t="n">
        <v>45596</v>
      </c>
      <c r="BE167" s="9" t="n">
        <v>45596</v>
      </c>
      <c r="BJ167" s="5" t="n">
        <v>2023</v>
      </c>
    </row>
    <row r="168" customFormat="false" ht="16.5" hidden="false" customHeight="true" outlineLevel="0" collapsed="false">
      <c r="A168" s="5" t="s">
        <v>1037</v>
      </c>
      <c r="C168" s="5"/>
      <c r="D168" s="5" t="s">
        <v>62</v>
      </c>
      <c r="E168" s="5" t="n">
        <v>504680</v>
      </c>
      <c r="F168" s="5" t="n">
        <v>504680</v>
      </c>
      <c r="G168" s="5" t="s">
        <v>147</v>
      </c>
      <c r="H168" s="6" t="n">
        <v>550101</v>
      </c>
      <c r="I168" s="6" t="n">
        <v>550101</v>
      </c>
      <c r="J168" s="7" t="n">
        <v>504680</v>
      </c>
      <c r="K168" s="7" t="n">
        <v>504680</v>
      </c>
      <c r="L168" s="5" t="s">
        <v>84</v>
      </c>
      <c r="M168" s="5" t="s">
        <v>65</v>
      </c>
      <c r="N168" s="8" t="s">
        <v>1038</v>
      </c>
      <c r="V168" s="5" t="s">
        <v>824</v>
      </c>
      <c r="X168" s="5" t="s">
        <v>151</v>
      </c>
      <c r="Y168" s="5" t="s">
        <v>73</v>
      </c>
      <c r="AI168" s="9" t="n">
        <v>45397</v>
      </c>
      <c r="AL168" s="5" t="n">
        <v>550101</v>
      </c>
      <c r="AM168" s="5" t="s">
        <v>153</v>
      </c>
      <c r="AN168" s="5"/>
      <c r="AQ168" s="5" t="s">
        <v>77</v>
      </c>
      <c r="AR168" s="5" t="s">
        <v>151</v>
      </c>
      <c r="AS168" s="5" t="s">
        <v>73</v>
      </c>
      <c r="AT168" s="5" t="s">
        <v>78</v>
      </c>
      <c r="AU168" s="10" t="s">
        <v>259</v>
      </c>
      <c r="AW168" s="5" t="s">
        <v>94</v>
      </c>
      <c r="AX168" s="10" t="str">
        <f aca="false">IFERROR(INDEX('full database 2024'!ar:ar, MATCH(A168, 'full database 2024'!b:b, 0)), "")</f>
        <v/>
      </c>
      <c r="AZ168" s="5" t="s">
        <v>129</v>
      </c>
      <c r="BD168" s="9" t="n">
        <v>45596</v>
      </c>
      <c r="BE168" s="9" t="n">
        <v>45779</v>
      </c>
      <c r="BJ168" s="5" t="n">
        <v>2024</v>
      </c>
      <c r="BK168" s="5" t="s">
        <v>1039</v>
      </c>
    </row>
    <row r="169" customFormat="false" ht="16.5" hidden="false" customHeight="true" outlineLevel="0" collapsed="false">
      <c r="A169" s="5" t="s">
        <v>1040</v>
      </c>
      <c r="C169" s="5"/>
      <c r="D169" s="5" t="s">
        <v>62</v>
      </c>
      <c r="E169" s="5" t="n">
        <v>500554</v>
      </c>
      <c r="F169" s="5" t="n">
        <v>500554</v>
      </c>
      <c r="G169" s="5" t="s">
        <v>147</v>
      </c>
      <c r="H169" s="6" t="n">
        <v>545604</v>
      </c>
      <c r="I169" s="6" t="n">
        <v>545604</v>
      </c>
      <c r="J169" s="7" t="n">
        <v>500554</v>
      </c>
      <c r="K169" s="7" t="n">
        <v>500554</v>
      </c>
      <c r="L169" s="5" t="s">
        <v>84</v>
      </c>
      <c r="M169" s="5" t="s">
        <v>65</v>
      </c>
      <c r="N169" s="8" t="s">
        <v>1041</v>
      </c>
      <c r="V169" s="5" t="s">
        <v>1042</v>
      </c>
      <c r="X169" s="5" t="s">
        <v>151</v>
      </c>
      <c r="Y169" s="5" t="s">
        <v>73</v>
      </c>
      <c r="AI169" s="9" t="n">
        <v>45246</v>
      </c>
      <c r="AL169" s="5" t="n">
        <v>545604</v>
      </c>
      <c r="AM169" s="5" t="s">
        <v>153</v>
      </c>
      <c r="AN169" s="5"/>
      <c r="AQ169" s="5" t="s">
        <v>77</v>
      </c>
      <c r="AR169" s="5" t="s">
        <v>151</v>
      </c>
      <c r="AS169" s="5" t="s">
        <v>73</v>
      </c>
      <c r="AT169" s="5" t="s">
        <v>78</v>
      </c>
      <c r="AW169" s="5" t="s">
        <v>94</v>
      </c>
      <c r="AX169" s="10" t="str">
        <f aca="false">IFERROR(INDEX('full database 2024'!ar:ar, MATCH(A169, 'full database 2024'!b:b, 0)), "")</f>
        <v/>
      </c>
      <c r="AZ169" s="5" t="s">
        <v>129</v>
      </c>
      <c r="BD169" s="9" t="n">
        <v>45596</v>
      </c>
      <c r="BE169" s="9" t="n">
        <v>45779</v>
      </c>
      <c r="BJ169" s="5" t="n">
        <v>2023</v>
      </c>
      <c r="BK169" s="5" t="s">
        <v>1043</v>
      </c>
    </row>
    <row r="170" customFormat="false" ht="16.5" hidden="false" customHeight="true" outlineLevel="0" collapsed="false">
      <c r="A170" s="5" t="s">
        <v>1044</v>
      </c>
      <c r="C170" s="5"/>
      <c r="D170" s="5" t="s">
        <v>62</v>
      </c>
      <c r="E170" s="5" t="n">
        <v>500000</v>
      </c>
      <c r="F170" s="5" t="n">
        <v>500000</v>
      </c>
      <c r="G170" s="5" t="s">
        <v>147</v>
      </c>
      <c r="H170" s="6" t="n">
        <v>540987</v>
      </c>
      <c r="I170" s="6" t="n">
        <v>540987</v>
      </c>
      <c r="J170" s="7" t="n">
        <v>500000</v>
      </c>
      <c r="K170" s="7" t="n">
        <v>500000</v>
      </c>
      <c r="L170" s="5" t="s">
        <v>84</v>
      </c>
      <c r="M170" s="5" t="s">
        <v>65</v>
      </c>
      <c r="N170" s="8" t="s">
        <v>1045</v>
      </c>
      <c r="P170" s="5"/>
      <c r="Q170" s="5"/>
      <c r="R170" s="5" t="s">
        <v>1046</v>
      </c>
      <c r="T170" s="5" t="s">
        <v>1047</v>
      </c>
      <c r="U170" s="5" t="s">
        <v>70</v>
      </c>
      <c r="V170" s="5" t="s">
        <v>1048</v>
      </c>
      <c r="W170" s="5" t="s">
        <v>102</v>
      </c>
      <c r="X170" s="5" t="s">
        <v>151</v>
      </c>
      <c r="Y170" s="5" t="s">
        <v>73</v>
      </c>
      <c r="Z170" s="5" t="s">
        <v>70</v>
      </c>
      <c r="AC170" s="5" t="s">
        <v>1049</v>
      </c>
      <c r="AD170" s="5" t="s">
        <v>1050</v>
      </c>
      <c r="AE170" s="5" t="s">
        <v>74</v>
      </c>
      <c r="AI170" s="9" t="n">
        <v>45250</v>
      </c>
      <c r="AJ170" s="5" t="n">
        <v>1</v>
      </c>
      <c r="AK170" s="5" t="s">
        <v>75</v>
      </c>
      <c r="AL170" s="5" t="n">
        <v>540987</v>
      </c>
      <c r="AM170" s="5" t="s">
        <v>153</v>
      </c>
      <c r="AN170" s="5"/>
      <c r="AQ170" s="5" t="s">
        <v>77</v>
      </c>
      <c r="AR170" s="5" t="s">
        <v>151</v>
      </c>
      <c r="AS170" s="5" t="s">
        <v>73</v>
      </c>
      <c r="AT170" s="5" t="s">
        <v>105</v>
      </c>
      <c r="AU170" s="10" t="s">
        <v>186</v>
      </c>
      <c r="AW170" s="5" t="s">
        <v>94</v>
      </c>
      <c r="AX170" s="10" t="str">
        <f aca="false">IFERROR(INDEX('full database 2024'!ar:ar, MATCH(A170, 'full database 2024'!b:b, 0)), "")</f>
        <v/>
      </c>
      <c r="AZ170" s="5" t="s">
        <v>129</v>
      </c>
      <c r="BD170" s="9" t="n">
        <v>45264</v>
      </c>
      <c r="BE170" s="9" t="n">
        <v>45264</v>
      </c>
      <c r="BI170" s="5" t="s">
        <v>81</v>
      </c>
      <c r="BJ170" s="5" t="n">
        <v>2023</v>
      </c>
      <c r="BK170" s="5" t="s">
        <v>1051</v>
      </c>
    </row>
    <row r="171" customFormat="false" ht="16.5" hidden="false" customHeight="true" outlineLevel="0" collapsed="false">
      <c r="A171" s="5" t="s">
        <v>1052</v>
      </c>
      <c r="B171" s="5" t="s">
        <v>1053</v>
      </c>
      <c r="C171" s="5"/>
      <c r="D171" s="5" t="s">
        <v>62</v>
      </c>
      <c r="E171" s="16" t="n">
        <v>500000</v>
      </c>
      <c r="F171" s="16" t="n">
        <v>500000</v>
      </c>
      <c r="G171" s="5" t="s">
        <v>132</v>
      </c>
      <c r="H171" s="6" t="n">
        <v>639535</v>
      </c>
      <c r="I171" s="6" t="n">
        <v>639535</v>
      </c>
      <c r="J171" s="7" t="n">
        <f aca="false">E171*1.19</f>
        <v>595000</v>
      </c>
      <c r="K171" s="7" t="n">
        <f aca="false">F171*1.19</f>
        <v>595000</v>
      </c>
      <c r="L171" s="5" t="s">
        <v>84</v>
      </c>
      <c r="M171" s="5" t="s">
        <v>65</v>
      </c>
      <c r="N171" s="8" t="s">
        <v>1054</v>
      </c>
      <c r="O171" s="5" t="s">
        <v>1055</v>
      </c>
      <c r="P171" s="5"/>
      <c r="Q171" s="5"/>
      <c r="R171" s="5" t="s">
        <v>1056</v>
      </c>
      <c r="T171" s="5" t="s">
        <v>1057</v>
      </c>
      <c r="U171" s="5" t="s">
        <v>70</v>
      </c>
      <c r="V171" s="5" t="s">
        <v>1058</v>
      </c>
      <c r="W171" s="5" t="s">
        <v>102</v>
      </c>
      <c r="X171" s="5" t="s">
        <v>139</v>
      </c>
      <c r="Y171" s="5" t="s">
        <v>73</v>
      </c>
      <c r="Z171" s="5" t="s">
        <v>70</v>
      </c>
      <c r="AC171" s="5"/>
      <c r="AD171" s="5" t="s">
        <v>1059</v>
      </c>
      <c r="AE171" s="5" t="s">
        <v>74</v>
      </c>
      <c r="AI171" s="9" t="n">
        <v>45130</v>
      </c>
      <c r="AJ171" s="5" t="n">
        <v>2</v>
      </c>
      <c r="AK171" s="5" t="s">
        <v>75</v>
      </c>
      <c r="AL171" s="5" t="n">
        <v>319768</v>
      </c>
      <c r="AM171" s="28" t="s">
        <v>1060</v>
      </c>
      <c r="AN171" s="5"/>
      <c r="AO171" s="5" t="s">
        <v>230</v>
      </c>
      <c r="AQ171" s="5" t="s">
        <v>77</v>
      </c>
      <c r="AR171" s="5" t="s">
        <v>143</v>
      </c>
      <c r="AS171" s="5" t="s">
        <v>73</v>
      </c>
      <c r="AT171" s="5" t="s">
        <v>78</v>
      </c>
      <c r="AW171" s="5" t="s">
        <v>94</v>
      </c>
      <c r="AX171" s="10" t="str">
        <f aca="false">IFERROR(INDEX('full database 2024'!ar:ar, MATCH(A171, 'full database 2024'!b:b, 0)), "")</f>
        <v/>
      </c>
      <c r="AZ171" s="5" t="s">
        <v>309</v>
      </c>
      <c r="BD171" s="9" t="n">
        <v>45421</v>
      </c>
      <c r="BE171" s="9" t="n">
        <v>45779</v>
      </c>
      <c r="BI171" s="5" t="s">
        <v>81</v>
      </c>
      <c r="BJ171" s="5" t="n">
        <v>2023</v>
      </c>
      <c r="BK171" s="5" t="s">
        <v>1061</v>
      </c>
    </row>
    <row r="172" customFormat="false" ht="16.5" hidden="false" customHeight="true" outlineLevel="0" collapsed="false">
      <c r="A172" s="5" t="s">
        <v>1062</v>
      </c>
      <c r="B172" s="5" t="s">
        <v>1063</v>
      </c>
      <c r="C172" s="5"/>
      <c r="D172" s="5" t="s">
        <v>62</v>
      </c>
      <c r="E172" s="5" t="n">
        <v>500000</v>
      </c>
      <c r="F172" s="5" t="n">
        <v>500000</v>
      </c>
      <c r="G172" s="5" t="s">
        <v>212</v>
      </c>
      <c r="H172" s="6" t="n">
        <v>47000</v>
      </c>
      <c r="I172" s="6" t="n">
        <v>47000</v>
      </c>
      <c r="J172" s="7" t="n">
        <f aca="false">E172*0.091</f>
        <v>45500</v>
      </c>
      <c r="K172" s="7" t="n">
        <f aca="false">F172*0.091</f>
        <v>45500</v>
      </c>
      <c r="L172" s="5" t="s">
        <v>84</v>
      </c>
      <c r="M172" s="5" t="s">
        <v>65</v>
      </c>
      <c r="N172" s="8" t="s">
        <v>1064</v>
      </c>
      <c r="O172" s="5" t="s">
        <v>1065</v>
      </c>
      <c r="P172" s="5"/>
      <c r="Q172" s="5"/>
      <c r="R172" s="5"/>
      <c r="T172" s="5"/>
      <c r="U172" s="5"/>
      <c r="V172" s="5" t="s">
        <v>432</v>
      </c>
      <c r="W172" s="5"/>
      <c r="X172" s="5" t="s">
        <v>215</v>
      </c>
      <c r="Y172" s="5" t="s">
        <v>73</v>
      </c>
      <c r="Z172" s="5"/>
      <c r="AD172" s="5"/>
      <c r="AE172" s="5"/>
      <c r="AI172" s="9" t="n">
        <v>44419</v>
      </c>
      <c r="AJ172" s="5" t="n">
        <v>10</v>
      </c>
      <c r="AK172" s="5" t="s">
        <v>216</v>
      </c>
      <c r="AL172" s="5" t="n">
        <v>4700</v>
      </c>
      <c r="AM172" s="5" t="s">
        <v>489</v>
      </c>
      <c r="AN172" s="5"/>
      <c r="AO172" s="5"/>
      <c r="AQ172" s="5" t="s">
        <v>77</v>
      </c>
      <c r="AR172" s="5" t="s">
        <v>215</v>
      </c>
      <c r="AS172" s="5" t="s">
        <v>73</v>
      </c>
      <c r="AT172" s="5" t="s">
        <v>78</v>
      </c>
      <c r="AW172" s="5" t="s">
        <v>94</v>
      </c>
      <c r="AX172" s="10" t="str">
        <f aca="false">IFERROR(INDEX('full database 2024'!ar:ar, MATCH(A172, 'full database 2024'!b:b, 0)), "")</f>
        <v/>
      </c>
      <c r="AZ172" s="5" t="s">
        <v>1066</v>
      </c>
      <c r="BD172" s="9" t="n">
        <v>45596</v>
      </c>
      <c r="BE172" s="9" t="n">
        <v>45779</v>
      </c>
      <c r="BI172" s="5"/>
      <c r="BJ172" s="5" t="n">
        <v>2021</v>
      </c>
      <c r="BK172" s="11" t="n">
        <v>36526</v>
      </c>
    </row>
    <row r="173" customFormat="false" ht="16.5" hidden="false" customHeight="true" outlineLevel="0" collapsed="false">
      <c r="A173" s="5" t="s">
        <v>1067</v>
      </c>
      <c r="B173" s="5"/>
      <c r="C173" s="5"/>
      <c r="D173" s="5" t="s">
        <v>62</v>
      </c>
      <c r="E173" s="5" t="n">
        <v>499931</v>
      </c>
      <c r="F173" s="5" t="n">
        <v>499931</v>
      </c>
      <c r="G173" s="5" t="s">
        <v>147</v>
      </c>
      <c r="H173" s="6" t="n">
        <v>544925</v>
      </c>
      <c r="I173" s="6" t="n">
        <v>544925</v>
      </c>
      <c r="J173" s="7" t="n">
        <v>499931</v>
      </c>
      <c r="K173" s="7" t="n">
        <v>499931</v>
      </c>
      <c r="L173" s="5" t="s">
        <v>84</v>
      </c>
      <c r="M173" s="5" t="s">
        <v>65</v>
      </c>
      <c r="N173" s="8" t="s">
        <v>1068</v>
      </c>
      <c r="O173" s="5"/>
      <c r="V173" s="5" t="s">
        <v>1069</v>
      </c>
      <c r="X173" s="5" t="s">
        <v>151</v>
      </c>
      <c r="Y173" s="5" t="s">
        <v>73</v>
      </c>
      <c r="AI173" s="9" t="n">
        <v>45200</v>
      </c>
      <c r="AJ173" s="5"/>
      <c r="AK173" s="5"/>
      <c r="AL173" s="5" t="n">
        <v>544925</v>
      </c>
      <c r="AM173" s="5" t="s">
        <v>153</v>
      </c>
      <c r="AN173" s="5"/>
      <c r="AQ173" s="5" t="s">
        <v>77</v>
      </c>
      <c r="AR173" s="5" t="s">
        <v>151</v>
      </c>
      <c r="AS173" s="5" t="s">
        <v>73</v>
      </c>
      <c r="AT173" s="5" t="s">
        <v>374</v>
      </c>
      <c r="AW173" s="5" t="s">
        <v>94</v>
      </c>
      <c r="AX173" s="10" t="str">
        <f aca="false">IFERROR(INDEX('full database 2024'!ar:ar, MATCH(A173, 'full database 2024'!b:b, 0)), "")</f>
        <v/>
      </c>
      <c r="AZ173" s="5" t="s">
        <v>239</v>
      </c>
      <c r="BD173" s="9" t="n">
        <v>45596</v>
      </c>
      <c r="BE173" s="9" t="n">
        <v>45779</v>
      </c>
      <c r="BJ173" s="5" t="n">
        <v>2023</v>
      </c>
      <c r="BK173" s="5" t="s">
        <v>1070</v>
      </c>
    </row>
    <row r="174" customFormat="false" ht="16.5" hidden="false" customHeight="true" outlineLevel="0" collapsed="false">
      <c r="A174" s="5" t="s">
        <v>1071</v>
      </c>
      <c r="B174" s="10" t="s">
        <v>1072</v>
      </c>
      <c r="C174" s="10" t="s">
        <v>1073</v>
      </c>
      <c r="D174" s="5" t="s">
        <v>62</v>
      </c>
      <c r="E174" s="5" t="n">
        <v>498297</v>
      </c>
      <c r="F174" s="5" t="n">
        <v>498297</v>
      </c>
      <c r="G174" s="5" t="s">
        <v>147</v>
      </c>
      <c r="H174" s="6" t="n">
        <v>543144</v>
      </c>
      <c r="I174" s="6" t="n">
        <v>543144</v>
      </c>
      <c r="J174" s="7" t="n">
        <v>498297</v>
      </c>
      <c r="K174" s="7" t="n">
        <v>498297</v>
      </c>
      <c r="L174" s="5" t="s">
        <v>84</v>
      </c>
      <c r="M174" s="5" t="s">
        <v>65</v>
      </c>
      <c r="N174" s="5"/>
      <c r="O174" s="15" t="s">
        <v>1074</v>
      </c>
      <c r="V174" s="5" t="s">
        <v>1075</v>
      </c>
      <c r="X174" s="5"/>
      <c r="Y174" s="5" t="s">
        <v>73</v>
      </c>
      <c r="AD174" s="10" t="s">
        <v>1076</v>
      </c>
      <c r="AI174" s="9" t="n">
        <v>44378</v>
      </c>
      <c r="AL174" s="5" t="n">
        <v>543144</v>
      </c>
      <c r="AM174" s="5" t="s">
        <v>924</v>
      </c>
      <c r="AN174" s="5"/>
      <c r="AQ174" s="5" t="s">
        <v>77</v>
      </c>
      <c r="AR174" s="5" t="s">
        <v>151</v>
      </c>
      <c r="AS174" s="5" t="s">
        <v>73</v>
      </c>
      <c r="AT174" s="5" t="s">
        <v>78</v>
      </c>
      <c r="AU174" s="10"/>
      <c r="AW174" s="5" t="s">
        <v>94</v>
      </c>
      <c r="AX174" s="25" t="s">
        <v>79</v>
      </c>
      <c r="AZ174" s="5" t="s">
        <v>129</v>
      </c>
      <c r="BD174" s="9" t="n">
        <v>45596</v>
      </c>
      <c r="BE174" s="9" t="n">
        <v>45596</v>
      </c>
      <c r="BJ174" s="5" t="n">
        <v>2021</v>
      </c>
      <c r="BK174" s="5"/>
    </row>
    <row r="175" customFormat="false" ht="16.5" hidden="false" customHeight="true" outlineLevel="0" collapsed="false">
      <c r="A175" s="5" t="s">
        <v>1077</v>
      </c>
      <c r="B175" s="5" t="s">
        <v>1078</v>
      </c>
      <c r="C175" s="5"/>
      <c r="D175" s="5" t="s">
        <v>62</v>
      </c>
      <c r="E175" s="5" t="n">
        <v>492958</v>
      </c>
      <c r="F175" s="5" t="n">
        <v>492958</v>
      </c>
      <c r="G175" s="5" t="s">
        <v>212</v>
      </c>
      <c r="H175" s="6" t="n">
        <v>47800</v>
      </c>
      <c r="I175" s="6" t="n">
        <v>47800</v>
      </c>
      <c r="J175" s="7" t="n">
        <f aca="false">E175*0.091</f>
        <v>44859.178</v>
      </c>
      <c r="K175" s="7" t="n">
        <f aca="false">F175*0.091</f>
        <v>44859.178</v>
      </c>
      <c r="L175" s="5" t="s">
        <v>84</v>
      </c>
      <c r="M175" s="5" t="s">
        <v>65</v>
      </c>
      <c r="N175" s="8" t="s">
        <v>1079</v>
      </c>
      <c r="O175" s="5" t="s">
        <v>1080</v>
      </c>
      <c r="P175" s="5"/>
      <c r="Q175" s="5"/>
      <c r="R175" s="5" t="s">
        <v>1081</v>
      </c>
      <c r="T175" s="5" t="s">
        <v>1082</v>
      </c>
      <c r="U175" s="5" t="s">
        <v>1083</v>
      </c>
      <c r="V175" s="5" t="s">
        <v>426</v>
      </c>
      <c r="W175" s="5" t="s">
        <v>90</v>
      </c>
      <c r="X175" s="5" t="s">
        <v>215</v>
      </c>
      <c r="Y175" s="5" t="s">
        <v>73</v>
      </c>
      <c r="Z175" s="5" t="s">
        <v>70</v>
      </c>
      <c r="AD175" s="5" t="s">
        <v>1084</v>
      </c>
      <c r="AE175" s="5" t="s">
        <v>74</v>
      </c>
      <c r="AI175" s="9" t="n">
        <v>44501</v>
      </c>
      <c r="AJ175" s="5" t="n">
        <v>1</v>
      </c>
      <c r="AK175" s="5" t="s">
        <v>228</v>
      </c>
      <c r="AL175" s="5" t="n">
        <v>47800</v>
      </c>
      <c r="AM175" s="5" t="s">
        <v>489</v>
      </c>
      <c r="AN175" s="5"/>
      <c r="AQ175" s="5" t="s">
        <v>77</v>
      </c>
      <c r="AR175" s="5" t="s">
        <v>215</v>
      </c>
      <c r="AS175" s="5" t="s">
        <v>73</v>
      </c>
      <c r="AT175" s="5" t="s">
        <v>78</v>
      </c>
      <c r="AW175" s="5" t="s">
        <v>94</v>
      </c>
      <c r="AX175" s="10" t="str">
        <f aca="false">IFERROR(INDEX('full database 2024'!ar:ar, MATCH(A175, 'full database 2024'!b:b, 0)), "")</f>
        <v/>
      </c>
      <c r="AZ175" s="5" t="s">
        <v>129</v>
      </c>
      <c r="BD175" s="9" t="n">
        <v>45037</v>
      </c>
      <c r="BE175" s="9" t="n">
        <v>45779</v>
      </c>
      <c r="BI175" s="5" t="s">
        <v>81</v>
      </c>
      <c r="BJ175" s="5" t="n">
        <v>2021</v>
      </c>
      <c r="BK175" s="11" t="n">
        <v>44572</v>
      </c>
    </row>
    <row r="176" customFormat="false" ht="16.5" hidden="false" customHeight="true" outlineLevel="0" collapsed="false">
      <c r="A176" s="5" t="s">
        <v>1085</v>
      </c>
      <c r="B176" s="5" t="s">
        <v>920</v>
      </c>
      <c r="C176" s="5"/>
      <c r="D176" s="5" t="s">
        <v>62</v>
      </c>
      <c r="E176" s="5" t="n">
        <v>492612</v>
      </c>
      <c r="F176" s="5" t="n">
        <v>492612</v>
      </c>
      <c r="G176" s="5" t="s">
        <v>147</v>
      </c>
      <c r="H176" s="6" t="n">
        <v>544627</v>
      </c>
      <c r="I176" s="6" t="n">
        <v>544627</v>
      </c>
      <c r="J176" s="7" t="n">
        <v>492612</v>
      </c>
      <c r="K176" s="7" t="n">
        <v>492612</v>
      </c>
      <c r="L176" s="5" t="s">
        <v>84</v>
      </c>
      <c r="M176" s="5"/>
      <c r="N176" s="8" t="s">
        <v>1086</v>
      </c>
      <c r="O176" s="5" t="s">
        <v>1087</v>
      </c>
      <c r="V176" s="5" t="s">
        <v>1088</v>
      </c>
      <c r="X176" s="5" t="s">
        <v>151</v>
      </c>
      <c r="Y176" s="5" t="s">
        <v>73</v>
      </c>
      <c r="AI176" s="9" t="n">
        <v>44105</v>
      </c>
      <c r="AJ176" s="5"/>
      <c r="AK176" s="5"/>
      <c r="AL176" s="5" t="n">
        <v>544627</v>
      </c>
      <c r="AM176" s="5" t="s">
        <v>153</v>
      </c>
      <c r="AN176" s="5"/>
      <c r="AQ176" s="5" t="s">
        <v>77</v>
      </c>
      <c r="AR176" s="5" t="s">
        <v>151</v>
      </c>
      <c r="AS176" s="5" t="s">
        <v>73</v>
      </c>
      <c r="AT176" s="5" t="s">
        <v>78</v>
      </c>
      <c r="AW176" s="5" t="s">
        <v>94</v>
      </c>
      <c r="AX176" s="10" t="str">
        <f aca="false">IFERROR(INDEX('full database 2024'!ar:ar, MATCH(A176, 'full database 2024'!b:b, 0)), "")</f>
        <v/>
      </c>
      <c r="AZ176" s="5" t="s">
        <v>188</v>
      </c>
      <c r="BD176" s="9" t="n">
        <v>45671</v>
      </c>
      <c r="BE176" s="9" t="n">
        <v>45779</v>
      </c>
      <c r="BJ176" s="5" t="n">
        <v>2020</v>
      </c>
      <c r="BK176" s="5" t="s">
        <v>1089</v>
      </c>
    </row>
    <row r="177" customFormat="false" ht="16.5" hidden="false" customHeight="true" outlineLevel="0" collapsed="false">
      <c r="A177" s="5" t="s">
        <v>1090</v>
      </c>
      <c r="B177" s="5" t="s">
        <v>1091</v>
      </c>
      <c r="C177" s="5"/>
      <c r="D177" s="5" t="s">
        <v>62</v>
      </c>
      <c r="E177" s="16" t="n">
        <v>487748</v>
      </c>
      <c r="F177" s="16" t="n">
        <v>487748</v>
      </c>
      <c r="G177" s="5" t="s">
        <v>132</v>
      </c>
      <c r="H177" s="6" t="n">
        <v>629195</v>
      </c>
      <c r="I177" s="6" t="n">
        <v>629195</v>
      </c>
      <c r="J177" s="7" t="n">
        <f aca="false">E177*1.19</f>
        <v>580420.12</v>
      </c>
      <c r="K177" s="7" t="n">
        <f aca="false">F177*1.19</f>
        <v>580420.12</v>
      </c>
      <c r="L177" s="5" t="s">
        <v>84</v>
      </c>
      <c r="M177" s="5" t="s">
        <v>65</v>
      </c>
      <c r="N177" s="8" t="s">
        <v>1092</v>
      </c>
      <c r="O177" s="5" t="s">
        <v>1093</v>
      </c>
      <c r="P177" s="5"/>
      <c r="Q177" s="5"/>
      <c r="R177" s="5" t="s">
        <v>928</v>
      </c>
      <c r="T177" s="5" t="s">
        <v>1094</v>
      </c>
      <c r="U177" s="5" t="s">
        <v>70</v>
      </c>
      <c r="V177" s="5" t="s">
        <v>1095</v>
      </c>
      <c r="W177" s="5" t="s">
        <v>102</v>
      </c>
      <c r="X177" s="5" t="s">
        <v>139</v>
      </c>
      <c r="Y177" s="5" t="s">
        <v>73</v>
      </c>
      <c r="Z177" s="5" t="s">
        <v>70</v>
      </c>
      <c r="AE177" s="5" t="s">
        <v>117</v>
      </c>
      <c r="AI177" s="9" t="n">
        <v>45210</v>
      </c>
      <c r="AJ177" s="5" t="n">
        <v>1</v>
      </c>
      <c r="AK177" s="5" t="s">
        <v>75</v>
      </c>
      <c r="AL177" s="5" t="n">
        <v>629195</v>
      </c>
      <c r="AM177" s="5" t="s">
        <v>140</v>
      </c>
      <c r="AN177" s="5" t="s">
        <v>699</v>
      </c>
      <c r="AQ177" s="5" t="s">
        <v>77</v>
      </c>
      <c r="AR177" s="5" t="s">
        <v>143</v>
      </c>
      <c r="AS177" s="5" t="s">
        <v>73</v>
      </c>
      <c r="AT177" s="5" t="s">
        <v>78</v>
      </c>
      <c r="AU177" s="10" t="s">
        <v>259</v>
      </c>
      <c r="AW177" s="5" t="s">
        <v>94</v>
      </c>
      <c r="AX177" s="10" t="str">
        <f aca="false">IFERROR(INDEX('full database 2024'!ar:ar, MATCH(A177, 'full database 2024'!b:b, 0)), "")</f>
        <v/>
      </c>
      <c r="AZ177" s="5" t="s">
        <v>129</v>
      </c>
      <c r="BD177" s="9" t="n">
        <v>45265</v>
      </c>
      <c r="BE177" s="9" t="n">
        <v>45779</v>
      </c>
      <c r="BI177" s="5" t="s">
        <v>81</v>
      </c>
      <c r="BJ177" s="5" t="n">
        <v>2023</v>
      </c>
      <c r="BK177" s="11" t="n">
        <v>45606</v>
      </c>
    </row>
    <row r="178" customFormat="false" ht="16.5" hidden="false" customHeight="true" outlineLevel="0" collapsed="false">
      <c r="A178" s="5" t="s">
        <v>1096</v>
      </c>
      <c r="B178" s="5" t="s">
        <v>1097</v>
      </c>
      <c r="C178" s="5"/>
      <c r="D178" s="5" t="s">
        <v>62</v>
      </c>
      <c r="E178" s="16" t="n">
        <v>487500</v>
      </c>
      <c r="F178" s="16" t="n">
        <v>487500</v>
      </c>
      <c r="G178" s="5" t="s">
        <v>132</v>
      </c>
      <c r="H178" s="6" t="n">
        <v>619600</v>
      </c>
      <c r="I178" s="6" t="n">
        <v>619600</v>
      </c>
      <c r="J178" s="7" t="n">
        <f aca="false">E178*1.19</f>
        <v>580125</v>
      </c>
      <c r="K178" s="7" t="n">
        <f aca="false">F178*1.19</f>
        <v>580125</v>
      </c>
      <c r="L178" s="5" t="s">
        <v>84</v>
      </c>
      <c r="M178" s="5" t="s">
        <v>65</v>
      </c>
      <c r="N178" s="8" t="s">
        <v>861</v>
      </c>
      <c r="O178" s="5" t="s">
        <v>1098</v>
      </c>
      <c r="P178" s="5"/>
      <c r="Q178" s="5"/>
      <c r="R178" s="5" t="s">
        <v>1099</v>
      </c>
      <c r="T178" s="5" t="s">
        <v>1100</v>
      </c>
      <c r="U178" s="5" t="s">
        <v>70</v>
      </c>
      <c r="V178" s="5" t="s">
        <v>1101</v>
      </c>
      <c r="W178" s="5" t="s">
        <v>102</v>
      </c>
      <c r="X178" s="5" t="s">
        <v>139</v>
      </c>
      <c r="Y178" s="5" t="s">
        <v>73</v>
      </c>
      <c r="Z178" s="5" t="s">
        <v>70</v>
      </c>
      <c r="AD178" s="5" t="s">
        <v>1102</v>
      </c>
      <c r="AE178" s="5" t="s">
        <v>74</v>
      </c>
      <c r="AI178" s="9" t="n">
        <v>45200</v>
      </c>
      <c r="AJ178" s="5" t="n">
        <v>1</v>
      </c>
      <c r="AK178" s="5" t="s">
        <v>75</v>
      </c>
      <c r="AL178" s="5" t="n">
        <v>619600</v>
      </c>
      <c r="AM178" s="5" t="s">
        <v>140</v>
      </c>
      <c r="AN178" s="5" t="s">
        <v>141</v>
      </c>
      <c r="AQ178" s="5" t="s">
        <v>77</v>
      </c>
      <c r="AR178" s="5" t="s">
        <v>143</v>
      </c>
      <c r="AS178" s="5" t="s">
        <v>73</v>
      </c>
      <c r="AT178" s="5" t="s">
        <v>374</v>
      </c>
      <c r="AW178" s="5" t="s">
        <v>94</v>
      </c>
      <c r="AX178" s="10" t="str">
        <f aca="false">IFERROR(INDEX('full database 2024'!ar:ar, MATCH(A178, 'full database 2024'!b:b, 0)), "")</f>
        <v/>
      </c>
      <c r="AZ178" s="5" t="s">
        <v>1103</v>
      </c>
      <c r="BD178" s="9" t="n">
        <v>45275</v>
      </c>
      <c r="BE178" s="9" t="n">
        <v>45779</v>
      </c>
      <c r="BI178" s="5" t="s">
        <v>241</v>
      </c>
      <c r="BJ178" s="5" t="n">
        <v>2023</v>
      </c>
      <c r="BK178" s="11" t="n">
        <v>45301</v>
      </c>
    </row>
    <row r="179" customFormat="false" ht="16.5" hidden="false" customHeight="true" outlineLevel="0" collapsed="false">
      <c r="A179" s="5" t="s">
        <v>1104</v>
      </c>
      <c r="B179" s="5" t="s">
        <v>1105</v>
      </c>
      <c r="C179" s="5"/>
      <c r="D179" s="5" t="s">
        <v>62</v>
      </c>
      <c r="E179" s="16" t="n">
        <v>487500</v>
      </c>
      <c r="F179" s="16" t="n">
        <v>487500</v>
      </c>
      <c r="G179" s="5" t="s">
        <v>132</v>
      </c>
      <c r="H179" s="6" t="n">
        <v>619600</v>
      </c>
      <c r="I179" s="6" t="n">
        <v>619600</v>
      </c>
      <c r="J179" s="7" t="n">
        <f aca="false">E179*1.19</f>
        <v>580125</v>
      </c>
      <c r="K179" s="7" t="n">
        <f aca="false">F179*1.19</f>
        <v>580125</v>
      </c>
      <c r="L179" s="5" t="s">
        <v>84</v>
      </c>
      <c r="M179" s="5" t="s">
        <v>65</v>
      </c>
      <c r="N179" s="8" t="s">
        <v>861</v>
      </c>
      <c r="O179" s="5" t="s">
        <v>1106</v>
      </c>
      <c r="P179" s="5"/>
      <c r="Q179" s="5"/>
      <c r="R179" s="5" t="s">
        <v>1099</v>
      </c>
      <c r="T179" s="5" t="s">
        <v>1107</v>
      </c>
      <c r="U179" s="5" t="s">
        <v>70</v>
      </c>
      <c r="V179" s="5" t="s">
        <v>1108</v>
      </c>
      <c r="W179" s="5" t="s">
        <v>102</v>
      </c>
      <c r="X179" s="5" t="s">
        <v>139</v>
      </c>
      <c r="Y179" s="5" t="s">
        <v>73</v>
      </c>
      <c r="Z179" s="5" t="s">
        <v>70</v>
      </c>
      <c r="AD179" s="5" t="s">
        <v>1109</v>
      </c>
      <c r="AE179" s="5" t="s">
        <v>74</v>
      </c>
      <c r="AI179" s="9" t="n">
        <v>45200</v>
      </c>
      <c r="AJ179" s="5" t="n">
        <v>1</v>
      </c>
      <c r="AK179" s="5" t="s">
        <v>75</v>
      </c>
      <c r="AL179" s="5" t="n">
        <v>619600</v>
      </c>
      <c r="AM179" s="5" t="s">
        <v>140</v>
      </c>
      <c r="AN179" s="5" t="s">
        <v>141</v>
      </c>
      <c r="AQ179" s="5" t="s">
        <v>77</v>
      </c>
      <c r="AR179" s="5" t="s">
        <v>143</v>
      </c>
      <c r="AS179" s="5" t="s">
        <v>73</v>
      </c>
      <c r="AT179" s="5" t="s">
        <v>105</v>
      </c>
      <c r="AU179" s="10" t="s">
        <v>106</v>
      </c>
      <c r="AW179" s="5" t="s">
        <v>94</v>
      </c>
      <c r="AX179" s="10" t="str">
        <f aca="false">IFERROR(INDEX('full database 2024'!ar:ar, MATCH(A179, 'full database 2024'!b:b, 0)), "")</f>
        <v/>
      </c>
      <c r="AZ179" s="5" t="s">
        <v>540</v>
      </c>
      <c r="BD179" s="9" t="n">
        <v>45275</v>
      </c>
      <c r="BE179" s="9" t="n">
        <v>45779</v>
      </c>
      <c r="BI179" s="5" t="s">
        <v>241</v>
      </c>
      <c r="BJ179" s="5" t="n">
        <v>2023</v>
      </c>
      <c r="BK179" s="11" t="n">
        <v>45301</v>
      </c>
    </row>
    <row r="180" customFormat="false" ht="16.5" hidden="false" customHeight="true" outlineLevel="0" collapsed="false">
      <c r="A180" s="5" t="s">
        <v>1110</v>
      </c>
      <c r="B180" s="5" t="s">
        <v>1111</v>
      </c>
      <c r="C180" s="5"/>
      <c r="D180" s="5" t="s">
        <v>62</v>
      </c>
      <c r="E180" s="16" t="n">
        <v>487500</v>
      </c>
      <c r="F180" s="16" t="n">
        <v>487500</v>
      </c>
      <c r="G180" s="5" t="s">
        <v>132</v>
      </c>
      <c r="H180" s="6" t="n">
        <v>619600</v>
      </c>
      <c r="I180" s="6" t="n">
        <v>619600</v>
      </c>
      <c r="J180" s="7" t="n">
        <f aca="false">E180*1.19</f>
        <v>580125</v>
      </c>
      <c r="K180" s="7" t="n">
        <f aca="false">F180*1.19</f>
        <v>580125</v>
      </c>
      <c r="L180" s="5" t="s">
        <v>84</v>
      </c>
      <c r="M180" s="5" t="s">
        <v>65</v>
      </c>
      <c r="N180" s="8" t="s">
        <v>861</v>
      </c>
      <c r="O180" s="5" t="s">
        <v>1112</v>
      </c>
      <c r="P180" s="5"/>
      <c r="Q180" s="5"/>
      <c r="R180" s="5" t="s">
        <v>1099</v>
      </c>
      <c r="T180" s="5" t="s">
        <v>1113</v>
      </c>
      <c r="U180" s="5" t="s">
        <v>70</v>
      </c>
      <c r="V180" s="5" t="s">
        <v>1114</v>
      </c>
      <c r="W180" s="5" t="s">
        <v>102</v>
      </c>
      <c r="X180" s="5" t="s">
        <v>139</v>
      </c>
      <c r="Y180" s="5" t="s">
        <v>73</v>
      </c>
      <c r="Z180" s="5" t="s">
        <v>70</v>
      </c>
      <c r="AD180" s="5" t="s">
        <v>1115</v>
      </c>
      <c r="AE180" s="5" t="s">
        <v>74</v>
      </c>
      <c r="AI180" s="9" t="n">
        <v>45200</v>
      </c>
      <c r="AJ180" s="5" t="n">
        <v>1</v>
      </c>
      <c r="AK180" s="5" t="s">
        <v>75</v>
      </c>
      <c r="AL180" s="5" t="n">
        <v>619600</v>
      </c>
      <c r="AM180" s="5" t="s">
        <v>140</v>
      </c>
      <c r="AN180" s="5" t="s">
        <v>141</v>
      </c>
      <c r="AQ180" s="5" t="s">
        <v>77</v>
      </c>
      <c r="AR180" s="5" t="s">
        <v>143</v>
      </c>
      <c r="AS180" s="5" t="s">
        <v>73</v>
      </c>
      <c r="AT180" s="5" t="s">
        <v>374</v>
      </c>
      <c r="AW180" s="5" t="s">
        <v>94</v>
      </c>
      <c r="AX180" s="10" t="str">
        <f aca="false">IFERROR(INDEX('full database 2024'!ar:ar, MATCH(A180, 'full database 2024'!b:b, 0)), "")</f>
        <v/>
      </c>
      <c r="AZ180" s="5" t="s">
        <v>534</v>
      </c>
      <c r="BD180" s="9" t="n">
        <v>45275</v>
      </c>
      <c r="BE180" s="9" t="n">
        <v>45779</v>
      </c>
      <c r="BI180" s="5" t="s">
        <v>241</v>
      </c>
      <c r="BJ180" s="5" t="n">
        <v>2023</v>
      </c>
      <c r="BK180" s="11" t="n">
        <v>45301</v>
      </c>
    </row>
    <row r="181" customFormat="false" ht="16.5" hidden="false" customHeight="true" outlineLevel="0" collapsed="false">
      <c r="A181" s="5" t="s">
        <v>1116</v>
      </c>
      <c r="B181" s="5" t="s">
        <v>1117</v>
      </c>
      <c r="C181" s="5"/>
      <c r="D181" s="5" t="s">
        <v>62</v>
      </c>
      <c r="E181" s="16" t="n">
        <v>487500</v>
      </c>
      <c r="F181" s="16" t="n">
        <v>487500</v>
      </c>
      <c r="G181" s="5" t="s">
        <v>132</v>
      </c>
      <c r="H181" s="6" t="n">
        <v>619600</v>
      </c>
      <c r="I181" s="6" t="n">
        <v>619600</v>
      </c>
      <c r="J181" s="7" t="n">
        <f aca="false">E181*1.19</f>
        <v>580125</v>
      </c>
      <c r="K181" s="7" t="n">
        <f aca="false">F181*1.19</f>
        <v>580125</v>
      </c>
      <c r="L181" s="5" t="s">
        <v>84</v>
      </c>
      <c r="M181" s="5" t="s">
        <v>65</v>
      </c>
      <c r="N181" s="8" t="s">
        <v>861</v>
      </c>
      <c r="O181" s="5" t="s">
        <v>1118</v>
      </c>
      <c r="P181" s="5"/>
      <c r="Q181" s="5"/>
      <c r="R181" s="5" t="s">
        <v>1099</v>
      </c>
      <c r="T181" s="5" t="s">
        <v>1119</v>
      </c>
      <c r="U181" s="5" t="s">
        <v>70</v>
      </c>
      <c r="V181" s="5" t="s">
        <v>1120</v>
      </c>
      <c r="W181" s="5" t="s">
        <v>102</v>
      </c>
      <c r="X181" s="5" t="s">
        <v>139</v>
      </c>
      <c r="Y181" s="5" t="s">
        <v>73</v>
      </c>
      <c r="Z181" s="5" t="s">
        <v>70</v>
      </c>
      <c r="AD181" s="5" t="s">
        <v>1015</v>
      </c>
      <c r="AE181" s="5" t="s">
        <v>74</v>
      </c>
      <c r="AI181" s="9" t="n">
        <v>45200</v>
      </c>
      <c r="AJ181" s="5" t="n">
        <v>1</v>
      </c>
      <c r="AK181" s="5" t="s">
        <v>75</v>
      </c>
      <c r="AL181" s="5" t="n">
        <v>619600</v>
      </c>
      <c r="AM181" s="5" t="s">
        <v>140</v>
      </c>
      <c r="AN181" s="5" t="s">
        <v>141</v>
      </c>
      <c r="AQ181" s="5" t="s">
        <v>77</v>
      </c>
      <c r="AR181" s="5" t="s">
        <v>143</v>
      </c>
      <c r="AS181" s="5" t="s">
        <v>73</v>
      </c>
      <c r="AT181" s="5" t="s">
        <v>105</v>
      </c>
      <c r="AU181" s="10" t="s">
        <v>106</v>
      </c>
      <c r="AW181" s="5" t="s">
        <v>94</v>
      </c>
      <c r="AX181" s="10" t="str">
        <f aca="false">IFERROR(INDEX('full database 2024'!ar:ar, MATCH(A181, 'full database 2024'!b:b, 0)), "")</f>
        <v/>
      </c>
      <c r="AY181" s="5" t="s">
        <v>297</v>
      </c>
      <c r="AZ181" s="5" t="s">
        <v>540</v>
      </c>
      <c r="BD181" s="9" t="n">
        <v>45275</v>
      </c>
      <c r="BE181" s="9" t="n">
        <v>45779</v>
      </c>
      <c r="BI181" s="5" t="s">
        <v>145</v>
      </c>
      <c r="BJ181" s="5" t="n">
        <v>2023</v>
      </c>
      <c r="BK181" s="11" t="n">
        <v>45301</v>
      </c>
    </row>
    <row r="182" customFormat="false" ht="16.5" hidden="false" customHeight="true" outlineLevel="0" collapsed="false">
      <c r="A182" s="5" t="s">
        <v>1121</v>
      </c>
      <c r="B182" s="5" t="s">
        <v>1122</v>
      </c>
      <c r="C182" s="5"/>
      <c r="D182" s="5" t="s">
        <v>62</v>
      </c>
      <c r="E182" s="16" t="n">
        <v>487500</v>
      </c>
      <c r="F182" s="16" t="n">
        <v>487500</v>
      </c>
      <c r="G182" s="5" t="s">
        <v>132</v>
      </c>
      <c r="H182" s="6" t="n">
        <v>619600</v>
      </c>
      <c r="I182" s="6" t="n">
        <v>619600</v>
      </c>
      <c r="J182" s="7" t="n">
        <f aca="false">E182*1.19</f>
        <v>580125</v>
      </c>
      <c r="K182" s="7" t="n">
        <f aca="false">F182*1.19</f>
        <v>580125</v>
      </c>
      <c r="L182" s="5" t="s">
        <v>84</v>
      </c>
      <c r="M182" s="5" t="s">
        <v>65</v>
      </c>
      <c r="N182" s="8" t="s">
        <v>861</v>
      </c>
      <c r="O182" s="5" t="s">
        <v>1123</v>
      </c>
      <c r="P182" s="5"/>
      <c r="Q182" s="5"/>
      <c r="R182" s="5" t="s">
        <v>1099</v>
      </c>
      <c r="T182" s="5" t="s">
        <v>1124</v>
      </c>
      <c r="U182" s="5" t="s">
        <v>70</v>
      </c>
      <c r="V182" s="5" t="s">
        <v>1125</v>
      </c>
      <c r="W182" s="5" t="s">
        <v>102</v>
      </c>
      <c r="X182" s="5" t="s">
        <v>139</v>
      </c>
      <c r="Y182" s="5" t="s">
        <v>73</v>
      </c>
      <c r="Z182" s="5" t="s">
        <v>70</v>
      </c>
      <c r="AD182" s="5" t="s">
        <v>1114</v>
      </c>
      <c r="AE182" s="5" t="s">
        <v>74</v>
      </c>
      <c r="AI182" s="9" t="n">
        <v>45200</v>
      </c>
      <c r="AJ182" s="5" t="n">
        <v>1</v>
      </c>
      <c r="AK182" s="5" t="s">
        <v>75</v>
      </c>
      <c r="AL182" s="5" t="n">
        <v>619600</v>
      </c>
      <c r="AM182" s="5" t="s">
        <v>140</v>
      </c>
      <c r="AN182" s="5" t="s">
        <v>141</v>
      </c>
      <c r="AQ182" s="5" t="s">
        <v>77</v>
      </c>
      <c r="AR182" s="5" t="s">
        <v>143</v>
      </c>
      <c r="AS182" s="5" t="s">
        <v>73</v>
      </c>
      <c r="AT182" s="5" t="s">
        <v>374</v>
      </c>
      <c r="AW182" s="5" t="s">
        <v>94</v>
      </c>
      <c r="AX182" s="10" t="str">
        <f aca="false">IFERROR(INDEX('full database 2024'!ar:ar, MATCH(A182, 'full database 2024'!b:b, 0)), "")</f>
        <v/>
      </c>
      <c r="AZ182" s="5" t="s">
        <v>239</v>
      </c>
      <c r="BD182" s="9" t="n">
        <v>45275</v>
      </c>
      <c r="BE182" s="9" t="n">
        <v>45779</v>
      </c>
      <c r="BI182" s="5" t="s">
        <v>241</v>
      </c>
      <c r="BJ182" s="5" t="n">
        <v>2023</v>
      </c>
      <c r="BK182" s="11" t="n">
        <v>45301</v>
      </c>
    </row>
    <row r="183" customFormat="false" ht="16.5" hidden="false" customHeight="true" outlineLevel="0" collapsed="false">
      <c r="A183" s="5" t="s">
        <v>1126</v>
      </c>
      <c r="B183" s="5" t="s">
        <v>1127</v>
      </c>
      <c r="C183" s="5"/>
      <c r="D183" s="5" t="s">
        <v>62</v>
      </c>
      <c r="E183" s="16" t="n">
        <v>487500</v>
      </c>
      <c r="F183" s="16" t="n">
        <v>487500</v>
      </c>
      <c r="G183" s="5" t="s">
        <v>132</v>
      </c>
      <c r="H183" s="6" t="n">
        <v>619600</v>
      </c>
      <c r="I183" s="6" t="n">
        <v>619600</v>
      </c>
      <c r="J183" s="7" t="n">
        <f aca="false">E183*1.19</f>
        <v>580125</v>
      </c>
      <c r="K183" s="7" t="n">
        <f aca="false">F183*1.19</f>
        <v>580125</v>
      </c>
      <c r="L183" s="5" t="s">
        <v>84</v>
      </c>
      <c r="M183" s="5" t="s">
        <v>65</v>
      </c>
      <c r="N183" s="8" t="s">
        <v>861</v>
      </c>
      <c r="O183" s="5" t="s">
        <v>1128</v>
      </c>
      <c r="P183" s="5"/>
      <c r="Q183" s="5"/>
      <c r="R183" s="5" t="s">
        <v>1099</v>
      </c>
      <c r="T183" s="5" t="s">
        <v>1129</v>
      </c>
      <c r="U183" s="5" t="s">
        <v>1130</v>
      </c>
      <c r="V183" s="5" t="s">
        <v>931</v>
      </c>
      <c r="W183" s="5" t="s">
        <v>90</v>
      </c>
      <c r="X183" s="5" t="s">
        <v>139</v>
      </c>
      <c r="Y183" s="5" t="s">
        <v>73</v>
      </c>
      <c r="Z183" s="5" t="s">
        <v>70</v>
      </c>
      <c r="AD183" s="5" t="s">
        <v>1131</v>
      </c>
      <c r="AE183" s="5" t="s">
        <v>74</v>
      </c>
      <c r="AI183" s="9" t="n">
        <v>45200</v>
      </c>
      <c r="AJ183" s="5" t="n">
        <v>1</v>
      </c>
      <c r="AK183" s="5" t="s">
        <v>75</v>
      </c>
      <c r="AL183" s="5" t="n">
        <v>619600</v>
      </c>
      <c r="AM183" s="5" t="s">
        <v>140</v>
      </c>
      <c r="AN183" s="5" t="s">
        <v>141</v>
      </c>
      <c r="AO183" s="5"/>
      <c r="AQ183" s="5" t="s">
        <v>77</v>
      </c>
      <c r="AR183" s="5" t="s">
        <v>143</v>
      </c>
      <c r="AS183" s="5" t="s">
        <v>73</v>
      </c>
      <c r="AT183" s="5" t="s">
        <v>105</v>
      </c>
      <c r="AU183" s="10" t="s">
        <v>186</v>
      </c>
      <c r="AW183" s="5" t="s">
        <v>94</v>
      </c>
      <c r="AX183" s="10" t="str">
        <f aca="false">IFERROR(INDEX('full database 2024'!ar:ar, MATCH(A183, 'full database 2024'!b:b, 0)), "")</f>
        <v/>
      </c>
      <c r="AZ183" s="5" t="s">
        <v>188</v>
      </c>
      <c r="BD183" s="9" t="n">
        <v>45275</v>
      </c>
      <c r="BE183" s="9" t="n">
        <v>45779</v>
      </c>
      <c r="BI183" s="5" t="s">
        <v>241</v>
      </c>
      <c r="BJ183" s="5" t="n">
        <v>2023</v>
      </c>
      <c r="BK183" s="11" t="n">
        <v>45301</v>
      </c>
    </row>
    <row r="184" customFormat="false" ht="16.5" hidden="false" customHeight="true" outlineLevel="0" collapsed="false">
      <c r="A184" s="5" t="s">
        <v>1132</v>
      </c>
      <c r="B184" s="5"/>
      <c r="C184" s="5"/>
      <c r="D184" s="5" t="s">
        <v>62</v>
      </c>
      <c r="E184" s="16" t="n">
        <v>487500</v>
      </c>
      <c r="F184" s="16" t="n">
        <v>487500</v>
      </c>
      <c r="G184" s="5" t="s">
        <v>132</v>
      </c>
      <c r="H184" s="6" t="n">
        <v>619600</v>
      </c>
      <c r="I184" s="6" t="n">
        <v>619600</v>
      </c>
      <c r="J184" s="7" t="n">
        <f aca="false">E184*1.19</f>
        <v>580125</v>
      </c>
      <c r="K184" s="7" t="n">
        <f aca="false">F184*1.19</f>
        <v>580125</v>
      </c>
      <c r="L184" s="5" t="s">
        <v>84</v>
      </c>
      <c r="M184" s="5" t="s">
        <v>65</v>
      </c>
      <c r="N184" s="8" t="s">
        <v>861</v>
      </c>
      <c r="O184" s="5"/>
      <c r="P184" s="5"/>
      <c r="Q184" s="5"/>
      <c r="R184" s="5" t="s">
        <v>1099</v>
      </c>
      <c r="T184" s="5" t="s">
        <v>1133</v>
      </c>
      <c r="U184" s="5" t="s">
        <v>196</v>
      </c>
      <c r="V184" s="5" t="s">
        <v>1134</v>
      </c>
      <c r="W184" s="5" t="s">
        <v>90</v>
      </c>
      <c r="X184" s="5" t="s">
        <v>139</v>
      </c>
      <c r="Y184" s="5" t="s">
        <v>73</v>
      </c>
      <c r="Z184" s="5" t="s">
        <v>70</v>
      </c>
      <c r="AD184" s="5" t="s">
        <v>1135</v>
      </c>
      <c r="AE184" s="5" t="s">
        <v>74</v>
      </c>
      <c r="AI184" s="9" t="n">
        <v>45200</v>
      </c>
      <c r="AJ184" s="5" t="n">
        <v>1</v>
      </c>
      <c r="AK184" s="5" t="s">
        <v>75</v>
      </c>
      <c r="AL184" s="5" t="n">
        <v>619600</v>
      </c>
      <c r="AM184" s="5" t="s">
        <v>140</v>
      </c>
      <c r="AN184" s="5" t="s">
        <v>141</v>
      </c>
      <c r="AQ184" s="5" t="s">
        <v>77</v>
      </c>
      <c r="AR184" s="5" t="s">
        <v>143</v>
      </c>
      <c r="AS184" s="5" t="s">
        <v>73</v>
      </c>
      <c r="AT184" s="5" t="s">
        <v>374</v>
      </c>
      <c r="AW184" s="5" t="s">
        <v>94</v>
      </c>
      <c r="AX184" s="10" t="str">
        <f aca="false">IFERROR(INDEX('full database 2024'!ar:ar, MATCH(A184, 'full database 2024'!b:b, 0)), "")</f>
        <v/>
      </c>
      <c r="AZ184" s="5" t="s">
        <v>534</v>
      </c>
      <c r="BD184" s="9" t="n">
        <v>45275</v>
      </c>
      <c r="BE184" s="9" t="n">
        <v>45779</v>
      </c>
      <c r="BI184" s="5" t="s">
        <v>241</v>
      </c>
      <c r="BJ184" s="5" t="n">
        <v>2023</v>
      </c>
      <c r="BK184" s="11" t="n">
        <v>45301</v>
      </c>
    </row>
    <row r="185" customFormat="false" ht="16.5" hidden="false" customHeight="true" outlineLevel="0" collapsed="false">
      <c r="A185" s="5" t="s">
        <v>1136</v>
      </c>
      <c r="C185" s="5"/>
      <c r="D185" s="5" t="s">
        <v>62</v>
      </c>
      <c r="E185" s="16" t="n">
        <v>487500</v>
      </c>
      <c r="F185" s="16" t="n">
        <v>487500</v>
      </c>
      <c r="G185" s="5" t="s">
        <v>132</v>
      </c>
      <c r="H185" s="6" t="n">
        <v>619600</v>
      </c>
      <c r="I185" s="6" t="n">
        <v>619600</v>
      </c>
      <c r="J185" s="7" t="n">
        <f aca="false">E185*1.19</f>
        <v>580125</v>
      </c>
      <c r="K185" s="7" t="n">
        <f aca="false">F185*1.19</f>
        <v>580125</v>
      </c>
      <c r="L185" s="5" t="s">
        <v>84</v>
      </c>
      <c r="M185" s="5" t="s">
        <v>65</v>
      </c>
      <c r="N185" s="8" t="s">
        <v>861</v>
      </c>
      <c r="P185" s="5"/>
      <c r="Q185" s="5"/>
      <c r="R185" s="5" t="s">
        <v>1099</v>
      </c>
      <c r="T185" s="5" t="s">
        <v>1137</v>
      </c>
      <c r="U185" s="5" t="s">
        <v>70</v>
      </c>
      <c r="V185" s="5" t="s">
        <v>1138</v>
      </c>
      <c r="W185" s="5" t="s">
        <v>102</v>
      </c>
      <c r="X185" s="5" t="s">
        <v>139</v>
      </c>
      <c r="Y185" s="5" t="s">
        <v>73</v>
      </c>
      <c r="Z185" s="5" t="s">
        <v>70</v>
      </c>
      <c r="AD185" s="5" t="s">
        <v>1139</v>
      </c>
      <c r="AE185" s="5" t="s">
        <v>74</v>
      </c>
      <c r="AI185" s="9" t="n">
        <v>45200</v>
      </c>
      <c r="AJ185" s="5" t="n">
        <v>1</v>
      </c>
      <c r="AK185" s="5" t="s">
        <v>75</v>
      </c>
      <c r="AL185" s="5" t="n">
        <v>619600</v>
      </c>
      <c r="AM185" s="5" t="s">
        <v>140</v>
      </c>
      <c r="AN185" s="5" t="s">
        <v>141</v>
      </c>
      <c r="AQ185" s="5" t="s">
        <v>77</v>
      </c>
      <c r="AR185" s="5" t="s">
        <v>143</v>
      </c>
      <c r="AS185" s="5" t="s">
        <v>73</v>
      </c>
      <c r="AT185" s="5" t="s">
        <v>78</v>
      </c>
      <c r="AW185" s="5" t="s">
        <v>94</v>
      </c>
      <c r="AX185" s="10" t="str">
        <f aca="false">IFERROR(INDEX('full database 2024'!ar:ar, MATCH(A185, 'full database 2024'!b:b, 0)), "")</f>
        <v/>
      </c>
      <c r="AY185" s="5" t="s">
        <v>297</v>
      </c>
      <c r="AZ185" s="5" t="s">
        <v>188</v>
      </c>
      <c r="BD185" s="9" t="n">
        <v>45275</v>
      </c>
      <c r="BE185" s="9" t="n">
        <v>45779</v>
      </c>
      <c r="BI185" s="5" t="s">
        <v>241</v>
      </c>
      <c r="BJ185" s="5" t="n">
        <v>2023</v>
      </c>
      <c r="BK185" s="11" t="n">
        <v>45301</v>
      </c>
    </row>
    <row r="186" customFormat="false" ht="16.5" hidden="false" customHeight="true" outlineLevel="0" collapsed="false">
      <c r="A186" s="5" t="s">
        <v>1140</v>
      </c>
      <c r="B186" s="5" t="s">
        <v>1141</v>
      </c>
      <c r="C186" s="5"/>
      <c r="D186" s="5" t="s">
        <v>62</v>
      </c>
      <c r="E186" s="16" t="n">
        <v>487500</v>
      </c>
      <c r="F186" s="16" t="n">
        <v>487500</v>
      </c>
      <c r="G186" s="5" t="s">
        <v>132</v>
      </c>
      <c r="H186" s="6" t="n">
        <v>619600</v>
      </c>
      <c r="I186" s="6" t="n">
        <v>619600</v>
      </c>
      <c r="J186" s="7" t="n">
        <f aca="false">E186*1.19</f>
        <v>580125</v>
      </c>
      <c r="K186" s="7" t="n">
        <f aca="false">F186*1.19</f>
        <v>580125</v>
      </c>
      <c r="L186" s="5" t="s">
        <v>84</v>
      </c>
      <c r="M186" s="5" t="s">
        <v>65</v>
      </c>
      <c r="N186" s="8" t="s">
        <v>861</v>
      </c>
      <c r="O186" s="5" t="s">
        <v>1142</v>
      </c>
      <c r="P186" s="5"/>
      <c r="Q186" s="5"/>
      <c r="R186" s="5" t="s">
        <v>1099</v>
      </c>
      <c r="T186" s="5" t="s">
        <v>1143</v>
      </c>
      <c r="U186" s="5" t="s">
        <v>70</v>
      </c>
      <c r="V186" s="5" t="s">
        <v>1144</v>
      </c>
      <c r="W186" s="5" t="s">
        <v>102</v>
      </c>
      <c r="X186" s="5" t="s">
        <v>139</v>
      </c>
      <c r="Y186" s="5" t="s">
        <v>73</v>
      </c>
      <c r="Z186" s="5" t="s">
        <v>70</v>
      </c>
      <c r="AD186" s="5" t="s">
        <v>882</v>
      </c>
      <c r="AE186" s="5" t="s">
        <v>74</v>
      </c>
      <c r="AI186" s="9" t="n">
        <v>45200</v>
      </c>
      <c r="AJ186" s="5" t="n">
        <v>1</v>
      </c>
      <c r="AK186" s="5" t="s">
        <v>75</v>
      </c>
      <c r="AL186" s="5" t="n">
        <v>619600</v>
      </c>
      <c r="AM186" s="5" t="s">
        <v>140</v>
      </c>
      <c r="AN186" s="5" t="s">
        <v>141</v>
      </c>
      <c r="AQ186" s="5" t="s">
        <v>77</v>
      </c>
      <c r="AR186" s="5" t="s">
        <v>143</v>
      </c>
      <c r="AS186" s="5" t="s">
        <v>73</v>
      </c>
      <c r="AT186" s="5" t="s">
        <v>78</v>
      </c>
      <c r="AW186" s="5" t="s">
        <v>94</v>
      </c>
      <c r="AX186" s="10" t="str">
        <f aca="false">IFERROR(INDEX('full database 2024'!ar:ar, MATCH(A186, 'full database 2024'!b:b, 0)), "")</f>
        <v/>
      </c>
      <c r="AZ186" s="5" t="s">
        <v>129</v>
      </c>
      <c r="BD186" s="9" t="n">
        <v>45275</v>
      </c>
      <c r="BE186" s="9" t="n">
        <v>45779</v>
      </c>
      <c r="BI186" s="5" t="s">
        <v>241</v>
      </c>
      <c r="BJ186" s="5" t="n">
        <v>2023</v>
      </c>
      <c r="BK186" s="11" t="n">
        <v>45301</v>
      </c>
    </row>
    <row r="187" customFormat="false" ht="16.5" hidden="false" customHeight="true" outlineLevel="0" collapsed="false">
      <c r="A187" s="5" t="s">
        <v>1145</v>
      </c>
      <c r="B187" s="5" t="s">
        <v>1146</v>
      </c>
      <c r="C187" s="5"/>
      <c r="D187" s="5" t="s">
        <v>62</v>
      </c>
      <c r="E187" s="16" t="n">
        <v>487500</v>
      </c>
      <c r="F187" s="16" t="n">
        <v>487500</v>
      </c>
      <c r="G187" s="5" t="s">
        <v>132</v>
      </c>
      <c r="H187" s="6" t="n">
        <v>619600</v>
      </c>
      <c r="I187" s="6" t="n">
        <v>619600</v>
      </c>
      <c r="J187" s="7" t="n">
        <f aca="false">E187*1.19</f>
        <v>580125</v>
      </c>
      <c r="K187" s="7" t="n">
        <f aca="false">F187*1.19</f>
        <v>580125</v>
      </c>
      <c r="L187" s="5" t="s">
        <v>84</v>
      </c>
      <c r="M187" s="5" t="s">
        <v>65</v>
      </c>
      <c r="N187" s="8" t="s">
        <v>861</v>
      </c>
      <c r="O187" s="5" t="s">
        <v>1147</v>
      </c>
      <c r="P187" s="5"/>
      <c r="Q187" s="5"/>
      <c r="R187" s="5" t="s">
        <v>1099</v>
      </c>
      <c r="T187" s="5" t="s">
        <v>1148</v>
      </c>
      <c r="U187" s="5" t="s">
        <v>70</v>
      </c>
      <c r="V187" s="5" t="s">
        <v>1149</v>
      </c>
      <c r="W187" s="5" t="s">
        <v>102</v>
      </c>
      <c r="X187" s="5" t="s">
        <v>139</v>
      </c>
      <c r="Y187" s="5" t="s">
        <v>73</v>
      </c>
      <c r="Z187" s="5" t="s">
        <v>70</v>
      </c>
      <c r="AD187" s="5" t="s">
        <v>1150</v>
      </c>
      <c r="AE187" s="5" t="s">
        <v>74</v>
      </c>
      <c r="AI187" s="9" t="n">
        <v>45200</v>
      </c>
      <c r="AJ187" s="5" t="n">
        <v>1</v>
      </c>
      <c r="AK187" s="5" t="s">
        <v>75</v>
      </c>
      <c r="AL187" s="5" t="n">
        <v>619600</v>
      </c>
      <c r="AM187" s="5" t="s">
        <v>140</v>
      </c>
      <c r="AN187" s="5" t="s">
        <v>141</v>
      </c>
      <c r="AQ187" s="5" t="s">
        <v>77</v>
      </c>
      <c r="AR187" s="5" t="s">
        <v>143</v>
      </c>
      <c r="AS187" s="5" t="s">
        <v>73</v>
      </c>
      <c r="AT187" s="5" t="s">
        <v>78</v>
      </c>
      <c r="AW187" s="5" t="s">
        <v>94</v>
      </c>
      <c r="AX187" s="10" t="str">
        <f aca="false">IFERROR(INDEX('full database 2024'!ar:ar, MATCH(A187, 'full database 2024'!b:b, 0)), "")</f>
        <v/>
      </c>
      <c r="AZ187" s="5" t="s">
        <v>396</v>
      </c>
      <c r="BD187" s="9" t="n">
        <v>45275</v>
      </c>
      <c r="BE187" s="9" t="n">
        <v>45779</v>
      </c>
      <c r="BI187" s="5" t="s">
        <v>241</v>
      </c>
      <c r="BJ187" s="5" t="n">
        <v>2023</v>
      </c>
      <c r="BK187" s="11" t="n">
        <v>45301</v>
      </c>
    </row>
    <row r="188" customFormat="false" ht="16.5" hidden="false" customHeight="true" outlineLevel="0" collapsed="false">
      <c r="A188" s="5" t="s">
        <v>1151</v>
      </c>
      <c r="B188" s="5"/>
      <c r="C188" s="5"/>
      <c r="D188" s="5" t="s">
        <v>62</v>
      </c>
      <c r="E188" s="16" t="n">
        <v>487500</v>
      </c>
      <c r="F188" s="16" t="n">
        <v>487500</v>
      </c>
      <c r="G188" s="5" t="s">
        <v>132</v>
      </c>
      <c r="H188" s="6" t="n">
        <v>619600</v>
      </c>
      <c r="I188" s="6" t="n">
        <v>619600</v>
      </c>
      <c r="J188" s="7" t="n">
        <f aca="false">E188*1.19</f>
        <v>580125</v>
      </c>
      <c r="K188" s="7" t="n">
        <f aca="false">F188*1.19</f>
        <v>580125</v>
      </c>
      <c r="L188" s="5" t="s">
        <v>84</v>
      </c>
      <c r="M188" s="5" t="s">
        <v>65</v>
      </c>
      <c r="N188" s="8" t="s">
        <v>861</v>
      </c>
      <c r="O188" s="5"/>
      <c r="P188" s="5"/>
      <c r="Q188" s="5"/>
      <c r="R188" s="5" t="s">
        <v>1099</v>
      </c>
      <c r="T188" s="5" t="s">
        <v>1152</v>
      </c>
      <c r="U188" s="5" t="s">
        <v>70</v>
      </c>
      <c r="V188" s="5" t="s">
        <v>1153</v>
      </c>
      <c r="W188" s="5" t="s">
        <v>102</v>
      </c>
      <c r="X188" s="5" t="s">
        <v>139</v>
      </c>
      <c r="Y188" s="5" t="s">
        <v>73</v>
      </c>
      <c r="Z188" s="5" t="s">
        <v>70</v>
      </c>
      <c r="AD188" s="5" t="s">
        <v>197</v>
      </c>
      <c r="AE188" s="5" t="s">
        <v>74</v>
      </c>
      <c r="AI188" s="9" t="n">
        <v>45200</v>
      </c>
      <c r="AJ188" s="5" t="n">
        <v>1</v>
      </c>
      <c r="AK188" s="5" t="s">
        <v>75</v>
      </c>
      <c r="AL188" s="5" t="n">
        <v>619600</v>
      </c>
      <c r="AM188" s="5" t="s">
        <v>140</v>
      </c>
      <c r="AN188" s="5" t="s">
        <v>141</v>
      </c>
      <c r="AQ188" s="5" t="s">
        <v>77</v>
      </c>
      <c r="AR188" s="5" t="s">
        <v>143</v>
      </c>
      <c r="AS188" s="5" t="s">
        <v>73</v>
      </c>
      <c r="AT188" s="5" t="s">
        <v>105</v>
      </c>
      <c r="AU188" s="10" t="s">
        <v>106</v>
      </c>
      <c r="AW188" s="5" t="s">
        <v>94</v>
      </c>
      <c r="AX188" s="10" t="str">
        <f aca="false">IFERROR(INDEX('full database 2024'!ar:ar, MATCH(A188, 'full database 2024'!b:b, 0)), "")</f>
        <v/>
      </c>
      <c r="AZ188" s="5" t="s">
        <v>540</v>
      </c>
      <c r="BD188" s="9" t="n">
        <v>45275</v>
      </c>
      <c r="BE188" s="9" t="n">
        <v>45779</v>
      </c>
      <c r="BI188" s="5" t="s">
        <v>241</v>
      </c>
      <c r="BJ188" s="5" t="n">
        <v>2023</v>
      </c>
      <c r="BK188" s="11" t="n">
        <v>45301</v>
      </c>
    </row>
    <row r="189" customFormat="false" ht="16.5" hidden="false" customHeight="true" outlineLevel="0" collapsed="false">
      <c r="A189" s="5" t="s">
        <v>1154</v>
      </c>
      <c r="B189" s="5" t="s">
        <v>1155</v>
      </c>
      <c r="C189" s="5"/>
      <c r="D189" s="5" t="s">
        <v>62</v>
      </c>
      <c r="E189" s="16" t="n">
        <v>487500</v>
      </c>
      <c r="F189" s="16" t="n">
        <v>487500</v>
      </c>
      <c r="G189" s="5" t="s">
        <v>132</v>
      </c>
      <c r="H189" s="6" t="n">
        <v>619600</v>
      </c>
      <c r="I189" s="6" t="n">
        <v>619600</v>
      </c>
      <c r="J189" s="7" t="n">
        <f aca="false">E189*1.19</f>
        <v>580125</v>
      </c>
      <c r="K189" s="7" t="n">
        <f aca="false">F189*1.19</f>
        <v>580125</v>
      </c>
      <c r="L189" s="5" t="s">
        <v>84</v>
      </c>
      <c r="M189" s="5" t="s">
        <v>65</v>
      </c>
      <c r="N189" s="8" t="s">
        <v>861</v>
      </c>
      <c r="O189" s="5" t="s">
        <v>1156</v>
      </c>
      <c r="P189" s="5"/>
      <c r="Q189" s="5"/>
      <c r="R189" s="5" t="s">
        <v>1099</v>
      </c>
      <c r="T189" s="5" t="s">
        <v>1157</v>
      </c>
      <c r="U189" s="5" t="s">
        <v>70</v>
      </c>
      <c r="V189" s="5" t="s">
        <v>1158</v>
      </c>
      <c r="W189" s="5" t="s">
        <v>102</v>
      </c>
      <c r="X189" s="5" t="s">
        <v>139</v>
      </c>
      <c r="Y189" s="5" t="s">
        <v>73</v>
      </c>
      <c r="Z189" s="5" t="s">
        <v>70</v>
      </c>
      <c r="AD189" s="5" t="s">
        <v>1159</v>
      </c>
      <c r="AE189" s="5" t="s">
        <v>74</v>
      </c>
      <c r="AI189" s="9" t="n">
        <v>45200</v>
      </c>
      <c r="AJ189" s="5" t="n">
        <v>1</v>
      </c>
      <c r="AK189" s="5" t="s">
        <v>75</v>
      </c>
      <c r="AL189" s="5" t="n">
        <v>619600</v>
      </c>
      <c r="AM189" s="5" t="s">
        <v>140</v>
      </c>
      <c r="AN189" s="5" t="s">
        <v>141</v>
      </c>
      <c r="AQ189" s="5" t="s">
        <v>77</v>
      </c>
      <c r="AR189" s="5" t="s">
        <v>143</v>
      </c>
      <c r="AS189" s="5" t="s">
        <v>73</v>
      </c>
      <c r="AT189" s="5" t="s">
        <v>374</v>
      </c>
      <c r="AW189" s="5" t="s">
        <v>94</v>
      </c>
      <c r="AX189" s="10" t="str">
        <f aca="false">IFERROR(INDEX('full database 2024'!ar:ar, MATCH(A189, 'full database 2024'!b:b, 0)), "")</f>
        <v/>
      </c>
      <c r="AZ189" s="5" t="s">
        <v>121</v>
      </c>
      <c r="BD189" s="9" t="n">
        <v>45275</v>
      </c>
      <c r="BE189" s="9" t="n">
        <v>45779</v>
      </c>
      <c r="BI189" s="5" t="s">
        <v>241</v>
      </c>
      <c r="BJ189" s="5" t="n">
        <v>2023</v>
      </c>
      <c r="BK189" s="11" t="n">
        <v>45301</v>
      </c>
    </row>
    <row r="190" customFormat="false" ht="16.5" hidden="false" customHeight="true" outlineLevel="0" collapsed="false">
      <c r="A190" s="5" t="s">
        <v>1160</v>
      </c>
      <c r="B190" s="5"/>
      <c r="C190" s="5"/>
      <c r="D190" s="5" t="s">
        <v>62</v>
      </c>
      <c r="E190" s="16" t="n">
        <v>487500</v>
      </c>
      <c r="F190" s="16" t="n">
        <v>487500</v>
      </c>
      <c r="G190" s="5" t="s">
        <v>132</v>
      </c>
      <c r="H190" s="6" t="n">
        <v>619600</v>
      </c>
      <c r="I190" s="6" t="n">
        <v>619600</v>
      </c>
      <c r="J190" s="7" t="n">
        <f aca="false">E190*1.19</f>
        <v>580125</v>
      </c>
      <c r="K190" s="7" t="n">
        <f aca="false">F190*1.19</f>
        <v>580125</v>
      </c>
      <c r="L190" s="5" t="s">
        <v>84</v>
      </c>
      <c r="M190" s="5" t="s">
        <v>65</v>
      </c>
      <c r="N190" s="8" t="s">
        <v>861</v>
      </c>
      <c r="O190" s="5"/>
      <c r="P190" s="5"/>
      <c r="Q190" s="5"/>
      <c r="R190" s="5" t="s">
        <v>1099</v>
      </c>
      <c r="T190" s="5" t="s">
        <v>1094</v>
      </c>
      <c r="U190" s="5" t="s">
        <v>70</v>
      </c>
      <c r="V190" s="5" t="s">
        <v>1095</v>
      </c>
      <c r="W190" s="5" t="s">
        <v>102</v>
      </c>
      <c r="X190" s="5" t="s">
        <v>139</v>
      </c>
      <c r="Y190" s="5" t="s">
        <v>73</v>
      </c>
      <c r="Z190" s="5" t="s">
        <v>70</v>
      </c>
      <c r="AD190" s="5" t="s">
        <v>1161</v>
      </c>
      <c r="AE190" s="5" t="s">
        <v>74</v>
      </c>
      <c r="AI190" s="9" t="n">
        <v>45200</v>
      </c>
      <c r="AJ190" s="5" t="n">
        <v>1</v>
      </c>
      <c r="AK190" s="5" t="s">
        <v>75</v>
      </c>
      <c r="AL190" s="5" t="n">
        <v>619600</v>
      </c>
      <c r="AM190" s="5" t="s">
        <v>140</v>
      </c>
      <c r="AN190" s="5" t="s">
        <v>141</v>
      </c>
      <c r="AQ190" s="5" t="s">
        <v>77</v>
      </c>
      <c r="AR190" s="5" t="s">
        <v>143</v>
      </c>
      <c r="AS190" s="5" t="s">
        <v>73</v>
      </c>
      <c r="AT190" s="5" t="s">
        <v>105</v>
      </c>
      <c r="AU190" s="10" t="s">
        <v>106</v>
      </c>
      <c r="AW190" s="5" t="s">
        <v>94</v>
      </c>
      <c r="AX190" s="10" t="str">
        <f aca="false">IFERROR(INDEX('full database 2024'!ar:ar, MATCH(A190, 'full database 2024'!b:b, 0)), "")</f>
        <v/>
      </c>
      <c r="AZ190" s="5" t="s">
        <v>121</v>
      </c>
      <c r="BD190" s="9" t="n">
        <v>45275</v>
      </c>
      <c r="BE190" s="9" t="n">
        <v>45779</v>
      </c>
      <c r="BI190" s="5" t="s">
        <v>241</v>
      </c>
      <c r="BJ190" s="5" t="n">
        <v>2023</v>
      </c>
      <c r="BK190" s="11" t="n">
        <v>45301</v>
      </c>
    </row>
    <row r="191" customFormat="false" ht="16.5" hidden="false" customHeight="true" outlineLevel="0" collapsed="false">
      <c r="A191" s="5" t="s">
        <v>1162</v>
      </c>
      <c r="B191" s="5" t="s">
        <v>1163</v>
      </c>
      <c r="C191" s="5"/>
      <c r="D191" s="5" t="s">
        <v>62</v>
      </c>
      <c r="E191" s="16" t="n">
        <v>487500</v>
      </c>
      <c r="F191" s="16" t="n">
        <v>487500</v>
      </c>
      <c r="G191" s="5" t="s">
        <v>132</v>
      </c>
      <c r="H191" s="6" t="n">
        <v>619600</v>
      </c>
      <c r="I191" s="6" t="n">
        <v>619600</v>
      </c>
      <c r="J191" s="7" t="n">
        <f aca="false">E191*1.19</f>
        <v>580125</v>
      </c>
      <c r="K191" s="7" t="n">
        <f aca="false">F191*1.19</f>
        <v>580125</v>
      </c>
      <c r="L191" s="5" t="s">
        <v>84</v>
      </c>
      <c r="M191" s="5" t="s">
        <v>65</v>
      </c>
      <c r="N191" s="8" t="s">
        <v>861</v>
      </c>
      <c r="O191" s="5" t="s">
        <v>1164</v>
      </c>
      <c r="P191" s="5"/>
      <c r="Q191" s="5"/>
      <c r="R191" s="5" t="s">
        <v>1099</v>
      </c>
      <c r="T191" s="5" t="s">
        <v>1165</v>
      </c>
      <c r="U191" s="5" t="s">
        <v>70</v>
      </c>
      <c r="V191" s="5" t="s">
        <v>1166</v>
      </c>
      <c r="W191" s="5" t="s">
        <v>102</v>
      </c>
      <c r="X191" s="5" t="s">
        <v>139</v>
      </c>
      <c r="Y191" s="5" t="s">
        <v>73</v>
      </c>
      <c r="Z191" s="5" t="s">
        <v>70</v>
      </c>
      <c r="AD191" s="5" t="s">
        <v>1167</v>
      </c>
      <c r="AE191" s="5" t="s">
        <v>74</v>
      </c>
      <c r="AI191" s="9" t="n">
        <v>45200</v>
      </c>
      <c r="AJ191" s="5" t="n">
        <v>1</v>
      </c>
      <c r="AK191" s="5" t="s">
        <v>75</v>
      </c>
      <c r="AL191" s="5" t="n">
        <v>619600</v>
      </c>
      <c r="AM191" s="5" t="s">
        <v>140</v>
      </c>
      <c r="AN191" s="5" t="s">
        <v>141</v>
      </c>
      <c r="AQ191" s="5" t="s">
        <v>77</v>
      </c>
      <c r="AR191" s="5" t="s">
        <v>143</v>
      </c>
      <c r="AS191" s="5" t="s">
        <v>73</v>
      </c>
      <c r="AT191" s="5" t="s">
        <v>374</v>
      </c>
      <c r="AW191" s="5" t="s">
        <v>94</v>
      </c>
      <c r="AX191" s="10" t="str">
        <f aca="false">IFERROR(INDEX('full database 2024'!ar:ar, MATCH(A191, 'full database 2024'!b:b, 0)), "")</f>
        <v/>
      </c>
      <c r="AZ191" s="5" t="s">
        <v>121</v>
      </c>
      <c r="BD191" s="9" t="n">
        <v>45275</v>
      </c>
      <c r="BE191" s="9" t="n">
        <v>45779</v>
      </c>
      <c r="BI191" s="5" t="s">
        <v>241</v>
      </c>
      <c r="BJ191" s="5" t="n">
        <v>2023</v>
      </c>
      <c r="BK191" s="11" t="n">
        <v>45301</v>
      </c>
    </row>
    <row r="192" customFormat="false" ht="16.5" hidden="false" customHeight="true" outlineLevel="0" collapsed="false">
      <c r="A192" s="5" t="s">
        <v>1168</v>
      </c>
      <c r="B192" s="5" t="s">
        <v>1169</v>
      </c>
      <c r="C192" s="5"/>
      <c r="D192" s="5" t="s">
        <v>62</v>
      </c>
      <c r="E192" s="16" t="n">
        <v>487500</v>
      </c>
      <c r="F192" s="16" t="n">
        <v>487500</v>
      </c>
      <c r="G192" s="5" t="s">
        <v>132</v>
      </c>
      <c r="H192" s="6" t="n">
        <v>619600</v>
      </c>
      <c r="I192" s="6" t="n">
        <v>619600</v>
      </c>
      <c r="J192" s="7" t="n">
        <f aca="false">E192*1.19</f>
        <v>580125</v>
      </c>
      <c r="K192" s="7" t="n">
        <f aca="false">F192*1.19</f>
        <v>580125</v>
      </c>
      <c r="L192" s="5" t="s">
        <v>84</v>
      </c>
      <c r="M192" s="5" t="s">
        <v>65</v>
      </c>
      <c r="N192" s="8" t="s">
        <v>861</v>
      </c>
      <c r="O192" s="5" t="s">
        <v>1170</v>
      </c>
      <c r="P192" s="5"/>
      <c r="Q192" s="5"/>
      <c r="R192" s="5" t="s">
        <v>1099</v>
      </c>
      <c r="T192" s="5" t="s">
        <v>1171</v>
      </c>
      <c r="U192" s="5" t="s">
        <v>70</v>
      </c>
      <c r="V192" s="5" t="s">
        <v>1172</v>
      </c>
      <c r="W192" s="5" t="s">
        <v>102</v>
      </c>
      <c r="X192" s="5" t="s">
        <v>139</v>
      </c>
      <c r="Y192" s="5" t="s">
        <v>73</v>
      </c>
      <c r="Z192" s="5" t="s">
        <v>70</v>
      </c>
      <c r="AD192" s="5" t="s">
        <v>1173</v>
      </c>
      <c r="AE192" s="5" t="s">
        <v>74</v>
      </c>
      <c r="AI192" s="9" t="n">
        <v>45200</v>
      </c>
      <c r="AJ192" s="5" t="n">
        <v>1</v>
      </c>
      <c r="AK192" s="5" t="s">
        <v>75</v>
      </c>
      <c r="AL192" s="5" t="n">
        <v>619600</v>
      </c>
      <c r="AM192" s="5" t="s">
        <v>140</v>
      </c>
      <c r="AN192" s="5" t="s">
        <v>141</v>
      </c>
      <c r="AQ192" s="5" t="s">
        <v>77</v>
      </c>
      <c r="AR192" s="5" t="s">
        <v>143</v>
      </c>
      <c r="AS192" s="5" t="s">
        <v>73</v>
      </c>
      <c r="AT192" s="5" t="s">
        <v>105</v>
      </c>
      <c r="AU192" s="10" t="s">
        <v>186</v>
      </c>
      <c r="AW192" s="5" t="s">
        <v>94</v>
      </c>
      <c r="AX192" s="10" t="str">
        <f aca="false">IFERROR(INDEX('full database 2024'!ar:ar, MATCH(A192, 'full database 2024'!b:b, 0)), "")</f>
        <v/>
      </c>
      <c r="AZ192" s="5" t="s">
        <v>121</v>
      </c>
      <c r="BD192" s="9" t="n">
        <v>45275</v>
      </c>
      <c r="BE192" s="9" t="n">
        <v>45779</v>
      </c>
      <c r="BI192" s="5" t="s">
        <v>241</v>
      </c>
      <c r="BJ192" s="5" t="n">
        <v>2023</v>
      </c>
      <c r="BK192" s="11" t="n">
        <v>45301</v>
      </c>
    </row>
    <row r="193" customFormat="false" ht="16.5" hidden="false" customHeight="true" outlineLevel="0" collapsed="false">
      <c r="A193" s="5" t="s">
        <v>1174</v>
      </c>
      <c r="B193" s="5" t="s">
        <v>920</v>
      </c>
      <c r="C193" s="5"/>
      <c r="D193" s="5" t="s">
        <v>62</v>
      </c>
      <c r="E193" s="5" t="n">
        <v>479912</v>
      </c>
      <c r="F193" s="5" t="n">
        <v>479912</v>
      </c>
      <c r="G193" s="5" t="s">
        <v>147</v>
      </c>
      <c r="H193" s="6" t="n">
        <v>539700</v>
      </c>
      <c r="I193" s="6" t="n">
        <v>539700</v>
      </c>
      <c r="J193" s="7" t="n">
        <v>479912</v>
      </c>
      <c r="K193" s="7" t="n">
        <v>479912</v>
      </c>
      <c r="L193" s="5" t="s">
        <v>84</v>
      </c>
      <c r="M193" s="5"/>
      <c r="N193" s="8" t="s">
        <v>1175</v>
      </c>
      <c r="O193" s="5" t="s">
        <v>1176</v>
      </c>
      <c r="P193" s="5"/>
      <c r="Q193" s="5"/>
      <c r="R193" s="5"/>
      <c r="T193" s="5"/>
      <c r="U193" s="5"/>
      <c r="V193" s="5" t="s">
        <v>1088</v>
      </c>
      <c r="W193" s="5"/>
      <c r="X193" s="5" t="s">
        <v>151</v>
      </c>
      <c r="Y193" s="5" t="s">
        <v>73</v>
      </c>
      <c r="Z193" s="5"/>
      <c r="AD193" s="5"/>
      <c r="AE193" s="5"/>
      <c r="AI193" s="9" t="n">
        <v>43831</v>
      </c>
      <c r="AJ193" s="5"/>
      <c r="AK193" s="5"/>
      <c r="AL193" s="5" t="n">
        <v>539700</v>
      </c>
      <c r="AM193" s="5" t="s">
        <v>153</v>
      </c>
      <c r="AN193" s="5"/>
      <c r="AQ193" s="5" t="s">
        <v>77</v>
      </c>
      <c r="AR193" s="5" t="s">
        <v>151</v>
      </c>
      <c r="AS193" s="5" t="s">
        <v>73</v>
      </c>
      <c r="AT193" s="5" t="s">
        <v>78</v>
      </c>
      <c r="AW193" s="5" t="s">
        <v>94</v>
      </c>
      <c r="AX193" s="10" t="str">
        <f aca="false">IFERROR(INDEX('full database 2024'!ar:ar, MATCH(A193, 'full database 2024'!b:b, 0)), "")</f>
        <v/>
      </c>
      <c r="AZ193" s="5" t="s">
        <v>129</v>
      </c>
      <c r="BD193" s="9" t="n">
        <v>45671</v>
      </c>
      <c r="BE193" s="9" t="n">
        <v>45779</v>
      </c>
      <c r="BI193" s="5"/>
      <c r="BJ193" s="5" t="n">
        <v>2020</v>
      </c>
      <c r="BK193" s="5" t="s">
        <v>1177</v>
      </c>
    </row>
    <row r="194" customFormat="false" ht="16.5" hidden="false" customHeight="true" outlineLevel="0" collapsed="false">
      <c r="A194" s="5" t="s">
        <v>1178</v>
      </c>
      <c r="B194" s="5" t="s">
        <v>1179</v>
      </c>
      <c r="C194" s="5"/>
      <c r="D194" s="5" t="s">
        <v>62</v>
      </c>
      <c r="E194" s="5" t="n">
        <v>472068</v>
      </c>
      <c r="F194" s="5" t="n">
        <v>472068</v>
      </c>
      <c r="G194" s="5" t="s">
        <v>147</v>
      </c>
      <c r="H194" s="6" t="n">
        <v>510098</v>
      </c>
      <c r="I194" s="6" t="n">
        <v>510098</v>
      </c>
      <c r="J194" s="7" t="n">
        <v>472068</v>
      </c>
      <c r="K194" s="7" t="n">
        <v>472068</v>
      </c>
      <c r="L194" s="5" t="s">
        <v>84</v>
      </c>
      <c r="N194" s="8" t="s">
        <v>1180</v>
      </c>
      <c r="O194" s="5" t="s">
        <v>1181</v>
      </c>
      <c r="P194" s="5"/>
      <c r="Q194" s="5"/>
      <c r="R194" s="5" t="s">
        <v>1182</v>
      </c>
      <c r="T194" s="5" t="s">
        <v>1183</v>
      </c>
      <c r="U194" s="5" t="s">
        <v>70</v>
      </c>
      <c r="V194" s="5" t="s">
        <v>1184</v>
      </c>
      <c r="W194" s="5" t="s">
        <v>102</v>
      </c>
      <c r="X194" s="5" t="s">
        <v>151</v>
      </c>
      <c r="Y194" s="5" t="s">
        <v>73</v>
      </c>
      <c r="Z194" s="5" t="s">
        <v>70</v>
      </c>
      <c r="AD194" s="5" t="s">
        <v>70</v>
      </c>
      <c r="AE194" s="5" t="s">
        <v>117</v>
      </c>
      <c r="AI194" s="9" t="n">
        <v>45214</v>
      </c>
      <c r="AJ194" s="5" t="n">
        <v>2</v>
      </c>
      <c r="AK194" s="5" t="s">
        <v>75</v>
      </c>
      <c r="AL194" s="5" t="n">
        <v>255049</v>
      </c>
      <c r="AM194" s="5" t="s">
        <v>153</v>
      </c>
      <c r="AN194" s="5"/>
      <c r="AO194" s="5" t="s">
        <v>373</v>
      </c>
      <c r="AQ194" s="5" t="s">
        <v>77</v>
      </c>
      <c r="AR194" s="5" t="s">
        <v>151</v>
      </c>
      <c r="AS194" s="5" t="s">
        <v>73</v>
      </c>
      <c r="AT194" s="5" t="s">
        <v>374</v>
      </c>
      <c r="AW194" s="5" t="s">
        <v>94</v>
      </c>
      <c r="AX194" s="10" t="str">
        <f aca="false">IFERROR(INDEX('full database 2024'!ar:ar, MATCH(A194, 'full database 2024'!b:b, 0)), "")</f>
        <v/>
      </c>
      <c r="AZ194" s="5" t="s">
        <v>239</v>
      </c>
      <c r="BD194" s="9" t="n">
        <v>45435</v>
      </c>
      <c r="BE194" s="9" t="n">
        <v>45454</v>
      </c>
      <c r="BI194" s="5" t="s">
        <v>81</v>
      </c>
      <c r="BJ194" s="5" t="n">
        <v>2023</v>
      </c>
      <c r="BK194" s="5" t="s">
        <v>1185</v>
      </c>
    </row>
    <row r="195" customFormat="false" ht="16.5" hidden="false" customHeight="true" outlineLevel="0" collapsed="false">
      <c r="A195" s="5" t="s">
        <v>1186</v>
      </c>
      <c r="B195" s="5"/>
      <c r="C195" s="5"/>
      <c r="D195" s="5" t="s">
        <v>62</v>
      </c>
      <c r="E195" s="5" t="n">
        <v>469948</v>
      </c>
      <c r="F195" s="5" t="n">
        <v>469948</v>
      </c>
      <c r="G195" s="5" t="s">
        <v>147</v>
      </c>
      <c r="H195" s="6" t="n">
        <v>507544</v>
      </c>
      <c r="I195" s="6" t="n">
        <v>507544</v>
      </c>
      <c r="J195" s="7" t="n">
        <v>469948</v>
      </c>
      <c r="K195" s="7" t="n">
        <v>469948</v>
      </c>
      <c r="L195" s="5" t="s">
        <v>84</v>
      </c>
      <c r="M195" s="5" t="s">
        <v>65</v>
      </c>
      <c r="N195" s="5"/>
      <c r="O195" s="5"/>
      <c r="P195" s="5"/>
      <c r="Q195" s="5"/>
      <c r="R195" s="5"/>
      <c r="T195" s="5"/>
      <c r="U195" s="5"/>
      <c r="V195" s="5" t="s">
        <v>1187</v>
      </c>
      <c r="W195" s="5"/>
      <c r="X195" s="5" t="s">
        <v>151</v>
      </c>
      <c r="Y195" s="5" t="s">
        <v>73</v>
      </c>
      <c r="Z195" s="5"/>
      <c r="AD195" s="5"/>
      <c r="AE195" s="5"/>
      <c r="AI195" s="9" t="n">
        <v>44930</v>
      </c>
      <c r="AJ195" s="5"/>
      <c r="AK195" s="5"/>
      <c r="AL195" s="5" t="n">
        <v>507544</v>
      </c>
      <c r="AM195" s="5" t="s">
        <v>821</v>
      </c>
      <c r="AN195" s="5"/>
      <c r="AO195" s="5"/>
      <c r="AQ195" s="5" t="s">
        <v>77</v>
      </c>
      <c r="AR195" s="5" t="s">
        <v>151</v>
      </c>
      <c r="AS195" s="5" t="s">
        <v>73</v>
      </c>
      <c r="AT195" s="5" t="s">
        <v>78</v>
      </c>
      <c r="AW195" s="5" t="s">
        <v>94</v>
      </c>
      <c r="AX195" s="10" t="str">
        <f aca="false">IFERROR(INDEX('full database 2024'!ar:ar, MATCH(A195, 'full database 2024'!b:b, 0)), "")</f>
        <v/>
      </c>
      <c r="AZ195" s="5" t="s">
        <v>309</v>
      </c>
      <c r="BD195" s="9" t="n">
        <v>45596</v>
      </c>
      <c r="BE195" s="9" t="n">
        <v>45596</v>
      </c>
      <c r="BI195" s="5"/>
      <c r="BJ195" s="5" t="n">
        <v>2023</v>
      </c>
      <c r="BK195" s="11" t="n">
        <v>36526</v>
      </c>
    </row>
    <row r="196" customFormat="false" ht="16.5" hidden="false" customHeight="true" outlineLevel="0" collapsed="false">
      <c r="A196" s="5" t="s">
        <v>1188</v>
      </c>
      <c r="C196" s="5"/>
      <c r="D196" s="5" t="s">
        <v>62</v>
      </c>
      <c r="E196" s="5" t="n">
        <v>465722</v>
      </c>
      <c r="F196" s="5" t="n">
        <v>465722</v>
      </c>
      <c r="G196" s="5" t="s">
        <v>147</v>
      </c>
      <c r="H196" s="6" t="n">
        <v>549552</v>
      </c>
      <c r="I196" s="6" t="n">
        <v>549552</v>
      </c>
      <c r="J196" s="7" t="n">
        <v>465722</v>
      </c>
      <c r="K196" s="7" t="n">
        <v>465722</v>
      </c>
      <c r="L196" s="5" t="s">
        <v>84</v>
      </c>
      <c r="M196" s="5" t="s">
        <v>65</v>
      </c>
      <c r="N196" s="8" t="s">
        <v>1189</v>
      </c>
      <c r="T196" s="5" t="s">
        <v>1190</v>
      </c>
      <c r="V196" s="5" t="s">
        <v>1191</v>
      </c>
      <c r="W196" s="5" t="s">
        <v>384</v>
      </c>
      <c r="X196" s="5" t="s">
        <v>737</v>
      </c>
      <c r="Y196" s="5" t="s">
        <v>73</v>
      </c>
      <c r="AC196" s="5" t="s">
        <v>1192</v>
      </c>
      <c r="AD196" s="5" t="s">
        <v>1193</v>
      </c>
      <c r="AE196" s="5" t="s">
        <v>74</v>
      </c>
      <c r="AI196" s="9" t="n">
        <v>44199</v>
      </c>
      <c r="AL196" s="5" t="n">
        <v>549552</v>
      </c>
      <c r="AM196" s="5" t="s">
        <v>736</v>
      </c>
      <c r="AN196" s="5"/>
      <c r="AQ196" s="5" t="s">
        <v>77</v>
      </c>
      <c r="AR196" s="5" t="s">
        <v>737</v>
      </c>
      <c r="AS196" s="5" t="s">
        <v>73</v>
      </c>
      <c r="AT196" s="5" t="s">
        <v>78</v>
      </c>
      <c r="AW196" s="5" t="s">
        <v>94</v>
      </c>
      <c r="AX196" s="10" t="str">
        <f aca="false">IFERROR(INDEX('full database 2024'!ar:ar, MATCH(A196, 'full database 2024'!b:b, 0)), "")</f>
        <v/>
      </c>
      <c r="AZ196" s="5" t="s">
        <v>396</v>
      </c>
      <c r="BD196" s="9" t="n">
        <v>45377</v>
      </c>
      <c r="BE196" s="9" t="n">
        <v>45377</v>
      </c>
      <c r="BI196" s="5" t="s">
        <v>81</v>
      </c>
      <c r="BJ196" s="5" t="n">
        <v>2021</v>
      </c>
      <c r="BK196" s="11" t="n">
        <v>44986</v>
      </c>
    </row>
    <row r="197" customFormat="false" ht="16.5" hidden="false" customHeight="true" outlineLevel="0" collapsed="false">
      <c r="A197" s="5" t="s">
        <v>1194</v>
      </c>
      <c r="C197" s="5"/>
      <c r="D197" s="5" t="s">
        <v>62</v>
      </c>
      <c r="E197" s="5" t="n">
        <v>460573</v>
      </c>
      <c r="F197" s="5" t="n">
        <v>460573</v>
      </c>
      <c r="G197" s="5" t="s">
        <v>147</v>
      </c>
      <c r="H197" s="6" t="n">
        <v>502025</v>
      </c>
      <c r="I197" s="6" t="n">
        <v>502025</v>
      </c>
      <c r="J197" s="7" t="n">
        <v>460573</v>
      </c>
      <c r="K197" s="7" t="n">
        <v>460573</v>
      </c>
      <c r="L197" s="5" t="s">
        <v>84</v>
      </c>
      <c r="M197" s="5" t="s">
        <v>65</v>
      </c>
      <c r="N197" s="5"/>
      <c r="T197" s="5"/>
      <c r="V197" s="5" t="s">
        <v>1195</v>
      </c>
      <c r="W197" s="5"/>
      <c r="X197" s="5" t="s">
        <v>151</v>
      </c>
      <c r="Y197" s="5" t="s">
        <v>73</v>
      </c>
      <c r="AC197" s="5"/>
      <c r="AD197" s="5"/>
      <c r="AE197" s="5"/>
      <c r="AI197" s="9" t="n">
        <v>45047</v>
      </c>
      <c r="AL197" s="5" t="n">
        <v>502025</v>
      </c>
      <c r="AM197" s="5" t="s">
        <v>821</v>
      </c>
      <c r="AN197" s="5"/>
      <c r="AQ197" s="5" t="s">
        <v>77</v>
      </c>
      <c r="AR197" s="5" t="s">
        <v>151</v>
      </c>
      <c r="AS197" s="5" t="s">
        <v>73</v>
      </c>
      <c r="AT197" s="5" t="s">
        <v>105</v>
      </c>
      <c r="AU197" s="10" t="s">
        <v>186</v>
      </c>
      <c r="AW197" s="5" t="s">
        <v>94</v>
      </c>
      <c r="AX197" s="10" t="str">
        <f aca="false">IFERROR(INDEX('full database 2024'!ar:ar, MATCH(A197, 'full database 2024'!b:b, 0)), "")</f>
        <v/>
      </c>
      <c r="AZ197" s="5" t="s">
        <v>121</v>
      </c>
      <c r="BD197" s="9" t="n">
        <v>45596</v>
      </c>
      <c r="BE197" s="9" t="n">
        <v>45596</v>
      </c>
      <c r="BI197" s="5"/>
      <c r="BJ197" s="5" t="n">
        <v>2023</v>
      </c>
      <c r="BK197" s="11"/>
    </row>
    <row r="198" customFormat="false" ht="16.5" hidden="false" customHeight="true" outlineLevel="0" collapsed="false">
      <c r="A198" s="5" t="s">
        <v>1196</v>
      </c>
      <c r="C198" s="5"/>
      <c r="D198" s="5" t="s">
        <v>62</v>
      </c>
      <c r="E198" s="16" t="n">
        <v>457800</v>
      </c>
      <c r="F198" s="16" t="n">
        <v>366209</v>
      </c>
      <c r="G198" s="5" t="s">
        <v>132</v>
      </c>
      <c r="H198" s="6" t="n">
        <v>480690</v>
      </c>
      <c r="I198" s="6" t="n">
        <v>384519</v>
      </c>
      <c r="J198" s="7" t="n">
        <f aca="false">E198*1.19</f>
        <v>544782</v>
      </c>
      <c r="K198" s="7" t="n">
        <f aca="false">F198*1.19</f>
        <v>435788.71</v>
      </c>
      <c r="L198" s="5" t="s">
        <v>84</v>
      </c>
      <c r="M198" s="5" t="s">
        <v>65</v>
      </c>
      <c r="N198" s="8" t="s">
        <v>1197</v>
      </c>
      <c r="P198" s="5"/>
      <c r="Q198" s="5"/>
      <c r="R198" s="5" t="s">
        <v>670</v>
      </c>
      <c r="S198" s="5" t="s">
        <v>1198</v>
      </c>
      <c r="T198" s="5" t="s">
        <v>1199</v>
      </c>
      <c r="V198" s="5" t="s">
        <v>1200</v>
      </c>
      <c r="W198" s="5" t="s">
        <v>90</v>
      </c>
      <c r="X198" s="5" t="s">
        <v>139</v>
      </c>
      <c r="Y198" s="5" t="s">
        <v>73</v>
      </c>
      <c r="AE198" s="5" t="s">
        <v>117</v>
      </c>
      <c r="AI198" s="9" t="n">
        <v>44562</v>
      </c>
      <c r="AJ198" s="5" t="n">
        <v>5</v>
      </c>
      <c r="AK198" s="5" t="s">
        <v>75</v>
      </c>
      <c r="AL198" s="5" t="n">
        <v>96138</v>
      </c>
      <c r="AM198" s="5" t="s">
        <v>140</v>
      </c>
      <c r="AN198" s="5" t="s">
        <v>141</v>
      </c>
      <c r="AQ198" s="5" t="s">
        <v>77</v>
      </c>
      <c r="AR198" s="5" t="s">
        <v>143</v>
      </c>
      <c r="AS198" s="5" t="s">
        <v>73</v>
      </c>
      <c r="AT198" s="5" t="s">
        <v>78</v>
      </c>
      <c r="AW198" s="5" t="s">
        <v>94</v>
      </c>
      <c r="AX198" s="10" t="str">
        <f aca="false">IFERROR(INDEX('full database 2024'!ar:ar, MATCH(A198, 'full database 2024'!b:b, 0)), "")</f>
        <v/>
      </c>
      <c r="AZ198" s="5" t="s">
        <v>525</v>
      </c>
      <c r="BD198" s="9" t="n">
        <v>45377</v>
      </c>
      <c r="BE198" s="9" t="n">
        <v>45779</v>
      </c>
      <c r="BI198" s="5" t="s">
        <v>81</v>
      </c>
      <c r="BJ198" s="5" t="n">
        <v>2022</v>
      </c>
    </row>
    <row r="199" customFormat="false" ht="16.5" hidden="false" customHeight="true" outlineLevel="0" collapsed="false">
      <c r="A199" s="5" t="s">
        <v>1201</v>
      </c>
      <c r="B199" s="5" t="s">
        <v>920</v>
      </c>
      <c r="C199" s="5"/>
      <c r="D199" s="5" t="s">
        <v>62</v>
      </c>
      <c r="E199" s="5" t="n">
        <v>446119</v>
      </c>
      <c r="F199" s="5" t="n">
        <v>446119</v>
      </c>
      <c r="G199" s="5" t="s">
        <v>147</v>
      </c>
      <c r="H199" s="6" t="n">
        <v>482057</v>
      </c>
      <c r="I199" s="6" t="n">
        <v>482057</v>
      </c>
      <c r="J199" s="7" t="n">
        <v>446119</v>
      </c>
      <c r="K199" s="7" t="n">
        <v>446119</v>
      </c>
      <c r="L199" s="5" t="s">
        <v>84</v>
      </c>
      <c r="M199" s="5"/>
      <c r="N199" s="8" t="s">
        <v>1202</v>
      </c>
      <c r="O199" s="5" t="s">
        <v>1203</v>
      </c>
      <c r="P199" s="5"/>
      <c r="Q199" s="5"/>
      <c r="R199" s="5"/>
      <c r="S199" s="5"/>
      <c r="T199" s="5"/>
      <c r="V199" s="5" t="s">
        <v>923</v>
      </c>
      <c r="W199" s="5"/>
      <c r="X199" s="5" t="s">
        <v>151</v>
      </c>
      <c r="Y199" s="5" t="s">
        <v>73</v>
      </c>
      <c r="AE199" s="5"/>
      <c r="AI199" s="9" t="n">
        <v>45231</v>
      </c>
      <c r="AJ199" s="5"/>
      <c r="AK199" s="5"/>
      <c r="AL199" s="5" t="n">
        <v>482057</v>
      </c>
      <c r="AM199" s="5" t="s">
        <v>924</v>
      </c>
      <c r="AN199" s="5"/>
      <c r="AQ199" s="5" t="s">
        <v>77</v>
      </c>
      <c r="AR199" s="5" t="s">
        <v>151</v>
      </c>
      <c r="AS199" s="5" t="s">
        <v>73</v>
      </c>
      <c r="AT199" s="5" t="s">
        <v>78</v>
      </c>
      <c r="AW199" s="5" t="s">
        <v>94</v>
      </c>
      <c r="AX199" s="10" t="str">
        <f aca="false">IFERROR(INDEX('full database 2024'!ar:ar, MATCH(A199, 'full database 2024'!b:b, 0)), "")</f>
        <v/>
      </c>
      <c r="AY199" s="5" t="s">
        <v>1204</v>
      </c>
      <c r="AZ199" s="5" t="s">
        <v>188</v>
      </c>
      <c r="BD199" s="9" t="n">
        <v>45671</v>
      </c>
      <c r="BE199" s="9" t="n">
        <v>45779</v>
      </c>
      <c r="BI199" s="5"/>
      <c r="BJ199" s="5" t="n">
        <v>2023</v>
      </c>
      <c r="BK199" s="5" t="s">
        <v>387</v>
      </c>
    </row>
    <row r="200" customFormat="false" ht="16.5" hidden="false" customHeight="true" outlineLevel="0" collapsed="false">
      <c r="A200" s="5" t="s">
        <v>1205</v>
      </c>
      <c r="B200" s="5"/>
      <c r="C200" s="5"/>
      <c r="D200" s="5" t="s">
        <v>62</v>
      </c>
      <c r="E200" s="5" t="n">
        <v>442349</v>
      </c>
      <c r="F200" s="5" t="n">
        <v>442349</v>
      </c>
      <c r="G200" s="5" t="s">
        <v>366</v>
      </c>
      <c r="H200" s="6" t="n">
        <v>110587</v>
      </c>
      <c r="I200" s="6" t="n">
        <v>110587</v>
      </c>
      <c r="J200" s="7" t="n">
        <f aca="false">E200*0.23</f>
        <v>101740.27</v>
      </c>
      <c r="K200" s="7" t="n">
        <f aca="false">F200*0.23</f>
        <v>101740.27</v>
      </c>
      <c r="L200" s="5" t="s">
        <v>84</v>
      </c>
      <c r="M200" s="5" t="s">
        <v>65</v>
      </c>
      <c r="N200" s="5"/>
      <c r="O200" s="5"/>
      <c r="T200" s="5" t="s">
        <v>1206</v>
      </c>
      <c r="V200" s="5" t="s">
        <v>1207</v>
      </c>
      <c r="X200" s="5" t="s">
        <v>371</v>
      </c>
      <c r="Y200" s="5" t="s">
        <v>73</v>
      </c>
      <c r="AI200" s="9" t="n">
        <v>44393</v>
      </c>
      <c r="AJ200" s="5" t="n">
        <v>36</v>
      </c>
      <c r="AK200" s="5" t="s">
        <v>433</v>
      </c>
      <c r="AL200" s="5" t="n">
        <v>3072</v>
      </c>
      <c r="AM200" s="10" t="s">
        <v>1208</v>
      </c>
      <c r="AN200" s="5"/>
      <c r="AQ200" s="5" t="s">
        <v>77</v>
      </c>
      <c r="AR200" s="5" t="s">
        <v>371</v>
      </c>
      <c r="AS200" s="5" t="s">
        <v>73</v>
      </c>
      <c r="AT200" s="5" t="s">
        <v>71</v>
      </c>
      <c r="AU200" s="10" t="s">
        <v>1209</v>
      </c>
      <c r="AW200" s="5" t="s">
        <v>94</v>
      </c>
      <c r="AX200" s="10" t="str">
        <f aca="false">IFERROR(INDEX('full database 2024'!ar:ar, MATCH(A200, 'full database 2024'!b:b, 0)), "")</f>
        <v/>
      </c>
      <c r="AZ200" s="5" t="s">
        <v>399</v>
      </c>
      <c r="BD200" s="9" t="n">
        <v>45596</v>
      </c>
      <c r="BE200" s="9" t="n">
        <v>45596</v>
      </c>
      <c r="BJ200" s="5" t="n">
        <v>2021</v>
      </c>
      <c r="BK200" s="11" t="n">
        <v>36526</v>
      </c>
    </row>
    <row r="201" customFormat="false" ht="16.5" hidden="false" customHeight="true" outlineLevel="0" collapsed="false">
      <c r="A201" s="5" t="s">
        <v>1210</v>
      </c>
      <c r="B201" s="5" t="s">
        <v>1179</v>
      </c>
      <c r="C201" s="5"/>
      <c r="D201" s="5" t="s">
        <v>62</v>
      </c>
      <c r="E201" s="5" t="n">
        <v>427650</v>
      </c>
      <c r="F201" s="5" t="n">
        <v>427650</v>
      </c>
      <c r="G201" s="5" t="s">
        <v>147</v>
      </c>
      <c r="H201" s="6" t="n">
        <v>462100</v>
      </c>
      <c r="I201" s="6" t="n">
        <v>462100</v>
      </c>
      <c r="J201" s="7" t="n">
        <v>427650</v>
      </c>
      <c r="K201" s="7" t="n">
        <v>427650</v>
      </c>
      <c r="L201" s="5" t="s">
        <v>84</v>
      </c>
      <c r="M201" s="5"/>
      <c r="N201" s="8" t="s">
        <v>1211</v>
      </c>
      <c r="O201" s="5" t="s">
        <v>1212</v>
      </c>
      <c r="P201" s="5"/>
      <c r="Q201" s="5"/>
      <c r="R201" s="5" t="s">
        <v>1213</v>
      </c>
      <c r="T201" s="5" t="s">
        <v>1214</v>
      </c>
      <c r="U201" s="5" t="s">
        <v>70</v>
      </c>
      <c r="V201" s="5" t="s">
        <v>1215</v>
      </c>
      <c r="W201" s="5" t="s">
        <v>90</v>
      </c>
      <c r="X201" s="5" t="s">
        <v>151</v>
      </c>
      <c r="Y201" s="5" t="s">
        <v>73</v>
      </c>
      <c r="Z201" s="5" t="s">
        <v>70</v>
      </c>
      <c r="AD201" s="5" t="s">
        <v>70</v>
      </c>
      <c r="AE201" s="5" t="s">
        <v>117</v>
      </c>
      <c r="AI201" s="9" t="n">
        <v>45214</v>
      </c>
      <c r="AJ201" s="5" t="n">
        <v>2</v>
      </c>
      <c r="AK201" s="5" t="s">
        <v>75</v>
      </c>
      <c r="AL201" s="5" t="n">
        <v>231050</v>
      </c>
      <c r="AM201" s="5" t="s">
        <v>153</v>
      </c>
      <c r="AN201" s="5"/>
      <c r="AO201" s="5" t="s">
        <v>373</v>
      </c>
      <c r="AQ201" s="5" t="s">
        <v>77</v>
      </c>
      <c r="AR201" s="5" t="s">
        <v>151</v>
      </c>
      <c r="AS201" s="5" t="s">
        <v>73</v>
      </c>
      <c r="AT201" s="5" t="s">
        <v>374</v>
      </c>
      <c r="AW201" s="5" t="s">
        <v>94</v>
      </c>
      <c r="AX201" s="10" t="str">
        <f aca="false">IFERROR(INDEX('full database 2024'!ar:ar, MATCH(A201, 'full database 2024'!b:b, 0)), "")</f>
        <v/>
      </c>
      <c r="AZ201" s="5" t="s">
        <v>239</v>
      </c>
      <c r="BD201" s="9" t="n">
        <v>45435</v>
      </c>
      <c r="BE201" s="9" t="n">
        <v>45454</v>
      </c>
      <c r="BI201" s="5" t="s">
        <v>81</v>
      </c>
      <c r="BJ201" s="5" t="n">
        <v>2023</v>
      </c>
      <c r="BK201" s="5" t="s">
        <v>1185</v>
      </c>
    </row>
    <row r="202" customFormat="false" ht="16.5" hidden="false" customHeight="true" outlineLevel="0" collapsed="false">
      <c r="A202" s="5" t="s">
        <v>1216</v>
      </c>
      <c r="B202" s="5"/>
      <c r="C202" s="5"/>
      <c r="D202" s="5" t="s">
        <v>62</v>
      </c>
      <c r="E202" s="5" t="n">
        <v>427212</v>
      </c>
      <c r="F202" s="5" t="n">
        <v>427212</v>
      </c>
      <c r="G202" s="5" t="s">
        <v>147</v>
      </c>
      <c r="H202" s="6" t="n">
        <v>465661</v>
      </c>
      <c r="I202" s="6" t="n">
        <v>465661</v>
      </c>
      <c r="J202" s="7" t="n">
        <v>427212</v>
      </c>
      <c r="K202" s="7" t="n">
        <v>427212</v>
      </c>
      <c r="L202" s="5" t="s">
        <v>84</v>
      </c>
      <c r="M202" s="5" t="s">
        <v>65</v>
      </c>
      <c r="N202" s="8" t="s">
        <v>1217</v>
      </c>
      <c r="O202" s="5"/>
      <c r="P202" s="5"/>
      <c r="Q202" s="5"/>
      <c r="R202" s="5"/>
      <c r="T202" s="5"/>
      <c r="U202" s="5"/>
      <c r="V202" s="5" t="s">
        <v>1218</v>
      </c>
      <c r="W202" s="5"/>
      <c r="X202" s="5" t="s">
        <v>151</v>
      </c>
      <c r="Y202" s="5" t="s">
        <v>73</v>
      </c>
      <c r="Z202" s="5"/>
      <c r="AD202" s="5"/>
      <c r="AE202" s="5"/>
      <c r="AI202" s="9" t="n">
        <v>45231</v>
      </c>
      <c r="AJ202" s="5"/>
      <c r="AK202" s="5"/>
      <c r="AL202" s="5" t="n">
        <v>465661</v>
      </c>
      <c r="AM202" s="5" t="s">
        <v>153</v>
      </c>
      <c r="AN202" s="5"/>
      <c r="AO202" s="5"/>
      <c r="AQ202" s="5" t="s">
        <v>77</v>
      </c>
      <c r="AR202" s="5" t="s">
        <v>151</v>
      </c>
      <c r="AS202" s="5" t="s">
        <v>73</v>
      </c>
      <c r="AT202" s="5" t="s">
        <v>78</v>
      </c>
      <c r="AW202" s="5" t="s">
        <v>94</v>
      </c>
      <c r="AX202" s="10" t="str">
        <f aca="false">IFERROR(INDEX('full database 2024'!ar:ar, MATCH(A202, 'full database 2024'!b:b, 0)), "")</f>
        <v/>
      </c>
      <c r="AZ202" s="5" t="s">
        <v>396</v>
      </c>
      <c r="BD202" s="9" t="n">
        <v>45596</v>
      </c>
      <c r="BE202" s="9" t="n">
        <v>45779</v>
      </c>
      <c r="BI202" s="5"/>
      <c r="BJ202" s="5" t="n">
        <v>2023</v>
      </c>
      <c r="BK202" s="5" t="s">
        <v>1219</v>
      </c>
    </row>
    <row r="203" customFormat="false" ht="16.5" hidden="false" customHeight="true" outlineLevel="0" collapsed="false">
      <c r="A203" s="5" t="s">
        <v>1220</v>
      </c>
      <c r="C203" s="5"/>
      <c r="D203" s="5" t="s">
        <v>62</v>
      </c>
      <c r="E203" s="5" t="n">
        <v>426701</v>
      </c>
      <c r="F203" s="5" t="n">
        <v>426701</v>
      </c>
      <c r="G203" s="5" t="s">
        <v>147</v>
      </c>
      <c r="H203" s="6" t="n">
        <v>478267</v>
      </c>
      <c r="I203" s="6" t="n">
        <v>478267</v>
      </c>
      <c r="J203" s="7" t="n">
        <v>426701</v>
      </c>
      <c r="K203" s="7" t="n">
        <v>426701</v>
      </c>
      <c r="L203" s="5" t="s">
        <v>84</v>
      </c>
      <c r="M203" s="5" t="s">
        <v>65</v>
      </c>
      <c r="N203" s="8" t="s">
        <v>1221</v>
      </c>
      <c r="V203" s="5" t="s">
        <v>1222</v>
      </c>
      <c r="X203" s="5" t="s">
        <v>151</v>
      </c>
      <c r="Y203" s="5" t="s">
        <v>73</v>
      </c>
      <c r="AI203" s="9" t="n">
        <v>43922</v>
      </c>
      <c r="AL203" s="5" t="n">
        <v>478267</v>
      </c>
      <c r="AM203" s="5" t="s">
        <v>1223</v>
      </c>
      <c r="AN203" s="5"/>
      <c r="AQ203" s="5" t="s">
        <v>93</v>
      </c>
      <c r="AR203" s="5" t="s">
        <v>151</v>
      </c>
      <c r="AS203" s="5" t="s">
        <v>73</v>
      </c>
      <c r="AT203" s="5" t="s">
        <v>78</v>
      </c>
      <c r="AU203" s="10" t="s">
        <v>259</v>
      </c>
      <c r="AW203" s="5" t="s">
        <v>94</v>
      </c>
      <c r="AX203" s="10" t="str">
        <f aca="false">IFERROR(INDEX('full database 2024'!ar:ar, MATCH(A203, 'full database 2024'!b:b, 0)), "")</f>
        <v/>
      </c>
      <c r="AZ203" s="5" t="s">
        <v>129</v>
      </c>
      <c r="BD203" s="9" t="n">
        <v>45596</v>
      </c>
      <c r="BE203" s="9" t="n">
        <v>45596</v>
      </c>
      <c r="BJ203" s="5" t="n">
        <v>2020</v>
      </c>
      <c r="BK203" s="11" t="n">
        <v>36526</v>
      </c>
    </row>
    <row r="204" customFormat="false" ht="16.5" hidden="false" customHeight="true" outlineLevel="0" collapsed="false">
      <c r="A204" s="5" t="s">
        <v>1224</v>
      </c>
      <c r="C204" s="5"/>
      <c r="D204" s="5" t="s">
        <v>62</v>
      </c>
      <c r="E204" s="5" t="n">
        <v>423961</v>
      </c>
      <c r="F204" s="5" t="n">
        <v>423961</v>
      </c>
      <c r="G204" s="5" t="s">
        <v>147</v>
      </c>
      <c r="H204" s="6" t="n">
        <v>462118</v>
      </c>
      <c r="I204" s="6" t="n">
        <v>462118</v>
      </c>
      <c r="J204" s="7" t="n">
        <v>423961</v>
      </c>
      <c r="K204" s="7" t="n">
        <v>423961</v>
      </c>
      <c r="L204" s="5" t="s">
        <v>84</v>
      </c>
      <c r="M204" s="5" t="s">
        <v>65</v>
      </c>
      <c r="N204" s="5"/>
      <c r="V204" s="5" t="s">
        <v>1225</v>
      </c>
      <c r="X204" s="5"/>
      <c r="Y204" s="5" t="s">
        <v>73</v>
      </c>
      <c r="AI204" s="9" t="n">
        <v>44931</v>
      </c>
      <c r="AL204" s="5" t="n">
        <v>462118</v>
      </c>
      <c r="AM204" s="5" t="s">
        <v>153</v>
      </c>
      <c r="AN204" s="5"/>
      <c r="AQ204" s="5" t="s">
        <v>77</v>
      </c>
      <c r="AR204" s="5" t="s">
        <v>151</v>
      </c>
      <c r="AS204" s="5" t="s">
        <v>73</v>
      </c>
      <c r="AT204" s="5" t="s">
        <v>78</v>
      </c>
      <c r="AW204" s="5" t="s">
        <v>94</v>
      </c>
      <c r="AX204" s="10" t="str">
        <f aca="false">IFERROR(INDEX('full database 2024'!ar:ar, MATCH(A204, 'full database 2024'!b:b, 0)), "")</f>
        <v/>
      </c>
      <c r="AZ204" s="5" t="s">
        <v>309</v>
      </c>
      <c r="BD204" s="9" t="n">
        <v>45596</v>
      </c>
      <c r="BE204" s="9" t="n">
        <v>45596</v>
      </c>
      <c r="BJ204" s="5" t="n">
        <v>2023</v>
      </c>
      <c r="BK204" s="11"/>
    </row>
    <row r="205" customFormat="false" ht="16.5" hidden="false" customHeight="true" outlineLevel="0" collapsed="false">
      <c r="A205" s="5" t="s">
        <v>1226</v>
      </c>
      <c r="C205" s="5"/>
      <c r="D205" s="5" t="s">
        <v>62</v>
      </c>
      <c r="E205" s="5" t="n">
        <v>421440</v>
      </c>
      <c r="F205" s="5" t="n">
        <v>421440</v>
      </c>
      <c r="G205" s="5" t="s">
        <v>147</v>
      </c>
      <c r="H205" s="6" t="n">
        <v>459370</v>
      </c>
      <c r="I205" s="6" t="n">
        <v>459370</v>
      </c>
      <c r="J205" s="7" t="n">
        <v>421440</v>
      </c>
      <c r="K205" s="7" t="n">
        <v>421440</v>
      </c>
      <c r="L205" s="5" t="s">
        <v>84</v>
      </c>
      <c r="M205" s="5" t="s">
        <v>65</v>
      </c>
      <c r="N205" s="8" t="s">
        <v>1227</v>
      </c>
      <c r="V205" s="5" t="s">
        <v>1228</v>
      </c>
      <c r="X205" s="5" t="s">
        <v>151</v>
      </c>
      <c r="Y205" s="5" t="s">
        <v>73</v>
      </c>
      <c r="AI205" s="9" t="n">
        <v>45200</v>
      </c>
      <c r="AL205" s="5" t="n">
        <v>459370</v>
      </c>
      <c r="AM205" s="5" t="s">
        <v>153</v>
      </c>
      <c r="AN205" s="5"/>
      <c r="AQ205" s="5" t="s">
        <v>77</v>
      </c>
      <c r="AR205" s="5" t="s">
        <v>151</v>
      </c>
      <c r="AS205" s="5" t="s">
        <v>73</v>
      </c>
      <c r="AT205" s="5" t="s">
        <v>374</v>
      </c>
      <c r="AW205" s="5" t="s">
        <v>94</v>
      </c>
      <c r="AX205" s="10" t="str">
        <f aca="false">IFERROR(INDEX('full database 2024'!ar:ar, MATCH(A205, 'full database 2024'!b:b, 0)), "")</f>
        <v/>
      </c>
      <c r="AZ205" s="5" t="s">
        <v>239</v>
      </c>
      <c r="BD205" s="9" t="n">
        <v>45596</v>
      </c>
      <c r="BE205" s="9" t="n">
        <v>45779</v>
      </c>
      <c r="BJ205" s="5" t="n">
        <v>2023</v>
      </c>
      <c r="BK205" s="5" t="s">
        <v>1070</v>
      </c>
    </row>
    <row r="206" customFormat="false" ht="16.5" hidden="false" customHeight="true" outlineLevel="0" collapsed="false">
      <c r="A206" s="5" t="s">
        <v>1229</v>
      </c>
      <c r="B206" s="5" t="s">
        <v>1230</v>
      </c>
      <c r="C206" s="5"/>
      <c r="D206" s="5" t="s">
        <v>62</v>
      </c>
      <c r="E206" s="16" t="n">
        <v>419200</v>
      </c>
      <c r="F206" s="16" t="n">
        <v>335345</v>
      </c>
      <c r="G206" s="5" t="s">
        <v>132</v>
      </c>
      <c r="H206" s="6" t="n">
        <v>452736</v>
      </c>
      <c r="I206" s="6" t="n">
        <v>362173</v>
      </c>
      <c r="J206" s="7" t="n">
        <f aca="false">E206*1.19</f>
        <v>498848</v>
      </c>
      <c r="K206" s="7" t="n">
        <f aca="false">F206*1.19</f>
        <v>399060.55</v>
      </c>
      <c r="L206" s="5" t="s">
        <v>84</v>
      </c>
      <c r="M206" s="5" t="s">
        <v>65</v>
      </c>
      <c r="N206" s="8" t="s">
        <v>1231</v>
      </c>
      <c r="O206" s="5" t="s">
        <v>1232</v>
      </c>
      <c r="P206" s="5"/>
      <c r="Q206" s="5"/>
      <c r="R206" s="5" t="s">
        <v>670</v>
      </c>
      <c r="T206" s="5" t="s">
        <v>1233</v>
      </c>
      <c r="V206" s="5" t="s">
        <v>1234</v>
      </c>
      <c r="W206" s="5" t="s">
        <v>102</v>
      </c>
      <c r="X206" s="5" t="s">
        <v>139</v>
      </c>
      <c r="Y206" s="5" t="s">
        <v>73</v>
      </c>
      <c r="AE206" s="5" t="s">
        <v>117</v>
      </c>
      <c r="AI206" s="9" t="n">
        <v>44927</v>
      </c>
      <c r="AJ206" s="5" t="n">
        <v>1.5</v>
      </c>
      <c r="AK206" s="5" t="s">
        <v>75</v>
      </c>
      <c r="AL206" s="5" t="n">
        <v>301824</v>
      </c>
      <c r="AM206" s="5" t="s">
        <v>140</v>
      </c>
      <c r="AN206" s="5" t="s">
        <v>699</v>
      </c>
      <c r="AQ206" s="5" t="s">
        <v>77</v>
      </c>
      <c r="AR206" s="5" t="s">
        <v>143</v>
      </c>
      <c r="AS206" s="5" t="s">
        <v>73</v>
      </c>
      <c r="AT206" s="5" t="s">
        <v>374</v>
      </c>
      <c r="AW206" s="5" t="s">
        <v>94</v>
      </c>
      <c r="AX206" s="10" t="str">
        <f aca="false">IFERROR(INDEX('full database 2024'!ar:ar, MATCH(A206, 'full database 2024'!b:b, 0)), "")</f>
        <v/>
      </c>
      <c r="AZ206" s="5" t="s">
        <v>534</v>
      </c>
      <c r="BD206" s="9" t="n">
        <v>45377</v>
      </c>
      <c r="BE206" s="9" t="n">
        <v>45779</v>
      </c>
      <c r="BI206" s="5" t="s">
        <v>81</v>
      </c>
      <c r="BJ206" s="5" t="n">
        <v>2023</v>
      </c>
      <c r="BK206" s="5"/>
    </row>
    <row r="207" customFormat="false" ht="16.5" hidden="false" customHeight="true" outlineLevel="0" collapsed="false">
      <c r="A207" s="5" t="s">
        <v>1235</v>
      </c>
      <c r="B207" s="5"/>
      <c r="C207" s="5"/>
      <c r="D207" s="5" t="s">
        <v>62</v>
      </c>
      <c r="E207" s="16" t="n">
        <v>416685</v>
      </c>
      <c r="F207" s="16" t="n">
        <v>416685</v>
      </c>
      <c r="G207" s="5" t="s">
        <v>132</v>
      </c>
      <c r="H207" s="6" t="n">
        <v>520856</v>
      </c>
      <c r="I207" s="6" t="n">
        <v>520856</v>
      </c>
      <c r="J207" s="7" t="n">
        <f aca="false">E207*1.19</f>
        <v>495855.15</v>
      </c>
      <c r="K207" s="7" t="n">
        <f aca="false">F207*1.19</f>
        <v>495855.15</v>
      </c>
      <c r="L207" s="5" t="s">
        <v>84</v>
      </c>
      <c r="M207" s="5" t="s">
        <v>65</v>
      </c>
      <c r="N207" s="8" t="s">
        <v>1236</v>
      </c>
      <c r="O207" s="5"/>
      <c r="P207" s="5"/>
      <c r="Q207" s="5"/>
      <c r="R207" s="5"/>
      <c r="T207" s="5" t="s">
        <v>1237</v>
      </c>
      <c r="V207" s="5" t="s">
        <v>1238</v>
      </c>
      <c r="W207" s="5"/>
      <c r="X207" s="5" t="s">
        <v>139</v>
      </c>
      <c r="Y207" s="5" t="s">
        <v>73</v>
      </c>
      <c r="AE207" s="5"/>
      <c r="AI207" s="9" t="n">
        <v>44937</v>
      </c>
      <c r="AJ207" s="5" t="n">
        <v>12</v>
      </c>
      <c r="AK207" s="5" t="s">
        <v>216</v>
      </c>
      <c r="AL207" s="5" t="n">
        <v>43405</v>
      </c>
      <c r="AM207" s="5" t="s">
        <v>140</v>
      </c>
      <c r="AN207" s="5" t="s">
        <v>699</v>
      </c>
      <c r="AQ207" s="5" t="s">
        <v>77</v>
      </c>
      <c r="AR207" s="5" t="s">
        <v>143</v>
      </c>
      <c r="AS207" s="5" t="s">
        <v>73</v>
      </c>
      <c r="AT207" s="5" t="s">
        <v>374</v>
      </c>
      <c r="AW207" s="5" t="s">
        <v>94</v>
      </c>
      <c r="AX207" s="10" t="str">
        <f aca="false">IFERROR(INDEX('full database 2024'!ar:ar, MATCH(A207, 'full database 2024'!b:b, 0)), "")</f>
        <v/>
      </c>
      <c r="AZ207" s="5" t="s">
        <v>639</v>
      </c>
      <c r="BD207" s="9" t="n">
        <v>45596</v>
      </c>
      <c r="BE207" s="9" t="n">
        <v>45779</v>
      </c>
      <c r="BI207" s="5"/>
      <c r="BJ207" s="5" t="n">
        <v>2023</v>
      </c>
      <c r="BK207" s="11" t="n">
        <v>36526</v>
      </c>
    </row>
    <row r="208" customFormat="false" ht="16.5" hidden="false" customHeight="true" outlineLevel="0" collapsed="false">
      <c r="A208" s="5" t="s">
        <v>1239</v>
      </c>
      <c r="C208" s="5"/>
      <c r="D208" s="5" t="s">
        <v>62</v>
      </c>
      <c r="E208" s="5" t="n">
        <v>401144</v>
      </c>
      <c r="F208" s="5" t="n">
        <v>401144</v>
      </c>
      <c r="G208" s="5" t="s">
        <v>147</v>
      </c>
      <c r="H208" s="6" t="n">
        <v>473350</v>
      </c>
      <c r="I208" s="6" t="n">
        <v>473350</v>
      </c>
      <c r="J208" s="7" t="n">
        <v>401144</v>
      </c>
      <c r="K208" s="7" t="n">
        <v>401144</v>
      </c>
      <c r="L208" s="5" t="s">
        <v>84</v>
      </c>
      <c r="M208" s="5" t="s">
        <v>65</v>
      </c>
      <c r="N208" s="8" t="s">
        <v>1240</v>
      </c>
      <c r="T208" s="5" t="s">
        <v>1241</v>
      </c>
      <c r="V208" s="5" t="s">
        <v>1242</v>
      </c>
      <c r="W208" s="5" t="s">
        <v>102</v>
      </c>
      <c r="X208" s="5" t="s">
        <v>215</v>
      </c>
      <c r="Y208" s="5" t="s">
        <v>73</v>
      </c>
      <c r="AE208" s="5" t="s">
        <v>117</v>
      </c>
      <c r="AI208" s="9" t="n">
        <v>44530</v>
      </c>
      <c r="AJ208" s="5"/>
      <c r="AK208" s="5"/>
      <c r="AL208" s="5" t="n">
        <v>473350</v>
      </c>
      <c r="AM208" s="5" t="s">
        <v>489</v>
      </c>
      <c r="AN208" s="5"/>
      <c r="AQ208" s="5" t="s">
        <v>77</v>
      </c>
      <c r="AR208" s="5" t="s">
        <v>215</v>
      </c>
      <c r="AS208" s="5" t="s">
        <v>73</v>
      </c>
      <c r="AT208" s="5" t="s">
        <v>78</v>
      </c>
      <c r="AU208" s="10" t="s">
        <v>259</v>
      </c>
      <c r="AW208" s="5" t="s">
        <v>94</v>
      </c>
      <c r="AX208" s="10" t="str">
        <f aca="false">IFERROR(INDEX('full database 2024'!ar:ar, MATCH(A208, 'full database 2024'!b:b, 0)), "")</f>
        <v/>
      </c>
      <c r="AZ208" s="5" t="s">
        <v>129</v>
      </c>
      <c r="BD208" s="9" t="n">
        <v>45377</v>
      </c>
      <c r="BE208" s="9" t="n">
        <v>45377</v>
      </c>
      <c r="BI208" s="5" t="s">
        <v>81</v>
      </c>
      <c r="BJ208" s="5" t="n">
        <v>2021</v>
      </c>
      <c r="BK208" s="5" t="s">
        <v>1243</v>
      </c>
    </row>
    <row r="209" customFormat="false" ht="16.5" hidden="false" customHeight="true" outlineLevel="0" collapsed="false">
      <c r="A209" s="5" t="s">
        <v>1244</v>
      </c>
      <c r="C209" s="5"/>
      <c r="D209" s="5" t="s">
        <v>62</v>
      </c>
      <c r="E209" s="5" t="n">
        <v>401000</v>
      </c>
      <c r="F209" s="5" t="n">
        <v>401000</v>
      </c>
      <c r="G209" s="5" t="s">
        <v>212</v>
      </c>
      <c r="H209" s="6" t="n">
        <v>37694</v>
      </c>
      <c r="I209" s="6" t="n">
        <v>37694</v>
      </c>
      <c r="J209" s="7" t="n">
        <f aca="false">E209*0.091</f>
        <v>36491</v>
      </c>
      <c r="K209" s="7" t="n">
        <f aca="false">F209*0.091</f>
        <v>36491</v>
      </c>
      <c r="L209" s="5" t="s">
        <v>84</v>
      </c>
      <c r="M209" s="5" t="s">
        <v>65</v>
      </c>
      <c r="N209" s="5"/>
      <c r="T209" s="5"/>
      <c r="V209" s="5" t="s">
        <v>565</v>
      </c>
      <c r="W209" s="5"/>
      <c r="X209" s="5" t="s">
        <v>215</v>
      </c>
      <c r="Y209" s="5" t="s">
        <v>73</v>
      </c>
      <c r="AE209" s="5"/>
      <c r="AI209" s="9" t="n">
        <v>44207</v>
      </c>
      <c r="AJ209" s="5" t="n">
        <v>11</v>
      </c>
      <c r="AK209" s="5" t="s">
        <v>216</v>
      </c>
      <c r="AL209" s="5" t="n">
        <v>3427</v>
      </c>
      <c r="AM209" s="5" t="s">
        <v>489</v>
      </c>
      <c r="AN209" s="5"/>
      <c r="AQ209" s="5" t="s">
        <v>77</v>
      </c>
      <c r="AR209" s="5" t="s">
        <v>215</v>
      </c>
      <c r="AS209" s="5" t="s">
        <v>73</v>
      </c>
      <c r="AT209" s="5" t="s">
        <v>105</v>
      </c>
      <c r="AU209" s="5" t="s">
        <v>186</v>
      </c>
      <c r="AV209" s="10" t="s">
        <v>569</v>
      </c>
      <c r="AW209" s="5" t="s">
        <v>94</v>
      </c>
      <c r="AX209" s="10" t="str">
        <f aca="false">IFERROR(INDEX('full database 2024'!ar:ar, MATCH(A209, 'full database 2024'!b:b, 0)), "")</f>
        <v/>
      </c>
      <c r="AZ209" s="5" t="s">
        <v>107</v>
      </c>
      <c r="BD209" s="9" t="n">
        <v>45596</v>
      </c>
      <c r="BE209" s="9" t="n">
        <v>45596</v>
      </c>
      <c r="BI209" s="5"/>
      <c r="BJ209" s="5" t="n">
        <v>2021</v>
      </c>
      <c r="BK209" s="11" t="n">
        <v>36526</v>
      </c>
    </row>
    <row r="210" customFormat="false" ht="16.5" hidden="false" customHeight="true" outlineLevel="0" collapsed="false">
      <c r="A210" s="5" t="s">
        <v>1245</v>
      </c>
      <c r="C210" s="5"/>
      <c r="D210" s="5" t="s">
        <v>62</v>
      </c>
      <c r="E210" s="5" t="n">
        <v>399377</v>
      </c>
      <c r="F210" s="5" t="n">
        <v>399377</v>
      </c>
      <c r="G210" s="5" t="s">
        <v>147</v>
      </c>
      <c r="H210" s="6" t="n">
        <v>435321</v>
      </c>
      <c r="I210" s="6" t="n">
        <v>435321</v>
      </c>
      <c r="J210" s="7" t="n">
        <v>399377</v>
      </c>
      <c r="K210" s="7" t="n">
        <v>399377</v>
      </c>
      <c r="L210" s="5" t="s">
        <v>84</v>
      </c>
      <c r="M210" s="5" t="s">
        <v>65</v>
      </c>
      <c r="N210" s="8" t="s">
        <v>1246</v>
      </c>
      <c r="V210" s="5" t="s">
        <v>1247</v>
      </c>
      <c r="X210" s="5" t="s">
        <v>151</v>
      </c>
      <c r="Y210" s="5" t="s">
        <v>73</v>
      </c>
      <c r="AI210" s="9" t="n">
        <v>45200</v>
      </c>
      <c r="AJ210" s="5"/>
      <c r="AK210" s="5"/>
      <c r="AL210" s="5" t="n">
        <v>435321</v>
      </c>
      <c r="AM210" s="5" t="s">
        <v>153</v>
      </c>
      <c r="AN210" s="5"/>
      <c r="AQ210" s="5" t="s">
        <v>77</v>
      </c>
      <c r="AR210" s="5" t="s">
        <v>151</v>
      </c>
      <c r="AS210" s="5" t="s">
        <v>73</v>
      </c>
      <c r="AT210" s="5" t="s">
        <v>374</v>
      </c>
      <c r="AW210" s="5" t="s">
        <v>94</v>
      </c>
      <c r="AX210" s="10" t="str">
        <f aca="false">IFERROR(INDEX('full database 2024'!ar:ar, MATCH(A210, 'full database 2024'!b:b, 0)), "")</f>
        <v/>
      </c>
      <c r="AZ210" s="5" t="s">
        <v>534</v>
      </c>
      <c r="BD210" s="9" t="n">
        <v>45596</v>
      </c>
      <c r="BE210" s="9" t="n">
        <v>45779</v>
      </c>
      <c r="BJ210" s="5" t="n">
        <v>2023</v>
      </c>
      <c r="BK210" s="5" t="s">
        <v>1070</v>
      </c>
    </row>
    <row r="211" customFormat="false" ht="16.5" hidden="false" customHeight="true" outlineLevel="0" collapsed="false">
      <c r="A211" s="5" t="s">
        <v>1248</v>
      </c>
      <c r="C211" s="5"/>
      <c r="D211" s="5" t="s">
        <v>62</v>
      </c>
      <c r="E211" s="5" t="n">
        <v>398240</v>
      </c>
      <c r="F211" s="5" t="n">
        <v>398240</v>
      </c>
      <c r="G211" s="5" t="s">
        <v>147</v>
      </c>
      <c r="H211" s="6" t="n">
        <v>434082</v>
      </c>
      <c r="I211" s="6" t="n">
        <v>434082</v>
      </c>
      <c r="J211" s="7" t="n">
        <v>398240</v>
      </c>
      <c r="K211" s="7" t="n">
        <v>398240</v>
      </c>
      <c r="L211" s="5" t="s">
        <v>84</v>
      </c>
      <c r="M211" s="5" t="s">
        <v>65</v>
      </c>
      <c r="N211" s="5"/>
      <c r="V211" s="5" t="s">
        <v>1249</v>
      </c>
      <c r="X211" s="5"/>
      <c r="Y211" s="5" t="s">
        <v>73</v>
      </c>
      <c r="AI211" s="9" t="n">
        <v>45047</v>
      </c>
      <c r="AL211" s="5" t="n">
        <v>434082</v>
      </c>
      <c r="AM211" s="5" t="s">
        <v>924</v>
      </c>
      <c r="AN211" s="5"/>
      <c r="AQ211" s="5" t="s">
        <v>77</v>
      </c>
      <c r="AR211" s="5" t="s">
        <v>151</v>
      </c>
      <c r="AS211" s="5" t="s">
        <v>73</v>
      </c>
      <c r="AT211" s="5" t="s">
        <v>78</v>
      </c>
      <c r="AW211" s="5" t="s">
        <v>94</v>
      </c>
      <c r="AX211" s="10" t="str">
        <f aca="false">IFERROR(INDEX('full database 2024'!ar:ar, MATCH(A211, 'full database 2024'!b:b, 0)), "")</f>
        <v/>
      </c>
      <c r="AZ211" s="5" t="s">
        <v>396</v>
      </c>
      <c r="BD211" s="9" t="n">
        <v>45596</v>
      </c>
      <c r="BE211" s="9" t="n">
        <v>45596</v>
      </c>
      <c r="BJ211" s="5" t="n">
        <v>2023</v>
      </c>
      <c r="BK211" s="5"/>
    </row>
    <row r="212" customFormat="false" ht="16.5" hidden="false" customHeight="true" outlineLevel="0" collapsed="false">
      <c r="A212" s="5" t="s">
        <v>1250</v>
      </c>
      <c r="C212" s="5"/>
      <c r="D212" s="5" t="s">
        <v>62</v>
      </c>
      <c r="E212" s="5" t="n">
        <v>395843</v>
      </c>
      <c r="F212" s="5" t="n">
        <v>395843</v>
      </c>
      <c r="G212" s="5" t="s">
        <v>147</v>
      </c>
      <c r="H212" s="6" t="n">
        <v>431469</v>
      </c>
      <c r="I212" s="6" t="n">
        <v>431469</v>
      </c>
      <c r="J212" s="7" t="n">
        <v>395843</v>
      </c>
      <c r="K212" s="7" t="n">
        <v>395843</v>
      </c>
      <c r="L212" s="5" t="s">
        <v>84</v>
      </c>
      <c r="M212" s="5" t="s">
        <v>65</v>
      </c>
      <c r="N212" s="8" t="s">
        <v>1251</v>
      </c>
      <c r="V212" s="5" t="s">
        <v>1252</v>
      </c>
      <c r="X212" s="5" t="s">
        <v>151</v>
      </c>
      <c r="Y212" s="5" t="s">
        <v>73</v>
      </c>
      <c r="AI212" s="9" t="n">
        <v>45200</v>
      </c>
      <c r="AL212" s="5" t="n">
        <v>431469</v>
      </c>
      <c r="AM212" s="5" t="s">
        <v>153</v>
      </c>
      <c r="AN212" s="5"/>
      <c r="AQ212" s="5" t="s">
        <v>77</v>
      </c>
      <c r="AR212" s="5" t="s">
        <v>151</v>
      </c>
      <c r="AS212" s="5" t="s">
        <v>73</v>
      </c>
      <c r="AT212" s="5" t="s">
        <v>78</v>
      </c>
      <c r="AW212" s="5" t="s">
        <v>94</v>
      </c>
      <c r="AX212" s="10" t="str">
        <f aca="false">IFERROR(INDEX('full database 2024'!ar:ar, MATCH(A212, 'full database 2024'!b:b, 0)), "")</f>
        <v/>
      </c>
      <c r="AZ212" s="5" t="s">
        <v>129</v>
      </c>
      <c r="BD212" s="9" t="n">
        <v>45596</v>
      </c>
      <c r="BE212" s="9" t="n">
        <v>45779</v>
      </c>
      <c r="BJ212" s="5" t="n">
        <v>2023</v>
      </c>
      <c r="BK212" s="5" t="s">
        <v>1253</v>
      </c>
    </row>
    <row r="213" customFormat="false" ht="16.5" hidden="false" customHeight="true" outlineLevel="0" collapsed="false">
      <c r="A213" s="5" t="s">
        <v>1254</v>
      </c>
      <c r="C213" s="5"/>
      <c r="D213" s="5" t="s">
        <v>62</v>
      </c>
      <c r="E213" s="5" t="n">
        <v>394138</v>
      </c>
      <c r="F213" s="5" t="n">
        <v>394138</v>
      </c>
      <c r="G213" s="5" t="s">
        <v>147</v>
      </c>
      <c r="H213" s="6" t="n">
        <v>425669</v>
      </c>
      <c r="I213" s="6" t="n">
        <v>425669</v>
      </c>
      <c r="J213" s="7" t="n">
        <v>394138</v>
      </c>
      <c r="K213" s="7" t="n">
        <v>394138</v>
      </c>
      <c r="L213" s="5" t="s">
        <v>84</v>
      </c>
      <c r="M213" s="5" t="s">
        <v>65</v>
      </c>
      <c r="N213" s="5"/>
      <c r="V213" s="5" t="s">
        <v>876</v>
      </c>
      <c r="X213" s="5" t="s">
        <v>151</v>
      </c>
      <c r="Y213" s="5" t="s">
        <v>73</v>
      </c>
      <c r="AI213" s="9" t="n">
        <v>44927</v>
      </c>
      <c r="AL213" s="5" t="n">
        <v>425669</v>
      </c>
      <c r="AM213" s="5" t="s">
        <v>153</v>
      </c>
      <c r="AN213" s="5"/>
      <c r="AQ213" s="5" t="s">
        <v>77</v>
      </c>
      <c r="AR213" s="5" t="s">
        <v>151</v>
      </c>
      <c r="AS213" s="5" t="s">
        <v>73</v>
      </c>
      <c r="AT213" s="5" t="s">
        <v>78</v>
      </c>
      <c r="AW213" s="5" t="s">
        <v>94</v>
      </c>
      <c r="AX213" s="10" t="str">
        <f aca="false">IFERROR(INDEX('full database 2024'!ar:ar, MATCH(A213, 'full database 2024'!b:b, 0)), "")</f>
        <v/>
      </c>
      <c r="AZ213" s="5" t="s">
        <v>309</v>
      </c>
      <c r="BD213" s="9" t="n">
        <v>45596</v>
      </c>
      <c r="BE213" s="9" t="n">
        <v>45596</v>
      </c>
      <c r="BJ213" s="5" t="n">
        <v>2023</v>
      </c>
      <c r="BK213" s="11" t="n">
        <v>36526</v>
      </c>
    </row>
    <row r="214" customFormat="false" ht="16.5" hidden="false" customHeight="true" outlineLevel="0" collapsed="false">
      <c r="A214" s="5" t="s">
        <v>967</v>
      </c>
      <c r="C214" s="5"/>
      <c r="D214" s="5" t="s">
        <v>62</v>
      </c>
      <c r="E214" s="5" t="n">
        <v>389247</v>
      </c>
      <c r="F214" s="5" t="n">
        <v>389247</v>
      </c>
      <c r="G214" s="5" t="s">
        <v>147</v>
      </c>
      <c r="H214" s="6" t="n">
        <v>424279</v>
      </c>
      <c r="I214" s="6" t="n">
        <v>424279</v>
      </c>
      <c r="J214" s="7" t="n">
        <v>389247</v>
      </c>
      <c r="K214" s="7" t="n">
        <v>389247</v>
      </c>
      <c r="L214" s="5" t="s">
        <v>84</v>
      </c>
      <c r="M214" s="5" t="s">
        <v>65</v>
      </c>
      <c r="V214" s="5" t="s">
        <v>1255</v>
      </c>
      <c r="X214" s="5" t="s">
        <v>151</v>
      </c>
      <c r="Y214" s="5" t="s">
        <v>73</v>
      </c>
      <c r="AI214" s="9" t="n">
        <v>44562</v>
      </c>
      <c r="AL214" s="5" t="n">
        <v>424279</v>
      </c>
      <c r="AM214" s="5" t="s">
        <v>153</v>
      </c>
      <c r="AN214" s="5"/>
      <c r="AQ214" s="5" t="s">
        <v>77</v>
      </c>
      <c r="AR214" s="5" t="s">
        <v>151</v>
      </c>
      <c r="AS214" s="5" t="s">
        <v>73</v>
      </c>
      <c r="AT214" s="5" t="s">
        <v>78</v>
      </c>
      <c r="AW214" s="5" t="s">
        <v>969</v>
      </c>
      <c r="AX214" s="10" t="str">
        <f aca="false">IFERROR(INDEX('full database 2024'!ar:ar, MATCH(A214, 'full database 2024'!b:b, 0)), "")</f>
        <v/>
      </c>
      <c r="AZ214" s="5" t="s">
        <v>309</v>
      </c>
      <c r="BD214" s="9" t="n">
        <v>45596</v>
      </c>
      <c r="BE214" s="9" t="n">
        <v>45596</v>
      </c>
      <c r="BJ214" s="5" t="n">
        <v>2022</v>
      </c>
      <c r="BK214" s="11"/>
    </row>
    <row r="215" customFormat="false" ht="16.5" hidden="false" customHeight="true" outlineLevel="0" collapsed="false">
      <c r="A215" s="5" t="s">
        <v>1256</v>
      </c>
      <c r="C215" s="5"/>
      <c r="D215" s="5" t="s">
        <v>62</v>
      </c>
      <c r="E215" s="5" t="n">
        <v>385043</v>
      </c>
      <c r="F215" s="5" t="n">
        <v>385043</v>
      </c>
      <c r="G215" s="5" t="s">
        <v>147</v>
      </c>
      <c r="H215" s="6" t="n">
        <v>419697</v>
      </c>
      <c r="I215" s="6" t="n">
        <v>419697</v>
      </c>
      <c r="J215" s="7" t="n">
        <v>385043</v>
      </c>
      <c r="K215" s="7" t="n">
        <v>385043</v>
      </c>
      <c r="L215" s="5" t="s">
        <v>84</v>
      </c>
      <c r="M215" s="5" t="s">
        <v>65</v>
      </c>
      <c r="V215" s="5" t="s">
        <v>1257</v>
      </c>
      <c r="X215" s="5"/>
      <c r="Y215" s="5" t="s">
        <v>73</v>
      </c>
      <c r="AI215" s="9" t="n">
        <v>44621</v>
      </c>
      <c r="AL215" s="5" t="n">
        <v>419697</v>
      </c>
      <c r="AM215" s="5" t="s">
        <v>924</v>
      </c>
      <c r="AN215" s="5"/>
      <c r="AQ215" s="5" t="s">
        <v>77</v>
      </c>
      <c r="AR215" s="5" t="s">
        <v>151</v>
      </c>
      <c r="AS215" s="5" t="s">
        <v>73</v>
      </c>
      <c r="AT215" s="5" t="s">
        <v>78</v>
      </c>
      <c r="AW215" s="5" t="s">
        <v>969</v>
      </c>
      <c r="AX215" s="10" t="str">
        <f aca="false">IFERROR(INDEX('full database 2024'!ar:ar, MATCH(A215, 'full database 2024'!b:b, 0)), "")</f>
        <v/>
      </c>
      <c r="AZ215" s="5" t="s">
        <v>129</v>
      </c>
      <c r="BD215" s="9" t="n">
        <v>45596</v>
      </c>
      <c r="BE215" s="9" t="n">
        <v>45596</v>
      </c>
      <c r="BJ215" s="5" t="n">
        <v>2022</v>
      </c>
    </row>
    <row r="216" customFormat="false" ht="16.5" hidden="false" customHeight="true" outlineLevel="0" collapsed="false">
      <c r="A216" s="5" t="s">
        <v>1258</v>
      </c>
      <c r="C216" s="5"/>
      <c r="D216" s="5" t="s">
        <v>62</v>
      </c>
      <c r="E216" s="5" t="n">
        <v>380340</v>
      </c>
      <c r="F216" s="5" t="n">
        <v>380340</v>
      </c>
      <c r="G216" s="5" t="s">
        <v>147</v>
      </c>
      <c r="H216" s="6" t="n">
        <v>414570</v>
      </c>
      <c r="I216" s="6" t="n">
        <v>414570</v>
      </c>
      <c r="J216" s="7" t="n">
        <v>380340</v>
      </c>
      <c r="K216" s="7" t="n">
        <v>380340</v>
      </c>
      <c r="L216" s="5" t="s">
        <v>84</v>
      </c>
      <c r="M216" s="5" t="s">
        <v>65</v>
      </c>
      <c r="V216" s="5" t="s">
        <v>1259</v>
      </c>
      <c r="Y216" s="5" t="s">
        <v>73</v>
      </c>
      <c r="AI216" s="9" t="n">
        <v>45170</v>
      </c>
      <c r="AL216" s="5" t="n">
        <v>414570</v>
      </c>
      <c r="AM216" s="5" t="s">
        <v>153</v>
      </c>
      <c r="AN216" s="5"/>
      <c r="AQ216" s="5" t="s">
        <v>77</v>
      </c>
      <c r="AR216" s="5" t="s">
        <v>151</v>
      </c>
      <c r="AS216" s="5" t="s">
        <v>73</v>
      </c>
      <c r="AT216" s="5" t="s">
        <v>105</v>
      </c>
      <c r="AU216" s="10" t="s">
        <v>186</v>
      </c>
      <c r="AW216" s="5" t="s">
        <v>94</v>
      </c>
      <c r="AX216" s="10" t="str">
        <f aca="false">IFERROR(INDEX('full database 2024'!ar:ar, MATCH(A216, 'full database 2024'!b:b, 0)), "")</f>
        <v/>
      </c>
      <c r="AZ216" s="5" t="s">
        <v>188</v>
      </c>
      <c r="BD216" s="9" t="n">
        <v>45596</v>
      </c>
      <c r="BE216" s="9" t="n">
        <v>45596</v>
      </c>
      <c r="BJ216" s="5" t="n">
        <v>2023</v>
      </c>
    </row>
    <row r="217" customFormat="false" ht="16.5" hidden="false" customHeight="true" outlineLevel="0" collapsed="false">
      <c r="A217" s="5" t="s">
        <v>1260</v>
      </c>
      <c r="B217" s="5" t="s">
        <v>1261</v>
      </c>
      <c r="C217" s="5"/>
      <c r="D217" s="5" t="s">
        <v>62</v>
      </c>
      <c r="E217" s="16" t="n">
        <v>371700</v>
      </c>
      <c r="F217" s="16" t="n">
        <v>297386</v>
      </c>
      <c r="G217" s="5" t="s">
        <v>132</v>
      </c>
      <c r="H217" s="6" t="n">
        <v>401436</v>
      </c>
      <c r="I217" s="6" t="n">
        <v>321177</v>
      </c>
      <c r="J217" s="7" t="n">
        <f aca="false">E217*1.19</f>
        <v>442323</v>
      </c>
      <c r="K217" s="7" t="n">
        <f aca="false">F217*1.19</f>
        <v>353889.34</v>
      </c>
      <c r="L217" s="5" t="s">
        <v>84</v>
      </c>
      <c r="M217" s="5" t="s">
        <v>65</v>
      </c>
      <c r="N217" s="8" t="s">
        <v>1262</v>
      </c>
      <c r="O217" s="5" t="s">
        <v>1263</v>
      </c>
      <c r="P217" s="5"/>
      <c r="Q217" s="5"/>
      <c r="R217" s="5" t="s">
        <v>670</v>
      </c>
      <c r="T217" s="5" t="s">
        <v>1113</v>
      </c>
      <c r="V217" s="5" t="s">
        <v>1264</v>
      </c>
      <c r="W217" s="5" t="s">
        <v>102</v>
      </c>
      <c r="X217" s="5" t="s">
        <v>139</v>
      </c>
      <c r="Y217" s="5" t="s">
        <v>73</v>
      </c>
      <c r="AD217" s="5" t="s">
        <v>1265</v>
      </c>
      <c r="AE217" s="5" t="s">
        <v>74</v>
      </c>
      <c r="AI217" s="9" t="n">
        <v>44927</v>
      </c>
      <c r="AJ217" s="5" t="n">
        <v>1</v>
      </c>
      <c r="AK217" s="5" t="s">
        <v>75</v>
      </c>
      <c r="AL217" s="5" t="n">
        <v>401436</v>
      </c>
      <c r="AM217" s="5" t="s">
        <v>140</v>
      </c>
      <c r="AN217" s="5" t="s">
        <v>699</v>
      </c>
      <c r="AQ217" s="5" t="s">
        <v>77</v>
      </c>
      <c r="AR217" s="5" t="s">
        <v>143</v>
      </c>
      <c r="AS217" s="5" t="s">
        <v>73</v>
      </c>
      <c r="AT217" s="5" t="s">
        <v>374</v>
      </c>
      <c r="AW217" s="5" t="s">
        <v>94</v>
      </c>
      <c r="AX217" s="10" t="str">
        <f aca="false">IFERROR(INDEX('full database 2024'!ar:ar, MATCH(A217, 'full database 2024'!b:b, 0)), "")</f>
        <v/>
      </c>
      <c r="AZ217" s="5" t="s">
        <v>857</v>
      </c>
      <c r="BD217" s="9" t="n">
        <v>45377</v>
      </c>
      <c r="BE217" s="9" t="n">
        <v>45779</v>
      </c>
      <c r="BI217" s="5" t="s">
        <v>81</v>
      </c>
      <c r="BJ217" s="5" t="n">
        <v>2023</v>
      </c>
    </row>
    <row r="218" customFormat="false" ht="16.5" hidden="false" customHeight="true" outlineLevel="0" collapsed="false">
      <c r="A218" s="5" t="s">
        <v>1266</v>
      </c>
      <c r="B218" s="5"/>
      <c r="C218" s="5"/>
      <c r="D218" s="5" t="s">
        <v>62</v>
      </c>
      <c r="E218" s="16" t="n">
        <v>370212</v>
      </c>
      <c r="F218" s="16" t="n">
        <v>370212</v>
      </c>
      <c r="G218" s="5" t="s">
        <v>132</v>
      </c>
      <c r="H218" s="6" t="n">
        <v>477573</v>
      </c>
      <c r="I218" s="6" t="n">
        <v>477573</v>
      </c>
      <c r="J218" s="7" t="n">
        <f aca="false">E218*1.19</f>
        <v>440552.28</v>
      </c>
      <c r="K218" s="7" t="n">
        <f aca="false">F218*1.19</f>
        <v>440552.28</v>
      </c>
      <c r="L218" s="5" t="s">
        <v>84</v>
      </c>
      <c r="M218" s="5" t="s">
        <v>65</v>
      </c>
      <c r="N218" s="8" t="s">
        <v>1267</v>
      </c>
      <c r="O218" s="5"/>
      <c r="P218" s="5"/>
      <c r="Q218" s="5"/>
      <c r="R218" s="5" t="s">
        <v>928</v>
      </c>
      <c r="T218" s="5" t="s">
        <v>69</v>
      </c>
      <c r="U218" s="5" t="s">
        <v>70</v>
      </c>
      <c r="V218" s="5" t="s">
        <v>1268</v>
      </c>
      <c r="W218" s="5" t="s">
        <v>90</v>
      </c>
      <c r="X218" s="5" t="s">
        <v>139</v>
      </c>
      <c r="Y218" s="5" t="s">
        <v>73</v>
      </c>
      <c r="Z218" s="5" t="s">
        <v>70</v>
      </c>
      <c r="AD218" s="5"/>
      <c r="AE218" s="5" t="s">
        <v>117</v>
      </c>
      <c r="AI218" s="9" t="n">
        <v>45210</v>
      </c>
      <c r="AJ218" s="5" t="n">
        <v>1</v>
      </c>
      <c r="AK218" s="5" t="s">
        <v>75</v>
      </c>
      <c r="AL218" s="5" t="n">
        <v>477573</v>
      </c>
      <c r="AM218" s="5" t="s">
        <v>140</v>
      </c>
      <c r="AN218" s="5" t="s">
        <v>699</v>
      </c>
      <c r="AQ218" s="5" t="s">
        <v>77</v>
      </c>
      <c r="AR218" s="5" t="s">
        <v>143</v>
      </c>
      <c r="AS218" s="5" t="s">
        <v>73</v>
      </c>
      <c r="AT218" s="5" t="s">
        <v>78</v>
      </c>
      <c r="AW218" s="5" t="s">
        <v>94</v>
      </c>
      <c r="AX218" s="10" t="str">
        <f aca="false">IFERROR(INDEX('full database 2024'!ar:ar, MATCH(A218, 'full database 2024'!b:b, 0)), "")</f>
        <v/>
      </c>
      <c r="AZ218" s="5" t="s">
        <v>188</v>
      </c>
      <c r="BD218" s="9" t="n">
        <v>45265</v>
      </c>
      <c r="BE218" s="9" t="n">
        <v>45779</v>
      </c>
      <c r="BI218" s="5" t="s">
        <v>81</v>
      </c>
      <c r="BJ218" s="5" t="n">
        <v>2023</v>
      </c>
      <c r="BK218" s="11" t="n">
        <v>45606</v>
      </c>
    </row>
    <row r="219" customFormat="false" ht="16.5" hidden="false" customHeight="true" outlineLevel="0" collapsed="false">
      <c r="A219" s="5" t="s">
        <v>1269</v>
      </c>
      <c r="C219" s="5"/>
      <c r="D219" s="5" t="s">
        <v>62</v>
      </c>
      <c r="E219" s="5" t="n">
        <v>367247</v>
      </c>
      <c r="F219" s="5" t="n">
        <v>367247</v>
      </c>
      <c r="G219" s="5" t="s">
        <v>147</v>
      </c>
      <c r="H219" s="6" t="n">
        <v>400299</v>
      </c>
      <c r="I219" s="6" t="n">
        <v>400299</v>
      </c>
      <c r="J219" s="7" t="n">
        <v>367247</v>
      </c>
      <c r="K219" s="7" t="n">
        <v>367247</v>
      </c>
      <c r="L219" s="5" t="s">
        <v>84</v>
      </c>
      <c r="M219" s="5" t="s">
        <v>65</v>
      </c>
      <c r="N219" s="5"/>
      <c r="P219" s="5"/>
      <c r="Q219" s="5"/>
      <c r="R219" s="5"/>
      <c r="T219" s="5"/>
      <c r="U219" s="5"/>
      <c r="V219" s="5" t="s">
        <v>824</v>
      </c>
      <c r="W219" s="5"/>
      <c r="X219" s="5"/>
      <c r="Y219" s="5" t="s">
        <v>73</v>
      </c>
      <c r="Z219" s="5"/>
      <c r="AE219" s="5"/>
      <c r="AI219" s="9" t="n">
        <v>43862</v>
      </c>
      <c r="AJ219" s="5"/>
      <c r="AK219" s="5"/>
      <c r="AL219" s="5" t="n">
        <v>400299</v>
      </c>
      <c r="AM219" s="5" t="s">
        <v>153</v>
      </c>
      <c r="AN219" s="5"/>
      <c r="AQ219" s="5" t="s">
        <v>77</v>
      </c>
      <c r="AR219" s="5" t="s">
        <v>151</v>
      </c>
      <c r="AS219" s="5" t="s">
        <v>73</v>
      </c>
      <c r="AT219" s="5" t="s">
        <v>78</v>
      </c>
      <c r="AW219" s="5" t="s">
        <v>94</v>
      </c>
      <c r="AX219" s="10" t="str">
        <f aca="false">IFERROR(INDEX('full database 2024'!ar:ar, MATCH(A219, 'full database 2024'!b:b, 0)), "")</f>
        <v/>
      </c>
      <c r="AY219" s="5" t="s">
        <v>297</v>
      </c>
      <c r="AZ219" s="5" t="s">
        <v>188</v>
      </c>
      <c r="BD219" s="9" t="n">
        <v>45596</v>
      </c>
      <c r="BE219" s="9" t="n">
        <v>45596</v>
      </c>
      <c r="BI219" s="5"/>
      <c r="BJ219" s="5" t="n">
        <v>2020</v>
      </c>
      <c r="BK219" s="11"/>
    </row>
    <row r="220" customFormat="false" ht="16.5" hidden="false" customHeight="true" outlineLevel="0" collapsed="false">
      <c r="A220" s="5" t="s">
        <v>1270</v>
      </c>
      <c r="B220" s="5" t="s">
        <v>1271</v>
      </c>
      <c r="C220" s="5"/>
      <c r="D220" s="5" t="s">
        <v>62</v>
      </c>
      <c r="E220" s="16" t="n">
        <v>365563</v>
      </c>
      <c r="F220" s="16" t="n">
        <v>365563</v>
      </c>
      <c r="G220" s="5" t="s">
        <v>132</v>
      </c>
      <c r="H220" s="6" t="n">
        <v>471576</v>
      </c>
      <c r="I220" s="6" t="n">
        <v>471576</v>
      </c>
      <c r="J220" s="7" t="n">
        <f aca="false">E220*1.19</f>
        <v>435019.97</v>
      </c>
      <c r="K220" s="7" t="n">
        <f aca="false">F220*1.19</f>
        <v>435019.97</v>
      </c>
      <c r="L220" s="5" t="s">
        <v>84</v>
      </c>
      <c r="M220" s="5" t="s">
        <v>65</v>
      </c>
      <c r="N220" s="8" t="s">
        <v>1272</v>
      </c>
      <c r="O220" s="5" t="s">
        <v>1273</v>
      </c>
      <c r="P220" s="5"/>
      <c r="Q220" s="5"/>
      <c r="R220" s="5" t="s">
        <v>928</v>
      </c>
      <c r="T220" s="5" t="s">
        <v>1171</v>
      </c>
      <c r="U220" s="5" t="s">
        <v>70</v>
      </c>
      <c r="V220" s="5" t="s">
        <v>1172</v>
      </c>
      <c r="W220" s="5" t="s">
        <v>102</v>
      </c>
      <c r="X220" s="5" t="s">
        <v>139</v>
      </c>
      <c r="Y220" s="5" t="s">
        <v>73</v>
      </c>
      <c r="Z220" s="5" t="s">
        <v>70</v>
      </c>
      <c r="AD220" s="5" t="s">
        <v>1139</v>
      </c>
      <c r="AE220" s="5" t="s">
        <v>74</v>
      </c>
      <c r="AI220" s="9" t="n">
        <v>45210</v>
      </c>
      <c r="AJ220" s="5" t="n">
        <v>1</v>
      </c>
      <c r="AK220" s="5" t="s">
        <v>75</v>
      </c>
      <c r="AL220" s="5" t="n">
        <v>471576</v>
      </c>
      <c r="AM220" s="5" t="s">
        <v>140</v>
      </c>
      <c r="AN220" s="5" t="s">
        <v>699</v>
      </c>
      <c r="AQ220" s="5" t="s">
        <v>77</v>
      </c>
      <c r="AR220" s="5" t="s">
        <v>143</v>
      </c>
      <c r="AS220" s="5" t="s">
        <v>73</v>
      </c>
      <c r="AT220" s="5" t="s">
        <v>78</v>
      </c>
      <c r="AU220" s="10" t="s">
        <v>259</v>
      </c>
      <c r="AW220" s="5" t="s">
        <v>94</v>
      </c>
      <c r="AX220" s="10" t="str">
        <f aca="false">IFERROR(INDEX('full database 2024'!ar:ar, MATCH(A220, 'full database 2024'!b:b, 0)), "")</f>
        <v/>
      </c>
      <c r="AZ220" s="5" t="s">
        <v>188</v>
      </c>
      <c r="BD220" s="9" t="n">
        <v>45239</v>
      </c>
      <c r="BE220" s="9" t="n">
        <v>45779</v>
      </c>
      <c r="BI220" s="5" t="s">
        <v>81</v>
      </c>
      <c r="BJ220" s="5" t="n">
        <v>2023</v>
      </c>
      <c r="BK220" s="11" t="n">
        <v>45606</v>
      </c>
    </row>
    <row r="221" customFormat="false" ht="16.5" hidden="false" customHeight="true" outlineLevel="0" collapsed="false">
      <c r="A221" s="5" t="s">
        <v>1194</v>
      </c>
      <c r="B221" s="5"/>
      <c r="C221" s="5"/>
      <c r="D221" s="5" t="s">
        <v>62</v>
      </c>
      <c r="E221" s="5" t="n">
        <v>357568</v>
      </c>
      <c r="F221" s="5" t="n">
        <v>357568</v>
      </c>
      <c r="G221" s="5" t="s">
        <v>147</v>
      </c>
      <c r="H221" s="6" t="n">
        <v>389749</v>
      </c>
      <c r="I221" s="6" t="n">
        <v>389749</v>
      </c>
      <c r="J221" s="7" t="n">
        <v>357568</v>
      </c>
      <c r="K221" s="7" t="n">
        <v>357568</v>
      </c>
      <c r="L221" s="5" t="s">
        <v>84</v>
      </c>
      <c r="M221" s="5" t="s">
        <v>65</v>
      </c>
      <c r="N221" s="5"/>
      <c r="O221" s="5"/>
      <c r="P221" s="5"/>
      <c r="Q221" s="5"/>
      <c r="R221" s="5"/>
      <c r="T221" s="5"/>
      <c r="U221" s="5"/>
      <c r="V221" s="5" t="s">
        <v>1274</v>
      </c>
      <c r="W221" s="5"/>
      <c r="X221" s="5" t="s">
        <v>151</v>
      </c>
      <c r="Y221" s="5" t="s">
        <v>73</v>
      </c>
      <c r="Z221" s="5"/>
      <c r="AD221" s="5"/>
      <c r="AE221" s="5"/>
      <c r="AI221" s="9" t="n">
        <v>45047</v>
      </c>
      <c r="AJ221" s="5"/>
      <c r="AK221" s="5"/>
      <c r="AL221" s="5" t="n">
        <v>389749</v>
      </c>
      <c r="AM221" s="5" t="s">
        <v>821</v>
      </c>
      <c r="AN221" s="5"/>
      <c r="AQ221" s="5" t="s">
        <v>77</v>
      </c>
      <c r="AR221" s="5" t="s">
        <v>151</v>
      </c>
      <c r="AS221" s="5" t="s">
        <v>73</v>
      </c>
      <c r="AT221" s="5" t="s">
        <v>105</v>
      </c>
      <c r="AU221" s="10" t="s">
        <v>186</v>
      </c>
      <c r="AW221" s="5" t="s">
        <v>94</v>
      </c>
      <c r="AX221" s="10" t="str">
        <f aca="false">IFERROR(INDEX('full database 2024'!ar:ar, MATCH(A221, 'full database 2024'!b:b, 0)), "")</f>
        <v/>
      </c>
      <c r="AZ221" s="5" t="s">
        <v>540</v>
      </c>
      <c r="BD221" s="9" t="n">
        <v>45596</v>
      </c>
      <c r="BE221" s="9" t="n">
        <v>45596</v>
      </c>
      <c r="BI221" s="5"/>
      <c r="BJ221" s="5" t="n">
        <v>2023</v>
      </c>
      <c r="BK221" s="11"/>
    </row>
    <row r="222" customFormat="false" ht="16.5" hidden="false" customHeight="true" outlineLevel="0" collapsed="false">
      <c r="A222" s="5" t="s">
        <v>823</v>
      </c>
      <c r="C222" s="5"/>
      <c r="D222" s="5" t="s">
        <v>62</v>
      </c>
      <c r="E222" s="5" t="n">
        <v>357397</v>
      </c>
      <c r="F222" s="5" t="n">
        <v>357397</v>
      </c>
      <c r="G222" s="5" t="s">
        <v>147</v>
      </c>
      <c r="H222" s="6" t="n">
        <v>389563</v>
      </c>
      <c r="I222" s="6" t="n">
        <v>389563</v>
      </c>
      <c r="J222" s="7" t="n">
        <v>357397</v>
      </c>
      <c r="K222" s="7" t="n">
        <v>357397</v>
      </c>
      <c r="L222" s="5" t="s">
        <v>84</v>
      </c>
      <c r="M222" s="5" t="s">
        <v>65</v>
      </c>
      <c r="V222" s="5" t="s">
        <v>1275</v>
      </c>
      <c r="X222" s="5" t="s">
        <v>151</v>
      </c>
      <c r="Y222" s="5" t="s">
        <v>73</v>
      </c>
      <c r="AI222" s="9" t="n">
        <v>44105</v>
      </c>
      <c r="AL222" s="5" t="n">
        <v>389563</v>
      </c>
      <c r="AM222" s="5" t="s">
        <v>821</v>
      </c>
      <c r="AN222" s="5"/>
      <c r="AQ222" s="5" t="s">
        <v>77</v>
      </c>
      <c r="AR222" s="5" t="s">
        <v>151</v>
      </c>
      <c r="AS222" s="5" t="s">
        <v>73</v>
      </c>
      <c r="AT222" s="5" t="s">
        <v>71</v>
      </c>
      <c r="AW222" s="5" t="s">
        <v>94</v>
      </c>
      <c r="AX222" s="10" t="str">
        <f aca="false">IFERROR(INDEX('full database 2024'!ar:ar, MATCH(A222, 'full database 2024'!b:b, 0)), "")</f>
        <v/>
      </c>
      <c r="AZ222" s="5" t="s">
        <v>129</v>
      </c>
      <c r="BD222" s="9" t="n">
        <v>45596</v>
      </c>
      <c r="BE222" s="9" t="n">
        <v>45596</v>
      </c>
      <c r="BJ222" s="5" t="n">
        <v>2020</v>
      </c>
    </row>
    <row r="223" customFormat="false" ht="16.5" hidden="false" customHeight="true" outlineLevel="0" collapsed="false">
      <c r="A223" s="5" t="s">
        <v>1276</v>
      </c>
      <c r="C223" s="5"/>
      <c r="D223" s="5" t="s">
        <v>62</v>
      </c>
      <c r="E223" s="5" t="n">
        <v>357251</v>
      </c>
      <c r="F223" s="5" t="n">
        <v>357251</v>
      </c>
      <c r="G223" s="5" t="s">
        <v>147</v>
      </c>
      <c r="H223" s="6" t="n">
        <v>389404</v>
      </c>
      <c r="I223" s="6" t="n">
        <v>389404</v>
      </c>
      <c r="J223" s="7" t="n">
        <v>357251</v>
      </c>
      <c r="K223" s="7" t="n">
        <v>357251</v>
      </c>
      <c r="L223" s="5" t="s">
        <v>84</v>
      </c>
      <c r="M223" s="5" t="s">
        <v>65</v>
      </c>
      <c r="N223" s="8" t="s">
        <v>1277</v>
      </c>
      <c r="V223" s="5" t="s">
        <v>911</v>
      </c>
      <c r="X223" s="5" t="s">
        <v>151</v>
      </c>
      <c r="Y223" s="5" t="s">
        <v>73</v>
      </c>
      <c r="AI223" s="9" t="n">
        <v>45231</v>
      </c>
      <c r="AL223" s="5" t="n">
        <v>389404</v>
      </c>
      <c r="AM223" s="5" t="s">
        <v>153</v>
      </c>
      <c r="AN223" s="5"/>
      <c r="AQ223" s="5" t="s">
        <v>77</v>
      </c>
      <c r="AR223" s="5" t="s">
        <v>151</v>
      </c>
      <c r="AS223" s="5" t="s">
        <v>73</v>
      </c>
      <c r="AT223" s="5" t="s">
        <v>78</v>
      </c>
      <c r="AW223" s="5" t="s">
        <v>94</v>
      </c>
      <c r="AX223" s="10" t="str">
        <f aca="false">IFERROR(INDEX('full database 2024'!ar:ar, MATCH(A223, 'full database 2024'!b:b, 0)), "")</f>
        <v/>
      </c>
      <c r="AZ223" s="5" t="s">
        <v>396</v>
      </c>
      <c r="BD223" s="9" t="n">
        <v>45596</v>
      </c>
      <c r="BE223" s="9" t="n">
        <v>45779</v>
      </c>
      <c r="BJ223" s="5" t="n">
        <v>2023</v>
      </c>
      <c r="BK223" s="5" t="s">
        <v>1219</v>
      </c>
    </row>
    <row r="224" customFormat="false" ht="16.5" hidden="false" customHeight="true" outlineLevel="0" collapsed="false">
      <c r="A224" s="5" t="s">
        <v>1278</v>
      </c>
      <c r="C224" s="5"/>
      <c r="D224" s="5" t="s">
        <v>62</v>
      </c>
      <c r="E224" s="5" t="n">
        <v>351966</v>
      </c>
      <c r="F224" s="5" t="n">
        <v>351966</v>
      </c>
      <c r="G224" s="5" t="s">
        <v>147</v>
      </c>
      <c r="H224" s="6" t="n">
        <v>383643</v>
      </c>
      <c r="I224" s="6" t="n">
        <v>383643</v>
      </c>
      <c r="J224" s="7" t="n">
        <v>351966</v>
      </c>
      <c r="K224" s="7" t="n">
        <v>351966</v>
      </c>
      <c r="L224" s="5" t="s">
        <v>84</v>
      </c>
      <c r="M224" s="5" t="s">
        <v>65</v>
      </c>
      <c r="N224" s="5"/>
      <c r="V224" s="5" t="s">
        <v>824</v>
      </c>
      <c r="X224" s="5" t="s">
        <v>151</v>
      </c>
      <c r="Y224" s="5" t="s">
        <v>73</v>
      </c>
      <c r="AI224" s="9" t="n">
        <v>44263</v>
      </c>
      <c r="AL224" s="5" t="n">
        <v>383643</v>
      </c>
      <c r="AM224" s="5" t="s">
        <v>153</v>
      </c>
      <c r="AN224" s="5"/>
      <c r="AQ224" s="5" t="s">
        <v>77</v>
      </c>
      <c r="AR224" s="5" t="s">
        <v>151</v>
      </c>
      <c r="AS224" s="5" t="s">
        <v>73</v>
      </c>
      <c r="AT224" s="5" t="s">
        <v>78</v>
      </c>
      <c r="AW224" s="5" t="s">
        <v>94</v>
      </c>
      <c r="AX224" s="10" t="str">
        <f aca="false">IFERROR(INDEX('full database 2024'!ar:ar, MATCH(A224, 'full database 2024'!b:b, 0)), "")</f>
        <v/>
      </c>
      <c r="AZ224" s="5" t="s">
        <v>129</v>
      </c>
      <c r="BD224" s="9" t="n">
        <v>45596</v>
      </c>
      <c r="BE224" s="9" t="n">
        <v>45596</v>
      </c>
      <c r="BJ224" s="5" t="n">
        <v>2021</v>
      </c>
      <c r="BK224" s="5"/>
    </row>
    <row r="225" customFormat="false" ht="16.5" hidden="false" customHeight="true" outlineLevel="0" collapsed="false">
      <c r="A225" s="5" t="s">
        <v>1279</v>
      </c>
      <c r="B225" s="5" t="s">
        <v>920</v>
      </c>
      <c r="C225" s="5"/>
      <c r="D225" s="5" t="s">
        <v>62</v>
      </c>
      <c r="E225" s="5" t="n">
        <v>351201</v>
      </c>
      <c r="F225" s="5" t="n">
        <v>351201</v>
      </c>
      <c r="G225" s="5" t="s">
        <v>147</v>
      </c>
      <c r="H225" s="6" t="n">
        <v>379485</v>
      </c>
      <c r="I225" s="6" t="n">
        <v>379485</v>
      </c>
      <c r="J225" s="7" t="n">
        <v>351201</v>
      </c>
      <c r="K225" s="7" t="n">
        <v>351201</v>
      </c>
      <c r="L225" s="5" t="s">
        <v>84</v>
      </c>
      <c r="M225" s="5"/>
      <c r="N225" s="8" t="s">
        <v>1280</v>
      </c>
      <c r="O225" s="5" t="s">
        <v>1281</v>
      </c>
      <c r="V225" s="5" t="s">
        <v>1282</v>
      </c>
      <c r="X225" s="5" t="s">
        <v>151</v>
      </c>
      <c r="Y225" s="5" t="s">
        <v>73</v>
      </c>
      <c r="AI225" s="9" t="n">
        <v>45352</v>
      </c>
      <c r="AL225" s="5" t="n">
        <v>379485</v>
      </c>
      <c r="AM225" s="5" t="s">
        <v>153</v>
      </c>
      <c r="AN225" s="5"/>
      <c r="AQ225" s="5" t="s">
        <v>77</v>
      </c>
      <c r="AR225" s="5" t="s">
        <v>151</v>
      </c>
      <c r="AS225" s="5" t="s">
        <v>73</v>
      </c>
      <c r="AT225" s="5" t="s">
        <v>78</v>
      </c>
      <c r="AU225" s="10" t="s">
        <v>259</v>
      </c>
      <c r="AV225" s="10"/>
      <c r="AW225" s="5" t="s">
        <v>94</v>
      </c>
      <c r="AX225" s="10" t="str">
        <f aca="false">IFERROR(INDEX('full database 2024'!ar:ar, MATCH(A225, 'full database 2024'!b:b, 0)), "")</f>
        <v/>
      </c>
      <c r="AZ225" s="5" t="s">
        <v>129</v>
      </c>
      <c r="BD225" s="9" t="n">
        <v>45671</v>
      </c>
      <c r="BE225" s="9" t="n">
        <v>45779</v>
      </c>
      <c r="BJ225" s="5" t="n">
        <v>2024</v>
      </c>
      <c r="BK225" s="5" t="s">
        <v>1283</v>
      </c>
    </row>
    <row r="226" customFormat="false" ht="16.5" hidden="false" customHeight="true" outlineLevel="0" collapsed="false">
      <c r="A226" s="5" t="s">
        <v>1284</v>
      </c>
      <c r="B226" s="5" t="s">
        <v>920</v>
      </c>
      <c r="C226" s="5"/>
      <c r="D226" s="5" t="s">
        <v>62</v>
      </c>
      <c r="E226" s="5" t="n">
        <v>349832</v>
      </c>
      <c r="F226" s="5" t="n">
        <v>349832</v>
      </c>
      <c r="G226" s="5" t="s">
        <v>147</v>
      </c>
      <c r="H226" s="6" t="n">
        <v>378007</v>
      </c>
      <c r="I226" s="6" t="n">
        <v>378007</v>
      </c>
      <c r="J226" s="7" t="n">
        <v>349832</v>
      </c>
      <c r="K226" s="7" t="n">
        <v>349832</v>
      </c>
      <c r="L226" s="5" t="s">
        <v>84</v>
      </c>
      <c r="N226" s="8" t="s">
        <v>1285</v>
      </c>
      <c r="O226" s="5" t="s">
        <v>1286</v>
      </c>
      <c r="V226" s="5" t="s">
        <v>1287</v>
      </c>
      <c r="X226" s="5" t="s">
        <v>151</v>
      </c>
      <c r="Y226" s="5" t="s">
        <v>73</v>
      </c>
      <c r="AI226" s="9" t="n">
        <v>45352</v>
      </c>
      <c r="AL226" s="5" t="n">
        <v>378007</v>
      </c>
      <c r="AM226" s="5" t="s">
        <v>153</v>
      </c>
      <c r="AN226" s="5"/>
      <c r="AQ226" s="5" t="s">
        <v>77</v>
      </c>
      <c r="AR226" s="5" t="s">
        <v>151</v>
      </c>
      <c r="AS226" s="5" t="s">
        <v>73</v>
      </c>
      <c r="AT226" s="5" t="s">
        <v>78</v>
      </c>
      <c r="AU226" s="10" t="s">
        <v>259</v>
      </c>
      <c r="AV226" s="10"/>
      <c r="AW226" s="5" t="s">
        <v>94</v>
      </c>
      <c r="AX226" s="10" t="str">
        <f aca="false">IFERROR(INDEX('full database 2024'!ar:ar, MATCH(A226, 'full database 2024'!b:b, 0)), "")</f>
        <v/>
      </c>
      <c r="AZ226" s="5" t="s">
        <v>129</v>
      </c>
      <c r="BD226" s="9" t="n">
        <v>45671</v>
      </c>
      <c r="BE226" s="9" t="n">
        <v>45779</v>
      </c>
      <c r="BJ226" s="5" t="n">
        <v>2024</v>
      </c>
      <c r="BK226" s="5" t="s">
        <v>1283</v>
      </c>
    </row>
    <row r="227" customFormat="false" ht="16.5" hidden="false" customHeight="true" outlineLevel="0" collapsed="false">
      <c r="A227" s="5" t="s">
        <v>1288</v>
      </c>
      <c r="B227" s="5" t="s">
        <v>1289</v>
      </c>
      <c r="C227" s="5"/>
      <c r="D227" s="5" t="s">
        <v>62</v>
      </c>
      <c r="E227" s="16" t="n">
        <v>349555</v>
      </c>
      <c r="F227" s="16" t="n">
        <v>349555</v>
      </c>
      <c r="G227" s="5" t="s">
        <v>132</v>
      </c>
      <c r="H227" s="6" t="n">
        <v>429541</v>
      </c>
      <c r="I227" s="6" t="n">
        <v>429541</v>
      </c>
      <c r="J227" s="7" t="n">
        <f aca="false">E227*1.19</f>
        <v>415970.45</v>
      </c>
      <c r="K227" s="7" t="n">
        <f aca="false">F227*1.19</f>
        <v>415970.45</v>
      </c>
      <c r="L227" s="5" t="s">
        <v>84</v>
      </c>
      <c r="N227" s="8" t="s">
        <v>1290</v>
      </c>
      <c r="O227" s="5" t="s">
        <v>1291</v>
      </c>
      <c r="P227" s="5"/>
      <c r="Q227" s="5"/>
      <c r="R227" s="5" t="s">
        <v>1292</v>
      </c>
      <c r="T227" s="5" t="s">
        <v>1293</v>
      </c>
      <c r="U227" s="5" t="s">
        <v>70</v>
      </c>
      <c r="V227" s="5" t="s">
        <v>1158</v>
      </c>
      <c r="W227" s="5" t="s">
        <v>102</v>
      </c>
      <c r="X227" s="5" t="s">
        <v>139</v>
      </c>
      <c r="Y227" s="5" t="s">
        <v>73</v>
      </c>
      <c r="Z227" s="5" t="s">
        <v>70</v>
      </c>
      <c r="AD227" s="5" t="s">
        <v>70</v>
      </c>
      <c r="AE227" s="5" t="s">
        <v>117</v>
      </c>
      <c r="AI227" s="9" t="n">
        <v>45322</v>
      </c>
      <c r="AJ227" s="5" t="n">
        <v>2</v>
      </c>
      <c r="AK227" s="5" t="s">
        <v>75</v>
      </c>
      <c r="AL227" s="5" t="n">
        <v>214771</v>
      </c>
      <c r="AM227" s="5" t="s">
        <v>140</v>
      </c>
      <c r="AN227" s="5" t="s">
        <v>699</v>
      </c>
      <c r="AO227" s="5" t="s">
        <v>373</v>
      </c>
      <c r="AQ227" s="5" t="s">
        <v>77</v>
      </c>
      <c r="AR227" s="5" t="s">
        <v>143</v>
      </c>
      <c r="AS227" s="5" t="s">
        <v>73</v>
      </c>
      <c r="AT227" s="5" t="s">
        <v>374</v>
      </c>
      <c r="AW227" s="5" t="s">
        <v>94</v>
      </c>
      <c r="AX227" s="10" t="str">
        <f aca="false">IFERROR(INDEX('full database 2024'!ar:ar, MATCH(A227, 'full database 2024'!b:b, 0)), "")</f>
        <v/>
      </c>
      <c r="AZ227" s="5" t="s">
        <v>239</v>
      </c>
      <c r="BD227" s="9" t="n">
        <v>45434</v>
      </c>
      <c r="BE227" s="9" t="n">
        <v>45779</v>
      </c>
      <c r="BI227" s="5" t="s">
        <v>81</v>
      </c>
      <c r="BJ227" s="5" t="n">
        <v>2024</v>
      </c>
      <c r="BK227" s="5" t="s">
        <v>1294</v>
      </c>
    </row>
    <row r="228" customFormat="false" ht="16.5" hidden="false" customHeight="true" outlineLevel="0" collapsed="false">
      <c r="A228" s="5" t="s">
        <v>1295</v>
      </c>
      <c r="B228" s="5" t="s">
        <v>1296</v>
      </c>
      <c r="C228" s="5"/>
      <c r="D228" s="5" t="s">
        <v>62</v>
      </c>
      <c r="E228" s="16" t="n">
        <v>349433</v>
      </c>
      <c r="F228" s="16" t="n">
        <v>349433</v>
      </c>
      <c r="G228" s="5" t="s">
        <v>132</v>
      </c>
      <c r="H228" s="6" t="n">
        <v>436791</v>
      </c>
      <c r="I228" s="6" t="n">
        <v>436791</v>
      </c>
      <c r="J228" s="7" t="n">
        <f aca="false">E228*1.19</f>
        <v>415825.27</v>
      </c>
      <c r="K228" s="7" t="n">
        <f aca="false">F228*1.19</f>
        <v>415825.27</v>
      </c>
      <c r="L228" s="5" t="s">
        <v>84</v>
      </c>
      <c r="M228" s="5" t="s">
        <v>65</v>
      </c>
      <c r="N228" s="8" t="s">
        <v>1297</v>
      </c>
      <c r="O228" s="5" t="s">
        <v>1298</v>
      </c>
      <c r="P228" s="5"/>
      <c r="Q228" s="5"/>
      <c r="R228" s="5"/>
      <c r="T228" s="5" t="s">
        <v>1299</v>
      </c>
      <c r="U228" s="5"/>
      <c r="V228" s="5" t="s">
        <v>1300</v>
      </c>
      <c r="W228" s="5"/>
      <c r="X228" s="5" t="s">
        <v>139</v>
      </c>
      <c r="Y228" s="5" t="s">
        <v>73</v>
      </c>
      <c r="Z228" s="5"/>
      <c r="AD228" s="5"/>
      <c r="AE228" s="5"/>
      <c r="AI228" s="9" t="n">
        <v>44932</v>
      </c>
      <c r="AJ228" s="5" t="n">
        <v>12</v>
      </c>
      <c r="AK228" s="5" t="s">
        <v>216</v>
      </c>
      <c r="AL228" s="5" t="n">
        <v>36399</v>
      </c>
      <c r="AM228" s="5" t="s">
        <v>140</v>
      </c>
      <c r="AN228" s="5" t="s">
        <v>699</v>
      </c>
      <c r="AO228" s="5"/>
      <c r="AQ228" s="5" t="s">
        <v>77</v>
      </c>
      <c r="AR228" s="5" t="s">
        <v>143</v>
      </c>
      <c r="AS228" s="5" t="s">
        <v>73</v>
      </c>
      <c r="AT228" s="5" t="s">
        <v>374</v>
      </c>
      <c r="AW228" s="5" t="s">
        <v>94</v>
      </c>
      <c r="AX228" s="10" t="str">
        <f aca="false">IFERROR(INDEX('full database 2024'!ar:ar, MATCH(A228, 'full database 2024'!b:b, 0)), "")</f>
        <v/>
      </c>
      <c r="AZ228" s="5" t="s">
        <v>239</v>
      </c>
      <c r="BD228" s="9" t="n">
        <v>45596</v>
      </c>
      <c r="BE228" s="9" t="n">
        <v>45779</v>
      </c>
      <c r="BI228" s="5"/>
      <c r="BJ228" s="5" t="n">
        <v>2023</v>
      </c>
      <c r="BK228" s="11" t="n">
        <v>36526</v>
      </c>
    </row>
    <row r="229" customFormat="false" ht="16.5" hidden="false" customHeight="true" outlineLevel="0" collapsed="false">
      <c r="A229" s="5" t="s">
        <v>1301</v>
      </c>
      <c r="B229" s="5"/>
      <c r="C229" s="5"/>
      <c r="D229" s="5" t="s">
        <v>62</v>
      </c>
      <c r="E229" s="5" t="n">
        <v>346201</v>
      </c>
      <c r="F229" s="5" t="n">
        <v>346201</v>
      </c>
      <c r="G229" s="5" t="s">
        <v>147</v>
      </c>
      <c r="H229" s="6" t="n">
        <v>377359</v>
      </c>
      <c r="I229" s="6" t="n">
        <v>377359</v>
      </c>
      <c r="J229" s="7" t="n">
        <v>346201</v>
      </c>
      <c r="K229" s="7" t="n">
        <v>346201</v>
      </c>
      <c r="L229" s="5" t="s">
        <v>84</v>
      </c>
      <c r="M229" s="5" t="s">
        <v>65</v>
      </c>
      <c r="N229" s="5"/>
      <c r="O229" s="5"/>
      <c r="T229" s="5"/>
      <c r="V229" s="5" t="s">
        <v>1302</v>
      </c>
      <c r="X229" s="5" t="s">
        <v>151</v>
      </c>
      <c r="Y229" s="5" t="s">
        <v>73</v>
      </c>
      <c r="AI229" s="9" t="n">
        <v>44573</v>
      </c>
      <c r="AJ229" s="5"/>
      <c r="AK229" s="5"/>
      <c r="AL229" s="5" t="n">
        <v>377359</v>
      </c>
      <c r="AM229" s="5" t="s">
        <v>153</v>
      </c>
      <c r="AN229" s="5"/>
      <c r="AQ229" s="5" t="s">
        <v>77</v>
      </c>
      <c r="AR229" s="5" t="s">
        <v>151</v>
      </c>
      <c r="AS229" s="5" t="s">
        <v>73</v>
      </c>
      <c r="AT229" s="5" t="s">
        <v>78</v>
      </c>
      <c r="AW229" s="5" t="s">
        <v>94</v>
      </c>
      <c r="AX229" s="10" t="str">
        <f aca="false">IFERROR(INDEX('full database 2024'!ar:ar, MATCH(A229, 'full database 2024'!b:b, 0)), "")</f>
        <v/>
      </c>
      <c r="AZ229" s="5" t="s">
        <v>309</v>
      </c>
      <c r="BD229" s="9" t="n">
        <v>45596</v>
      </c>
      <c r="BE229" s="9" t="n">
        <v>45596</v>
      </c>
      <c r="BJ229" s="5" t="n">
        <v>2022</v>
      </c>
      <c r="BK229" s="11"/>
    </row>
    <row r="230" customFormat="false" ht="16.5" hidden="false" customHeight="true" outlineLevel="0" collapsed="false">
      <c r="A230" s="5" t="s">
        <v>1303</v>
      </c>
      <c r="B230" s="5" t="s">
        <v>1296</v>
      </c>
      <c r="C230" s="5"/>
      <c r="D230" s="5" t="s">
        <v>62</v>
      </c>
      <c r="E230" s="16" t="n">
        <v>342068</v>
      </c>
      <c r="F230" s="16" t="n">
        <v>342068</v>
      </c>
      <c r="G230" s="5" t="s">
        <v>132</v>
      </c>
      <c r="H230" s="6" t="n">
        <v>425807</v>
      </c>
      <c r="I230" s="6" t="n">
        <v>425807</v>
      </c>
      <c r="J230" s="7" t="n">
        <f aca="false">E230*1.19</f>
        <v>407060.92</v>
      </c>
      <c r="K230" s="7" t="n">
        <f aca="false">F230*1.19</f>
        <v>407060.92</v>
      </c>
      <c r="L230" s="5" t="s">
        <v>84</v>
      </c>
      <c r="M230" s="5" t="s">
        <v>65</v>
      </c>
      <c r="N230" s="8" t="s">
        <v>1304</v>
      </c>
      <c r="O230" s="5" t="s">
        <v>1305</v>
      </c>
      <c r="P230" s="5"/>
      <c r="Q230" s="5"/>
      <c r="R230" s="5" t="s">
        <v>1306</v>
      </c>
      <c r="T230" s="5" t="s">
        <v>1307</v>
      </c>
      <c r="U230" s="5" t="s">
        <v>70</v>
      </c>
      <c r="V230" s="5" t="s">
        <v>1308</v>
      </c>
      <c r="W230" s="5" t="s">
        <v>102</v>
      </c>
      <c r="X230" s="5" t="s">
        <v>139</v>
      </c>
      <c r="Y230" s="5" t="s">
        <v>73</v>
      </c>
      <c r="Z230" s="5" t="s">
        <v>70</v>
      </c>
      <c r="AE230" s="5" t="s">
        <v>117</v>
      </c>
      <c r="AI230" s="9" t="n">
        <v>44562</v>
      </c>
      <c r="AJ230" s="5" t="n">
        <v>1</v>
      </c>
      <c r="AK230" s="5" t="s">
        <v>228</v>
      </c>
      <c r="AL230" s="5" t="n">
        <v>425807</v>
      </c>
      <c r="AM230" s="5" t="s">
        <v>140</v>
      </c>
      <c r="AN230" s="5" t="s">
        <v>699</v>
      </c>
      <c r="AQ230" s="5" t="s">
        <v>77</v>
      </c>
      <c r="AR230" s="5" t="s">
        <v>143</v>
      </c>
      <c r="AS230" s="5" t="s">
        <v>73</v>
      </c>
      <c r="AT230" s="5" t="s">
        <v>374</v>
      </c>
      <c r="AW230" s="5" t="s">
        <v>94</v>
      </c>
      <c r="AX230" s="10" t="str">
        <f aca="false">IFERROR(INDEX('full database 2024'!ar:ar, MATCH(A230, 'full database 2024'!b:b, 0)), "")</f>
        <v/>
      </c>
      <c r="AZ230" s="5" t="s">
        <v>534</v>
      </c>
      <c r="BD230" s="9" t="n">
        <v>45036</v>
      </c>
      <c r="BE230" s="9" t="n">
        <v>45779</v>
      </c>
      <c r="BI230" s="5" t="s">
        <v>81</v>
      </c>
      <c r="BJ230" s="5" t="n">
        <v>2022</v>
      </c>
      <c r="BK230" s="11" t="n">
        <v>44927</v>
      </c>
    </row>
    <row r="231" customFormat="false" ht="16.5" hidden="false" customHeight="true" outlineLevel="0" collapsed="false">
      <c r="A231" s="5" t="s">
        <v>1309</v>
      </c>
      <c r="B231" s="5"/>
      <c r="C231" s="5"/>
      <c r="D231" s="5" t="s">
        <v>62</v>
      </c>
      <c r="E231" s="5" t="n">
        <v>339829</v>
      </c>
      <c r="F231" s="5" t="n">
        <v>339829</v>
      </c>
      <c r="G231" s="5" t="s">
        <v>147</v>
      </c>
      <c r="H231" s="6" t="n">
        <v>370414</v>
      </c>
      <c r="I231" s="6" t="n">
        <v>370414</v>
      </c>
      <c r="J231" s="7" t="n">
        <v>339829</v>
      </c>
      <c r="K231" s="7" t="n">
        <v>339829</v>
      </c>
      <c r="L231" s="5" t="s">
        <v>84</v>
      </c>
      <c r="M231" s="5" t="s">
        <v>65</v>
      </c>
      <c r="N231" s="5"/>
      <c r="O231" s="5"/>
      <c r="P231" s="5"/>
      <c r="Q231" s="5"/>
      <c r="R231" s="5"/>
      <c r="T231" s="5"/>
      <c r="U231" s="5"/>
      <c r="V231" s="5" t="s">
        <v>1257</v>
      </c>
      <c r="W231" s="5"/>
      <c r="X231" s="5"/>
      <c r="Y231" s="5" t="s">
        <v>73</v>
      </c>
      <c r="Z231" s="5"/>
      <c r="AE231" s="5"/>
      <c r="AI231" s="9" t="n">
        <v>44682</v>
      </c>
      <c r="AJ231" s="5"/>
      <c r="AK231" s="5"/>
      <c r="AL231" s="5" t="n">
        <v>370414</v>
      </c>
      <c r="AM231" s="5" t="s">
        <v>924</v>
      </c>
      <c r="AN231" s="5"/>
      <c r="AQ231" s="5" t="s">
        <v>77</v>
      </c>
      <c r="AR231" s="5" t="s">
        <v>151</v>
      </c>
      <c r="AS231" s="5" t="s">
        <v>73</v>
      </c>
      <c r="AT231" s="5" t="s">
        <v>78</v>
      </c>
      <c r="AW231" s="5" t="s">
        <v>94</v>
      </c>
      <c r="AX231" s="10" t="str">
        <f aca="false">IFERROR(INDEX('full database 2024'!ar:ar, MATCH(A231, 'full database 2024'!b:b, 0)), "")</f>
        <v/>
      </c>
      <c r="AZ231" s="5" t="s">
        <v>129</v>
      </c>
      <c r="BD231" s="9" t="n">
        <v>45596</v>
      </c>
      <c r="BE231" s="9" t="n">
        <v>45596</v>
      </c>
      <c r="BI231" s="5"/>
      <c r="BJ231" s="5" t="n">
        <v>2022</v>
      </c>
      <c r="BK231" s="11"/>
    </row>
    <row r="232" customFormat="false" ht="16.5" hidden="false" customHeight="true" outlineLevel="0" collapsed="false">
      <c r="A232" s="5" t="s">
        <v>1310</v>
      </c>
      <c r="C232" s="5"/>
      <c r="D232" s="5" t="s">
        <v>62</v>
      </c>
      <c r="E232" s="5" t="n">
        <v>335000</v>
      </c>
      <c r="F232" s="5" t="n">
        <v>335000</v>
      </c>
      <c r="G232" s="5" t="s">
        <v>147</v>
      </c>
      <c r="H232" s="6" t="n">
        <v>366754</v>
      </c>
      <c r="I232" s="6" t="n">
        <v>366754</v>
      </c>
      <c r="J232" s="7" t="n">
        <v>335000</v>
      </c>
      <c r="K232" s="7" t="n">
        <v>335000</v>
      </c>
      <c r="L232" s="5" t="s">
        <v>84</v>
      </c>
      <c r="M232" s="5" t="s">
        <v>65</v>
      </c>
      <c r="N232" s="8" t="s">
        <v>1311</v>
      </c>
      <c r="P232" s="5"/>
      <c r="Q232" s="5"/>
      <c r="R232" s="5" t="s">
        <v>1312</v>
      </c>
      <c r="T232" s="5" t="s">
        <v>1313</v>
      </c>
      <c r="U232" s="5" t="s">
        <v>70</v>
      </c>
      <c r="V232" s="5" t="s">
        <v>1314</v>
      </c>
      <c r="W232" s="5" t="s">
        <v>102</v>
      </c>
      <c r="X232" s="5" t="s">
        <v>257</v>
      </c>
      <c r="Y232" s="5" t="s">
        <v>73</v>
      </c>
      <c r="Z232" s="5" t="s">
        <v>70</v>
      </c>
      <c r="AE232" s="5" t="s">
        <v>117</v>
      </c>
      <c r="AI232" s="9" t="n">
        <v>45279</v>
      </c>
      <c r="AJ232" s="5" t="n">
        <v>2</v>
      </c>
      <c r="AK232" s="5" t="s">
        <v>75</v>
      </c>
      <c r="AL232" s="5" t="n">
        <v>183377</v>
      </c>
      <c r="AM232" s="5" t="s">
        <v>1315</v>
      </c>
      <c r="AN232" s="5"/>
      <c r="AQ232" s="5" t="s">
        <v>77</v>
      </c>
      <c r="AR232" s="5" t="s">
        <v>257</v>
      </c>
      <c r="AS232" s="5" t="s">
        <v>73</v>
      </c>
      <c r="AT232" s="5" t="s">
        <v>105</v>
      </c>
      <c r="AU232" s="10" t="s">
        <v>186</v>
      </c>
      <c r="AW232" s="5" t="s">
        <v>94</v>
      </c>
      <c r="AX232" s="10" t="str">
        <f aca="false">IFERROR(INDEX('full database 2024'!ar:ar, MATCH(A232, 'full database 2024'!b:b, 0)), "")</f>
        <v/>
      </c>
      <c r="AZ232" s="5" t="s">
        <v>540</v>
      </c>
      <c r="BD232" s="9" t="n">
        <v>45293</v>
      </c>
      <c r="BE232" s="9" t="n">
        <v>45293</v>
      </c>
      <c r="BI232" s="5" t="s">
        <v>81</v>
      </c>
      <c r="BJ232" s="5" t="n">
        <v>2023</v>
      </c>
      <c r="BK232" s="5" t="s">
        <v>1316</v>
      </c>
    </row>
    <row r="233" customFormat="false" ht="16.5" hidden="false" customHeight="true" outlineLevel="0" collapsed="false">
      <c r="A233" s="5" t="s">
        <v>1317</v>
      </c>
      <c r="B233" s="5" t="s">
        <v>1318</v>
      </c>
      <c r="C233" s="5"/>
      <c r="D233" s="5" t="s">
        <v>62</v>
      </c>
      <c r="E233" s="16" t="n">
        <v>332879</v>
      </c>
      <c r="F233" s="16" t="n">
        <v>332879</v>
      </c>
      <c r="G233" s="5" t="s">
        <v>132</v>
      </c>
      <c r="H233" s="6" t="n">
        <v>416099</v>
      </c>
      <c r="I233" s="6" t="n">
        <v>416099</v>
      </c>
      <c r="J233" s="7" t="n">
        <f aca="false">E233*1.19</f>
        <v>396126.01</v>
      </c>
      <c r="K233" s="7" t="n">
        <f aca="false">F233*1.19</f>
        <v>396126.01</v>
      </c>
      <c r="L233" s="5" t="s">
        <v>84</v>
      </c>
      <c r="M233" s="5" t="s">
        <v>65</v>
      </c>
      <c r="N233" s="8" t="s">
        <v>1319</v>
      </c>
      <c r="O233" s="5" t="s">
        <v>1320</v>
      </c>
      <c r="P233" s="5"/>
      <c r="Q233" s="5"/>
      <c r="R233" s="5"/>
      <c r="T233" s="5" t="s">
        <v>1321</v>
      </c>
      <c r="U233" s="5"/>
      <c r="V233" s="5" t="s">
        <v>1322</v>
      </c>
      <c r="W233" s="5"/>
      <c r="X233" s="5" t="s">
        <v>139</v>
      </c>
      <c r="Y233" s="5" t="s">
        <v>73</v>
      </c>
      <c r="Z233" s="5"/>
      <c r="AE233" s="5"/>
      <c r="AI233" s="9" t="n">
        <v>44932</v>
      </c>
      <c r="AJ233" s="5" t="n">
        <v>12</v>
      </c>
      <c r="AK233" s="5" t="s">
        <v>433</v>
      </c>
      <c r="AL233" s="5" t="n">
        <v>34675</v>
      </c>
      <c r="AM233" s="5" t="s">
        <v>140</v>
      </c>
      <c r="AN233" s="5" t="s">
        <v>699</v>
      </c>
      <c r="AQ233" s="5" t="s">
        <v>77</v>
      </c>
      <c r="AR233" s="5" t="s">
        <v>143</v>
      </c>
      <c r="AS233" s="5" t="s">
        <v>73</v>
      </c>
      <c r="AT233" s="5" t="s">
        <v>105</v>
      </c>
      <c r="AU233" s="10" t="s">
        <v>106</v>
      </c>
      <c r="AW233" s="5" t="s">
        <v>94</v>
      </c>
      <c r="AX233" s="10" t="str">
        <f aca="false">IFERROR(INDEX('full database 2024'!ar:ar, MATCH(A233, 'full database 2024'!b:b, 0)), "")</f>
        <v/>
      </c>
      <c r="AZ233" s="5" t="s">
        <v>540</v>
      </c>
      <c r="BD233" s="9" t="n">
        <v>45596</v>
      </c>
      <c r="BE233" s="9" t="n">
        <v>45779</v>
      </c>
      <c r="BI233" s="5"/>
      <c r="BJ233" s="5" t="n">
        <v>2023</v>
      </c>
      <c r="BK233" s="11" t="n">
        <v>36526</v>
      </c>
    </row>
    <row r="234" customFormat="false" ht="16.5" hidden="false" customHeight="true" outlineLevel="0" collapsed="false">
      <c r="A234" s="5" t="s">
        <v>1323</v>
      </c>
      <c r="B234" s="5"/>
      <c r="C234" s="5"/>
      <c r="D234" s="5" t="s">
        <v>62</v>
      </c>
      <c r="E234" s="5" t="n">
        <v>332250</v>
      </c>
      <c r="F234" s="5" t="n">
        <v>332250</v>
      </c>
      <c r="G234" s="5" t="s">
        <v>147</v>
      </c>
      <c r="H234" s="6" t="n">
        <v>362153</v>
      </c>
      <c r="I234" s="6" t="n">
        <v>362153</v>
      </c>
      <c r="J234" s="7" t="n">
        <v>332250</v>
      </c>
      <c r="K234" s="7" t="n">
        <v>332250</v>
      </c>
      <c r="L234" s="5" t="s">
        <v>84</v>
      </c>
      <c r="M234" s="5" t="s">
        <v>65</v>
      </c>
      <c r="N234" s="5"/>
      <c r="O234" s="5"/>
      <c r="T234" s="5"/>
      <c r="V234" s="5" t="s">
        <v>1324</v>
      </c>
      <c r="X234" s="5"/>
      <c r="Y234" s="5" t="s">
        <v>73</v>
      </c>
      <c r="AI234" s="9" t="n">
        <v>44929</v>
      </c>
      <c r="AJ234" s="5"/>
      <c r="AK234" s="5"/>
      <c r="AL234" s="5" t="n">
        <v>362153</v>
      </c>
      <c r="AM234" s="5" t="s">
        <v>153</v>
      </c>
      <c r="AN234" s="5"/>
      <c r="AQ234" s="5" t="s">
        <v>77</v>
      </c>
      <c r="AR234" s="5" t="s">
        <v>151</v>
      </c>
      <c r="AS234" s="5" t="s">
        <v>73</v>
      </c>
      <c r="AT234" s="5" t="s">
        <v>78</v>
      </c>
      <c r="AW234" s="5" t="s">
        <v>94</v>
      </c>
      <c r="AX234" s="10" t="str">
        <f aca="false">IFERROR(INDEX('full database 2024'!ar:ar, MATCH(A234, 'full database 2024'!b:b, 0)), "")</f>
        <v/>
      </c>
      <c r="AZ234" s="5" t="s">
        <v>309</v>
      </c>
      <c r="BD234" s="9" t="n">
        <v>45596</v>
      </c>
      <c r="BE234" s="9" t="n">
        <v>45596</v>
      </c>
      <c r="BJ234" s="5" t="n">
        <v>2023</v>
      </c>
      <c r="BK234" s="11"/>
    </row>
    <row r="235" customFormat="false" ht="16.5" hidden="false" customHeight="true" outlineLevel="0" collapsed="false">
      <c r="A235" s="5" t="s">
        <v>1325</v>
      </c>
      <c r="B235" s="5" t="s">
        <v>1326</v>
      </c>
      <c r="C235" s="5"/>
      <c r="D235" s="5" t="s">
        <v>62</v>
      </c>
      <c r="E235" s="5" t="n">
        <v>328161</v>
      </c>
      <c r="F235" s="5" t="n">
        <v>328161</v>
      </c>
      <c r="G235" s="5" t="s">
        <v>212</v>
      </c>
      <c r="H235" s="6" t="n">
        <v>30847</v>
      </c>
      <c r="I235" s="6" t="n">
        <v>30847</v>
      </c>
      <c r="J235" s="7" t="n">
        <f aca="false">E235*0.091</f>
        <v>29862.651</v>
      </c>
      <c r="K235" s="7" t="n">
        <f aca="false">F235*0.091</f>
        <v>29862.651</v>
      </c>
      <c r="L235" s="5" t="s">
        <v>84</v>
      </c>
      <c r="M235" s="5" t="s">
        <v>65</v>
      </c>
      <c r="N235" s="8" t="s">
        <v>1327</v>
      </c>
      <c r="O235" s="5" t="s">
        <v>1328</v>
      </c>
      <c r="V235" s="5" t="s">
        <v>1329</v>
      </c>
      <c r="X235" s="5" t="s">
        <v>215</v>
      </c>
      <c r="Y235" s="5" t="s">
        <v>73</v>
      </c>
      <c r="AI235" s="9" t="n">
        <v>44419</v>
      </c>
      <c r="AJ235" s="5" t="n">
        <v>6</v>
      </c>
      <c r="AK235" s="5" t="s">
        <v>216</v>
      </c>
      <c r="AL235" s="5" t="n">
        <v>5141</v>
      </c>
      <c r="AM235" s="5" t="s">
        <v>489</v>
      </c>
      <c r="AN235" s="5"/>
      <c r="AQ235" s="5" t="s">
        <v>77</v>
      </c>
      <c r="AR235" s="5" t="s">
        <v>215</v>
      </c>
      <c r="AS235" s="5" t="s">
        <v>73</v>
      </c>
      <c r="AT235" s="5" t="s">
        <v>78</v>
      </c>
      <c r="AW235" s="5" t="s">
        <v>94</v>
      </c>
      <c r="AX235" s="10" t="str">
        <f aca="false">IFERROR(INDEX('full database 2024'!ar:ar, MATCH(A235, 'full database 2024'!b:b, 0)), "")</f>
        <v/>
      </c>
      <c r="AZ235" s="5" t="s">
        <v>396</v>
      </c>
      <c r="BD235" s="9" t="n">
        <v>45596</v>
      </c>
      <c r="BE235" s="9" t="n">
        <v>45779</v>
      </c>
      <c r="BJ235" s="5" t="n">
        <v>2021</v>
      </c>
      <c r="BK235" s="11" t="n">
        <v>36526</v>
      </c>
    </row>
    <row r="236" customFormat="false" ht="16.5" hidden="false" customHeight="true" outlineLevel="0" collapsed="false">
      <c r="A236" s="5" t="s">
        <v>1330</v>
      </c>
      <c r="B236" s="5" t="s">
        <v>1331</v>
      </c>
      <c r="C236" s="5"/>
      <c r="D236" s="5" t="s">
        <v>62</v>
      </c>
      <c r="E236" s="16" t="n">
        <v>327722</v>
      </c>
      <c r="F236" s="16" t="n">
        <v>327722</v>
      </c>
      <c r="G236" s="5" t="s">
        <v>132</v>
      </c>
      <c r="H236" s="6" t="n">
        <v>416673</v>
      </c>
      <c r="I236" s="6" t="n">
        <v>416673</v>
      </c>
      <c r="J236" s="7" t="n">
        <f aca="false">E236*1.19</f>
        <v>389989.18</v>
      </c>
      <c r="K236" s="7" t="n">
        <f aca="false">F236*1.19</f>
        <v>389989.18</v>
      </c>
      <c r="L236" s="5" t="s">
        <v>84</v>
      </c>
      <c r="M236" s="5" t="s">
        <v>65</v>
      </c>
      <c r="N236" s="8" t="s">
        <v>1332</v>
      </c>
      <c r="O236" s="5" t="s">
        <v>1333</v>
      </c>
      <c r="P236" s="5"/>
      <c r="Q236" s="5"/>
      <c r="R236" s="5" t="s">
        <v>1334</v>
      </c>
      <c r="T236" s="5" t="s">
        <v>1335</v>
      </c>
      <c r="U236" s="5" t="s">
        <v>70</v>
      </c>
      <c r="V236" s="5" t="s">
        <v>1172</v>
      </c>
      <c r="W236" s="5" t="s">
        <v>102</v>
      </c>
      <c r="X236" s="5" t="s">
        <v>139</v>
      </c>
      <c r="Y236" s="5" t="s">
        <v>73</v>
      </c>
      <c r="Z236" s="5" t="s">
        <v>70</v>
      </c>
      <c r="AE236" s="5" t="s">
        <v>117</v>
      </c>
      <c r="AI236" s="9" t="n">
        <v>44774</v>
      </c>
      <c r="AJ236" s="5" t="n">
        <v>1</v>
      </c>
      <c r="AK236" s="5" t="s">
        <v>75</v>
      </c>
      <c r="AL236" s="5" t="n">
        <v>416673</v>
      </c>
      <c r="AM236" s="5" t="s">
        <v>140</v>
      </c>
      <c r="AN236" s="5" t="s">
        <v>699</v>
      </c>
      <c r="AQ236" s="5" t="s">
        <v>77</v>
      </c>
      <c r="AR236" s="5" t="s">
        <v>143</v>
      </c>
      <c r="AS236" s="5" t="s">
        <v>73</v>
      </c>
      <c r="AT236" s="5" t="s">
        <v>105</v>
      </c>
      <c r="AU236" s="10" t="s">
        <v>186</v>
      </c>
      <c r="AW236" s="5" t="s">
        <v>94</v>
      </c>
      <c r="AX236" s="10" t="str">
        <f aca="false">IFERROR(INDEX('full database 2024'!ar:ar, MATCH(A236, 'full database 2024'!b:b, 0)), "")</f>
        <v/>
      </c>
      <c r="AZ236" s="5" t="s">
        <v>540</v>
      </c>
      <c r="BD236" s="9" t="n">
        <v>45100</v>
      </c>
      <c r="BE236" s="9" t="n">
        <v>45779</v>
      </c>
      <c r="BI236" s="5" t="s">
        <v>81</v>
      </c>
      <c r="BJ236" s="5" t="n">
        <v>2022</v>
      </c>
      <c r="BK236" s="11" t="n">
        <v>44934</v>
      </c>
    </row>
    <row r="237" customFormat="false" ht="16.5" hidden="false" customHeight="true" outlineLevel="0" collapsed="false">
      <c r="A237" s="5" t="s">
        <v>967</v>
      </c>
      <c r="B237" s="5"/>
      <c r="C237" s="5"/>
      <c r="D237" s="5" t="s">
        <v>62</v>
      </c>
      <c r="E237" s="5" t="n">
        <v>325820</v>
      </c>
      <c r="F237" s="5" t="n">
        <v>325820</v>
      </c>
      <c r="G237" s="5" t="s">
        <v>147</v>
      </c>
      <c r="H237" s="6" t="n">
        <v>355144</v>
      </c>
      <c r="I237" s="6" t="n">
        <v>355144</v>
      </c>
      <c r="J237" s="7" t="n">
        <v>325820</v>
      </c>
      <c r="K237" s="7" t="n">
        <v>325820</v>
      </c>
      <c r="L237" s="5" t="s">
        <v>84</v>
      </c>
      <c r="M237" s="5" t="s">
        <v>65</v>
      </c>
      <c r="N237" s="5"/>
      <c r="O237" s="5"/>
      <c r="P237" s="5"/>
      <c r="Q237" s="5"/>
      <c r="R237" s="5"/>
      <c r="T237" s="5"/>
      <c r="U237" s="5"/>
      <c r="V237" s="5" t="s">
        <v>1336</v>
      </c>
      <c r="W237" s="5"/>
      <c r="X237" s="5" t="s">
        <v>151</v>
      </c>
      <c r="Y237" s="5" t="s">
        <v>73</v>
      </c>
      <c r="Z237" s="5"/>
      <c r="AE237" s="5"/>
      <c r="AI237" s="9"/>
      <c r="AJ237" s="5"/>
      <c r="AK237" s="5"/>
      <c r="AL237" s="5" t="n">
        <v>355144</v>
      </c>
      <c r="AM237" s="5" t="s">
        <v>153</v>
      </c>
      <c r="AN237" s="5"/>
      <c r="AQ237" s="5" t="s">
        <v>77</v>
      </c>
      <c r="AR237" s="5" t="s">
        <v>151</v>
      </c>
      <c r="AS237" s="5" t="s">
        <v>73</v>
      </c>
      <c r="AT237" s="5" t="s">
        <v>78</v>
      </c>
      <c r="AW237" s="5" t="s">
        <v>969</v>
      </c>
      <c r="AX237" s="10" t="str">
        <f aca="false">IFERROR(INDEX('full database 2024'!ar:ar, MATCH(A237, 'full database 2024'!b:b, 0)), "")</f>
        <v/>
      </c>
      <c r="AZ237" s="5" t="s">
        <v>309</v>
      </c>
      <c r="BD237" s="9" t="n">
        <v>45596</v>
      </c>
      <c r="BE237" s="9" t="n">
        <v>45596</v>
      </c>
      <c r="BI237" s="5"/>
      <c r="BJ237" s="5" t="n">
        <v>2023</v>
      </c>
      <c r="BK237" s="11"/>
    </row>
    <row r="238" customFormat="false" ht="16.5" hidden="false" customHeight="true" outlineLevel="0" collapsed="false">
      <c r="A238" s="5" t="s">
        <v>1337</v>
      </c>
      <c r="C238" s="5"/>
      <c r="D238" s="5" t="s">
        <v>62</v>
      </c>
      <c r="E238" s="5" t="n">
        <v>322078</v>
      </c>
      <c r="F238" s="5" t="n">
        <v>322078</v>
      </c>
      <c r="G238" s="5" t="s">
        <v>147</v>
      </c>
      <c r="H238" s="6" t="n">
        <v>351066</v>
      </c>
      <c r="I238" s="6" t="n">
        <v>351066</v>
      </c>
      <c r="J238" s="7" t="n">
        <v>322078</v>
      </c>
      <c r="K238" s="7" t="n">
        <v>322078</v>
      </c>
      <c r="L238" s="5" t="s">
        <v>84</v>
      </c>
      <c r="M238" s="5" t="s">
        <v>65</v>
      </c>
      <c r="V238" s="5" t="s">
        <v>1338</v>
      </c>
      <c r="X238" s="5"/>
      <c r="Y238" s="5" t="s">
        <v>73</v>
      </c>
      <c r="AI238" s="9" t="n">
        <v>45170</v>
      </c>
      <c r="AL238" s="5" t="n">
        <v>351066</v>
      </c>
      <c r="AM238" s="5" t="s">
        <v>153</v>
      </c>
      <c r="AN238" s="5"/>
      <c r="AQ238" s="5" t="s">
        <v>77</v>
      </c>
      <c r="AR238" s="5" t="s">
        <v>151</v>
      </c>
      <c r="AS238" s="5" t="s">
        <v>73</v>
      </c>
      <c r="AT238" s="5" t="s">
        <v>105</v>
      </c>
      <c r="AU238" s="10" t="s">
        <v>186</v>
      </c>
      <c r="AW238" s="5" t="s">
        <v>94</v>
      </c>
      <c r="AX238" s="10" t="str">
        <f aca="false">IFERROR(INDEX('full database 2024'!ar:ar, MATCH(A238, 'full database 2024'!b:b, 0)), "")</f>
        <v/>
      </c>
      <c r="AZ238" s="5" t="s">
        <v>188</v>
      </c>
      <c r="BD238" s="9" t="n">
        <v>45596</v>
      </c>
      <c r="BE238" s="9" t="n">
        <v>45596</v>
      </c>
      <c r="BJ238" s="5" t="n">
        <v>2023</v>
      </c>
    </row>
    <row r="239" customFormat="false" ht="16.5" hidden="false" customHeight="true" outlineLevel="0" collapsed="false">
      <c r="A239" s="5" t="s">
        <v>1339</v>
      </c>
      <c r="C239" s="5"/>
      <c r="D239" s="5" t="s">
        <v>62</v>
      </c>
      <c r="E239" s="5" t="n">
        <v>319887</v>
      </c>
      <c r="F239" s="5" t="n">
        <v>319887</v>
      </c>
      <c r="G239" s="5" t="s">
        <v>147</v>
      </c>
      <c r="H239" s="6" t="n">
        <v>348677</v>
      </c>
      <c r="I239" s="6" t="n">
        <v>348677</v>
      </c>
      <c r="J239" s="7" t="n">
        <v>319887</v>
      </c>
      <c r="K239" s="7" t="n">
        <v>319887</v>
      </c>
      <c r="L239" s="5" t="s">
        <v>84</v>
      </c>
      <c r="M239" s="5" t="s">
        <v>65</v>
      </c>
      <c r="V239" s="5" t="s">
        <v>1003</v>
      </c>
      <c r="Y239" s="5" t="s">
        <v>73</v>
      </c>
      <c r="AI239" s="9" t="n">
        <v>44929</v>
      </c>
      <c r="AL239" s="5" t="n">
        <v>348677</v>
      </c>
      <c r="AM239" s="5" t="s">
        <v>153</v>
      </c>
      <c r="AN239" s="5"/>
      <c r="AQ239" s="5" t="s">
        <v>77</v>
      </c>
      <c r="AR239" s="5" t="s">
        <v>151</v>
      </c>
      <c r="AS239" s="5" t="s">
        <v>73</v>
      </c>
      <c r="AT239" s="5" t="s">
        <v>78</v>
      </c>
      <c r="AW239" s="5" t="s">
        <v>94</v>
      </c>
      <c r="AX239" s="10" t="str">
        <f aca="false">IFERROR(INDEX('full database 2024'!ar:ar, MATCH(A239, 'full database 2024'!b:b, 0)), "")</f>
        <v/>
      </c>
      <c r="AZ239" s="5" t="s">
        <v>309</v>
      </c>
      <c r="BD239" s="9" t="n">
        <v>45596</v>
      </c>
      <c r="BE239" s="9" t="n">
        <v>45596</v>
      </c>
      <c r="BJ239" s="5" t="n">
        <v>2023</v>
      </c>
    </row>
    <row r="240" customFormat="false" ht="16.5" hidden="false" customHeight="true" outlineLevel="0" collapsed="false">
      <c r="A240" s="5" t="s">
        <v>1340</v>
      </c>
      <c r="C240" s="5"/>
      <c r="D240" s="5" t="s">
        <v>62</v>
      </c>
      <c r="E240" s="5" t="n">
        <v>319051</v>
      </c>
      <c r="F240" s="5" t="n">
        <v>319051</v>
      </c>
      <c r="G240" s="5" t="s">
        <v>147</v>
      </c>
      <c r="H240" s="6" t="n">
        <v>344575</v>
      </c>
      <c r="I240" s="6" t="n">
        <v>344575</v>
      </c>
      <c r="J240" s="7" t="n">
        <v>319051</v>
      </c>
      <c r="K240" s="7" t="n">
        <v>319051</v>
      </c>
      <c r="L240" s="5" t="s">
        <v>84</v>
      </c>
      <c r="M240" s="5" t="s">
        <v>65</v>
      </c>
      <c r="U240" s="5" t="s">
        <v>1341</v>
      </c>
      <c r="V240" s="5" t="s">
        <v>1342</v>
      </c>
      <c r="X240" s="5" t="s">
        <v>151</v>
      </c>
      <c r="Y240" s="5" t="s">
        <v>73</v>
      </c>
      <c r="AI240" s="9" t="n">
        <v>44930</v>
      </c>
      <c r="AL240" s="5" t="n">
        <v>344575</v>
      </c>
      <c r="AM240" s="5" t="s">
        <v>821</v>
      </c>
      <c r="AN240" s="5"/>
      <c r="AQ240" s="5" t="s">
        <v>77</v>
      </c>
      <c r="AR240" s="5" t="s">
        <v>151</v>
      </c>
      <c r="AS240" s="5" t="s">
        <v>73</v>
      </c>
      <c r="AT240" s="5" t="s">
        <v>78</v>
      </c>
      <c r="AW240" s="5" t="s">
        <v>94</v>
      </c>
      <c r="AX240" s="10" t="str">
        <f aca="false">IFERROR(INDEX('full database 2024'!ar:ar, MATCH(A240, 'full database 2024'!b:b, 0)), "")</f>
        <v/>
      </c>
      <c r="AZ240" s="5" t="s">
        <v>309</v>
      </c>
      <c r="BD240" s="9" t="n">
        <v>45596</v>
      </c>
      <c r="BE240" s="9" t="n">
        <v>45596</v>
      </c>
      <c r="BJ240" s="5" t="n">
        <v>2023</v>
      </c>
      <c r="BK240" s="11" t="n">
        <v>36526</v>
      </c>
    </row>
    <row r="241" customFormat="false" ht="16.5" hidden="false" customHeight="true" outlineLevel="0" collapsed="false">
      <c r="A241" s="5" t="s">
        <v>1343</v>
      </c>
      <c r="C241" s="5"/>
      <c r="D241" s="5" t="s">
        <v>62</v>
      </c>
      <c r="E241" s="5" t="n">
        <v>318427</v>
      </c>
      <c r="F241" s="5" t="n">
        <v>318427</v>
      </c>
      <c r="G241" s="5" t="s">
        <v>147</v>
      </c>
      <c r="H241" s="6" t="n">
        <v>347085</v>
      </c>
      <c r="I241" s="6" t="n">
        <v>347085</v>
      </c>
      <c r="J241" s="7" t="n">
        <v>318427</v>
      </c>
      <c r="K241" s="7" t="n">
        <v>318427</v>
      </c>
      <c r="L241" s="5" t="s">
        <v>84</v>
      </c>
      <c r="M241" s="5" t="s">
        <v>65</v>
      </c>
      <c r="N241" s="8" t="s">
        <v>1344</v>
      </c>
      <c r="U241" s="5"/>
      <c r="V241" s="5" t="s">
        <v>911</v>
      </c>
      <c r="X241" s="5" t="s">
        <v>151</v>
      </c>
      <c r="Y241" s="5" t="s">
        <v>73</v>
      </c>
      <c r="AI241" s="9" t="n">
        <v>45383</v>
      </c>
      <c r="AL241" s="5" t="n">
        <v>347085</v>
      </c>
      <c r="AM241" s="5" t="s">
        <v>153</v>
      </c>
      <c r="AN241" s="5"/>
      <c r="AQ241" s="5" t="s">
        <v>77</v>
      </c>
      <c r="AR241" s="5" t="s">
        <v>151</v>
      </c>
      <c r="AS241" s="5" t="s">
        <v>73</v>
      </c>
      <c r="AT241" s="5" t="s">
        <v>78</v>
      </c>
      <c r="AW241" s="5" t="s">
        <v>94</v>
      </c>
      <c r="AX241" s="10" t="str">
        <f aca="false">IFERROR(INDEX('full database 2024'!ar:ar, MATCH(A241, 'full database 2024'!b:b, 0)), "")</f>
        <v/>
      </c>
      <c r="AZ241" s="5" t="s">
        <v>129</v>
      </c>
      <c r="BD241" s="9" t="n">
        <v>45596</v>
      </c>
      <c r="BE241" s="9" t="n">
        <v>45779</v>
      </c>
      <c r="BJ241" s="5" t="n">
        <v>2024</v>
      </c>
      <c r="BK241" s="5" t="s">
        <v>1345</v>
      </c>
    </row>
    <row r="242" customFormat="false" ht="16.5" hidden="false" customHeight="true" outlineLevel="0" collapsed="false">
      <c r="A242" s="5" t="s">
        <v>1346</v>
      </c>
      <c r="C242" s="5"/>
      <c r="D242" s="5" t="s">
        <v>62</v>
      </c>
      <c r="E242" s="5" t="n">
        <v>316922</v>
      </c>
      <c r="F242" s="5" t="n">
        <v>316922</v>
      </c>
      <c r="G242" s="5" t="s">
        <v>147</v>
      </c>
      <c r="H242" s="6" t="n">
        <v>345445</v>
      </c>
      <c r="I242" s="6" t="n">
        <v>345445</v>
      </c>
      <c r="J242" s="7" t="n">
        <v>316922</v>
      </c>
      <c r="K242" s="7" t="n">
        <v>316922</v>
      </c>
      <c r="L242" s="5" t="s">
        <v>84</v>
      </c>
      <c r="M242" s="5" t="s">
        <v>65</v>
      </c>
      <c r="N242" s="8" t="s">
        <v>1347</v>
      </c>
      <c r="V242" s="5" t="s">
        <v>911</v>
      </c>
      <c r="X242" s="5" t="s">
        <v>151</v>
      </c>
      <c r="Y242" s="5" t="s">
        <v>73</v>
      </c>
      <c r="AI242" s="9" t="n">
        <v>45200</v>
      </c>
      <c r="AL242" s="5" t="n">
        <v>345445</v>
      </c>
      <c r="AM242" s="5" t="s">
        <v>153</v>
      </c>
      <c r="AN242" s="5"/>
      <c r="AQ242" s="5" t="s">
        <v>77</v>
      </c>
      <c r="AR242" s="5" t="s">
        <v>151</v>
      </c>
      <c r="AS242" s="5" t="s">
        <v>73</v>
      </c>
      <c r="AT242" s="5" t="s">
        <v>78</v>
      </c>
      <c r="AW242" s="5" t="s">
        <v>94</v>
      </c>
      <c r="AX242" s="10" t="str">
        <f aca="false">IFERROR(INDEX('full database 2024'!ar:ar, MATCH(A242, 'full database 2024'!b:b, 0)), "")</f>
        <v/>
      </c>
      <c r="AZ242" s="5" t="s">
        <v>129</v>
      </c>
      <c r="BD242" s="9" t="n">
        <v>45596</v>
      </c>
      <c r="BE242" s="9" t="n">
        <v>45779</v>
      </c>
      <c r="BJ242" s="5" t="n">
        <v>2023</v>
      </c>
      <c r="BK242" s="5" t="s">
        <v>1070</v>
      </c>
    </row>
    <row r="243" customFormat="false" ht="16.5" hidden="false" customHeight="true" outlineLevel="0" collapsed="false">
      <c r="A243" s="5" t="s">
        <v>967</v>
      </c>
      <c r="C243" s="5"/>
      <c r="D243" s="5" t="s">
        <v>62</v>
      </c>
      <c r="E243" s="5" t="n">
        <v>315503</v>
      </c>
      <c r="F243" s="5" t="n">
        <v>315503</v>
      </c>
      <c r="G243" s="5" t="s">
        <v>147</v>
      </c>
      <c r="H243" s="6" t="n">
        <v>343898</v>
      </c>
      <c r="I243" s="6" t="n">
        <v>343898</v>
      </c>
      <c r="J243" s="7" t="n">
        <v>315503</v>
      </c>
      <c r="K243" s="7" t="n">
        <v>315503</v>
      </c>
      <c r="L243" s="5" t="s">
        <v>84</v>
      </c>
      <c r="M243" s="5" t="s">
        <v>65</v>
      </c>
      <c r="N243" s="5"/>
      <c r="V243" s="5" t="s">
        <v>1348</v>
      </c>
      <c r="X243" s="5" t="s">
        <v>151</v>
      </c>
      <c r="Y243" s="5" t="s">
        <v>73</v>
      </c>
      <c r="AI243" s="9" t="n">
        <v>44562</v>
      </c>
      <c r="AL243" s="5" t="n">
        <v>343898</v>
      </c>
      <c r="AM243" s="5" t="s">
        <v>153</v>
      </c>
      <c r="AN243" s="5"/>
      <c r="AQ243" s="5" t="s">
        <v>77</v>
      </c>
      <c r="AR243" s="5" t="s">
        <v>151</v>
      </c>
      <c r="AS243" s="5" t="s">
        <v>73</v>
      </c>
      <c r="AT243" s="5" t="s">
        <v>78</v>
      </c>
      <c r="AW243" s="5" t="s">
        <v>969</v>
      </c>
      <c r="AX243" s="10" t="str">
        <f aca="false">IFERROR(INDEX('full database 2024'!ar:ar, MATCH(A243, 'full database 2024'!b:b, 0)), "")</f>
        <v/>
      </c>
      <c r="AZ243" s="5" t="s">
        <v>309</v>
      </c>
      <c r="BD243" s="9" t="n">
        <v>45596</v>
      </c>
      <c r="BE243" s="9" t="n">
        <v>45596</v>
      </c>
      <c r="BJ243" s="5" t="n">
        <v>2022</v>
      </c>
      <c r="BK243" s="5"/>
    </row>
    <row r="244" customFormat="false" ht="16.5" hidden="false" customHeight="true" outlineLevel="0" collapsed="false">
      <c r="A244" s="5" t="s">
        <v>1349</v>
      </c>
      <c r="C244" s="5"/>
      <c r="D244" s="5" t="s">
        <v>62</v>
      </c>
      <c r="E244" s="5" t="n">
        <v>312020</v>
      </c>
      <c r="F244" s="5" t="n">
        <v>312020</v>
      </c>
      <c r="G244" s="5" t="s">
        <v>147</v>
      </c>
      <c r="H244" s="6" t="n">
        <v>340102</v>
      </c>
      <c r="I244" s="6" t="n">
        <v>340102</v>
      </c>
      <c r="J244" s="7" t="n">
        <v>312020</v>
      </c>
      <c r="K244" s="7" t="n">
        <v>312020</v>
      </c>
      <c r="L244" s="5" t="s">
        <v>84</v>
      </c>
      <c r="M244" s="5" t="s">
        <v>65</v>
      </c>
      <c r="V244" s="5" t="s">
        <v>1350</v>
      </c>
      <c r="X244" s="5" t="s">
        <v>151</v>
      </c>
      <c r="Y244" s="5" t="s">
        <v>73</v>
      </c>
      <c r="AI244" s="9" t="n">
        <v>44866</v>
      </c>
      <c r="AL244" s="5" t="n">
        <v>340102</v>
      </c>
      <c r="AM244" s="5" t="s">
        <v>821</v>
      </c>
      <c r="AN244" s="5"/>
      <c r="AQ244" s="5" t="s">
        <v>77</v>
      </c>
      <c r="AR244" s="5" t="s">
        <v>151</v>
      </c>
      <c r="AS244" s="5" t="s">
        <v>73</v>
      </c>
      <c r="AT244" s="5" t="s">
        <v>78</v>
      </c>
      <c r="AU244" s="10" t="s">
        <v>259</v>
      </c>
      <c r="AW244" s="5" t="s">
        <v>94</v>
      </c>
      <c r="AX244" s="10" t="str">
        <f aca="false">IFERROR(INDEX('full database 2024'!ar:ar, MATCH(A244, 'full database 2024'!b:b, 0)), "")</f>
        <v/>
      </c>
      <c r="AY244" s="5" t="s">
        <v>501</v>
      </c>
      <c r="AZ244" s="5" t="s">
        <v>540</v>
      </c>
      <c r="BD244" s="9" t="n">
        <v>45596</v>
      </c>
      <c r="BE244" s="9" t="n">
        <v>45596</v>
      </c>
      <c r="BJ244" s="5" t="n">
        <v>2022</v>
      </c>
    </row>
    <row r="245" customFormat="false" ht="16.5" hidden="false" customHeight="true" outlineLevel="0" collapsed="false">
      <c r="A245" s="5" t="s">
        <v>1351</v>
      </c>
      <c r="C245" s="5"/>
      <c r="D245" s="5" t="s">
        <v>62</v>
      </c>
      <c r="E245" s="5" t="n">
        <v>309684</v>
      </c>
      <c r="F245" s="5" t="n">
        <v>309684</v>
      </c>
      <c r="G245" s="5" t="s">
        <v>147</v>
      </c>
      <c r="H245" s="6" t="n">
        <v>337556</v>
      </c>
      <c r="I245" s="6" t="n">
        <v>337556</v>
      </c>
      <c r="J245" s="7" t="n">
        <v>309684</v>
      </c>
      <c r="K245" s="7" t="n">
        <v>309684</v>
      </c>
      <c r="L245" s="5" t="s">
        <v>84</v>
      </c>
      <c r="M245" s="5" t="s">
        <v>65</v>
      </c>
      <c r="V245" s="5" t="s">
        <v>1257</v>
      </c>
      <c r="X245" s="5"/>
      <c r="Y245" s="5" t="s">
        <v>73</v>
      </c>
      <c r="AI245" s="9" t="n">
        <v>44562</v>
      </c>
      <c r="AL245" s="5" t="n">
        <v>337556</v>
      </c>
      <c r="AM245" s="5" t="s">
        <v>924</v>
      </c>
      <c r="AN245" s="5"/>
      <c r="AQ245" s="5" t="s">
        <v>77</v>
      </c>
      <c r="AR245" s="5" t="s">
        <v>151</v>
      </c>
      <c r="AS245" s="5" t="s">
        <v>73</v>
      </c>
      <c r="AT245" s="5" t="s">
        <v>78</v>
      </c>
      <c r="AW245" s="5" t="s">
        <v>94</v>
      </c>
      <c r="AX245" s="10" t="str">
        <f aca="false">IFERROR(INDEX('full database 2024'!ar:ar, MATCH(A245, 'full database 2024'!b:b, 0)), "")</f>
        <v/>
      </c>
      <c r="AZ245" s="5" t="s">
        <v>396</v>
      </c>
      <c r="BD245" s="9" t="n">
        <v>45596</v>
      </c>
      <c r="BE245" s="9" t="n">
        <v>45596</v>
      </c>
      <c r="BJ245" s="5" t="n">
        <v>2022</v>
      </c>
    </row>
    <row r="246" customFormat="false" ht="16.5" hidden="false" customHeight="true" outlineLevel="0" collapsed="false">
      <c r="A246" s="5" t="s">
        <v>1352</v>
      </c>
      <c r="C246" s="5"/>
      <c r="D246" s="5" t="s">
        <v>62</v>
      </c>
      <c r="E246" s="5" t="n">
        <v>308822</v>
      </c>
      <c r="F246" s="5" t="n">
        <v>308822</v>
      </c>
      <c r="G246" s="5" t="s">
        <v>147</v>
      </c>
      <c r="H246" s="6" t="n">
        <v>333528</v>
      </c>
      <c r="I246" s="6" t="n">
        <v>333528</v>
      </c>
      <c r="J246" s="7" t="n">
        <v>308822</v>
      </c>
      <c r="K246" s="7" t="n">
        <v>308822</v>
      </c>
      <c r="L246" s="5" t="s">
        <v>84</v>
      </c>
      <c r="M246" s="5" t="s">
        <v>65</v>
      </c>
      <c r="V246" s="5" t="s">
        <v>1353</v>
      </c>
      <c r="X246" s="5" t="s">
        <v>151</v>
      </c>
      <c r="Y246" s="5" t="s">
        <v>73</v>
      </c>
      <c r="AI246" s="9" t="n">
        <v>44930</v>
      </c>
      <c r="AL246" s="5" t="n">
        <v>333528</v>
      </c>
      <c r="AM246" s="5" t="s">
        <v>821</v>
      </c>
      <c r="AN246" s="5"/>
      <c r="AQ246" s="5" t="s">
        <v>77</v>
      </c>
      <c r="AR246" s="5" t="s">
        <v>151</v>
      </c>
      <c r="AS246" s="5" t="s">
        <v>73</v>
      </c>
      <c r="AT246" s="5" t="s">
        <v>78</v>
      </c>
      <c r="AW246" s="5" t="s">
        <v>94</v>
      </c>
      <c r="AX246" s="10" t="str">
        <f aca="false">IFERROR(INDEX('full database 2024'!ar:ar, MATCH(A246, 'full database 2024'!b:b, 0)), "")</f>
        <v/>
      </c>
      <c r="AZ246" s="5" t="s">
        <v>309</v>
      </c>
      <c r="BD246" s="9" t="n">
        <v>45596</v>
      </c>
      <c r="BE246" s="9" t="n">
        <v>45596</v>
      </c>
      <c r="BJ246" s="5" t="n">
        <v>2023</v>
      </c>
      <c r="BK246" s="11" t="n">
        <v>36526</v>
      </c>
    </row>
    <row r="247" customFormat="false" ht="16.5" hidden="false" customHeight="true" outlineLevel="0" collapsed="false">
      <c r="A247" s="5" t="s">
        <v>1354</v>
      </c>
      <c r="C247" s="5"/>
      <c r="D247" s="5" t="s">
        <v>62</v>
      </c>
      <c r="E247" s="16" t="n">
        <v>305700</v>
      </c>
      <c r="F247" s="16" t="n">
        <v>244599</v>
      </c>
      <c r="G247" s="5" t="s">
        <v>132</v>
      </c>
      <c r="H247" s="6" t="n">
        <v>320985</v>
      </c>
      <c r="I247" s="6" t="n">
        <v>256829</v>
      </c>
      <c r="J247" s="7" t="n">
        <f aca="false">E247*1.19</f>
        <v>363783</v>
      </c>
      <c r="K247" s="7" t="n">
        <f aca="false">F247*1.19</f>
        <v>291072.81</v>
      </c>
      <c r="L247" s="5" t="s">
        <v>84</v>
      </c>
      <c r="M247" s="5" t="s">
        <v>65</v>
      </c>
      <c r="N247" s="8" t="s">
        <v>1355</v>
      </c>
      <c r="P247" s="5"/>
      <c r="Q247" s="5"/>
      <c r="R247" s="5" t="s">
        <v>670</v>
      </c>
      <c r="T247" s="5" t="s">
        <v>1356</v>
      </c>
      <c r="V247" s="5" t="s">
        <v>847</v>
      </c>
      <c r="W247" s="5" t="s">
        <v>102</v>
      </c>
      <c r="X247" s="5" t="s">
        <v>139</v>
      </c>
      <c r="Y247" s="5" t="s">
        <v>73</v>
      </c>
      <c r="AE247" s="5" t="s">
        <v>117</v>
      </c>
      <c r="AI247" s="9" t="n">
        <v>44562</v>
      </c>
      <c r="AJ247" s="5" t="n">
        <v>3</v>
      </c>
      <c r="AK247" s="5" t="s">
        <v>75</v>
      </c>
      <c r="AL247" s="5" t="n">
        <v>106995</v>
      </c>
      <c r="AM247" s="5" t="s">
        <v>140</v>
      </c>
      <c r="AN247" s="5" t="s">
        <v>699</v>
      </c>
      <c r="AQ247" s="5" t="s">
        <v>77</v>
      </c>
      <c r="AR247" s="5" t="s">
        <v>143</v>
      </c>
      <c r="AS247" s="5" t="s">
        <v>73</v>
      </c>
      <c r="AT247" s="5" t="s">
        <v>374</v>
      </c>
      <c r="AW247" s="5" t="s">
        <v>94</v>
      </c>
      <c r="AX247" s="10" t="str">
        <f aca="false">IFERROR(INDEX('full database 2024'!ar:ar, MATCH(A247, 'full database 2024'!b:b, 0)), "")</f>
        <v/>
      </c>
      <c r="AZ247" s="5" t="s">
        <v>188</v>
      </c>
      <c r="BD247" s="9" t="n">
        <v>45377</v>
      </c>
      <c r="BE247" s="9" t="n">
        <v>45779</v>
      </c>
      <c r="BI247" s="5" t="s">
        <v>81</v>
      </c>
      <c r="BJ247" s="5" t="n">
        <v>2022</v>
      </c>
      <c r="BK247" s="11"/>
    </row>
    <row r="248" customFormat="false" ht="16.5" hidden="false" customHeight="true" outlineLevel="0" collapsed="false">
      <c r="A248" s="5" t="s">
        <v>1357</v>
      </c>
      <c r="C248" s="5"/>
      <c r="D248" s="5" t="s">
        <v>62</v>
      </c>
      <c r="E248" s="5" t="n">
        <v>305564</v>
      </c>
      <c r="F248" s="5" t="n">
        <v>305564</v>
      </c>
      <c r="G248" s="5" t="s">
        <v>147</v>
      </c>
      <c r="H248" s="6" t="n">
        <v>333064</v>
      </c>
      <c r="I248" s="6" t="n">
        <v>333064</v>
      </c>
      <c r="J248" s="7" t="n">
        <v>305564</v>
      </c>
      <c r="K248" s="7" t="n">
        <v>305564</v>
      </c>
      <c r="L248" s="5" t="s">
        <v>84</v>
      </c>
      <c r="M248" s="5" t="s">
        <v>65</v>
      </c>
      <c r="N248" s="5"/>
      <c r="P248" s="5"/>
      <c r="Q248" s="5"/>
      <c r="R248" s="5"/>
      <c r="T248" s="5"/>
      <c r="V248" s="5" t="s">
        <v>1358</v>
      </c>
      <c r="W248" s="5"/>
      <c r="X248" s="5"/>
      <c r="Y248" s="5" t="s">
        <v>73</v>
      </c>
      <c r="AE248" s="5"/>
      <c r="AI248" s="9" t="n">
        <v>45108</v>
      </c>
      <c r="AJ248" s="5"/>
      <c r="AK248" s="5"/>
      <c r="AL248" s="5" t="n">
        <v>333064</v>
      </c>
      <c r="AM248" s="5" t="s">
        <v>1359</v>
      </c>
      <c r="AN248" s="5"/>
      <c r="AQ248" s="5" t="s">
        <v>77</v>
      </c>
      <c r="AR248" s="5" t="s">
        <v>151</v>
      </c>
      <c r="AS248" s="5" t="s">
        <v>73</v>
      </c>
      <c r="AT248" s="5" t="s">
        <v>78</v>
      </c>
      <c r="AW248" s="5" t="s">
        <v>94</v>
      </c>
      <c r="AX248" s="10" t="str">
        <f aca="false">IFERROR(INDEX('full database 2024'!ar:ar, MATCH(A248, 'full database 2024'!b:b, 0)), "")</f>
        <v/>
      </c>
      <c r="AZ248" s="5" t="s">
        <v>129</v>
      </c>
      <c r="BD248" s="9" t="n">
        <v>45596</v>
      </c>
      <c r="BE248" s="9" t="n">
        <v>45596</v>
      </c>
      <c r="BI248" s="5"/>
      <c r="BJ248" s="5" t="n">
        <v>2023</v>
      </c>
    </row>
    <row r="249" customFormat="false" ht="16.5" hidden="false" customHeight="true" outlineLevel="0" collapsed="false">
      <c r="A249" s="5" t="s">
        <v>1360</v>
      </c>
      <c r="C249" s="5"/>
      <c r="D249" s="5" t="s">
        <v>62</v>
      </c>
      <c r="E249" s="5" t="n">
        <v>301421</v>
      </c>
      <c r="F249" s="5" t="n">
        <v>301421</v>
      </c>
      <c r="G249" s="5" t="s">
        <v>147</v>
      </c>
      <c r="H249" s="6" t="n">
        <v>328548</v>
      </c>
      <c r="I249" s="6" t="n">
        <v>328548</v>
      </c>
      <c r="J249" s="7" t="n">
        <v>301421</v>
      </c>
      <c r="K249" s="7" t="n">
        <v>301421</v>
      </c>
      <c r="L249" s="5" t="s">
        <v>84</v>
      </c>
      <c r="M249" s="5" t="s">
        <v>65</v>
      </c>
      <c r="V249" s="5" t="s">
        <v>1324</v>
      </c>
      <c r="Y249" s="5" t="s">
        <v>73</v>
      </c>
      <c r="AI249" s="9" t="n">
        <v>45170</v>
      </c>
      <c r="AL249" s="5" t="n">
        <v>328548</v>
      </c>
      <c r="AM249" s="5" t="s">
        <v>153</v>
      </c>
      <c r="AN249" s="5"/>
      <c r="AQ249" s="5" t="s">
        <v>77</v>
      </c>
      <c r="AR249" s="5" t="s">
        <v>151</v>
      </c>
      <c r="AS249" s="5" t="s">
        <v>73</v>
      </c>
      <c r="AT249" s="5" t="s">
        <v>78</v>
      </c>
      <c r="AU249" s="10" t="s">
        <v>259</v>
      </c>
      <c r="AW249" s="5" t="s">
        <v>94</v>
      </c>
      <c r="AX249" s="10" t="str">
        <f aca="false">IFERROR(INDEX('full database 2024'!ar:ar, MATCH(A249, 'full database 2024'!b:b, 0)), "")</f>
        <v/>
      </c>
      <c r="AZ249" s="5" t="s">
        <v>188</v>
      </c>
      <c r="BD249" s="9" t="n">
        <v>45596</v>
      </c>
      <c r="BE249" s="9" t="n">
        <v>45596</v>
      </c>
      <c r="BJ249" s="5" t="n">
        <v>2023</v>
      </c>
    </row>
    <row r="250" customFormat="false" ht="16.5" hidden="false" customHeight="true" outlineLevel="0" collapsed="false">
      <c r="A250" s="5" t="s">
        <v>1361</v>
      </c>
      <c r="B250" s="5" t="s">
        <v>1362</v>
      </c>
      <c r="C250" s="5"/>
      <c r="D250" s="5" t="s">
        <v>62</v>
      </c>
      <c r="E250" s="5" t="n">
        <v>300000</v>
      </c>
      <c r="F250" s="5" t="n">
        <v>300000</v>
      </c>
      <c r="G250" s="5" t="s">
        <v>212</v>
      </c>
      <c r="H250" s="6" t="n">
        <v>29089</v>
      </c>
      <c r="I250" s="6" t="n">
        <v>29089</v>
      </c>
      <c r="J250" s="7" t="n">
        <f aca="false">E250*0.091</f>
        <v>27300</v>
      </c>
      <c r="K250" s="7" t="n">
        <f aca="false">F250*0.091</f>
        <v>27300</v>
      </c>
      <c r="L250" s="5" t="s">
        <v>84</v>
      </c>
      <c r="M250" s="5" t="s">
        <v>65</v>
      </c>
      <c r="N250" s="8" t="s">
        <v>1363</v>
      </c>
      <c r="O250" s="5" t="s">
        <v>1364</v>
      </c>
      <c r="P250" s="5"/>
      <c r="Q250" s="5"/>
      <c r="R250" s="5" t="s">
        <v>1365</v>
      </c>
      <c r="T250" s="5" t="s">
        <v>813</v>
      </c>
      <c r="U250" s="5" t="s">
        <v>70</v>
      </c>
      <c r="V250" s="5" t="s">
        <v>1366</v>
      </c>
      <c r="W250" s="5" t="s">
        <v>102</v>
      </c>
      <c r="X250" s="5" t="s">
        <v>215</v>
      </c>
      <c r="Y250" s="5" t="s">
        <v>73</v>
      </c>
      <c r="Z250" s="5" t="s">
        <v>70</v>
      </c>
      <c r="AD250" s="5" t="s">
        <v>1367</v>
      </c>
      <c r="AE250" s="5" t="s">
        <v>74</v>
      </c>
      <c r="AI250" s="9" t="n">
        <v>44287</v>
      </c>
      <c r="AJ250" s="5" t="n">
        <v>1</v>
      </c>
      <c r="AK250" s="5" t="s">
        <v>228</v>
      </c>
      <c r="AL250" s="5" t="n">
        <v>29089</v>
      </c>
      <c r="AM250" s="5" t="s">
        <v>489</v>
      </c>
      <c r="AN250" s="5"/>
      <c r="AQ250" s="5" t="s">
        <v>77</v>
      </c>
      <c r="AR250" s="5" t="s">
        <v>215</v>
      </c>
      <c r="AS250" s="5" t="s">
        <v>73</v>
      </c>
      <c r="AT250" s="5" t="s">
        <v>78</v>
      </c>
      <c r="AW250" s="5" t="s">
        <v>94</v>
      </c>
      <c r="AX250" s="10" t="str">
        <f aca="false">IFERROR(INDEX('full database 2024'!ar:ar, MATCH(A250, 'full database 2024'!b:b, 0)), "")</f>
        <v/>
      </c>
      <c r="AZ250" s="5" t="s">
        <v>399</v>
      </c>
      <c r="BD250" s="9" t="n">
        <v>45037</v>
      </c>
      <c r="BE250" s="9" t="n">
        <v>45644</v>
      </c>
      <c r="BI250" s="5" t="s">
        <v>81</v>
      </c>
      <c r="BJ250" s="5" t="n">
        <v>2021</v>
      </c>
      <c r="BK250" s="11" t="n">
        <v>44565</v>
      </c>
    </row>
    <row r="251" customFormat="false" ht="16.5" hidden="false" customHeight="true" outlineLevel="0" collapsed="false">
      <c r="A251" s="5" t="s">
        <v>1368</v>
      </c>
      <c r="B251" s="5" t="s">
        <v>1369</v>
      </c>
      <c r="C251" s="5"/>
      <c r="D251" s="5" t="s">
        <v>62</v>
      </c>
      <c r="E251" s="5" t="n">
        <v>300000</v>
      </c>
      <c r="F251" s="5" t="n">
        <v>300000</v>
      </c>
      <c r="G251" s="5" t="s">
        <v>212</v>
      </c>
      <c r="H251" s="6" t="n">
        <v>28641</v>
      </c>
      <c r="I251" s="6" t="n">
        <v>28641</v>
      </c>
      <c r="J251" s="7" t="n">
        <f aca="false">E251*0.091</f>
        <v>27300</v>
      </c>
      <c r="K251" s="7" t="n">
        <f aca="false">F251*0.091</f>
        <v>27300</v>
      </c>
      <c r="L251" s="5" t="s">
        <v>84</v>
      </c>
      <c r="M251" s="5"/>
      <c r="N251" s="8" t="s">
        <v>1370</v>
      </c>
      <c r="O251" s="5" t="s">
        <v>1371</v>
      </c>
      <c r="P251" s="5"/>
      <c r="Q251" s="5"/>
      <c r="R251" s="5" t="s">
        <v>1365</v>
      </c>
      <c r="T251" s="5" t="s">
        <v>1372</v>
      </c>
      <c r="U251" s="5" t="s">
        <v>70</v>
      </c>
      <c r="V251" s="5" t="s">
        <v>1373</v>
      </c>
      <c r="W251" s="5" t="s">
        <v>102</v>
      </c>
      <c r="X251" s="5" t="s">
        <v>215</v>
      </c>
      <c r="Y251" s="5" t="s">
        <v>73</v>
      </c>
      <c r="Z251" s="5" t="s">
        <v>70</v>
      </c>
      <c r="AD251" s="5"/>
      <c r="AE251" s="5" t="s">
        <v>117</v>
      </c>
      <c r="AI251" s="9" t="n">
        <v>45229</v>
      </c>
      <c r="AJ251" s="5" t="n">
        <v>1</v>
      </c>
      <c r="AK251" s="5" t="s">
        <v>75</v>
      </c>
      <c r="AL251" s="5" t="n">
        <v>28641</v>
      </c>
      <c r="AM251" s="5" t="s">
        <v>489</v>
      </c>
      <c r="AN251" s="5"/>
      <c r="AO251" s="5" t="s">
        <v>230</v>
      </c>
      <c r="AQ251" s="5" t="s">
        <v>77</v>
      </c>
      <c r="AR251" s="5" t="s">
        <v>215</v>
      </c>
      <c r="AS251" s="5" t="s">
        <v>73</v>
      </c>
      <c r="AT251" s="5" t="s">
        <v>374</v>
      </c>
      <c r="AW251" s="5" t="s">
        <v>94</v>
      </c>
      <c r="AX251" s="10" t="str">
        <f aca="false">IFERROR(INDEX('full database 2024'!ar:ar, MATCH(A251, 'full database 2024'!b:b, 0)), "")</f>
        <v/>
      </c>
      <c r="AZ251" s="5" t="s">
        <v>121</v>
      </c>
      <c r="BD251" s="9" t="n">
        <v>45434</v>
      </c>
      <c r="BE251" s="9" t="n">
        <v>45747</v>
      </c>
      <c r="BI251" s="5" t="s">
        <v>81</v>
      </c>
      <c r="BJ251" s="5" t="n">
        <v>2023</v>
      </c>
      <c r="BK251" s="5" t="s">
        <v>1374</v>
      </c>
    </row>
    <row r="252" customFormat="false" ht="16.5" hidden="false" customHeight="true" outlineLevel="0" collapsed="false">
      <c r="A252" s="5" t="s">
        <v>1375</v>
      </c>
      <c r="B252" s="5" t="s">
        <v>1376</v>
      </c>
      <c r="C252" s="5"/>
      <c r="D252" s="5" t="s">
        <v>62</v>
      </c>
      <c r="E252" s="5" t="n">
        <v>300000</v>
      </c>
      <c r="F252" s="5" t="n">
        <v>300000</v>
      </c>
      <c r="G252" s="5" t="s">
        <v>147</v>
      </c>
      <c r="H252" s="6" t="n">
        <v>327925</v>
      </c>
      <c r="I252" s="6" t="n">
        <v>327925</v>
      </c>
      <c r="J252" s="7" t="n">
        <v>300000</v>
      </c>
      <c r="K252" s="7" t="n">
        <v>300000</v>
      </c>
      <c r="L252" s="5" t="s">
        <v>84</v>
      </c>
      <c r="M252" s="5" t="s">
        <v>65</v>
      </c>
      <c r="N252" s="8" t="s">
        <v>1377</v>
      </c>
      <c r="O252" s="5" t="s">
        <v>1378</v>
      </c>
      <c r="P252" s="5"/>
      <c r="Q252" s="5"/>
      <c r="R252" s="5"/>
      <c r="T252" s="5" t="s">
        <v>1379</v>
      </c>
      <c r="U252" s="5"/>
      <c r="V252" s="5" t="s">
        <v>332</v>
      </c>
      <c r="W252" s="5" t="s">
        <v>90</v>
      </c>
      <c r="X252" s="5" t="s">
        <v>333</v>
      </c>
      <c r="Y252" s="5" t="s">
        <v>73</v>
      </c>
      <c r="Z252" s="5"/>
      <c r="AE252" s="5"/>
      <c r="AF252" s="9" t="n">
        <v>45491</v>
      </c>
      <c r="AH252" s="9" t="n">
        <v>45490</v>
      </c>
      <c r="AI252" s="9" t="n">
        <v>45505</v>
      </c>
      <c r="AJ252" s="5" t="n">
        <v>3</v>
      </c>
      <c r="AK252" s="5" t="s">
        <v>152</v>
      </c>
      <c r="AL252" s="5" t="n">
        <v>109308</v>
      </c>
      <c r="AM252" s="5" t="s">
        <v>459</v>
      </c>
      <c r="AN252" s="5"/>
      <c r="AO252" s="5"/>
      <c r="AQ252" s="5" t="s">
        <v>77</v>
      </c>
      <c r="AR252" s="5" t="s">
        <v>333</v>
      </c>
      <c r="AS252" s="5" t="s">
        <v>73</v>
      </c>
      <c r="AT252" s="5" t="s">
        <v>374</v>
      </c>
      <c r="AU252" s="10"/>
      <c r="AW252" s="5" t="s">
        <v>94</v>
      </c>
      <c r="AX252" s="25" t="s">
        <v>218</v>
      </c>
      <c r="AZ252" s="5" t="s">
        <v>239</v>
      </c>
      <c r="BD252" s="9" t="n">
        <v>45491</v>
      </c>
      <c r="BE252" s="9" t="n">
        <v>45667</v>
      </c>
      <c r="BI252" s="5"/>
      <c r="BJ252" s="5" t="n">
        <v>2024</v>
      </c>
      <c r="BK252" s="11" t="n">
        <v>46395</v>
      </c>
    </row>
    <row r="253" customFormat="false" ht="16.5" hidden="false" customHeight="true" outlineLevel="0" collapsed="false">
      <c r="A253" s="5" t="s">
        <v>1380</v>
      </c>
      <c r="B253" s="5"/>
      <c r="C253" s="5"/>
      <c r="D253" s="5" t="s">
        <v>62</v>
      </c>
      <c r="E253" s="5" t="n">
        <v>300000</v>
      </c>
      <c r="F253" s="5" t="n">
        <v>300000</v>
      </c>
      <c r="G253" s="5" t="s">
        <v>212</v>
      </c>
      <c r="H253" s="6" t="n">
        <v>28200</v>
      </c>
      <c r="I253" s="6" t="n">
        <v>28200</v>
      </c>
      <c r="J253" s="7" t="n">
        <f aca="false">E253*0.091</f>
        <v>27300</v>
      </c>
      <c r="K253" s="7" t="n">
        <f aca="false">F253*0.091</f>
        <v>27300</v>
      </c>
      <c r="L253" s="5" t="s">
        <v>84</v>
      </c>
      <c r="M253" s="5" t="s">
        <v>65</v>
      </c>
      <c r="N253" s="5"/>
      <c r="O253" s="5"/>
      <c r="T253" s="5" t="s">
        <v>1381</v>
      </c>
      <c r="V253" s="5" t="s">
        <v>1382</v>
      </c>
      <c r="W253" s="5"/>
      <c r="X253" s="5" t="s">
        <v>215</v>
      </c>
      <c r="Y253" s="5" t="s">
        <v>73</v>
      </c>
      <c r="AF253" s="9"/>
      <c r="AH253" s="9"/>
      <c r="AI253" s="9" t="n">
        <v>45226</v>
      </c>
      <c r="AJ253" s="5" t="n">
        <v>4</v>
      </c>
      <c r="AK253" s="5" t="s">
        <v>216</v>
      </c>
      <c r="AL253" s="5" t="n">
        <v>7050</v>
      </c>
      <c r="AM253" s="5" t="s">
        <v>489</v>
      </c>
      <c r="AN253" s="5"/>
      <c r="AQ253" s="5" t="s">
        <v>77</v>
      </c>
      <c r="AR253" s="5" t="s">
        <v>215</v>
      </c>
      <c r="AS253" s="5" t="s">
        <v>73</v>
      </c>
      <c r="AT253" s="5" t="s">
        <v>78</v>
      </c>
      <c r="AU253" s="10" t="s">
        <v>259</v>
      </c>
      <c r="AW253" s="5" t="s">
        <v>94</v>
      </c>
      <c r="AX253" s="10" t="str">
        <f aca="false">IFERROR(INDEX('full database 2024'!ar:ar, MATCH(A253, 'full database 2024'!b:b, 0)), "")</f>
        <v/>
      </c>
      <c r="AZ253" s="5" t="s">
        <v>129</v>
      </c>
      <c r="BD253" s="9" t="n">
        <v>45596</v>
      </c>
      <c r="BE253" s="9" t="n">
        <v>45596</v>
      </c>
      <c r="BJ253" s="5" t="n">
        <v>2023</v>
      </c>
      <c r="BK253" s="11" t="n">
        <v>36526</v>
      </c>
    </row>
    <row r="254" customFormat="false" ht="16.5" hidden="false" customHeight="true" outlineLevel="0" collapsed="false">
      <c r="A254" s="5" t="s">
        <v>1383</v>
      </c>
      <c r="C254" s="5"/>
      <c r="D254" s="5" t="s">
        <v>62</v>
      </c>
      <c r="E254" s="5" t="n">
        <v>300000</v>
      </c>
      <c r="F254" s="5" t="n">
        <v>300000</v>
      </c>
      <c r="G254" s="5" t="s">
        <v>212</v>
      </c>
      <c r="H254" s="6" t="n">
        <v>28200</v>
      </c>
      <c r="I254" s="6" t="n">
        <v>28200</v>
      </c>
      <c r="J254" s="7" t="n">
        <f aca="false">E254*0.091</f>
        <v>27300</v>
      </c>
      <c r="K254" s="7" t="n">
        <f aca="false">F254*0.091</f>
        <v>27300</v>
      </c>
      <c r="L254" s="5" t="s">
        <v>84</v>
      </c>
      <c r="M254" s="5" t="s">
        <v>65</v>
      </c>
      <c r="T254" s="5"/>
      <c r="V254" s="5"/>
      <c r="X254" s="5"/>
      <c r="Y254" s="5" t="s">
        <v>73</v>
      </c>
      <c r="AI254" s="9" t="n">
        <v>44937</v>
      </c>
      <c r="AJ254" s="5" t="n">
        <v>4</v>
      </c>
      <c r="AK254" s="5" t="s">
        <v>216</v>
      </c>
      <c r="AL254" s="5" t="n">
        <v>7050</v>
      </c>
      <c r="AM254" s="5" t="s">
        <v>489</v>
      </c>
      <c r="AN254" s="5"/>
      <c r="AQ254" s="5" t="s">
        <v>77</v>
      </c>
      <c r="AR254" s="5" t="s">
        <v>215</v>
      </c>
      <c r="AS254" s="5" t="s">
        <v>73</v>
      </c>
      <c r="AT254" s="5" t="s">
        <v>78</v>
      </c>
      <c r="AW254" s="5" t="s">
        <v>94</v>
      </c>
      <c r="AX254" s="10" t="str">
        <f aca="false">IFERROR(INDEX('full database 2024'!ar:ar, MATCH(A254, 'full database 2024'!b:b, 0)), "")</f>
        <v/>
      </c>
      <c r="AY254" s="5" t="s">
        <v>297</v>
      </c>
      <c r="AZ254" s="5" t="s">
        <v>188</v>
      </c>
      <c r="BD254" s="9" t="n">
        <v>45596</v>
      </c>
      <c r="BE254" s="9" t="n">
        <v>45596</v>
      </c>
      <c r="BJ254" s="5" t="n">
        <v>2023</v>
      </c>
      <c r="BK254" s="11" t="n">
        <v>36526</v>
      </c>
    </row>
    <row r="255" customFormat="false" ht="16.5" hidden="false" customHeight="true" outlineLevel="0" collapsed="false">
      <c r="A255" s="5" t="s">
        <v>1384</v>
      </c>
      <c r="B255" s="5" t="s">
        <v>1385</v>
      </c>
      <c r="C255" s="5"/>
      <c r="D255" s="5" t="s">
        <v>62</v>
      </c>
      <c r="E255" s="5" t="n">
        <v>300000</v>
      </c>
      <c r="F255" s="5" t="n">
        <v>300000</v>
      </c>
      <c r="G255" s="5" t="s">
        <v>212</v>
      </c>
      <c r="H255" s="6" t="n">
        <v>28200</v>
      </c>
      <c r="I255" s="6" t="n">
        <v>28200</v>
      </c>
      <c r="J255" s="7" t="n">
        <f aca="false">E255*0.091</f>
        <v>27300</v>
      </c>
      <c r="K255" s="7" t="n">
        <f aca="false">F255*0.091</f>
        <v>27300</v>
      </c>
      <c r="L255" s="5" t="s">
        <v>84</v>
      </c>
      <c r="M255" s="5" t="s">
        <v>65</v>
      </c>
      <c r="N255" s="8" t="s">
        <v>1386</v>
      </c>
      <c r="O255" s="5" t="s">
        <v>1387</v>
      </c>
      <c r="Y255" s="5" t="s">
        <v>73</v>
      </c>
      <c r="AI255" s="9" t="n">
        <v>44883</v>
      </c>
      <c r="AJ255" s="5" t="n">
        <v>7</v>
      </c>
      <c r="AK255" s="5" t="s">
        <v>75</v>
      </c>
      <c r="AL255" s="5" t="n">
        <v>4029</v>
      </c>
      <c r="AM255" s="5" t="s">
        <v>489</v>
      </c>
      <c r="AN255" s="5"/>
      <c r="AQ255" s="5" t="s">
        <v>77</v>
      </c>
      <c r="AR255" s="5" t="s">
        <v>215</v>
      </c>
      <c r="AS255" s="5" t="s">
        <v>73</v>
      </c>
      <c r="AT255" s="5" t="s">
        <v>78</v>
      </c>
      <c r="AW255" s="5" t="s">
        <v>94</v>
      </c>
      <c r="AX255" s="10" t="str">
        <f aca="false">IFERROR(INDEX('full database 2024'!ar:ar, MATCH(A255, 'full database 2024'!b:b, 0)), "")</f>
        <v/>
      </c>
      <c r="AZ255" s="5" t="s">
        <v>129</v>
      </c>
      <c r="BD255" s="9" t="n">
        <v>45596</v>
      </c>
      <c r="BE255" s="9" t="n">
        <v>45779</v>
      </c>
      <c r="BJ255" s="5" t="n">
        <v>2022</v>
      </c>
      <c r="BK255" s="5" t="s">
        <v>1388</v>
      </c>
    </row>
    <row r="256" customFormat="false" ht="16.5" hidden="false" customHeight="true" outlineLevel="0" collapsed="false">
      <c r="A256" s="5" t="s">
        <v>1389</v>
      </c>
      <c r="B256" s="5" t="s">
        <v>1390</v>
      </c>
      <c r="C256" s="5"/>
      <c r="D256" s="5" t="s">
        <v>62</v>
      </c>
      <c r="E256" s="5" t="n">
        <v>300000</v>
      </c>
      <c r="F256" s="5" t="n">
        <v>300000</v>
      </c>
      <c r="G256" s="5" t="s">
        <v>212</v>
      </c>
      <c r="H256" s="6" t="n">
        <v>28200</v>
      </c>
      <c r="I256" s="6" t="n">
        <v>28200</v>
      </c>
      <c r="J256" s="7" t="n">
        <f aca="false">E256*0.091</f>
        <v>27300</v>
      </c>
      <c r="K256" s="7" t="n">
        <f aca="false">F256*0.091</f>
        <v>27300</v>
      </c>
      <c r="L256" s="5" t="s">
        <v>84</v>
      </c>
      <c r="M256" s="5" t="s">
        <v>65</v>
      </c>
      <c r="N256" s="8" t="s">
        <v>1391</v>
      </c>
      <c r="O256" s="5" t="s">
        <v>1392</v>
      </c>
      <c r="Y256" s="5" t="s">
        <v>73</v>
      </c>
      <c r="AI256" s="9" t="n">
        <v>44937</v>
      </c>
      <c r="AJ256" s="5" t="n">
        <v>6</v>
      </c>
      <c r="AK256" s="5" t="s">
        <v>216</v>
      </c>
      <c r="AL256" s="5" t="n">
        <v>4700</v>
      </c>
      <c r="AM256" s="5" t="s">
        <v>489</v>
      </c>
      <c r="AN256" s="5"/>
      <c r="AQ256" s="5" t="s">
        <v>77</v>
      </c>
      <c r="AR256" s="5" t="s">
        <v>215</v>
      </c>
      <c r="AS256" s="5" t="s">
        <v>73</v>
      </c>
      <c r="AT256" s="5" t="s">
        <v>78</v>
      </c>
      <c r="AW256" s="5" t="s">
        <v>94</v>
      </c>
      <c r="AX256" s="10" t="str">
        <f aca="false">IFERROR(INDEX('full database 2024'!ar:ar, MATCH(A256, 'full database 2024'!b:b, 0)), "")</f>
        <v/>
      </c>
      <c r="AZ256" s="5" t="s">
        <v>399</v>
      </c>
      <c r="BD256" s="9" t="n">
        <v>45596</v>
      </c>
      <c r="BE256" s="9" t="n">
        <v>45779</v>
      </c>
      <c r="BJ256" s="5" t="n">
        <v>2023</v>
      </c>
      <c r="BK256" s="11" t="n">
        <v>36526</v>
      </c>
    </row>
    <row r="257" customFormat="false" ht="16.5" hidden="false" customHeight="true" outlineLevel="0" collapsed="false">
      <c r="A257" s="5" t="s">
        <v>1393</v>
      </c>
      <c r="B257" s="5"/>
      <c r="C257" s="5"/>
      <c r="D257" s="5" t="s">
        <v>62</v>
      </c>
      <c r="E257" s="5" t="n">
        <v>300000</v>
      </c>
      <c r="F257" s="5" t="n">
        <v>300000</v>
      </c>
      <c r="G257" s="5" t="s">
        <v>212</v>
      </c>
      <c r="H257" s="6" t="n">
        <v>28200</v>
      </c>
      <c r="I257" s="6" t="n">
        <v>28200</v>
      </c>
      <c r="J257" s="7" t="n">
        <f aca="false">E257*0.091</f>
        <v>27300</v>
      </c>
      <c r="K257" s="7" t="n">
        <f aca="false">F257*0.091</f>
        <v>27300</v>
      </c>
      <c r="L257" s="5" t="s">
        <v>84</v>
      </c>
      <c r="M257" s="5" t="s">
        <v>65</v>
      </c>
      <c r="N257" s="5"/>
      <c r="O257" s="5"/>
      <c r="V257" s="5" t="s">
        <v>1394</v>
      </c>
      <c r="X257" s="5" t="s">
        <v>215</v>
      </c>
      <c r="Y257" s="5" t="s">
        <v>73</v>
      </c>
      <c r="AI257" s="9" t="n">
        <v>44201</v>
      </c>
      <c r="AJ257" s="5" t="n">
        <v>6</v>
      </c>
      <c r="AK257" s="5" t="s">
        <v>216</v>
      </c>
      <c r="AL257" s="5" t="n">
        <v>4700</v>
      </c>
      <c r="AM257" s="5" t="s">
        <v>489</v>
      </c>
      <c r="AN257" s="5"/>
      <c r="AQ257" s="5" t="s">
        <v>77</v>
      </c>
      <c r="AR257" s="5" t="s">
        <v>215</v>
      </c>
      <c r="AS257" s="5" t="s">
        <v>73</v>
      </c>
      <c r="AT257" s="5" t="s">
        <v>105</v>
      </c>
      <c r="AU257" s="10" t="s">
        <v>106</v>
      </c>
      <c r="AW257" s="5" t="s">
        <v>94</v>
      </c>
      <c r="AX257" s="10" t="str">
        <f aca="false">IFERROR(INDEX('full database 2024'!ar:ar, MATCH(A257, 'full database 2024'!b:b, 0)), "")</f>
        <v/>
      </c>
      <c r="AZ257" s="5" t="s">
        <v>188</v>
      </c>
      <c r="BD257" s="9" t="n">
        <v>45596</v>
      </c>
      <c r="BE257" s="9" t="n">
        <v>45596</v>
      </c>
      <c r="BJ257" s="5" t="n">
        <v>2021</v>
      </c>
      <c r="BK257" s="11" t="n">
        <v>36526</v>
      </c>
    </row>
    <row r="258" customFormat="false" ht="16.5" hidden="false" customHeight="true" outlineLevel="0" collapsed="false">
      <c r="A258" s="5" t="s">
        <v>1395</v>
      </c>
      <c r="B258" s="5" t="s">
        <v>1396</v>
      </c>
      <c r="C258" s="5"/>
      <c r="D258" s="5" t="s">
        <v>62</v>
      </c>
      <c r="E258" s="5" t="n">
        <v>300000</v>
      </c>
      <c r="F258" s="5" t="n">
        <v>300000</v>
      </c>
      <c r="G258" s="5" t="s">
        <v>212</v>
      </c>
      <c r="H258" s="6" t="n">
        <v>28200</v>
      </c>
      <c r="I258" s="6" t="n">
        <v>28200</v>
      </c>
      <c r="J258" s="7" t="n">
        <f aca="false">E258*0.091</f>
        <v>27300</v>
      </c>
      <c r="K258" s="7" t="n">
        <f aca="false">F258*0.091</f>
        <v>27300</v>
      </c>
      <c r="L258" s="5" t="s">
        <v>84</v>
      </c>
      <c r="M258" s="5" t="s">
        <v>65</v>
      </c>
      <c r="N258" s="8" t="s">
        <v>1397</v>
      </c>
      <c r="O258" s="5" t="s">
        <v>1398</v>
      </c>
      <c r="V258" s="5"/>
      <c r="X258" s="5"/>
      <c r="Y258" s="5" t="s">
        <v>73</v>
      </c>
      <c r="AI258" s="9" t="n">
        <v>44937</v>
      </c>
      <c r="AJ258" s="5" t="n">
        <v>12</v>
      </c>
      <c r="AK258" s="5" t="s">
        <v>216</v>
      </c>
      <c r="AL258" s="5" t="n">
        <v>2350</v>
      </c>
      <c r="AM258" s="5" t="s">
        <v>489</v>
      </c>
      <c r="AN258" s="5"/>
      <c r="AQ258" s="5" t="s">
        <v>77</v>
      </c>
      <c r="AR258" s="5" t="s">
        <v>215</v>
      </c>
      <c r="AS258" s="5" t="s">
        <v>73</v>
      </c>
      <c r="AT258" s="5" t="s">
        <v>78</v>
      </c>
      <c r="AW258" s="5" t="s">
        <v>94</v>
      </c>
      <c r="AX258" s="10" t="str">
        <f aca="false">IFERROR(INDEX('full database 2024'!ar:ar, MATCH(A258, 'full database 2024'!b:b, 0)), "")</f>
        <v/>
      </c>
      <c r="AZ258" s="5" t="s">
        <v>129</v>
      </c>
      <c r="BD258" s="9" t="n">
        <v>45596</v>
      </c>
      <c r="BE258" s="9" t="n">
        <v>45779</v>
      </c>
      <c r="BJ258" s="5" t="n">
        <v>2023</v>
      </c>
      <c r="BK258" s="11" t="n">
        <v>36526</v>
      </c>
    </row>
    <row r="259" customFormat="false" ht="16.5" hidden="false" customHeight="true" outlineLevel="0" collapsed="false">
      <c r="A259" s="5" t="s">
        <v>1399</v>
      </c>
      <c r="B259" s="5"/>
      <c r="C259" s="5"/>
      <c r="D259" s="5" t="s">
        <v>62</v>
      </c>
      <c r="E259" s="5" t="n">
        <v>300000</v>
      </c>
      <c r="F259" s="5" t="n">
        <v>300000</v>
      </c>
      <c r="G259" s="5" t="s">
        <v>212</v>
      </c>
      <c r="H259" s="6" t="n">
        <v>28200</v>
      </c>
      <c r="I259" s="6" t="n">
        <v>28200</v>
      </c>
      <c r="J259" s="7" t="n">
        <f aca="false">E259*0.091</f>
        <v>27300</v>
      </c>
      <c r="K259" s="7" t="n">
        <f aca="false">F259*0.091</f>
        <v>27300</v>
      </c>
      <c r="L259" s="5" t="s">
        <v>84</v>
      </c>
      <c r="M259" s="5" t="s">
        <v>65</v>
      </c>
      <c r="N259" s="5"/>
      <c r="O259" s="5"/>
      <c r="T259" s="5" t="s">
        <v>1400</v>
      </c>
      <c r="V259" s="5" t="s">
        <v>1401</v>
      </c>
      <c r="X259" s="5" t="s">
        <v>215</v>
      </c>
      <c r="Y259" s="5" t="s">
        <v>73</v>
      </c>
      <c r="AI259" s="9" t="n">
        <v>44621</v>
      </c>
      <c r="AJ259" s="5" t="n">
        <v>7</v>
      </c>
      <c r="AK259" s="5" t="s">
        <v>216</v>
      </c>
      <c r="AL259" s="5" t="n">
        <v>4029</v>
      </c>
      <c r="AM259" s="5" t="s">
        <v>489</v>
      </c>
      <c r="AN259" s="5"/>
      <c r="AQ259" s="5" t="s">
        <v>77</v>
      </c>
      <c r="AR259" s="5" t="s">
        <v>215</v>
      </c>
      <c r="AS259" s="5" t="s">
        <v>73</v>
      </c>
      <c r="AT259" s="5" t="s">
        <v>78</v>
      </c>
      <c r="AW259" s="5" t="s">
        <v>94</v>
      </c>
      <c r="AX259" s="10" t="str">
        <f aca="false">IFERROR(INDEX('full database 2024'!ar:ar, MATCH(A259, 'full database 2024'!b:b, 0)), "")</f>
        <v/>
      </c>
      <c r="AZ259" s="5" t="s">
        <v>748</v>
      </c>
      <c r="BD259" s="9" t="n">
        <v>45596</v>
      </c>
      <c r="BE259" s="9" t="n">
        <v>45596</v>
      </c>
      <c r="BJ259" s="5" t="n">
        <v>2022</v>
      </c>
      <c r="BK259" s="11" t="n">
        <v>36526</v>
      </c>
    </row>
    <row r="260" customFormat="false" ht="16.5" hidden="false" customHeight="true" outlineLevel="0" collapsed="false">
      <c r="A260" s="5" t="s">
        <v>1402</v>
      </c>
      <c r="C260" s="5"/>
      <c r="D260" s="5" t="s">
        <v>62</v>
      </c>
      <c r="E260" s="5" t="n">
        <v>300000</v>
      </c>
      <c r="F260" s="5" t="n">
        <v>300000</v>
      </c>
      <c r="G260" s="5" t="s">
        <v>212</v>
      </c>
      <c r="H260" s="6" t="n">
        <v>28200</v>
      </c>
      <c r="I260" s="6" t="n">
        <v>28200</v>
      </c>
      <c r="J260" s="7" t="n">
        <f aca="false">E260*0.091</f>
        <v>27300</v>
      </c>
      <c r="K260" s="7" t="n">
        <f aca="false">F260*0.091</f>
        <v>27300</v>
      </c>
      <c r="L260" s="5" t="s">
        <v>84</v>
      </c>
      <c r="M260" s="5" t="s">
        <v>65</v>
      </c>
      <c r="T260" s="5" t="s">
        <v>1403</v>
      </c>
      <c r="V260" s="5" t="s">
        <v>1404</v>
      </c>
      <c r="X260" s="5" t="s">
        <v>215</v>
      </c>
      <c r="Y260" s="5" t="s">
        <v>73</v>
      </c>
      <c r="AI260" s="9" t="n">
        <v>45229</v>
      </c>
      <c r="AJ260" s="5" t="n">
        <v>12</v>
      </c>
      <c r="AK260" s="5" t="s">
        <v>433</v>
      </c>
      <c r="AL260" s="5" t="n">
        <v>2350</v>
      </c>
      <c r="AM260" s="5" t="s">
        <v>489</v>
      </c>
      <c r="AN260" s="5"/>
      <c r="AQ260" s="5" t="s">
        <v>77</v>
      </c>
      <c r="AR260" s="5" t="s">
        <v>215</v>
      </c>
      <c r="AS260" s="5" t="s">
        <v>73</v>
      </c>
      <c r="AT260" s="5" t="s">
        <v>78</v>
      </c>
      <c r="AW260" s="5" t="s">
        <v>94</v>
      </c>
      <c r="AX260" s="10" t="str">
        <f aca="false">IFERROR(INDEX('full database 2024'!ar:ar, MATCH(A260, 'full database 2024'!b:b, 0)), "")</f>
        <v/>
      </c>
      <c r="AZ260" s="5" t="s">
        <v>188</v>
      </c>
      <c r="BD260" s="9" t="n">
        <v>45596</v>
      </c>
      <c r="BE260" s="9" t="n">
        <v>45596</v>
      </c>
      <c r="BJ260" s="5" t="n">
        <v>2023</v>
      </c>
      <c r="BK260" s="11" t="n">
        <v>36526</v>
      </c>
    </row>
    <row r="261" customFormat="false" ht="16.5" hidden="false" customHeight="true" outlineLevel="0" collapsed="false">
      <c r="A261" s="5" t="s">
        <v>1405</v>
      </c>
      <c r="C261" s="5"/>
      <c r="D261" s="5" t="s">
        <v>62</v>
      </c>
      <c r="E261" s="5" t="n">
        <v>300000</v>
      </c>
      <c r="F261" s="5" t="n">
        <v>300000</v>
      </c>
      <c r="G261" s="5" t="s">
        <v>212</v>
      </c>
      <c r="H261" s="6" t="n">
        <v>28200</v>
      </c>
      <c r="I261" s="6" t="n">
        <v>28200</v>
      </c>
      <c r="J261" s="7" t="n">
        <f aca="false">E261*0.091</f>
        <v>27300</v>
      </c>
      <c r="K261" s="7" t="n">
        <f aca="false">F261*0.091</f>
        <v>27300</v>
      </c>
      <c r="L261" s="5" t="s">
        <v>84</v>
      </c>
      <c r="M261" s="5" t="s">
        <v>65</v>
      </c>
      <c r="T261" s="5"/>
      <c r="V261" s="5"/>
      <c r="X261" s="5"/>
      <c r="Y261" s="5" t="s">
        <v>73</v>
      </c>
      <c r="AI261" s="9"/>
      <c r="AJ261" s="5" t="n">
        <v>9</v>
      </c>
      <c r="AK261" s="5" t="s">
        <v>216</v>
      </c>
      <c r="AL261" s="5" t="n">
        <v>3133</v>
      </c>
      <c r="AM261" s="5" t="s">
        <v>489</v>
      </c>
      <c r="AN261" s="5"/>
      <c r="AQ261" s="5" t="s">
        <v>77</v>
      </c>
      <c r="AR261" s="5" t="s">
        <v>215</v>
      </c>
      <c r="AS261" s="5" t="s">
        <v>73</v>
      </c>
      <c r="AT261" s="5" t="s">
        <v>78</v>
      </c>
      <c r="AW261" s="5" t="s">
        <v>94</v>
      </c>
      <c r="AX261" s="10" t="str">
        <f aca="false">IFERROR(INDEX('full database 2024'!ar:ar, MATCH(A261, 'full database 2024'!b:b, 0)), "")</f>
        <v/>
      </c>
      <c r="AZ261" s="5" t="s">
        <v>399</v>
      </c>
      <c r="BD261" s="9" t="n">
        <v>45596</v>
      </c>
      <c r="BE261" s="9" t="n">
        <v>45779</v>
      </c>
      <c r="BJ261" s="5" t="n">
        <v>2022</v>
      </c>
      <c r="BK261" s="11"/>
    </row>
    <row r="262" customFormat="false" ht="16.5" hidden="false" customHeight="true" outlineLevel="0" collapsed="false">
      <c r="A262" s="5" t="s">
        <v>1406</v>
      </c>
      <c r="B262" s="5" t="s">
        <v>1407</v>
      </c>
      <c r="C262" s="5"/>
      <c r="D262" s="5" t="s">
        <v>62</v>
      </c>
      <c r="E262" s="5" t="n">
        <v>299760</v>
      </c>
      <c r="F262" s="5" t="n">
        <v>299760</v>
      </c>
      <c r="G262" s="5" t="s">
        <v>147</v>
      </c>
      <c r="H262" s="6" t="n">
        <v>353717</v>
      </c>
      <c r="I262" s="6" t="n">
        <v>353717</v>
      </c>
      <c r="J262" s="7" t="n">
        <v>299760</v>
      </c>
      <c r="K262" s="7" t="n">
        <v>299760</v>
      </c>
      <c r="L262" s="5" t="s">
        <v>84</v>
      </c>
      <c r="M262" s="5" t="s">
        <v>65</v>
      </c>
      <c r="N262" s="8" t="s">
        <v>1408</v>
      </c>
      <c r="O262" s="5" t="s">
        <v>1409</v>
      </c>
      <c r="T262" s="5" t="s">
        <v>631</v>
      </c>
      <c r="V262" s="5" t="s">
        <v>1410</v>
      </c>
      <c r="W262" s="5" t="s">
        <v>384</v>
      </c>
      <c r="X262" s="5" t="s">
        <v>215</v>
      </c>
      <c r="Y262" s="5" t="s">
        <v>73</v>
      </c>
      <c r="AD262" s="5" t="s">
        <v>1411</v>
      </c>
      <c r="AE262" s="5" t="s">
        <v>74</v>
      </c>
      <c r="AI262" s="9" t="n">
        <v>44501</v>
      </c>
      <c r="AJ262" s="5"/>
      <c r="AK262" s="5"/>
      <c r="AL262" s="5" t="n">
        <v>353717</v>
      </c>
      <c r="AM262" s="5" t="s">
        <v>489</v>
      </c>
      <c r="AN262" s="5"/>
      <c r="AQ262" s="5" t="s">
        <v>77</v>
      </c>
      <c r="AR262" s="5" t="s">
        <v>215</v>
      </c>
      <c r="AS262" s="5" t="s">
        <v>73</v>
      </c>
      <c r="AT262" s="5" t="s">
        <v>78</v>
      </c>
      <c r="AU262" s="10" t="s">
        <v>259</v>
      </c>
      <c r="AW262" s="5" t="s">
        <v>94</v>
      </c>
      <c r="AX262" s="10" t="str">
        <f aca="false">IFERROR(INDEX('full database 2024'!ar:ar, MATCH(A262, 'full database 2024'!b:b, 0)), "")</f>
        <v/>
      </c>
      <c r="AZ262" s="5" t="s">
        <v>129</v>
      </c>
      <c r="BD262" s="9" t="n">
        <v>45377</v>
      </c>
      <c r="BE262" s="9" t="n">
        <v>45733</v>
      </c>
      <c r="BI262" s="5" t="s">
        <v>81</v>
      </c>
      <c r="BJ262" s="5" t="n">
        <v>2021</v>
      </c>
      <c r="BK262" s="5" t="s">
        <v>1412</v>
      </c>
    </row>
    <row r="263" customFormat="false" ht="16.5" hidden="false" customHeight="true" outlineLevel="0" collapsed="false">
      <c r="A263" s="5" t="s">
        <v>1413</v>
      </c>
      <c r="B263" s="5" t="s">
        <v>1414</v>
      </c>
      <c r="C263" s="5"/>
      <c r="D263" s="5" t="s">
        <v>62</v>
      </c>
      <c r="E263" s="5" t="n">
        <v>299255</v>
      </c>
      <c r="F263" s="5" t="n">
        <v>299255</v>
      </c>
      <c r="G263" s="5" t="s">
        <v>63</v>
      </c>
      <c r="H263" s="6" t="n">
        <v>43625</v>
      </c>
      <c r="I263" s="6" t="n">
        <v>0</v>
      </c>
      <c r="J263" s="7" t="n">
        <f aca="false">E263*0.13</f>
        <v>38903.15</v>
      </c>
      <c r="K263" s="7" t="n">
        <f aca="false">F263*0.13</f>
        <v>38903.15</v>
      </c>
      <c r="L263" s="5" t="s">
        <v>84</v>
      </c>
      <c r="M263" s="5" t="s">
        <v>65</v>
      </c>
      <c r="N263" s="8" t="s">
        <v>1415</v>
      </c>
      <c r="O263" s="5" t="s">
        <v>223</v>
      </c>
      <c r="P263" s="5"/>
      <c r="Q263" s="5"/>
      <c r="R263" s="5" t="s">
        <v>1416</v>
      </c>
      <c r="T263" s="5" t="s">
        <v>1417</v>
      </c>
      <c r="U263" s="5" t="s">
        <v>1418</v>
      </c>
      <c r="V263" s="5" t="s">
        <v>128</v>
      </c>
      <c r="W263" s="5" t="s">
        <v>90</v>
      </c>
      <c r="X263" s="5" t="s">
        <v>72</v>
      </c>
      <c r="Y263" s="5" t="s">
        <v>73</v>
      </c>
      <c r="Z263" s="5" t="s">
        <v>70</v>
      </c>
      <c r="AD263" s="5"/>
      <c r="AE263" s="5" t="s">
        <v>117</v>
      </c>
      <c r="AI263" s="9" t="n">
        <v>44713</v>
      </c>
      <c r="AJ263" s="5" t="n">
        <v>2</v>
      </c>
      <c r="AK263" s="5" t="s">
        <v>228</v>
      </c>
      <c r="AL263" s="5" t="n">
        <v>21813</v>
      </c>
      <c r="AM263" s="5" t="s">
        <v>229</v>
      </c>
      <c r="AN263" s="5"/>
      <c r="AO263" s="5" t="s">
        <v>230</v>
      </c>
      <c r="AQ263" s="5" t="s">
        <v>93</v>
      </c>
      <c r="AR263" s="5" t="s">
        <v>72</v>
      </c>
      <c r="AS263" s="5" t="s">
        <v>73</v>
      </c>
      <c r="AT263" s="5" t="s">
        <v>105</v>
      </c>
      <c r="AU263" s="5" t="s">
        <v>186</v>
      </c>
      <c r="AV263" s="10" t="s">
        <v>569</v>
      </c>
      <c r="AW263" s="5" t="s">
        <v>94</v>
      </c>
      <c r="AX263" s="10" t="str">
        <f aca="false">IFERROR(INDEX('full database 2024'!ar:ar, MATCH(A263, 'full database 2024'!b:b, 0)), "")</f>
        <v/>
      </c>
      <c r="AZ263" s="5" t="s">
        <v>540</v>
      </c>
      <c r="BD263" s="9" t="n">
        <v>45421</v>
      </c>
      <c r="BE263" s="9" t="n">
        <v>45448</v>
      </c>
      <c r="BI263" s="5" t="s">
        <v>81</v>
      </c>
      <c r="BJ263" s="5" t="n">
        <v>2022</v>
      </c>
      <c r="BK263" s="11" t="n">
        <v>45297</v>
      </c>
    </row>
    <row r="264" customFormat="false" ht="16.5" hidden="false" customHeight="true" outlineLevel="0" collapsed="false">
      <c r="A264" s="5" t="s">
        <v>823</v>
      </c>
      <c r="B264" s="5"/>
      <c r="C264" s="5"/>
      <c r="D264" s="5" t="s">
        <v>62</v>
      </c>
      <c r="E264" s="5" t="n">
        <v>298170</v>
      </c>
      <c r="F264" s="5" t="n">
        <v>298170</v>
      </c>
      <c r="G264" s="5" t="s">
        <v>147</v>
      </c>
      <c r="H264" s="6" t="n">
        <v>325005</v>
      </c>
      <c r="I264" s="6" t="n">
        <v>325005</v>
      </c>
      <c r="J264" s="7" t="n">
        <v>298170</v>
      </c>
      <c r="K264" s="7" t="n">
        <v>298170</v>
      </c>
      <c r="L264" s="5" t="s">
        <v>84</v>
      </c>
      <c r="M264" s="5" t="s">
        <v>65</v>
      </c>
      <c r="N264" s="5"/>
      <c r="O264" s="5"/>
      <c r="P264" s="5"/>
      <c r="Q264" s="5"/>
      <c r="R264" s="5"/>
      <c r="T264" s="5"/>
      <c r="U264" s="5"/>
      <c r="V264" s="5" t="s">
        <v>1419</v>
      </c>
      <c r="W264" s="5"/>
      <c r="X264" s="5" t="s">
        <v>151</v>
      </c>
      <c r="Y264" s="5" t="s">
        <v>73</v>
      </c>
      <c r="Z264" s="5"/>
      <c r="AE264" s="5"/>
      <c r="AI264" s="9" t="n">
        <v>44501</v>
      </c>
      <c r="AJ264" s="5"/>
      <c r="AK264" s="5"/>
      <c r="AL264" s="5" t="n">
        <v>325005</v>
      </c>
      <c r="AM264" s="5" t="s">
        <v>821</v>
      </c>
      <c r="AN264" s="5"/>
      <c r="AO264" s="5"/>
      <c r="AQ264" s="5" t="s">
        <v>77</v>
      </c>
      <c r="AR264" s="5" t="s">
        <v>151</v>
      </c>
      <c r="AS264" s="5" t="s">
        <v>73</v>
      </c>
      <c r="AT264" s="5" t="s">
        <v>71</v>
      </c>
      <c r="AW264" s="5" t="s">
        <v>94</v>
      </c>
      <c r="AX264" s="10" t="str">
        <f aca="false">IFERROR(INDEX('full database 2024'!ar:ar, MATCH(A264, 'full database 2024'!b:b, 0)), "")</f>
        <v/>
      </c>
      <c r="AZ264" s="5" t="s">
        <v>129</v>
      </c>
      <c r="BD264" s="9" t="n">
        <v>45596</v>
      </c>
      <c r="BE264" s="9" t="n">
        <v>45596</v>
      </c>
      <c r="BI264" s="5"/>
      <c r="BJ264" s="5" t="n">
        <v>2021</v>
      </c>
      <c r="BK264" s="11"/>
    </row>
    <row r="265" customFormat="false" ht="16.5" hidden="false" customHeight="true" outlineLevel="0" collapsed="false">
      <c r="A265" s="5" t="s">
        <v>1420</v>
      </c>
      <c r="C265" s="5"/>
      <c r="D265" s="5" t="s">
        <v>62</v>
      </c>
      <c r="E265" s="5" t="n">
        <v>297501</v>
      </c>
      <c r="F265" s="5" t="n">
        <v>297501</v>
      </c>
      <c r="G265" s="5" t="s">
        <v>147</v>
      </c>
      <c r="H265" s="6" t="n">
        <v>324276</v>
      </c>
      <c r="I265" s="6" t="n">
        <v>324276</v>
      </c>
      <c r="J265" s="7" t="n">
        <v>297501</v>
      </c>
      <c r="K265" s="7" t="n">
        <v>297501</v>
      </c>
      <c r="L265" s="5" t="s">
        <v>84</v>
      </c>
      <c r="M265" s="5" t="s">
        <v>65</v>
      </c>
      <c r="V265" s="5" t="s">
        <v>1035</v>
      </c>
      <c r="X265" s="5"/>
      <c r="Y265" s="5" t="s">
        <v>73</v>
      </c>
      <c r="AI265" s="9" t="n">
        <v>45047</v>
      </c>
      <c r="AL265" s="5" t="n">
        <v>324276</v>
      </c>
      <c r="AM265" s="5" t="s">
        <v>924</v>
      </c>
      <c r="AN265" s="5"/>
      <c r="AQ265" s="5" t="s">
        <v>77</v>
      </c>
      <c r="AR265" s="5" t="s">
        <v>151</v>
      </c>
      <c r="AS265" s="5" t="s">
        <v>73</v>
      </c>
      <c r="AT265" s="5" t="s">
        <v>78</v>
      </c>
      <c r="AW265" s="5" t="s">
        <v>94</v>
      </c>
      <c r="AX265" s="10" t="str">
        <f aca="false">IFERROR(INDEX('full database 2024'!ar:ar, MATCH(A265, 'full database 2024'!b:b, 0)), "")</f>
        <v/>
      </c>
      <c r="AZ265" s="5" t="s">
        <v>188</v>
      </c>
      <c r="BD265" s="9" t="n">
        <v>45596</v>
      </c>
      <c r="BE265" s="9" t="n">
        <v>45596</v>
      </c>
      <c r="BJ265" s="5" t="n">
        <v>2023</v>
      </c>
    </row>
    <row r="266" customFormat="false" ht="16.5" hidden="false" customHeight="true" outlineLevel="0" collapsed="false">
      <c r="A266" s="5" t="s">
        <v>1421</v>
      </c>
      <c r="C266" s="5"/>
      <c r="D266" s="5" t="s">
        <v>62</v>
      </c>
      <c r="E266" s="5" t="n">
        <v>296610</v>
      </c>
      <c r="F266" s="5" t="n">
        <v>296610</v>
      </c>
      <c r="G266" s="5" t="s">
        <v>147</v>
      </c>
      <c r="H266" s="6" t="n">
        <v>323305</v>
      </c>
      <c r="I266" s="6" t="n">
        <v>323305</v>
      </c>
      <c r="J266" s="7" t="n">
        <v>296610</v>
      </c>
      <c r="K266" s="7" t="n">
        <v>296610</v>
      </c>
      <c r="L266" s="5" t="s">
        <v>84</v>
      </c>
      <c r="M266" s="5" t="s">
        <v>65</v>
      </c>
      <c r="V266" s="5" t="s">
        <v>911</v>
      </c>
      <c r="X266" s="5" t="s">
        <v>151</v>
      </c>
      <c r="Y266" s="5" t="s">
        <v>73</v>
      </c>
      <c r="AI266" s="9" t="n">
        <v>45293</v>
      </c>
      <c r="AL266" s="5" t="n">
        <v>323305</v>
      </c>
      <c r="AM266" s="5" t="s">
        <v>153</v>
      </c>
      <c r="AN266" s="5"/>
      <c r="AQ266" s="5" t="s">
        <v>77</v>
      </c>
      <c r="AR266" s="5" t="s">
        <v>151</v>
      </c>
      <c r="AS266" s="5" t="s">
        <v>73</v>
      </c>
      <c r="AT266" s="5" t="s">
        <v>78</v>
      </c>
      <c r="AW266" s="5" t="s">
        <v>94</v>
      </c>
      <c r="AX266" s="10" t="str">
        <f aca="false">IFERROR(INDEX('full database 2024'!ar:ar, MATCH(A266, 'full database 2024'!b:b, 0)), "")</f>
        <v/>
      </c>
      <c r="AZ266" s="5" t="s">
        <v>129</v>
      </c>
      <c r="BD266" s="9" t="n">
        <v>45596</v>
      </c>
      <c r="BE266" s="9" t="n">
        <v>45596</v>
      </c>
      <c r="BJ266" s="5" t="n">
        <v>2024</v>
      </c>
    </row>
    <row r="267" customFormat="false" ht="16.5" hidden="false" customHeight="true" outlineLevel="0" collapsed="false">
      <c r="A267" s="5" t="s">
        <v>1422</v>
      </c>
      <c r="B267" s="5" t="s">
        <v>1423</v>
      </c>
      <c r="C267" s="5"/>
      <c r="D267" s="5" t="s">
        <v>62</v>
      </c>
      <c r="E267" s="16" t="n">
        <v>294900</v>
      </c>
      <c r="F267" s="16" t="n">
        <v>235932</v>
      </c>
      <c r="G267" s="5" t="s">
        <v>132</v>
      </c>
      <c r="H267" s="6" t="n">
        <v>309645</v>
      </c>
      <c r="I267" s="6" t="n">
        <v>247729</v>
      </c>
      <c r="J267" s="7" t="n">
        <f aca="false">E267*1.19</f>
        <v>350931</v>
      </c>
      <c r="K267" s="7" t="n">
        <f aca="false">F267*1.19</f>
        <v>280759.08</v>
      </c>
      <c r="L267" s="5" t="s">
        <v>84</v>
      </c>
      <c r="M267" s="5" t="s">
        <v>65</v>
      </c>
      <c r="N267" s="8" t="s">
        <v>1424</v>
      </c>
      <c r="O267" s="5" t="s">
        <v>1425</v>
      </c>
      <c r="P267" s="5"/>
      <c r="Q267" s="5"/>
      <c r="R267" s="5" t="s">
        <v>670</v>
      </c>
      <c r="T267" s="5" t="s">
        <v>1426</v>
      </c>
      <c r="V267" s="5" t="s">
        <v>1427</v>
      </c>
      <c r="W267" s="5" t="s">
        <v>102</v>
      </c>
      <c r="X267" s="5" t="s">
        <v>139</v>
      </c>
      <c r="Y267" s="5" t="s">
        <v>73</v>
      </c>
      <c r="AE267" s="5" t="s">
        <v>117</v>
      </c>
      <c r="AI267" s="9" t="n">
        <v>44562</v>
      </c>
      <c r="AJ267" s="5" t="n">
        <v>1.5</v>
      </c>
      <c r="AK267" s="5" t="s">
        <v>75</v>
      </c>
      <c r="AL267" s="5" t="n">
        <v>206430</v>
      </c>
      <c r="AM267" s="5" t="s">
        <v>140</v>
      </c>
      <c r="AN267" s="5" t="s">
        <v>699</v>
      </c>
      <c r="AQ267" s="5" t="s">
        <v>77</v>
      </c>
      <c r="AR267" s="5" t="s">
        <v>143</v>
      </c>
      <c r="AS267" s="5" t="s">
        <v>73</v>
      </c>
      <c r="AT267" s="5" t="s">
        <v>78</v>
      </c>
      <c r="AW267" s="5" t="s">
        <v>94</v>
      </c>
      <c r="AX267" s="10" t="str">
        <f aca="false">IFERROR(INDEX('full database 2024'!ar:ar, MATCH(A267, 'full database 2024'!b:b, 0)), "")</f>
        <v/>
      </c>
      <c r="AZ267" s="5" t="s">
        <v>129</v>
      </c>
      <c r="BD267" s="9" t="n">
        <v>45377</v>
      </c>
      <c r="BE267" s="9" t="n">
        <v>45779</v>
      </c>
      <c r="BI267" s="5" t="s">
        <v>81</v>
      </c>
      <c r="BJ267" s="5" t="n">
        <v>2022</v>
      </c>
    </row>
    <row r="268" customFormat="false" ht="16.5" hidden="false" customHeight="true" outlineLevel="0" collapsed="false">
      <c r="A268" s="5" t="s">
        <v>1428</v>
      </c>
      <c r="B268" s="5" t="s">
        <v>1429</v>
      </c>
      <c r="C268" s="5"/>
      <c r="D268" s="5" t="s">
        <v>62</v>
      </c>
      <c r="E268" s="5" t="n">
        <v>294415</v>
      </c>
      <c r="F268" s="5" t="n">
        <v>294415</v>
      </c>
      <c r="G268" s="5" t="s">
        <v>147</v>
      </c>
      <c r="H268" s="6" t="n">
        <v>335633</v>
      </c>
      <c r="I268" s="6" t="n">
        <v>335633</v>
      </c>
      <c r="J268" s="7" t="n">
        <v>294415</v>
      </c>
      <c r="K268" s="7" t="n">
        <v>294415</v>
      </c>
      <c r="L268" s="5" t="s">
        <v>84</v>
      </c>
      <c r="M268" s="5" t="s">
        <v>65</v>
      </c>
      <c r="N268" s="8" t="s">
        <v>1430</v>
      </c>
      <c r="O268" s="5" t="s">
        <v>1431</v>
      </c>
      <c r="P268" s="5"/>
      <c r="Q268" s="5"/>
      <c r="R268" s="5"/>
      <c r="T268" s="5"/>
      <c r="V268" s="5" t="s">
        <v>1432</v>
      </c>
      <c r="W268" s="5" t="s">
        <v>102</v>
      </c>
      <c r="X268" s="5" t="s">
        <v>215</v>
      </c>
      <c r="Y268" s="5" t="s">
        <v>73</v>
      </c>
      <c r="AE268" s="5" t="s">
        <v>117</v>
      </c>
      <c r="AI268" s="9" t="n">
        <v>44136</v>
      </c>
      <c r="AJ268" s="5"/>
      <c r="AK268" s="5"/>
      <c r="AL268" s="5" t="n">
        <v>335633</v>
      </c>
      <c r="AM268" s="5" t="s">
        <v>489</v>
      </c>
      <c r="AN268" s="5"/>
      <c r="AQ268" s="5" t="s">
        <v>77</v>
      </c>
      <c r="AR268" s="5" t="s">
        <v>215</v>
      </c>
      <c r="AS268" s="5" t="s">
        <v>73</v>
      </c>
      <c r="AT268" s="5" t="s">
        <v>78</v>
      </c>
      <c r="AW268" s="5" t="s">
        <v>94</v>
      </c>
      <c r="AX268" s="5" t="s">
        <v>1433</v>
      </c>
      <c r="AY268" s="5" t="s">
        <v>1434</v>
      </c>
      <c r="AZ268" s="5" t="s">
        <v>1435</v>
      </c>
      <c r="BD268" s="9" t="n">
        <v>45377</v>
      </c>
      <c r="BE268" s="9" t="n">
        <v>45779</v>
      </c>
      <c r="BI268" s="5" t="s">
        <v>81</v>
      </c>
      <c r="BJ268" s="5" t="n">
        <v>2020</v>
      </c>
      <c r="BK268" s="11" t="n">
        <v>45200</v>
      </c>
    </row>
    <row r="269" customFormat="false" ht="16.5" hidden="false" customHeight="true" outlineLevel="0" collapsed="false">
      <c r="A269" s="5" t="s">
        <v>1436</v>
      </c>
      <c r="B269" s="5"/>
      <c r="C269" s="5"/>
      <c r="D269" s="5" t="s">
        <v>62</v>
      </c>
      <c r="E269" s="5" t="n">
        <v>293647</v>
      </c>
      <c r="F269" s="5" t="n">
        <v>293647</v>
      </c>
      <c r="G269" s="5" t="s">
        <v>147</v>
      </c>
      <c r="H269" s="6" t="n">
        <v>320075</v>
      </c>
      <c r="I269" s="6" t="n">
        <v>320075</v>
      </c>
      <c r="J269" s="7" t="n">
        <v>293647</v>
      </c>
      <c r="K269" s="7" t="n">
        <v>293647</v>
      </c>
      <c r="L269" s="5" t="s">
        <v>84</v>
      </c>
      <c r="M269" s="5" t="s">
        <v>65</v>
      </c>
      <c r="N269" s="5"/>
      <c r="O269" s="5"/>
      <c r="V269" s="5" t="s">
        <v>1437</v>
      </c>
      <c r="W269" s="5"/>
      <c r="X269" s="5" t="s">
        <v>151</v>
      </c>
      <c r="Y269" s="5" t="s">
        <v>73</v>
      </c>
      <c r="AE269" s="5"/>
      <c r="AI269" s="9" t="n">
        <v>45078</v>
      </c>
      <c r="AL269" s="5" t="n">
        <v>320075</v>
      </c>
      <c r="AM269" s="5" t="s">
        <v>821</v>
      </c>
      <c r="AN269" s="5"/>
      <c r="AQ269" s="5" t="s">
        <v>77</v>
      </c>
      <c r="AR269" s="5" t="s">
        <v>151</v>
      </c>
      <c r="AS269" s="5" t="s">
        <v>73</v>
      </c>
      <c r="AT269" s="5" t="s">
        <v>78</v>
      </c>
      <c r="AW269" s="5" t="s">
        <v>94</v>
      </c>
      <c r="AX269" s="10" t="str">
        <f aca="false">IFERROR(INDEX('full database 2024'!ar:ar, MATCH(A269, 'full database 2024'!b:b, 0)), "")</f>
        <v/>
      </c>
      <c r="AZ269" s="5" t="s">
        <v>396</v>
      </c>
      <c r="BD269" s="9" t="n">
        <v>45596</v>
      </c>
      <c r="BE269" s="9" t="n">
        <v>45596</v>
      </c>
      <c r="BI269" s="5"/>
      <c r="BJ269" s="5" t="n">
        <v>2023</v>
      </c>
      <c r="BK269" s="11"/>
    </row>
    <row r="270" customFormat="false" ht="16.5" hidden="false" customHeight="true" outlineLevel="0" collapsed="false">
      <c r="A270" s="5" t="s">
        <v>1438</v>
      </c>
      <c r="C270" s="5"/>
      <c r="D270" s="5" t="s">
        <v>62</v>
      </c>
      <c r="E270" s="5" t="n">
        <v>288201</v>
      </c>
      <c r="F270" s="5" t="n">
        <v>288201</v>
      </c>
      <c r="G270" s="5" t="s">
        <v>147</v>
      </c>
      <c r="H270" s="6" t="n">
        <v>314139</v>
      </c>
      <c r="I270" s="6" t="n">
        <v>314139</v>
      </c>
      <c r="J270" s="7" t="n">
        <v>288201</v>
      </c>
      <c r="K270" s="7" t="n">
        <v>288201</v>
      </c>
      <c r="L270" s="5" t="s">
        <v>84</v>
      </c>
      <c r="M270" s="5" t="s">
        <v>65</v>
      </c>
      <c r="V270" s="5" t="s">
        <v>876</v>
      </c>
      <c r="X270" s="5" t="s">
        <v>151</v>
      </c>
      <c r="Y270" s="5" t="s">
        <v>73</v>
      </c>
      <c r="AI270" s="9" t="n">
        <v>44935</v>
      </c>
      <c r="AL270" s="5" t="n">
        <v>314139</v>
      </c>
      <c r="AM270" s="5" t="s">
        <v>153</v>
      </c>
      <c r="AN270" s="5"/>
      <c r="AQ270" s="5" t="s">
        <v>77</v>
      </c>
      <c r="AR270" s="5" t="s">
        <v>151</v>
      </c>
      <c r="AS270" s="5" t="s">
        <v>73</v>
      </c>
      <c r="AT270" s="5" t="s">
        <v>78</v>
      </c>
      <c r="AW270" s="5" t="s">
        <v>94</v>
      </c>
      <c r="AX270" s="10" t="str">
        <f aca="false">IFERROR(INDEX('full database 2024'!ar:ar, MATCH(A270, 'full database 2024'!b:b, 0)), "")</f>
        <v/>
      </c>
      <c r="AZ270" s="5" t="s">
        <v>399</v>
      </c>
      <c r="BD270" s="9" t="n">
        <v>45596</v>
      </c>
      <c r="BE270" s="9" t="n">
        <v>45596</v>
      </c>
      <c r="BJ270" s="5" t="n">
        <v>2023</v>
      </c>
    </row>
    <row r="271" customFormat="false" ht="16.5" hidden="false" customHeight="true" outlineLevel="0" collapsed="false">
      <c r="A271" s="5" t="s">
        <v>1439</v>
      </c>
      <c r="B271" s="5" t="s">
        <v>1440</v>
      </c>
      <c r="C271" s="5"/>
      <c r="D271" s="5" t="s">
        <v>62</v>
      </c>
      <c r="E271" s="5" t="n">
        <v>287348</v>
      </c>
      <c r="F271" s="5" t="n">
        <v>287348</v>
      </c>
      <c r="G271" s="5" t="s">
        <v>147</v>
      </c>
      <c r="H271" s="6" t="n">
        <v>339071</v>
      </c>
      <c r="I271" s="6" t="n">
        <v>339071</v>
      </c>
      <c r="J271" s="7" t="n">
        <v>287348</v>
      </c>
      <c r="K271" s="7" t="n">
        <v>287348</v>
      </c>
      <c r="L271" s="5" t="s">
        <v>84</v>
      </c>
      <c r="M271" s="5" t="s">
        <v>65</v>
      </c>
      <c r="N271" s="8" t="s">
        <v>1441</v>
      </c>
      <c r="O271" s="5" t="s">
        <v>1442</v>
      </c>
      <c r="V271" s="5" t="s">
        <v>1443</v>
      </c>
      <c r="W271" s="5" t="s">
        <v>102</v>
      </c>
      <c r="X271" s="5" t="s">
        <v>215</v>
      </c>
      <c r="Y271" s="5" t="s">
        <v>73</v>
      </c>
      <c r="AE271" s="5" t="s">
        <v>117</v>
      </c>
      <c r="AI271" s="9" t="n">
        <v>44501</v>
      </c>
      <c r="AL271" s="5" t="n">
        <v>339071</v>
      </c>
      <c r="AM271" s="5" t="s">
        <v>489</v>
      </c>
      <c r="AN271" s="5"/>
      <c r="AQ271" s="5" t="s">
        <v>77</v>
      </c>
      <c r="AR271" s="5" t="s">
        <v>215</v>
      </c>
      <c r="AS271" s="5" t="s">
        <v>73</v>
      </c>
      <c r="AT271" s="5" t="s">
        <v>78</v>
      </c>
      <c r="AW271" s="5" t="s">
        <v>94</v>
      </c>
      <c r="AX271" s="10" t="str">
        <f aca="false">IFERROR(INDEX('full database 2024'!ar:ar, MATCH(A271, 'full database 2024'!b:b, 0)), "")</f>
        <v/>
      </c>
      <c r="AZ271" s="5" t="s">
        <v>129</v>
      </c>
      <c r="BD271" s="9" t="n">
        <v>45377</v>
      </c>
      <c r="BE271" s="9" t="n">
        <v>45779</v>
      </c>
      <c r="BI271" s="5" t="s">
        <v>81</v>
      </c>
      <c r="BJ271" s="5" t="n">
        <v>2021</v>
      </c>
      <c r="BK271" s="11" t="n">
        <v>44932</v>
      </c>
    </row>
    <row r="272" customFormat="false" ht="16.5" hidden="false" customHeight="true" outlineLevel="0" collapsed="false">
      <c r="A272" s="5" t="s">
        <v>967</v>
      </c>
      <c r="B272" s="5"/>
      <c r="C272" s="5"/>
      <c r="D272" s="5" t="s">
        <v>62</v>
      </c>
      <c r="E272" s="5" t="n">
        <v>286874</v>
      </c>
      <c r="F272" s="5" t="n">
        <v>286874</v>
      </c>
      <c r="G272" s="5" t="s">
        <v>147</v>
      </c>
      <c r="H272" s="6" t="n">
        <v>312692</v>
      </c>
      <c r="I272" s="6" t="n">
        <v>312692</v>
      </c>
      <c r="J272" s="7" t="n">
        <v>286874</v>
      </c>
      <c r="K272" s="7" t="n">
        <v>286874</v>
      </c>
      <c r="L272" s="5" t="s">
        <v>84</v>
      </c>
      <c r="M272" s="5" t="s">
        <v>65</v>
      </c>
      <c r="N272" s="5"/>
      <c r="O272" s="5"/>
      <c r="V272" s="5" t="s">
        <v>1444</v>
      </c>
      <c r="W272" s="5"/>
      <c r="X272" s="5" t="s">
        <v>151</v>
      </c>
      <c r="Y272" s="5" t="s">
        <v>73</v>
      </c>
      <c r="AE272" s="5"/>
      <c r="AI272" s="9"/>
      <c r="AL272" s="5" t="n">
        <v>312692</v>
      </c>
      <c r="AM272" s="5" t="s">
        <v>153</v>
      </c>
      <c r="AN272" s="5"/>
      <c r="AQ272" s="5" t="s">
        <v>77</v>
      </c>
      <c r="AR272" s="5" t="s">
        <v>151</v>
      </c>
      <c r="AS272" s="5" t="s">
        <v>73</v>
      </c>
      <c r="AT272" s="5" t="s">
        <v>78</v>
      </c>
      <c r="AW272" s="5" t="s">
        <v>969</v>
      </c>
      <c r="AX272" s="10" t="str">
        <f aca="false">IFERROR(INDEX('full database 2024'!ar:ar, MATCH(A272, 'full database 2024'!b:b, 0)), "")</f>
        <v/>
      </c>
      <c r="AZ272" s="5" t="s">
        <v>309</v>
      </c>
      <c r="BD272" s="9" t="n">
        <v>45596</v>
      </c>
      <c r="BE272" s="9" t="n">
        <v>45596</v>
      </c>
      <c r="BI272" s="5"/>
      <c r="BJ272" s="5" t="n">
        <v>2023</v>
      </c>
      <c r="BK272" s="11"/>
    </row>
    <row r="273" customFormat="false" ht="16.5" hidden="false" customHeight="true" outlineLevel="0" collapsed="false">
      <c r="A273" s="5" t="s">
        <v>823</v>
      </c>
      <c r="C273" s="5"/>
      <c r="D273" s="5" t="s">
        <v>62</v>
      </c>
      <c r="E273" s="5" t="n">
        <v>285911</v>
      </c>
      <c r="F273" s="5" t="n">
        <v>285911</v>
      </c>
      <c r="G273" s="5" t="s">
        <v>147</v>
      </c>
      <c r="H273" s="6" t="n">
        <v>311643</v>
      </c>
      <c r="I273" s="6" t="n">
        <v>311643</v>
      </c>
      <c r="J273" s="7" t="n">
        <v>285911</v>
      </c>
      <c r="K273" s="7" t="n">
        <v>285911</v>
      </c>
      <c r="L273" s="5" t="s">
        <v>84</v>
      </c>
      <c r="M273" s="5" t="s">
        <v>65</v>
      </c>
      <c r="V273" s="5" t="s">
        <v>1445</v>
      </c>
      <c r="X273" s="5" t="s">
        <v>151</v>
      </c>
      <c r="Y273" s="5" t="s">
        <v>73</v>
      </c>
      <c r="AI273" s="9" t="n">
        <v>44105</v>
      </c>
      <c r="AL273" s="5" t="n">
        <v>311643</v>
      </c>
      <c r="AM273" s="5" t="s">
        <v>821</v>
      </c>
      <c r="AN273" s="5"/>
      <c r="AQ273" s="5" t="s">
        <v>77</v>
      </c>
      <c r="AR273" s="5" t="s">
        <v>151</v>
      </c>
      <c r="AS273" s="5" t="s">
        <v>73</v>
      </c>
      <c r="AT273" s="5" t="s">
        <v>71</v>
      </c>
      <c r="AW273" s="5" t="s">
        <v>94</v>
      </c>
      <c r="AX273" s="10" t="str">
        <f aca="false">IFERROR(INDEX('full database 2024'!ar:ar, MATCH(A273, 'full database 2024'!b:b, 0)), "")</f>
        <v/>
      </c>
      <c r="AZ273" s="5" t="s">
        <v>129</v>
      </c>
      <c r="BD273" s="9" t="n">
        <v>45596</v>
      </c>
      <c r="BE273" s="9" t="n">
        <v>45596</v>
      </c>
      <c r="BJ273" s="5" t="n">
        <v>2020</v>
      </c>
    </row>
    <row r="274" customFormat="false" ht="16.5" hidden="false" customHeight="true" outlineLevel="0" collapsed="false">
      <c r="A274" s="5" t="s">
        <v>1446</v>
      </c>
      <c r="C274" s="5"/>
      <c r="D274" s="5" t="s">
        <v>62</v>
      </c>
      <c r="E274" s="5" t="n">
        <v>285082</v>
      </c>
      <c r="F274" s="5" t="n">
        <v>285082</v>
      </c>
      <c r="G274" s="5" t="s">
        <v>147</v>
      </c>
      <c r="H274" s="6" t="n">
        <v>324993</v>
      </c>
      <c r="I274" s="6" t="n">
        <v>307889</v>
      </c>
      <c r="J274" s="7" t="n">
        <v>285082</v>
      </c>
      <c r="K274" s="7" t="n">
        <v>285082</v>
      </c>
      <c r="L274" s="5" t="s">
        <v>84</v>
      </c>
      <c r="M274" s="5" t="s">
        <v>65</v>
      </c>
      <c r="U274" s="5" t="s">
        <v>1447</v>
      </c>
      <c r="V274" s="5" t="s">
        <v>1342</v>
      </c>
      <c r="X274" s="5" t="s">
        <v>151</v>
      </c>
      <c r="Y274" s="5" t="s">
        <v>73</v>
      </c>
      <c r="AI274" s="9" t="n">
        <v>43832</v>
      </c>
      <c r="AL274" s="5" t="n">
        <v>324993</v>
      </c>
      <c r="AM274" s="5" t="s">
        <v>821</v>
      </c>
      <c r="AN274" s="5"/>
      <c r="AQ274" s="5" t="s">
        <v>77</v>
      </c>
      <c r="AR274" s="5" t="s">
        <v>151</v>
      </c>
      <c r="AS274" s="5" t="s">
        <v>73</v>
      </c>
      <c r="AT274" s="5" t="s">
        <v>78</v>
      </c>
      <c r="AW274" s="5" t="s">
        <v>94</v>
      </c>
      <c r="AX274" s="10" t="str">
        <f aca="false">IFERROR(INDEX('full database 2024'!ar:ar, MATCH(A274, 'full database 2024'!b:b, 0)), "")</f>
        <v/>
      </c>
      <c r="AZ274" s="5" t="s">
        <v>309</v>
      </c>
      <c r="BD274" s="9" t="n">
        <v>45596</v>
      </c>
      <c r="BE274" s="9" t="n">
        <v>45596</v>
      </c>
      <c r="BJ274" s="5" t="n">
        <v>2020</v>
      </c>
      <c r="BK274" s="11" t="n">
        <v>36526</v>
      </c>
    </row>
    <row r="275" customFormat="false" ht="16.5" hidden="false" customHeight="true" outlineLevel="0" collapsed="false">
      <c r="A275" s="5" t="s">
        <v>1448</v>
      </c>
      <c r="C275" s="5"/>
      <c r="D275" s="5" t="s">
        <v>62</v>
      </c>
      <c r="E275" s="5" t="n">
        <v>283201</v>
      </c>
      <c r="F275" s="5" t="n">
        <v>283201</v>
      </c>
      <c r="G275" s="5" t="s">
        <v>147</v>
      </c>
      <c r="H275" s="6" t="n">
        <v>308689</v>
      </c>
      <c r="I275" s="6" t="n">
        <v>308689</v>
      </c>
      <c r="J275" s="7" t="n">
        <v>283201</v>
      </c>
      <c r="K275" s="7" t="n">
        <v>283201</v>
      </c>
      <c r="L275" s="5" t="s">
        <v>84</v>
      </c>
      <c r="M275" s="5" t="s">
        <v>65</v>
      </c>
      <c r="N275" s="8" t="s">
        <v>1449</v>
      </c>
      <c r="U275" s="5"/>
      <c r="V275" s="5" t="s">
        <v>1450</v>
      </c>
      <c r="X275" s="5" t="s">
        <v>151</v>
      </c>
      <c r="Y275" s="5" t="s">
        <v>73</v>
      </c>
      <c r="AI275" s="9" t="n">
        <v>45246</v>
      </c>
      <c r="AL275" s="5" t="n">
        <v>308689</v>
      </c>
      <c r="AM275" s="5" t="s">
        <v>153</v>
      </c>
      <c r="AN275" s="5"/>
      <c r="AQ275" s="5" t="s">
        <v>77</v>
      </c>
      <c r="AR275" s="5" t="s">
        <v>151</v>
      </c>
      <c r="AS275" s="5" t="s">
        <v>73</v>
      </c>
      <c r="AT275" s="5" t="s">
        <v>78</v>
      </c>
      <c r="AW275" s="5" t="s">
        <v>94</v>
      </c>
      <c r="AX275" s="10" t="str">
        <f aca="false">IFERROR(INDEX('full database 2024'!ar:ar, MATCH(A275, 'full database 2024'!b:b, 0)), "")</f>
        <v/>
      </c>
      <c r="AZ275" s="5" t="s">
        <v>129</v>
      </c>
      <c r="BD275" s="9" t="n">
        <v>45596</v>
      </c>
      <c r="BE275" s="9" t="n">
        <v>45779</v>
      </c>
      <c r="BJ275" s="5" t="n">
        <v>2023</v>
      </c>
      <c r="BK275" s="5" t="s">
        <v>1043</v>
      </c>
    </row>
    <row r="276" customFormat="false" ht="16.5" hidden="false" customHeight="true" outlineLevel="0" collapsed="false">
      <c r="A276" s="5" t="s">
        <v>1451</v>
      </c>
      <c r="B276" s="5" t="s">
        <v>1452</v>
      </c>
      <c r="C276" s="5"/>
      <c r="D276" s="5" t="s">
        <v>62</v>
      </c>
      <c r="E276" s="16" t="n">
        <v>282568</v>
      </c>
      <c r="F276" s="16" t="n">
        <v>282568</v>
      </c>
      <c r="G276" s="5" t="s">
        <v>132</v>
      </c>
      <c r="H276" s="6" t="n">
        <v>353210</v>
      </c>
      <c r="I276" s="6" t="n">
        <v>353210</v>
      </c>
      <c r="J276" s="7" t="n">
        <f aca="false">E276*1.19</f>
        <v>336255.92</v>
      </c>
      <c r="K276" s="7" t="n">
        <f aca="false">F276*1.19</f>
        <v>336255.92</v>
      </c>
      <c r="L276" s="5" t="s">
        <v>84</v>
      </c>
      <c r="M276" s="5" t="s">
        <v>65</v>
      </c>
      <c r="N276" s="8" t="s">
        <v>1453</v>
      </c>
      <c r="O276" s="5" t="s">
        <v>1454</v>
      </c>
      <c r="T276" s="5" t="s">
        <v>1455</v>
      </c>
      <c r="V276" s="5" t="s">
        <v>1456</v>
      </c>
      <c r="X276" s="5" t="s">
        <v>139</v>
      </c>
      <c r="Y276" s="5" t="s">
        <v>73</v>
      </c>
      <c r="AI276" s="9" t="n">
        <v>44933</v>
      </c>
      <c r="AJ276" s="5" t="n">
        <v>17</v>
      </c>
      <c r="AK276" s="5" t="s">
        <v>433</v>
      </c>
      <c r="AL276" s="5" t="n">
        <v>20777</v>
      </c>
      <c r="AM276" s="5" t="s">
        <v>140</v>
      </c>
      <c r="AN276" s="5" t="s">
        <v>699</v>
      </c>
      <c r="AQ276" s="5" t="s">
        <v>77</v>
      </c>
      <c r="AR276" s="5" t="s">
        <v>143</v>
      </c>
      <c r="AS276" s="5" t="s">
        <v>73</v>
      </c>
      <c r="AT276" s="5" t="s">
        <v>78</v>
      </c>
      <c r="AW276" s="5" t="s">
        <v>94</v>
      </c>
      <c r="AX276" s="10" t="str">
        <f aca="false">IFERROR(INDEX('full database 2024'!ar:ar, MATCH(A276, 'full database 2024'!b:b, 0)), "")</f>
        <v/>
      </c>
      <c r="AY276" s="5" t="s">
        <v>297</v>
      </c>
      <c r="AZ276" s="5" t="s">
        <v>540</v>
      </c>
      <c r="BD276" s="9" t="n">
        <v>45596</v>
      </c>
      <c r="BE276" s="9" t="n">
        <v>45779</v>
      </c>
      <c r="BJ276" s="5" t="n">
        <v>2023</v>
      </c>
      <c r="BK276" s="11" t="n">
        <v>36526</v>
      </c>
    </row>
    <row r="277" customFormat="false" ht="16.5" hidden="false" customHeight="true" outlineLevel="0" collapsed="false">
      <c r="A277" s="5" t="s">
        <v>1457</v>
      </c>
      <c r="B277" s="5"/>
      <c r="C277" s="5"/>
      <c r="D277" s="5" t="s">
        <v>62</v>
      </c>
      <c r="E277" s="5" t="n">
        <v>281501</v>
      </c>
      <c r="F277" s="5" t="n">
        <v>281501</v>
      </c>
      <c r="G277" s="5" t="s">
        <v>147</v>
      </c>
      <c r="H277" s="6" t="n">
        <v>320911</v>
      </c>
      <c r="I277" s="6" t="n">
        <v>304021</v>
      </c>
      <c r="J277" s="7" t="n">
        <v>281501</v>
      </c>
      <c r="K277" s="7" t="n">
        <v>281501</v>
      </c>
      <c r="L277" s="5" t="s">
        <v>84</v>
      </c>
      <c r="M277" s="5" t="s">
        <v>65</v>
      </c>
      <c r="N277" s="5"/>
      <c r="O277" s="5"/>
      <c r="T277" s="5"/>
      <c r="V277" s="5" t="s">
        <v>1187</v>
      </c>
      <c r="X277" s="5" t="s">
        <v>151</v>
      </c>
      <c r="Y277" s="5" t="s">
        <v>73</v>
      </c>
      <c r="AI277" s="9" t="n">
        <v>43832</v>
      </c>
      <c r="AJ277" s="5"/>
      <c r="AK277" s="5"/>
      <c r="AL277" s="5" t="n">
        <v>320911</v>
      </c>
      <c r="AM277" s="5" t="s">
        <v>821</v>
      </c>
      <c r="AN277" s="5"/>
      <c r="AQ277" s="5" t="s">
        <v>77</v>
      </c>
      <c r="AR277" s="5" t="s">
        <v>151</v>
      </c>
      <c r="AS277" s="5" t="s">
        <v>73</v>
      </c>
      <c r="AT277" s="5" t="s">
        <v>78</v>
      </c>
      <c r="AW277" s="5" t="s">
        <v>94</v>
      </c>
      <c r="AX277" s="10" t="str">
        <f aca="false">IFERROR(INDEX('full database 2024'!ar:ar, MATCH(A277, 'full database 2024'!b:b, 0)), "")</f>
        <v/>
      </c>
      <c r="AZ277" s="5" t="s">
        <v>309</v>
      </c>
      <c r="BD277" s="9" t="n">
        <v>45596</v>
      </c>
      <c r="BE277" s="9" t="n">
        <v>45596</v>
      </c>
      <c r="BJ277" s="5" t="n">
        <v>2020</v>
      </c>
      <c r="BK277" s="11" t="n">
        <v>36526</v>
      </c>
    </row>
    <row r="278" customFormat="false" ht="16.5" hidden="false" customHeight="true" outlineLevel="0" collapsed="false">
      <c r="A278" s="5" t="s">
        <v>1458</v>
      </c>
      <c r="C278" s="5"/>
      <c r="D278" s="5" t="s">
        <v>62</v>
      </c>
      <c r="E278" s="5" t="n">
        <v>278567</v>
      </c>
      <c r="F278" s="5" t="n">
        <v>278567</v>
      </c>
      <c r="G278" s="5" t="s">
        <v>147</v>
      </c>
      <c r="H278" s="6" t="n">
        <v>317566</v>
      </c>
      <c r="I278" s="6" t="n">
        <v>300852</v>
      </c>
      <c r="J278" s="7" t="n">
        <v>278567</v>
      </c>
      <c r="K278" s="7" t="n">
        <v>278567</v>
      </c>
      <c r="L278" s="5" t="s">
        <v>84</v>
      </c>
      <c r="M278" s="5" t="s">
        <v>65</v>
      </c>
      <c r="V278" s="5" t="s">
        <v>1459</v>
      </c>
      <c r="X278" s="5" t="s">
        <v>151</v>
      </c>
      <c r="Y278" s="5" t="s">
        <v>73</v>
      </c>
      <c r="AI278" s="9" t="n">
        <v>43832</v>
      </c>
      <c r="AL278" s="5" t="n">
        <v>317566</v>
      </c>
      <c r="AM278" s="5" t="s">
        <v>821</v>
      </c>
      <c r="AN278" s="5"/>
      <c r="AQ278" s="5" t="s">
        <v>77</v>
      </c>
      <c r="AR278" s="5" t="s">
        <v>151</v>
      </c>
      <c r="AS278" s="5" t="s">
        <v>73</v>
      </c>
      <c r="AT278" s="5" t="s">
        <v>78</v>
      </c>
      <c r="AW278" s="5" t="s">
        <v>94</v>
      </c>
      <c r="AX278" s="10" t="str">
        <f aca="false">IFERROR(INDEX('full database 2024'!ar:ar, MATCH(A278, 'full database 2024'!b:b, 0)), "")</f>
        <v/>
      </c>
      <c r="AZ278" s="5" t="s">
        <v>309</v>
      </c>
      <c r="BD278" s="9" t="n">
        <v>45596</v>
      </c>
      <c r="BE278" s="9" t="n">
        <v>45596</v>
      </c>
      <c r="BJ278" s="5" t="n">
        <v>2020</v>
      </c>
      <c r="BK278" s="11" t="n">
        <v>36526</v>
      </c>
    </row>
    <row r="279" customFormat="false" ht="16.5" hidden="false" customHeight="true" outlineLevel="0" collapsed="false">
      <c r="A279" s="5" t="s">
        <v>1460</v>
      </c>
      <c r="C279" s="5"/>
      <c r="D279" s="5" t="s">
        <v>62</v>
      </c>
      <c r="E279" s="5" t="n">
        <v>278524</v>
      </c>
      <c r="F279" s="5" t="n">
        <v>278524</v>
      </c>
      <c r="G279" s="5" t="s">
        <v>147</v>
      </c>
      <c r="H279" s="6" t="n">
        <v>317517</v>
      </c>
      <c r="I279" s="6" t="n">
        <v>300806</v>
      </c>
      <c r="J279" s="7" t="n">
        <v>278524</v>
      </c>
      <c r="K279" s="7" t="n">
        <v>278524</v>
      </c>
      <c r="L279" s="5" t="s">
        <v>84</v>
      </c>
      <c r="M279" s="5" t="s">
        <v>65</v>
      </c>
      <c r="U279" s="5" t="s">
        <v>1461</v>
      </c>
      <c r="V279" s="5" t="s">
        <v>1302</v>
      </c>
      <c r="X279" s="5" t="s">
        <v>151</v>
      </c>
      <c r="Y279" s="5" t="s">
        <v>73</v>
      </c>
      <c r="AI279" s="9" t="n">
        <v>43832</v>
      </c>
      <c r="AL279" s="5" t="n">
        <v>317517</v>
      </c>
      <c r="AM279" s="5" t="s">
        <v>821</v>
      </c>
      <c r="AN279" s="5"/>
      <c r="AQ279" s="5" t="s">
        <v>77</v>
      </c>
      <c r="AR279" s="5" t="s">
        <v>151</v>
      </c>
      <c r="AS279" s="5" t="s">
        <v>73</v>
      </c>
      <c r="AT279" s="5" t="s">
        <v>78</v>
      </c>
      <c r="AW279" s="5" t="s">
        <v>94</v>
      </c>
      <c r="AX279" s="10" t="str">
        <f aca="false">IFERROR(INDEX('full database 2024'!ar:ar, MATCH(A279, 'full database 2024'!b:b, 0)), "")</f>
        <v/>
      </c>
      <c r="AZ279" s="5" t="s">
        <v>309</v>
      </c>
      <c r="BD279" s="9" t="n">
        <v>45596</v>
      </c>
      <c r="BE279" s="9" t="n">
        <v>45596</v>
      </c>
      <c r="BJ279" s="5" t="n">
        <v>2020</v>
      </c>
      <c r="BK279" s="11" t="n">
        <v>36526</v>
      </c>
    </row>
    <row r="280" customFormat="false" ht="16.5" hidden="false" customHeight="true" outlineLevel="0" collapsed="false">
      <c r="A280" s="5" t="s">
        <v>1462</v>
      </c>
      <c r="B280" s="5" t="s">
        <v>920</v>
      </c>
      <c r="C280" s="5"/>
      <c r="D280" s="5" t="s">
        <v>62</v>
      </c>
      <c r="E280" s="5" t="n">
        <v>275000</v>
      </c>
      <c r="F280" s="5" t="n">
        <v>275000</v>
      </c>
      <c r="G280" s="5" t="s">
        <v>147</v>
      </c>
      <c r="H280" s="6" t="n">
        <v>297145</v>
      </c>
      <c r="I280" s="6" t="n">
        <v>297145</v>
      </c>
      <c r="J280" s="7" t="n">
        <v>275000</v>
      </c>
      <c r="K280" s="7" t="n">
        <v>275000</v>
      </c>
      <c r="L280" s="5" t="s">
        <v>84</v>
      </c>
      <c r="M280" s="5"/>
      <c r="N280" s="8" t="s">
        <v>1463</v>
      </c>
      <c r="O280" s="5" t="s">
        <v>1464</v>
      </c>
      <c r="U280" s="5"/>
      <c r="V280" s="5" t="s">
        <v>923</v>
      </c>
      <c r="X280" s="5" t="s">
        <v>151</v>
      </c>
      <c r="Y280" s="5" t="s">
        <v>73</v>
      </c>
      <c r="AI280" s="9" t="n">
        <v>45200</v>
      </c>
      <c r="AL280" s="5" t="n">
        <v>297145</v>
      </c>
      <c r="AM280" s="5" t="s">
        <v>924</v>
      </c>
      <c r="AN280" s="5"/>
      <c r="AQ280" s="5" t="s">
        <v>77</v>
      </c>
      <c r="AR280" s="5" t="s">
        <v>151</v>
      </c>
      <c r="AS280" s="5" t="s">
        <v>73</v>
      </c>
      <c r="AT280" s="5" t="s">
        <v>78</v>
      </c>
      <c r="AW280" s="5" t="s">
        <v>94</v>
      </c>
      <c r="AX280" s="10" t="str">
        <f aca="false">IFERROR(INDEX('full database 2024'!ar:ar, MATCH(A280, 'full database 2024'!b:b, 0)), "")</f>
        <v/>
      </c>
      <c r="AZ280" s="5" t="s">
        <v>129</v>
      </c>
      <c r="BD280" s="9" t="n">
        <v>45671</v>
      </c>
      <c r="BE280" s="9" t="n">
        <v>45779</v>
      </c>
      <c r="BJ280" s="5" t="n">
        <v>2023</v>
      </c>
      <c r="BK280" s="5" t="s">
        <v>1465</v>
      </c>
    </row>
    <row r="281" customFormat="false" ht="16.5" hidden="false" customHeight="true" outlineLevel="0" collapsed="false">
      <c r="A281" s="5" t="s">
        <v>1466</v>
      </c>
      <c r="B281" s="5" t="s">
        <v>1467</v>
      </c>
      <c r="C281" s="5"/>
      <c r="D281" s="5" t="s">
        <v>62</v>
      </c>
      <c r="E281" s="16" t="n">
        <f aca="false">272569/2</f>
        <v>136284.5</v>
      </c>
      <c r="F281" s="16" t="n">
        <f aca="false">272569/2</f>
        <v>136284.5</v>
      </c>
      <c r="G281" s="5" t="s">
        <v>132</v>
      </c>
      <c r="H281" s="6" t="n">
        <v>340711</v>
      </c>
      <c r="I281" s="6" t="n">
        <v>340711</v>
      </c>
      <c r="J281" s="7" t="n">
        <f aca="false">E281*1.19</f>
        <v>162178.555</v>
      </c>
      <c r="K281" s="7" t="n">
        <f aca="false">F281*1.19</f>
        <v>162178.555</v>
      </c>
      <c r="L281" s="5" t="s">
        <v>84</v>
      </c>
      <c r="M281" s="5" t="s">
        <v>65</v>
      </c>
      <c r="N281" s="8" t="s">
        <v>1468</v>
      </c>
      <c r="O281" s="5" t="s">
        <v>1469</v>
      </c>
      <c r="P281" s="5"/>
      <c r="Q281" s="5"/>
      <c r="R281" s="5" t="s">
        <v>1470</v>
      </c>
      <c r="V281" s="5" t="s">
        <v>847</v>
      </c>
      <c r="W281" s="5" t="s">
        <v>102</v>
      </c>
      <c r="X281" s="5" t="s">
        <v>139</v>
      </c>
      <c r="Y281" s="5" t="s">
        <v>73</v>
      </c>
      <c r="AD281" s="5" t="s">
        <v>1471</v>
      </c>
      <c r="AE281" s="5" t="s">
        <v>74</v>
      </c>
      <c r="AH281" s="9" t="n">
        <v>45488</v>
      </c>
      <c r="AI281" s="9" t="n">
        <v>45505</v>
      </c>
      <c r="AL281" s="5" t="n">
        <v>340711</v>
      </c>
      <c r="AM281" s="5" t="s">
        <v>140</v>
      </c>
      <c r="AN281" s="5" t="s">
        <v>699</v>
      </c>
      <c r="AQ281" s="5" t="s">
        <v>77</v>
      </c>
      <c r="AR281" s="5" t="s">
        <v>143</v>
      </c>
      <c r="AS281" s="5" t="s">
        <v>73</v>
      </c>
      <c r="AT281" s="5" t="s">
        <v>374</v>
      </c>
      <c r="AW281" s="5" t="s">
        <v>94</v>
      </c>
      <c r="AX281" s="10" t="str">
        <f aca="false">IFERROR(INDEX('full database 2024'!ar:ar, MATCH(A281, 'full database 2024'!b:b, 0)), "")</f>
        <v/>
      </c>
      <c r="AZ281" s="5" t="s">
        <v>239</v>
      </c>
      <c r="BD281" s="9" t="n">
        <v>45491</v>
      </c>
      <c r="BE281" s="9" t="n">
        <v>45733</v>
      </c>
      <c r="BJ281" s="5" t="n">
        <v>2024</v>
      </c>
      <c r="BK281" s="5"/>
    </row>
    <row r="282" customFormat="false" ht="16.5" hidden="false" customHeight="true" outlineLevel="0" collapsed="false">
      <c r="A282" s="5" t="s">
        <v>1466</v>
      </c>
      <c r="B282" s="5" t="s">
        <v>1467</v>
      </c>
      <c r="C282" s="5"/>
      <c r="D282" s="5" t="s">
        <v>62</v>
      </c>
      <c r="E282" s="16" t="n">
        <f aca="false">272569/2</f>
        <v>136284.5</v>
      </c>
      <c r="F282" s="16" t="n">
        <f aca="false">272569/2</f>
        <v>136284.5</v>
      </c>
      <c r="G282" s="5" t="s">
        <v>132</v>
      </c>
      <c r="H282" s="6" t="n">
        <v>340711</v>
      </c>
      <c r="I282" s="6" t="n">
        <v>340711</v>
      </c>
      <c r="J282" s="7" t="n">
        <f aca="false">E282*1.19</f>
        <v>162178.555</v>
      </c>
      <c r="K282" s="7" t="n">
        <f aca="false">F282*1.19</f>
        <v>162178.555</v>
      </c>
      <c r="L282" s="5" t="s">
        <v>84</v>
      </c>
      <c r="M282" s="5" t="s">
        <v>65</v>
      </c>
      <c r="N282" s="8" t="s">
        <v>1468</v>
      </c>
      <c r="O282" s="5" t="s">
        <v>1469</v>
      </c>
      <c r="P282" s="5"/>
      <c r="Q282" s="5"/>
      <c r="R282" s="5" t="s">
        <v>1470</v>
      </c>
      <c r="V282" s="5" t="s">
        <v>1472</v>
      </c>
      <c r="W282" s="5" t="s">
        <v>102</v>
      </c>
      <c r="X282" s="5" t="s">
        <v>737</v>
      </c>
      <c r="Y282" s="5" t="s">
        <v>73</v>
      </c>
      <c r="AD282" s="5" t="s">
        <v>1473</v>
      </c>
      <c r="AE282" s="5" t="s">
        <v>74</v>
      </c>
      <c r="AH282" s="9" t="n">
        <v>45488</v>
      </c>
      <c r="AI282" s="9" t="n">
        <v>45505</v>
      </c>
      <c r="AL282" s="5" t="n">
        <v>340711</v>
      </c>
      <c r="AM282" s="5" t="s">
        <v>736</v>
      </c>
      <c r="AN282" s="5"/>
      <c r="AQ282" s="5" t="s">
        <v>77</v>
      </c>
      <c r="AR282" s="5" t="s">
        <v>737</v>
      </c>
      <c r="AS282" s="5" t="s">
        <v>73</v>
      </c>
      <c r="AT282" s="5" t="s">
        <v>374</v>
      </c>
      <c r="AW282" s="5" t="s">
        <v>94</v>
      </c>
      <c r="AX282" s="10" t="str">
        <f aca="false">IFERROR(INDEX('full database 2024'!ar:ar, MATCH(A282, 'full database 2024'!b:b, 0)), "")</f>
        <v/>
      </c>
      <c r="AZ282" s="5" t="s">
        <v>239</v>
      </c>
      <c r="BD282" s="9" t="n">
        <v>45491</v>
      </c>
      <c r="BE282" s="9" t="n">
        <v>45733</v>
      </c>
      <c r="BJ282" s="5" t="n">
        <v>2024</v>
      </c>
      <c r="BK282" s="5"/>
    </row>
    <row r="283" customFormat="false" ht="16.5" hidden="false" customHeight="true" outlineLevel="0" collapsed="false">
      <c r="A283" s="5" t="s">
        <v>1474</v>
      </c>
      <c r="B283" s="5"/>
      <c r="C283" s="5"/>
      <c r="D283" s="5" t="s">
        <v>62</v>
      </c>
      <c r="E283" s="5" t="n">
        <v>270866</v>
      </c>
      <c r="F283" s="5" t="n">
        <v>270866</v>
      </c>
      <c r="G283" s="5" t="s">
        <v>147</v>
      </c>
      <c r="H283" s="6" t="n">
        <v>295244</v>
      </c>
      <c r="I283" s="6" t="n">
        <v>295244</v>
      </c>
      <c r="J283" s="7" t="n">
        <v>270866</v>
      </c>
      <c r="K283" s="7" t="n">
        <v>270866</v>
      </c>
      <c r="L283" s="5" t="s">
        <v>84</v>
      </c>
      <c r="M283" s="5" t="s">
        <v>65</v>
      </c>
      <c r="N283" s="5"/>
      <c r="O283" s="5"/>
      <c r="P283" s="5"/>
      <c r="Q283" s="5"/>
      <c r="R283" s="5"/>
      <c r="V283" s="5" t="s">
        <v>1184</v>
      </c>
      <c r="W283" s="5"/>
      <c r="X283" s="5" t="s">
        <v>151</v>
      </c>
      <c r="Y283" s="5" t="s">
        <v>73</v>
      </c>
      <c r="AD283" s="5"/>
      <c r="AE283" s="5"/>
      <c r="AH283" s="9"/>
      <c r="AI283" s="9" t="n">
        <v>44835</v>
      </c>
      <c r="AL283" s="5" t="n">
        <v>295244</v>
      </c>
      <c r="AM283" s="5" t="s">
        <v>821</v>
      </c>
      <c r="AN283" s="5"/>
      <c r="AQ283" s="5" t="s">
        <v>77</v>
      </c>
      <c r="AR283" s="5" t="s">
        <v>151</v>
      </c>
      <c r="AS283" s="5" t="s">
        <v>73</v>
      </c>
      <c r="AT283" s="5" t="s">
        <v>374</v>
      </c>
      <c r="AW283" s="5" t="s">
        <v>94</v>
      </c>
      <c r="AX283" s="10" t="str">
        <f aca="false">IFERROR(INDEX('full database 2024'!ar:ar, MATCH(A283, 'full database 2024'!b:b, 0)), "")</f>
        <v/>
      </c>
      <c r="AZ283" s="5" t="s">
        <v>857</v>
      </c>
      <c r="BD283" s="9" t="n">
        <v>45596</v>
      </c>
      <c r="BE283" s="9" t="n">
        <v>45596</v>
      </c>
      <c r="BJ283" s="5" t="n">
        <v>2022</v>
      </c>
    </row>
    <row r="284" customFormat="false" ht="16.5" hidden="false" customHeight="true" outlineLevel="0" collapsed="false">
      <c r="A284" s="5" t="s">
        <v>1475</v>
      </c>
      <c r="C284" s="5"/>
      <c r="D284" s="5" t="s">
        <v>62</v>
      </c>
      <c r="E284" s="5" t="n">
        <v>270530</v>
      </c>
      <c r="F284" s="5" t="n">
        <v>270530</v>
      </c>
      <c r="G284" s="5" t="s">
        <v>147</v>
      </c>
      <c r="H284" s="6" t="n">
        <v>290270</v>
      </c>
      <c r="I284" s="6" t="n">
        <v>0</v>
      </c>
      <c r="J284" s="7" t="n">
        <v>270530</v>
      </c>
      <c r="K284" s="5" t="n">
        <v>270530</v>
      </c>
      <c r="L284" s="5" t="s">
        <v>84</v>
      </c>
      <c r="M284" s="5" t="s">
        <v>65</v>
      </c>
      <c r="N284" s="8" t="s">
        <v>1476</v>
      </c>
      <c r="P284" s="5"/>
      <c r="Q284" s="5"/>
      <c r="R284" s="5" t="s">
        <v>1477</v>
      </c>
      <c r="T284" s="5" t="s">
        <v>1478</v>
      </c>
      <c r="U284" s="5" t="s">
        <v>1479</v>
      </c>
      <c r="V284" s="5" t="s">
        <v>1480</v>
      </c>
      <c r="W284" s="5" t="s">
        <v>90</v>
      </c>
      <c r="X284" s="5" t="s">
        <v>151</v>
      </c>
      <c r="Y284" s="5" t="s">
        <v>73</v>
      </c>
      <c r="Z284" s="5" t="s">
        <v>70</v>
      </c>
      <c r="AC284" s="5" t="s">
        <v>1481</v>
      </c>
      <c r="AD284" s="5" t="s">
        <v>1480</v>
      </c>
      <c r="AE284" s="5" t="s">
        <v>117</v>
      </c>
      <c r="AI284" s="9" t="n">
        <v>44013</v>
      </c>
      <c r="AJ284" s="5" t="n">
        <v>3</v>
      </c>
      <c r="AK284" s="5" t="s">
        <v>75</v>
      </c>
      <c r="AL284" s="5" t="n">
        <v>96757</v>
      </c>
      <c r="AM284" s="5" t="s">
        <v>924</v>
      </c>
      <c r="AN284" s="5"/>
      <c r="AQ284" s="5" t="s">
        <v>93</v>
      </c>
      <c r="AR284" s="5" t="s">
        <v>151</v>
      </c>
      <c r="AS284" s="5" t="s">
        <v>73</v>
      </c>
      <c r="AT284" s="5" t="s">
        <v>78</v>
      </c>
      <c r="AW284" s="5" t="s">
        <v>94</v>
      </c>
      <c r="AX284" s="10" t="str">
        <f aca="false">IFERROR(INDEX('full database 2024'!ar:ar, MATCH(A284, 'full database 2024'!b:b, 0)), "")</f>
        <v/>
      </c>
      <c r="AY284" s="5" t="s">
        <v>501</v>
      </c>
      <c r="AZ284" s="5" t="s">
        <v>188</v>
      </c>
      <c r="BD284" s="9" t="n">
        <v>44999</v>
      </c>
      <c r="BE284" s="9" t="n">
        <v>45035</v>
      </c>
      <c r="BI284" s="5" t="s">
        <v>81</v>
      </c>
      <c r="BJ284" s="5" t="n">
        <v>2020</v>
      </c>
      <c r="BK284" s="11" t="n">
        <v>44933</v>
      </c>
    </row>
    <row r="285" customFormat="false" ht="16.5" hidden="false" customHeight="true" outlineLevel="0" collapsed="false">
      <c r="A285" s="5" t="s">
        <v>1482</v>
      </c>
      <c r="C285" s="5"/>
      <c r="D285" s="5" t="s">
        <v>62</v>
      </c>
      <c r="E285" s="5" t="n">
        <v>268696</v>
      </c>
      <c r="F285" s="5" t="n">
        <v>268696</v>
      </c>
      <c r="G285" s="5" t="s">
        <v>147</v>
      </c>
      <c r="H285" s="6" t="n">
        <v>299871</v>
      </c>
      <c r="I285" s="6" t="n">
        <v>299871</v>
      </c>
      <c r="J285" s="7" t="n">
        <v>268696</v>
      </c>
      <c r="K285" s="7" t="n">
        <v>268696</v>
      </c>
      <c r="L285" s="5" t="s">
        <v>84</v>
      </c>
      <c r="M285" s="5" t="s">
        <v>65</v>
      </c>
      <c r="N285" s="8" t="s">
        <v>1483</v>
      </c>
      <c r="P285" s="5"/>
      <c r="Q285" s="5"/>
      <c r="R285" s="5"/>
      <c r="T285" s="5"/>
      <c r="U285" s="5"/>
      <c r="V285" s="5" t="s">
        <v>1484</v>
      </c>
      <c r="W285" s="5"/>
      <c r="X285" s="5" t="s">
        <v>151</v>
      </c>
      <c r="Y285" s="5" t="s">
        <v>73</v>
      </c>
      <c r="Z285" s="5"/>
      <c r="AC285" s="5"/>
      <c r="AD285" s="5"/>
      <c r="AE285" s="5"/>
      <c r="AI285" s="9" t="n">
        <v>43862</v>
      </c>
      <c r="AJ285" s="5"/>
      <c r="AK285" s="5"/>
      <c r="AL285" s="5" t="n">
        <v>299871</v>
      </c>
      <c r="AM285" s="5" t="s">
        <v>821</v>
      </c>
      <c r="AN285" s="5"/>
      <c r="AQ285" s="5" t="s">
        <v>77</v>
      </c>
      <c r="AR285" s="5" t="s">
        <v>151</v>
      </c>
      <c r="AS285" s="5" t="s">
        <v>73</v>
      </c>
      <c r="AT285" s="5" t="s">
        <v>105</v>
      </c>
      <c r="AU285" s="10" t="s">
        <v>106</v>
      </c>
      <c r="AW285" s="5" t="s">
        <v>94</v>
      </c>
      <c r="AX285" s="10" t="str">
        <f aca="false">IFERROR(INDEX('full database 2024'!ar:ar, MATCH(A285, 'full database 2024'!b:b, 0)), "")</f>
        <v/>
      </c>
      <c r="AZ285" s="5" t="s">
        <v>540</v>
      </c>
      <c r="BD285" s="9" t="n">
        <v>45596</v>
      </c>
      <c r="BE285" s="9" t="n">
        <v>45596</v>
      </c>
      <c r="BI285" s="5"/>
      <c r="BJ285" s="5" t="n">
        <v>2020</v>
      </c>
      <c r="BK285" s="11" t="n">
        <v>36526</v>
      </c>
    </row>
    <row r="286" customFormat="false" ht="16.5" hidden="false" customHeight="true" outlineLevel="0" collapsed="false">
      <c r="A286" s="5" t="s">
        <v>1485</v>
      </c>
      <c r="C286" s="5"/>
      <c r="D286" s="5" t="s">
        <v>62</v>
      </c>
      <c r="E286" s="5" t="n">
        <v>267529</v>
      </c>
      <c r="F286" s="5" t="n">
        <v>267529</v>
      </c>
      <c r="G286" s="5" t="s">
        <v>147</v>
      </c>
      <c r="H286" s="6" t="n">
        <v>291607</v>
      </c>
      <c r="I286" s="6" t="n">
        <v>291607</v>
      </c>
      <c r="J286" s="7" t="n">
        <v>267529</v>
      </c>
      <c r="K286" s="7" t="n">
        <v>267529</v>
      </c>
      <c r="L286" s="5" t="s">
        <v>84</v>
      </c>
      <c r="M286" s="5" t="s">
        <v>65</v>
      </c>
      <c r="N286" s="5"/>
      <c r="V286" s="5" t="s">
        <v>1035</v>
      </c>
      <c r="X286" s="5"/>
      <c r="Y286" s="5" t="s">
        <v>73</v>
      </c>
      <c r="AI286" s="9" t="n">
        <v>44470</v>
      </c>
      <c r="AL286" s="5" t="n">
        <v>291607</v>
      </c>
      <c r="AM286" s="5" t="s">
        <v>924</v>
      </c>
      <c r="AN286" s="5"/>
      <c r="AQ286" s="5" t="s">
        <v>77</v>
      </c>
      <c r="AR286" s="5" t="s">
        <v>151</v>
      </c>
      <c r="AS286" s="5" t="s">
        <v>73</v>
      </c>
      <c r="AT286" s="5" t="s">
        <v>78</v>
      </c>
      <c r="AW286" s="5" t="s">
        <v>94</v>
      </c>
      <c r="AX286" s="10" t="str">
        <f aca="false">IFERROR(INDEX('full database 2024'!ar:ar, MATCH(A286, 'full database 2024'!b:b, 0)), "")</f>
        <v/>
      </c>
      <c r="AY286" s="5" t="s">
        <v>297</v>
      </c>
      <c r="AZ286" s="5" t="s">
        <v>188</v>
      </c>
      <c r="BD286" s="9" t="n">
        <v>45596</v>
      </c>
      <c r="BE286" s="9" t="n">
        <v>45596</v>
      </c>
      <c r="BJ286" s="5" t="n">
        <v>2021</v>
      </c>
      <c r="BK286" s="11"/>
    </row>
    <row r="287" customFormat="false" ht="16.5" hidden="false" customHeight="true" outlineLevel="0" collapsed="false">
      <c r="A287" s="5" t="s">
        <v>1486</v>
      </c>
      <c r="B287" s="5" t="s">
        <v>920</v>
      </c>
      <c r="C287" s="5"/>
      <c r="D287" s="5" t="s">
        <v>62</v>
      </c>
      <c r="E287" s="5" t="n">
        <v>266298</v>
      </c>
      <c r="F287" s="5" t="n">
        <v>266298</v>
      </c>
      <c r="G287" s="5" t="s">
        <v>147</v>
      </c>
      <c r="H287" s="6" t="n">
        <v>293555</v>
      </c>
      <c r="I287" s="6" t="n">
        <v>293555</v>
      </c>
      <c r="J287" s="7" t="n">
        <v>266298</v>
      </c>
      <c r="K287" s="7" t="n">
        <v>266298</v>
      </c>
      <c r="L287" s="5" t="s">
        <v>84</v>
      </c>
      <c r="M287" s="5"/>
      <c r="N287" s="8" t="s">
        <v>1487</v>
      </c>
      <c r="O287" s="5" t="s">
        <v>1488</v>
      </c>
      <c r="V287" s="5" t="s">
        <v>923</v>
      </c>
      <c r="X287" s="5" t="s">
        <v>151</v>
      </c>
      <c r="Y287" s="5" t="s">
        <v>73</v>
      </c>
      <c r="AI287" s="9" t="n">
        <v>44197</v>
      </c>
      <c r="AL287" s="5" t="n">
        <v>293555</v>
      </c>
      <c r="AM287" s="5" t="s">
        <v>924</v>
      </c>
      <c r="AN287" s="5"/>
      <c r="AQ287" s="5" t="s">
        <v>77</v>
      </c>
      <c r="AR287" s="5" t="s">
        <v>151</v>
      </c>
      <c r="AS287" s="5" t="s">
        <v>73</v>
      </c>
      <c r="AT287" s="5" t="s">
        <v>78</v>
      </c>
      <c r="AW287" s="5" t="s">
        <v>94</v>
      </c>
      <c r="AX287" s="10" t="str">
        <f aca="false">IFERROR(INDEX('full database 2024'!ar:ar, MATCH(A287, 'full database 2024'!b:b, 0)), "")</f>
        <v/>
      </c>
      <c r="AZ287" s="5" t="s">
        <v>188</v>
      </c>
      <c r="BD287" s="9" t="n">
        <v>45671</v>
      </c>
      <c r="BE287" s="9" t="n">
        <v>45779</v>
      </c>
      <c r="BJ287" s="5" t="n">
        <v>2021</v>
      </c>
      <c r="BK287" s="5" t="s">
        <v>1489</v>
      </c>
    </row>
    <row r="288" customFormat="false" ht="16.5" hidden="false" customHeight="true" outlineLevel="0" collapsed="false">
      <c r="A288" s="5" t="s">
        <v>1490</v>
      </c>
      <c r="B288" s="5" t="s">
        <v>1491</v>
      </c>
      <c r="C288" s="5"/>
      <c r="D288" s="5" t="s">
        <v>62</v>
      </c>
      <c r="E288" s="16" t="n">
        <v>266294</v>
      </c>
      <c r="F288" s="16" t="n">
        <v>266294</v>
      </c>
      <c r="G288" s="5" t="s">
        <v>132</v>
      </c>
      <c r="H288" s="6" t="n">
        <v>343519</v>
      </c>
      <c r="I288" s="6" t="n">
        <v>343519</v>
      </c>
      <c r="J288" s="7" t="n">
        <f aca="false">E288*1.19</f>
        <v>316889.86</v>
      </c>
      <c r="K288" s="7" t="n">
        <f aca="false">F288*1.19</f>
        <v>316889.86</v>
      </c>
      <c r="L288" s="5" t="s">
        <v>84</v>
      </c>
      <c r="M288" s="5" t="s">
        <v>65</v>
      </c>
      <c r="N288" s="8" t="s">
        <v>1492</v>
      </c>
      <c r="O288" s="5" t="s">
        <v>1493</v>
      </c>
      <c r="P288" s="5"/>
      <c r="Q288" s="5"/>
      <c r="R288" s="5" t="s">
        <v>928</v>
      </c>
      <c r="T288" s="5" t="s">
        <v>1137</v>
      </c>
      <c r="U288" s="5" t="s">
        <v>70</v>
      </c>
      <c r="V288" s="5" t="s">
        <v>1138</v>
      </c>
      <c r="W288" s="5" t="s">
        <v>102</v>
      </c>
      <c r="X288" s="5" t="s">
        <v>139</v>
      </c>
      <c r="Y288" s="5" t="s">
        <v>73</v>
      </c>
      <c r="Z288" s="5" t="s">
        <v>70</v>
      </c>
      <c r="AE288" s="5" t="s">
        <v>117</v>
      </c>
      <c r="AI288" s="9" t="n">
        <v>45210</v>
      </c>
      <c r="AJ288" s="5" t="n">
        <v>1</v>
      </c>
      <c r="AK288" s="5" t="s">
        <v>75</v>
      </c>
      <c r="AL288" s="5" t="n">
        <v>343519</v>
      </c>
      <c r="AM288" s="5" t="s">
        <v>140</v>
      </c>
      <c r="AN288" s="5" t="s">
        <v>699</v>
      </c>
      <c r="AQ288" s="5" t="s">
        <v>77</v>
      </c>
      <c r="AR288" s="5" t="s">
        <v>143</v>
      </c>
      <c r="AS288" s="5" t="s">
        <v>73</v>
      </c>
      <c r="AT288" s="5" t="s">
        <v>78</v>
      </c>
      <c r="AW288" s="5" t="s">
        <v>94</v>
      </c>
      <c r="AX288" s="10" t="str">
        <f aca="false">IFERROR(INDEX('full database 2024'!ar:ar, MATCH(A288, 'full database 2024'!b:b, 0)), "")</f>
        <v/>
      </c>
      <c r="AY288" s="5" t="s">
        <v>297</v>
      </c>
      <c r="AZ288" s="5" t="s">
        <v>188</v>
      </c>
      <c r="BD288" s="9" t="n">
        <v>45265</v>
      </c>
      <c r="BE288" s="9" t="n">
        <v>45779</v>
      </c>
      <c r="BI288" s="5" t="s">
        <v>81</v>
      </c>
      <c r="BJ288" s="5" t="n">
        <v>2023</v>
      </c>
      <c r="BK288" s="11" t="n">
        <v>45606</v>
      </c>
    </row>
    <row r="289" customFormat="false" ht="16.5" hidden="false" customHeight="true" outlineLevel="0" collapsed="false">
      <c r="A289" s="5" t="s">
        <v>1494</v>
      </c>
      <c r="B289" s="5"/>
      <c r="C289" s="5"/>
      <c r="D289" s="5" t="s">
        <v>62</v>
      </c>
      <c r="E289" s="5" t="n">
        <v>263285</v>
      </c>
      <c r="F289" s="5" t="n">
        <v>263285</v>
      </c>
      <c r="G289" s="5" t="s">
        <v>147</v>
      </c>
      <c r="H289" s="6" t="n">
        <v>286980</v>
      </c>
      <c r="I289" s="6" t="n">
        <v>286980</v>
      </c>
      <c r="J289" s="7" t="n">
        <v>263285</v>
      </c>
      <c r="K289" s="7" t="n">
        <v>263285</v>
      </c>
      <c r="L289" s="5" t="s">
        <v>84</v>
      </c>
      <c r="M289" s="5" t="s">
        <v>65</v>
      </c>
      <c r="N289" s="5"/>
      <c r="O289" s="5"/>
      <c r="P289" s="5"/>
      <c r="Q289" s="5"/>
      <c r="R289" s="5"/>
      <c r="T289" s="5"/>
      <c r="U289" s="5"/>
      <c r="V289" s="5" t="s">
        <v>1495</v>
      </c>
      <c r="W289" s="5"/>
      <c r="X289" s="5"/>
      <c r="Y289" s="5" t="s">
        <v>73</v>
      </c>
      <c r="Z289" s="5"/>
      <c r="AE289" s="5"/>
      <c r="AI289" s="9" t="n">
        <v>45292</v>
      </c>
      <c r="AJ289" s="5"/>
      <c r="AK289" s="5"/>
      <c r="AL289" s="5" t="n">
        <v>286980</v>
      </c>
      <c r="AM289" s="5" t="s">
        <v>153</v>
      </c>
      <c r="AN289" s="5"/>
      <c r="AQ289" s="5" t="s">
        <v>77</v>
      </c>
      <c r="AR289" s="5" t="s">
        <v>151</v>
      </c>
      <c r="AS289" s="5" t="s">
        <v>73</v>
      </c>
      <c r="AT289" s="5" t="s">
        <v>105</v>
      </c>
      <c r="AU289" s="10" t="s">
        <v>106</v>
      </c>
      <c r="AW289" s="5" t="s">
        <v>94</v>
      </c>
      <c r="AX289" s="10" t="str">
        <f aca="false">IFERROR(INDEX('full database 2024'!ar:ar, MATCH(A289, 'full database 2024'!b:b, 0)), "")</f>
        <v/>
      </c>
      <c r="AY289" s="5" t="s">
        <v>297</v>
      </c>
      <c r="AZ289" s="5" t="s">
        <v>188</v>
      </c>
      <c r="BD289" s="9" t="n">
        <v>45596</v>
      </c>
      <c r="BE289" s="9" t="n">
        <v>45596</v>
      </c>
      <c r="BI289" s="5"/>
      <c r="BJ289" s="5" t="n">
        <v>2024</v>
      </c>
      <c r="BK289" s="11"/>
    </row>
    <row r="290" customFormat="false" ht="16.5" hidden="false" customHeight="true" outlineLevel="0" collapsed="false">
      <c r="A290" s="5" t="s">
        <v>877</v>
      </c>
      <c r="C290" s="5"/>
      <c r="D290" s="5" t="s">
        <v>62</v>
      </c>
      <c r="E290" s="16" t="n">
        <v>261500</v>
      </c>
      <c r="F290" s="16" t="n">
        <v>209235</v>
      </c>
      <c r="G290" s="5" t="s">
        <v>132</v>
      </c>
      <c r="H290" s="6" t="n">
        <v>274575</v>
      </c>
      <c r="I290" s="6" t="n">
        <v>219697</v>
      </c>
      <c r="J290" s="7" t="n">
        <f aca="false">E290*1.19</f>
        <v>311185</v>
      </c>
      <c r="K290" s="7" t="n">
        <f aca="false">F290*1.19</f>
        <v>248989.65</v>
      </c>
      <c r="L290" s="5" t="s">
        <v>84</v>
      </c>
      <c r="M290" s="5" t="s">
        <v>65</v>
      </c>
      <c r="N290" s="8" t="s">
        <v>1496</v>
      </c>
      <c r="P290" s="5"/>
      <c r="Q290" s="5"/>
      <c r="R290" s="5" t="s">
        <v>670</v>
      </c>
      <c r="T290" s="5" t="s">
        <v>1497</v>
      </c>
      <c r="V290" s="5" t="s">
        <v>1498</v>
      </c>
      <c r="W290" s="5" t="s">
        <v>883</v>
      </c>
      <c r="X290" s="5" t="s">
        <v>139</v>
      </c>
      <c r="Y290" s="5" t="s">
        <v>73</v>
      </c>
      <c r="AE290" s="5" t="s">
        <v>117</v>
      </c>
      <c r="AI290" s="9" t="n">
        <v>44562</v>
      </c>
      <c r="AJ290" s="5" t="n">
        <v>3</v>
      </c>
      <c r="AK290" s="5" t="s">
        <v>75</v>
      </c>
      <c r="AL290" s="5" t="n">
        <v>91525</v>
      </c>
      <c r="AM290" s="5" t="s">
        <v>140</v>
      </c>
      <c r="AN290" s="5" t="s">
        <v>141</v>
      </c>
      <c r="AQ290" s="5" t="s">
        <v>77</v>
      </c>
      <c r="AR290" s="5" t="s">
        <v>143</v>
      </c>
      <c r="AS290" s="5" t="s">
        <v>73</v>
      </c>
      <c r="AT290" s="5" t="s">
        <v>78</v>
      </c>
      <c r="AW290" s="5" t="s">
        <v>94</v>
      </c>
      <c r="AX290" s="10" t="str">
        <f aca="false">IFERROR(INDEX('full database 2024'!ar:ar, MATCH(A290, 'full database 2024'!b:b, 0)), "")</f>
        <v/>
      </c>
      <c r="AZ290" s="5" t="s">
        <v>309</v>
      </c>
      <c r="BD290" s="9" t="n">
        <v>45377</v>
      </c>
      <c r="BE290" s="9" t="n">
        <v>45779</v>
      </c>
      <c r="BI290" s="5" t="s">
        <v>81</v>
      </c>
      <c r="BJ290" s="5" t="n">
        <v>2022</v>
      </c>
    </row>
    <row r="291" customFormat="false" ht="16.5" hidden="false" customHeight="true" outlineLevel="0" collapsed="false">
      <c r="A291" s="5" t="s">
        <v>1357</v>
      </c>
      <c r="C291" s="5"/>
      <c r="D291" s="5" t="s">
        <v>62</v>
      </c>
      <c r="E291" s="5" t="n">
        <v>259829</v>
      </c>
      <c r="F291" s="5" t="n">
        <v>259829</v>
      </c>
      <c r="G291" s="5" t="s">
        <v>147</v>
      </c>
      <c r="H291" s="6" t="n">
        <v>283214</v>
      </c>
      <c r="I291" s="6" t="n">
        <v>283214</v>
      </c>
      <c r="J291" s="7" t="n">
        <v>259829</v>
      </c>
      <c r="K291" s="7" t="n">
        <v>259829</v>
      </c>
      <c r="L291" s="5" t="s">
        <v>84</v>
      </c>
      <c r="M291" s="5" t="s">
        <v>65</v>
      </c>
      <c r="N291" s="5"/>
      <c r="P291" s="5"/>
      <c r="Q291" s="5"/>
      <c r="R291" s="5"/>
      <c r="T291" s="5"/>
      <c r="V291" s="5" t="s">
        <v>1499</v>
      </c>
      <c r="W291" s="5"/>
      <c r="X291" s="5"/>
      <c r="Y291" s="5" t="s">
        <v>73</v>
      </c>
      <c r="AE291" s="5"/>
      <c r="AI291" s="9" t="n">
        <v>45108</v>
      </c>
      <c r="AJ291" s="5"/>
      <c r="AK291" s="5"/>
      <c r="AL291" s="5" t="n">
        <v>283214</v>
      </c>
      <c r="AM291" s="5" t="s">
        <v>1359</v>
      </c>
      <c r="AN291" s="5"/>
      <c r="AQ291" s="5" t="s">
        <v>77</v>
      </c>
      <c r="AR291" s="5" t="s">
        <v>151</v>
      </c>
      <c r="AS291" s="5" t="s">
        <v>73</v>
      </c>
      <c r="AT291" s="5" t="s">
        <v>78</v>
      </c>
      <c r="AW291" s="5" t="s">
        <v>94</v>
      </c>
      <c r="AX291" s="10" t="str">
        <f aca="false">IFERROR(INDEX('full database 2024'!ar:ar, MATCH(A291, 'full database 2024'!b:b, 0)), "")</f>
        <v/>
      </c>
      <c r="AZ291" s="5" t="s">
        <v>129</v>
      </c>
      <c r="BD291" s="9" t="n">
        <v>45596</v>
      </c>
      <c r="BE291" s="9" t="n">
        <v>45596</v>
      </c>
      <c r="BI291" s="5"/>
      <c r="BJ291" s="5" t="n">
        <v>2023</v>
      </c>
    </row>
    <row r="292" customFormat="false" ht="16.5" hidden="false" customHeight="true" outlineLevel="0" collapsed="false">
      <c r="A292" s="5" t="s">
        <v>1500</v>
      </c>
      <c r="C292" s="5"/>
      <c r="D292" s="5" t="s">
        <v>62</v>
      </c>
      <c r="E292" s="16" t="n">
        <v>258029</v>
      </c>
      <c r="F292" s="16" t="n">
        <v>258029</v>
      </c>
      <c r="G292" s="5" t="s">
        <v>132</v>
      </c>
      <c r="H292" s="6" t="n">
        <v>322536</v>
      </c>
      <c r="I292" s="6" t="n">
        <v>322536</v>
      </c>
      <c r="J292" s="7" t="n">
        <f aca="false">E292*1.19</f>
        <v>307054.51</v>
      </c>
      <c r="K292" s="7" t="n">
        <f aca="false">F292*1.19</f>
        <v>307054.51</v>
      </c>
      <c r="L292" s="5" t="s">
        <v>84</v>
      </c>
      <c r="M292" s="5" t="s">
        <v>65</v>
      </c>
      <c r="N292" s="8" t="s">
        <v>1501</v>
      </c>
      <c r="T292" s="5" t="s">
        <v>1502</v>
      </c>
      <c r="V292" s="5" t="s">
        <v>931</v>
      </c>
      <c r="X292" s="5" t="s">
        <v>139</v>
      </c>
      <c r="Y292" s="5" t="s">
        <v>73</v>
      </c>
      <c r="AI292" s="9"/>
      <c r="AJ292" s="5" t="n">
        <v>18</v>
      </c>
      <c r="AK292" s="5" t="s">
        <v>433</v>
      </c>
      <c r="AL292" s="5" t="n">
        <v>17919</v>
      </c>
      <c r="AM292" s="5" t="s">
        <v>140</v>
      </c>
      <c r="AN292" s="29" t="s">
        <v>1503</v>
      </c>
      <c r="AQ292" s="5" t="s">
        <v>77</v>
      </c>
      <c r="AR292" s="5" t="s">
        <v>143</v>
      </c>
      <c r="AS292" s="5" t="s">
        <v>73</v>
      </c>
      <c r="AT292" s="5" t="s">
        <v>105</v>
      </c>
      <c r="AU292" s="10" t="s">
        <v>106</v>
      </c>
      <c r="AW292" s="5" t="s">
        <v>94</v>
      </c>
      <c r="AX292" s="10" t="str">
        <f aca="false">IFERROR(INDEX('full database 2024'!ar:ar, MATCH(A292, 'full database 2024'!b:b, 0)), "")</f>
        <v/>
      </c>
      <c r="AZ292" s="5" t="s">
        <v>107</v>
      </c>
      <c r="BD292" s="9" t="n">
        <v>45596</v>
      </c>
      <c r="BE292" s="9" t="n">
        <v>45779</v>
      </c>
      <c r="BJ292" s="5" t="n">
        <v>2024</v>
      </c>
    </row>
    <row r="293" customFormat="false" ht="16.5" hidden="false" customHeight="true" outlineLevel="0" collapsed="false">
      <c r="A293" s="5" t="s">
        <v>1504</v>
      </c>
      <c r="C293" s="5"/>
      <c r="D293" s="5" t="s">
        <v>62</v>
      </c>
      <c r="E293" s="5" t="n">
        <v>254489</v>
      </c>
      <c r="F293" s="5" t="n">
        <v>254489</v>
      </c>
      <c r="G293" s="5" t="s">
        <v>147</v>
      </c>
      <c r="H293" s="6" t="n">
        <v>284234</v>
      </c>
      <c r="I293" s="6" t="n">
        <v>284234</v>
      </c>
      <c r="J293" s="7" t="n">
        <v>254489</v>
      </c>
      <c r="K293" s="7" t="n">
        <v>254489</v>
      </c>
      <c r="L293" s="5" t="s">
        <v>84</v>
      </c>
      <c r="M293" s="5" t="s">
        <v>65</v>
      </c>
      <c r="N293" s="8" t="s">
        <v>1505</v>
      </c>
      <c r="T293" s="5"/>
      <c r="V293" s="5" t="s">
        <v>1506</v>
      </c>
      <c r="X293" s="5" t="s">
        <v>151</v>
      </c>
      <c r="Y293" s="5" t="s">
        <v>73</v>
      </c>
      <c r="AI293" s="9" t="n">
        <v>43862</v>
      </c>
      <c r="AJ293" s="5"/>
      <c r="AK293" s="5"/>
      <c r="AL293" s="5" t="n">
        <v>284234</v>
      </c>
      <c r="AM293" s="5" t="s">
        <v>821</v>
      </c>
      <c r="AN293" s="5"/>
      <c r="AQ293" s="5" t="s">
        <v>77</v>
      </c>
      <c r="AR293" s="5" t="s">
        <v>151</v>
      </c>
      <c r="AS293" s="5" t="s">
        <v>73</v>
      </c>
      <c r="AT293" s="5" t="s">
        <v>105</v>
      </c>
      <c r="AU293" s="10" t="s">
        <v>106</v>
      </c>
      <c r="AW293" s="5" t="s">
        <v>94</v>
      </c>
      <c r="AX293" s="10" t="str">
        <f aca="false">IFERROR(INDEX('full database 2024'!ar:ar, MATCH(A293, 'full database 2024'!b:b, 0)), "")</f>
        <v/>
      </c>
      <c r="AZ293" s="5" t="s">
        <v>540</v>
      </c>
      <c r="BD293" s="9" t="n">
        <v>45596</v>
      </c>
      <c r="BE293" s="9" t="n">
        <v>45596</v>
      </c>
      <c r="BJ293" s="5" t="n">
        <v>2020</v>
      </c>
      <c r="BK293" s="11" t="n">
        <v>36526</v>
      </c>
    </row>
    <row r="294" customFormat="false" ht="16.5" hidden="false" customHeight="true" outlineLevel="0" collapsed="false">
      <c r="A294" s="5" t="s">
        <v>967</v>
      </c>
      <c r="C294" s="5"/>
      <c r="D294" s="5" t="s">
        <v>62</v>
      </c>
      <c r="E294" s="5" t="n">
        <v>253707</v>
      </c>
      <c r="F294" s="5" t="n">
        <v>253707</v>
      </c>
      <c r="G294" s="5" t="s">
        <v>147</v>
      </c>
      <c r="H294" s="6" t="n">
        <v>276541</v>
      </c>
      <c r="I294" s="6" t="n">
        <v>276541</v>
      </c>
      <c r="J294" s="7" t="n">
        <v>253707</v>
      </c>
      <c r="K294" s="7" t="n">
        <v>253707</v>
      </c>
      <c r="L294" s="5" t="s">
        <v>84</v>
      </c>
      <c r="M294" s="5" t="s">
        <v>65</v>
      </c>
      <c r="N294" s="5"/>
      <c r="V294" s="5" t="s">
        <v>1507</v>
      </c>
      <c r="X294" s="5" t="s">
        <v>151</v>
      </c>
      <c r="Y294" s="5" t="s">
        <v>73</v>
      </c>
      <c r="AI294" s="9"/>
      <c r="AL294" s="5" t="n">
        <v>276541</v>
      </c>
      <c r="AM294" s="5" t="s">
        <v>153</v>
      </c>
      <c r="AN294" s="5"/>
      <c r="AQ294" s="5" t="s">
        <v>77</v>
      </c>
      <c r="AR294" s="5" t="s">
        <v>151</v>
      </c>
      <c r="AS294" s="5" t="s">
        <v>73</v>
      </c>
      <c r="AT294" s="5" t="s">
        <v>78</v>
      </c>
      <c r="AW294" s="5" t="s">
        <v>969</v>
      </c>
      <c r="AX294" s="10" t="str">
        <f aca="false">IFERROR(INDEX('full database 2024'!ar:ar, MATCH(A294, 'full database 2024'!b:b, 0)), "")</f>
        <v/>
      </c>
      <c r="AZ294" s="5" t="s">
        <v>309</v>
      </c>
      <c r="BD294" s="9" t="n">
        <v>45596</v>
      </c>
      <c r="BE294" s="9" t="n">
        <v>45596</v>
      </c>
      <c r="BJ294" s="5" t="n">
        <v>2023</v>
      </c>
      <c r="BK294" s="11"/>
    </row>
    <row r="295" customFormat="false" ht="16.5" hidden="false" customHeight="true" outlineLevel="0" collapsed="false">
      <c r="A295" s="5" t="s">
        <v>1508</v>
      </c>
      <c r="C295" s="5"/>
      <c r="D295" s="5" t="s">
        <v>62</v>
      </c>
      <c r="E295" s="5" t="n">
        <v>252883</v>
      </c>
      <c r="F295" s="5" t="n">
        <v>252883</v>
      </c>
      <c r="G295" s="5" t="s">
        <v>147</v>
      </c>
      <c r="H295" s="6" t="n">
        <v>275642</v>
      </c>
      <c r="I295" s="6" t="n">
        <v>275642</v>
      </c>
      <c r="J295" s="7" t="n">
        <v>252883</v>
      </c>
      <c r="K295" s="7" t="n">
        <v>252883</v>
      </c>
      <c r="L295" s="5" t="s">
        <v>84</v>
      </c>
      <c r="M295" s="5" t="s">
        <v>65</v>
      </c>
      <c r="N295" s="8" t="s">
        <v>1509</v>
      </c>
      <c r="V295" s="5" t="s">
        <v>1510</v>
      </c>
      <c r="X295" s="5" t="s">
        <v>151</v>
      </c>
      <c r="Y295" s="5" t="s">
        <v>73</v>
      </c>
      <c r="AI295" s="9" t="n">
        <v>45231</v>
      </c>
      <c r="AL295" s="5" t="n">
        <v>275642</v>
      </c>
      <c r="AM295" s="5" t="s">
        <v>153</v>
      </c>
      <c r="AN295" s="5"/>
      <c r="AQ295" s="5" t="s">
        <v>77</v>
      </c>
      <c r="AR295" s="5" t="s">
        <v>151</v>
      </c>
      <c r="AS295" s="5" t="s">
        <v>73</v>
      </c>
      <c r="AT295" s="5" t="s">
        <v>78</v>
      </c>
      <c r="AW295" s="5" t="s">
        <v>94</v>
      </c>
      <c r="AX295" s="10" t="str">
        <f aca="false">IFERROR(INDEX('full database 2024'!ar:ar, MATCH(A295, 'full database 2024'!b:b, 0)), "")</f>
        <v/>
      </c>
      <c r="AZ295" s="5" t="s">
        <v>129</v>
      </c>
      <c r="BD295" s="9" t="n">
        <v>45596</v>
      </c>
      <c r="BE295" s="9" t="n">
        <v>45779</v>
      </c>
      <c r="BJ295" s="5" t="n">
        <v>2023</v>
      </c>
      <c r="BK295" s="5" t="s">
        <v>1219</v>
      </c>
    </row>
    <row r="296" customFormat="false" ht="16.5" hidden="false" customHeight="true" outlineLevel="0" collapsed="false">
      <c r="A296" s="5" t="s">
        <v>823</v>
      </c>
      <c r="C296" s="5"/>
      <c r="D296" s="5" t="s">
        <v>62</v>
      </c>
      <c r="E296" s="5" t="n">
        <v>251330</v>
      </c>
      <c r="F296" s="5" t="n">
        <v>251330</v>
      </c>
      <c r="G296" s="5" t="s">
        <v>147</v>
      </c>
      <c r="H296" s="6" t="n">
        <v>273950</v>
      </c>
      <c r="I296" s="6" t="n">
        <v>273950</v>
      </c>
      <c r="J296" s="7" t="n">
        <v>251330</v>
      </c>
      <c r="K296" s="7" t="n">
        <v>251330</v>
      </c>
      <c r="L296" s="5" t="s">
        <v>84</v>
      </c>
      <c r="M296" s="5" t="s">
        <v>65</v>
      </c>
      <c r="N296" s="5"/>
      <c r="V296" s="5" t="s">
        <v>876</v>
      </c>
      <c r="X296" s="5" t="s">
        <v>151</v>
      </c>
      <c r="Y296" s="5" t="s">
        <v>73</v>
      </c>
      <c r="AI296" s="9" t="n">
        <v>44287</v>
      </c>
      <c r="AL296" s="5" t="n">
        <v>273950</v>
      </c>
      <c r="AM296" s="5" t="s">
        <v>821</v>
      </c>
      <c r="AN296" s="5"/>
      <c r="AQ296" s="5" t="s">
        <v>77</v>
      </c>
      <c r="AR296" s="5" t="s">
        <v>151</v>
      </c>
      <c r="AS296" s="5" t="s">
        <v>73</v>
      </c>
      <c r="AT296" s="5" t="s">
        <v>71</v>
      </c>
      <c r="AW296" s="5" t="s">
        <v>94</v>
      </c>
      <c r="AX296" s="10" t="str">
        <f aca="false">IFERROR(INDEX('full database 2024'!ar:ar, MATCH(A296, 'full database 2024'!b:b, 0)), "")</f>
        <v/>
      </c>
      <c r="AZ296" s="5" t="s">
        <v>129</v>
      </c>
      <c r="BD296" s="9" t="n">
        <v>45596</v>
      </c>
      <c r="BE296" s="9" t="n">
        <v>45596</v>
      </c>
      <c r="BJ296" s="5" t="n">
        <v>2021</v>
      </c>
      <c r="BK296" s="5"/>
    </row>
    <row r="297" customFormat="false" ht="16.5" hidden="false" customHeight="true" outlineLevel="0" collapsed="false">
      <c r="A297" s="5" t="s">
        <v>1511</v>
      </c>
      <c r="C297" s="5"/>
      <c r="D297" s="5" t="s">
        <v>62</v>
      </c>
      <c r="E297" s="5" t="n">
        <v>250000</v>
      </c>
      <c r="F297" s="5" t="n">
        <v>250000</v>
      </c>
      <c r="G297" s="5" t="s">
        <v>147</v>
      </c>
      <c r="H297" s="6" t="n">
        <v>274227</v>
      </c>
      <c r="I297" s="6" t="n">
        <v>274227</v>
      </c>
      <c r="J297" s="7" t="n">
        <v>250000</v>
      </c>
      <c r="K297" s="7" t="n">
        <v>250000</v>
      </c>
      <c r="L297" s="5" t="s">
        <v>84</v>
      </c>
      <c r="M297" s="5" t="s">
        <v>65</v>
      </c>
      <c r="N297" s="8" t="s">
        <v>1512</v>
      </c>
      <c r="P297" s="5"/>
      <c r="Q297" s="5"/>
      <c r="R297" s="5" t="s">
        <v>1513</v>
      </c>
      <c r="T297" s="5" t="s">
        <v>1514</v>
      </c>
      <c r="U297" s="5" t="s">
        <v>70</v>
      </c>
      <c r="V297" s="5" t="s">
        <v>1515</v>
      </c>
      <c r="W297" s="5" t="s">
        <v>102</v>
      </c>
      <c r="X297" s="5" t="s">
        <v>257</v>
      </c>
      <c r="Y297" s="5" t="s">
        <v>73</v>
      </c>
      <c r="Z297" s="5" t="s">
        <v>70</v>
      </c>
      <c r="AD297" s="5" t="s">
        <v>1516</v>
      </c>
      <c r="AE297" s="5" t="s">
        <v>74</v>
      </c>
      <c r="AI297" s="9" t="n">
        <v>44202</v>
      </c>
      <c r="AJ297" s="5" t="n">
        <v>1</v>
      </c>
      <c r="AK297" s="5" t="s">
        <v>228</v>
      </c>
      <c r="AL297" s="5" t="n">
        <v>274227</v>
      </c>
      <c r="AM297" s="5" t="s">
        <v>1315</v>
      </c>
      <c r="AN297" s="5"/>
      <c r="AQ297" s="5" t="s">
        <v>77</v>
      </c>
      <c r="AR297" s="5" t="s">
        <v>257</v>
      </c>
      <c r="AS297" s="5" t="s">
        <v>73</v>
      </c>
      <c r="AT297" s="5" t="s">
        <v>374</v>
      </c>
      <c r="AW297" s="5" t="s">
        <v>94</v>
      </c>
      <c r="AX297" s="10" t="str">
        <f aca="false">IFERROR(INDEX('full database 2024'!ar:ar, MATCH(A297, 'full database 2024'!b:b, 0)), "")</f>
        <v/>
      </c>
      <c r="AZ297" s="5" t="s">
        <v>188</v>
      </c>
      <c r="BD297" s="9" t="n">
        <v>45034</v>
      </c>
      <c r="BE297" s="9" t="n">
        <v>45035</v>
      </c>
      <c r="BI297" s="5" t="s">
        <v>81</v>
      </c>
      <c r="BJ297" s="5" t="n">
        <v>2021</v>
      </c>
      <c r="BK297" s="11" t="n">
        <v>44713</v>
      </c>
    </row>
    <row r="298" customFormat="false" ht="16.5" hidden="false" customHeight="true" outlineLevel="0" collapsed="false">
      <c r="A298" s="5" t="s">
        <v>1517</v>
      </c>
      <c r="B298" s="5" t="s">
        <v>1518</v>
      </c>
      <c r="C298" s="5"/>
      <c r="D298" s="5" t="s">
        <v>62</v>
      </c>
      <c r="E298" s="5" t="n">
        <v>247610</v>
      </c>
      <c r="F298" s="5" t="n">
        <v>247610</v>
      </c>
      <c r="G298" s="5" t="s">
        <v>147</v>
      </c>
      <c r="H298" s="6" t="n">
        <v>268676</v>
      </c>
      <c r="I298" s="6" t="n">
        <v>268676</v>
      </c>
      <c r="J298" s="7" t="n">
        <v>247610</v>
      </c>
      <c r="K298" s="7" t="n">
        <v>247610</v>
      </c>
      <c r="L298" s="5" t="s">
        <v>84</v>
      </c>
      <c r="M298" s="5" t="s">
        <v>65</v>
      </c>
      <c r="N298" s="8" t="s">
        <v>1519</v>
      </c>
      <c r="O298" s="5" t="s">
        <v>1520</v>
      </c>
      <c r="P298" s="5"/>
      <c r="Q298" s="5"/>
      <c r="R298" s="5" t="s">
        <v>1521</v>
      </c>
      <c r="T298" s="5" t="s">
        <v>952</v>
      </c>
      <c r="U298" s="5" t="s">
        <v>953</v>
      </c>
      <c r="V298" s="5" t="s">
        <v>954</v>
      </c>
      <c r="W298" s="5" t="s">
        <v>90</v>
      </c>
      <c r="X298" s="5" t="s">
        <v>568</v>
      </c>
      <c r="Y298" s="5" t="s">
        <v>73</v>
      </c>
      <c r="Z298" s="5" t="s">
        <v>70</v>
      </c>
      <c r="AD298" s="5" t="s">
        <v>1522</v>
      </c>
      <c r="AE298" s="5" t="s">
        <v>74</v>
      </c>
      <c r="AI298" s="9" t="n">
        <v>44986</v>
      </c>
      <c r="AJ298" s="5" t="n">
        <v>3</v>
      </c>
      <c r="AK298" s="5" t="s">
        <v>75</v>
      </c>
      <c r="AL298" s="5" t="n">
        <v>89559</v>
      </c>
      <c r="AM298" s="5" t="s">
        <v>1523</v>
      </c>
      <c r="AN298" s="5"/>
      <c r="AQ298" s="5" t="s">
        <v>77</v>
      </c>
      <c r="AR298" s="5" t="s">
        <v>568</v>
      </c>
      <c r="AS298" s="5" t="s">
        <v>73</v>
      </c>
      <c r="AT298" s="5" t="s">
        <v>374</v>
      </c>
      <c r="AW298" s="5" t="s">
        <v>94</v>
      </c>
      <c r="AX298" s="10" t="str">
        <f aca="false">IFERROR(INDEX('full database 2024'!ar:ar, MATCH(A298, 'full database 2024'!b:b, 0)), "")</f>
        <v/>
      </c>
      <c r="AZ298" s="5" t="s">
        <v>1524</v>
      </c>
      <c r="BA298" s="5" t="s">
        <v>65</v>
      </c>
      <c r="BD298" s="9" t="n">
        <v>45323</v>
      </c>
      <c r="BE298" s="9" t="n">
        <v>45323</v>
      </c>
      <c r="BI298" s="5" t="s">
        <v>241</v>
      </c>
      <c r="BJ298" s="5" t="n">
        <v>2023</v>
      </c>
      <c r="BK298" s="11" t="n">
        <v>46025</v>
      </c>
    </row>
    <row r="299" customFormat="false" ht="16.5" hidden="false" customHeight="true" outlineLevel="0" collapsed="false">
      <c r="A299" s="5" t="s">
        <v>1525</v>
      </c>
      <c r="C299" s="5"/>
      <c r="D299" s="5" t="s">
        <v>62</v>
      </c>
      <c r="E299" s="5" t="n">
        <v>247166</v>
      </c>
      <c r="F299" s="5" t="n">
        <v>247166</v>
      </c>
      <c r="G299" s="5" t="s">
        <v>147</v>
      </c>
      <c r="H299" s="6" t="n">
        <v>269411</v>
      </c>
      <c r="I299" s="6" t="n">
        <v>269411</v>
      </c>
      <c r="J299" s="7" t="n">
        <v>247166</v>
      </c>
      <c r="K299" s="7" t="n">
        <v>247166</v>
      </c>
      <c r="L299" s="5" t="s">
        <v>84</v>
      </c>
      <c r="M299" s="5" t="s">
        <v>65</v>
      </c>
      <c r="N299" s="5"/>
      <c r="P299" s="5"/>
      <c r="Q299" s="5"/>
      <c r="R299" s="5"/>
      <c r="T299" s="5"/>
      <c r="U299" s="5"/>
      <c r="V299" s="5" t="s">
        <v>1526</v>
      </c>
      <c r="W299" s="5"/>
      <c r="X299" s="5"/>
      <c r="Y299" s="5" t="s">
        <v>73</v>
      </c>
      <c r="Z299" s="5"/>
      <c r="AD299" s="5"/>
      <c r="AE299" s="5"/>
      <c r="AI299" s="9" t="n">
        <v>44931</v>
      </c>
      <c r="AJ299" s="5"/>
      <c r="AK299" s="5"/>
      <c r="AL299" s="5" t="n">
        <v>269411</v>
      </c>
      <c r="AM299" s="5" t="s">
        <v>153</v>
      </c>
      <c r="AN299" s="5"/>
      <c r="AQ299" s="5" t="s">
        <v>77</v>
      </c>
      <c r="AR299" s="5" t="s">
        <v>151</v>
      </c>
      <c r="AS299" s="5" t="s">
        <v>73</v>
      </c>
      <c r="AT299" s="5" t="s">
        <v>78</v>
      </c>
      <c r="AW299" s="5" t="s">
        <v>94</v>
      </c>
      <c r="AX299" s="10" t="str">
        <f aca="false">IFERROR(INDEX('full database 2024'!ar:ar, MATCH(A299, 'full database 2024'!b:b, 0)), "")</f>
        <v/>
      </c>
      <c r="AZ299" s="5" t="s">
        <v>309</v>
      </c>
      <c r="BA299" s="5"/>
      <c r="BD299" s="9" t="n">
        <v>45596</v>
      </c>
      <c r="BE299" s="9" t="n">
        <v>45596</v>
      </c>
      <c r="BI299" s="5"/>
      <c r="BJ299" s="5" t="n">
        <v>2023</v>
      </c>
      <c r="BK299" s="11"/>
    </row>
    <row r="300" customFormat="false" ht="16.5" hidden="false" customHeight="true" outlineLevel="0" collapsed="false">
      <c r="A300" s="5" t="s">
        <v>1527</v>
      </c>
      <c r="C300" s="5"/>
      <c r="D300" s="5" t="s">
        <v>62</v>
      </c>
      <c r="E300" s="5" t="n">
        <v>247128</v>
      </c>
      <c r="F300" s="5" t="n">
        <v>247128</v>
      </c>
      <c r="G300" s="5" t="s">
        <v>147</v>
      </c>
      <c r="H300" s="6" t="n">
        <v>269370</v>
      </c>
      <c r="I300" s="6" t="n">
        <v>269370</v>
      </c>
      <c r="J300" s="7" t="n">
        <v>247128</v>
      </c>
      <c r="K300" s="7" t="n">
        <v>247128</v>
      </c>
      <c r="L300" s="5" t="s">
        <v>84</v>
      </c>
      <c r="M300" s="5" t="s">
        <v>65</v>
      </c>
      <c r="V300" s="5" t="s">
        <v>1528</v>
      </c>
      <c r="X300" s="5" t="s">
        <v>151</v>
      </c>
      <c r="Y300" s="5" t="s">
        <v>73</v>
      </c>
      <c r="AI300" s="9" t="n">
        <v>44198</v>
      </c>
      <c r="AL300" s="5" t="n">
        <v>269370</v>
      </c>
      <c r="AM300" s="5" t="s">
        <v>153</v>
      </c>
      <c r="AN300" s="5"/>
      <c r="AQ300" s="5" t="s">
        <v>77</v>
      </c>
      <c r="AR300" s="5" t="s">
        <v>151</v>
      </c>
      <c r="AS300" s="5" t="s">
        <v>73</v>
      </c>
      <c r="AT300" s="5" t="s">
        <v>78</v>
      </c>
      <c r="AW300" s="5" t="s">
        <v>94</v>
      </c>
      <c r="AX300" s="10" t="str">
        <f aca="false">IFERROR(INDEX('full database 2024'!ar:ar, MATCH(A300, 'full database 2024'!b:b, 0)), "")</f>
        <v/>
      </c>
      <c r="AZ300" s="5" t="s">
        <v>129</v>
      </c>
      <c r="BD300" s="9" t="n">
        <v>45596</v>
      </c>
      <c r="BE300" s="9" t="n">
        <v>45596</v>
      </c>
      <c r="BJ300" s="5" t="n">
        <v>2021</v>
      </c>
    </row>
    <row r="301" customFormat="false" ht="16.5" hidden="false" customHeight="true" outlineLevel="0" collapsed="false">
      <c r="A301" s="5" t="s">
        <v>1529</v>
      </c>
      <c r="C301" s="5"/>
      <c r="D301" s="5" t="s">
        <v>62</v>
      </c>
      <c r="E301" s="5" t="n">
        <v>247045</v>
      </c>
      <c r="F301" s="5" t="n">
        <v>247045</v>
      </c>
      <c r="G301" s="5" t="s">
        <v>147</v>
      </c>
      <c r="H301" s="6" t="n">
        <v>269279</v>
      </c>
      <c r="I301" s="6" t="n">
        <v>269279</v>
      </c>
      <c r="J301" s="7" t="n">
        <v>247045</v>
      </c>
      <c r="K301" s="7" t="n">
        <v>247045</v>
      </c>
      <c r="L301" s="5" t="s">
        <v>84</v>
      </c>
      <c r="M301" s="5" t="s">
        <v>65</v>
      </c>
      <c r="V301" s="5" t="s">
        <v>1035</v>
      </c>
      <c r="X301" s="5"/>
      <c r="Y301" s="5" t="s">
        <v>73</v>
      </c>
      <c r="AI301" s="9" t="n">
        <v>44044</v>
      </c>
      <c r="AL301" s="5" t="n">
        <v>269279</v>
      </c>
      <c r="AM301" s="5" t="s">
        <v>924</v>
      </c>
      <c r="AN301" s="5"/>
      <c r="AQ301" s="5" t="s">
        <v>77</v>
      </c>
      <c r="AR301" s="5" t="s">
        <v>151</v>
      </c>
      <c r="AS301" s="5" t="s">
        <v>73</v>
      </c>
      <c r="AT301" s="5" t="s">
        <v>78</v>
      </c>
      <c r="AW301" s="5" t="s">
        <v>94</v>
      </c>
      <c r="AX301" s="10" t="str">
        <f aca="false">IFERROR(INDEX('full database 2024'!ar:ar, MATCH(A301, 'full database 2024'!b:b, 0)), "")</f>
        <v/>
      </c>
      <c r="AZ301" s="5" t="s">
        <v>188</v>
      </c>
      <c r="BD301" s="9" t="n">
        <v>45596</v>
      </c>
      <c r="BE301" s="9" t="n">
        <v>45596</v>
      </c>
      <c r="BJ301" s="5" t="n">
        <v>2020</v>
      </c>
    </row>
    <row r="302" customFormat="false" ht="16.5" hidden="false" customHeight="true" outlineLevel="0" collapsed="false">
      <c r="A302" s="5" t="s">
        <v>400</v>
      </c>
      <c r="C302" s="5"/>
      <c r="D302" s="5" t="s">
        <v>62</v>
      </c>
      <c r="E302" s="16" t="n">
        <v>246746</v>
      </c>
      <c r="F302" s="16" t="n">
        <v>246746</v>
      </c>
      <c r="G302" s="5" t="s">
        <v>132</v>
      </c>
      <c r="H302" s="6" t="n">
        <v>308433</v>
      </c>
      <c r="I302" s="6" t="n">
        <v>308433</v>
      </c>
      <c r="J302" s="7" t="n">
        <f aca="false">E302*1.19</f>
        <v>293627.74</v>
      </c>
      <c r="K302" s="7" t="n">
        <f aca="false">F302*1.19</f>
        <v>293627.74</v>
      </c>
      <c r="L302" s="5" t="s">
        <v>84</v>
      </c>
      <c r="M302" s="5" t="s">
        <v>65</v>
      </c>
      <c r="N302" s="8" t="s">
        <v>1530</v>
      </c>
      <c r="T302" s="5" t="s">
        <v>1531</v>
      </c>
      <c r="V302" s="5" t="s">
        <v>1532</v>
      </c>
      <c r="X302" s="5" t="s">
        <v>139</v>
      </c>
      <c r="Y302" s="5" t="s">
        <v>73</v>
      </c>
      <c r="AI302" s="9" t="n">
        <v>44896</v>
      </c>
      <c r="AL302" s="5" t="n">
        <v>308433</v>
      </c>
      <c r="AM302" s="5" t="s">
        <v>140</v>
      </c>
      <c r="AN302" s="5" t="s">
        <v>673</v>
      </c>
      <c r="AQ302" s="5" t="s">
        <v>77</v>
      </c>
      <c r="AR302" s="5" t="s">
        <v>143</v>
      </c>
      <c r="AS302" s="5" t="s">
        <v>73</v>
      </c>
      <c r="AT302" s="5" t="s">
        <v>71</v>
      </c>
      <c r="AU302" s="10" t="s">
        <v>286</v>
      </c>
      <c r="AW302" s="5" t="s">
        <v>94</v>
      </c>
      <c r="AX302" s="10" t="str">
        <f aca="false">IFERROR(INDEX('full database 2024'!ar:ar, MATCH(A302, 'full database 2024'!b:b, 0)), "")</f>
        <v/>
      </c>
      <c r="AZ302" s="5" t="s">
        <v>534</v>
      </c>
      <c r="BD302" s="9" t="n">
        <v>45596</v>
      </c>
      <c r="BE302" s="9" t="n">
        <v>45779</v>
      </c>
      <c r="BJ302" s="5" t="n">
        <v>2022</v>
      </c>
      <c r="BK302" s="11" t="n">
        <v>36526</v>
      </c>
    </row>
    <row r="303" customFormat="false" ht="16.5" hidden="false" customHeight="true" outlineLevel="0" collapsed="false">
      <c r="A303" s="5" t="s">
        <v>1533</v>
      </c>
      <c r="C303" s="5"/>
      <c r="D303" s="5" t="s">
        <v>62</v>
      </c>
      <c r="E303" s="5" t="n">
        <v>246708</v>
      </c>
      <c r="F303" s="5" t="n">
        <v>246708</v>
      </c>
      <c r="G303" s="5" t="s">
        <v>147</v>
      </c>
      <c r="H303" s="6" t="n">
        <v>268912</v>
      </c>
      <c r="I303" s="6" t="n">
        <v>268912</v>
      </c>
      <c r="J303" s="7" t="n">
        <v>246708</v>
      </c>
      <c r="K303" s="7" t="n">
        <v>246708</v>
      </c>
      <c r="L303" s="5" t="s">
        <v>84</v>
      </c>
      <c r="M303" s="5" t="s">
        <v>65</v>
      </c>
      <c r="N303" s="5"/>
      <c r="T303" s="5"/>
      <c r="V303" s="5" t="s">
        <v>1069</v>
      </c>
      <c r="Y303" s="5" t="s">
        <v>73</v>
      </c>
      <c r="AI303" s="9" t="n">
        <v>44927</v>
      </c>
      <c r="AL303" s="5" t="n">
        <v>268912</v>
      </c>
      <c r="AM303" s="5" t="s">
        <v>924</v>
      </c>
      <c r="AN303" s="5"/>
      <c r="AQ303" s="5" t="s">
        <v>77</v>
      </c>
      <c r="AR303" s="5" t="s">
        <v>151</v>
      </c>
      <c r="AS303" s="5" t="s">
        <v>73</v>
      </c>
      <c r="AT303" s="5" t="s">
        <v>374</v>
      </c>
      <c r="AW303" s="5" t="s">
        <v>94</v>
      </c>
      <c r="AX303" s="10" t="str">
        <f aca="false">IFERROR(INDEX('full database 2024'!ar:ar, MATCH(A303, 'full database 2024'!b:b, 0)), "")</f>
        <v/>
      </c>
      <c r="AZ303" s="5" t="s">
        <v>121</v>
      </c>
      <c r="BD303" s="9" t="n">
        <v>45596</v>
      </c>
      <c r="BE303" s="9" t="n">
        <v>45596</v>
      </c>
      <c r="BJ303" s="5" t="n">
        <v>2023</v>
      </c>
      <c r="BK303" s="11"/>
    </row>
    <row r="304" customFormat="false" ht="16.5" hidden="false" customHeight="true" outlineLevel="0" collapsed="false">
      <c r="A304" s="5" t="s">
        <v>967</v>
      </c>
      <c r="C304" s="5"/>
      <c r="D304" s="5" t="s">
        <v>62</v>
      </c>
      <c r="E304" s="5" t="n">
        <v>246027</v>
      </c>
      <c r="F304" s="5" t="n">
        <v>246027</v>
      </c>
      <c r="G304" s="5" t="s">
        <v>147</v>
      </c>
      <c r="H304" s="6" t="n">
        <v>268169</v>
      </c>
      <c r="I304" s="6" t="n">
        <v>268169</v>
      </c>
      <c r="J304" s="7" t="n">
        <v>246027</v>
      </c>
      <c r="K304" s="7" t="n">
        <v>246027</v>
      </c>
      <c r="L304" s="5" t="s">
        <v>84</v>
      </c>
      <c r="M304" s="5" t="s">
        <v>65</v>
      </c>
      <c r="V304" s="5" t="s">
        <v>1534</v>
      </c>
      <c r="X304" s="5" t="s">
        <v>151</v>
      </c>
      <c r="Y304" s="5" t="s">
        <v>73</v>
      </c>
      <c r="AI304" s="9"/>
      <c r="AL304" s="5" t="n">
        <v>268169</v>
      </c>
      <c r="AM304" s="5" t="s">
        <v>153</v>
      </c>
      <c r="AN304" s="5"/>
      <c r="AQ304" s="5" t="s">
        <v>77</v>
      </c>
      <c r="AR304" s="5" t="s">
        <v>151</v>
      </c>
      <c r="AS304" s="5" t="s">
        <v>73</v>
      </c>
      <c r="AT304" s="5" t="s">
        <v>78</v>
      </c>
      <c r="AW304" s="5" t="s">
        <v>969</v>
      </c>
      <c r="AX304" s="10" t="str">
        <f aca="false">IFERROR(INDEX('full database 2024'!ar:ar, MATCH(A304, 'full database 2024'!b:b, 0)), "")</f>
        <v/>
      </c>
      <c r="AZ304" s="5" t="s">
        <v>309</v>
      </c>
      <c r="BD304" s="9" t="n">
        <v>45596</v>
      </c>
      <c r="BE304" s="9" t="n">
        <v>45596</v>
      </c>
      <c r="BJ304" s="5" t="n">
        <v>2023</v>
      </c>
    </row>
    <row r="305" customFormat="false" ht="16.5" hidden="false" customHeight="true" outlineLevel="0" collapsed="false">
      <c r="A305" s="5" t="s">
        <v>967</v>
      </c>
      <c r="C305" s="5"/>
      <c r="D305" s="5" t="s">
        <v>62</v>
      </c>
      <c r="E305" s="5" t="n">
        <v>245971</v>
      </c>
      <c r="F305" s="5" t="n">
        <v>245971</v>
      </c>
      <c r="G305" s="5" t="s">
        <v>147</v>
      </c>
      <c r="H305" s="6" t="n">
        <v>268109</v>
      </c>
      <c r="I305" s="6" t="n">
        <v>268109</v>
      </c>
      <c r="J305" s="7" t="n">
        <v>245971</v>
      </c>
      <c r="K305" s="7" t="n">
        <v>245971</v>
      </c>
      <c r="L305" s="5" t="s">
        <v>84</v>
      </c>
      <c r="M305" s="5" t="s">
        <v>65</v>
      </c>
      <c r="V305" s="5" t="s">
        <v>1535</v>
      </c>
      <c r="X305" s="5" t="s">
        <v>151</v>
      </c>
      <c r="Y305" s="5" t="s">
        <v>73</v>
      </c>
      <c r="AL305" s="5" t="n">
        <v>268109</v>
      </c>
      <c r="AM305" s="5" t="s">
        <v>153</v>
      </c>
      <c r="AN305" s="5"/>
      <c r="AQ305" s="5" t="s">
        <v>77</v>
      </c>
      <c r="AR305" s="5" t="s">
        <v>151</v>
      </c>
      <c r="AS305" s="5" t="s">
        <v>73</v>
      </c>
      <c r="AT305" s="5" t="s">
        <v>78</v>
      </c>
      <c r="AW305" s="5" t="s">
        <v>969</v>
      </c>
      <c r="AX305" s="10" t="str">
        <f aca="false">IFERROR(INDEX('full database 2024'!ar:ar, MATCH(A305, 'full database 2024'!b:b, 0)), "")</f>
        <v/>
      </c>
      <c r="AZ305" s="5" t="s">
        <v>309</v>
      </c>
      <c r="BD305" s="9" t="n">
        <v>45596</v>
      </c>
      <c r="BE305" s="9" t="n">
        <v>45596</v>
      </c>
      <c r="BJ305" s="5" t="n">
        <v>2023</v>
      </c>
    </row>
    <row r="306" customFormat="false" ht="16.5" hidden="false" customHeight="true" outlineLevel="0" collapsed="false">
      <c r="A306" s="5" t="s">
        <v>1536</v>
      </c>
      <c r="C306" s="5"/>
      <c r="D306" s="5" t="s">
        <v>62</v>
      </c>
      <c r="E306" s="16" t="n">
        <v>242633</v>
      </c>
      <c r="F306" s="16" t="n">
        <v>242633</v>
      </c>
      <c r="G306" s="5" t="s">
        <v>132</v>
      </c>
      <c r="H306" s="6" t="n">
        <v>303291</v>
      </c>
      <c r="I306" s="6" t="n">
        <v>303291</v>
      </c>
      <c r="J306" s="7" t="n">
        <f aca="false">E306*1.19</f>
        <v>288733.27</v>
      </c>
      <c r="K306" s="7" t="n">
        <f aca="false">F306*1.19</f>
        <v>288733.27</v>
      </c>
      <c r="L306" s="5" t="s">
        <v>84</v>
      </c>
      <c r="M306" s="5" t="s">
        <v>65</v>
      </c>
      <c r="N306" s="8" t="s">
        <v>1537</v>
      </c>
      <c r="T306" s="5" t="s">
        <v>1538</v>
      </c>
      <c r="V306" s="5" t="s">
        <v>1200</v>
      </c>
      <c r="X306" s="5" t="s">
        <v>139</v>
      </c>
      <c r="Y306" s="5" t="s">
        <v>73</v>
      </c>
      <c r="AI306" s="9" t="n">
        <v>45295</v>
      </c>
      <c r="AJ306" s="5" t="n">
        <v>24</v>
      </c>
      <c r="AK306" s="5" t="s">
        <v>433</v>
      </c>
      <c r="AL306" s="5" t="n">
        <v>12637</v>
      </c>
      <c r="AM306" s="5" t="s">
        <v>140</v>
      </c>
      <c r="AN306" s="25" t="s">
        <v>1539</v>
      </c>
      <c r="AQ306" s="5" t="s">
        <v>77</v>
      </c>
      <c r="AR306" s="5" t="s">
        <v>143</v>
      </c>
      <c r="AS306" s="5" t="s">
        <v>73</v>
      </c>
      <c r="AT306" s="5" t="s">
        <v>78</v>
      </c>
      <c r="AW306" s="5" t="s">
        <v>94</v>
      </c>
      <c r="AX306" s="10" t="str">
        <f aca="false">IFERROR(INDEX('full database 2024'!ar:ar, MATCH(A306, 'full database 2024'!b:b, 0)), "")</f>
        <v/>
      </c>
      <c r="AZ306" s="5" t="s">
        <v>399</v>
      </c>
      <c r="BD306" s="9" t="n">
        <v>45596</v>
      </c>
      <c r="BE306" s="9" t="n">
        <v>45779</v>
      </c>
      <c r="BJ306" s="5" t="n">
        <v>2024</v>
      </c>
      <c r="BK306" s="11" t="n">
        <v>36526</v>
      </c>
    </row>
    <row r="307" customFormat="false" ht="16.5" hidden="false" customHeight="true" outlineLevel="0" collapsed="false">
      <c r="A307" s="5" t="s">
        <v>1436</v>
      </c>
      <c r="C307" s="5"/>
      <c r="D307" s="5" t="s">
        <v>62</v>
      </c>
      <c r="E307" s="5" t="n">
        <v>238193</v>
      </c>
      <c r="F307" s="5" t="n">
        <v>238193</v>
      </c>
      <c r="G307" s="5" t="s">
        <v>147</v>
      </c>
      <c r="H307" s="6" t="n">
        <v>259630</v>
      </c>
      <c r="I307" s="6" t="n">
        <v>259630</v>
      </c>
      <c r="J307" s="7" t="n">
        <v>238193</v>
      </c>
      <c r="K307" s="7" t="n">
        <v>238193</v>
      </c>
      <c r="L307" s="5" t="s">
        <v>84</v>
      </c>
      <c r="M307" s="5" t="s">
        <v>65</v>
      </c>
      <c r="T307" s="5"/>
      <c r="V307" s="5" t="s">
        <v>1540</v>
      </c>
      <c r="X307" s="5" t="s">
        <v>151</v>
      </c>
      <c r="Y307" s="5" t="s">
        <v>73</v>
      </c>
      <c r="AI307" s="9" t="n">
        <v>45078</v>
      </c>
      <c r="AJ307" s="5"/>
      <c r="AK307" s="5"/>
      <c r="AL307" s="5" t="n">
        <v>259630</v>
      </c>
      <c r="AM307" s="5" t="s">
        <v>821</v>
      </c>
      <c r="AN307" s="5"/>
      <c r="AQ307" s="5" t="s">
        <v>77</v>
      </c>
      <c r="AR307" s="5" t="s">
        <v>151</v>
      </c>
      <c r="AS307" s="5" t="s">
        <v>73</v>
      </c>
      <c r="AT307" s="5" t="s">
        <v>78</v>
      </c>
      <c r="AW307" s="5" t="s">
        <v>94</v>
      </c>
      <c r="AX307" s="10" t="str">
        <f aca="false">IFERROR(INDEX('full database 2024'!ar:ar, MATCH(A307, 'full database 2024'!b:b, 0)), "")</f>
        <v/>
      </c>
      <c r="AZ307" s="5" t="s">
        <v>396</v>
      </c>
      <c r="BD307" s="9" t="n">
        <v>45596</v>
      </c>
      <c r="BE307" s="9" t="n">
        <v>45596</v>
      </c>
      <c r="BJ307" s="5" t="n">
        <v>2023</v>
      </c>
      <c r="BK307" s="11"/>
    </row>
    <row r="308" customFormat="false" ht="16.5" hidden="false" customHeight="true" outlineLevel="0" collapsed="false">
      <c r="A308" s="5" t="s">
        <v>1541</v>
      </c>
      <c r="C308" s="5"/>
      <c r="D308" s="5" t="s">
        <v>62</v>
      </c>
      <c r="E308" s="16" t="n">
        <v>231963</v>
      </c>
      <c r="F308" s="16" t="n">
        <v>231963</v>
      </c>
      <c r="G308" s="5" t="s">
        <v>132</v>
      </c>
      <c r="H308" s="6" t="n">
        <v>289954</v>
      </c>
      <c r="I308" s="6" t="n">
        <v>289954</v>
      </c>
      <c r="J308" s="7" t="n">
        <f aca="false">E308*1.19</f>
        <v>276035.97</v>
      </c>
      <c r="K308" s="7" t="n">
        <f aca="false">F308*1.19</f>
        <v>276035.97</v>
      </c>
      <c r="L308" s="5" t="s">
        <v>84</v>
      </c>
      <c r="M308" s="5" t="s">
        <v>65</v>
      </c>
      <c r="N308" s="8" t="s">
        <v>1542</v>
      </c>
      <c r="T308" s="5" t="s">
        <v>1543</v>
      </c>
      <c r="V308" s="5" t="s">
        <v>1544</v>
      </c>
      <c r="X308" s="5" t="s">
        <v>139</v>
      </c>
      <c r="Y308" s="5" t="s">
        <v>73</v>
      </c>
      <c r="AI308" s="9" t="n">
        <v>45295</v>
      </c>
      <c r="AJ308" s="5" t="n">
        <v>10</v>
      </c>
      <c r="AK308" s="5" t="s">
        <v>433</v>
      </c>
      <c r="AL308" s="5" t="n">
        <v>28995</v>
      </c>
      <c r="AM308" s="5" t="s">
        <v>140</v>
      </c>
      <c r="AN308" s="5" t="s">
        <v>1545</v>
      </c>
      <c r="AQ308" s="5" t="s">
        <v>77</v>
      </c>
      <c r="AR308" s="5" t="s">
        <v>143</v>
      </c>
      <c r="AS308" s="5" t="s">
        <v>73</v>
      </c>
      <c r="AT308" s="5" t="s">
        <v>105</v>
      </c>
      <c r="AU308" s="10" t="s">
        <v>106</v>
      </c>
      <c r="AW308" s="5" t="s">
        <v>94</v>
      </c>
      <c r="AX308" s="10" t="str">
        <f aca="false">IFERROR(INDEX('full database 2024'!ar:ar, MATCH(A308, 'full database 2024'!b:b, 0)), "")</f>
        <v/>
      </c>
      <c r="AZ308" s="5" t="s">
        <v>1546</v>
      </c>
      <c r="BD308" s="9" t="n">
        <v>45596</v>
      </c>
      <c r="BE308" s="9" t="n">
        <v>45779</v>
      </c>
      <c r="BJ308" s="5" t="n">
        <v>2024</v>
      </c>
      <c r="BK308" s="11" t="n">
        <v>36526</v>
      </c>
    </row>
    <row r="309" customFormat="false" ht="16.5" hidden="false" customHeight="true" outlineLevel="0" collapsed="false">
      <c r="A309" s="5" t="s">
        <v>1438</v>
      </c>
      <c r="C309" s="5"/>
      <c r="D309" s="5" t="s">
        <v>62</v>
      </c>
      <c r="E309" s="5" t="n">
        <v>231057</v>
      </c>
      <c r="F309" s="5" t="n">
        <v>231057</v>
      </c>
      <c r="G309" s="5" t="s">
        <v>147</v>
      </c>
      <c r="H309" s="6" t="n">
        <v>251852</v>
      </c>
      <c r="I309" s="6" t="n">
        <v>251852</v>
      </c>
      <c r="J309" s="7" t="n">
        <v>231057</v>
      </c>
      <c r="K309" s="7" t="n">
        <v>231057</v>
      </c>
      <c r="L309" s="5" t="s">
        <v>84</v>
      </c>
      <c r="M309" s="5" t="s">
        <v>65</v>
      </c>
      <c r="T309" s="5"/>
      <c r="V309" s="5" t="s">
        <v>1302</v>
      </c>
      <c r="X309" s="5" t="s">
        <v>151</v>
      </c>
      <c r="Y309" s="5" t="s">
        <v>73</v>
      </c>
      <c r="AI309" s="9" t="n">
        <v>44935</v>
      </c>
      <c r="AJ309" s="5"/>
      <c r="AK309" s="5"/>
      <c r="AL309" s="5" t="n">
        <v>251852</v>
      </c>
      <c r="AM309" s="5" t="s">
        <v>153</v>
      </c>
      <c r="AN309" s="5"/>
      <c r="AQ309" s="5" t="s">
        <v>77</v>
      </c>
      <c r="AR309" s="5" t="s">
        <v>151</v>
      </c>
      <c r="AS309" s="5" t="s">
        <v>73</v>
      </c>
      <c r="AT309" s="5" t="s">
        <v>78</v>
      </c>
      <c r="AW309" s="5" t="s">
        <v>94</v>
      </c>
      <c r="AX309" s="10" t="str">
        <f aca="false">IFERROR(INDEX('full database 2024'!ar:ar, MATCH(A309, 'full database 2024'!b:b, 0)), "")</f>
        <v/>
      </c>
      <c r="AZ309" s="5" t="s">
        <v>399</v>
      </c>
      <c r="BD309" s="9" t="n">
        <v>45596</v>
      </c>
      <c r="BE309" s="9" t="n">
        <v>45596</v>
      </c>
      <c r="BJ309" s="5" t="n">
        <v>2023</v>
      </c>
      <c r="BK309" s="11"/>
    </row>
    <row r="310" customFormat="false" ht="16.5" hidden="false" customHeight="true" outlineLevel="0" collapsed="false">
      <c r="A310" s="5" t="s">
        <v>1547</v>
      </c>
      <c r="B310" s="5" t="s">
        <v>1548</v>
      </c>
      <c r="C310" s="5"/>
      <c r="D310" s="5" t="s">
        <v>62</v>
      </c>
      <c r="E310" s="5" t="n">
        <v>230774</v>
      </c>
      <c r="F310" s="5" t="n">
        <v>230774</v>
      </c>
      <c r="G310" s="5" t="s">
        <v>147</v>
      </c>
      <c r="H310" s="6" t="n">
        <v>249236</v>
      </c>
      <c r="I310" s="6" t="n">
        <v>249236</v>
      </c>
      <c r="J310" s="7" t="n">
        <v>230774</v>
      </c>
      <c r="K310" s="7" t="n">
        <v>230774</v>
      </c>
      <c r="L310" s="5" t="s">
        <v>84</v>
      </c>
      <c r="M310" s="5" t="s">
        <v>65</v>
      </c>
      <c r="N310" s="8" t="s">
        <v>1549</v>
      </c>
      <c r="O310" s="5" t="s">
        <v>1550</v>
      </c>
      <c r="V310" s="5" t="s">
        <v>1551</v>
      </c>
      <c r="X310" s="5" t="s">
        <v>72</v>
      </c>
      <c r="Y310" s="5" t="s">
        <v>73</v>
      </c>
      <c r="AD310" s="5" t="s">
        <v>1552</v>
      </c>
      <c r="AI310" s="9" t="n">
        <v>45292</v>
      </c>
      <c r="AK310" s="5" t="s">
        <v>228</v>
      </c>
      <c r="AL310" s="5" t="n">
        <v>249236</v>
      </c>
      <c r="AM310" s="5" t="s">
        <v>182</v>
      </c>
      <c r="AN310" s="5" t="str">
        <f aca="false" t="array" ref="AN310:AN310">IFERROR(INDEX('full database 2024'!aj:aj, MATCH(A310, 'full database 2024'!b:b, 0)), "")</f>
        <v/>
      </c>
      <c r="AQ310" s="5" t="s">
        <v>77</v>
      </c>
      <c r="AR310" s="5" t="s">
        <v>185</v>
      </c>
      <c r="AS310" s="5" t="s">
        <v>73</v>
      </c>
      <c r="AT310" s="5" t="s">
        <v>78</v>
      </c>
      <c r="AW310" s="5" t="s">
        <v>94</v>
      </c>
      <c r="AX310" s="10" t="str">
        <f aca="false">IFERROR(INDEX('full database 2024'!ar:ar, MATCH(A310, 'full database 2024'!b:b, 0)), "")</f>
        <v/>
      </c>
      <c r="AZ310" s="5" t="s">
        <v>129</v>
      </c>
      <c r="BD310" s="9" t="n">
        <v>45596</v>
      </c>
      <c r="BE310" s="9" t="n">
        <v>45779</v>
      </c>
      <c r="BJ310" s="5" t="n">
        <v>2024</v>
      </c>
      <c r="BK310" s="11" t="n">
        <v>36526</v>
      </c>
    </row>
    <row r="311" customFormat="false" ht="16.5" hidden="false" customHeight="true" outlineLevel="0" collapsed="false">
      <c r="A311" s="5" t="s">
        <v>1553</v>
      </c>
      <c r="B311" s="5"/>
      <c r="C311" s="5"/>
      <c r="D311" s="5" t="s">
        <v>62</v>
      </c>
      <c r="E311" s="5" t="n">
        <v>226812</v>
      </c>
      <c r="F311" s="5" t="n">
        <v>226812</v>
      </c>
      <c r="G311" s="5" t="s">
        <v>147</v>
      </c>
      <c r="H311" s="6" t="n">
        <v>267638</v>
      </c>
      <c r="I311" s="6" t="n">
        <v>244957</v>
      </c>
      <c r="J311" s="7" t="n">
        <v>226812</v>
      </c>
      <c r="K311" s="7" t="n">
        <v>226812</v>
      </c>
      <c r="L311" s="5" t="s">
        <v>84</v>
      </c>
      <c r="M311" s="5" t="s">
        <v>65</v>
      </c>
      <c r="N311" s="5"/>
      <c r="O311" s="5"/>
      <c r="V311" s="5" t="s">
        <v>1554</v>
      </c>
      <c r="X311" s="5" t="s">
        <v>151</v>
      </c>
      <c r="Y311" s="5" t="s">
        <v>73</v>
      </c>
      <c r="AD311" s="5"/>
      <c r="AI311" s="9" t="n">
        <v>44470</v>
      </c>
      <c r="AK311" s="5"/>
      <c r="AL311" s="5" t="n">
        <v>267638</v>
      </c>
      <c r="AM311" s="5" t="s">
        <v>821</v>
      </c>
      <c r="AN311" s="5"/>
      <c r="AQ311" s="5" t="s">
        <v>77</v>
      </c>
      <c r="AR311" s="5" t="s">
        <v>151</v>
      </c>
      <c r="AS311" s="5" t="s">
        <v>73</v>
      </c>
      <c r="AT311" s="5" t="s">
        <v>374</v>
      </c>
      <c r="AW311" s="5" t="s">
        <v>94</v>
      </c>
      <c r="AX311" s="10" t="str">
        <f aca="false">IFERROR(INDEX('full database 2024'!ar:ar, MATCH(A311, 'full database 2024'!b:b, 0)), "")</f>
        <v/>
      </c>
      <c r="AZ311" s="5" t="s">
        <v>857</v>
      </c>
      <c r="BD311" s="9" t="n">
        <v>45596</v>
      </c>
      <c r="BE311" s="9" t="n">
        <v>45596</v>
      </c>
      <c r="BJ311" s="5" t="n">
        <v>2021</v>
      </c>
      <c r="BK311" s="11" t="n">
        <v>36526</v>
      </c>
    </row>
    <row r="312" customFormat="false" ht="16.5" hidden="false" customHeight="true" outlineLevel="0" collapsed="false">
      <c r="A312" s="5" t="s">
        <v>1555</v>
      </c>
      <c r="C312" s="5"/>
      <c r="D312" s="5" t="s">
        <v>62</v>
      </c>
      <c r="E312" s="5" t="n">
        <v>225942</v>
      </c>
      <c r="F312" s="5" t="n">
        <v>225942</v>
      </c>
      <c r="G312" s="5" t="s">
        <v>147</v>
      </c>
      <c r="H312" s="6"/>
      <c r="I312" s="6"/>
      <c r="J312" s="7" t="n">
        <v>225942</v>
      </c>
      <c r="K312" s="7" t="n">
        <v>225942</v>
      </c>
      <c r="L312" s="5" t="s">
        <v>84</v>
      </c>
      <c r="M312" s="5" t="s">
        <v>65</v>
      </c>
      <c r="V312" s="5" t="s">
        <v>1556</v>
      </c>
      <c r="X312" s="5"/>
      <c r="Y312" s="5" t="s">
        <v>73</v>
      </c>
      <c r="AI312" s="9" t="n">
        <v>44896</v>
      </c>
      <c r="AL312" s="5"/>
      <c r="AM312" s="5" t="s">
        <v>1557</v>
      </c>
      <c r="AN312" s="5"/>
      <c r="AQ312" s="5" t="s">
        <v>77</v>
      </c>
      <c r="AR312" s="5" t="s">
        <v>151</v>
      </c>
      <c r="AS312" s="5" t="s">
        <v>73</v>
      </c>
      <c r="AT312" s="5" t="s">
        <v>78</v>
      </c>
      <c r="AW312" s="5" t="s">
        <v>94</v>
      </c>
      <c r="AX312" s="10" t="str">
        <f aca="false">IFERROR(INDEX('full database 2024'!ar:ar, MATCH(A312, 'full database 2024'!b:b, 0)), "")</f>
        <v/>
      </c>
      <c r="AZ312" s="5" t="s">
        <v>287</v>
      </c>
      <c r="BD312" s="9" t="n">
        <v>45596</v>
      </c>
      <c r="BE312" s="9" t="n">
        <v>45596</v>
      </c>
      <c r="BJ312" s="5" t="n">
        <v>2022</v>
      </c>
      <c r="BK312" s="11"/>
    </row>
    <row r="313" customFormat="false" ht="16.5" hidden="false" customHeight="true" outlineLevel="0" collapsed="false">
      <c r="A313" s="5" t="s">
        <v>1558</v>
      </c>
      <c r="C313" s="5"/>
      <c r="D313" s="5" t="s">
        <v>62</v>
      </c>
      <c r="E313" s="5" t="n">
        <v>221625</v>
      </c>
      <c r="F313" s="5" t="n">
        <v>221625</v>
      </c>
      <c r="G313" s="5" t="s">
        <v>147</v>
      </c>
      <c r="H313" s="6" t="n">
        <v>241571</v>
      </c>
      <c r="I313" s="6" t="n">
        <v>241571</v>
      </c>
      <c r="J313" s="7" t="n">
        <v>221625</v>
      </c>
      <c r="K313" s="7" t="n">
        <v>221625</v>
      </c>
      <c r="L313" s="5" t="s">
        <v>84</v>
      </c>
      <c r="M313" s="5" t="s">
        <v>65</v>
      </c>
      <c r="V313" s="5" t="s">
        <v>1003</v>
      </c>
      <c r="Y313" s="5" t="s">
        <v>73</v>
      </c>
      <c r="AI313" s="9" t="n">
        <v>44931</v>
      </c>
      <c r="AL313" s="5" t="n">
        <v>241571</v>
      </c>
      <c r="AM313" s="5" t="s">
        <v>153</v>
      </c>
      <c r="AN313" s="5"/>
      <c r="AQ313" s="5" t="s">
        <v>77</v>
      </c>
      <c r="AR313" s="5" t="s">
        <v>151</v>
      </c>
      <c r="AS313" s="5" t="s">
        <v>73</v>
      </c>
      <c r="AT313" s="5" t="s">
        <v>78</v>
      </c>
      <c r="AW313" s="5" t="s">
        <v>94</v>
      </c>
      <c r="AX313" s="10" t="str">
        <f aca="false">IFERROR(INDEX('full database 2024'!ar:ar, MATCH(A313, 'full database 2024'!b:b, 0)), "")</f>
        <v/>
      </c>
      <c r="AZ313" s="5" t="s">
        <v>309</v>
      </c>
      <c r="BD313" s="9" t="n">
        <v>45596</v>
      </c>
      <c r="BE313" s="9" t="n">
        <v>45596</v>
      </c>
      <c r="BJ313" s="5" t="n">
        <v>2023</v>
      </c>
    </row>
    <row r="314" customFormat="false" ht="16.5" hidden="false" customHeight="true" outlineLevel="0" collapsed="false">
      <c r="A314" s="5" t="s">
        <v>967</v>
      </c>
      <c r="C314" s="5"/>
      <c r="D314" s="5" t="s">
        <v>62</v>
      </c>
      <c r="E314" s="5" t="n">
        <v>221340</v>
      </c>
      <c r="F314" s="5" t="n">
        <v>221340</v>
      </c>
      <c r="G314" s="5" t="s">
        <v>147</v>
      </c>
      <c r="H314" s="6" t="n">
        <v>241260</v>
      </c>
      <c r="I314" s="6" t="n">
        <v>241260</v>
      </c>
      <c r="J314" s="7" t="n">
        <v>221340</v>
      </c>
      <c r="K314" s="7" t="n">
        <v>221340</v>
      </c>
      <c r="L314" s="5" t="s">
        <v>84</v>
      </c>
      <c r="M314" s="5" t="s">
        <v>65</v>
      </c>
      <c r="V314" s="5" t="s">
        <v>1559</v>
      </c>
      <c r="X314" s="5" t="s">
        <v>151</v>
      </c>
      <c r="Y314" s="5" t="s">
        <v>73</v>
      </c>
      <c r="AI314" s="9" t="n">
        <v>45109</v>
      </c>
      <c r="AL314" s="5" t="n">
        <v>241260</v>
      </c>
      <c r="AM314" s="5" t="s">
        <v>153</v>
      </c>
      <c r="AN314" s="5"/>
      <c r="AQ314" s="5" t="s">
        <v>77</v>
      </c>
      <c r="AR314" s="5" t="s">
        <v>151</v>
      </c>
      <c r="AS314" s="5" t="s">
        <v>73</v>
      </c>
      <c r="AT314" s="5" t="s">
        <v>78</v>
      </c>
      <c r="AW314" s="5" t="s">
        <v>969</v>
      </c>
      <c r="AX314" s="10" t="str">
        <f aca="false">IFERROR(INDEX('full database 2024'!ar:ar, MATCH(A314, 'full database 2024'!b:b, 0)), "")</f>
        <v/>
      </c>
      <c r="AZ314" s="5" t="s">
        <v>309</v>
      </c>
      <c r="BD314" s="9" t="n">
        <v>45596</v>
      </c>
      <c r="BE314" s="9" t="n">
        <v>45596</v>
      </c>
      <c r="BJ314" s="5" t="n">
        <v>2023</v>
      </c>
    </row>
    <row r="315" customFormat="false" ht="16.5" hidden="false" customHeight="true" outlineLevel="0" collapsed="false">
      <c r="A315" s="5" t="s">
        <v>1560</v>
      </c>
      <c r="C315" s="5"/>
      <c r="D315" s="5" t="s">
        <v>62</v>
      </c>
      <c r="E315" s="5" t="n">
        <v>220000</v>
      </c>
      <c r="F315" s="5" t="n">
        <v>220000</v>
      </c>
      <c r="G315" s="5" t="s">
        <v>147</v>
      </c>
      <c r="H315" s="6" t="n">
        <v>239800</v>
      </c>
      <c r="I315" s="6" t="n">
        <v>239800</v>
      </c>
      <c r="J315" s="7" t="n">
        <v>220000</v>
      </c>
      <c r="K315" s="7" t="n">
        <v>220000</v>
      </c>
      <c r="L315" s="5" t="s">
        <v>84</v>
      </c>
      <c r="M315" s="5" t="s">
        <v>65</v>
      </c>
      <c r="V315" s="5" t="s">
        <v>1561</v>
      </c>
      <c r="X315" s="5"/>
      <c r="Y315" s="5" t="s">
        <v>73</v>
      </c>
      <c r="AI315" s="9" t="n">
        <v>44409</v>
      </c>
      <c r="AL315" s="5" t="n">
        <v>239800</v>
      </c>
      <c r="AM315" s="5" t="s">
        <v>924</v>
      </c>
      <c r="AN315" s="5"/>
      <c r="AQ315" s="5" t="s">
        <v>77</v>
      </c>
      <c r="AR315" s="5" t="s">
        <v>151</v>
      </c>
      <c r="AS315" s="5" t="s">
        <v>73</v>
      </c>
      <c r="AT315" s="5" t="s">
        <v>78</v>
      </c>
      <c r="AW315" s="5" t="s">
        <v>94</v>
      </c>
      <c r="AX315" s="10" t="str">
        <f aca="false">IFERROR(INDEX('full database 2024'!ar:ar, MATCH(A315, 'full database 2024'!b:b, 0)), "")</f>
        <v/>
      </c>
      <c r="AZ315" s="5" t="s">
        <v>129</v>
      </c>
      <c r="BD315" s="9" t="n">
        <v>45596</v>
      </c>
      <c r="BE315" s="9" t="n">
        <v>45596</v>
      </c>
      <c r="BJ315" s="5" t="n">
        <v>2021</v>
      </c>
    </row>
    <row r="316" customFormat="false" ht="16.5" hidden="false" customHeight="true" outlineLevel="0" collapsed="false">
      <c r="A316" s="5" t="s">
        <v>1562</v>
      </c>
      <c r="C316" s="5"/>
      <c r="D316" s="5" t="s">
        <v>62</v>
      </c>
      <c r="E316" s="5" t="n">
        <v>220000</v>
      </c>
      <c r="F316" s="5" t="n">
        <v>220000</v>
      </c>
      <c r="G316" s="5" t="s">
        <v>147</v>
      </c>
      <c r="H316" s="6" t="n">
        <v>239800</v>
      </c>
      <c r="I316" s="6" t="n">
        <v>239800</v>
      </c>
      <c r="J316" s="7" t="n">
        <v>220000</v>
      </c>
      <c r="K316" s="7" t="n">
        <v>220000</v>
      </c>
      <c r="L316" s="5" t="s">
        <v>84</v>
      </c>
      <c r="M316" s="5" t="s">
        <v>65</v>
      </c>
      <c r="V316" s="5" t="s">
        <v>1563</v>
      </c>
      <c r="Y316" s="5" t="s">
        <v>73</v>
      </c>
      <c r="AI316" s="9" t="n">
        <v>44788</v>
      </c>
      <c r="AL316" s="5" t="n">
        <v>239800</v>
      </c>
      <c r="AM316" s="5" t="s">
        <v>924</v>
      </c>
      <c r="AN316" s="5"/>
      <c r="AQ316" s="5" t="s">
        <v>77</v>
      </c>
      <c r="AR316" s="5" t="s">
        <v>151</v>
      </c>
      <c r="AS316" s="5" t="s">
        <v>73</v>
      </c>
      <c r="AT316" s="5" t="s">
        <v>78</v>
      </c>
      <c r="AU316" s="10" t="s">
        <v>259</v>
      </c>
      <c r="AV316" s="10"/>
      <c r="AW316" s="5" t="s">
        <v>94</v>
      </c>
      <c r="AX316" s="10" t="str">
        <f aca="false">IFERROR(INDEX('full database 2024'!ar:ar, MATCH(A316, 'full database 2024'!b:b, 0)), "")</f>
        <v/>
      </c>
      <c r="AZ316" s="5" t="s">
        <v>129</v>
      </c>
      <c r="BD316" s="9" t="n">
        <v>45596</v>
      </c>
      <c r="BE316" s="9" t="n">
        <v>45596</v>
      </c>
      <c r="BJ316" s="5" t="n">
        <v>2022</v>
      </c>
    </row>
    <row r="317" customFormat="false" ht="16.5" hidden="false" customHeight="true" outlineLevel="0" collapsed="false">
      <c r="A317" s="5" t="s">
        <v>1564</v>
      </c>
      <c r="C317" s="5"/>
      <c r="D317" s="5" t="s">
        <v>62</v>
      </c>
      <c r="E317" s="5" t="n">
        <v>220000</v>
      </c>
      <c r="F317" s="5" t="n">
        <v>220000</v>
      </c>
      <c r="G317" s="5" t="s">
        <v>147</v>
      </c>
      <c r="H317" s="6" t="n">
        <v>239800</v>
      </c>
      <c r="I317" s="6" t="n">
        <v>239800</v>
      </c>
      <c r="J317" s="7" t="n">
        <v>220000</v>
      </c>
      <c r="K317" s="7" t="n">
        <v>220000</v>
      </c>
      <c r="L317" s="5" t="s">
        <v>84</v>
      </c>
      <c r="M317" s="5" t="s">
        <v>65</v>
      </c>
      <c r="V317" s="5" t="s">
        <v>1565</v>
      </c>
      <c r="Y317" s="5" t="s">
        <v>73</v>
      </c>
      <c r="AI317" s="9" t="n">
        <v>45047</v>
      </c>
      <c r="AL317" s="5" t="n">
        <v>239800</v>
      </c>
      <c r="AM317" s="5" t="s">
        <v>924</v>
      </c>
      <c r="AN317" s="5"/>
      <c r="AQ317" s="5" t="s">
        <v>77</v>
      </c>
      <c r="AR317" s="5" t="s">
        <v>151</v>
      </c>
      <c r="AS317" s="5" t="s">
        <v>73</v>
      </c>
      <c r="AT317" s="5" t="s">
        <v>78</v>
      </c>
      <c r="AU317" s="10" t="s">
        <v>259</v>
      </c>
      <c r="AV317" s="10"/>
      <c r="AW317" s="5" t="s">
        <v>94</v>
      </c>
      <c r="AX317" s="10" t="str">
        <f aca="false">IFERROR(INDEX('full database 2024'!ar:ar, MATCH(A317, 'full database 2024'!b:b, 0)), "")</f>
        <v/>
      </c>
      <c r="AY317" s="5" t="s">
        <v>447</v>
      </c>
      <c r="AZ317" s="5" t="s">
        <v>129</v>
      </c>
      <c r="BD317" s="9" t="n">
        <v>45596</v>
      </c>
      <c r="BE317" s="9" t="n">
        <v>45596</v>
      </c>
      <c r="BJ317" s="5" t="n">
        <v>2023</v>
      </c>
    </row>
    <row r="318" customFormat="false" ht="16.5" hidden="false" customHeight="true" outlineLevel="0" collapsed="false">
      <c r="A318" s="5" t="s">
        <v>1566</v>
      </c>
      <c r="C318" s="5"/>
      <c r="D318" s="5" t="s">
        <v>62</v>
      </c>
      <c r="E318" s="5" t="n">
        <v>219880</v>
      </c>
      <c r="F318" s="5" t="n">
        <v>219880</v>
      </c>
      <c r="G318" s="5" t="s">
        <v>147</v>
      </c>
      <c r="H318" s="6" t="n">
        <v>239669</v>
      </c>
      <c r="I318" s="6" t="n">
        <v>239669</v>
      </c>
      <c r="J318" s="7" t="n">
        <v>219880</v>
      </c>
      <c r="K318" s="7" t="n">
        <v>219880</v>
      </c>
      <c r="L318" s="5" t="s">
        <v>84</v>
      </c>
      <c r="M318" s="5" t="s">
        <v>65</v>
      </c>
      <c r="V318" s="5" t="s">
        <v>1567</v>
      </c>
      <c r="Y318" s="5" t="s">
        <v>73</v>
      </c>
      <c r="AI318" s="9" t="n">
        <v>44409</v>
      </c>
      <c r="AL318" s="5" t="n">
        <v>239669</v>
      </c>
      <c r="AM318" s="5" t="s">
        <v>924</v>
      </c>
      <c r="AN318" s="5"/>
      <c r="AQ318" s="5" t="s">
        <v>77</v>
      </c>
      <c r="AR318" s="5" t="s">
        <v>151</v>
      </c>
      <c r="AS318" s="5" t="s">
        <v>73</v>
      </c>
      <c r="AT318" s="5" t="s">
        <v>78</v>
      </c>
      <c r="AW318" s="5" t="s">
        <v>94</v>
      </c>
      <c r="AX318" s="10" t="str">
        <f aca="false">IFERROR(INDEX('full database 2024'!ar:ar, MATCH(A318, 'full database 2024'!b:b, 0)), "")</f>
        <v/>
      </c>
      <c r="AZ318" s="5" t="s">
        <v>129</v>
      </c>
      <c r="BD318" s="9" t="n">
        <v>45596</v>
      </c>
      <c r="BE318" s="9" t="n">
        <v>45596</v>
      </c>
      <c r="BJ318" s="5" t="n">
        <v>2021</v>
      </c>
    </row>
    <row r="319" customFormat="false" ht="16.5" hidden="false" customHeight="true" outlineLevel="0" collapsed="false">
      <c r="A319" s="5" t="s">
        <v>1568</v>
      </c>
      <c r="C319" s="5"/>
      <c r="D319" s="5" t="s">
        <v>62</v>
      </c>
      <c r="E319" s="5" t="n">
        <v>218781</v>
      </c>
      <c r="F319" s="5" t="n">
        <v>218781</v>
      </c>
      <c r="G319" s="5" t="s">
        <v>147</v>
      </c>
      <c r="H319" s="6" t="n">
        <v>238471</v>
      </c>
      <c r="I319" s="6" t="n">
        <v>238471</v>
      </c>
      <c r="J319" s="7" t="n">
        <v>218781</v>
      </c>
      <c r="K319" s="7" t="n">
        <v>218781</v>
      </c>
      <c r="L319" s="5" t="s">
        <v>84</v>
      </c>
      <c r="M319" s="5" t="s">
        <v>65</v>
      </c>
      <c r="V319" s="5" t="s">
        <v>1569</v>
      </c>
      <c r="Y319" s="5" t="s">
        <v>73</v>
      </c>
      <c r="AI319" s="9" t="n">
        <v>44743</v>
      </c>
      <c r="AL319" s="5" t="n">
        <v>238471</v>
      </c>
      <c r="AM319" s="5" t="s">
        <v>924</v>
      </c>
      <c r="AN319" s="5"/>
      <c r="AQ319" s="5" t="s">
        <v>77</v>
      </c>
      <c r="AR319" s="5" t="s">
        <v>151</v>
      </c>
      <c r="AS319" s="5" t="s">
        <v>73</v>
      </c>
      <c r="AT319" s="5" t="s">
        <v>78</v>
      </c>
      <c r="AW319" s="5" t="s">
        <v>94</v>
      </c>
      <c r="AX319" s="10" t="str">
        <f aca="false">IFERROR(INDEX('full database 2024'!ar:ar, MATCH(A319, 'full database 2024'!b:b, 0)), "")</f>
        <v/>
      </c>
      <c r="AZ319" s="5" t="s">
        <v>188</v>
      </c>
      <c r="BD319" s="9" t="n">
        <v>45596</v>
      </c>
      <c r="BE319" s="9" t="n">
        <v>45596</v>
      </c>
      <c r="BJ319" s="5" t="n">
        <v>2022</v>
      </c>
    </row>
    <row r="320" customFormat="false" ht="16.5" hidden="false" customHeight="true" outlineLevel="0" collapsed="false">
      <c r="A320" s="5" t="s">
        <v>967</v>
      </c>
      <c r="C320" s="5"/>
      <c r="D320" s="5" t="s">
        <v>62</v>
      </c>
      <c r="E320" s="5" t="n">
        <v>217994</v>
      </c>
      <c r="F320" s="5" t="n">
        <v>217994</v>
      </c>
      <c r="G320" s="5" t="s">
        <v>147</v>
      </c>
      <c r="H320" s="6" t="n">
        <v>237614</v>
      </c>
      <c r="I320" s="6" t="n">
        <v>237614</v>
      </c>
      <c r="J320" s="7" t="n">
        <v>217994</v>
      </c>
      <c r="K320" s="7" t="n">
        <v>217994</v>
      </c>
      <c r="L320" s="5" t="s">
        <v>84</v>
      </c>
      <c r="M320" s="5" t="s">
        <v>65</v>
      </c>
      <c r="V320" s="5" t="s">
        <v>1570</v>
      </c>
      <c r="X320" s="5" t="s">
        <v>151</v>
      </c>
      <c r="Y320" s="5" t="s">
        <v>73</v>
      </c>
      <c r="AI320" s="9" t="n">
        <v>44932</v>
      </c>
      <c r="AL320" s="5" t="n">
        <v>237614</v>
      </c>
      <c r="AM320" s="5" t="s">
        <v>153</v>
      </c>
      <c r="AN320" s="5"/>
      <c r="AQ320" s="5" t="s">
        <v>77</v>
      </c>
      <c r="AR320" s="5" t="s">
        <v>151</v>
      </c>
      <c r="AS320" s="5" t="s">
        <v>73</v>
      </c>
      <c r="AT320" s="5" t="s">
        <v>78</v>
      </c>
      <c r="AW320" s="5" t="s">
        <v>969</v>
      </c>
      <c r="AX320" s="10" t="str">
        <f aca="false">IFERROR(INDEX('full database 2024'!ar:ar, MATCH(A320, 'full database 2024'!b:b, 0)), "")</f>
        <v/>
      </c>
      <c r="AZ320" s="5" t="s">
        <v>309</v>
      </c>
      <c r="BD320" s="9" t="n">
        <v>45596</v>
      </c>
      <c r="BE320" s="9" t="n">
        <v>45596</v>
      </c>
      <c r="BJ320" s="5" t="n">
        <v>2023</v>
      </c>
    </row>
    <row r="321" customFormat="false" ht="16.5" hidden="false" customHeight="true" outlineLevel="0" collapsed="false">
      <c r="A321" s="5" t="s">
        <v>1571</v>
      </c>
      <c r="C321" s="5"/>
      <c r="D321" s="5" t="s">
        <v>62</v>
      </c>
      <c r="E321" s="5" t="n">
        <v>217646</v>
      </c>
      <c r="F321" s="5" t="n">
        <v>217646</v>
      </c>
      <c r="G321" s="5" t="s">
        <v>147</v>
      </c>
      <c r="H321" s="6" t="n">
        <v>237234</v>
      </c>
      <c r="I321" s="6" t="n">
        <v>237234</v>
      </c>
      <c r="J321" s="7" t="n">
        <v>217646</v>
      </c>
      <c r="K321" s="7" t="n">
        <v>217646</v>
      </c>
      <c r="L321" s="5" t="s">
        <v>84</v>
      </c>
      <c r="M321" s="5" t="s">
        <v>65</v>
      </c>
      <c r="V321" s="5" t="s">
        <v>824</v>
      </c>
      <c r="X321" s="5"/>
      <c r="Y321" s="5" t="s">
        <v>73</v>
      </c>
      <c r="AI321" s="9" t="n">
        <v>44682</v>
      </c>
      <c r="AL321" s="5" t="n">
        <v>237234</v>
      </c>
      <c r="AM321" s="5" t="s">
        <v>924</v>
      </c>
      <c r="AN321" s="5"/>
      <c r="AQ321" s="5" t="s">
        <v>77</v>
      </c>
      <c r="AR321" s="5" t="s">
        <v>151</v>
      </c>
      <c r="AS321" s="5" t="s">
        <v>73</v>
      </c>
      <c r="AT321" s="5" t="s">
        <v>78</v>
      </c>
      <c r="AW321" s="5" t="s">
        <v>94</v>
      </c>
      <c r="AX321" s="10" t="str">
        <f aca="false">IFERROR(INDEX('full database 2024'!ar:ar, MATCH(A321, 'full database 2024'!b:b, 0)), "")</f>
        <v/>
      </c>
      <c r="AZ321" s="5" t="s">
        <v>684</v>
      </c>
      <c r="BD321" s="9" t="n">
        <v>45596</v>
      </c>
      <c r="BE321" s="9" t="n">
        <v>45596</v>
      </c>
      <c r="BJ321" s="5" t="n">
        <v>2022</v>
      </c>
    </row>
    <row r="322" customFormat="false" ht="16.5" hidden="false" customHeight="true" outlineLevel="0" collapsed="false">
      <c r="A322" s="5" t="s">
        <v>1572</v>
      </c>
      <c r="C322" s="5"/>
      <c r="D322" s="5" t="s">
        <v>62</v>
      </c>
      <c r="E322" s="5" t="n">
        <v>217380</v>
      </c>
      <c r="F322" s="5" t="n">
        <v>217380</v>
      </c>
      <c r="G322" s="5" t="s">
        <v>147</v>
      </c>
      <c r="H322" s="6" t="n">
        <v>236944</v>
      </c>
      <c r="I322" s="6" t="n">
        <v>236944</v>
      </c>
      <c r="J322" s="7" t="n">
        <v>217380</v>
      </c>
      <c r="K322" s="7" t="n">
        <v>217380</v>
      </c>
      <c r="L322" s="5" t="s">
        <v>84</v>
      </c>
      <c r="M322" s="5" t="s">
        <v>65</v>
      </c>
      <c r="V322" s="5" t="s">
        <v>1573</v>
      </c>
      <c r="X322" s="5" t="s">
        <v>151</v>
      </c>
      <c r="Y322" s="5" t="s">
        <v>73</v>
      </c>
      <c r="AI322" s="9" t="n">
        <v>44928</v>
      </c>
      <c r="AL322" s="5" t="n">
        <v>236944</v>
      </c>
      <c r="AM322" s="5" t="s">
        <v>153</v>
      </c>
      <c r="AN322" s="5"/>
      <c r="AQ322" s="5" t="s">
        <v>77</v>
      </c>
      <c r="AR322" s="5" t="s">
        <v>151</v>
      </c>
      <c r="AS322" s="5" t="s">
        <v>73</v>
      </c>
      <c r="AT322" s="5" t="s">
        <v>78</v>
      </c>
      <c r="AW322" s="5" t="s">
        <v>94</v>
      </c>
      <c r="AX322" s="10" t="str">
        <f aca="false">IFERROR(INDEX('full database 2024'!ar:ar, MATCH(A322, 'full database 2024'!b:b, 0)), "")</f>
        <v/>
      </c>
      <c r="AZ322" s="5" t="s">
        <v>309</v>
      </c>
      <c r="BD322" s="9" t="n">
        <v>45596</v>
      </c>
      <c r="BE322" s="9" t="n">
        <v>45596</v>
      </c>
      <c r="BJ322" s="5" t="n">
        <v>2023</v>
      </c>
    </row>
    <row r="323" customFormat="false" ht="16.5" hidden="false" customHeight="true" outlineLevel="0" collapsed="false">
      <c r="A323" s="5" t="s">
        <v>1574</v>
      </c>
      <c r="C323" s="5"/>
      <c r="D323" s="5" t="s">
        <v>62</v>
      </c>
      <c r="E323" s="5" t="n">
        <v>217203</v>
      </c>
      <c r="F323" s="5" t="n">
        <v>217203</v>
      </c>
      <c r="G323" s="5" t="s">
        <v>147</v>
      </c>
      <c r="H323" s="6" t="n">
        <v>236751</v>
      </c>
      <c r="I323" s="6" t="n">
        <v>236751</v>
      </c>
      <c r="J323" s="7" t="n">
        <v>217203</v>
      </c>
      <c r="K323" s="7" t="n">
        <v>217203</v>
      </c>
      <c r="L323" s="5" t="s">
        <v>84</v>
      </c>
      <c r="M323" s="5" t="s">
        <v>65</v>
      </c>
      <c r="V323" s="5" t="s">
        <v>1575</v>
      </c>
      <c r="X323" s="5"/>
      <c r="Y323" s="5" t="s">
        <v>73</v>
      </c>
      <c r="AI323" s="9" t="n">
        <v>45292</v>
      </c>
      <c r="AL323" s="5" t="n">
        <v>236751</v>
      </c>
      <c r="AM323" s="5" t="s">
        <v>153</v>
      </c>
      <c r="AN323" s="5"/>
      <c r="AQ323" s="5" t="s">
        <v>77</v>
      </c>
      <c r="AR323" s="5" t="s">
        <v>151</v>
      </c>
      <c r="AS323" s="5" t="s">
        <v>73</v>
      </c>
      <c r="AT323" s="5" t="s">
        <v>78</v>
      </c>
      <c r="AW323" s="5" t="s">
        <v>94</v>
      </c>
      <c r="AX323" s="10" t="str">
        <f aca="false">IFERROR(INDEX('full database 2024'!ar:ar, MATCH(A323, 'full database 2024'!b:b, 0)), "")</f>
        <v/>
      </c>
      <c r="AZ323" s="5" t="s">
        <v>129</v>
      </c>
      <c r="BD323" s="9" t="n">
        <v>45596</v>
      </c>
      <c r="BE323" s="9" t="n">
        <v>45596</v>
      </c>
      <c r="BJ323" s="5" t="n">
        <v>2024</v>
      </c>
    </row>
    <row r="324" customFormat="false" ht="16.5" hidden="false" customHeight="true" outlineLevel="0" collapsed="false">
      <c r="A324" s="5" t="s">
        <v>1576</v>
      </c>
      <c r="B324" s="5" t="s">
        <v>1577</v>
      </c>
      <c r="C324" s="5"/>
      <c r="D324" s="5" t="s">
        <v>62</v>
      </c>
      <c r="E324" s="5" t="n">
        <v>215534</v>
      </c>
      <c r="F324" s="5" t="n">
        <v>215534</v>
      </c>
      <c r="G324" s="5" t="s">
        <v>147</v>
      </c>
      <c r="H324" s="6" t="n">
        <v>232777</v>
      </c>
      <c r="I324" s="6" t="n">
        <v>232777</v>
      </c>
      <c r="J324" s="7" t="n">
        <v>215534</v>
      </c>
      <c r="K324" s="7" t="n">
        <v>215534</v>
      </c>
      <c r="L324" s="5" t="s">
        <v>84</v>
      </c>
      <c r="M324" s="5" t="s">
        <v>65</v>
      </c>
      <c r="N324" s="8" t="s">
        <v>1578</v>
      </c>
      <c r="O324" s="5" t="s">
        <v>1579</v>
      </c>
      <c r="V324" s="5" t="s">
        <v>1580</v>
      </c>
      <c r="X324" s="5" t="s">
        <v>352</v>
      </c>
      <c r="Y324" s="5" t="s">
        <v>73</v>
      </c>
      <c r="AD324" s="5" t="s">
        <v>1581</v>
      </c>
      <c r="AI324" s="9" t="n">
        <v>45352</v>
      </c>
      <c r="AK324" s="5" t="s">
        <v>228</v>
      </c>
      <c r="AL324" s="5" t="n">
        <v>232777</v>
      </c>
      <c r="AM324" s="5" t="s">
        <v>182</v>
      </c>
      <c r="AN324" s="5" t="str">
        <f aca="false" t="array" ref="AN324:AN324">IFERROR(INDEX('full database 2024'!aj:aj, MATCH(A324, 'full database 2024'!b:b, 0)), "")</f>
        <v/>
      </c>
      <c r="AQ324" s="5" t="s">
        <v>77</v>
      </c>
      <c r="AR324" s="5" t="s">
        <v>185</v>
      </c>
      <c r="AS324" s="5" t="s">
        <v>73</v>
      </c>
      <c r="AT324" s="5" t="s">
        <v>105</v>
      </c>
      <c r="AU324" s="10" t="s">
        <v>186</v>
      </c>
      <c r="AW324" s="5" t="s">
        <v>94</v>
      </c>
      <c r="AX324" s="10" t="str">
        <f aca="false">IFERROR(INDEX('full database 2024'!ar:ar, MATCH(A324, 'full database 2024'!b:b, 0)), "")</f>
        <v/>
      </c>
      <c r="AZ324" s="5" t="s">
        <v>129</v>
      </c>
      <c r="BD324" s="9" t="n">
        <v>45596</v>
      </c>
      <c r="BE324" s="9" t="n">
        <v>45779</v>
      </c>
      <c r="BJ324" s="5" t="n">
        <v>2024</v>
      </c>
      <c r="BK324" s="11" t="n">
        <v>36526</v>
      </c>
    </row>
    <row r="325" customFormat="false" ht="16.5" hidden="false" customHeight="true" outlineLevel="0" collapsed="false">
      <c r="A325" s="5" t="s">
        <v>1582</v>
      </c>
      <c r="B325" s="5"/>
      <c r="C325" s="5"/>
      <c r="D325" s="5" t="s">
        <v>62</v>
      </c>
      <c r="E325" s="16" t="n">
        <v>213565</v>
      </c>
      <c r="F325" s="16" t="n">
        <v>213565</v>
      </c>
      <c r="G325" s="5" t="s">
        <v>132</v>
      </c>
      <c r="H325" s="6" t="n">
        <v>266956</v>
      </c>
      <c r="I325" s="6" t="n">
        <v>266956</v>
      </c>
      <c r="J325" s="7" t="n">
        <f aca="false">E325*1.19</f>
        <v>254142.35</v>
      </c>
      <c r="K325" s="7" t="n">
        <f aca="false">F325*1.19</f>
        <v>254142.35</v>
      </c>
      <c r="L325" s="5" t="s">
        <v>84</v>
      </c>
      <c r="M325" s="5" t="s">
        <v>65</v>
      </c>
      <c r="N325" s="8" t="s">
        <v>1583</v>
      </c>
      <c r="O325" s="5"/>
      <c r="T325" s="5" t="s">
        <v>1584</v>
      </c>
      <c r="V325" s="5" t="s">
        <v>1585</v>
      </c>
      <c r="X325" s="5" t="s">
        <v>139</v>
      </c>
      <c r="Y325" s="5" t="s">
        <v>73</v>
      </c>
      <c r="AD325" s="5"/>
      <c r="AI325" s="9" t="n">
        <v>44937</v>
      </c>
      <c r="AJ325" s="5" t="n">
        <v>16</v>
      </c>
      <c r="AK325" s="5" t="s">
        <v>433</v>
      </c>
      <c r="AL325" s="5" t="n">
        <v>16685</v>
      </c>
      <c r="AM325" s="5" t="s">
        <v>140</v>
      </c>
      <c r="AN325" s="5" t="s">
        <v>699</v>
      </c>
      <c r="AQ325" s="5" t="s">
        <v>77</v>
      </c>
      <c r="AR325" s="5" t="s">
        <v>143</v>
      </c>
      <c r="AS325" s="5" t="s">
        <v>73</v>
      </c>
      <c r="AT325" s="5" t="s">
        <v>105</v>
      </c>
      <c r="AU325" s="10" t="s">
        <v>106</v>
      </c>
      <c r="AW325" s="5" t="s">
        <v>94</v>
      </c>
      <c r="AX325" s="10" t="str">
        <f aca="false">IFERROR(INDEX('full database 2024'!ar:ar, MATCH(A325, 'full database 2024'!b:b, 0)), "")</f>
        <v/>
      </c>
      <c r="AZ325" s="5" t="s">
        <v>540</v>
      </c>
      <c r="BD325" s="9" t="n">
        <v>45596</v>
      </c>
      <c r="BE325" s="9" t="n">
        <v>45779</v>
      </c>
      <c r="BJ325" s="5" t="n">
        <v>2023</v>
      </c>
      <c r="BK325" s="11" t="n">
        <v>36526</v>
      </c>
    </row>
    <row r="326" customFormat="false" ht="16.5" hidden="false" customHeight="true" outlineLevel="0" collapsed="false">
      <c r="A326" s="5" t="s">
        <v>1586</v>
      </c>
      <c r="C326" s="5"/>
      <c r="D326" s="5" t="s">
        <v>62</v>
      </c>
      <c r="E326" s="5" t="n">
        <v>211755</v>
      </c>
      <c r="F326" s="5" t="n">
        <v>211755</v>
      </c>
      <c r="G326" s="5" t="s">
        <v>147</v>
      </c>
      <c r="H326" s="6" t="n">
        <v>228695</v>
      </c>
      <c r="I326" s="6" t="n">
        <v>228695</v>
      </c>
      <c r="J326" s="7" t="n">
        <v>211755</v>
      </c>
      <c r="K326" s="7" t="n">
        <v>211755</v>
      </c>
      <c r="L326" s="5" t="s">
        <v>84</v>
      </c>
      <c r="M326" s="5" t="s">
        <v>65</v>
      </c>
      <c r="T326" s="5"/>
      <c r="V326" s="5" t="s">
        <v>1587</v>
      </c>
      <c r="X326" s="5" t="s">
        <v>180</v>
      </c>
      <c r="Y326" s="5" t="s">
        <v>73</v>
      </c>
      <c r="AI326" s="9" t="n">
        <v>45078</v>
      </c>
      <c r="AJ326" s="5"/>
      <c r="AK326" s="5" t="s">
        <v>228</v>
      </c>
      <c r="AL326" s="5" t="n">
        <v>228695</v>
      </c>
      <c r="AM326" s="5" t="s">
        <v>182</v>
      </c>
      <c r="AN326" s="5" t="str">
        <f aca="false" t="array" ref="AN326:AN326">IFERROR(INDEX('full database 2024'!aj:aj, MATCH(A326, 'full database 2024'!b:b, 0)), "")</f>
        <v/>
      </c>
      <c r="AQ326" s="5" t="s">
        <v>77</v>
      </c>
      <c r="AR326" s="5" t="s">
        <v>185</v>
      </c>
      <c r="AS326" s="5" t="s">
        <v>73</v>
      </c>
      <c r="AT326" s="5" t="s">
        <v>78</v>
      </c>
      <c r="AW326" s="5" t="s">
        <v>94</v>
      </c>
      <c r="AX326" s="10" t="str">
        <f aca="false">IFERROR(INDEX('full database 2024'!ar:ar, MATCH(A326, 'full database 2024'!b:b, 0)), "")</f>
        <v/>
      </c>
      <c r="AZ326" s="5" t="s">
        <v>129</v>
      </c>
      <c r="BD326" s="9" t="n">
        <v>45596</v>
      </c>
      <c r="BE326" s="9" t="n">
        <v>45596</v>
      </c>
      <c r="BJ326" s="5" t="n">
        <v>2023</v>
      </c>
      <c r="BK326" s="11" t="n">
        <v>36526</v>
      </c>
    </row>
    <row r="327" customFormat="false" ht="16.5" hidden="false" customHeight="true" outlineLevel="0" collapsed="false">
      <c r="A327" s="5" t="s">
        <v>1588</v>
      </c>
      <c r="B327" s="5" t="s">
        <v>1589</v>
      </c>
      <c r="C327" s="5"/>
      <c r="D327" s="5" t="s">
        <v>62</v>
      </c>
      <c r="E327" s="16" t="n">
        <v>211084</v>
      </c>
      <c r="F327" s="16" t="n">
        <v>211084</v>
      </c>
      <c r="G327" s="5" t="s">
        <v>132</v>
      </c>
      <c r="H327" s="6" t="n">
        <v>240636</v>
      </c>
      <c r="I327" s="6" t="n">
        <v>240636</v>
      </c>
      <c r="J327" s="7" t="n">
        <v>211084</v>
      </c>
      <c r="K327" s="7" t="n">
        <v>211084</v>
      </c>
      <c r="L327" s="5" t="s">
        <v>84</v>
      </c>
      <c r="M327" s="5" t="s">
        <v>65</v>
      </c>
      <c r="N327" s="8" t="s">
        <v>1590</v>
      </c>
      <c r="O327" s="5" t="s">
        <v>1591</v>
      </c>
      <c r="T327" s="5" t="s">
        <v>1592</v>
      </c>
      <c r="U327" s="5" t="s">
        <v>70</v>
      </c>
      <c r="V327" s="5" t="s">
        <v>1593</v>
      </c>
      <c r="W327" s="5" t="s">
        <v>102</v>
      </c>
      <c r="X327" s="5" t="s">
        <v>139</v>
      </c>
      <c r="Y327" s="5" t="s">
        <v>73</v>
      </c>
      <c r="Z327" s="5" t="s">
        <v>70</v>
      </c>
      <c r="AD327" s="5" t="s">
        <v>1594</v>
      </c>
      <c r="AE327" s="5" t="s">
        <v>74</v>
      </c>
      <c r="AI327" s="9" t="n">
        <v>44105</v>
      </c>
      <c r="AJ327" s="5" t="n">
        <v>2</v>
      </c>
      <c r="AK327" s="5" t="s">
        <v>228</v>
      </c>
      <c r="AL327" s="5" t="n">
        <v>120318</v>
      </c>
      <c r="AM327" s="5" t="s">
        <v>140</v>
      </c>
      <c r="AN327" s="5" t="s">
        <v>699</v>
      </c>
      <c r="AO327" s="5" t="s">
        <v>720</v>
      </c>
      <c r="AQ327" s="5" t="s">
        <v>77</v>
      </c>
      <c r="AR327" s="5" t="s">
        <v>143</v>
      </c>
      <c r="AS327" s="5" t="s">
        <v>73</v>
      </c>
      <c r="AT327" s="5" t="s">
        <v>374</v>
      </c>
      <c r="AW327" s="5" t="s">
        <v>94</v>
      </c>
      <c r="AX327" s="10" t="str">
        <f aca="false">IFERROR(INDEX('full database 2024'!ar:ar, MATCH(A327, 'full database 2024'!b:b, 0)), "")</f>
        <v/>
      </c>
      <c r="AZ327" s="5" t="s">
        <v>239</v>
      </c>
      <c r="BD327" s="9" t="n">
        <v>45377</v>
      </c>
      <c r="BE327" s="9" t="n">
        <v>45779</v>
      </c>
      <c r="BI327" s="5" t="s">
        <v>81</v>
      </c>
      <c r="BJ327" s="5" t="n">
        <v>2020</v>
      </c>
      <c r="BK327" s="11" t="n">
        <v>44571</v>
      </c>
    </row>
    <row r="328" customFormat="false" ht="16.5" hidden="false" customHeight="true" outlineLevel="0" collapsed="false">
      <c r="A328" s="5" t="s">
        <v>967</v>
      </c>
      <c r="B328" s="5"/>
      <c r="C328" s="5"/>
      <c r="D328" s="5" t="s">
        <v>62</v>
      </c>
      <c r="E328" s="5" t="n">
        <v>210448</v>
      </c>
      <c r="F328" s="5" t="n">
        <v>210448</v>
      </c>
      <c r="G328" s="5" t="s">
        <v>147</v>
      </c>
      <c r="H328" s="6" t="n">
        <v>229388</v>
      </c>
      <c r="I328" s="6" t="n">
        <v>229388</v>
      </c>
      <c r="J328" s="7" t="n">
        <v>210448</v>
      </c>
      <c r="K328" s="7" t="n">
        <v>210448</v>
      </c>
      <c r="L328" s="5" t="s">
        <v>84</v>
      </c>
      <c r="M328" s="5" t="s">
        <v>65</v>
      </c>
      <c r="N328" s="5"/>
      <c r="O328" s="5"/>
      <c r="T328" s="5"/>
      <c r="U328" s="5"/>
      <c r="V328" s="5" t="s">
        <v>1595</v>
      </c>
      <c r="W328" s="5"/>
      <c r="X328" s="5" t="s">
        <v>151</v>
      </c>
      <c r="Y328" s="5" t="s">
        <v>73</v>
      </c>
      <c r="Z328" s="5"/>
      <c r="AD328" s="5"/>
      <c r="AE328" s="5"/>
      <c r="AI328" s="9" t="n">
        <v>45079</v>
      </c>
      <c r="AJ328" s="5"/>
      <c r="AK328" s="5"/>
      <c r="AL328" s="5" t="n">
        <v>229388</v>
      </c>
      <c r="AM328" s="5" t="s">
        <v>153</v>
      </c>
      <c r="AN328" s="5"/>
      <c r="AO328" s="5"/>
      <c r="AQ328" s="5" t="s">
        <v>77</v>
      </c>
      <c r="AR328" s="5" t="s">
        <v>151</v>
      </c>
      <c r="AS328" s="5" t="s">
        <v>73</v>
      </c>
      <c r="AT328" s="5" t="s">
        <v>78</v>
      </c>
      <c r="AW328" s="5" t="s">
        <v>969</v>
      </c>
      <c r="AX328" s="10" t="str">
        <f aca="false">IFERROR(INDEX('full database 2024'!ar:ar, MATCH(A328, 'full database 2024'!b:b, 0)), "")</f>
        <v/>
      </c>
      <c r="AZ328" s="5" t="s">
        <v>309</v>
      </c>
      <c r="BD328" s="9" t="n">
        <v>45596</v>
      </c>
      <c r="BE328" s="9" t="n">
        <v>45596</v>
      </c>
      <c r="BI328" s="5"/>
      <c r="BJ328" s="5" t="n">
        <v>2023</v>
      </c>
      <c r="BK328" s="11"/>
    </row>
    <row r="329" customFormat="false" ht="16.5" hidden="false" customHeight="true" outlineLevel="0" collapsed="false">
      <c r="A329" s="5" t="s">
        <v>1596</v>
      </c>
      <c r="C329" s="5"/>
      <c r="D329" s="5" t="s">
        <v>62</v>
      </c>
      <c r="E329" s="5" t="n">
        <v>207585</v>
      </c>
      <c r="F329" s="5" t="n">
        <v>207585</v>
      </c>
      <c r="G329" s="5" t="s">
        <v>147</v>
      </c>
      <c r="H329" s="6" t="n">
        <v>226268</v>
      </c>
      <c r="I329" s="6" t="n">
        <v>226268</v>
      </c>
      <c r="J329" s="7" t="n">
        <v>207585</v>
      </c>
      <c r="K329" s="7" t="n">
        <v>207585</v>
      </c>
      <c r="L329" s="5" t="s">
        <v>84</v>
      </c>
      <c r="M329" s="5" t="s">
        <v>65</v>
      </c>
      <c r="V329" s="5" t="s">
        <v>1257</v>
      </c>
      <c r="X329" s="5"/>
      <c r="Y329" s="5" t="s">
        <v>73</v>
      </c>
      <c r="AI329" s="9" t="n">
        <v>45139</v>
      </c>
      <c r="AL329" s="5" t="n">
        <v>226268</v>
      </c>
      <c r="AM329" s="5" t="s">
        <v>924</v>
      </c>
      <c r="AN329" s="5"/>
      <c r="AQ329" s="5" t="s">
        <v>77</v>
      </c>
      <c r="AR329" s="5" t="s">
        <v>151</v>
      </c>
      <c r="AS329" s="5" t="s">
        <v>73</v>
      </c>
      <c r="AT329" s="5" t="s">
        <v>78</v>
      </c>
      <c r="AW329" s="5" t="s">
        <v>94</v>
      </c>
      <c r="AX329" s="10" t="str">
        <f aca="false">IFERROR(INDEX('full database 2024'!ar:ar, MATCH(A329, 'full database 2024'!b:b, 0)), "")</f>
        <v/>
      </c>
      <c r="AZ329" s="5" t="s">
        <v>129</v>
      </c>
      <c r="BD329" s="9" t="n">
        <v>45596</v>
      </c>
      <c r="BE329" s="9" t="n">
        <v>45596</v>
      </c>
      <c r="BJ329" s="5" t="n">
        <v>2023</v>
      </c>
    </row>
    <row r="330" customFormat="false" ht="16.5" hidden="false" customHeight="true" outlineLevel="0" collapsed="false">
      <c r="A330" s="5" t="s">
        <v>1527</v>
      </c>
      <c r="C330" s="5"/>
      <c r="D330" s="5" t="s">
        <v>62</v>
      </c>
      <c r="E330" s="5" t="n">
        <v>206989</v>
      </c>
      <c r="F330" s="5" t="n">
        <v>206989</v>
      </c>
      <c r="G330" s="5" t="s">
        <v>147</v>
      </c>
      <c r="H330" s="6" t="n">
        <v>225618</v>
      </c>
      <c r="I330" s="6" t="n">
        <v>225618</v>
      </c>
      <c r="J330" s="7" t="n">
        <v>206989</v>
      </c>
      <c r="K330" s="7" t="n">
        <v>206989</v>
      </c>
      <c r="L330" s="5" t="s">
        <v>84</v>
      </c>
      <c r="M330" s="5" t="s">
        <v>65</v>
      </c>
      <c r="V330" s="5" t="s">
        <v>1597</v>
      </c>
      <c r="X330" s="5" t="s">
        <v>151</v>
      </c>
      <c r="Y330" s="5" t="s">
        <v>73</v>
      </c>
      <c r="AI330" s="9" t="n">
        <v>44198</v>
      </c>
      <c r="AL330" s="5" t="n">
        <v>225618</v>
      </c>
      <c r="AM330" s="5" t="s">
        <v>153</v>
      </c>
      <c r="AN330" s="5"/>
      <c r="AQ330" s="5" t="s">
        <v>77</v>
      </c>
      <c r="AR330" s="5" t="s">
        <v>151</v>
      </c>
      <c r="AS330" s="5" t="s">
        <v>73</v>
      </c>
      <c r="AT330" s="5" t="s">
        <v>78</v>
      </c>
      <c r="AW330" s="5" t="s">
        <v>94</v>
      </c>
      <c r="AX330" s="10" t="str">
        <f aca="false">IFERROR(INDEX('full database 2024'!ar:ar, MATCH(A330, 'full database 2024'!b:b, 0)), "")</f>
        <v/>
      </c>
      <c r="AZ330" s="5" t="s">
        <v>129</v>
      </c>
      <c r="BD330" s="9" t="n">
        <v>45596</v>
      </c>
      <c r="BE330" s="9" t="n">
        <v>45596</v>
      </c>
      <c r="BJ330" s="5" t="n">
        <v>2021</v>
      </c>
    </row>
    <row r="331" customFormat="false" ht="16.5" hidden="false" customHeight="true" outlineLevel="0" collapsed="false">
      <c r="A331" s="5" t="s">
        <v>1349</v>
      </c>
      <c r="C331" s="5"/>
      <c r="D331" s="5" t="s">
        <v>62</v>
      </c>
      <c r="E331" s="5" t="n">
        <v>205351</v>
      </c>
      <c r="F331" s="5" t="n">
        <v>205351</v>
      </c>
      <c r="G331" s="5" t="s">
        <v>147</v>
      </c>
      <c r="H331" s="6" t="n">
        <v>223832</v>
      </c>
      <c r="I331" s="6" t="n">
        <v>223832</v>
      </c>
      <c r="J331" s="7" t="n">
        <v>205351</v>
      </c>
      <c r="K331" s="7" t="n">
        <v>205351</v>
      </c>
      <c r="L331" s="5" t="s">
        <v>84</v>
      </c>
      <c r="M331" s="5" t="s">
        <v>65</v>
      </c>
      <c r="V331" s="5" t="s">
        <v>1598</v>
      </c>
      <c r="X331" s="5" t="s">
        <v>151</v>
      </c>
      <c r="Y331" s="5" t="s">
        <v>73</v>
      </c>
      <c r="AI331" s="9" t="n">
        <v>44866</v>
      </c>
      <c r="AL331" s="5" t="n">
        <v>223832</v>
      </c>
      <c r="AM331" s="5" t="s">
        <v>821</v>
      </c>
      <c r="AN331" s="5"/>
      <c r="AQ331" s="5" t="s">
        <v>77</v>
      </c>
      <c r="AR331" s="5" t="s">
        <v>151</v>
      </c>
      <c r="AS331" s="5" t="s">
        <v>73</v>
      </c>
      <c r="AT331" s="5" t="s">
        <v>78</v>
      </c>
      <c r="AU331" s="10" t="s">
        <v>259</v>
      </c>
      <c r="AW331" s="5" t="s">
        <v>94</v>
      </c>
      <c r="AX331" s="10" t="str">
        <f aca="false">IFERROR(INDEX('full database 2024'!ar:ar, MATCH(A331, 'full database 2024'!b:b, 0)), "")</f>
        <v/>
      </c>
      <c r="AZ331" s="5" t="s">
        <v>129</v>
      </c>
      <c r="BD331" s="9" t="n">
        <v>45596</v>
      </c>
      <c r="BE331" s="9" t="n">
        <v>45596</v>
      </c>
      <c r="BJ331" s="5" t="n">
        <v>2022</v>
      </c>
    </row>
    <row r="332" customFormat="false" ht="16.5" hidden="false" customHeight="true" outlineLevel="0" collapsed="false">
      <c r="A332" s="5" t="s">
        <v>1599</v>
      </c>
      <c r="B332" s="5" t="s">
        <v>1600</v>
      </c>
      <c r="C332" s="5"/>
      <c r="D332" s="5" t="s">
        <v>62</v>
      </c>
      <c r="E332" s="5" t="n">
        <v>203464</v>
      </c>
      <c r="F332" s="5" t="n">
        <v>203464</v>
      </c>
      <c r="G332" s="5" t="s">
        <v>147</v>
      </c>
      <c r="H332" s="6" t="n">
        <v>219741</v>
      </c>
      <c r="I332" s="6" t="n">
        <v>219741</v>
      </c>
      <c r="J332" s="7" t="n">
        <v>203464</v>
      </c>
      <c r="K332" s="7" t="n">
        <v>203464</v>
      </c>
      <c r="L332" s="5" t="s">
        <v>84</v>
      </c>
      <c r="M332" s="5" t="s">
        <v>65</v>
      </c>
      <c r="N332" s="8" t="s">
        <v>1601</v>
      </c>
      <c r="O332" s="5" t="s">
        <v>1602</v>
      </c>
      <c r="V332" s="5" t="s">
        <v>1603</v>
      </c>
      <c r="X332" s="5" t="s">
        <v>333</v>
      </c>
      <c r="Y332" s="5" t="s">
        <v>73</v>
      </c>
      <c r="AI332" s="9" t="n">
        <v>45078</v>
      </c>
      <c r="AK332" s="5" t="s">
        <v>228</v>
      </c>
      <c r="AL332" s="5" t="n">
        <v>219741</v>
      </c>
      <c r="AM332" s="5" t="s">
        <v>182</v>
      </c>
      <c r="AN332" s="5" t="str">
        <f aca="false" t="array" ref="AN332:AN332">IFERROR(INDEX('full database 2024'!aj:aj, MATCH(A332, 'full database 2024'!b:b, 0)), "")</f>
        <v/>
      </c>
      <c r="AQ332" s="5" t="s">
        <v>77</v>
      </c>
      <c r="AR332" s="5" t="s">
        <v>185</v>
      </c>
      <c r="AS332" s="5" t="s">
        <v>73</v>
      </c>
      <c r="AT332" s="5" t="s">
        <v>78</v>
      </c>
      <c r="AW332" s="5" t="s">
        <v>94</v>
      </c>
      <c r="AX332" s="10" t="str">
        <f aca="false">IFERROR(INDEX('full database 2024'!ar:ar, MATCH(A332, 'full database 2024'!b:b, 0)), "")</f>
        <v/>
      </c>
      <c r="AZ332" s="5" t="s">
        <v>188</v>
      </c>
      <c r="BD332" s="9" t="n">
        <v>45596</v>
      </c>
      <c r="BE332" s="9" t="n">
        <v>45779</v>
      </c>
      <c r="BJ332" s="5" t="n">
        <v>2023</v>
      </c>
      <c r="BK332" s="11" t="n">
        <v>36526</v>
      </c>
    </row>
    <row r="333" customFormat="false" ht="16.5" hidden="false" customHeight="true" outlineLevel="0" collapsed="false">
      <c r="A333" s="5" t="s">
        <v>1604</v>
      </c>
      <c r="B333" s="5"/>
      <c r="C333" s="5"/>
      <c r="D333" s="5" t="s">
        <v>62</v>
      </c>
      <c r="E333" s="5" t="n">
        <v>202500</v>
      </c>
      <c r="F333" s="5" t="n">
        <v>202500</v>
      </c>
      <c r="G333" s="5" t="s">
        <v>147</v>
      </c>
      <c r="H333" s="6" t="n">
        <v>220725</v>
      </c>
      <c r="I333" s="6" t="n">
        <v>220725</v>
      </c>
      <c r="J333" s="7" t="n">
        <v>202500</v>
      </c>
      <c r="K333" s="7" t="n">
        <v>202500</v>
      </c>
      <c r="L333" s="5" t="s">
        <v>84</v>
      </c>
      <c r="M333" s="5" t="s">
        <v>65</v>
      </c>
      <c r="N333" s="5"/>
      <c r="O333" s="5"/>
      <c r="V333" s="5" t="s">
        <v>1605</v>
      </c>
      <c r="X333" s="5"/>
      <c r="Y333" s="5" t="s">
        <v>73</v>
      </c>
      <c r="AI333" s="9" t="n">
        <v>45017</v>
      </c>
      <c r="AK333" s="5"/>
      <c r="AL333" s="5" t="n">
        <v>220725</v>
      </c>
      <c r="AM333" s="5" t="s">
        <v>924</v>
      </c>
      <c r="AN333" s="5"/>
      <c r="AQ333" s="5" t="s">
        <v>77</v>
      </c>
      <c r="AR333" s="5" t="s">
        <v>151</v>
      </c>
      <c r="AS333" s="5" t="s">
        <v>73</v>
      </c>
      <c r="AT333" s="5" t="s">
        <v>78</v>
      </c>
      <c r="AW333" s="5" t="s">
        <v>94</v>
      </c>
      <c r="AX333" s="10" t="str">
        <f aca="false">IFERROR(INDEX('full database 2024'!ar:ar, MATCH(A333, 'full database 2024'!b:b, 0)), "")</f>
        <v/>
      </c>
      <c r="AZ333" s="5" t="s">
        <v>309</v>
      </c>
      <c r="BD333" s="9" t="n">
        <v>45596</v>
      </c>
      <c r="BE333" s="9" t="n">
        <v>45596</v>
      </c>
      <c r="BJ333" s="5" t="n">
        <v>2023</v>
      </c>
      <c r="BK333" s="11"/>
    </row>
    <row r="334" customFormat="false" ht="16.5" hidden="false" customHeight="true" outlineLevel="0" collapsed="false">
      <c r="A334" s="5" t="s">
        <v>1606</v>
      </c>
      <c r="B334" s="5" t="s">
        <v>1607</v>
      </c>
      <c r="C334" s="5"/>
      <c r="D334" s="5" t="s">
        <v>62</v>
      </c>
      <c r="E334" s="5" t="n">
        <v>200000</v>
      </c>
      <c r="F334" s="5" t="n">
        <v>200000</v>
      </c>
      <c r="G334" s="5" t="s">
        <v>147</v>
      </c>
      <c r="H334" s="6" t="n">
        <v>216644</v>
      </c>
      <c r="I334" s="6" t="n">
        <v>216644</v>
      </c>
      <c r="J334" s="7" t="n">
        <v>200000</v>
      </c>
      <c r="K334" s="7" t="n">
        <v>200000</v>
      </c>
      <c r="L334" s="5" t="s">
        <v>84</v>
      </c>
      <c r="M334" s="5" t="s">
        <v>65</v>
      </c>
      <c r="N334" s="8" t="s">
        <v>1608</v>
      </c>
      <c r="O334" s="5" t="s">
        <v>70</v>
      </c>
      <c r="P334" s="5"/>
      <c r="Q334" s="5"/>
      <c r="R334" s="5" t="s">
        <v>1609</v>
      </c>
      <c r="T334" s="5" t="s">
        <v>1610</v>
      </c>
      <c r="U334" s="5" t="s">
        <v>70</v>
      </c>
      <c r="V334" s="5" t="s">
        <v>1611</v>
      </c>
      <c r="W334" s="5" t="s">
        <v>102</v>
      </c>
      <c r="X334" s="5" t="s">
        <v>888</v>
      </c>
      <c r="Y334" s="5" t="s">
        <v>73</v>
      </c>
      <c r="Z334" s="5" t="s">
        <v>70</v>
      </c>
      <c r="AE334" s="5" t="s">
        <v>117</v>
      </c>
      <c r="AI334" s="9" t="n">
        <v>45317</v>
      </c>
      <c r="AJ334" s="5" t="n">
        <v>2</v>
      </c>
      <c r="AK334" s="5" t="s">
        <v>75</v>
      </c>
      <c r="AL334" s="5" t="n">
        <v>108322</v>
      </c>
      <c r="AM334" s="5" t="s">
        <v>1612</v>
      </c>
      <c r="AN334" s="5"/>
      <c r="AO334" s="5" t="s">
        <v>230</v>
      </c>
      <c r="AQ334" s="5" t="s">
        <v>77</v>
      </c>
      <c r="AR334" s="5" t="s">
        <v>890</v>
      </c>
      <c r="AS334" s="5" t="s">
        <v>73</v>
      </c>
      <c r="AT334" s="5" t="s">
        <v>374</v>
      </c>
      <c r="AW334" s="5" t="s">
        <v>94</v>
      </c>
      <c r="AX334" s="10" t="str">
        <f aca="false">IFERROR(INDEX('full database 2024'!ar:ar, MATCH(A334, 'full database 2024'!b:b, 0)), "")</f>
        <v/>
      </c>
      <c r="AZ334" s="5" t="s">
        <v>239</v>
      </c>
      <c r="BD334" s="9" t="n">
        <v>45321</v>
      </c>
      <c r="BE334" s="9" t="n">
        <v>45434</v>
      </c>
      <c r="BI334" s="5" t="s">
        <v>81</v>
      </c>
      <c r="BJ334" s="5" t="n">
        <v>2024</v>
      </c>
      <c r="BK334" s="5" t="s">
        <v>1613</v>
      </c>
    </row>
    <row r="335" customFormat="false" ht="16.5" hidden="false" customHeight="true" outlineLevel="0" collapsed="false">
      <c r="A335" s="5" t="s">
        <v>1614</v>
      </c>
      <c r="B335" s="5" t="s">
        <v>1615</v>
      </c>
      <c r="C335" s="5"/>
      <c r="D335" s="5" t="s">
        <v>62</v>
      </c>
      <c r="E335" s="5" t="n">
        <v>199694</v>
      </c>
      <c r="F335" s="5" t="n">
        <v>199694</v>
      </c>
      <c r="G335" s="5" t="s">
        <v>147</v>
      </c>
      <c r="H335" s="6" t="n">
        <v>215670</v>
      </c>
      <c r="I335" s="6" t="n">
        <v>215670</v>
      </c>
      <c r="J335" s="7" t="n">
        <v>199694</v>
      </c>
      <c r="K335" s="7" t="n">
        <v>199694</v>
      </c>
      <c r="L335" s="5" t="s">
        <v>84</v>
      </c>
      <c r="M335" s="5" t="s">
        <v>65</v>
      </c>
      <c r="N335" s="8" t="s">
        <v>1616</v>
      </c>
      <c r="O335" s="5" t="s">
        <v>1617</v>
      </c>
      <c r="P335" s="5"/>
      <c r="Q335" s="5"/>
      <c r="R335" s="5"/>
      <c r="T335" s="5"/>
      <c r="U335" s="5"/>
      <c r="V335" s="5" t="s">
        <v>1580</v>
      </c>
      <c r="W335" s="5"/>
      <c r="X335" s="5" t="s">
        <v>352</v>
      </c>
      <c r="Y335" s="5" t="s">
        <v>73</v>
      </c>
      <c r="Z335" s="5"/>
      <c r="AE335" s="5"/>
      <c r="AI335" s="9" t="n">
        <v>45200</v>
      </c>
      <c r="AJ335" s="5"/>
      <c r="AK335" s="5" t="s">
        <v>228</v>
      </c>
      <c r="AL335" s="5" t="n">
        <v>215670</v>
      </c>
      <c r="AM335" s="5" t="s">
        <v>182</v>
      </c>
      <c r="AN335" s="5" t="str">
        <f aca="false" t="array" ref="AN335:AN335">IFERROR(INDEX('full database 2024'!aj:aj, MATCH(A335, 'full database 2024'!b:b, 0)), "")</f>
        <v/>
      </c>
      <c r="AO335" s="5"/>
      <c r="AQ335" s="5" t="s">
        <v>77</v>
      </c>
      <c r="AR335" s="5" t="s">
        <v>185</v>
      </c>
      <c r="AS335" s="5" t="s">
        <v>73</v>
      </c>
      <c r="AT335" s="5" t="s">
        <v>78</v>
      </c>
      <c r="AW335" s="5" t="s">
        <v>94</v>
      </c>
      <c r="AX335" s="10" t="str">
        <f aca="false">IFERROR(INDEX('full database 2024'!ar:ar, MATCH(A335, 'full database 2024'!b:b, 0)), "")</f>
        <v/>
      </c>
      <c r="AY335" s="5" t="s">
        <v>297</v>
      </c>
      <c r="AZ335" s="5" t="s">
        <v>188</v>
      </c>
      <c r="BD335" s="9" t="n">
        <v>45596</v>
      </c>
      <c r="BE335" s="9" t="n">
        <v>45779</v>
      </c>
      <c r="BI335" s="5"/>
      <c r="BJ335" s="5" t="n">
        <v>2023</v>
      </c>
      <c r="BK335" s="11" t="n">
        <v>36526</v>
      </c>
    </row>
    <row r="336" customFormat="false" ht="16.5" hidden="false" customHeight="true" outlineLevel="0" collapsed="false">
      <c r="A336" s="5" t="s">
        <v>1438</v>
      </c>
      <c r="B336" s="5"/>
      <c r="C336" s="5"/>
      <c r="D336" s="5" t="s">
        <v>62</v>
      </c>
      <c r="E336" s="5" t="n">
        <v>199262</v>
      </c>
      <c r="F336" s="5" t="n">
        <v>199262</v>
      </c>
      <c r="G336" s="5" t="s">
        <v>147</v>
      </c>
      <c r="H336" s="6" t="n">
        <v>217195</v>
      </c>
      <c r="I336" s="6" t="n">
        <v>217195</v>
      </c>
      <c r="J336" s="7" t="n">
        <v>199262</v>
      </c>
      <c r="K336" s="7" t="n">
        <v>199262</v>
      </c>
      <c r="L336" s="5" t="s">
        <v>84</v>
      </c>
      <c r="M336" s="5" t="s">
        <v>65</v>
      </c>
      <c r="N336" s="5"/>
      <c r="O336" s="5"/>
      <c r="V336" s="5" t="s">
        <v>1499</v>
      </c>
      <c r="X336" s="5" t="s">
        <v>151</v>
      </c>
      <c r="Y336" s="5" t="s">
        <v>73</v>
      </c>
      <c r="AI336" s="9" t="n">
        <v>44935</v>
      </c>
      <c r="AK336" s="5"/>
      <c r="AL336" s="5" t="n">
        <v>217195</v>
      </c>
      <c r="AM336" s="5" t="s">
        <v>153</v>
      </c>
      <c r="AN336" s="5"/>
      <c r="AQ336" s="5" t="s">
        <v>77</v>
      </c>
      <c r="AR336" s="5" t="s">
        <v>151</v>
      </c>
      <c r="AS336" s="5" t="s">
        <v>73</v>
      </c>
      <c r="AT336" s="5" t="s">
        <v>78</v>
      </c>
      <c r="AW336" s="5" t="s">
        <v>94</v>
      </c>
      <c r="AX336" s="10" t="str">
        <f aca="false">IFERROR(INDEX('full database 2024'!ar:ar, MATCH(A336, 'full database 2024'!b:b, 0)), "")</f>
        <v/>
      </c>
      <c r="AZ336" s="5" t="s">
        <v>399</v>
      </c>
      <c r="BD336" s="9" t="n">
        <v>45596</v>
      </c>
      <c r="BE336" s="9" t="n">
        <v>45596</v>
      </c>
      <c r="BJ336" s="5" t="n">
        <v>2023</v>
      </c>
      <c r="BK336" s="11"/>
    </row>
    <row r="337" customFormat="false" ht="16.5" hidden="false" customHeight="true" outlineLevel="0" collapsed="false">
      <c r="A337" s="5" t="s">
        <v>1618</v>
      </c>
      <c r="C337" s="5"/>
      <c r="D337" s="5" t="s">
        <v>62</v>
      </c>
      <c r="E337" s="5" t="n">
        <v>198201</v>
      </c>
      <c r="F337" s="5" t="n">
        <v>198201</v>
      </c>
      <c r="G337" s="5" t="s">
        <v>147</v>
      </c>
      <c r="H337" s="6" t="n">
        <v>216039</v>
      </c>
      <c r="I337" s="6" t="n">
        <v>216039</v>
      </c>
      <c r="J337" s="7" t="n">
        <v>198201</v>
      </c>
      <c r="K337" s="7" t="n">
        <v>198201</v>
      </c>
      <c r="L337" s="5" t="s">
        <v>84</v>
      </c>
      <c r="M337" s="5" t="s">
        <v>65</v>
      </c>
      <c r="V337" s="5" t="s">
        <v>1619</v>
      </c>
      <c r="X337" s="5" t="s">
        <v>151</v>
      </c>
      <c r="Y337" s="5" t="s">
        <v>73</v>
      </c>
      <c r="AI337" s="9"/>
      <c r="AL337" s="5" t="n">
        <v>216039</v>
      </c>
      <c r="AM337" s="5" t="s">
        <v>153</v>
      </c>
      <c r="AN337" s="5"/>
      <c r="AQ337" s="5" t="s">
        <v>77</v>
      </c>
      <c r="AR337" s="5" t="s">
        <v>151</v>
      </c>
      <c r="AS337" s="5" t="s">
        <v>73</v>
      </c>
      <c r="AT337" s="5" t="s">
        <v>78</v>
      </c>
      <c r="AW337" s="5" t="s">
        <v>969</v>
      </c>
      <c r="AX337" s="10" t="str">
        <f aca="false">IFERROR(INDEX('full database 2024'!ar:ar, MATCH(A337, 'full database 2024'!b:b, 0)), "")</f>
        <v/>
      </c>
      <c r="AZ337" s="5" t="s">
        <v>309</v>
      </c>
      <c r="BD337" s="9" t="n">
        <v>45596</v>
      </c>
      <c r="BE337" s="9" t="n">
        <v>45596</v>
      </c>
      <c r="BJ337" s="5" t="n">
        <v>2023</v>
      </c>
    </row>
    <row r="338" customFormat="false" ht="16.5" hidden="false" customHeight="true" outlineLevel="0" collapsed="false">
      <c r="A338" s="5" t="s">
        <v>1620</v>
      </c>
      <c r="C338" s="5"/>
      <c r="D338" s="5" t="s">
        <v>62</v>
      </c>
      <c r="E338" s="5" t="n">
        <v>192071</v>
      </c>
      <c r="F338" s="5" t="n">
        <v>192071</v>
      </c>
      <c r="G338" s="5" t="s">
        <v>147</v>
      </c>
      <c r="H338" s="6" t="n">
        <v>209358</v>
      </c>
      <c r="I338" s="6" t="n">
        <v>209358</v>
      </c>
      <c r="J338" s="7" t="n">
        <v>192071</v>
      </c>
      <c r="K338" s="7" t="n">
        <v>192071</v>
      </c>
      <c r="L338" s="5" t="s">
        <v>84</v>
      </c>
      <c r="M338" s="5" t="s">
        <v>65</v>
      </c>
      <c r="V338" s="5" t="s">
        <v>1621</v>
      </c>
      <c r="X338" s="5"/>
      <c r="Y338" s="5" t="s">
        <v>73</v>
      </c>
      <c r="AI338" s="9" t="n">
        <v>45292</v>
      </c>
      <c r="AL338" s="5" t="n">
        <v>209358</v>
      </c>
      <c r="AM338" s="5" t="s">
        <v>153</v>
      </c>
      <c r="AN338" s="5"/>
      <c r="AQ338" s="5" t="s">
        <v>77</v>
      </c>
      <c r="AR338" s="5" t="s">
        <v>151</v>
      </c>
      <c r="AS338" s="5" t="s">
        <v>73</v>
      </c>
      <c r="AT338" s="5" t="s">
        <v>78</v>
      </c>
      <c r="AW338" s="5" t="s">
        <v>94</v>
      </c>
      <c r="AX338" s="10" t="str">
        <f aca="false">IFERROR(INDEX('full database 2024'!ar:ar, MATCH(A338, 'full database 2024'!b:b, 0)), "")</f>
        <v/>
      </c>
      <c r="AZ338" s="5" t="s">
        <v>309</v>
      </c>
      <c r="BD338" s="9" t="n">
        <v>45596</v>
      </c>
      <c r="BE338" s="9" t="n">
        <v>45596</v>
      </c>
      <c r="BJ338" s="5" t="n">
        <v>2024</v>
      </c>
    </row>
    <row r="339" customFormat="false" ht="16.5" hidden="false" customHeight="true" outlineLevel="0" collapsed="false">
      <c r="A339" s="5" t="s">
        <v>1622</v>
      </c>
      <c r="B339" s="5" t="s">
        <v>1623</v>
      </c>
      <c r="C339" s="5"/>
      <c r="D339" s="5" t="s">
        <v>62</v>
      </c>
      <c r="E339" s="16" t="n">
        <v>159978</v>
      </c>
      <c r="F339" s="16" t="n">
        <v>159978</v>
      </c>
      <c r="G339" s="5" t="s">
        <v>132</v>
      </c>
      <c r="H339" s="6" t="n">
        <v>224880</v>
      </c>
      <c r="I339" s="6" t="n">
        <v>224880</v>
      </c>
      <c r="J339" s="7" t="n">
        <f aca="false">E339*1.19</f>
        <v>190373.82</v>
      </c>
      <c r="K339" s="7" t="n">
        <f aca="false">F339*1.19</f>
        <v>190373.82</v>
      </c>
      <c r="L339" s="5" t="s">
        <v>84</v>
      </c>
      <c r="M339" s="5" t="s">
        <v>65</v>
      </c>
      <c r="N339" s="8" t="s">
        <v>1624</v>
      </c>
      <c r="O339" s="5" t="s">
        <v>1625</v>
      </c>
      <c r="T339" s="5" t="s">
        <v>1626</v>
      </c>
      <c r="V339" s="5" t="s">
        <v>931</v>
      </c>
      <c r="W339" s="5" t="s">
        <v>384</v>
      </c>
      <c r="X339" s="5" t="s">
        <v>139</v>
      </c>
      <c r="Y339" s="5" t="s">
        <v>73</v>
      </c>
      <c r="AD339" s="5" t="s">
        <v>1627</v>
      </c>
      <c r="AE339" s="5" t="s">
        <v>74</v>
      </c>
      <c r="AI339" s="9" t="n">
        <v>44501</v>
      </c>
      <c r="AL339" s="5" t="n">
        <v>224880</v>
      </c>
      <c r="AM339" s="5" t="s">
        <v>140</v>
      </c>
      <c r="AN339" s="5" t="s">
        <v>699</v>
      </c>
      <c r="AQ339" s="5" t="s">
        <v>77</v>
      </c>
      <c r="AR339" s="5" t="s">
        <v>143</v>
      </c>
      <c r="AS339" s="5" t="s">
        <v>73</v>
      </c>
      <c r="AT339" s="5" t="s">
        <v>78</v>
      </c>
      <c r="AW339" s="5" t="s">
        <v>94</v>
      </c>
      <c r="AX339" s="10" t="str">
        <f aca="false">IFERROR(INDEX('full database 2024'!ar:ar, MATCH(A339, 'full database 2024'!b:b, 0)), "")</f>
        <v/>
      </c>
      <c r="AZ339" s="5" t="s">
        <v>129</v>
      </c>
      <c r="BD339" s="9" t="n">
        <v>45377</v>
      </c>
      <c r="BE339" s="9" t="n">
        <v>45779</v>
      </c>
      <c r="BI339" s="5" t="s">
        <v>81</v>
      </c>
      <c r="BJ339" s="5" t="n">
        <v>2021</v>
      </c>
      <c r="BK339" s="11" t="n">
        <v>44930</v>
      </c>
    </row>
    <row r="340" customFormat="false" ht="16.5" hidden="false" customHeight="true" outlineLevel="0" collapsed="false">
      <c r="A340" s="5" t="s">
        <v>967</v>
      </c>
      <c r="B340" s="5"/>
      <c r="C340" s="5"/>
      <c r="D340" s="5" t="s">
        <v>62</v>
      </c>
      <c r="E340" s="5" t="n">
        <v>190065</v>
      </c>
      <c r="F340" s="5" t="n">
        <v>190065</v>
      </c>
      <c r="G340" s="5" t="s">
        <v>147</v>
      </c>
      <c r="H340" s="6" t="n">
        <v>207170</v>
      </c>
      <c r="I340" s="6" t="n">
        <v>207170</v>
      </c>
      <c r="J340" s="7" t="n">
        <v>190065</v>
      </c>
      <c r="K340" s="7" t="n">
        <v>190065</v>
      </c>
      <c r="L340" s="5" t="s">
        <v>84</v>
      </c>
      <c r="M340" s="5" t="s">
        <v>65</v>
      </c>
      <c r="N340" s="5"/>
      <c r="O340" s="5"/>
      <c r="T340" s="5"/>
      <c r="V340" s="5" t="s">
        <v>1628</v>
      </c>
      <c r="W340" s="5"/>
      <c r="X340" s="5" t="s">
        <v>151</v>
      </c>
      <c r="Y340" s="5" t="s">
        <v>73</v>
      </c>
      <c r="AD340" s="5"/>
      <c r="AE340" s="5"/>
      <c r="AI340" s="9" t="n">
        <v>45109</v>
      </c>
      <c r="AL340" s="5" t="n">
        <v>207170</v>
      </c>
      <c r="AM340" s="5" t="s">
        <v>153</v>
      </c>
      <c r="AN340" s="5"/>
      <c r="AQ340" s="5" t="s">
        <v>77</v>
      </c>
      <c r="AR340" s="5" t="s">
        <v>151</v>
      </c>
      <c r="AS340" s="5" t="s">
        <v>73</v>
      </c>
      <c r="AT340" s="5" t="s">
        <v>78</v>
      </c>
      <c r="AW340" s="5" t="s">
        <v>969</v>
      </c>
      <c r="AX340" s="10" t="str">
        <f aca="false">IFERROR(INDEX('full database 2024'!ar:ar, MATCH(A340, 'full database 2024'!b:b, 0)), "")</f>
        <v/>
      </c>
      <c r="AZ340" s="5" t="s">
        <v>309</v>
      </c>
      <c r="BD340" s="9" t="n">
        <v>45596</v>
      </c>
      <c r="BE340" s="9" t="n">
        <v>45596</v>
      </c>
      <c r="BI340" s="5"/>
      <c r="BJ340" s="5" t="n">
        <v>2023</v>
      </c>
      <c r="BK340" s="11"/>
    </row>
    <row r="341" customFormat="false" ht="16.5" hidden="false" customHeight="true" outlineLevel="0" collapsed="false">
      <c r="A341" s="5" t="s">
        <v>1629</v>
      </c>
      <c r="C341" s="5"/>
      <c r="D341" s="5" t="s">
        <v>62</v>
      </c>
      <c r="E341" s="5" t="n">
        <v>189687</v>
      </c>
      <c r="F341" s="5" t="n">
        <v>189687</v>
      </c>
      <c r="G341" s="5" t="s">
        <v>147</v>
      </c>
      <c r="H341" s="6" t="n">
        <v>204862</v>
      </c>
      <c r="I341" s="6" t="n">
        <v>204862</v>
      </c>
      <c r="J341" s="7" t="n">
        <v>189687</v>
      </c>
      <c r="K341" s="7" t="n">
        <v>189687</v>
      </c>
      <c r="L341" s="5" t="s">
        <v>84</v>
      </c>
      <c r="M341" s="5" t="s">
        <v>65</v>
      </c>
      <c r="V341" s="5" t="s">
        <v>1630</v>
      </c>
      <c r="X341" s="5" t="s">
        <v>151</v>
      </c>
      <c r="Y341" s="5" t="s">
        <v>73</v>
      </c>
      <c r="AD341" s="5" t="s">
        <v>1631</v>
      </c>
      <c r="AI341" s="9" t="n">
        <v>45170</v>
      </c>
      <c r="AK341" s="5" t="s">
        <v>228</v>
      </c>
      <c r="AL341" s="5" t="n">
        <v>204862</v>
      </c>
      <c r="AM341" s="5" t="s">
        <v>182</v>
      </c>
      <c r="AN341" s="5" t="str">
        <f aca="false" t="array" ref="AN341:AN341">IFERROR(INDEX('full database 2024'!aj:aj, MATCH(A341, 'full database 2024'!b:b, 0)), "")</f>
        <v/>
      </c>
      <c r="AQ341" s="5" t="s">
        <v>77</v>
      </c>
      <c r="AR341" s="5" t="s">
        <v>185</v>
      </c>
      <c r="AS341" s="5" t="s">
        <v>73</v>
      </c>
      <c r="AT341" s="5" t="s">
        <v>78</v>
      </c>
      <c r="AW341" s="5" t="s">
        <v>94</v>
      </c>
      <c r="AX341" s="10" t="str">
        <f aca="false">IFERROR(INDEX('full database 2024'!ar:ar, MATCH(A341, 'full database 2024'!b:b, 0)), "")</f>
        <v/>
      </c>
      <c r="AZ341" s="5" t="s">
        <v>309</v>
      </c>
      <c r="BD341" s="9" t="n">
        <v>45596</v>
      </c>
      <c r="BE341" s="9" t="n">
        <v>45596</v>
      </c>
      <c r="BJ341" s="5" t="n">
        <v>2023</v>
      </c>
      <c r="BK341" s="11" t="n">
        <v>36526</v>
      </c>
    </row>
    <row r="342" customFormat="false" ht="16.5" hidden="false" customHeight="true" outlineLevel="0" collapsed="false">
      <c r="A342" s="5" t="s">
        <v>1474</v>
      </c>
      <c r="C342" s="5"/>
      <c r="D342" s="5" t="s">
        <v>62</v>
      </c>
      <c r="E342" s="5" t="n">
        <v>188994</v>
      </c>
      <c r="F342" s="5" t="n">
        <v>188994</v>
      </c>
      <c r="G342" s="5" t="s">
        <v>147</v>
      </c>
      <c r="H342" s="6" t="n">
        <v>206004</v>
      </c>
      <c r="I342" s="6" t="n">
        <v>206004</v>
      </c>
      <c r="J342" s="7" t="n">
        <v>188994</v>
      </c>
      <c r="K342" s="7" t="n">
        <v>188994</v>
      </c>
      <c r="L342" s="5" t="s">
        <v>84</v>
      </c>
      <c r="M342" s="5" t="s">
        <v>65</v>
      </c>
      <c r="V342" s="5" t="s">
        <v>1632</v>
      </c>
      <c r="X342" s="5" t="s">
        <v>151</v>
      </c>
      <c r="Y342" s="5" t="s">
        <v>73</v>
      </c>
      <c r="AD342" s="5"/>
      <c r="AI342" s="9" t="n">
        <v>44835</v>
      </c>
      <c r="AK342" s="5"/>
      <c r="AL342" s="5" t="n">
        <v>206004</v>
      </c>
      <c r="AM342" s="5" t="s">
        <v>821</v>
      </c>
      <c r="AN342" s="5"/>
      <c r="AQ342" s="5" t="s">
        <v>77</v>
      </c>
      <c r="AR342" s="5" t="s">
        <v>151</v>
      </c>
      <c r="AS342" s="5" t="s">
        <v>73</v>
      </c>
      <c r="AT342" s="5" t="s">
        <v>374</v>
      </c>
      <c r="AW342" s="5" t="s">
        <v>94</v>
      </c>
      <c r="AX342" s="10" t="str">
        <f aca="false">IFERROR(INDEX('full database 2024'!ar:ar, MATCH(A342, 'full database 2024'!b:b, 0)), "")</f>
        <v/>
      </c>
      <c r="AZ342" s="5" t="s">
        <v>857</v>
      </c>
      <c r="BD342" s="9" t="n">
        <v>45596</v>
      </c>
      <c r="BE342" s="9" t="n">
        <v>45596</v>
      </c>
      <c r="BJ342" s="5" t="n">
        <v>2022</v>
      </c>
      <c r="BK342" s="11"/>
    </row>
    <row r="343" customFormat="false" ht="16.5" hidden="false" customHeight="true" outlineLevel="0" collapsed="false">
      <c r="A343" s="5" t="s">
        <v>1571</v>
      </c>
      <c r="C343" s="5"/>
      <c r="D343" s="5" t="s">
        <v>62</v>
      </c>
      <c r="E343" s="5" t="n">
        <v>188318</v>
      </c>
      <c r="F343" s="5" t="n">
        <v>188318</v>
      </c>
      <c r="G343" s="5" t="s">
        <v>147</v>
      </c>
      <c r="H343" s="6" t="n">
        <v>205267</v>
      </c>
      <c r="I343" s="6" t="n">
        <v>205267</v>
      </c>
      <c r="J343" s="7" t="n">
        <v>188318</v>
      </c>
      <c r="K343" s="7" t="n">
        <v>188318</v>
      </c>
      <c r="L343" s="5" t="s">
        <v>84</v>
      </c>
      <c r="M343" s="5" t="s">
        <v>65</v>
      </c>
      <c r="V343" s="5" t="s">
        <v>1633</v>
      </c>
      <c r="X343" s="5"/>
      <c r="Y343" s="5" t="s">
        <v>73</v>
      </c>
      <c r="AI343" s="9" t="n">
        <v>44682</v>
      </c>
      <c r="AL343" s="5" t="n">
        <v>205267</v>
      </c>
      <c r="AM343" s="5" t="s">
        <v>924</v>
      </c>
      <c r="AN343" s="5"/>
      <c r="AQ343" s="5" t="s">
        <v>77</v>
      </c>
      <c r="AR343" s="5" t="s">
        <v>151</v>
      </c>
      <c r="AS343" s="5" t="s">
        <v>73</v>
      </c>
      <c r="AT343" s="5" t="s">
        <v>78</v>
      </c>
      <c r="AW343" s="5" t="s">
        <v>94</v>
      </c>
      <c r="AX343" s="10" t="str">
        <f aca="false">IFERROR(INDEX('full database 2024'!ar:ar, MATCH(A343, 'full database 2024'!b:b, 0)), "")</f>
        <v/>
      </c>
      <c r="AZ343" s="5" t="s">
        <v>396</v>
      </c>
      <c r="BD343" s="9" t="n">
        <v>45596</v>
      </c>
      <c r="BE343" s="9" t="n">
        <v>45596</v>
      </c>
      <c r="BJ343" s="5" t="n">
        <v>2022</v>
      </c>
    </row>
    <row r="344" customFormat="false" ht="16.5" hidden="false" customHeight="true" outlineLevel="0" collapsed="false">
      <c r="A344" s="5" t="s">
        <v>1634</v>
      </c>
      <c r="C344" s="5"/>
      <c r="D344" s="5" t="s">
        <v>62</v>
      </c>
      <c r="E344" s="5" t="n">
        <v>188186</v>
      </c>
      <c r="F344" s="5" t="n">
        <v>188186</v>
      </c>
      <c r="G344" s="5" t="s">
        <v>147</v>
      </c>
      <c r="H344" s="6" t="n">
        <v>205123</v>
      </c>
      <c r="I344" s="6" t="n">
        <v>205123</v>
      </c>
      <c r="J344" s="7" t="n">
        <v>188186</v>
      </c>
      <c r="K344" s="7" t="n">
        <v>188186</v>
      </c>
      <c r="L344" s="5" t="s">
        <v>84</v>
      </c>
      <c r="M344" s="5" t="s">
        <v>65</v>
      </c>
      <c r="V344" s="5" t="s">
        <v>824</v>
      </c>
      <c r="Y344" s="5" t="s">
        <v>73</v>
      </c>
      <c r="AI344" s="9" t="n">
        <v>44378</v>
      </c>
      <c r="AL344" s="5" t="n">
        <v>205123</v>
      </c>
      <c r="AM344" s="5" t="s">
        <v>924</v>
      </c>
      <c r="AN344" s="5"/>
      <c r="AQ344" s="5" t="s">
        <v>77</v>
      </c>
      <c r="AR344" s="5" t="s">
        <v>151</v>
      </c>
      <c r="AS344" s="5" t="s">
        <v>73</v>
      </c>
      <c r="AT344" s="5" t="s">
        <v>78</v>
      </c>
      <c r="AW344" s="5" t="s">
        <v>94</v>
      </c>
      <c r="AX344" s="10" t="str">
        <f aca="false">IFERROR(INDEX('full database 2024'!ar:ar, MATCH(A344, 'full database 2024'!b:b, 0)), "")</f>
        <v/>
      </c>
      <c r="AZ344" s="5" t="s">
        <v>129</v>
      </c>
      <c r="BD344" s="9" t="n">
        <v>45596</v>
      </c>
      <c r="BE344" s="9" t="n">
        <v>45596</v>
      </c>
      <c r="BJ344" s="5" t="n">
        <v>2021</v>
      </c>
    </row>
    <row r="345" customFormat="false" ht="16.5" hidden="false" customHeight="true" outlineLevel="0" collapsed="false">
      <c r="A345" s="5" t="s">
        <v>1438</v>
      </c>
      <c r="C345" s="5"/>
      <c r="D345" s="5" t="s">
        <v>62</v>
      </c>
      <c r="E345" s="5" t="n">
        <v>187959</v>
      </c>
      <c r="F345" s="5" t="n">
        <v>187959</v>
      </c>
      <c r="G345" s="5" t="s">
        <v>147</v>
      </c>
      <c r="H345" s="6" t="n">
        <v>204875</v>
      </c>
      <c r="I345" s="6" t="n">
        <v>204875</v>
      </c>
      <c r="J345" s="7" t="n">
        <v>187959</v>
      </c>
      <c r="K345" s="7" t="n">
        <v>187959</v>
      </c>
      <c r="L345" s="5" t="s">
        <v>84</v>
      </c>
      <c r="M345" s="5" t="s">
        <v>65</v>
      </c>
      <c r="V345" s="5" t="s">
        <v>1635</v>
      </c>
      <c r="X345" s="5" t="s">
        <v>151</v>
      </c>
      <c r="Y345" s="5" t="s">
        <v>73</v>
      </c>
      <c r="AI345" s="9" t="n">
        <v>44936</v>
      </c>
      <c r="AL345" s="5" t="n">
        <v>204875</v>
      </c>
      <c r="AM345" s="5" t="s">
        <v>153</v>
      </c>
      <c r="AN345" s="5"/>
      <c r="AQ345" s="5" t="s">
        <v>77</v>
      </c>
      <c r="AR345" s="5" t="s">
        <v>151</v>
      </c>
      <c r="AS345" s="5" t="s">
        <v>73</v>
      </c>
      <c r="AT345" s="5" t="s">
        <v>78</v>
      </c>
      <c r="AW345" s="5" t="s">
        <v>94</v>
      </c>
      <c r="AX345" s="10" t="str">
        <f aca="false">IFERROR(INDEX('full database 2024'!ar:ar, MATCH(A345, 'full database 2024'!b:b, 0)), "")</f>
        <v/>
      </c>
      <c r="AZ345" s="5" t="s">
        <v>399</v>
      </c>
      <c r="BD345" s="9" t="n">
        <v>45596</v>
      </c>
      <c r="BE345" s="9" t="n">
        <v>45596</v>
      </c>
      <c r="BJ345" s="5" t="n">
        <v>2023</v>
      </c>
    </row>
    <row r="346" customFormat="false" ht="16.5" hidden="false" customHeight="true" outlineLevel="0" collapsed="false">
      <c r="A346" s="5" t="s">
        <v>1636</v>
      </c>
      <c r="C346" s="5"/>
      <c r="D346" s="5" t="s">
        <v>62</v>
      </c>
      <c r="E346" s="5" t="n">
        <v>186726</v>
      </c>
      <c r="F346" s="5" t="n">
        <v>186726</v>
      </c>
      <c r="G346" s="5" t="s">
        <v>147</v>
      </c>
      <c r="H346" s="6" t="n">
        <v>203531</v>
      </c>
      <c r="I346" s="6" t="n">
        <v>203531</v>
      </c>
      <c r="J346" s="7" t="n">
        <v>186726</v>
      </c>
      <c r="K346" s="7" t="n">
        <v>186726</v>
      </c>
      <c r="L346" s="5" t="s">
        <v>84</v>
      </c>
      <c r="M346" s="5" t="s">
        <v>65</v>
      </c>
      <c r="V346" s="5" t="s">
        <v>1637</v>
      </c>
      <c r="X346" s="5"/>
      <c r="Y346" s="5" t="s">
        <v>73</v>
      </c>
      <c r="AI346" s="9" t="n">
        <v>43862</v>
      </c>
      <c r="AL346" s="5" t="n">
        <v>203531</v>
      </c>
      <c r="AM346" s="5" t="s">
        <v>924</v>
      </c>
      <c r="AN346" s="5"/>
      <c r="AQ346" s="5" t="s">
        <v>77</v>
      </c>
      <c r="AR346" s="5" t="s">
        <v>151</v>
      </c>
      <c r="AS346" s="5" t="s">
        <v>73</v>
      </c>
      <c r="AT346" s="5" t="s">
        <v>105</v>
      </c>
      <c r="AW346" s="5" t="s">
        <v>94</v>
      </c>
      <c r="AX346" s="10" t="str">
        <f aca="false">IFERROR(INDEX('full database 2024'!ar:ar, MATCH(A346, 'full database 2024'!b:b, 0)), "")</f>
        <v/>
      </c>
      <c r="AY346" s="5" t="s">
        <v>501</v>
      </c>
      <c r="AZ346" s="5" t="s">
        <v>107</v>
      </c>
      <c r="BD346" s="9" t="n">
        <v>45596</v>
      </c>
      <c r="BE346" s="9" t="n">
        <v>45596</v>
      </c>
      <c r="BJ346" s="5" t="n">
        <v>2020</v>
      </c>
    </row>
    <row r="347" customFormat="false" ht="16.5" hidden="false" customHeight="true" outlineLevel="0" collapsed="false">
      <c r="A347" s="5" t="s">
        <v>1638</v>
      </c>
      <c r="B347" s="5" t="s">
        <v>920</v>
      </c>
      <c r="C347" s="5"/>
      <c r="D347" s="5" t="s">
        <v>62</v>
      </c>
      <c r="E347" s="5" t="n">
        <v>180964</v>
      </c>
      <c r="F347" s="5" t="n">
        <v>180964</v>
      </c>
      <c r="G347" s="5" t="s">
        <v>147</v>
      </c>
      <c r="H347" s="6" t="n">
        <v>195531</v>
      </c>
      <c r="I347" s="6" t="n">
        <v>195531</v>
      </c>
      <c r="J347" s="7" t="n">
        <v>180964</v>
      </c>
      <c r="K347" s="7" t="n">
        <v>180964</v>
      </c>
      <c r="L347" s="5" t="s">
        <v>84</v>
      </c>
      <c r="M347" s="5"/>
      <c r="N347" s="8" t="s">
        <v>1639</v>
      </c>
      <c r="O347" s="5" t="s">
        <v>1640</v>
      </c>
      <c r="V347" s="5" t="s">
        <v>1641</v>
      </c>
      <c r="X347" s="5" t="s">
        <v>151</v>
      </c>
      <c r="Y347" s="5" t="s">
        <v>73</v>
      </c>
      <c r="AI347" s="9" t="n">
        <v>45214</v>
      </c>
      <c r="AL347" s="5" t="n">
        <v>195531</v>
      </c>
      <c r="AM347" s="5" t="s">
        <v>153</v>
      </c>
      <c r="AN347" s="5"/>
      <c r="AQ347" s="5" t="s">
        <v>77</v>
      </c>
      <c r="AR347" s="5" t="s">
        <v>151</v>
      </c>
      <c r="AS347" s="5" t="s">
        <v>73</v>
      </c>
      <c r="AT347" s="5" t="s">
        <v>78</v>
      </c>
      <c r="AW347" s="5" t="s">
        <v>94</v>
      </c>
      <c r="AX347" s="10" t="str">
        <f aca="false">IFERROR(INDEX('full database 2024'!ar:ar, MATCH(A347, 'full database 2024'!b:b, 0)), "")</f>
        <v/>
      </c>
      <c r="AZ347" s="5" t="s">
        <v>129</v>
      </c>
      <c r="BD347" s="9" t="n">
        <v>45671</v>
      </c>
      <c r="BE347" s="9" t="n">
        <v>45779</v>
      </c>
      <c r="BJ347" s="5" t="n">
        <v>2023</v>
      </c>
      <c r="BK347" s="5" t="s">
        <v>1642</v>
      </c>
    </row>
    <row r="348" customFormat="false" ht="16.5" hidden="false" customHeight="true" outlineLevel="0" collapsed="false">
      <c r="A348" s="5" t="s">
        <v>1643</v>
      </c>
      <c r="B348" s="5"/>
      <c r="C348" s="5"/>
      <c r="D348" s="5" t="s">
        <v>62</v>
      </c>
      <c r="E348" s="5" t="n">
        <v>180000</v>
      </c>
      <c r="F348" s="5" t="n">
        <v>180000</v>
      </c>
      <c r="G348" s="5" t="s">
        <v>147</v>
      </c>
      <c r="H348" s="6" t="n">
        <v>196200</v>
      </c>
      <c r="I348" s="6" t="n">
        <v>196200</v>
      </c>
      <c r="J348" s="7" t="n">
        <v>180000</v>
      </c>
      <c r="K348" s="7" t="n">
        <v>180000</v>
      </c>
      <c r="L348" s="5" t="s">
        <v>84</v>
      </c>
      <c r="M348" s="5" t="s">
        <v>65</v>
      </c>
      <c r="N348" s="5"/>
      <c r="O348" s="5"/>
      <c r="V348" s="5" t="s">
        <v>1644</v>
      </c>
      <c r="X348" s="5"/>
      <c r="Y348" s="5" t="s">
        <v>73</v>
      </c>
      <c r="AI348" s="9" t="n">
        <v>44409</v>
      </c>
      <c r="AL348" s="5" t="n">
        <v>196200</v>
      </c>
      <c r="AM348" s="5" t="s">
        <v>924</v>
      </c>
      <c r="AN348" s="5"/>
      <c r="AQ348" s="5" t="s">
        <v>77</v>
      </c>
      <c r="AR348" s="5" t="s">
        <v>151</v>
      </c>
      <c r="AS348" s="5" t="s">
        <v>73</v>
      </c>
      <c r="AT348" s="5" t="s">
        <v>78</v>
      </c>
      <c r="AW348" s="5" t="s">
        <v>94</v>
      </c>
      <c r="AX348" s="10" t="str">
        <f aca="false">IFERROR(INDEX('full database 2024'!ar:ar, MATCH(A348, 'full database 2024'!b:b, 0)), "")</f>
        <v/>
      </c>
      <c r="AZ348" s="5" t="s">
        <v>129</v>
      </c>
      <c r="BD348" s="9" t="n">
        <v>45596</v>
      </c>
      <c r="BE348" s="9" t="n">
        <v>45596</v>
      </c>
      <c r="BJ348" s="5" t="n">
        <v>2021</v>
      </c>
      <c r="BK348" s="5"/>
    </row>
    <row r="349" customFormat="false" ht="16.5" hidden="false" customHeight="true" outlineLevel="0" collapsed="false">
      <c r="A349" s="5" t="s">
        <v>1645</v>
      </c>
      <c r="C349" s="5"/>
      <c r="D349" s="5" t="s">
        <v>62</v>
      </c>
      <c r="E349" s="5" t="n">
        <v>179584</v>
      </c>
      <c r="F349" s="5" t="n">
        <v>179584</v>
      </c>
      <c r="G349" s="5" t="s">
        <v>147</v>
      </c>
      <c r="H349" s="6" t="n">
        <v>195747</v>
      </c>
      <c r="I349" s="6" t="n">
        <v>195747</v>
      </c>
      <c r="J349" s="7" t="n">
        <v>179584</v>
      </c>
      <c r="K349" s="7" t="n">
        <v>179584</v>
      </c>
      <c r="L349" s="5" t="s">
        <v>84</v>
      </c>
      <c r="M349" s="5" t="s">
        <v>65</v>
      </c>
      <c r="V349" s="5" t="s">
        <v>1646</v>
      </c>
      <c r="X349" s="5" t="s">
        <v>151</v>
      </c>
      <c r="Y349" s="5" t="s">
        <v>73</v>
      </c>
      <c r="AI349" s="9" t="n">
        <v>44562</v>
      </c>
      <c r="AL349" s="5" t="n">
        <v>195747</v>
      </c>
      <c r="AM349" s="5" t="s">
        <v>153</v>
      </c>
      <c r="AN349" s="5"/>
      <c r="AQ349" s="5" t="s">
        <v>77</v>
      </c>
      <c r="AR349" s="5" t="s">
        <v>151</v>
      </c>
      <c r="AS349" s="5" t="s">
        <v>73</v>
      </c>
      <c r="AT349" s="5" t="s">
        <v>78</v>
      </c>
      <c r="AW349" s="5" t="s">
        <v>94</v>
      </c>
      <c r="AX349" s="10" t="str">
        <f aca="false">IFERROR(INDEX('full database 2024'!ar:ar, MATCH(A349, 'full database 2024'!b:b, 0)), "")</f>
        <v/>
      </c>
      <c r="AZ349" s="5" t="s">
        <v>309</v>
      </c>
      <c r="BD349" s="9" t="n">
        <v>45596</v>
      </c>
      <c r="BE349" s="9" t="n">
        <v>45596</v>
      </c>
      <c r="BJ349" s="5" t="n">
        <v>2022</v>
      </c>
    </row>
    <row r="350" customFormat="false" ht="16.5" hidden="false" customHeight="true" outlineLevel="0" collapsed="false">
      <c r="A350" s="5" t="s">
        <v>1568</v>
      </c>
      <c r="C350" s="5"/>
      <c r="D350" s="5" t="s">
        <v>62</v>
      </c>
      <c r="E350" s="5" t="n">
        <v>179073</v>
      </c>
      <c r="F350" s="5" t="n">
        <v>179073</v>
      </c>
      <c r="G350" s="5" t="s">
        <v>147</v>
      </c>
      <c r="H350" s="6" t="n">
        <v>195190</v>
      </c>
      <c r="I350" s="6" t="n">
        <v>195190</v>
      </c>
      <c r="J350" s="7" t="n">
        <v>179073</v>
      </c>
      <c r="K350" s="7" t="n">
        <v>179073</v>
      </c>
      <c r="L350" s="5" t="s">
        <v>84</v>
      </c>
      <c r="M350" s="5" t="s">
        <v>65</v>
      </c>
      <c r="V350" s="5" t="s">
        <v>1647</v>
      </c>
      <c r="X350" s="5"/>
      <c r="Y350" s="5" t="s">
        <v>73</v>
      </c>
      <c r="AI350" s="9" t="n">
        <v>44743</v>
      </c>
      <c r="AL350" s="5" t="n">
        <v>195190</v>
      </c>
      <c r="AM350" s="5" t="s">
        <v>924</v>
      </c>
      <c r="AN350" s="5"/>
      <c r="AQ350" s="5" t="s">
        <v>77</v>
      </c>
      <c r="AR350" s="5" t="s">
        <v>151</v>
      </c>
      <c r="AS350" s="5" t="s">
        <v>73</v>
      </c>
      <c r="AT350" s="5" t="s">
        <v>78</v>
      </c>
      <c r="AW350" s="5" t="s">
        <v>94</v>
      </c>
      <c r="AX350" s="10" t="str">
        <f aca="false">IFERROR(INDEX('full database 2024'!ar:ar, MATCH(A350, 'full database 2024'!b:b, 0)), "")</f>
        <v/>
      </c>
      <c r="AZ350" s="5" t="s">
        <v>188</v>
      </c>
      <c r="BD350" s="9" t="n">
        <v>45596</v>
      </c>
      <c r="BE350" s="9" t="n">
        <v>45596</v>
      </c>
      <c r="BJ350" s="5" t="n">
        <v>2022</v>
      </c>
    </row>
    <row r="351" customFormat="false" ht="16.5" hidden="false" customHeight="true" outlineLevel="0" collapsed="false">
      <c r="A351" s="5" t="s">
        <v>1564</v>
      </c>
      <c r="C351" s="5"/>
      <c r="D351" s="5" t="s">
        <v>62</v>
      </c>
      <c r="E351" s="5" t="n">
        <v>178745</v>
      </c>
      <c r="F351" s="5" t="n">
        <v>178745</v>
      </c>
      <c r="G351" s="5" t="s">
        <v>147</v>
      </c>
      <c r="H351" s="6" t="n">
        <v>194832</v>
      </c>
      <c r="I351" s="6" t="n">
        <v>194832</v>
      </c>
      <c r="J351" s="7" t="n">
        <v>178745</v>
      </c>
      <c r="K351" s="7" t="n">
        <v>178745</v>
      </c>
      <c r="L351" s="5" t="s">
        <v>84</v>
      </c>
      <c r="M351" s="5" t="s">
        <v>65</v>
      </c>
      <c r="V351" s="5" t="s">
        <v>1648</v>
      </c>
      <c r="Y351" s="5" t="s">
        <v>73</v>
      </c>
      <c r="AI351" s="9" t="n">
        <v>45047</v>
      </c>
      <c r="AL351" s="5" t="n">
        <v>194832</v>
      </c>
      <c r="AM351" s="5" t="s">
        <v>924</v>
      </c>
      <c r="AN351" s="5"/>
      <c r="AQ351" s="5" t="s">
        <v>77</v>
      </c>
      <c r="AR351" s="5" t="s">
        <v>151</v>
      </c>
      <c r="AS351" s="5" t="s">
        <v>73</v>
      </c>
      <c r="AT351" s="5" t="s">
        <v>78</v>
      </c>
      <c r="AW351" s="5" t="s">
        <v>94</v>
      </c>
      <c r="AX351" s="10" t="str">
        <f aca="false">IFERROR(INDEX('full database 2024'!ar:ar, MATCH(A351, 'full database 2024'!b:b, 0)), "")</f>
        <v/>
      </c>
      <c r="AY351" s="5" t="s">
        <v>447</v>
      </c>
      <c r="AZ351" s="5" t="s">
        <v>188</v>
      </c>
      <c r="BD351" s="9" t="n">
        <v>45596</v>
      </c>
      <c r="BE351" s="9" t="n">
        <v>45596</v>
      </c>
      <c r="BJ351" s="5" t="n">
        <v>2023</v>
      </c>
    </row>
    <row r="352" customFormat="false" ht="16.5" hidden="false" customHeight="true" outlineLevel="0" collapsed="false">
      <c r="A352" s="5" t="s">
        <v>1649</v>
      </c>
      <c r="C352" s="5"/>
      <c r="D352" s="5" t="s">
        <v>62</v>
      </c>
      <c r="E352" s="5" t="n">
        <v>175919</v>
      </c>
      <c r="F352" s="5" t="n">
        <v>175920</v>
      </c>
      <c r="G352" s="5" t="s">
        <v>147</v>
      </c>
      <c r="H352" s="6" t="n">
        <v>189993</v>
      </c>
      <c r="I352" s="6" t="n">
        <v>189994</v>
      </c>
      <c r="J352" s="7" t="n">
        <v>175919</v>
      </c>
      <c r="K352" s="7" t="n">
        <v>175920</v>
      </c>
      <c r="L352" s="5" t="s">
        <v>84</v>
      </c>
      <c r="M352" s="5" t="s">
        <v>65</v>
      </c>
      <c r="V352" s="5" t="s">
        <v>782</v>
      </c>
      <c r="X352" s="5" t="s">
        <v>271</v>
      </c>
      <c r="Y352" s="5" t="s">
        <v>73</v>
      </c>
      <c r="AI352" s="9" t="n">
        <v>44866</v>
      </c>
      <c r="AK352" s="5" t="s">
        <v>228</v>
      </c>
      <c r="AL352" s="5" t="n">
        <v>189993</v>
      </c>
      <c r="AM352" s="5" t="s">
        <v>182</v>
      </c>
      <c r="AN352" s="5" t="str">
        <f aca="false">IFERROR(INDEX('full database 2024'!aj:aj, MATCH(A352, 'full database 2024'!b:b, 0)), "")</f>
        <v/>
      </c>
      <c r="AQ352" s="5" t="s">
        <v>77</v>
      </c>
      <c r="AR352" s="5" t="s">
        <v>185</v>
      </c>
      <c r="AS352" s="5" t="s">
        <v>73</v>
      </c>
      <c r="AT352" s="5" t="s">
        <v>105</v>
      </c>
      <c r="AU352" s="10" t="s">
        <v>106</v>
      </c>
      <c r="AW352" s="5" t="s">
        <v>94</v>
      </c>
      <c r="AX352" s="10" t="str">
        <f aca="false">IFERROR(INDEX('full database 2024'!ar:ar, MATCH(A352, 'full database 2024'!b:b, 0)), "")</f>
        <v/>
      </c>
      <c r="AZ352" s="5" t="s">
        <v>540</v>
      </c>
      <c r="BD352" s="9" t="n">
        <v>45596</v>
      </c>
      <c r="BE352" s="9" t="n">
        <v>45596</v>
      </c>
      <c r="BJ352" s="5" t="n">
        <v>2022</v>
      </c>
      <c r="BK352" s="11" t="n">
        <v>36526</v>
      </c>
    </row>
    <row r="353" customFormat="false" ht="16.5" hidden="false" customHeight="true" outlineLevel="0" collapsed="false">
      <c r="A353" s="5" t="s">
        <v>1650</v>
      </c>
      <c r="C353" s="5"/>
      <c r="D353" s="5" t="s">
        <v>62</v>
      </c>
      <c r="E353" s="5" t="n">
        <v>172750</v>
      </c>
      <c r="F353" s="5" t="n">
        <v>172750</v>
      </c>
      <c r="G353" s="5" t="s">
        <v>147</v>
      </c>
      <c r="H353" s="6" t="n">
        <v>186570</v>
      </c>
      <c r="I353" s="6" t="n">
        <v>186570</v>
      </c>
      <c r="J353" s="7" t="n">
        <v>172750</v>
      </c>
      <c r="K353" s="7" t="n">
        <v>172750</v>
      </c>
      <c r="L353" s="5" t="s">
        <v>84</v>
      </c>
      <c r="M353" s="5" t="s">
        <v>65</v>
      </c>
      <c r="V353" s="5" t="s">
        <v>1651</v>
      </c>
      <c r="X353" s="5" t="s">
        <v>215</v>
      </c>
      <c r="Y353" s="5" t="s">
        <v>73</v>
      </c>
      <c r="AI353" s="9" t="n">
        <v>45078</v>
      </c>
      <c r="AK353" s="5" t="s">
        <v>228</v>
      </c>
      <c r="AL353" s="5" t="n">
        <v>186570</v>
      </c>
      <c r="AM353" s="5" t="s">
        <v>182</v>
      </c>
      <c r="AN353" s="5" t="str">
        <f aca="false">IFERROR(INDEX('full database 2024'!aj:aj, MATCH(A353, 'full database 2024'!b:b, 0)), "")</f>
        <v/>
      </c>
      <c r="AQ353" s="5" t="s">
        <v>77</v>
      </c>
      <c r="AR353" s="5" t="s">
        <v>185</v>
      </c>
      <c r="AS353" s="5" t="s">
        <v>73</v>
      </c>
      <c r="AT353" s="5" t="s">
        <v>78</v>
      </c>
      <c r="AW353" s="5" t="s">
        <v>94</v>
      </c>
      <c r="AX353" s="10" t="str">
        <f aca="false">IFERROR(INDEX('full database 2024'!ar:ar, MATCH(A353, 'full database 2024'!b:b, 0)), "")</f>
        <v/>
      </c>
      <c r="AZ353" s="5" t="s">
        <v>287</v>
      </c>
      <c r="BD353" s="9" t="n">
        <v>45596</v>
      </c>
      <c r="BE353" s="9" t="n">
        <v>45596</v>
      </c>
      <c r="BJ353" s="5" t="n">
        <v>2023</v>
      </c>
      <c r="BK353" s="11" t="n">
        <v>36526</v>
      </c>
    </row>
    <row r="354" customFormat="false" ht="16.5" hidden="false" customHeight="true" outlineLevel="0" collapsed="false">
      <c r="A354" s="5" t="s">
        <v>1652</v>
      </c>
      <c r="C354" s="5"/>
      <c r="D354" s="5" t="s">
        <v>62</v>
      </c>
      <c r="E354" s="5" t="n">
        <v>167691</v>
      </c>
      <c r="F354" s="5" t="n">
        <v>167691</v>
      </c>
      <c r="G354" s="5" t="s">
        <v>147</v>
      </c>
      <c r="H354" s="6" t="n">
        <v>182783</v>
      </c>
      <c r="I354" s="6" t="n">
        <v>182783</v>
      </c>
      <c r="J354" s="7" t="n">
        <v>167691</v>
      </c>
      <c r="K354" s="7" t="n">
        <v>167691</v>
      </c>
      <c r="L354" s="5" t="s">
        <v>84</v>
      </c>
      <c r="M354" s="5" t="s">
        <v>65</v>
      </c>
      <c r="V354" s="5" t="s">
        <v>1653</v>
      </c>
      <c r="X354" s="5"/>
      <c r="Y354" s="5" t="s">
        <v>73</v>
      </c>
      <c r="AI354" s="9" t="n">
        <v>45292</v>
      </c>
      <c r="AK354" s="5"/>
      <c r="AL354" s="5" t="n">
        <v>182783</v>
      </c>
      <c r="AM354" s="5" t="s">
        <v>153</v>
      </c>
      <c r="AN354" s="5"/>
      <c r="AQ354" s="5" t="s">
        <v>77</v>
      </c>
      <c r="AR354" s="5" t="s">
        <v>151</v>
      </c>
      <c r="AS354" s="5" t="s">
        <v>73</v>
      </c>
      <c r="AT354" s="5" t="s">
        <v>78</v>
      </c>
      <c r="AW354" s="5" t="s">
        <v>94</v>
      </c>
      <c r="AX354" s="10" t="str">
        <f aca="false">IFERROR(INDEX('full database 2024'!ar:ar, MATCH(A354, 'full database 2024'!b:b, 0)), "")</f>
        <v/>
      </c>
      <c r="AZ354" s="5" t="s">
        <v>129</v>
      </c>
      <c r="BD354" s="9" t="n">
        <v>45596</v>
      </c>
      <c r="BE354" s="9" t="n">
        <v>45596</v>
      </c>
      <c r="BJ354" s="5" t="n">
        <v>2024</v>
      </c>
      <c r="BK354" s="11"/>
    </row>
    <row r="355" customFormat="false" ht="16.5" hidden="false" customHeight="true" outlineLevel="0" collapsed="false">
      <c r="A355" s="5" t="s">
        <v>1654</v>
      </c>
      <c r="C355" s="5"/>
      <c r="D355" s="5" t="s">
        <v>62</v>
      </c>
      <c r="E355" s="5" t="n">
        <v>167297</v>
      </c>
      <c r="F355" s="5" t="n">
        <v>167297</v>
      </c>
      <c r="G355" s="5" t="s">
        <v>147</v>
      </c>
      <c r="H355" s="6" t="n">
        <v>182354</v>
      </c>
      <c r="I355" s="6" t="n">
        <v>182354</v>
      </c>
      <c r="J355" s="7" t="n">
        <v>167297</v>
      </c>
      <c r="K355" s="7" t="n">
        <v>167297</v>
      </c>
      <c r="L355" s="5" t="s">
        <v>84</v>
      </c>
      <c r="M355" s="5" t="s">
        <v>65</v>
      </c>
      <c r="V355" s="5" t="s">
        <v>1655</v>
      </c>
      <c r="Y355" s="5" t="s">
        <v>73</v>
      </c>
      <c r="AI355" s="9" t="n">
        <v>44378</v>
      </c>
      <c r="AL355" s="5" t="n">
        <v>182354</v>
      </c>
      <c r="AM355" s="5" t="s">
        <v>924</v>
      </c>
      <c r="AN355" s="5"/>
      <c r="AQ355" s="5" t="s">
        <v>77</v>
      </c>
      <c r="AR355" s="5" t="s">
        <v>151</v>
      </c>
      <c r="AS355" s="5" t="s">
        <v>73</v>
      </c>
      <c r="AT355" s="5" t="s">
        <v>78</v>
      </c>
      <c r="AW355" s="5" t="s">
        <v>94</v>
      </c>
      <c r="AX355" s="10" t="str">
        <f aca="false">IFERROR(INDEX('full database 2024'!ar:ar, MATCH(A355, 'full database 2024'!b:b, 0)), "")</f>
        <v/>
      </c>
      <c r="AZ355" s="5" t="s">
        <v>95</v>
      </c>
      <c r="BD355" s="9" t="n">
        <v>45596</v>
      </c>
      <c r="BE355" s="9" t="n">
        <v>45596</v>
      </c>
      <c r="BJ355" s="5" t="n">
        <v>2021</v>
      </c>
    </row>
    <row r="356" customFormat="false" ht="16.5" hidden="false" customHeight="true" outlineLevel="0" collapsed="false">
      <c r="A356" s="5" t="s">
        <v>1656</v>
      </c>
      <c r="C356" s="5"/>
      <c r="D356" s="5" t="s">
        <v>62</v>
      </c>
      <c r="E356" s="16" t="n">
        <v>165261</v>
      </c>
      <c r="F356" s="16" t="n">
        <v>165261</v>
      </c>
      <c r="G356" s="5" t="s">
        <v>132</v>
      </c>
      <c r="H356" s="6" t="n">
        <v>213187</v>
      </c>
      <c r="I356" s="6" t="n">
        <v>213187</v>
      </c>
      <c r="J356" s="7" t="n">
        <f aca="false">E356*1.19</f>
        <v>196660.59</v>
      </c>
      <c r="K356" s="7" t="n">
        <f aca="false">F356*1.19</f>
        <v>196660.59</v>
      </c>
      <c r="L356" s="5" t="s">
        <v>84</v>
      </c>
      <c r="M356" s="5" t="s">
        <v>65</v>
      </c>
      <c r="N356" s="8" t="s">
        <v>1657</v>
      </c>
      <c r="P356" s="5"/>
      <c r="Q356" s="5"/>
      <c r="R356" s="5" t="s">
        <v>928</v>
      </c>
      <c r="T356" s="5" t="s">
        <v>1658</v>
      </c>
      <c r="U356" s="5" t="s">
        <v>70</v>
      </c>
      <c r="V356" s="5" t="s">
        <v>1659</v>
      </c>
      <c r="W356" s="5" t="s">
        <v>102</v>
      </c>
      <c r="X356" s="5" t="s">
        <v>139</v>
      </c>
      <c r="Y356" s="5" t="s">
        <v>73</v>
      </c>
      <c r="Z356" s="5" t="s">
        <v>70</v>
      </c>
      <c r="AE356" s="5" t="s">
        <v>117</v>
      </c>
      <c r="AI356" s="9" t="n">
        <v>45210</v>
      </c>
      <c r="AJ356" s="5" t="n">
        <v>1</v>
      </c>
      <c r="AK356" s="5" t="s">
        <v>75</v>
      </c>
      <c r="AL356" s="5" t="n">
        <v>213187</v>
      </c>
      <c r="AM356" s="5" t="s">
        <v>140</v>
      </c>
      <c r="AN356" s="5" t="s">
        <v>699</v>
      </c>
      <c r="AQ356" s="5" t="s">
        <v>77</v>
      </c>
      <c r="AR356" s="5" t="s">
        <v>143</v>
      </c>
      <c r="AS356" s="5" t="s">
        <v>73</v>
      </c>
      <c r="AT356" s="5" t="s">
        <v>78</v>
      </c>
      <c r="AW356" s="5" t="s">
        <v>94</v>
      </c>
      <c r="AX356" s="10" t="str">
        <f aca="false">IFERROR(INDEX('full database 2024'!ar:ar, MATCH(A356, 'full database 2024'!b:b, 0)), "")</f>
        <v/>
      </c>
      <c r="AZ356" s="5" t="s">
        <v>396</v>
      </c>
      <c r="BD356" s="9" t="n">
        <v>45265</v>
      </c>
      <c r="BE356" s="9" t="n">
        <v>45779</v>
      </c>
      <c r="BI356" s="5" t="s">
        <v>81</v>
      </c>
      <c r="BJ356" s="5" t="n">
        <v>2023</v>
      </c>
      <c r="BK356" s="11" t="n">
        <v>45606</v>
      </c>
    </row>
    <row r="357" customFormat="false" ht="16.5" hidden="false" customHeight="true" outlineLevel="0" collapsed="false">
      <c r="A357" s="5" t="s">
        <v>1660</v>
      </c>
      <c r="B357" s="5" t="s">
        <v>1661</v>
      </c>
      <c r="C357" s="5"/>
      <c r="D357" s="5" t="s">
        <v>62</v>
      </c>
      <c r="E357" s="5" t="n">
        <v>158736</v>
      </c>
      <c r="F357" s="5" t="n">
        <v>158736</v>
      </c>
      <c r="G357" s="5" t="s">
        <v>63</v>
      </c>
      <c r="H357" s="6" t="n">
        <v>23007</v>
      </c>
      <c r="I357" s="6" t="n">
        <v>0</v>
      </c>
      <c r="J357" s="7" t="n">
        <f aca="false">E357*0.13</f>
        <v>20635.68</v>
      </c>
      <c r="K357" s="7" t="n">
        <f aca="false">F357*0.13</f>
        <v>20635.68</v>
      </c>
      <c r="L357" s="5" t="s">
        <v>84</v>
      </c>
      <c r="M357" s="5" t="s">
        <v>65</v>
      </c>
      <c r="N357" s="5"/>
      <c r="O357" s="5" t="s">
        <v>1662</v>
      </c>
      <c r="P357" s="5"/>
      <c r="Q357" s="5"/>
      <c r="R357" s="5"/>
      <c r="T357" s="5" t="s">
        <v>1663</v>
      </c>
      <c r="U357" s="5"/>
      <c r="V357" s="5" t="s">
        <v>1664</v>
      </c>
      <c r="W357" s="5"/>
      <c r="X357" s="5" t="s">
        <v>72</v>
      </c>
      <c r="Y357" s="5" t="s">
        <v>73</v>
      </c>
      <c r="Z357" s="5"/>
      <c r="AE357" s="5"/>
      <c r="AI357" s="9" t="n">
        <v>45323</v>
      </c>
      <c r="AJ357" s="5"/>
      <c r="AK357" s="5"/>
      <c r="AL357" s="5" t="n">
        <v>23007</v>
      </c>
      <c r="AM357" s="5" t="s">
        <v>92</v>
      </c>
      <c r="AN357" s="5"/>
      <c r="AQ357" s="5" t="s">
        <v>93</v>
      </c>
      <c r="AR357" s="5" t="s">
        <v>72</v>
      </c>
      <c r="AS357" s="5" t="s">
        <v>73</v>
      </c>
      <c r="AT357" s="5" t="s">
        <v>105</v>
      </c>
      <c r="AU357" s="10" t="s">
        <v>106</v>
      </c>
      <c r="AW357" s="5" t="s">
        <v>94</v>
      </c>
      <c r="AX357" s="10" t="str">
        <f aca="false">IFERROR(INDEX('full database 2024'!ar:ar, MATCH(A357, 'full database 2024'!b:b, 0)), "")</f>
        <v/>
      </c>
      <c r="AY357" s="5" t="s">
        <v>447</v>
      </c>
      <c r="AZ357" s="5" t="s">
        <v>95</v>
      </c>
      <c r="BD357" s="9" t="n">
        <v>45596</v>
      </c>
      <c r="BE357" s="9" t="n">
        <v>45779</v>
      </c>
      <c r="BI357" s="5"/>
      <c r="BJ357" s="5" t="n">
        <v>2024</v>
      </c>
      <c r="BK357" s="11" t="n">
        <v>36526</v>
      </c>
    </row>
    <row r="358" customFormat="false" ht="16.5" hidden="false" customHeight="true" outlineLevel="0" collapsed="false">
      <c r="A358" s="5" t="s">
        <v>1665</v>
      </c>
      <c r="B358" s="5"/>
      <c r="C358" s="5"/>
      <c r="D358" s="5" t="s">
        <v>62</v>
      </c>
      <c r="E358" s="5" t="n">
        <v>154335</v>
      </c>
      <c r="F358" s="5" t="n">
        <v>154335</v>
      </c>
      <c r="G358" s="5" t="s">
        <v>147</v>
      </c>
      <c r="H358" s="6" t="n">
        <v>168225</v>
      </c>
      <c r="I358" s="6" t="n">
        <v>168225</v>
      </c>
      <c r="J358" s="7" t="n">
        <v>154335</v>
      </c>
      <c r="K358" s="7" t="n">
        <v>154335</v>
      </c>
      <c r="L358" s="5" t="s">
        <v>84</v>
      </c>
      <c r="M358" s="5" t="s">
        <v>65</v>
      </c>
      <c r="O358" s="5"/>
      <c r="T358" s="5"/>
      <c r="V358" s="5" t="s">
        <v>911</v>
      </c>
      <c r="X358" s="5"/>
      <c r="Y358" s="5" t="s">
        <v>73</v>
      </c>
      <c r="AI358" s="9" t="n">
        <v>44652</v>
      </c>
      <c r="AL358" s="5" t="n">
        <v>168225</v>
      </c>
      <c r="AM358" s="5" t="s">
        <v>924</v>
      </c>
      <c r="AN358" s="5"/>
      <c r="AQ358" s="5" t="s">
        <v>77</v>
      </c>
      <c r="AR358" s="5" t="s">
        <v>151</v>
      </c>
      <c r="AS358" s="5" t="s">
        <v>73</v>
      </c>
      <c r="AT358" s="5" t="s">
        <v>78</v>
      </c>
      <c r="AW358" s="5" t="s">
        <v>94</v>
      </c>
      <c r="AX358" s="10" t="str">
        <f aca="false">IFERROR(INDEX('full database 2024'!ar:ar, MATCH(A358, 'full database 2024'!b:b, 0)), "")</f>
        <v/>
      </c>
      <c r="AZ358" s="5" t="s">
        <v>129</v>
      </c>
      <c r="BD358" s="9" t="n">
        <v>45596</v>
      </c>
      <c r="BE358" s="9" t="n">
        <v>45596</v>
      </c>
      <c r="BJ358" s="5" t="n">
        <v>2022</v>
      </c>
      <c r="BK358" s="11"/>
    </row>
    <row r="359" customFormat="false" ht="16.5" hidden="false" customHeight="true" outlineLevel="0" collapsed="false">
      <c r="A359" s="5" t="s">
        <v>1666</v>
      </c>
      <c r="C359" s="5"/>
      <c r="D359" s="5" t="s">
        <v>62</v>
      </c>
      <c r="E359" s="5" t="n">
        <v>153583</v>
      </c>
      <c r="F359" s="5" t="n">
        <v>153583</v>
      </c>
      <c r="G359" s="5" t="s">
        <v>147</v>
      </c>
      <c r="H359" s="6" t="n">
        <v>167405</v>
      </c>
      <c r="I359" s="6" t="n">
        <v>167405</v>
      </c>
      <c r="J359" s="7" t="n">
        <v>153583</v>
      </c>
      <c r="K359" s="7" t="n">
        <v>153583</v>
      </c>
      <c r="L359" s="5" t="s">
        <v>84</v>
      </c>
      <c r="M359" s="5" t="s">
        <v>65</v>
      </c>
      <c r="V359" s="5" t="s">
        <v>1667</v>
      </c>
      <c r="Y359" s="5" t="s">
        <v>73</v>
      </c>
      <c r="AI359" s="9" t="n">
        <v>45108</v>
      </c>
      <c r="AL359" s="5" t="n">
        <v>167405</v>
      </c>
      <c r="AM359" s="5" t="s">
        <v>924</v>
      </c>
      <c r="AN359" s="5"/>
      <c r="AQ359" s="5" t="s">
        <v>77</v>
      </c>
      <c r="AR359" s="5" t="s">
        <v>151</v>
      </c>
      <c r="AS359" s="5" t="s">
        <v>73</v>
      </c>
      <c r="AT359" s="5" t="s">
        <v>78</v>
      </c>
      <c r="AW359" s="5" t="s">
        <v>94</v>
      </c>
      <c r="AX359" s="10" t="str">
        <f aca="false">IFERROR(INDEX('full database 2024'!ar:ar, MATCH(A359, 'full database 2024'!b:b, 0)), "")</f>
        <v/>
      </c>
      <c r="AZ359" s="5" t="s">
        <v>129</v>
      </c>
      <c r="BD359" s="9" t="n">
        <v>45596</v>
      </c>
      <c r="BE359" s="9" t="n">
        <v>45596</v>
      </c>
      <c r="BJ359" s="5" t="n">
        <v>2023</v>
      </c>
    </row>
    <row r="360" customFormat="false" ht="16.5" hidden="false" customHeight="true" outlineLevel="0" collapsed="false">
      <c r="A360" s="5" t="s">
        <v>1668</v>
      </c>
      <c r="B360" s="5" t="s">
        <v>1669</v>
      </c>
      <c r="C360" s="5"/>
      <c r="D360" s="5" t="s">
        <v>62</v>
      </c>
      <c r="E360" s="5" t="n">
        <v>149995</v>
      </c>
      <c r="F360" s="5" t="n">
        <v>149995</v>
      </c>
      <c r="G360" s="5" t="s">
        <v>147</v>
      </c>
      <c r="H360" s="6" t="n">
        <v>162793</v>
      </c>
      <c r="I360" s="6" t="n">
        <v>162793</v>
      </c>
      <c r="J360" s="7" t="n">
        <v>149995</v>
      </c>
      <c r="K360" s="7" t="n">
        <v>149995</v>
      </c>
      <c r="L360" s="5" t="s">
        <v>84</v>
      </c>
      <c r="M360" s="5" t="s">
        <v>65</v>
      </c>
      <c r="N360" s="8" t="s">
        <v>1670</v>
      </c>
      <c r="O360" s="5" t="s">
        <v>70</v>
      </c>
      <c r="P360" s="5"/>
      <c r="Q360" s="5"/>
      <c r="R360" s="5" t="s">
        <v>1671</v>
      </c>
      <c r="S360" s="5" t="s">
        <v>1672</v>
      </c>
      <c r="T360" s="5" t="s">
        <v>1673</v>
      </c>
      <c r="U360" s="5" t="s">
        <v>1674</v>
      </c>
      <c r="V360" s="5" t="s">
        <v>1675</v>
      </c>
      <c r="W360" s="5" t="s">
        <v>90</v>
      </c>
      <c r="X360" s="5" t="s">
        <v>1676</v>
      </c>
      <c r="Y360" s="5" t="s">
        <v>73</v>
      </c>
      <c r="Z360" s="5" t="s">
        <v>70</v>
      </c>
      <c r="AE360" s="5" t="s">
        <v>117</v>
      </c>
      <c r="AI360" s="9" t="n">
        <v>45231</v>
      </c>
      <c r="AJ360" s="5" t="n">
        <v>2</v>
      </c>
      <c r="AK360" s="5" t="s">
        <v>75</v>
      </c>
      <c r="AL360" s="5" t="n">
        <v>81397</v>
      </c>
      <c r="AM360" s="5" t="s">
        <v>1677</v>
      </c>
      <c r="AN360" s="5"/>
      <c r="AO360" s="5" t="s">
        <v>230</v>
      </c>
      <c r="AP360" s="8" t="s">
        <v>1678</v>
      </c>
      <c r="AQ360" s="5" t="s">
        <v>77</v>
      </c>
      <c r="AR360" s="5" t="s">
        <v>1676</v>
      </c>
      <c r="AS360" s="5" t="s">
        <v>73</v>
      </c>
      <c r="AT360" s="5" t="s">
        <v>374</v>
      </c>
      <c r="AW360" s="5" t="s">
        <v>201</v>
      </c>
      <c r="AX360" s="10" t="str">
        <f aca="false">IFERROR(INDEX('full database 2024'!ar:ar, MATCH(A360, 'full database 2024'!b:b, 0)), "")</f>
        <v/>
      </c>
      <c r="AZ360" s="5" t="s">
        <v>534</v>
      </c>
      <c r="BA360" s="5" t="s">
        <v>65</v>
      </c>
      <c r="BD360" s="9" t="n">
        <v>45341</v>
      </c>
      <c r="BE360" s="9" t="n">
        <v>45435</v>
      </c>
      <c r="BI360" s="5" t="s">
        <v>81</v>
      </c>
      <c r="BJ360" s="5" t="n">
        <v>2023</v>
      </c>
      <c r="BK360" s="11" t="n">
        <v>45668</v>
      </c>
    </row>
    <row r="361" customFormat="false" ht="16.5" hidden="false" customHeight="true" outlineLevel="0" collapsed="false">
      <c r="A361" s="5" t="s">
        <v>1679</v>
      </c>
      <c r="B361" s="5" t="s">
        <v>1680</v>
      </c>
      <c r="C361" s="5"/>
      <c r="D361" s="5" t="s">
        <v>62</v>
      </c>
      <c r="E361" s="16" t="n">
        <v>149872</v>
      </c>
      <c r="F361" s="16" t="n">
        <v>149872</v>
      </c>
      <c r="G361" s="5" t="s">
        <v>132</v>
      </c>
      <c r="H361" s="6" t="n">
        <v>184170</v>
      </c>
      <c r="I361" s="6" t="n">
        <v>184170</v>
      </c>
      <c r="J361" s="7" t="n">
        <f aca="false">E361*1.19</f>
        <v>178347.68</v>
      </c>
      <c r="K361" s="7" t="n">
        <f aca="false">F361*1.19</f>
        <v>178347.68</v>
      </c>
      <c r="L361" s="5" t="s">
        <v>84</v>
      </c>
      <c r="M361" s="5"/>
      <c r="N361" s="8" t="s">
        <v>1681</v>
      </c>
      <c r="O361" s="5" t="s">
        <v>1682</v>
      </c>
      <c r="P361" s="5"/>
      <c r="Q361" s="5"/>
      <c r="R361" s="5" t="s">
        <v>1683</v>
      </c>
      <c r="S361" s="5"/>
      <c r="T361" s="5" t="s">
        <v>846</v>
      </c>
      <c r="U361" s="5" t="s">
        <v>70</v>
      </c>
      <c r="V361" s="5" t="s">
        <v>847</v>
      </c>
      <c r="W361" s="5" t="s">
        <v>102</v>
      </c>
      <c r="X361" s="5" t="s">
        <v>139</v>
      </c>
      <c r="Y361" s="5" t="s">
        <v>73</v>
      </c>
      <c r="Z361" s="5" t="s">
        <v>70</v>
      </c>
      <c r="AD361" s="5" t="s">
        <v>1684</v>
      </c>
      <c r="AE361" s="5" t="s">
        <v>74</v>
      </c>
      <c r="AI361" s="9" t="n">
        <v>45338</v>
      </c>
      <c r="AJ361" s="5" t="n">
        <v>1</v>
      </c>
      <c r="AK361" s="5" t="s">
        <v>75</v>
      </c>
      <c r="AL361" s="5" t="n">
        <v>184170</v>
      </c>
      <c r="AM361" s="5" t="s">
        <v>140</v>
      </c>
      <c r="AN361" s="5" t="s">
        <v>699</v>
      </c>
      <c r="AO361" s="5" t="s">
        <v>1685</v>
      </c>
      <c r="AP361" s="5"/>
      <c r="AQ361" s="5" t="s">
        <v>77</v>
      </c>
      <c r="AR361" s="5" t="s">
        <v>143</v>
      </c>
      <c r="AS361" s="5" t="s">
        <v>73</v>
      </c>
      <c r="AT361" s="5" t="s">
        <v>374</v>
      </c>
      <c r="AW361" s="5" t="s">
        <v>94</v>
      </c>
      <c r="AX361" s="10" t="str">
        <f aca="false">IFERROR(INDEX('full database 2024'!ar:ar, MATCH(A361, 'full database 2024'!b:b, 0)), "")</f>
        <v/>
      </c>
      <c r="AZ361" s="5" t="s">
        <v>239</v>
      </c>
      <c r="BA361" s="5"/>
      <c r="BD361" s="9" t="n">
        <v>45434</v>
      </c>
      <c r="BE361" s="9" t="n">
        <v>45779</v>
      </c>
      <c r="BI361" s="5" t="s">
        <v>81</v>
      </c>
      <c r="BJ361" s="5" t="n">
        <v>2024</v>
      </c>
      <c r="BK361" s="5" t="s">
        <v>1686</v>
      </c>
    </row>
    <row r="362" customFormat="false" ht="16.5" hidden="false" customHeight="true" outlineLevel="0" collapsed="false">
      <c r="A362" s="5" t="s">
        <v>1687</v>
      </c>
      <c r="B362" s="5"/>
      <c r="C362" s="5"/>
      <c r="D362" s="5" t="s">
        <v>62</v>
      </c>
      <c r="E362" s="5" t="n">
        <v>139488</v>
      </c>
      <c r="F362" s="5" t="n">
        <v>139488</v>
      </c>
      <c r="G362" s="5" t="s">
        <v>147</v>
      </c>
      <c r="H362" s="6" t="n">
        <v>152042</v>
      </c>
      <c r="I362" s="6" t="n">
        <v>152042</v>
      </c>
      <c r="J362" s="7" t="n">
        <v>139488</v>
      </c>
      <c r="K362" s="7" t="n">
        <v>139488</v>
      </c>
      <c r="L362" s="5" t="s">
        <v>84</v>
      </c>
      <c r="M362" s="5" t="s">
        <v>65</v>
      </c>
      <c r="N362" s="8" t="s">
        <v>1688</v>
      </c>
      <c r="O362" s="5"/>
      <c r="P362" s="5"/>
      <c r="Q362" s="5"/>
      <c r="R362" s="5"/>
      <c r="T362" s="5"/>
      <c r="U362" s="5"/>
      <c r="V362" s="5" t="s">
        <v>1689</v>
      </c>
      <c r="W362" s="5"/>
      <c r="X362" s="5" t="s">
        <v>151</v>
      </c>
      <c r="Y362" s="5" t="s">
        <v>73</v>
      </c>
      <c r="Z362" s="5"/>
      <c r="AD362" s="5"/>
      <c r="AE362" s="5"/>
      <c r="AI362" s="9" t="n">
        <v>45200</v>
      </c>
      <c r="AJ362" s="5"/>
      <c r="AK362" s="5"/>
      <c r="AL362" s="5" t="n">
        <v>152042</v>
      </c>
      <c r="AM362" s="5" t="s">
        <v>153</v>
      </c>
      <c r="AN362" s="5"/>
      <c r="AO362" s="5"/>
      <c r="AQ362" s="5" t="s">
        <v>77</v>
      </c>
      <c r="AR362" s="5" t="s">
        <v>151</v>
      </c>
      <c r="AS362" s="5" t="s">
        <v>73</v>
      </c>
      <c r="AT362" s="5" t="s">
        <v>78</v>
      </c>
      <c r="AW362" s="5" t="s">
        <v>94</v>
      </c>
      <c r="AX362" s="10" t="str">
        <f aca="false">IFERROR(INDEX('full database 2024'!ar:ar, MATCH(A362, 'full database 2024'!b:b, 0)), "")</f>
        <v/>
      </c>
      <c r="AZ362" s="5" t="s">
        <v>129</v>
      </c>
      <c r="BD362" s="9" t="n">
        <v>45596</v>
      </c>
      <c r="BE362" s="9" t="n">
        <v>45779</v>
      </c>
      <c r="BI362" s="5"/>
      <c r="BJ362" s="5" t="n">
        <v>2023</v>
      </c>
      <c r="BK362" s="5" t="s">
        <v>1070</v>
      </c>
    </row>
    <row r="363" customFormat="false" ht="16.5" hidden="false" customHeight="true" outlineLevel="0" collapsed="false">
      <c r="A363" s="5" t="s">
        <v>1690</v>
      </c>
      <c r="C363" s="5"/>
      <c r="D363" s="5" t="s">
        <v>62</v>
      </c>
      <c r="E363" s="5" t="n">
        <v>137978</v>
      </c>
      <c r="F363" s="5" t="n">
        <v>137978</v>
      </c>
      <c r="G363" s="5" t="s">
        <v>147</v>
      </c>
      <c r="H363" s="6" t="n">
        <v>150396</v>
      </c>
      <c r="I363" s="6" t="n">
        <v>150396</v>
      </c>
      <c r="J363" s="7" t="n">
        <v>137978</v>
      </c>
      <c r="K363" s="7" t="n">
        <v>137978</v>
      </c>
      <c r="L363" s="5" t="s">
        <v>84</v>
      </c>
      <c r="M363" s="5" t="s">
        <v>65</v>
      </c>
      <c r="N363" s="5"/>
      <c r="V363" s="5" t="s">
        <v>1691</v>
      </c>
      <c r="X363" s="5"/>
      <c r="Y363" s="5" t="s">
        <v>73</v>
      </c>
      <c r="AI363" s="9" t="n">
        <v>45292</v>
      </c>
      <c r="AL363" s="5" t="n">
        <v>150396</v>
      </c>
      <c r="AM363" s="5" t="s">
        <v>153</v>
      </c>
      <c r="AN363" s="5"/>
      <c r="AQ363" s="5" t="s">
        <v>77</v>
      </c>
      <c r="AR363" s="5" t="s">
        <v>151</v>
      </c>
      <c r="AS363" s="5" t="s">
        <v>73</v>
      </c>
      <c r="AT363" s="5" t="s">
        <v>105</v>
      </c>
      <c r="AU363" s="10" t="s">
        <v>106</v>
      </c>
      <c r="AW363" s="5" t="s">
        <v>94</v>
      </c>
      <c r="AX363" s="10" t="str">
        <f aca="false">IFERROR(INDEX('full database 2024'!ar:ar, MATCH(A363, 'full database 2024'!b:b, 0)), "")</f>
        <v/>
      </c>
      <c r="AY363" s="5" t="s">
        <v>297</v>
      </c>
      <c r="AZ363" s="5" t="s">
        <v>188</v>
      </c>
      <c r="BD363" s="9" t="n">
        <v>45596</v>
      </c>
      <c r="BE363" s="9" t="n">
        <v>45596</v>
      </c>
      <c r="BJ363" s="5" t="n">
        <v>2024</v>
      </c>
      <c r="BK363" s="5"/>
    </row>
    <row r="364" customFormat="false" ht="16.5" hidden="false" customHeight="true" outlineLevel="0" collapsed="false">
      <c r="A364" s="5" t="s">
        <v>1692</v>
      </c>
      <c r="B364" s="5" t="s">
        <v>1693</v>
      </c>
      <c r="C364" s="5"/>
      <c r="D364" s="5" t="s">
        <v>62</v>
      </c>
      <c r="E364" s="16" t="n">
        <v>137000</v>
      </c>
      <c r="F364" s="16" t="n">
        <v>109589</v>
      </c>
      <c r="G364" s="5" t="s">
        <v>132</v>
      </c>
      <c r="H364" s="6" t="n">
        <v>161660</v>
      </c>
      <c r="I364" s="6" t="n">
        <v>129315</v>
      </c>
      <c r="J364" s="7" t="n">
        <f aca="false">E364*1.19</f>
        <v>163030</v>
      </c>
      <c r="K364" s="7" t="n">
        <f aca="false">F364*1.19</f>
        <v>130410.91</v>
      </c>
      <c r="L364" s="5" t="s">
        <v>84</v>
      </c>
      <c r="M364" s="5" t="s">
        <v>65</v>
      </c>
      <c r="N364" s="8" t="s">
        <v>1694</v>
      </c>
      <c r="O364" s="5" t="s">
        <v>1695</v>
      </c>
      <c r="P364" s="5"/>
      <c r="Q364" s="5"/>
      <c r="R364" s="5" t="s">
        <v>670</v>
      </c>
      <c r="V364" s="5" t="s">
        <v>931</v>
      </c>
      <c r="W364" s="5" t="s">
        <v>90</v>
      </c>
      <c r="X364" s="5" t="s">
        <v>139</v>
      </c>
      <c r="Y364" s="5" t="s">
        <v>73</v>
      </c>
      <c r="AD364" s="5" t="s">
        <v>1696</v>
      </c>
      <c r="AE364" s="5" t="s">
        <v>117</v>
      </c>
      <c r="AI364" s="9" t="n">
        <v>44197</v>
      </c>
      <c r="AJ364" s="5" t="n">
        <v>1.5</v>
      </c>
      <c r="AK364" s="5" t="s">
        <v>75</v>
      </c>
      <c r="AL364" s="5" t="n">
        <v>107773</v>
      </c>
      <c r="AM364" s="5" t="s">
        <v>140</v>
      </c>
      <c r="AN364" s="5" t="s">
        <v>699</v>
      </c>
      <c r="AQ364" s="5" t="s">
        <v>77</v>
      </c>
      <c r="AR364" s="5" t="s">
        <v>143</v>
      </c>
      <c r="AS364" s="5" t="s">
        <v>73</v>
      </c>
      <c r="AT364" s="5" t="s">
        <v>78</v>
      </c>
      <c r="AW364" s="5" t="s">
        <v>94</v>
      </c>
      <c r="AX364" s="10" t="str">
        <f aca="false">IFERROR(INDEX('full database 2024'!ar:ar, MATCH(A364, 'full database 2024'!b:b, 0)), "")</f>
        <v/>
      </c>
      <c r="AZ364" s="5" t="s">
        <v>188</v>
      </c>
      <c r="BD364" s="9" t="n">
        <v>45377</v>
      </c>
      <c r="BE364" s="9" t="n">
        <v>45779</v>
      </c>
      <c r="BI364" s="5" t="s">
        <v>81</v>
      </c>
      <c r="BJ364" s="5" t="n">
        <v>2021</v>
      </c>
    </row>
    <row r="365" customFormat="false" ht="16.5" hidden="false" customHeight="true" outlineLevel="0" collapsed="false">
      <c r="A365" s="5" t="s">
        <v>1697</v>
      </c>
      <c r="B365" s="5" t="s">
        <v>1698</v>
      </c>
      <c r="C365" s="5"/>
      <c r="D365" s="5" t="s">
        <v>62</v>
      </c>
      <c r="E365" s="16" t="n">
        <v>135500</v>
      </c>
      <c r="F365" s="16" t="n">
        <v>108375</v>
      </c>
      <c r="G365" s="5" t="s">
        <v>132</v>
      </c>
      <c r="H365" s="6" t="n">
        <v>159890</v>
      </c>
      <c r="I365" s="6" t="n">
        <v>127883</v>
      </c>
      <c r="J365" s="7" t="n">
        <f aca="false">E365*1.19</f>
        <v>161245</v>
      </c>
      <c r="K365" s="7" t="n">
        <f aca="false">F365*1.19</f>
        <v>128966.25</v>
      </c>
      <c r="L365" s="5" t="s">
        <v>84</v>
      </c>
      <c r="M365" s="5" t="s">
        <v>65</v>
      </c>
      <c r="N365" s="8" t="s">
        <v>1699</v>
      </c>
      <c r="O365" s="5" t="s">
        <v>1700</v>
      </c>
      <c r="P365" s="5"/>
      <c r="Q365" s="5"/>
      <c r="R365" s="5" t="s">
        <v>670</v>
      </c>
      <c r="T365" s="5" t="s">
        <v>1701</v>
      </c>
      <c r="V365" s="5" t="s">
        <v>1702</v>
      </c>
      <c r="W365" s="5" t="s">
        <v>102</v>
      </c>
      <c r="X365" s="5" t="s">
        <v>139</v>
      </c>
      <c r="Y365" s="5" t="s">
        <v>73</v>
      </c>
      <c r="AD365" s="5" t="s">
        <v>1703</v>
      </c>
      <c r="AE365" s="5" t="s">
        <v>74</v>
      </c>
      <c r="AI365" s="9" t="n">
        <v>44197</v>
      </c>
      <c r="AJ365" s="5" t="n">
        <v>0.5</v>
      </c>
      <c r="AK365" s="5" t="s">
        <v>75</v>
      </c>
      <c r="AL365" s="5" t="n">
        <v>159890</v>
      </c>
      <c r="AM365" s="5" t="s">
        <v>140</v>
      </c>
      <c r="AN365" s="5" t="s">
        <v>699</v>
      </c>
      <c r="AQ365" s="5" t="s">
        <v>77</v>
      </c>
      <c r="AR365" s="5" t="s">
        <v>143</v>
      </c>
      <c r="AS365" s="5" t="s">
        <v>73</v>
      </c>
      <c r="AT365" s="5" t="s">
        <v>105</v>
      </c>
      <c r="AU365" s="10" t="s">
        <v>186</v>
      </c>
      <c r="AW365" s="5" t="s">
        <v>94</v>
      </c>
      <c r="AX365" s="10" t="str">
        <f aca="false">IFERROR(INDEX('full database 2024'!ar:ar, MATCH(A365, 'full database 2024'!b:b, 0)), "")</f>
        <v/>
      </c>
      <c r="AZ365" s="5" t="s">
        <v>1704</v>
      </c>
      <c r="BD365" s="9" t="n">
        <v>45377</v>
      </c>
      <c r="BE365" s="9" t="n">
        <v>45779</v>
      </c>
      <c r="BI365" s="5" t="s">
        <v>81</v>
      </c>
      <c r="BJ365" s="5" t="n">
        <v>2021</v>
      </c>
    </row>
    <row r="366" customFormat="false" ht="16.5" hidden="false" customHeight="true" outlineLevel="0" collapsed="false">
      <c r="A366" s="5" t="s">
        <v>1705</v>
      </c>
      <c r="B366" s="5" t="s">
        <v>920</v>
      </c>
      <c r="C366" s="5"/>
      <c r="D366" s="5" t="s">
        <v>62</v>
      </c>
      <c r="E366" s="5" t="n">
        <v>134393</v>
      </c>
      <c r="F366" s="5" t="n">
        <v>134393</v>
      </c>
      <c r="G366" s="5" t="s">
        <v>147</v>
      </c>
      <c r="H366" s="6" t="n">
        <v>145209</v>
      </c>
      <c r="I366" s="6" t="n">
        <v>145209</v>
      </c>
      <c r="J366" s="7" t="n">
        <v>134393</v>
      </c>
      <c r="K366" s="7" t="n">
        <v>134393</v>
      </c>
      <c r="L366" s="5" t="s">
        <v>84</v>
      </c>
      <c r="M366" s="5"/>
      <c r="N366" s="8" t="s">
        <v>1706</v>
      </c>
      <c r="O366" s="5" t="s">
        <v>1707</v>
      </c>
      <c r="P366" s="5"/>
      <c r="Q366" s="5"/>
      <c r="R366" s="5"/>
      <c r="T366" s="5"/>
      <c r="V366" s="5"/>
      <c r="W366" s="5"/>
      <c r="X366" s="5"/>
      <c r="Y366" s="5" t="s">
        <v>73</v>
      </c>
      <c r="AD366" s="5"/>
      <c r="AE366" s="5"/>
      <c r="AI366" s="9" t="n">
        <v>45214</v>
      </c>
      <c r="AJ366" s="5"/>
      <c r="AK366" s="5"/>
      <c r="AL366" s="5" t="n">
        <v>145209</v>
      </c>
      <c r="AM366" s="5" t="s">
        <v>153</v>
      </c>
      <c r="AN366" s="5"/>
      <c r="AQ366" s="5" t="s">
        <v>77</v>
      </c>
      <c r="AR366" s="5" t="s">
        <v>151</v>
      </c>
      <c r="AS366" s="5" t="s">
        <v>73</v>
      </c>
      <c r="AT366" s="5" t="s">
        <v>78</v>
      </c>
      <c r="AW366" s="5" t="s">
        <v>94</v>
      </c>
      <c r="AX366" s="10" t="str">
        <f aca="false">IFERROR(INDEX('full database 2024'!ar:ar, MATCH(A366, 'full database 2024'!b:b, 0)), "")</f>
        <v/>
      </c>
      <c r="AZ366" s="5" t="s">
        <v>129</v>
      </c>
      <c r="BD366" s="9" t="n">
        <v>45671</v>
      </c>
      <c r="BE366" s="9" t="n">
        <v>45779</v>
      </c>
      <c r="BI366" s="5"/>
      <c r="BJ366" s="5" t="n">
        <v>2023</v>
      </c>
      <c r="BK366" s="5" t="s">
        <v>1642</v>
      </c>
    </row>
    <row r="367" customFormat="false" ht="16.5" hidden="false" customHeight="true" outlineLevel="0" collapsed="false">
      <c r="A367" s="5" t="s">
        <v>1708</v>
      </c>
      <c r="B367" s="5"/>
      <c r="C367" s="5"/>
      <c r="D367" s="5" t="s">
        <v>62</v>
      </c>
      <c r="E367" s="5" t="n">
        <v>133944</v>
      </c>
      <c r="F367" s="5" t="n">
        <v>133944</v>
      </c>
      <c r="G367" s="5" t="s">
        <v>147</v>
      </c>
      <c r="H367" s="6" t="n">
        <v>145999</v>
      </c>
      <c r="I367" s="6" t="n">
        <v>145999</v>
      </c>
      <c r="J367" s="7" t="n">
        <v>133944</v>
      </c>
      <c r="K367" s="7" t="n">
        <v>133944</v>
      </c>
      <c r="L367" s="5" t="s">
        <v>84</v>
      </c>
      <c r="M367" s="5" t="s">
        <v>65</v>
      </c>
      <c r="N367" s="8" t="s">
        <v>1709</v>
      </c>
      <c r="O367" s="5"/>
      <c r="V367" s="5" t="s">
        <v>1710</v>
      </c>
      <c r="X367" s="5" t="s">
        <v>151</v>
      </c>
      <c r="Y367" s="5" t="s">
        <v>73</v>
      </c>
      <c r="AI367" s="9" t="n">
        <v>45397</v>
      </c>
      <c r="AL367" s="5" t="n">
        <v>145999</v>
      </c>
      <c r="AM367" s="5" t="s">
        <v>153</v>
      </c>
      <c r="AN367" s="5"/>
      <c r="AQ367" s="5" t="s">
        <v>77</v>
      </c>
      <c r="AR367" s="5" t="s">
        <v>151</v>
      </c>
      <c r="AS367" s="5" t="s">
        <v>73</v>
      </c>
      <c r="AT367" s="5" t="s">
        <v>78</v>
      </c>
      <c r="AU367" s="10" t="s">
        <v>259</v>
      </c>
      <c r="AW367" s="5" t="s">
        <v>94</v>
      </c>
      <c r="AX367" s="10" t="str">
        <f aca="false">IFERROR(INDEX('full database 2024'!ar:ar, MATCH(A367, 'full database 2024'!b:b, 0)), "")</f>
        <v/>
      </c>
      <c r="AZ367" s="5" t="s">
        <v>129</v>
      </c>
      <c r="BD367" s="9" t="n">
        <v>45596</v>
      </c>
      <c r="BE367" s="9" t="n">
        <v>45779</v>
      </c>
      <c r="BJ367" s="5" t="n">
        <v>2024</v>
      </c>
      <c r="BK367" s="5" t="s">
        <v>1039</v>
      </c>
    </row>
    <row r="368" customFormat="false" ht="16.5" hidden="false" customHeight="true" outlineLevel="0" collapsed="false">
      <c r="A368" s="5" t="s">
        <v>1711</v>
      </c>
      <c r="B368" s="5" t="s">
        <v>1712</v>
      </c>
      <c r="C368" s="5"/>
      <c r="D368" s="5" t="s">
        <v>62</v>
      </c>
      <c r="E368" s="16" t="n">
        <v>112032</v>
      </c>
      <c r="F368" s="16" t="n">
        <v>112032</v>
      </c>
      <c r="G368" s="5" t="s">
        <v>132</v>
      </c>
      <c r="H368" s="6" t="n">
        <v>156892</v>
      </c>
      <c r="I368" s="6" t="n">
        <v>156891</v>
      </c>
      <c r="J368" s="7" t="n">
        <f aca="false">E368*1.19</f>
        <v>133318.08</v>
      </c>
      <c r="K368" s="7" t="n">
        <f aca="false">F368*1.19</f>
        <v>133318.08</v>
      </c>
      <c r="L368" s="5" t="s">
        <v>84</v>
      </c>
      <c r="M368" s="5" t="s">
        <v>65</v>
      </c>
      <c r="N368" s="8" t="s">
        <v>1713</v>
      </c>
      <c r="O368" s="5" t="s">
        <v>1714</v>
      </c>
      <c r="T368" s="5" t="s">
        <v>671</v>
      </c>
      <c r="V368" s="5" t="s">
        <v>1715</v>
      </c>
      <c r="W368" s="5" t="s">
        <v>102</v>
      </c>
      <c r="X368" s="5" t="s">
        <v>139</v>
      </c>
      <c r="Y368" s="5" t="s">
        <v>73</v>
      </c>
      <c r="AE368" s="5" t="s">
        <v>117</v>
      </c>
      <c r="AI368" s="9" t="n">
        <v>44197</v>
      </c>
      <c r="AL368" s="5" t="n">
        <v>156892</v>
      </c>
      <c r="AM368" s="5" t="s">
        <v>140</v>
      </c>
      <c r="AN368" s="5" t="s">
        <v>699</v>
      </c>
      <c r="AQ368" s="5" t="s">
        <v>77</v>
      </c>
      <c r="AR368" s="5" t="s">
        <v>143</v>
      </c>
      <c r="AS368" s="5" t="s">
        <v>73</v>
      </c>
      <c r="AT368" s="5" t="s">
        <v>374</v>
      </c>
      <c r="AW368" s="5" t="s">
        <v>94</v>
      </c>
      <c r="AX368" s="10" t="str">
        <f aca="false">IFERROR(INDEX('full database 2024'!ar:ar, MATCH(A368, 'full database 2024'!b:b, 0)), "")</f>
        <v/>
      </c>
      <c r="AZ368" s="5" t="s">
        <v>534</v>
      </c>
      <c r="BD368" s="9" t="n">
        <v>45377</v>
      </c>
      <c r="BE368" s="9" t="n">
        <v>45779</v>
      </c>
      <c r="BI368" s="5" t="s">
        <v>81</v>
      </c>
      <c r="BJ368" s="5" t="n">
        <v>2021</v>
      </c>
      <c r="BK368" s="11" t="n">
        <v>44199</v>
      </c>
    </row>
    <row r="369" customFormat="false" ht="16.5" hidden="false" customHeight="true" outlineLevel="0" collapsed="false">
      <c r="A369" s="5" t="s">
        <v>1716</v>
      </c>
      <c r="B369" s="5"/>
      <c r="C369" s="5"/>
      <c r="D369" s="5" t="s">
        <v>62</v>
      </c>
      <c r="E369" s="5" t="n">
        <v>131312</v>
      </c>
      <c r="F369" s="5" t="n">
        <v>131312</v>
      </c>
      <c r="G369" s="5" t="s">
        <v>147</v>
      </c>
      <c r="H369" s="6" t="n">
        <v>143130</v>
      </c>
      <c r="I369" s="6" t="n">
        <v>143130</v>
      </c>
      <c r="J369" s="7" t="n">
        <v>131312</v>
      </c>
      <c r="K369" s="7" t="n">
        <v>131312</v>
      </c>
      <c r="L369" s="5" t="s">
        <v>84</v>
      </c>
      <c r="M369" s="5" t="s">
        <v>65</v>
      </c>
      <c r="N369" s="5"/>
      <c r="O369" s="5"/>
      <c r="T369" s="5"/>
      <c r="V369" s="5" t="s">
        <v>1717</v>
      </c>
      <c r="W369" s="5"/>
      <c r="X369" s="5"/>
      <c r="Y369" s="5" t="s">
        <v>73</v>
      </c>
      <c r="AE369" s="5"/>
      <c r="AI369" s="9" t="n">
        <v>44931</v>
      </c>
      <c r="AL369" s="5" t="n">
        <v>143130</v>
      </c>
      <c r="AM369" s="5" t="s">
        <v>153</v>
      </c>
      <c r="AN369" s="5"/>
      <c r="AQ369" s="5" t="s">
        <v>77</v>
      </c>
      <c r="AR369" s="5" t="s">
        <v>151</v>
      </c>
      <c r="AS369" s="5" t="s">
        <v>73</v>
      </c>
      <c r="AT369" s="5" t="s">
        <v>78</v>
      </c>
      <c r="AW369" s="5" t="s">
        <v>94</v>
      </c>
      <c r="AX369" s="10" t="str">
        <f aca="false">IFERROR(INDEX('full database 2024'!ar:ar, MATCH(A369, 'full database 2024'!b:b, 0)), "")</f>
        <v/>
      </c>
      <c r="AZ369" s="5" t="s">
        <v>309</v>
      </c>
      <c r="BD369" s="9" t="n">
        <v>45596</v>
      </c>
      <c r="BE369" s="9" t="n">
        <v>45596</v>
      </c>
      <c r="BI369" s="5"/>
      <c r="BJ369" s="5" t="n">
        <v>2023</v>
      </c>
      <c r="BK369" s="11"/>
    </row>
    <row r="370" customFormat="false" ht="16.5" hidden="false" customHeight="true" outlineLevel="0" collapsed="false">
      <c r="A370" s="5" t="s">
        <v>1718</v>
      </c>
      <c r="B370" s="5" t="s">
        <v>920</v>
      </c>
      <c r="C370" s="5"/>
      <c r="D370" s="5" t="s">
        <v>62</v>
      </c>
      <c r="E370" s="5" t="n">
        <v>131207</v>
      </c>
      <c r="F370" s="5" t="n">
        <v>131207</v>
      </c>
      <c r="G370" s="5" t="s">
        <v>147</v>
      </c>
      <c r="H370" s="6" t="n">
        <v>141764</v>
      </c>
      <c r="I370" s="6" t="n">
        <v>141764</v>
      </c>
      <c r="J370" s="7" t="n">
        <v>131207</v>
      </c>
      <c r="K370" s="7" t="n">
        <v>131207</v>
      </c>
      <c r="L370" s="5" t="s">
        <v>84</v>
      </c>
      <c r="M370" s="5"/>
      <c r="N370" s="8" t="s">
        <v>1719</v>
      </c>
      <c r="O370" s="5" t="s">
        <v>1720</v>
      </c>
      <c r="V370" s="5"/>
      <c r="Y370" s="5" t="s">
        <v>73</v>
      </c>
      <c r="AI370" s="9" t="n">
        <v>45352</v>
      </c>
      <c r="AL370" s="5" t="n">
        <v>141764</v>
      </c>
      <c r="AM370" s="5" t="s">
        <v>153</v>
      </c>
      <c r="AN370" s="5"/>
      <c r="AQ370" s="5" t="s">
        <v>77</v>
      </c>
      <c r="AR370" s="5" t="s">
        <v>151</v>
      </c>
      <c r="AS370" s="5" t="s">
        <v>73</v>
      </c>
      <c r="AT370" s="5" t="s">
        <v>105</v>
      </c>
      <c r="AU370" s="10" t="s">
        <v>186</v>
      </c>
      <c r="AV370" s="10"/>
      <c r="AW370" s="5" t="s">
        <v>94</v>
      </c>
      <c r="AX370" s="10" t="str">
        <f aca="false">IFERROR(INDEX('full database 2024'!ar:ar, MATCH(A370, 'full database 2024'!b:b, 0)), "")</f>
        <v/>
      </c>
      <c r="AZ370" s="5" t="s">
        <v>107</v>
      </c>
      <c r="BD370" s="9" t="n">
        <v>45671</v>
      </c>
      <c r="BE370" s="9" t="n">
        <v>45779</v>
      </c>
      <c r="BJ370" s="5" t="n">
        <v>2024</v>
      </c>
      <c r="BK370" s="5" t="s">
        <v>1283</v>
      </c>
    </row>
    <row r="371" customFormat="false" ht="16.5" hidden="false" customHeight="true" outlineLevel="0" collapsed="false">
      <c r="A371" s="5" t="s">
        <v>1634</v>
      </c>
      <c r="C371" s="5"/>
      <c r="D371" s="5" t="s">
        <v>62</v>
      </c>
      <c r="E371" s="5" t="n">
        <v>130030</v>
      </c>
      <c r="F371" s="5" t="n">
        <v>130030</v>
      </c>
      <c r="G371" s="5" t="s">
        <v>147</v>
      </c>
      <c r="H371" s="6" t="n">
        <v>141733</v>
      </c>
      <c r="I371" s="6" t="n">
        <v>141733</v>
      </c>
      <c r="J371" s="7" t="n">
        <v>130030</v>
      </c>
      <c r="K371" s="7" t="n">
        <v>130030</v>
      </c>
      <c r="L371" s="5" t="s">
        <v>84</v>
      </c>
      <c r="M371" s="5" t="s">
        <v>65</v>
      </c>
      <c r="N371" s="5"/>
      <c r="V371" s="5" t="s">
        <v>1721</v>
      </c>
      <c r="W371" s="5"/>
      <c r="X371" s="5"/>
      <c r="Y371" s="5" t="s">
        <v>73</v>
      </c>
      <c r="AE371" s="5"/>
      <c r="AI371" s="9" t="n">
        <v>44440</v>
      </c>
      <c r="AL371" s="5" t="n">
        <v>141733</v>
      </c>
      <c r="AM371" s="5" t="s">
        <v>924</v>
      </c>
      <c r="AN371" s="5"/>
      <c r="AQ371" s="5" t="s">
        <v>77</v>
      </c>
      <c r="AR371" s="5" t="s">
        <v>151</v>
      </c>
      <c r="AS371" s="5" t="s">
        <v>73</v>
      </c>
      <c r="AT371" s="5" t="s">
        <v>78</v>
      </c>
      <c r="AW371" s="5" t="s">
        <v>94</v>
      </c>
      <c r="AX371" s="10" t="str">
        <f aca="false">IFERROR(INDEX('full database 2024'!ar:ar, MATCH(A371, 'full database 2024'!b:b, 0)), "")</f>
        <v/>
      </c>
      <c r="AZ371" s="5" t="s">
        <v>129</v>
      </c>
      <c r="BD371" s="9" t="n">
        <v>45596</v>
      </c>
      <c r="BE371" s="9" t="n">
        <v>45596</v>
      </c>
      <c r="BI371" s="5"/>
      <c r="BJ371" s="5" t="n">
        <v>2021</v>
      </c>
      <c r="BK371" s="11"/>
    </row>
    <row r="372" customFormat="false" ht="16.5" hidden="false" customHeight="true" outlineLevel="0" collapsed="false">
      <c r="A372" s="5" t="s">
        <v>1722</v>
      </c>
      <c r="B372" s="5" t="s">
        <v>1723</v>
      </c>
      <c r="C372" s="5"/>
      <c r="D372" s="5" t="s">
        <v>62</v>
      </c>
      <c r="E372" s="16" t="n">
        <v>125000</v>
      </c>
      <c r="F372" s="16" t="n">
        <v>100000</v>
      </c>
      <c r="G372" s="5" t="s">
        <v>132</v>
      </c>
      <c r="H372" s="6" t="n">
        <v>131250</v>
      </c>
      <c r="I372" s="6" t="n">
        <v>105000</v>
      </c>
      <c r="J372" s="7" t="n">
        <f aca="false">E372*1.19</f>
        <v>148750</v>
      </c>
      <c r="K372" s="7" t="n">
        <f aca="false">F372*1.19</f>
        <v>119000</v>
      </c>
      <c r="L372" s="5" t="s">
        <v>84</v>
      </c>
      <c r="M372" s="5" t="s">
        <v>65</v>
      </c>
      <c r="N372" s="8" t="s">
        <v>1724</v>
      </c>
      <c r="O372" s="5" t="s">
        <v>1725</v>
      </c>
      <c r="P372" s="5"/>
      <c r="Q372" s="5"/>
      <c r="R372" s="5" t="s">
        <v>670</v>
      </c>
      <c r="T372" s="5" t="s">
        <v>1726</v>
      </c>
      <c r="V372" s="5" t="s">
        <v>1727</v>
      </c>
      <c r="W372" s="5" t="s">
        <v>90</v>
      </c>
      <c r="X372" s="5" t="s">
        <v>139</v>
      </c>
      <c r="Y372" s="5" t="s">
        <v>73</v>
      </c>
      <c r="AE372" s="5" t="s">
        <v>117</v>
      </c>
      <c r="AI372" s="9" t="n">
        <v>44562</v>
      </c>
      <c r="AJ372" s="5" t="n">
        <v>4</v>
      </c>
      <c r="AK372" s="5" t="s">
        <v>75</v>
      </c>
      <c r="AL372" s="5" t="n">
        <v>32813</v>
      </c>
      <c r="AM372" s="5" t="s">
        <v>140</v>
      </c>
      <c r="AN372" s="5" t="s">
        <v>141</v>
      </c>
      <c r="AQ372" s="5" t="s">
        <v>77</v>
      </c>
      <c r="AR372" s="5" t="s">
        <v>143</v>
      </c>
      <c r="AS372" s="5" t="s">
        <v>73</v>
      </c>
      <c r="AT372" s="5" t="s">
        <v>105</v>
      </c>
      <c r="AU372" s="10" t="s">
        <v>106</v>
      </c>
      <c r="AW372" s="5" t="s">
        <v>201</v>
      </c>
      <c r="AX372" s="10" t="str">
        <f aca="false">IFERROR(INDEX('full database 2024'!ar:ar, MATCH(A372, 'full database 2024'!b:b, 0)), "")</f>
        <v/>
      </c>
      <c r="AZ372" s="5" t="s">
        <v>121</v>
      </c>
      <c r="BD372" s="9" t="n">
        <v>45377</v>
      </c>
      <c r="BE372" s="9" t="n">
        <v>45779</v>
      </c>
      <c r="BI372" s="5" t="s">
        <v>81</v>
      </c>
      <c r="BJ372" s="5" t="n">
        <v>2022</v>
      </c>
    </row>
    <row r="373" customFormat="false" ht="16.5" hidden="false" customHeight="true" outlineLevel="0" collapsed="false">
      <c r="A373" s="5" t="s">
        <v>1728</v>
      </c>
      <c r="B373" s="5"/>
      <c r="C373" s="5"/>
      <c r="D373" s="5" t="s">
        <v>62</v>
      </c>
      <c r="E373" s="16" t="n">
        <v>125000</v>
      </c>
      <c r="F373" s="16" t="n">
        <v>100000</v>
      </c>
      <c r="G373" s="5" t="s">
        <v>132</v>
      </c>
      <c r="H373" s="6" t="n">
        <v>131250</v>
      </c>
      <c r="I373" s="6" t="n">
        <v>105000</v>
      </c>
      <c r="J373" s="7" t="n">
        <f aca="false">E373*1.19</f>
        <v>148750</v>
      </c>
      <c r="K373" s="7" t="n">
        <f aca="false">F373*1.19</f>
        <v>119000</v>
      </c>
      <c r="L373" s="5" t="s">
        <v>84</v>
      </c>
      <c r="M373" s="5" t="s">
        <v>65</v>
      </c>
      <c r="N373" s="8" t="s">
        <v>1729</v>
      </c>
      <c r="O373" s="5" t="s">
        <v>1730</v>
      </c>
      <c r="P373" s="5"/>
      <c r="Q373" s="5"/>
      <c r="R373" s="5" t="s">
        <v>670</v>
      </c>
      <c r="T373" s="5" t="s">
        <v>1731</v>
      </c>
      <c r="V373" s="5" t="s">
        <v>1732</v>
      </c>
      <c r="W373" s="5" t="s">
        <v>90</v>
      </c>
      <c r="X373" s="5" t="s">
        <v>139</v>
      </c>
      <c r="Y373" s="5" t="s">
        <v>73</v>
      </c>
      <c r="AE373" s="5" t="s">
        <v>117</v>
      </c>
      <c r="AI373" s="9" t="n">
        <v>44562</v>
      </c>
      <c r="AJ373" s="5" t="n">
        <v>4</v>
      </c>
      <c r="AK373" s="5" t="s">
        <v>75</v>
      </c>
      <c r="AL373" s="5" t="n">
        <v>32813</v>
      </c>
      <c r="AM373" s="5" t="s">
        <v>140</v>
      </c>
      <c r="AN373" s="5" t="s">
        <v>199</v>
      </c>
      <c r="AQ373" s="5" t="s">
        <v>77</v>
      </c>
      <c r="AR373" s="5" t="s">
        <v>143</v>
      </c>
      <c r="AS373" s="5" t="s">
        <v>73</v>
      </c>
      <c r="AT373" s="5" t="s">
        <v>374</v>
      </c>
      <c r="AW373" s="5" t="s">
        <v>201</v>
      </c>
      <c r="AX373" s="10" t="str">
        <f aca="false">IFERROR(INDEX('full database 2024'!ar:ar, MATCH(A373, 'full database 2024'!b:b, 0)), "")</f>
        <v/>
      </c>
      <c r="AZ373" s="5" t="s">
        <v>121</v>
      </c>
      <c r="BD373" s="9" t="n">
        <v>45377</v>
      </c>
      <c r="BE373" s="9" t="n">
        <v>45779</v>
      </c>
      <c r="BI373" s="5" t="s">
        <v>81</v>
      </c>
      <c r="BJ373" s="5" t="n">
        <v>2022</v>
      </c>
    </row>
    <row r="374" customFormat="false" ht="16.5" hidden="false" customHeight="true" outlineLevel="0" collapsed="false">
      <c r="A374" s="5" t="s">
        <v>1733</v>
      </c>
      <c r="B374" s="5" t="s">
        <v>1734</v>
      </c>
      <c r="C374" s="5"/>
      <c r="D374" s="5" t="s">
        <v>62</v>
      </c>
      <c r="E374" s="16" t="n">
        <v>125000</v>
      </c>
      <c r="F374" s="16" t="n">
        <v>100000</v>
      </c>
      <c r="G374" s="5" t="s">
        <v>132</v>
      </c>
      <c r="H374" s="6" t="n">
        <v>131250</v>
      </c>
      <c r="I374" s="6" t="n">
        <v>105000</v>
      </c>
      <c r="J374" s="7" t="n">
        <f aca="false">E374*1.19</f>
        <v>148750</v>
      </c>
      <c r="K374" s="7" t="n">
        <f aca="false">F374*1.19</f>
        <v>119000</v>
      </c>
      <c r="L374" s="5" t="s">
        <v>84</v>
      </c>
      <c r="M374" s="5" t="s">
        <v>65</v>
      </c>
      <c r="N374" s="8" t="s">
        <v>1735</v>
      </c>
      <c r="O374" s="5" t="s">
        <v>1736</v>
      </c>
      <c r="P374" s="5"/>
      <c r="Q374" s="5"/>
      <c r="R374" s="5" t="s">
        <v>670</v>
      </c>
      <c r="T374" s="5" t="s">
        <v>1737</v>
      </c>
      <c r="V374" s="5" t="s">
        <v>688</v>
      </c>
      <c r="W374" s="5" t="s">
        <v>90</v>
      </c>
      <c r="X374" s="5" t="s">
        <v>139</v>
      </c>
      <c r="Y374" s="5" t="s">
        <v>73</v>
      </c>
      <c r="AE374" s="5" t="s">
        <v>117</v>
      </c>
      <c r="AI374" s="9" t="n">
        <v>44562</v>
      </c>
      <c r="AJ374" s="5" t="n">
        <v>4</v>
      </c>
      <c r="AK374" s="5" t="s">
        <v>75</v>
      </c>
      <c r="AL374" s="5" t="n">
        <v>32813</v>
      </c>
      <c r="AM374" s="5" t="s">
        <v>140</v>
      </c>
      <c r="AN374" s="5" t="s">
        <v>141</v>
      </c>
      <c r="AQ374" s="5" t="s">
        <v>77</v>
      </c>
      <c r="AR374" s="5" t="s">
        <v>143</v>
      </c>
      <c r="AS374" s="5" t="s">
        <v>73</v>
      </c>
      <c r="AT374" s="5" t="s">
        <v>78</v>
      </c>
      <c r="AW374" s="5" t="s">
        <v>201</v>
      </c>
      <c r="AX374" s="10" t="str">
        <f aca="false">IFERROR(INDEX('full database 2024'!ar:ar, MATCH(A374, 'full database 2024'!b:b, 0)), "")</f>
        <v/>
      </c>
      <c r="AZ374" s="5" t="s">
        <v>188</v>
      </c>
      <c r="BD374" s="9" t="n">
        <v>45377</v>
      </c>
      <c r="BE374" s="9" t="n">
        <v>45779</v>
      </c>
      <c r="BI374" s="5" t="s">
        <v>81</v>
      </c>
      <c r="BJ374" s="5" t="n">
        <v>2022</v>
      </c>
    </row>
    <row r="375" customFormat="false" ht="16.5" hidden="false" customHeight="true" outlineLevel="0" collapsed="false">
      <c r="A375" s="5" t="s">
        <v>1738</v>
      </c>
      <c r="B375" s="5" t="s">
        <v>1739</v>
      </c>
      <c r="C375" s="5"/>
      <c r="D375" s="5" t="s">
        <v>62</v>
      </c>
      <c r="E375" s="16" t="n">
        <v>125000</v>
      </c>
      <c r="F375" s="16" t="n">
        <v>100000</v>
      </c>
      <c r="G375" s="5" t="s">
        <v>132</v>
      </c>
      <c r="H375" s="6" t="n">
        <v>147500</v>
      </c>
      <c r="I375" s="6" t="n">
        <v>118000</v>
      </c>
      <c r="J375" s="7" t="n">
        <f aca="false">E375*1.19</f>
        <v>148750</v>
      </c>
      <c r="K375" s="7" t="n">
        <f aca="false">F375*1.19</f>
        <v>119000</v>
      </c>
      <c r="L375" s="5" t="s">
        <v>84</v>
      </c>
      <c r="M375" s="5" t="s">
        <v>65</v>
      </c>
      <c r="N375" s="8" t="s">
        <v>1740</v>
      </c>
      <c r="O375" s="5" t="s">
        <v>1741</v>
      </c>
      <c r="P375" s="5"/>
      <c r="Q375" s="5"/>
      <c r="R375" s="5" t="s">
        <v>670</v>
      </c>
      <c r="T375" s="5" t="s">
        <v>1742</v>
      </c>
      <c r="V375" s="5" t="s">
        <v>1139</v>
      </c>
      <c r="W375" s="5" t="s">
        <v>90</v>
      </c>
      <c r="X375" s="5" t="s">
        <v>139</v>
      </c>
      <c r="Y375" s="5" t="s">
        <v>73</v>
      </c>
      <c r="AE375" s="5" t="s">
        <v>117</v>
      </c>
      <c r="AI375" s="9" t="n">
        <v>44197</v>
      </c>
      <c r="AJ375" s="5" t="n">
        <v>4</v>
      </c>
      <c r="AK375" s="5" t="s">
        <v>75</v>
      </c>
      <c r="AL375" s="5" t="n">
        <v>36875</v>
      </c>
      <c r="AM375" s="5" t="s">
        <v>140</v>
      </c>
      <c r="AN375" s="5" t="s">
        <v>141</v>
      </c>
      <c r="AQ375" s="5" t="s">
        <v>77</v>
      </c>
      <c r="AR375" s="5" t="s">
        <v>143</v>
      </c>
      <c r="AS375" s="5" t="s">
        <v>73</v>
      </c>
      <c r="AT375" s="5" t="s">
        <v>78</v>
      </c>
      <c r="AW375" s="5" t="s">
        <v>201</v>
      </c>
      <c r="AX375" s="10" t="str">
        <f aca="false">IFERROR(INDEX('full database 2024'!ar:ar, MATCH(A375, 'full database 2024'!b:b, 0)), "")</f>
        <v/>
      </c>
      <c r="AY375" s="5" t="s">
        <v>447</v>
      </c>
      <c r="AZ375" s="5" t="s">
        <v>129</v>
      </c>
      <c r="BD375" s="9" t="n">
        <v>45377</v>
      </c>
      <c r="BE375" s="9" t="n">
        <v>45779</v>
      </c>
      <c r="BI375" s="5" t="s">
        <v>81</v>
      </c>
      <c r="BJ375" s="5" t="n">
        <v>2021</v>
      </c>
    </row>
    <row r="376" customFormat="false" ht="16.5" hidden="false" customHeight="true" outlineLevel="0" collapsed="false">
      <c r="A376" s="5" t="s">
        <v>1743</v>
      </c>
      <c r="B376" s="5" t="s">
        <v>1744</v>
      </c>
      <c r="C376" s="5"/>
      <c r="D376" s="5" t="s">
        <v>62</v>
      </c>
      <c r="E376" s="16" t="n">
        <v>125000</v>
      </c>
      <c r="F376" s="16" t="n">
        <v>100000</v>
      </c>
      <c r="G376" s="5" t="s">
        <v>132</v>
      </c>
      <c r="H376" s="6" t="n">
        <v>131250</v>
      </c>
      <c r="I376" s="6" t="n">
        <v>105000</v>
      </c>
      <c r="J376" s="7" t="n">
        <f aca="false">E376*1.19</f>
        <v>148750</v>
      </c>
      <c r="K376" s="7" t="n">
        <f aca="false">F376*1.19</f>
        <v>119000</v>
      </c>
      <c r="L376" s="5" t="s">
        <v>84</v>
      </c>
      <c r="M376" s="5" t="s">
        <v>65</v>
      </c>
      <c r="N376" s="8" t="s">
        <v>1745</v>
      </c>
      <c r="O376" s="5" t="s">
        <v>1746</v>
      </c>
      <c r="P376" s="5"/>
      <c r="Q376" s="5"/>
      <c r="R376" s="5" t="s">
        <v>670</v>
      </c>
      <c r="T376" s="5" t="s">
        <v>1747</v>
      </c>
      <c r="V376" s="5" t="s">
        <v>1748</v>
      </c>
      <c r="W376" s="5" t="s">
        <v>90</v>
      </c>
      <c r="X376" s="5" t="s">
        <v>139</v>
      </c>
      <c r="Y376" s="5" t="s">
        <v>73</v>
      </c>
      <c r="AE376" s="5" t="s">
        <v>117</v>
      </c>
      <c r="AI376" s="9" t="n">
        <v>44562</v>
      </c>
      <c r="AJ376" s="5" t="n">
        <v>4</v>
      </c>
      <c r="AK376" s="5" t="s">
        <v>75</v>
      </c>
      <c r="AL376" s="5" t="n">
        <v>32813</v>
      </c>
      <c r="AM376" s="5" t="s">
        <v>140</v>
      </c>
      <c r="AN376" s="5" t="s">
        <v>141</v>
      </c>
      <c r="AQ376" s="5" t="s">
        <v>77</v>
      </c>
      <c r="AR376" s="5" t="s">
        <v>143</v>
      </c>
      <c r="AS376" s="5" t="s">
        <v>73</v>
      </c>
      <c r="AT376" s="5" t="s">
        <v>78</v>
      </c>
      <c r="AW376" s="5" t="s">
        <v>201</v>
      </c>
      <c r="AX376" s="10" t="str">
        <f aca="false">IFERROR(INDEX('full database 2024'!ar:ar, MATCH(A376, 'full database 2024'!b:b, 0)), "")</f>
        <v/>
      </c>
      <c r="AZ376" s="5" t="s">
        <v>396</v>
      </c>
      <c r="BD376" s="9" t="n">
        <v>45377</v>
      </c>
      <c r="BE376" s="9" t="n">
        <v>45779</v>
      </c>
      <c r="BI376" s="5" t="s">
        <v>81</v>
      </c>
      <c r="BJ376" s="5" t="n">
        <v>2022</v>
      </c>
    </row>
    <row r="377" customFormat="false" ht="16.5" hidden="false" customHeight="true" outlineLevel="0" collapsed="false">
      <c r="A377" s="5" t="s">
        <v>1749</v>
      </c>
      <c r="B377" s="5" t="s">
        <v>1749</v>
      </c>
      <c r="C377" s="5"/>
      <c r="D377" s="5" t="s">
        <v>62</v>
      </c>
      <c r="E377" s="16" t="n">
        <v>125000</v>
      </c>
      <c r="F377" s="16" t="n">
        <v>100000</v>
      </c>
      <c r="G377" s="5" t="s">
        <v>132</v>
      </c>
      <c r="H377" s="6" t="n">
        <v>147500</v>
      </c>
      <c r="I377" s="6" t="n">
        <v>118000</v>
      </c>
      <c r="J377" s="7" t="n">
        <f aca="false">E377*1.19</f>
        <v>148750</v>
      </c>
      <c r="K377" s="7" t="n">
        <f aca="false">F377*1.19</f>
        <v>119000</v>
      </c>
      <c r="L377" s="5" t="s">
        <v>84</v>
      </c>
      <c r="M377" s="5" t="s">
        <v>65</v>
      </c>
      <c r="N377" s="8" t="s">
        <v>1750</v>
      </c>
      <c r="O377" s="5" t="s">
        <v>1751</v>
      </c>
      <c r="P377" s="5"/>
      <c r="Q377" s="5"/>
      <c r="R377" s="5" t="s">
        <v>670</v>
      </c>
      <c r="T377" s="5" t="s">
        <v>1752</v>
      </c>
      <c r="V377" s="5" t="s">
        <v>770</v>
      </c>
      <c r="W377" s="5" t="s">
        <v>90</v>
      </c>
      <c r="X377" s="5" t="s">
        <v>139</v>
      </c>
      <c r="Y377" s="5" t="s">
        <v>73</v>
      </c>
      <c r="AE377" s="5" t="s">
        <v>117</v>
      </c>
      <c r="AI377" s="9" t="n">
        <v>44197</v>
      </c>
      <c r="AJ377" s="5" t="n">
        <v>4</v>
      </c>
      <c r="AK377" s="5" t="s">
        <v>75</v>
      </c>
      <c r="AL377" s="5" t="n">
        <v>36875</v>
      </c>
      <c r="AM377" s="5" t="s">
        <v>140</v>
      </c>
      <c r="AN377" s="5" t="s">
        <v>199</v>
      </c>
      <c r="AQ377" s="5" t="s">
        <v>77</v>
      </c>
      <c r="AR377" s="5" t="s">
        <v>143</v>
      </c>
      <c r="AS377" s="5" t="s">
        <v>73</v>
      </c>
      <c r="AT377" s="5" t="s">
        <v>374</v>
      </c>
      <c r="AW377" s="5" t="s">
        <v>201</v>
      </c>
      <c r="AX377" s="10" t="str">
        <f aca="false">IFERROR(INDEX('full database 2024'!ar:ar, MATCH(A377, 'full database 2024'!b:b, 0)), "")</f>
        <v/>
      </c>
      <c r="AZ377" s="5" t="s">
        <v>121</v>
      </c>
      <c r="BD377" s="9" t="n">
        <v>45377</v>
      </c>
      <c r="BE377" s="9" t="n">
        <v>45779</v>
      </c>
      <c r="BI377" s="5" t="s">
        <v>81</v>
      </c>
      <c r="BJ377" s="5" t="n">
        <v>2021</v>
      </c>
    </row>
    <row r="378" customFormat="false" ht="16.5" hidden="false" customHeight="true" outlineLevel="0" collapsed="false">
      <c r="A378" s="5" t="s">
        <v>1753</v>
      </c>
      <c r="B378" s="5" t="s">
        <v>1754</v>
      </c>
      <c r="C378" s="5"/>
      <c r="D378" s="5" t="s">
        <v>62</v>
      </c>
      <c r="E378" s="16" t="n">
        <v>125000</v>
      </c>
      <c r="F378" s="16" t="n">
        <v>100000</v>
      </c>
      <c r="G378" s="5" t="s">
        <v>132</v>
      </c>
      <c r="H378" s="6" t="n">
        <v>142500</v>
      </c>
      <c r="I378" s="6" t="n">
        <v>114000</v>
      </c>
      <c r="J378" s="7" t="n">
        <f aca="false">E378*1.19</f>
        <v>148750</v>
      </c>
      <c r="K378" s="7" t="n">
        <f aca="false">F378*1.19</f>
        <v>119000</v>
      </c>
      <c r="L378" s="5" t="s">
        <v>84</v>
      </c>
      <c r="M378" s="5" t="s">
        <v>65</v>
      </c>
      <c r="N378" s="8" t="s">
        <v>1755</v>
      </c>
      <c r="O378" s="5" t="s">
        <v>1756</v>
      </c>
      <c r="P378" s="5"/>
      <c r="Q378" s="5"/>
      <c r="R378" s="5" t="s">
        <v>670</v>
      </c>
      <c r="T378" s="5" t="s">
        <v>1757</v>
      </c>
      <c r="U378" s="5" t="s">
        <v>1674</v>
      </c>
      <c r="V378" s="5" t="s">
        <v>688</v>
      </c>
      <c r="W378" s="5" t="s">
        <v>90</v>
      </c>
      <c r="X378" s="5" t="s">
        <v>139</v>
      </c>
      <c r="Y378" s="5" t="s">
        <v>73</v>
      </c>
      <c r="Z378" s="5" t="s">
        <v>70</v>
      </c>
      <c r="AC378" s="5" t="s">
        <v>1758</v>
      </c>
      <c r="AD378" s="5" t="s">
        <v>1759</v>
      </c>
      <c r="AE378" s="5" t="s">
        <v>74</v>
      </c>
      <c r="AI378" s="9" t="n">
        <v>44075</v>
      </c>
      <c r="AJ378" s="5" t="n">
        <v>5</v>
      </c>
      <c r="AK378" s="5" t="s">
        <v>75</v>
      </c>
      <c r="AL378" s="5" t="n">
        <v>28500</v>
      </c>
      <c r="AM378" s="5" t="s">
        <v>140</v>
      </c>
      <c r="AN378" s="5" t="s">
        <v>141</v>
      </c>
      <c r="AO378" s="5" t="s">
        <v>1760</v>
      </c>
      <c r="AQ378" s="5" t="s">
        <v>77</v>
      </c>
      <c r="AR378" s="5" t="s">
        <v>143</v>
      </c>
      <c r="AS378" s="5" t="s">
        <v>73</v>
      </c>
      <c r="AT378" s="5" t="s">
        <v>374</v>
      </c>
      <c r="AU378" s="10"/>
      <c r="AW378" s="5" t="s">
        <v>201</v>
      </c>
      <c r="AX378" s="25" t="s">
        <v>375</v>
      </c>
      <c r="AZ378" s="5" t="s">
        <v>239</v>
      </c>
      <c r="BD378" s="9" t="n">
        <v>45377</v>
      </c>
      <c r="BE378" s="9" t="n">
        <v>45779</v>
      </c>
      <c r="BI378" s="5" t="s">
        <v>81</v>
      </c>
      <c r="BJ378" s="5" t="n">
        <v>2020</v>
      </c>
      <c r="BK378" s="11" t="n">
        <v>45666</v>
      </c>
    </row>
    <row r="379" customFormat="false" ht="16.5" hidden="false" customHeight="true" outlineLevel="0" collapsed="false">
      <c r="A379" s="5" t="s">
        <v>1761</v>
      </c>
      <c r="B379" s="5" t="s">
        <v>1762</v>
      </c>
      <c r="C379" s="5"/>
      <c r="D379" s="5" t="s">
        <v>62</v>
      </c>
      <c r="E379" s="16" t="n">
        <v>125000</v>
      </c>
      <c r="F379" s="16" t="n">
        <v>100000</v>
      </c>
      <c r="G379" s="5" t="s">
        <v>132</v>
      </c>
      <c r="H379" s="6" t="n">
        <v>131250</v>
      </c>
      <c r="I379" s="6" t="n">
        <v>105000</v>
      </c>
      <c r="J379" s="7" t="n">
        <f aca="false">E379*1.19</f>
        <v>148750</v>
      </c>
      <c r="K379" s="7" t="n">
        <f aca="false">F379*1.19</f>
        <v>119000</v>
      </c>
      <c r="L379" s="5" t="s">
        <v>84</v>
      </c>
      <c r="M379" s="5" t="s">
        <v>65</v>
      </c>
      <c r="N379" s="8" t="s">
        <v>1763</v>
      </c>
      <c r="O379" s="5" t="s">
        <v>1764</v>
      </c>
      <c r="P379" s="5"/>
      <c r="Q379" s="5"/>
      <c r="R379" s="5" t="s">
        <v>670</v>
      </c>
      <c r="T379" s="5" t="s">
        <v>1765</v>
      </c>
      <c r="U379" s="5" t="s">
        <v>1766</v>
      </c>
      <c r="V379" s="5" t="s">
        <v>1767</v>
      </c>
      <c r="W379" s="5" t="s">
        <v>90</v>
      </c>
      <c r="X379" s="5" t="s">
        <v>139</v>
      </c>
      <c r="Y379" s="5" t="s">
        <v>73</v>
      </c>
      <c r="Z379" s="5" t="s">
        <v>70</v>
      </c>
      <c r="AC379" s="5" t="s">
        <v>1768</v>
      </c>
      <c r="AD379" s="5" t="s">
        <v>1767</v>
      </c>
      <c r="AE379" s="5" t="s">
        <v>117</v>
      </c>
      <c r="AI379" s="9" t="n">
        <v>44805</v>
      </c>
      <c r="AJ379" s="5" t="n">
        <v>4</v>
      </c>
      <c r="AK379" s="5" t="s">
        <v>75</v>
      </c>
      <c r="AL379" s="5" t="n">
        <v>32813</v>
      </c>
      <c r="AM379" s="5" t="s">
        <v>140</v>
      </c>
      <c r="AN379" s="5" t="s">
        <v>141</v>
      </c>
      <c r="AO379" s="5" t="s">
        <v>1760</v>
      </c>
      <c r="AQ379" s="5" t="s">
        <v>77</v>
      </c>
      <c r="AR379" s="5" t="s">
        <v>143</v>
      </c>
      <c r="AS379" s="5" t="s">
        <v>73</v>
      </c>
      <c r="AT379" s="5" t="s">
        <v>374</v>
      </c>
      <c r="AW379" s="5" t="s">
        <v>201</v>
      </c>
      <c r="AX379" s="10" t="str">
        <f aca="false">IFERROR(INDEX('full database 2024'!ar:ar, MATCH(A379, 'full database 2024'!b:b, 0)), "")</f>
        <v/>
      </c>
      <c r="AZ379" s="5" t="s">
        <v>534</v>
      </c>
      <c r="BD379" s="9" t="n">
        <v>45377</v>
      </c>
      <c r="BE379" s="9" t="n">
        <v>45779</v>
      </c>
      <c r="BI379" s="5" t="s">
        <v>81</v>
      </c>
      <c r="BJ379" s="5" t="n">
        <v>2022</v>
      </c>
      <c r="BK379" s="11" t="n">
        <v>46031</v>
      </c>
    </row>
    <row r="380" customFormat="false" ht="16.5" hidden="false" customHeight="true" outlineLevel="0" collapsed="false">
      <c r="A380" s="5" t="s">
        <v>1769</v>
      </c>
      <c r="B380" s="5" t="s">
        <v>1770</v>
      </c>
      <c r="C380" s="5"/>
      <c r="D380" s="5" t="s">
        <v>62</v>
      </c>
      <c r="E380" s="16" t="n">
        <v>125000</v>
      </c>
      <c r="F380" s="16" t="n">
        <v>100000</v>
      </c>
      <c r="G380" s="5" t="s">
        <v>132</v>
      </c>
      <c r="H380" s="6" t="n">
        <v>147500</v>
      </c>
      <c r="I380" s="6" t="n">
        <v>118000</v>
      </c>
      <c r="J380" s="7" t="n">
        <f aca="false">E380*1.19</f>
        <v>148750</v>
      </c>
      <c r="K380" s="7" t="n">
        <f aca="false">F380*1.19</f>
        <v>119000</v>
      </c>
      <c r="L380" s="5" t="s">
        <v>84</v>
      </c>
      <c r="M380" s="5" t="s">
        <v>65</v>
      </c>
      <c r="N380" s="8" t="s">
        <v>1771</v>
      </c>
      <c r="O380" s="5" t="s">
        <v>1772</v>
      </c>
      <c r="P380" s="5"/>
      <c r="Q380" s="5"/>
      <c r="R380" s="5" t="s">
        <v>670</v>
      </c>
      <c r="T380" s="5" t="s">
        <v>1773</v>
      </c>
      <c r="U380" s="5"/>
      <c r="V380" s="5" t="s">
        <v>688</v>
      </c>
      <c r="W380" s="5" t="s">
        <v>90</v>
      </c>
      <c r="X380" s="5" t="s">
        <v>139</v>
      </c>
      <c r="Y380" s="5" t="s">
        <v>73</v>
      </c>
      <c r="Z380" s="5"/>
      <c r="AC380" s="5"/>
      <c r="AD380" s="5"/>
      <c r="AE380" s="5" t="s">
        <v>117</v>
      </c>
      <c r="AI380" s="9" t="n">
        <v>44197</v>
      </c>
      <c r="AJ380" s="5" t="n">
        <v>4</v>
      </c>
      <c r="AK380" s="5" t="s">
        <v>75</v>
      </c>
      <c r="AL380" s="5" t="n">
        <v>36875</v>
      </c>
      <c r="AM380" s="5" t="s">
        <v>140</v>
      </c>
      <c r="AN380" s="5" t="s">
        <v>141</v>
      </c>
      <c r="AO380" s="5"/>
      <c r="AQ380" s="5" t="s">
        <v>77</v>
      </c>
      <c r="AR380" s="5" t="s">
        <v>143</v>
      </c>
      <c r="AS380" s="5" t="s">
        <v>73</v>
      </c>
      <c r="AT380" s="5" t="s">
        <v>78</v>
      </c>
      <c r="AW380" s="5" t="s">
        <v>201</v>
      </c>
      <c r="AX380" s="10" t="str">
        <f aca="false">IFERROR(INDEX('full database 2024'!ar:ar, MATCH(A380, 'full database 2024'!b:b, 0)), "")</f>
        <v/>
      </c>
      <c r="AY380" s="5" t="s">
        <v>447</v>
      </c>
      <c r="AZ380" s="5" t="s">
        <v>396</v>
      </c>
      <c r="BD380" s="9" t="n">
        <v>45377</v>
      </c>
      <c r="BE380" s="9" t="n">
        <v>45779</v>
      </c>
      <c r="BI380" s="5" t="s">
        <v>81</v>
      </c>
      <c r="BJ380" s="5" t="n">
        <v>2021</v>
      </c>
      <c r="BK380" s="11"/>
    </row>
    <row r="381" customFormat="false" ht="16.5" hidden="false" customHeight="true" outlineLevel="0" collapsed="false">
      <c r="A381" s="5" t="s">
        <v>1774</v>
      </c>
      <c r="B381" s="5" t="s">
        <v>1775</v>
      </c>
      <c r="C381" s="5"/>
      <c r="D381" s="5" t="s">
        <v>62</v>
      </c>
      <c r="E381" s="16" t="n">
        <v>125000</v>
      </c>
      <c r="F381" s="16" t="n">
        <v>100000</v>
      </c>
      <c r="G381" s="5" t="s">
        <v>132</v>
      </c>
      <c r="H381" s="6" t="n">
        <v>131250</v>
      </c>
      <c r="I381" s="6" t="n">
        <v>105000</v>
      </c>
      <c r="J381" s="7" t="n">
        <f aca="false">E381*1.19</f>
        <v>148750</v>
      </c>
      <c r="K381" s="7" t="n">
        <f aca="false">F381*1.19</f>
        <v>119000</v>
      </c>
      <c r="L381" s="5" t="s">
        <v>84</v>
      </c>
      <c r="M381" s="5" t="s">
        <v>65</v>
      </c>
      <c r="N381" s="8" t="s">
        <v>1776</v>
      </c>
      <c r="O381" s="5" t="s">
        <v>1777</v>
      </c>
      <c r="P381" s="5"/>
      <c r="Q381" s="5"/>
      <c r="R381" s="5" t="s">
        <v>670</v>
      </c>
      <c r="T381" s="5" t="s">
        <v>1778</v>
      </c>
      <c r="V381" s="5" t="s">
        <v>1779</v>
      </c>
      <c r="W381" s="5" t="s">
        <v>90</v>
      </c>
      <c r="X381" s="5" t="s">
        <v>139</v>
      </c>
      <c r="Y381" s="5" t="s">
        <v>73</v>
      </c>
      <c r="AE381" s="5" t="s">
        <v>117</v>
      </c>
      <c r="AI381" s="9" t="n">
        <v>44562</v>
      </c>
      <c r="AJ381" s="5" t="n">
        <v>4</v>
      </c>
      <c r="AK381" s="5" t="s">
        <v>75</v>
      </c>
      <c r="AL381" s="5" t="n">
        <v>32813</v>
      </c>
      <c r="AM381" s="5" t="s">
        <v>140</v>
      </c>
      <c r="AN381" s="5" t="s">
        <v>141</v>
      </c>
      <c r="AQ381" s="5" t="s">
        <v>77</v>
      </c>
      <c r="AR381" s="5" t="s">
        <v>143</v>
      </c>
      <c r="AS381" s="5" t="s">
        <v>73</v>
      </c>
      <c r="AT381" s="5" t="s">
        <v>105</v>
      </c>
      <c r="AU381" s="10" t="s">
        <v>106</v>
      </c>
      <c r="AW381" s="5" t="s">
        <v>201</v>
      </c>
      <c r="AX381" s="10" t="str">
        <f aca="false">IFERROR(INDEX('full database 2024'!ar:ar, MATCH(A381, 'full database 2024'!b:b, 0)), "")</f>
        <v/>
      </c>
      <c r="AZ381" s="5" t="s">
        <v>188</v>
      </c>
      <c r="BD381" s="9" t="n">
        <v>45377</v>
      </c>
      <c r="BE381" s="9" t="n">
        <v>45779</v>
      </c>
      <c r="BI381" s="5" t="s">
        <v>81</v>
      </c>
      <c r="BJ381" s="5" t="n">
        <v>2022</v>
      </c>
    </row>
    <row r="382" customFormat="false" ht="16.5" hidden="false" customHeight="true" outlineLevel="0" collapsed="false">
      <c r="A382" s="5" t="s">
        <v>1780</v>
      </c>
      <c r="B382" s="5" t="s">
        <v>1781</v>
      </c>
      <c r="C382" s="5"/>
      <c r="D382" s="5" t="s">
        <v>62</v>
      </c>
      <c r="E382" s="16" t="n">
        <v>125000</v>
      </c>
      <c r="F382" s="16" t="n">
        <v>100000</v>
      </c>
      <c r="G382" s="5" t="s">
        <v>132</v>
      </c>
      <c r="H382" s="6" t="n">
        <v>147500</v>
      </c>
      <c r="I382" s="6" t="n">
        <v>118000</v>
      </c>
      <c r="J382" s="7" t="n">
        <f aca="false">E382*1.19</f>
        <v>148750</v>
      </c>
      <c r="K382" s="7" t="n">
        <f aca="false">F382*1.19</f>
        <v>119000</v>
      </c>
      <c r="L382" s="5" t="s">
        <v>84</v>
      </c>
      <c r="M382" s="5" t="s">
        <v>65</v>
      </c>
      <c r="N382" s="8" t="s">
        <v>1782</v>
      </c>
      <c r="O382" s="5" t="s">
        <v>1783</v>
      </c>
      <c r="P382" s="5"/>
      <c r="Q382" s="5"/>
      <c r="R382" s="5" t="s">
        <v>670</v>
      </c>
      <c r="T382" s="5" t="s">
        <v>1784</v>
      </c>
      <c r="V382" s="5" t="s">
        <v>1134</v>
      </c>
      <c r="W382" s="5" t="s">
        <v>90</v>
      </c>
      <c r="X382" s="5" t="s">
        <v>139</v>
      </c>
      <c r="Y382" s="5" t="s">
        <v>73</v>
      </c>
      <c r="AE382" s="5" t="s">
        <v>117</v>
      </c>
      <c r="AI382" s="9" t="n">
        <v>44197</v>
      </c>
      <c r="AJ382" s="5" t="n">
        <v>4</v>
      </c>
      <c r="AK382" s="5" t="s">
        <v>75</v>
      </c>
      <c r="AL382" s="5" t="n">
        <v>36875</v>
      </c>
      <c r="AM382" s="5" t="s">
        <v>140</v>
      </c>
      <c r="AN382" s="5" t="s">
        <v>199</v>
      </c>
      <c r="AQ382" s="5" t="s">
        <v>77</v>
      </c>
      <c r="AR382" s="5" t="s">
        <v>143</v>
      </c>
      <c r="AS382" s="5" t="s">
        <v>73</v>
      </c>
      <c r="AT382" s="5" t="s">
        <v>374</v>
      </c>
      <c r="AW382" s="5" t="s">
        <v>201</v>
      </c>
      <c r="AX382" s="10" t="str">
        <f aca="false">IFERROR(INDEX('full database 2024'!ar:ar, MATCH(A382, 'full database 2024'!b:b, 0)), "")</f>
        <v/>
      </c>
      <c r="AZ382" s="5" t="s">
        <v>121</v>
      </c>
      <c r="BD382" s="9" t="n">
        <v>45377</v>
      </c>
      <c r="BE382" s="9" t="n">
        <v>45779</v>
      </c>
      <c r="BI382" s="5" t="s">
        <v>81</v>
      </c>
      <c r="BJ382" s="5" t="n">
        <v>2021</v>
      </c>
    </row>
    <row r="383" customFormat="false" ht="16.5" hidden="false" customHeight="true" outlineLevel="0" collapsed="false">
      <c r="A383" s="5" t="s">
        <v>1785</v>
      </c>
      <c r="B383" s="5" t="s">
        <v>1786</v>
      </c>
      <c r="C383" s="5"/>
      <c r="D383" s="5" t="s">
        <v>62</v>
      </c>
      <c r="E383" s="16" t="n">
        <v>125000</v>
      </c>
      <c r="F383" s="16" t="n">
        <v>100000</v>
      </c>
      <c r="G383" s="5" t="s">
        <v>132</v>
      </c>
      <c r="H383" s="6" t="n">
        <v>131250</v>
      </c>
      <c r="I383" s="6" t="n">
        <v>105000</v>
      </c>
      <c r="J383" s="7" t="n">
        <f aca="false">E383*1.19</f>
        <v>148750</v>
      </c>
      <c r="K383" s="7" t="n">
        <f aca="false">F383*1.19</f>
        <v>119000</v>
      </c>
      <c r="L383" s="5" t="s">
        <v>84</v>
      </c>
      <c r="M383" s="5" t="s">
        <v>65</v>
      </c>
      <c r="N383" s="8" t="s">
        <v>1787</v>
      </c>
      <c r="O383" s="5" t="s">
        <v>1788</v>
      </c>
      <c r="P383" s="5"/>
      <c r="Q383" s="5"/>
      <c r="R383" s="5" t="s">
        <v>670</v>
      </c>
      <c r="T383" s="5" t="s">
        <v>1789</v>
      </c>
      <c r="U383" s="5" t="s">
        <v>1674</v>
      </c>
      <c r="V383" s="5" t="s">
        <v>688</v>
      </c>
      <c r="W383" s="5" t="s">
        <v>90</v>
      </c>
      <c r="X383" s="5" t="s">
        <v>139</v>
      </c>
      <c r="Y383" s="5" t="s">
        <v>73</v>
      </c>
      <c r="Z383" s="5" t="s">
        <v>70</v>
      </c>
      <c r="AC383" s="5" t="s">
        <v>1758</v>
      </c>
      <c r="AD383" s="5" t="s">
        <v>1759</v>
      </c>
      <c r="AE383" s="5" t="s">
        <v>74</v>
      </c>
      <c r="AI383" s="9" t="n">
        <v>44805</v>
      </c>
      <c r="AJ383" s="5" t="n">
        <v>4</v>
      </c>
      <c r="AK383" s="5" t="s">
        <v>75</v>
      </c>
      <c r="AL383" s="5" t="n">
        <v>32813</v>
      </c>
      <c r="AM383" s="5" t="s">
        <v>140</v>
      </c>
      <c r="AN383" s="5" t="s">
        <v>141</v>
      </c>
      <c r="AO383" s="5" t="s">
        <v>1760</v>
      </c>
      <c r="AQ383" s="5" t="s">
        <v>77</v>
      </c>
      <c r="AR383" s="5" t="s">
        <v>143</v>
      </c>
      <c r="AS383" s="5" t="s">
        <v>73</v>
      </c>
      <c r="AT383" s="5" t="s">
        <v>374</v>
      </c>
      <c r="AU383" s="10"/>
      <c r="AW383" s="5" t="s">
        <v>201</v>
      </c>
      <c r="AX383" s="25" t="s">
        <v>375</v>
      </c>
      <c r="AZ383" s="5" t="s">
        <v>239</v>
      </c>
      <c r="BD383" s="9" t="n">
        <v>45377</v>
      </c>
      <c r="BE383" s="9" t="n">
        <v>45779</v>
      </c>
      <c r="BI383" s="5" t="s">
        <v>81</v>
      </c>
      <c r="BJ383" s="5" t="n">
        <v>2022</v>
      </c>
      <c r="BK383" s="11" t="n">
        <v>46031</v>
      </c>
    </row>
    <row r="384" customFormat="false" ht="16.5" hidden="false" customHeight="true" outlineLevel="0" collapsed="false">
      <c r="A384" s="5" t="s">
        <v>1790</v>
      </c>
      <c r="B384" s="5"/>
      <c r="C384" s="5"/>
      <c r="D384" s="5" t="s">
        <v>62</v>
      </c>
      <c r="E384" s="16" t="n">
        <v>125000</v>
      </c>
      <c r="F384" s="16" t="n">
        <v>100000</v>
      </c>
      <c r="G384" s="5" t="s">
        <v>132</v>
      </c>
      <c r="H384" s="6" t="n">
        <v>147500</v>
      </c>
      <c r="I384" s="6" t="n">
        <v>118000</v>
      </c>
      <c r="J384" s="7" t="n">
        <f aca="false">E384*1.19</f>
        <v>148750</v>
      </c>
      <c r="K384" s="7" t="n">
        <f aca="false">F384*1.19</f>
        <v>119000</v>
      </c>
      <c r="L384" s="5" t="s">
        <v>84</v>
      </c>
      <c r="M384" s="5" t="s">
        <v>65</v>
      </c>
      <c r="N384" s="8" t="s">
        <v>1791</v>
      </c>
      <c r="O384" s="5"/>
      <c r="P384" s="5"/>
      <c r="Q384" s="5"/>
      <c r="R384" s="5" t="s">
        <v>670</v>
      </c>
      <c r="T384" s="5" t="s">
        <v>1792</v>
      </c>
      <c r="U384" s="5"/>
      <c r="V384" s="5" t="s">
        <v>1139</v>
      </c>
      <c r="W384" s="5" t="s">
        <v>90</v>
      </c>
      <c r="X384" s="5" t="s">
        <v>139</v>
      </c>
      <c r="Y384" s="5" t="s">
        <v>73</v>
      </c>
      <c r="Z384" s="5"/>
      <c r="AC384" s="5"/>
      <c r="AD384" s="5"/>
      <c r="AE384" s="5" t="s">
        <v>117</v>
      </c>
      <c r="AI384" s="9" t="n">
        <v>44197</v>
      </c>
      <c r="AJ384" s="5" t="n">
        <v>4</v>
      </c>
      <c r="AK384" s="5" t="s">
        <v>75</v>
      </c>
      <c r="AL384" s="5" t="n">
        <v>36875</v>
      </c>
      <c r="AM384" s="5" t="s">
        <v>140</v>
      </c>
      <c r="AN384" s="5" t="s">
        <v>141</v>
      </c>
      <c r="AO384" s="5"/>
      <c r="AQ384" s="5" t="s">
        <v>77</v>
      </c>
      <c r="AR384" s="5" t="s">
        <v>143</v>
      </c>
      <c r="AS384" s="5" t="s">
        <v>73</v>
      </c>
      <c r="AT384" s="5" t="s">
        <v>78</v>
      </c>
      <c r="AU384" s="10" t="s">
        <v>259</v>
      </c>
      <c r="AW384" s="5" t="s">
        <v>201</v>
      </c>
      <c r="AX384" s="10" t="str">
        <f aca="false">IFERROR(INDEX('full database 2024'!ar:ar, MATCH(A384, 'full database 2024'!b:b, 0)), "")</f>
        <v/>
      </c>
      <c r="AZ384" s="5" t="s">
        <v>129</v>
      </c>
      <c r="BD384" s="9" t="n">
        <v>45377</v>
      </c>
      <c r="BE384" s="9" t="n">
        <v>45779</v>
      </c>
      <c r="BI384" s="5" t="s">
        <v>81</v>
      </c>
      <c r="BJ384" s="5" t="n">
        <v>2021</v>
      </c>
      <c r="BK384" s="11"/>
    </row>
    <row r="385" customFormat="false" ht="16.5" hidden="false" customHeight="true" outlineLevel="0" collapsed="false">
      <c r="A385" s="5" t="s">
        <v>1793</v>
      </c>
      <c r="C385" s="5"/>
      <c r="D385" s="5" t="s">
        <v>62</v>
      </c>
      <c r="E385" s="16" t="n">
        <v>125000</v>
      </c>
      <c r="F385" s="16" t="n">
        <v>100000</v>
      </c>
      <c r="G385" s="5" t="s">
        <v>132</v>
      </c>
      <c r="H385" s="6" t="n">
        <v>147500</v>
      </c>
      <c r="I385" s="6" t="n">
        <v>118000</v>
      </c>
      <c r="J385" s="7" t="n">
        <f aca="false">E385*1.19</f>
        <v>148750</v>
      </c>
      <c r="K385" s="7" t="n">
        <f aca="false">F385*1.19</f>
        <v>119000</v>
      </c>
      <c r="L385" s="5" t="s">
        <v>84</v>
      </c>
      <c r="M385" s="5" t="s">
        <v>65</v>
      </c>
      <c r="N385" s="8" t="s">
        <v>1794</v>
      </c>
      <c r="P385" s="5"/>
      <c r="Q385" s="5"/>
      <c r="R385" s="5" t="s">
        <v>670</v>
      </c>
      <c r="T385" s="5" t="s">
        <v>1795</v>
      </c>
      <c r="V385" s="5" t="s">
        <v>1023</v>
      </c>
      <c r="W385" s="5" t="s">
        <v>90</v>
      </c>
      <c r="X385" s="5" t="s">
        <v>139</v>
      </c>
      <c r="Y385" s="5" t="s">
        <v>73</v>
      </c>
      <c r="AE385" s="5" t="s">
        <v>117</v>
      </c>
      <c r="AI385" s="9" t="n">
        <v>44197</v>
      </c>
      <c r="AJ385" s="5" t="n">
        <v>4</v>
      </c>
      <c r="AK385" s="5" t="s">
        <v>75</v>
      </c>
      <c r="AL385" s="5" t="n">
        <v>36875</v>
      </c>
      <c r="AM385" s="5" t="s">
        <v>140</v>
      </c>
      <c r="AN385" s="5" t="s">
        <v>141</v>
      </c>
      <c r="AQ385" s="5" t="s">
        <v>77</v>
      </c>
      <c r="AR385" s="5" t="s">
        <v>143</v>
      </c>
      <c r="AS385" s="5" t="s">
        <v>73</v>
      </c>
      <c r="AT385" s="5" t="s">
        <v>71</v>
      </c>
      <c r="AU385" s="10" t="s">
        <v>286</v>
      </c>
      <c r="AW385" s="5" t="s">
        <v>201</v>
      </c>
      <c r="AX385" s="10" t="str">
        <f aca="false">IFERROR(INDEX('full database 2024'!ar:ar, MATCH(A385, 'full database 2024'!b:b, 0)), "")</f>
        <v/>
      </c>
      <c r="AZ385" s="5" t="s">
        <v>287</v>
      </c>
      <c r="BD385" s="9" t="n">
        <v>45377</v>
      </c>
      <c r="BE385" s="9" t="n">
        <v>45779</v>
      </c>
      <c r="BI385" s="5" t="s">
        <v>81</v>
      </c>
      <c r="BJ385" s="5" t="n">
        <v>2021</v>
      </c>
    </row>
    <row r="386" customFormat="false" ht="16.5" hidden="false" customHeight="true" outlineLevel="0" collapsed="false">
      <c r="A386" s="5" t="s">
        <v>1796</v>
      </c>
      <c r="B386" s="5" t="s">
        <v>1797</v>
      </c>
      <c r="C386" s="5"/>
      <c r="D386" s="5" t="s">
        <v>62</v>
      </c>
      <c r="E386" s="16" t="n">
        <v>125000</v>
      </c>
      <c r="F386" s="16" t="n">
        <v>100000</v>
      </c>
      <c r="G386" s="5" t="s">
        <v>132</v>
      </c>
      <c r="H386" s="6" t="n">
        <v>131250</v>
      </c>
      <c r="I386" s="6" t="n">
        <v>105000</v>
      </c>
      <c r="J386" s="7" t="n">
        <f aca="false">E386*1.19</f>
        <v>148750</v>
      </c>
      <c r="K386" s="7" t="n">
        <f aca="false">F386*1.19</f>
        <v>119000</v>
      </c>
      <c r="L386" s="5" t="s">
        <v>84</v>
      </c>
      <c r="M386" s="5" t="s">
        <v>65</v>
      </c>
      <c r="N386" s="8" t="s">
        <v>1798</v>
      </c>
      <c r="O386" s="5" t="s">
        <v>1799</v>
      </c>
      <c r="P386" s="5"/>
      <c r="Q386" s="5"/>
      <c r="R386" s="5" t="s">
        <v>670</v>
      </c>
      <c r="T386" s="5" t="s">
        <v>1800</v>
      </c>
      <c r="V386" s="5" t="s">
        <v>1767</v>
      </c>
      <c r="W386" s="5" t="s">
        <v>90</v>
      </c>
      <c r="X386" s="5" t="s">
        <v>139</v>
      </c>
      <c r="Y386" s="5" t="s">
        <v>73</v>
      </c>
      <c r="AE386" s="5" t="s">
        <v>117</v>
      </c>
      <c r="AI386" s="9" t="n">
        <v>44562</v>
      </c>
      <c r="AJ386" s="5" t="n">
        <v>4</v>
      </c>
      <c r="AK386" s="5" t="s">
        <v>75</v>
      </c>
      <c r="AL386" s="5" t="n">
        <v>32813</v>
      </c>
      <c r="AM386" s="5" t="s">
        <v>140</v>
      </c>
      <c r="AN386" s="5" t="s">
        <v>141</v>
      </c>
      <c r="AQ386" s="5" t="s">
        <v>77</v>
      </c>
      <c r="AR386" s="5" t="s">
        <v>143</v>
      </c>
      <c r="AS386" s="5" t="s">
        <v>73</v>
      </c>
      <c r="AT386" s="5" t="s">
        <v>78</v>
      </c>
      <c r="AW386" s="5" t="s">
        <v>201</v>
      </c>
      <c r="AX386" s="10" t="str">
        <f aca="false">IFERROR(INDEX('full database 2024'!ar:ar, MATCH(A386, 'full database 2024'!b:b, 0)), "")</f>
        <v/>
      </c>
      <c r="AZ386" s="5" t="s">
        <v>129</v>
      </c>
      <c r="BD386" s="9" t="n">
        <v>45377</v>
      </c>
      <c r="BE386" s="9" t="n">
        <v>45779</v>
      </c>
      <c r="BI386" s="5" t="s">
        <v>81</v>
      </c>
      <c r="BJ386" s="5" t="n">
        <v>2022</v>
      </c>
    </row>
    <row r="387" customFormat="false" ht="16.5" hidden="false" customHeight="true" outlineLevel="0" collapsed="false">
      <c r="A387" s="5" t="s">
        <v>1801</v>
      </c>
      <c r="B387" s="5" t="s">
        <v>1802</v>
      </c>
      <c r="C387" s="5"/>
      <c r="D387" s="5" t="s">
        <v>62</v>
      </c>
      <c r="E387" s="16" t="n">
        <v>125000</v>
      </c>
      <c r="F387" s="16" t="n">
        <v>100000</v>
      </c>
      <c r="G387" s="5" t="s">
        <v>132</v>
      </c>
      <c r="H387" s="6" t="n">
        <v>131250</v>
      </c>
      <c r="I387" s="6" t="n">
        <v>105000</v>
      </c>
      <c r="J387" s="7" t="n">
        <f aca="false">E387*1.19</f>
        <v>148750</v>
      </c>
      <c r="K387" s="7" t="n">
        <f aca="false">F387*1.19</f>
        <v>119000</v>
      </c>
      <c r="L387" s="5" t="s">
        <v>84</v>
      </c>
      <c r="M387" s="5" t="s">
        <v>65</v>
      </c>
      <c r="N387" s="8" t="s">
        <v>1803</v>
      </c>
      <c r="O387" s="5" t="s">
        <v>1804</v>
      </c>
      <c r="P387" s="5"/>
      <c r="Q387" s="5"/>
      <c r="R387" s="5" t="s">
        <v>670</v>
      </c>
      <c r="T387" s="5" t="s">
        <v>1805</v>
      </c>
      <c r="V387" s="5" t="s">
        <v>1806</v>
      </c>
      <c r="W387" s="5" t="s">
        <v>90</v>
      </c>
      <c r="X387" s="5" t="s">
        <v>139</v>
      </c>
      <c r="Y387" s="5" t="s">
        <v>73</v>
      </c>
      <c r="AE387" s="5" t="s">
        <v>117</v>
      </c>
      <c r="AI387" s="9" t="n">
        <v>44562</v>
      </c>
      <c r="AJ387" s="5" t="n">
        <v>4</v>
      </c>
      <c r="AK387" s="5" t="s">
        <v>75</v>
      </c>
      <c r="AL387" s="5" t="n">
        <v>32813</v>
      </c>
      <c r="AM387" s="5" t="s">
        <v>140</v>
      </c>
      <c r="AN387" s="5" t="s">
        <v>199</v>
      </c>
      <c r="AQ387" s="5" t="s">
        <v>77</v>
      </c>
      <c r="AR387" s="5" t="s">
        <v>143</v>
      </c>
      <c r="AS387" s="5" t="s">
        <v>73</v>
      </c>
      <c r="AT387" s="5" t="s">
        <v>374</v>
      </c>
      <c r="AW387" s="5" t="s">
        <v>201</v>
      </c>
      <c r="AX387" s="10" t="str">
        <f aca="false">IFERROR(INDEX('full database 2024'!ar:ar, MATCH(A387, 'full database 2024'!b:b, 0)), "")</f>
        <v/>
      </c>
      <c r="AZ387" s="5" t="s">
        <v>121</v>
      </c>
      <c r="BD387" s="9" t="n">
        <v>45377</v>
      </c>
      <c r="BE387" s="9" t="n">
        <v>45779</v>
      </c>
      <c r="BI387" s="5" t="s">
        <v>81</v>
      </c>
      <c r="BJ387" s="5" t="n">
        <v>2022</v>
      </c>
    </row>
    <row r="388" customFormat="false" ht="16.5" hidden="false" customHeight="true" outlineLevel="0" collapsed="false">
      <c r="A388" s="5" t="s">
        <v>1807</v>
      </c>
      <c r="B388" s="5"/>
      <c r="C388" s="5"/>
      <c r="D388" s="5" t="s">
        <v>62</v>
      </c>
      <c r="E388" s="16" t="n">
        <v>125000</v>
      </c>
      <c r="F388" s="16" t="n">
        <v>100000</v>
      </c>
      <c r="G388" s="5" t="s">
        <v>132</v>
      </c>
      <c r="H388" s="6" t="n">
        <v>156250</v>
      </c>
      <c r="I388" s="6" t="n">
        <v>125000</v>
      </c>
      <c r="J388" s="7" t="n">
        <f aca="false">E388*1.19</f>
        <v>148750</v>
      </c>
      <c r="K388" s="7" t="n">
        <f aca="false">F388*1.19</f>
        <v>119000</v>
      </c>
      <c r="L388" s="5" t="s">
        <v>84</v>
      </c>
      <c r="M388" s="5" t="s">
        <v>65</v>
      </c>
      <c r="N388" s="8" t="s">
        <v>1808</v>
      </c>
      <c r="O388" s="5"/>
      <c r="P388" s="5"/>
      <c r="Q388" s="5"/>
      <c r="R388" s="5"/>
      <c r="T388" s="5"/>
      <c r="V388" s="5" t="s">
        <v>1809</v>
      </c>
      <c r="W388" s="5"/>
      <c r="X388" s="5" t="s">
        <v>139</v>
      </c>
      <c r="Y388" s="5" t="s">
        <v>73</v>
      </c>
      <c r="AE388" s="5"/>
      <c r="AI388" s="9" t="n">
        <v>44936</v>
      </c>
      <c r="AJ388" s="5" t="n">
        <v>49</v>
      </c>
      <c r="AK388" s="5" t="s">
        <v>216</v>
      </c>
      <c r="AL388" s="5" t="n">
        <v>3189</v>
      </c>
      <c r="AM388" s="5" t="s">
        <v>140</v>
      </c>
      <c r="AN388" s="5" t="s">
        <v>141</v>
      </c>
      <c r="AQ388" s="5" t="s">
        <v>77</v>
      </c>
      <c r="AR388" s="5" t="s">
        <v>143</v>
      </c>
      <c r="AS388" s="5" t="s">
        <v>73</v>
      </c>
      <c r="AT388" s="5" t="s">
        <v>105</v>
      </c>
      <c r="AU388" s="10" t="s">
        <v>106</v>
      </c>
      <c r="AW388" s="5" t="s">
        <v>201</v>
      </c>
      <c r="AX388" s="10" t="str">
        <f aca="false">IFERROR(INDEX('full database 2024'!ar:ar, MATCH(A388, 'full database 2024'!b:b, 0)), "")</f>
        <v/>
      </c>
      <c r="AZ388" s="5" t="s">
        <v>540</v>
      </c>
      <c r="BD388" s="9" t="n">
        <v>45596</v>
      </c>
      <c r="BE388" s="9" t="n">
        <v>45779</v>
      </c>
      <c r="BI388" s="5"/>
      <c r="BJ388" s="5" t="n">
        <v>2023</v>
      </c>
      <c r="BK388" s="11" t="n">
        <v>36526</v>
      </c>
    </row>
    <row r="389" customFormat="false" ht="16.5" hidden="false" customHeight="true" outlineLevel="0" collapsed="false">
      <c r="A389" s="5" t="s">
        <v>1810</v>
      </c>
      <c r="C389" s="5"/>
      <c r="D389" s="5" t="s">
        <v>62</v>
      </c>
      <c r="E389" s="16" t="n">
        <v>125000</v>
      </c>
      <c r="F389" s="16" t="n">
        <v>100000</v>
      </c>
      <c r="G389" s="5" t="s">
        <v>132</v>
      </c>
      <c r="H389" s="6" t="n">
        <v>156250</v>
      </c>
      <c r="I389" s="6" t="n">
        <v>125000</v>
      </c>
      <c r="J389" s="7" t="n">
        <f aca="false">E389*1.19</f>
        <v>148750</v>
      </c>
      <c r="K389" s="7" t="n">
        <f aca="false">F389*1.19</f>
        <v>119000</v>
      </c>
      <c r="L389" s="5" t="s">
        <v>84</v>
      </c>
      <c r="M389" s="5" t="s">
        <v>65</v>
      </c>
      <c r="N389" s="8" t="s">
        <v>1811</v>
      </c>
      <c r="V389" s="5" t="s">
        <v>931</v>
      </c>
      <c r="X389" s="5" t="s">
        <v>139</v>
      </c>
      <c r="Y389" s="5" t="s">
        <v>73</v>
      </c>
      <c r="AI389" s="9" t="n">
        <v>44936</v>
      </c>
      <c r="AJ389" s="5" t="n">
        <v>49</v>
      </c>
      <c r="AK389" s="5" t="s">
        <v>433</v>
      </c>
      <c r="AL389" s="5" t="n">
        <v>3189</v>
      </c>
      <c r="AM389" s="5" t="s">
        <v>140</v>
      </c>
      <c r="AN389" s="5" t="s">
        <v>141</v>
      </c>
      <c r="AQ389" s="5" t="s">
        <v>77</v>
      </c>
      <c r="AR389" s="5" t="s">
        <v>143</v>
      </c>
      <c r="AS389" s="5" t="s">
        <v>73</v>
      </c>
      <c r="AT389" s="5" t="s">
        <v>78</v>
      </c>
      <c r="AW389" s="5" t="s">
        <v>201</v>
      </c>
      <c r="AX389" s="10" t="str">
        <f aca="false">IFERROR(INDEX('full database 2024'!ar:ar, MATCH(A389, 'full database 2024'!b:b, 0)), "")</f>
        <v/>
      </c>
      <c r="AZ389" s="5" t="s">
        <v>309</v>
      </c>
      <c r="BD389" s="9" t="n">
        <v>45596</v>
      </c>
      <c r="BE389" s="9" t="n">
        <v>45779</v>
      </c>
      <c r="BJ389" s="5" t="n">
        <v>2023</v>
      </c>
      <c r="BK389" s="11" t="n">
        <v>36526</v>
      </c>
    </row>
    <row r="390" customFormat="false" ht="16.5" hidden="false" customHeight="true" outlineLevel="0" collapsed="false">
      <c r="A390" s="5" t="s">
        <v>1812</v>
      </c>
      <c r="C390" s="5"/>
      <c r="D390" s="5" t="s">
        <v>62</v>
      </c>
      <c r="E390" s="16" t="n">
        <v>125000</v>
      </c>
      <c r="F390" s="16" t="n">
        <v>100000</v>
      </c>
      <c r="G390" s="5" t="s">
        <v>132</v>
      </c>
      <c r="H390" s="6" t="n">
        <v>156250</v>
      </c>
      <c r="I390" s="6" t="n">
        <v>125000</v>
      </c>
      <c r="J390" s="7" t="n">
        <f aca="false">E390*1.19</f>
        <v>148750</v>
      </c>
      <c r="K390" s="7" t="n">
        <f aca="false">F390*1.19</f>
        <v>119000</v>
      </c>
      <c r="L390" s="5" t="s">
        <v>84</v>
      </c>
      <c r="M390" s="5" t="s">
        <v>65</v>
      </c>
      <c r="N390" s="8" t="s">
        <v>1813</v>
      </c>
      <c r="V390" s="5" t="s">
        <v>1139</v>
      </c>
      <c r="X390" s="5" t="s">
        <v>139</v>
      </c>
      <c r="Y390" s="5" t="s">
        <v>73</v>
      </c>
      <c r="AI390" s="9" t="n">
        <v>44571</v>
      </c>
      <c r="AJ390" s="5" t="n">
        <v>49</v>
      </c>
      <c r="AK390" s="5" t="s">
        <v>433</v>
      </c>
      <c r="AL390" s="5" t="n">
        <v>3189</v>
      </c>
      <c r="AM390" s="5" t="s">
        <v>140</v>
      </c>
      <c r="AN390" s="5" t="s">
        <v>141</v>
      </c>
      <c r="AQ390" s="5" t="s">
        <v>77</v>
      </c>
      <c r="AR390" s="5" t="s">
        <v>143</v>
      </c>
      <c r="AS390" s="5" t="s">
        <v>73</v>
      </c>
      <c r="AT390" s="5" t="s">
        <v>105</v>
      </c>
      <c r="AU390" s="10" t="s">
        <v>186</v>
      </c>
      <c r="AW390" s="5" t="s">
        <v>201</v>
      </c>
      <c r="AX390" s="10" t="str">
        <f aca="false">IFERROR(INDEX('full database 2024'!ar:ar, MATCH(A390, 'full database 2024'!b:b, 0)), "")</f>
        <v/>
      </c>
      <c r="AZ390" s="5" t="s">
        <v>540</v>
      </c>
      <c r="BD390" s="9" t="n">
        <v>45596</v>
      </c>
      <c r="BE390" s="9" t="n">
        <v>45779</v>
      </c>
      <c r="BJ390" s="5" t="n">
        <v>2022</v>
      </c>
      <c r="BK390" s="11" t="n">
        <v>36526</v>
      </c>
    </row>
    <row r="391" customFormat="false" ht="16.5" hidden="false" customHeight="true" outlineLevel="0" collapsed="false">
      <c r="A391" s="5" t="s">
        <v>1814</v>
      </c>
      <c r="B391" s="5" t="s">
        <v>1815</v>
      </c>
      <c r="C391" s="5"/>
      <c r="D391" s="5" t="s">
        <v>62</v>
      </c>
      <c r="E391" s="16" t="n">
        <v>125000</v>
      </c>
      <c r="F391" s="16" t="n">
        <v>100000</v>
      </c>
      <c r="G391" s="5" t="s">
        <v>132</v>
      </c>
      <c r="H391" s="6" t="n">
        <v>156250</v>
      </c>
      <c r="I391" s="6" t="n">
        <v>125000</v>
      </c>
      <c r="J391" s="7" t="n">
        <f aca="false">E391*1.19</f>
        <v>148750</v>
      </c>
      <c r="K391" s="7" t="n">
        <f aca="false">F391*1.19</f>
        <v>119000</v>
      </c>
      <c r="L391" s="5" t="s">
        <v>84</v>
      </c>
      <c r="M391" s="5" t="s">
        <v>65</v>
      </c>
      <c r="N391" s="8" t="s">
        <v>1816</v>
      </c>
      <c r="V391" s="5" t="s">
        <v>1817</v>
      </c>
      <c r="X391" s="5" t="s">
        <v>139</v>
      </c>
      <c r="Y391" s="5" t="s">
        <v>73</v>
      </c>
      <c r="AI391" s="9" t="n">
        <v>44967</v>
      </c>
      <c r="AJ391" s="5" t="n">
        <v>48</v>
      </c>
      <c r="AK391" s="5" t="s">
        <v>433</v>
      </c>
      <c r="AL391" s="5" t="n">
        <v>3255</v>
      </c>
      <c r="AM391" s="5" t="s">
        <v>140</v>
      </c>
      <c r="AN391" s="5" t="s">
        <v>199</v>
      </c>
      <c r="AQ391" s="5" t="s">
        <v>77</v>
      </c>
      <c r="AR391" s="5" t="s">
        <v>143</v>
      </c>
      <c r="AS391" s="5" t="s">
        <v>73</v>
      </c>
      <c r="AT391" s="5" t="s">
        <v>71</v>
      </c>
      <c r="AW391" s="5" t="s">
        <v>201</v>
      </c>
      <c r="AX391" s="10" t="str">
        <f aca="false">IFERROR(INDEX('full database 2024'!ar:ar, MATCH(A391, 'full database 2024'!b:b, 0)), "")</f>
        <v/>
      </c>
      <c r="AZ391" s="5" t="s">
        <v>287</v>
      </c>
      <c r="BD391" s="9" t="n">
        <v>45596</v>
      </c>
      <c r="BE391" s="9" t="n">
        <v>45779</v>
      </c>
      <c r="BJ391" s="5" t="n">
        <v>2023</v>
      </c>
      <c r="BK391" s="11" t="n">
        <v>36526</v>
      </c>
    </row>
    <row r="392" customFormat="false" ht="16.5" hidden="false" customHeight="true" outlineLevel="0" collapsed="false">
      <c r="A392" s="5" t="s">
        <v>1818</v>
      </c>
      <c r="B392" s="5" t="s">
        <v>1818</v>
      </c>
      <c r="C392" s="5"/>
      <c r="D392" s="5" t="s">
        <v>62</v>
      </c>
      <c r="E392" s="16" t="n">
        <v>125000</v>
      </c>
      <c r="F392" s="16" t="n">
        <v>100000</v>
      </c>
      <c r="G392" s="5" t="s">
        <v>132</v>
      </c>
      <c r="H392" s="6" t="n">
        <v>156250</v>
      </c>
      <c r="I392" s="6" t="n">
        <v>125000</v>
      </c>
      <c r="J392" s="7" t="n">
        <f aca="false">E392*1.19</f>
        <v>148750</v>
      </c>
      <c r="K392" s="7" t="n">
        <f aca="false">F392*1.19</f>
        <v>119000</v>
      </c>
      <c r="L392" s="5" t="s">
        <v>84</v>
      </c>
      <c r="M392" s="5" t="s">
        <v>65</v>
      </c>
      <c r="N392" s="8" t="s">
        <v>1819</v>
      </c>
      <c r="O392" s="5" t="s">
        <v>1820</v>
      </c>
      <c r="V392" s="5" t="s">
        <v>1134</v>
      </c>
      <c r="X392" s="5" t="s">
        <v>139</v>
      </c>
      <c r="Y392" s="5" t="s">
        <v>73</v>
      </c>
      <c r="AI392" s="9" t="n">
        <v>44936</v>
      </c>
      <c r="AJ392" s="5" t="n">
        <v>48</v>
      </c>
      <c r="AK392" s="5" t="s">
        <v>433</v>
      </c>
      <c r="AL392" s="5" t="n">
        <v>3255</v>
      </c>
      <c r="AM392" s="5" t="s">
        <v>140</v>
      </c>
      <c r="AN392" s="5" t="s">
        <v>199</v>
      </c>
      <c r="AQ392" s="5" t="s">
        <v>77</v>
      </c>
      <c r="AR392" s="5" t="s">
        <v>143</v>
      </c>
      <c r="AS392" s="5" t="s">
        <v>73</v>
      </c>
      <c r="AT392" s="5" t="s">
        <v>78</v>
      </c>
      <c r="AW392" s="5" t="s">
        <v>201</v>
      </c>
      <c r="AX392" s="10" t="str">
        <f aca="false">IFERROR(INDEX('full database 2024'!ar:ar, MATCH(A392, 'full database 2024'!b:b, 0)), "")</f>
        <v/>
      </c>
      <c r="AZ392" s="5" t="s">
        <v>396</v>
      </c>
      <c r="BD392" s="9" t="n">
        <v>45596</v>
      </c>
      <c r="BE392" s="9" t="n">
        <v>45779</v>
      </c>
      <c r="BJ392" s="5" t="n">
        <v>2023</v>
      </c>
      <c r="BK392" s="11" t="n">
        <v>36526</v>
      </c>
    </row>
    <row r="393" customFormat="false" ht="16.5" hidden="false" customHeight="true" outlineLevel="0" collapsed="false">
      <c r="A393" s="5" t="s">
        <v>1821</v>
      </c>
      <c r="B393" s="5"/>
      <c r="C393" s="5"/>
      <c r="D393" s="5" t="s">
        <v>62</v>
      </c>
      <c r="E393" s="16" t="n">
        <v>125000</v>
      </c>
      <c r="F393" s="16" t="n">
        <v>100000</v>
      </c>
      <c r="G393" s="5" t="s">
        <v>132</v>
      </c>
      <c r="H393" s="6" t="n">
        <v>156250</v>
      </c>
      <c r="I393" s="6" t="n">
        <v>125000</v>
      </c>
      <c r="J393" s="7" t="n">
        <f aca="false">E393*1.19</f>
        <v>148750</v>
      </c>
      <c r="K393" s="7" t="n">
        <f aca="false">F393*1.19</f>
        <v>119000</v>
      </c>
      <c r="L393" s="5" t="s">
        <v>84</v>
      </c>
      <c r="M393" s="5" t="s">
        <v>65</v>
      </c>
      <c r="N393" s="8" t="s">
        <v>1822</v>
      </c>
      <c r="O393" s="5"/>
      <c r="V393" s="5" t="s">
        <v>770</v>
      </c>
      <c r="X393" s="5" t="s">
        <v>139</v>
      </c>
      <c r="Y393" s="5" t="s">
        <v>73</v>
      </c>
      <c r="AI393" s="9" t="n">
        <v>45293</v>
      </c>
      <c r="AJ393" s="5" t="n">
        <v>37</v>
      </c>
      <c r="AK393" s="5" t="s">
        <v>433</v>
      </c>
      <c r="AL393" s="5" t="n">
        <v>4223</v>
      </c>
      <c r="AM393" s="5" t="s">
        <v>140</v>
      </c>
      <c r="AN393" s="10" t="s">
        <v>1823</v>
      </c>
      <c r="AQ393" s="5" t="s">
        <v>77</v>
      </c>
      <c r="AR393" s="5" t="s">
        <v>143</v>
      </c>
      <c r="AS393" s="5" t="s">
        <v>73</v>
      </c>
      <c r="AT393" s="5" t="s">
        <v>374</v>
      </c>
      <c r="AW393" s="5" t="s">
        <v>94</v>
      </c>
      <c r="AX393" s="10" t="str">
        <f aca="false">IFERROR(INDEX('full database 2024'!ar:ar, MATCH(A393, 'full database 2024'!b:b, 0)), "")</f>
        <v/>
      </c>
      <c r="AZ393" s="5" t="s">
        <v>121</v>
      </c>
      <c r="BD393" s="9" t="n">
        <v>45596</v>
      </c>
      <c r="BE393" s="9" t="n">
        <v>45779</v>
      </c>
      <c r="BJ393" s="5" t="n">
        <v>2024</v>
      </c>
      <c r="BK393" s="11" t="n">
        <v>36892</v>
      </c>
    </row>
    <row r="394" customFormat="false" ht="16.5" hidden="false" customHeight="true" outlineLevel="0" collapsed="false">
      <c r="A394" s="5" t="s">
        <v>1824</v>
      </c>
      <c r="C394" s="5"/>
      <c r="D394" s="5" t="s">
        <v>62</v>
      </c>
      <c r="E394" s="16" t="n">
        <v>125000</v>
      </c>
      <c r="F394" s="16" t="n">
        <v>100000</v>
      </c>
      <c r="G394" s="5" t="s">
        <v>132</v>
      </c>
      <c r="H394" s="6" t="n">
        <v>156250</v>
      </c>
      <c r="I394" s="6" t="n">
        <v>125000</v>
      </c>
      <c r="J394" s="7" t="n">
        <f aca="false">E394*1.19</f>
        <v>148750</v>
      </c>
      <c r="K394" s="7" t="n">
        <f aca="false">F394*1.19</f>
        <v>119000</v>
      </c>
      <c r="L394" s="5" t="s">
        <v>84</v>
      </c>
      <c r="M394" s="5" t="s">
        <v>65</v>
      </c>
      <c r="N394" s="8" t="s">
        <v>1825</v>
      </c>
      <c r="V394" s="5" t="s">
        <v>1826</v>
      </c>
      <c r="X394" s="5" t="s">
        <v>139</v>
      </c>
      <c r="Y394" s="5" t="s">
        <v>73</v>
      </c>
      <c r="AI394" s="9" t="n">
        <v>44936</v>
      </c>
      <c r="AJ394" s="5" t="n">
        <v>42</v>
      </c>
      <c r="AK394" s="5" t="s">
        <v>433</v>
      </c>
      <c r="AL394" s="5" t="n">
        <v>3720</v>
      </c>
      <c r="AM394" s="5" t="s">
        <v>140</v>
      </c>
      <c r="AN394" s="5" t="s">
        <v>199</v>
      </c>
      <c r="AQ394" s="5" t="s">
        <v>77</v>
      </c>
      <c r="AR394" s="5" t="s">
        <v>143</v>
      </c>
      <c r="AS394" s="5" t="s">
        <v>73</v>
      </c>
      <c r="AT394" s="5" t="s">
        <v>374</v>
      </c>
      <c r="AW394" s="5" t="s">
        <v>201</v>
      </c>
      <c r="AX394" s="10" t="str">
        <f aca="false">IFERROR(INDEX('full database 2024'!ar:ar, MATCH(A394, 'full database 2024'!b:b, 0)), "")</f>
        <v/>
      </c>
      <c r="AZ394" s="5" t="s">
        <v>857</v>
      </c>
      <c r="BD394" s="9" t="n">
        <v>45596</v>
      </c>
      <c r="BE394" s="9" t="n">
        <v>45779</v>
      </c>
      <c r="BJ394" s="5" t="n">
        <v>2023</v>
      </c>
      <c r="BK394" s="11" t="n">
        <v>36526</v>
      </c>
    </row>
    <row r="395" customFormat="false" ht="16.5" hidden="false" customHeight="true" outlineLevel="0" collapsed="false">
      <c r="A395" s="5" t="s">
        <v>1827</v>
      </c>
      <c r="C395" s="5"/>
      <c r="D395" s="5" t="s">
        <v>62</v>
      </c>
      <c r="E395" s="16" t="n">
        <v>125000</v>
      </c>
      <c r="F395" s="16" t="n">
        <v>100000</v>
      </c>
      <c r="G395" s="5" t="s">
        <v>132</v>
      </c>
      <c r="H395" s="6" t="n">
        <v>156250</v>
      </c>
      <c r="I395" s="6" t="n">
        <v>125000</v>
      </c>
      <c r="J395" s="7" t="n">
        <f aca="false">E395*1.19</f>
        <v>148750</v>
      </c>
      <c r="K395" s="7" t="n">
        <f aca="false">F395*1.19</f>
        <v>119000</v>
      </c>
      <c r="L395" s="5" t="s">
        <v>84</v>
      </c>
      <c r="M395" s="5" t="s">
        <v>65</v>
      </c>
      <c r="N395" s="8" t="s">
        <v>1828</v>
      </c>
      <c r="V395" s="5" t="s">
        <v>1139</v>
      </c>
      <c r="X395" s="5" t="s">
        <v>139</v>
      </c>
      <c r="Y395" s="5" t="s">
        <v>73</v>
      </c>
      <c r="AI395" s="9" t="n">
        <v>44571</v>
      </c>
      <c r="AJ395" s="5" t="n">
        <v>49</v>
      </c>
      <c r="AK395" s="5" t="s">
        <v>433</v>
      </c>
      <c r="AL395" s="5" t="n">
        <v>3189</v>
      </c>
      <c r="AM395" s="5" t="s">
        <v>140</v>
      </c>
      <c r="AN395" s="5" t="s">
        <v>141</v>
      </c>
      <c r="AQ395" s="5" t="s">
        <v>77</v>
      </c>
      <c r="AR395" s="5" t="s">
        <v>143</v>
      </c>
      <c r="AS395" s="5" t="s">
        <v>73</v>
      </c>
      <c r="AT395" s="5" t="s">
        <v>105</v>
      </c>
      <c r="AU395" s="10" t="s">
        <v>106</v>
      </c>
      <c r="AW395" s="5" t="s">
        <v>201</v>
      </c>
      <c r="AX395" s="10" t="str">
        <f aca="false">IFERROR(INDEX('full database 2024'!ar:ar, MATCH(A395, 'full database 2024'!b:b, 0)), "")</f>
        <v/>
      </c>
      <c r="AZ395" s="5" t="s">
        <v>107</v>
      </c>
      <c r="BD395" s="9" t="n">
        <v>45596</v>
      </c>
      <c r="BE395" s="9" t="n">
        <v>45779</v>
      </c>
      <c r="BJ395" s="5" t="n">
        <v>2022</v>
      </c>
      <c r="BK395" s="11" t="n">
        <v>36526</v>
      </c>
    </row>
    <row r="396" customFormat="false" ht="16.5" hidden="false" customHeight="true" outlineLevel="0" collapsed="false">
      <c r="A396" s="5" t="s">
        <v>1829</v>
      </c>
      <c r="B396" s="5" t="s">
        <v>1830</v>
      </c>
      <c r="C396" s="5"/>
      <c r="D396" s="5" t="s">
        <v>62</v>
      </c>
      <c r="E396" s="16" t="n">
        <v>125000</v>
      </c>
      <c r="F396" s="16" t="n">
        <v>100000</v>
      </c>
      <c r="G396" s="5" t="s">
        <v>132</v>
      </c>
      <c r="H396" s="6" t="n">
        <v>156250</v>
      </c>
      <c r="I396" s="6" t="n">
        <v>125000</v>
      </c>
      <c r="J396" s="7" t="n">
        <f aca="false">E396*1.19</f>
        <v>148750</v>
      </c>
      <c r="K396" s="7" t="n">
        <f aca="false">F396*1.19</f>
        <v>119000</v>
      </c>
      <c r="L396" s="5" t="s">
        <v>84</v>
      </c>
      <c r="M396" s="5" t="s">
        <v>65</v>
      </c>
      <c r="N396" s="8" t="s">
        <v>1831</v>
      </c>
      <c r="O396" s="5" t="s">
        <v>1832</v>
      </c>
      <c r="T396" s="5" t="s">
        <v>1833</v>
      </c>
      <c r="V396" s="5" t="s">
        <v>688</v>
      </c>
      <c r="X396" s="5" t="s">
        <v>139</v>
      </c>
      <c r="Y396" s="5" t="s">
        <v>73</v>
      </c>
      <c r="AI396" s="9" t="n">
        <v>45196</v>
      </c>
      <c r="AJ396" s="5" t="n">
        <v>48</v>
      </c>
      <c r="AK396" s="5" t="s">
        <v>75</v>
      </c>
      <c r="AL396" s="5" t="n">
        <v>3255</v>
      </c>
      <c r="AM396" s="5" t="s">
        <v>140</v>
      </c>
      <c r="AN396" s="5" t="s">
        <v>141</v>
      </c>
      <c r="AQ396" s="5" t="s">
        <v>77</v>
      </c>
      <c r="AR396" s="5" t="s">
        <v>143</v>
      </c>
      <c r="AS396" s="5" t="s">
        <v>73</v>
      </c>
      <c r="AT396" s="5" t="s">
        <v>78</v>
      </c>
      <c r="AW396" s="5" t="s">
        <v>201</v>
      </c>
      <c r="AX396" s="10" t="str">
        <f aca="false">IFERROR(INDEX('full database 2024'!ar:ar, MATCH(A396, 'full database 2024'!b:b, 0)), "")</f>
        <v/>
      </c>
      <c r="AZ396" s="5" t="s">
        <v>396</v>
      </c>
      <c r="BD396" s="9" t="n">
        <v>45596</v>
      </c>
      <c r="BE396" s="9" t="n">
        <v>45779</v>
      </c>
      <c r="BJ396" s="5" t="n">
        <v>2023</v>
      </c>
      <c r="BK396" s="5" t="s">
        <v>1834</v>
      </c>
    </row>
    <row r="397" customFormat="false" ht="16.5" hidden="false" customHeight="true" outlineLevel="0" collapsed="false">
      <c r="A397" s="5" t="s">
        <v>1835</v>
      </c>
      <c r="B397" s="5"/>
      <c r="C397" s="5"/>
      <c r="D397" s="5" t="s">
        <v>62</v>
      </c>
      <c r="E397" s="16" t="n">
        <v>125000</v>
      </c>
      <c r="F397" s="16" t="n">
        <v>100000</v>
      </c>
      <c r="G397" s="5" t="s">
        <v>132</v>
      </c>
      <c r="H397" s="6" t="n">
        <v>156250</v>
      </c>
      <c r="I397" s="6" t="n">
        <v>125000</v>
      </c>
      <c r="J397" s="7" t="n">
        <f aca="false">E397*1.19</f>
        <v>148750</v>
      </c>
      <c r="K397" s="7" t="n">
        <f aca="false">F397*1.19</f>
        <v>119000</v>
      </c>
      <c r="L397" s="5" t="s">
        <v>84</v>
      </c>
      <c r="M397" s="5" t="s">
        <v>65</v>
      </c>
      <c r="N397" s="8" t="s">
        <v>1836</v>
      </c>
      <c r="O397" s="5"/>
      <c r="T397" s="5"/>
      <c r="V397" s="5" t="s">
        <v>1139</v>
      </c>
      <c r="X397" s="5" t="s">
        <v>139</v>
      </c>
      <c r="Y397" s="5" t="s">
        <v>73</v>
      </c>
      <c r="AI397" s="9" t="n">
        <v>44571</v>
      </c>
      <c r="AJ397" s="5" t="n">
        <v>49</v>
      </c>
      <c r="AK397" s="5" t="s">
        <v>433</v>
      </c>
      <c r="AL397" s="5" t="n">
        <v>3189</v>
      </c>
      <c r="AM397" s="5" t="s">
        <v>140</v>
      </c>
      <c r="AN397" s="5" t="s">
        <v>141</v>
      </c>
      <c r="AQ397" s="5" t="s">
        <v>77</v>
      </c>
      <c r="AR397" s="5" t="s">
        <v>143</v>
      </c>
      <c r="AS397" s="5" t="s">
        <v>73</v>
      </c>
      <c r="AT397" s="5" t="s">
        <v>105</v>
      </c>
      <c r="AU397" s="10" t="s">
        <v>106</v>
      </c>
      <c r="AW397" s="5" t="s">
        <v>201</v>
      </c>
      <c r="AX397" s="10" t="str">
        <f aca="false">IFERROR(INDEX('full database 2024'!ar:ar, MATCH(A397, 'full database 2024'!b:b, 0)), "")</f>
        <v/>
      </c>
      <c r="AZ397" s="5" t="s">
        <v>540</v>
      </c>
      <c r="BD397" s="9" t="n">
        <v>45596</v>
      </c>
      <c r="BE397" s="9" t="n">
        <v>45779</v>
      </c>
      <c r="BJ397" s="5" t="n">
        <v>2022</v>
      </c>
      <c r="BK397" s="11" t="n">
        <v>36526</v>
      </c>
    </row>
    <row r="398" customFormat="false" ht="16.5" hidden="false" customHeight="true" outlineLevel="0" collapsed="false">
      <c r="A398" s="5" t="s">
        <v>1837</v>
      </c>
      <c r="C398" s="5"/>
      <c r="D398" s="5" t="s">
        <v>62</v>
      </c>
      <c r="E398" s="16" t="n">
        <v>125000</v>
      </c>
      <c r="F398" s="16" t="n">
        <v>100000</v>
      </c>
      <c r="G398" s="5" t="s">
        <v>132</v>
      </c>
      <c r="H398" s="6" t="n">
        <v>156250</v>
      </c>
      <c r="I398" s="6" t="n">
        <v>125000</v>
      </c>
      <c r="J398" s="7" t="n">
        <f aca="false">E398*1.19</f>
        <v>148750</v>
      </c>
      <c r="K398" s="7" t="n">
        <f aca="false">F398*1.19</f>
        <v>119000</v>
      </c>
      <c r="L398" s="5" t="s">
        <v>84</v>
      </c>
      <c r="M398" s="5" t="s">
        <v>65</v>
      </c>
      <c r="N398" s="8" t="s">
        <v>1838</v>
      </c>
      <c r="V398" s="5" t="s">
        <v>770</v>
      </c>
      <c r="X398" s="5" t="s">
        <v>139</v>
      </c>
      <c r="Y398" s="5" t="s">
        <v>73</v>
      </c>
      <c r="AI398" s="9" t="n">
        <v>44936</v>
      </c>
      <c r="AJ398" s="5" t="n">
        <v>49</v>
      </c>
      <c r="AK398" s="5" t="s">
        <v>216</v>
      </c>
      <c r="AL398" s="5" t="n">
        <v>3189</v>
      </c>
      <c r="AM398" s="5" t="s">
        <v>140</v>
      </c>
      <c r="AN398" s="5" t="s">
        <v>141</v>
      </c>
      <c r="AQ398" s="5" t="s">
        <v>77</v>
      </c>
      <c r="AR398" s="5" t="s">
        <v>143</v>
      </c>
      <c r="AS398" s="5" t="s">
        <v>73</v>
      </c>
      <c r="AT398" s="5" t="s">
        <v>71</v>
      </c>
      <c r="AW398" s="5" t="s">
        <v>201</v>
      </c>
      <c r="AX398" s="10" t="str">
        <f aca="false">IFERROR(INDEX('full database 2024'!ar:ar, MATCH(A398, 'full database 2024'!b:b, 0)), "")</f>
        <v/>
      </c>
      <c r="AZ398" s="5" t="s">
        <v>309</v>
      </c>
      <c r="BD398" s="9" t="n">
        <v>45596</v>
      </c>
      <c r="BE398" s="9" t="n">
        <v>45779</v>
      </c>
      <c r="BJ398" s="5" t="n">
        <v>2023</v>
      </c>
      <c r="BK398" s="11" t="n">
        <v>36526</v>
      </c>
    </row>
    <row r="399" customFormat="false" ht="16.5" hidden="false" customHeight="true" outlineLevel="0" collapsed="false">
      <c r="A399" s="5" t="s">
        <v>1839</v>
      </c>
      <c r="C399" s="5"/>
      <c r="D399" s="5" t="s">
        <v>62</v>
      </c>
      <c r="E399" s="16" t="n">
        <v>125000</v>
      </c>
      <c r="F399" s="16" t="n">
        <v>100000</v>
      </c>
      <c r="G399" s="5" t="s">
        <v>132</v>
      </c>
      <c r="H399" s="6" t="n">
        <v>156250</v>
      </c>
      <c r="I399" s="6" t="n">
        <v>125000</v>
      </c>
      <c r="J399" s="7" t="n">
        <f aca="false">E399*1.19</f>
        <v>148750</v>
      </c>
      <c r="K399" s="7" t="n">
        <f aca="false">F399*1.19</f>
        <v>119000</v>
      </c>
      <c r="L399" s="5" t="s">
        <v>84</v>
      </c>
      <c r="M399" s="5" t="s">
        <v>65</v>
      </c>
      <c r="N399" s="8" t="s">
        <v>1840</v>
      </c>
      <c r="V399" s="5" t="s">
        <v>1817</v>
      </c>
      <c r="X399" s="5" t="s">
        <v>139</v>
      </c>
      <c r="Y399" s="5" t="s">
        <v>73</v>
      </c>
      <c r="AI399" s="9" t="n">
        <v>44206</v>
      </c>
      <c r="AJ399" s="5" t="n">
        <v>48</v>
      </c>
      <c r="AK399" s="5" t="s">
        <v>433</v>
      </c>
      <c r="AL399" s="5" t="n">
        <v>3255</v>
      </c>
      <c r="AM399" s="5" t="s">
        <v>140</v>
      </c>
      <c r="AN399" s="25" t="s">
        <v>1539</v>
      </c>
      <c r="AQ399" s="5" t="s">
        <v>77</v>
      </c>
      <c r="AR399" s="5" t="s">
        <v>143</v>
      </c>
      <c r="AS399" s="5" t="s">
        <v>73</v>
      </c>
      <c r="AT399" s="5" t="s">
        <v>78</v>
      </c>
      <c r="AW399" s="5" t="s">
        <v>201</v>
      </c>
      <c r="AX399" s="10" t="str">
        <f aca="false">IFERROR(INDEX('full database 2024'!ar:ar, MATCH(A399, 'full database 2024'!b:b, 0)), "")</f>
        <v/>
      </c>
      <c r="AZ399" s="5" t="s">
        <v>287</v>
      </c>
      <c r="BD399" s="9" t="n">
        <v>45596</v>
      </c>
      <c r="BE399" s="9" t="n">
        <v>45779</v>
      </c>
      <c r="BJ399" s="5" t="n">
        <v>2021</v>
      </c>
      <c r="BK399" s="11" t="n">
        <v>36526</v>
      </c>
    </row>
    <row r="400" customFormat="false" ht="16.5" hidden="false" customHeight="true" outlineLevel="0" collapsed="false">
      <c r="A400" s="5" t="s">
        <v>1841</v>
      </c>
      <c r="B400" s="5" t="s">
        <v>1842</v>
      </c>
      <c r="C400" s="5"/>
      <c r="D400" s="5" t="s">
        <v>62</v>
      </c>
      <c r="E400" s="16" t="n">
        <v>125000</v>
      </c>
      <c r="F400" s="16" t="n">
        <v>100000</v>
      </c>
      <c r="G400" s="5" t="s">
        <v>132</v>
      </c>
      <c r="H400" s="6" t="n">
        <v>0</v>
      </c>
      <c r="I400" s="6" t="n">
        <v>0</v>
      </c>
      <c r="J400" s="7" t="n">
        <f aca="false">E400*1.19</f>
        <v>148750</v>
      </c>
      <c r="K400" s="7" t="n">
        <f aca="false">F400*1.19</f>
        <v>119000</v>
      </c>
      <c r="L400" s="5" t="s">
        <v>84</v>
      </c>
      <c r="M400" s="5"/>
      <c r="N400" s="8" t="s">
        <v>1843</v>
      </c>
      <c r="O400" s="5" t="s">
        <v>1844</v>
      </c>
      <c r="T400" s="5" t="s">
        <v>1845</v>
      </c>
      <c r="V400" s="5" t="s">
        <v>1826</v>
      </c>
      <c r="X400" s="5" t="s">
        <v>139</v>
      </c>
      <c r="Y400" s="5" t="s">
        <v>73</v>
      </c>
      <c r="AI400" s="9" t="n">
        <v>45200</v>
      </c>
      <c r="AJ400" s="5"/>
      <c r="AK400" s="5"/>
      <c r="AL400" s="5" t="n">
        <v>0</v>
      </c>
      <c r="AM400" s="5" t="s">
        <v>140</v>
      </c>
      <c r="AN400" s="5" t="s">
        <v>199</v>
      </c>
      <c r="AQ400" s="5" t="s">
        <v>77</v>
      </c>
      <c r="AR400" s="5" t="s">
        <v>143</v>
      </c>
      <c r="AS400" s="5" t="s">
        <v>73</v>
      </c>
      <c r="AT400" s="5" t="s">
        <v>374</v>
      </c>
      <c r="AW400" s="5" t="s">
        <v>201</v>
      </c>
      <c r="AX400" s="10" t="str">
        <f aca="false">IFERROR(INDEX('full database 2024'!ar:ar, MATCH(A400, 'full database 2024'!b:b, 0)), "")</f>
        <v/>
      </c>
      <c r="AZ400" s="5" t="s">
        <v>396</v>
      </c>
      <c r="BD400" s="9" t="n">
        <v>45671</v>
      </c>
      <c r="BE400" s="9" t="n">
        <v>45779</v>
      </c>
      <c r="BJ400" s="5" t="n">
        <v>2023</v>
      </c>
      <c r="BK400" s="5" t="s">
        <v>1846</v>
      </c>
    </row>
    <row r="401" customFormat="false" ht="16.5" hidden="false" customHeight="true" outlineLevel="0" collapsed="false">
      <c r="A401" s="5" t="s">
        <v>1847</v>
      </c>
      <c r="B401" s="5" t="s">
        <v>1848</v>
      </c>
      <c r="C401" s="5"/>
      <c r="D401" s="5" t="s">
        <v>62</v>
      </c>
      <c r="E401" s="16" t="n">
        <v>125000</v>
      </c>
      <c r="F401" s="16" t="n">
        <v>100000</v>
      </c>
      <c r="G401" s="5" t="s">
        <v>132</v>
      </c>
      <c r="H401" s="6" t="n">
        <v>0</v>
      </c>
      <c r="I401" s="6" t="n">
        <v>0</v>
      </c>
      <c r="J401" s="7" t="n">
        <f aca="false">E401*1.19</f>
        <v>148750</v>
      </c>
      <c r="K401" s="7" t="n">
        <f aca="false">F401*1.19</f>
        <v>119000</v>
      </c>
      <c r="L401" s="5" t="s">
        <v>84</v>
      </c>
      <c r="N401" s="8" t="s">
        <v>1849</v>
      </c>
      <c r="O401" s="5" t="s">
        <v>1850</v>
      </c>
      <c r="T401" s="5" t="s">
        <v>1851</v>
      </c>
      <c r="V401" s="5" t="s">
        <v>197</v>
      </c>
      <c r="X401" s="5" t="s">
        <v>139</v>
      </c>
      <c r="Y401" s="5" t="s">
        <v>73</v>
      </c>
      <c r="AI401" s="9" t="n">
        <v>45199</v>
      </c>
      <c r="AL401" s="5" t="n">
        <v>0</v>
      </c>
      <c r="AM401" s="5" t="s">
        <v>140</v>
      </c>
      <c r="AN401" s="25" t="s">
        <v>1539</v>
      </c>
      <c r="AQ401" s="5" t="s">
        <v>77</v>
      </c>
      <c r="AR401" s="5" t="s">
        <v>143</v>
      </c>
      <c r="AS401" s="5" t="s">
        <v>73</v>
      </c>
      <c r="AT401" s="5" t="s">
        <v>374</v>
      </c>
      <c r="AW401" s="5" t="s">
        <v>94</v>
      </c>
      <c r="AX401" s="10" t="str">
        <f aca="false">IFERROR(INDEX('full database 2024'!ar:ar, MATCH(A401, 'full database 2024'!b:b, 0)), "")</f>
        <v/>
      </c>
      <c r="AZ401" s="5" t="s">
        <v>399</v>
      </c>
      <c r="BD401" s="9" t="n">
        <v>45671</v>
      </c>
      <c r="BE401" s="9" t="n">
        <v>45779</v>
      </c>
      <c r="BJ401" s="5" t="n">
        <v>2023</v>
      </c>
      <c r="BK401" s="5" t="s">
        <v>1852</v>
      </c>
    </row>
    <row r="402" customFormat="false" ht="16.5" hidden="false" customHeight="true" outlineLevel="0" collapsed="false">
      <c r="A402" s="5" t="s">
        <v>1002</v>
      </c>
      <c r="B402" s="5"/>
      <c r="C402" s="5"/>
      <c r="D402" s="5" t="s">
        <v>62</v>
      </c>
      <c r="E402" s="5" t="n">
        <v>124286</v>
      </c>
      <c r="F402" s="5" t="n">
        <v>124286</v>
      </c>
      <c r="G402" s="5" t="s">
        <v>147</v>
      </c>
      <c r="H402" s="6" t="n">
        <v>135472</v>
      </c>
      <c r="I402" s="6" t="n">
        <v>135472</v>
      </c>
      <c r="J402" s="7" t="n">
        <v>124286</v>
      </c>
      <c r="K402" s="7" t="n">
        <v>124286</v>
      </c>
      <c r="L402" s="5" t="s">
        <v>84</v>
      </c>
      <c r="M402" s="5" t="s">
        <v>65</v>
      </c>
      <c r="N402" s="5"/>
      <c r="O402" s="5"/>
      <c r="T402" s="5"/>
      <c r="V402" s="5" t="s">
        <v>1853</v>
      </c>
      <c r="X402" s="5" t="s">
        <v>151</v>
      </c>
      <c r="Y402" s="5" t="s">
        <v>73</v>
      </c>
      <c r="AI402" s="9"/>
      <c r="AL402" s="5" t="n">
        <v>135472</v>
      </c>
      <c r="AM402" s="5" t="s">
        <v>153</v>
      </c>
      <c r="AQ402" s="5" t="s">
        <v>77</v>
      </c>
      <c r="AR402" s="5" t="s">
        <v>151</v>
      </c>
      <c r="AS402" s="5" t="s">
        <v>73</v>
      </c>
      <c r="AT402" s="5" t="s">
        <v>78</v>
      </c>
      <c r="AW402" s="5" t="s">
        <v>94</v>
      </c>
      <c r="AX402" s="10" t="str">
        <f aca="false">IFERROR(INDEX('full database 2024'!ar:ar, MATCH(A402, 'full database 2024'!b:b, 0)), "")</f>
        <v/>
      </c>
      <c r="AZ402" s="5" t="s">
        <v>309</v>
      </c>
      <c r="BD402" s="9" t="n">
        <v>45596</v>
      </c>
      <c r="BE402" s="9" t="n">
        <v>45596</v>
      </c>
      <c r="BJ402" s="5" t="n">
        <v>2023</v>
      </c>
      <c r="BK402" s="5"/>
    </row>
    <row r="403" customFormat="false" ht="16.5" hidden="false" customHeight="true" outlineLevel="0" collapsed="false">
      <c r="A403" s="5" t="s">
        <v>1854</v>
      </c>
      <c r="C403" s="5"/>
      <c r="D403" s="5" t="s">
        <v>62</v>
      </c>
      <c r="E403" s="5" t="n">
        <v>124268</v>
      </c>
      <c r="F403" s="5" t="n">
        <v>124268</v>
      </c>
      <c r="G403" s="5" t="s">
        <v>147</v>
      </c>
      <c r="H403" s="6" t="n">
        <v>135452</v>
      </c>
      <c r="I403" s="6" t="n">
        <v>135452</v>
      </c>
      <c r="J403" s="7" t="n">
        <v>124268</v>
      </c>
      <c r="K403" s="7" t="n">
        <v>124268</v>
      </c>
      <c r="L403" s="5" t="s">
        <v>84</v>
      </c>
      <c r="M403" s="5" t="s">
        <v>65</v>
      </c>
      <c r="N403" s="8" t="s">
        <v>1855</v>
      </c>
      <c r="V403" s="5" t="s">
        <v>1856</v>
      </c>
      <c r="X403" s="5" t="s">
        <v>151</v>
      </c>
      <c r="Y403" s="5" t="s">
        <v>73</v>
      </c>
      <c r="AI403" s="9" t="n">
        <v>45397</v>
      </c>
      <c r="AL403" s="5" t="n">
        <v>135452</v>
      </c>
      <c r="AM403" s="5" t="s">
        <v>153</v>
      </c>
      <c r="AQ403" s="5" t="s">
        <v>77</v>
      </c>
      <c r="AR403" s="5" t="s">
        <v>151</v>
      </c>
      <c r="AS403" s="5" t="s">
        <v>73</v>
      </c>
      <c r="AT403" s="5" t="s">
        <v>78</v>
      </c>
      <c r="AU403" s="10" t="s">
        <v>259</v>
      </c>
      <c r="AW403" s="5" t="s">
        <v>94</v>
      </c>
      <c r="AX403" s="10" t="str">
        <f aca="false">IFERROR(INDEX('full database 2024'!ar:ar, MATCH(A403, 'full database 2024'!b:b, 0)), "")</f>
        <v/>
      </c>
      <c r="AZ403" s="5" t="s">
        <v>129</v>
      </c>
      <c r="BD403" s="9" t="n">
        <v>45596</v>
      </c>
      <c r="BE403" s="9" t="n">
        <v>45779</v>
      </c>
      <c r="BJ403" s="5" t="n">
        <v>2024</v>
      </c>
      <c r="BK403" s="5" t="s">
        <v>1039</v>
      </c>
    </row>
    <row r="404" customFormat="false" ht="16.5" hidden="false" customHeight="true" outlineLevel="0" collapsed="false">
      <c r="A404" s="5" t="s">
        <v>1857</v>
      </c>
      <c r="C404" s="5"/>
      <c r="D404" s="5" t="s">
        <v>62</v>
      </c>
      <c r="E404" s="16" t="n">
        <v>123000</v>
      </c>
      <c r="F404" s="16" t="n">
        <v>98397</v>
      </c>
      <c r="G404" s="5" t="s">
        <v>132</v>
      </c>
      <c r="H404" s="6" t="n">
        <v>140220</v>
      </c>
      <c r="I404" s="6" t="n">
        <v>112173</v>
      </c>
      <c r="J404" s="7" t="n">
        <f aca="false">E404*1.19</f>
        <v>146370</v>
      </c>
      <c r="K404" s="7" t="n">
        <f aca="false">F404*1.19</f>
        <v>117092.43</v>
      </c>
      <c r="L404" s="5" t="s">
        <v>84</v>
      </c>
      <c r="M404" s="5" t="s">
        <v>65</v>
      </c>
      <c r="N404" s="8" t="s">
        <v>1858</v>
      </c>
      <c r="P404" s="5"/>
      <c r="Q404" s="5"/>
      <c r="R404" s="5" t="s">
        <v>670</v>
      </c>
      <c r="T404" s="5" t="s">
        <v>1859</v>
      </c>
      <c r="V404" s="5" t="s">
        <v>1860</v>
      </c>
      <c r="W404" s="5" t="s">
        <v>102</v>
      </c>
      <c r="X404" s="5" t="s">
        <v>139</v>
      </c>
      <c r="Y404" s="5" t="s">
        <v>73</v>
      </c>
      <c r="AE404" s="5" t="s">
        <v>117</v>
      </c>
      <c r="AI404" s="9" t="n">
        <v>43831</v>
      </c>
      <c r="AJ404" s="5" t="n">
        <v>0.5</v>
      </c>
      <c r="AK404" s="5" t="s">
        <v>75</v>
      </c>
      <c r="AL404" s="5" t="n">
        <v>140220</v>
      </c>
      <c r="AM404" s="5" t="s">
        <v>140</v>
      </c>
      <c r="AN404" s="5" t="s">
        <v>699</v>
      </c>
      <c r="AQ404" s="5" t="s">
        <v>77</v>
      </c>
      <c r="AR404" s="5" t="s">
        <v>143</v>
      </c>
      <c r="AS404" s="5" t="s">
        <v>73</v>
      </c>
      <c r="AT404" s="5" t="s">
        <v>78</v>
      </c>
      <c r="AW404" s="5" t="s">
        <v>94</v>
      </c>
      <c r="AX404" s="10" t="str">
        <f aca="false">IFERROR(INDEX('full database 2024'!ar:ar, MATCH(A404, 'full database 2024'!b:b, 0)), "")</f>
        <v/>
      </c>
      <c r="AZ404" s="5" t="s">
        <v>399</v>
      </c>
      <c r="BD404" s="9" t="n">
        <v>45377</v>
      </c>
      <c r="BE404" s="9" t="n">
        <v>45779</v>
      </c>
      <c r="BI404" s="5" t="s">
        <v>81</v>
      </c>
      <c r="BJ404" s="5" t="n">
        <v>2020</v>
      </c>
      <c r="BK404" s="5"/>
    </row>
    <row r="405" customFormat="false" ht="16.5" hidden="false" customHeight="true" outlineLevel="0" collapsed="false">
      <c r="A405" s="5" t="s">
        <v>1861</v>
      </c>
      <c r="C405" s="5"/>
      <c r="D405" s="5" t="s">
        <v>62</v>
      </c>
      <c r="E405" s="16" t="n">
        <v>122900</v>
      </c>
      <c r="F405" s="16" t="n">
        <v>98340</v>
      </c>
      <c r="G405" s="5" t="s">
        <v>132</v>
      </c>
      <c r="H405" s="6" t="n">
        <v>140106</v>
      </c>
      <c r="I405" s="6" t="n">
        <v>112108</v>
      </c>
      <c r="J405" s="7" t="n">
        <f aca="false">E405*1.19</f>
        <v>146251</v>
      </c>
      <c r="K405" s="7" t="n">
        <f aca="false">F405*1.19</f>
        <v>117024.6</v>
      </c>
      <c r="L405" s="5" t="s">
        <v>84</v>
      </c>
      <c r="M405" s="5" t="s">
        <v>65</v>
      </c>
      <c r="N405" s="8" t="s">
        <v>1862</v>
      </c>
      <c r="P405" s="5"/>
      <c r="Q405" s="5"/>
      <c r="R405" s="5" t="s">
        <v>670</v>
      </c>
      <c r="T405" s="5" t="s">
        <v>1863</v>
      </c>
      <c r="V405" s="5" t="s">
        <v>1864</v>
      </c>
      <c r="W405" s="5" t="s">
        <v>102</v>
      </c>
      <c r="X405" s="5" t="s">
        <v>139</v>
      </c>
      <c r="Y405" s="5" t="s">
        <v>73</v>
      </c>
      <c r="AE405" s="5" t="s">
        <v>117</v>
      </c>
      <c r="AI405" s="9" t="n">
        <v>43831</v>
      </c>
      <c r="AJ405" s="5" t="n">
        <v>0.5</v>
      </c>
      <c r="AK405" s="5" t="s">
        <v>75</v>
      </c>
      <c r="AL405" s="5" t="n">
        <v>140106</v>
      </c>
      <c r="AM405" s="5" t="s">
        <v>140</v>
      </c>
      <c r="AN405" s="5" t="s">
        <v>699</v>
      </c>
      <c r="AQ405" s="5" t="s">
        <v>77</v>
      </c>
      <c r="AR405" s="5" t="s">
        <v>143</v>
      </c>
      <c r="AS405" s="5" t="s">
        <v>73</v>
      </c>
      <c r="AT405" s="5" t="s">
        <v>78</v>
      </c>
      <c r="AW405" s="5" t="s">
        <v>94</v>
      </c>
      <c r="AX405" s="10" t="str">
        <f aca="false">IFERROR(INDEX('full database 2024'!ar:ar, MATCH(A405, 'full database 2024'!b:b, 0)), "")</f>
        <v/>
      </c>
      <c r="AY405" s="5" t="s">
        <v>1865</v>
      </c>
      <c r="AZ405" s="5" t="s">
        <v>188</v>
      </c>
      <c r="BD405" s="9" t="n">
        <v>45377</v>
      </c>
      <c r="BE405" s="9" t="n">
        <v>45779</v>
      </c>
      <c r="BI405" s="5" t="s">
        <v>81</v>
      </c>
      <c r="BJ405" s="5" t="n">
        <v>2020</v>
      </c>
    </row>
    <row r="406" customFormat="false" ht="16.5" hidden="false" customHeight="true" outlineLevel="0" collapsed="false">
      <c r="A406" s="5" t="s">
        <v>1866</v>
      </c>
      <c r="B406" s="5" t="s">
        <v>1867</v>
      </c>
      <c r="C406" s="5"/>
      <c r="D406" s="5" t="s">
        <v>62</v>
      </c>
      <c r="E406" s="16" t="n">
        <v>99988</v>
      </c>
      <c r="F406" s="16" t="n">
        <v>99988</v>
      </c>
      <c r="G406" s="5" t="s">
        <v>132</v>
      </c>
      <c r="H406" s="6" t="n">
        <v>136713</v>
      </c>
      <c r="I406" s="6" t="n">
        <v>136713</v>
      </c>
      <c r="J406" s="7" t="n">
        <f aca="false">E406*1.19</f>
        <v>118985.72</v>
      </c>
      <c r="K406" s="7" t="n">
        <f aca="false">F406*1.19</f>
        <v>118985.72</v>
      </c>
      <c r="L406" s="5" t="s">
        <v>84</v>
      </c>
      <c r="M406" s="5" t="s">
        <v>65</v>
      </c>
      <c r="N406" s="8" t="s">
        <v>1868</v>
      </c>
      <c r="O406" s="5" t="s">
        <v>1869</v>
      </c>
      <c r="P406" s="5"/>
      <c r="Q406" s="5"/>
      <c r="R406" s="5"/>
      <c r="T406" s="5" t="s">
        <v>1870</v>
      </c>
      <c r="V406" s="5" t="s">
        <v>1871</v>
      </c>
      <c r="W406" s="5" t="s">
        <v>102</v>
      </c>
      <c r="X406" s="5" t="s">
        <v>139</v>
      </c>
      <c r="Y406" s="5" t="s">
        <v>73</v>
      </c>
      <c r="AE406" s="5" t="s">
        <v>117</v>
      </c>
      <c r="AI406" s="9" t="n">
        <v>44136</v>
      </c>
      <c r="AJ406" s="5"/>
      <c r="AK406" s="5"/>
      <c r="AL406" s="5" t="n">
        <v>136713</v>
      </c>
      <c r="AM406" s="5" t="s">
        <v>140</v>
      </c>
      <c r="AN406" s="5" t="s">
        <v>699</v>
      </c>
      <c r="AQ406" s="5" t="s">
        <v>77</v>
      </c>
      <c r="AR406" s="5" t="s">
        <v>143</v>
      </c>
      <c r="AS406" s="5" t="s">
        <v>73</v>
      </c>
      <c r="AT406" s="5" t="s">
        <v>374</v>
      </c>
      <c r="AW406" s="5" t="s">
        <v>94</v>
      </c>
      <c r="AX406" s="10" t="str">
        <f aca="false">IFERROR(INDEX('full database 2024'!ar:ar, MATCH(A406, 'full database 2024'!b:b, 0)), "")</f>
        <v/>
      </c>
      <c r="AZ406" s="5" t="s">
        <v>540</v>
      </c>
      <c r="BD406" s="9" t="n">
        <v>45377</v>
      </c>
      <c r="BE406" s="9" t="n">
        <v>45779</v>
      </c>
      <c r="BI406" s="5" t="s">
        <v>81</v>
      </c>
      <c r="BJ406" s="5" t="n">
        <v>2020</v>
      </c>
      <c r="BK406" s="11" t="n">
        <v>44200</v>
      </c>
    </row>
    <row r="407" customFormat="false" ht="16.5" hidden="false" customHeight="true" outlineLevel="0" collapsed="false">
      <c r="A407" s="5" t="s">
        <v>1872</v>
      </c>
      <c r="B407" s="5" t="s">
        <v>1873</v>
      </c>
      <c r="C407" s="5"/>
      <c r="D407" s="5" t="s">
        <v>62</v>
      </c>
      <c r="E407" s="16" t="n">
        <v>125000</v>
      </c>
      <c r="F407" s="16" t="n">
        <v>100000</v>
      </c>
      <c r="G407" s="5" t="s">
        <v>132</v>
      </c>
      <c r="H407" s="6" t="n">
        <v>0</v>
      </c>
      <c r="I407" s="6" t="n">
        <v>0</v>
      </c>
      <c r="J407" s="7" t="n">
        <f aca="false">E407*1.19</f>
        <v>148750</v>
      </c>
      <c r="K407" s="7" t="n">
        <f aca="false">F407*1.19</f>
        <v>119000</v>
      </c>
      <c r="L407" s="5" t="s">
        <v>84</v>
      </c>
      <c r="M407" s="5" t="s">
        <v>65</v>
      </c>
      <c r="N407" s="8" t="s">
        <v>1874</v>
      </c>
      <c r="O407" s="5" t="s">
        <v>1875</v>
      </c>
      <c r="T407" s="5" t="s">
        <v>1876</v>
      </c>
      <c r="V407" s="5" t="s">
        <v>247</v>
      </c>
      <c r="W407" s="5" t="s">
        <v>384</v>
      </c>
      <c r="X407" s="5" t="s">
        <v>139</v>
      </c>
      <c r="Y407" s="5" t="s">
        <v>73</v>
      </c>
      <c r="AD407" s="5" t="s">
        <v>1877</v>
      </c>
      <c r="AE407" s="5" t="s">
        <v>74</v>
      </c>
      <c r="AI407" s="9" t="n">
        <v>44470</v>
      </c>
      <c r="AL407" s="5" t="n">
        <v>139240</v>
      </c>
      <c r="AM407" s="5" t="s">
        <v>140</v>
      </c>
      <c r="AN407" s="5" t="s">
        <v>199</v>
      </c>
      <c r="AQ407" s="5" t="s">
        <v>77</v>
      </c>
      <c r="AR407" s="5" t="s">
        <v>143</v>
      </c>
      <c r="AS407" s="5" t="s">
        <v>73</v>
      </c>
      <c r="AT407" s="5" t="s">
        <v>78</v>
      </c>
      <c r="AW407" s="5" t="s">
        <v>201</v>
      </c>
      <c r="AX407" s="10" t="str">
        <f aca="false">IFERROR(INDEX('full database 2024'!ar:ar, MATCH(A407, 'full database 2024'!b:b, 0)), "")</f>
        <v/>
      </c>
      <c r="AZ407" s="5" t="s">
        <v>309</v>
      </c>
      <c r="BD407" s="9" t="n">
        <v>45377</v>
      </c>
      <c r="BE407" s="9" t="n">
        <v>45779</v>
      </c>
      <c r="BI407" s="5" t="s">
        <v>81</v>
      </c>
      <c r="BJ407" s="5" t="n">
        <v>2021</v>
      </c>
      <c r="BK407" s="11" t="n">
        <v>45666</v>
      </c>
    </row>
    <row r="408" customFormat="false" ht="16.5" hidden="false" customHeight="true" outlineLevel="0" collapsed="false">
      <c r="A408" s="5" t="s">
        <v>1878</v>
      </c>
      <c r="B408" s="5" t="s">
        <v>1879</v>
      </c>
      <c r="C408" s="5"/>
      <c r="D408" s="5" t="s">
        <v>62</v>
      </c>
      <c r="E408" s="16" t="n">
        <v>125000</v>
      </c>
      <c r="F408" s="16" t="n">
        <v>100000</v>
      </c>
      <c r="G408" s="5" t="s">
        <v>132</v>
      </c>
      <c r="H408" s="6" t="n">
        <v>0</v>
      </c>
      <c r="I408" s="6" t="n">
        <v>0</v>
      </c>
      <c r="J408" s="7" t="n">
        <f aca="false">E408*1.19</f>
        <v>148750</v>
      </c>
      <c r="K408" s="7" t="n">
        <f aca="false">F408*1.19</f>
        <v>119000</v>
      </c>
      <c r="L408" s="5" t="s">
        <v>84</v>
      </c>
      <c r="M408" s="5" t="s">
        <v>65</v>
      </c>
      <c r="N408" s="8" t="s">
        <v>1880</v>
      </c>
      <c r="O408" s="5" t="s">
        <v>1881</v>
      </c>
      <c r="T408" s="5" t="s">
        <v>1882</v>
      </c>
      <c r="V408" s="5" t="s">
        <v>1883</v>
      </c>
      <c r="W408" s="5" t="s">
        <v>384</v>
      </c>
      <c r="X408" s="5" t="s">
        <v>139</v>
      </c>
      <c r="Y408" s="5" t="s">
        <v>73</v>
      </c>
      <c r="AD408" s="5" t="s">
        <v>1884</v>
      </c>
      <c r="AE408" s="5" t="s">
        <v>74</v>
      </c>
      <c r="AI408" s="9" t="n">
        <v>44440</v>
      </c>
      <c r="AL408" s="5" t="n">
        <v>139240</v>
      </c>
      <c r="AM408" s="5" t="s">
        <v>140</v>
      </c>
      <c r="AN408" s="5" t="s">
        <v>141</v>
      </c>
      <c r="AQ408" s="5" t="s">
        <v>77</v>
      </c>
      <c r="AR408" s="5" t="s">
        <v>143</v>
      </c>
      <c r="AS408" s="5" t="s">
        <v>73</v>
      </c>
      <c r="AT408" s="5" t="s">
        <v>78</v>
      </c>
      <c r="AW408" s="5" t="s">
        <v>201</v>
      </c>
      <c r="AX408" s="10" t="str">
        <f aca="false">IFERROR(INDEX('full database 2024'!ar:ar, MATCH(A408, 'full database 2024'!b:b, 0)), "")</f>
        <v/>
      </c>
      <c r="AZ408" s="5" t="s">
        <v>129</v>
      </c>
      <c r="BD408" s="9" t="n">
        <v>45377</v>
      </c>
      <c r="BE408" s="9" t="n">
        <v>45779</v>
      </c>
      <c r="BI408" s="5" t="s">
        <v>81</v>
      </c>
      <c r="BJ408" s="5" t="n">
        <v>2021</v>
      </c>
      <c r="BK408" s="11" t="n">
        <v>45666</v>
      </c>
    </row>
    <row r="409" customFormat="false" ht="16.5" hidden="false" customHeight="true" outlineLevel="0" collapsed="false">
      <c r="A409" s="5" t="s">
        <v>1885</v>
      </c>
      <c r="C409" s="5"/>
      <c r="D409" s="5" t="s">
        <v>62</v>
      </c>
      <c r="E409" s="16" t="n">
        <v>125000</v>
      </c>
      <c r="F409" s="16" t="n">
        <v>100000</v>
      </c>
      <c r="G409" s="5" t="s">
        <v>132</v>
      </c>
      <c r="H409" s="6" t="n">
        <v>0</v>
      </c>
      <c r="I409" s="6" t="n">
        <v>0</v>
      </c>
      <c r="J409" s="7" t="n">
        <f aca="false">E409*1.19</f>
        <v>148750</v>
      </c>
      <c r="K409" s="7" t="n">
        <f aca="false">F409*1.19</f>
        <v>119000</v>
      </c>
      <c r="L409" s="5" t="s">
        <v>84</v>
      </c>
      <c r="M409" s="5" t="s">
        <v>65</v>
      </c>
      <c r="N409" s="8" t="s">
        <v>1886</v>
      </c>
      <c r="T409" s="5" t="s">
        <v>1887</v>
      </c>
      <c r="V409" s="5" t="s">
        <v>1888</v>
      </c>
      <c r="W409" s="5" t="s">
        <v>384</v>
      </c>
      <c r="X409" s="5" t="s">
        <v>139</v>
      </c>
      <c r="Y409" s="5" t="s">
        <v>73</v>
      </c>
      <c r="AD409" s="5" t="s">
        <v>1702</v>
      </c>
      <c r="AE409" s="5" t="s">
        <v>74</v>
      </c>
      <c r="AI409" s="9" t="n">
        <v>44105</v>
      </c>
      <c r="AL409" s="5" t="n">
        <v>134520</v>
      </c>
      <c r="AM409" s="5" t="s">
        <v>140</v>
      </c>
      <c r="AN409" s="5" t="s">
        <v>199</v>
      </c>
      <c r="AQ409" s="5" t="s">
        <v>77</v>
      </c>
      <c r="AR409" s="5" t="s">
        <v>143</v>
      </c>
      <c r="AS409" s="5" t="s">
        <v>73</v>
      </c>
      <c r="AT409" s="5" t="s">
        <v>105</v>
      </c>
      <c r="AU409" s="10" t="s">
        <v>186</v>
      </c>
      <c r="AW409" s="5" t="s">
        <v>201</v>
      </c>
      <c r="AX409" s="10" t="str">
        <f aca="false">IFERROR(INDEX('full database 2024'!ar:ar, MATCH(A409, 'full database 2024'!b:b, 0)), "")</f>
        <v/>
      </c>
      <c r="AZ409" s="5" t="s">
        <v>396</v>
      </c>
      <c r="BD409" s="9" t="n">
        <v>45377</v>
      </c>
      <c r="BE409" s="9" t="n">
        <v>45779</v>
      </c>
      <c r="BI409" s="5" t="s">
        <v>81</v>
      </c>
      <c r="BJ409" s="5" t="n">
        <v>2020</v>
      </c>
      <c r="BK409" s="11" t="n">
        <v>45300</v>
      </c>
    </row>
    <row r="410" customFormat="false" ht="16.5" hidden="false" customHeight="true" outlineLevel="0" collapsed="false">
      <c r="A410" s="5" t="s">
        <v>1889</v>
      </c>
      <c r="B410" s="5" t="s">
        <v>1890</v>
      </c>
      <c r="C410" s="5"/>
      <c r="D410" s="5" t="s">
        <v>62</v>
      </c>
      <c r="E410" s="16" t="n">
        <v>125000</v>
      </c>
      <c r="F410" s="16" t="n">
        <v>100000</v>
      </c>
      <c r="G410" s="5" t="s">
        <v>132</v>
      </c>
      <c r="H410" s="6" t="n">
        <v>0</v>
      </c>
      <c r="I410" s="6" t="n">
        <v>0</v>
      </c>
      <c r="J410" s="7" t="n">
        <f aca="false">E410*1.19</f>
        <v>148750</v>
      </c>
      <c r="K410" s="7" t="n">
        <f aca="false">F410*1.19</f>
        <v>119000</v>
      </c>
      <c r="L410" s="5" t="s">
        <v>84</v>
      </c>
      <c r="M410" s="5" t="s">
        <v>65</v>
      </c>
      <c r="N410" s="8" t="s">
        <v>1891</v>
      </c>
      <c r="O410" s="5" t="s">
        <v>1892</v>
      </c>
      <c r="T410" s="5" t="s">
        <v>1893</v>
      </c>
      <c r="V410" s="5" t="s">
        <v>1894</v>
      </c>
      <c r="W410" s="5" t="s">
        <v>90</v>
      </c>
      <c r="X410" s="5" t="s">
        <v>139</v>
      </c>
      <c r="Y410" s="5" t="s">
        <v>73</v>
      </c>
      <c r="AD410" s="5"/>
      <c r="AE410" s="5" t="s">
        <v>117</v>
      </c>
      <c r="AI410" s="9" t="n">
        <v>44470</v>
      </c>
      <c r="AL410" s="5" t="n">
        <v>139240</v>
      </c>
      <c r="AM410" s="5" t="s">
        <v>140</v>
      </c>
      <c r="AN410" s="5" t="s">
        <v>141</v>
      </c>
      <c r="AQ410" s="5" t="s">
        <v>77</v>
      </c>
      <c r="AR410" s="5" t="s">
        <v>143</v>
      </c>
      <c r="AS410" s="5" t="s">
        <v>73</v>
      </c>
      <c r="AT410" s="5" t="s">
        <v>78</v>
      </c>
      <c r="AW410" s="5" t="s">
        <v>201</v>
      </c>
      <c r="AX410" s="10" t="str">
        <f aca="false">IFERROR(INDEX('full database 2024'!ar:ar, MATCH(A410, 'full database 2024'!b:b, 0)), "")</f>
        <v/>
      </c>
      <c r="AZ410" s="5" t="s">
        <v>396</v>
      </c>
      <c r="BD410" s="9" t="n">
        <v>45377</v>
      </c>
      <c r="BE410" s="9" t="n">
        <v>45779</v>
      </c>
      <c r="BI410" s="5" t="s">
        <v>81</v>
      </c>
      <c r="BJ410" s="5" t="n">
        <v>2021</v>
      </c>
      <c r="BK410" s="11" t="n">
        <v>45666</v>
      </c>
    </row>
    <row r="411" customFormat="false" ht="16.5" hidden="false" customHeight="true" outlineLevel="0" collapsed="false">
      <c r="A411" s="5" t="s">
        <v>1895</v>
      </c>
      <c r="B411" s="5"/>
      <c r="C411" s="5"/>
      <c r="D411" s="5" t="s">
        <v>62</v>
      </c>
      <c r="E411" s="16" t="n">
        <v>125000</v>
      </c>
      <c r="F411" s="16" t="n">
        <v>100000</v>
      </c>
      <c r="G411" s="5" t="s">
        <v>132</v>
      </c>
      <c r="H411" s="6" t="n">
        <v>0</v>
      </c>
      <c r="I411" s="6" t="n">
        <v>0</v>
      </c>
      <c r="J411" s="7" t="n">
        <f aca="false">E411*1.19</f>
        <v>148750</v>
      </c>
      <c r="K411" s="7" t="n">
        <f aca="false">F411*1.19</f>
        <v>119000</v>
      </c>
      <c r="L411" s="5" t="s">
        <v>84</v>
      </c>
      <c r="M411" s="5" t="s">
        <v>65</v>
      </c>
      <c r="N411" s="8" t="s">
        <v>1896</v>
      </c>
      <c r="O411" s="5"/>
      <c r="T411" s="5" t="s">
        <v>1897</v>
      </c>
      <c r="V411" s="5" t="s">
        <v>1826</v>
      </c>
      <c r="W411" s="5" t="s">
        <v>90</v>
      </c>
      <c r="X411" s="5" t="s">
        <v>139</v>
      </c>
      <c r="Y411" s="5" t="s">
        <v>73</v>
      </c>
      <c r="AE411" s="5" t="s">
        <v>117</v>
      </c>
      <c r="AI411" s="9" t="n">
        <v>44197</v>
      </c>
      <c r="AL411" s="5" t="n">
        <v>139240</v>
      </c>
      <c r="AM411" s="5" t="s">
        <v>140</v>
      </c>
      <c r="AN411" s="5" t="s">
        <v>199</v>
      </c>
      <c r="AQ411" s="5" t="s">
        <v>77</v>
      </c>
      <c r="AR411" s="5" t="s">
        <v>143</v>
      </c>
      <c r="AS411" s="5" t="s">
        <v>73</v>
      </c>
      <c r="AT411" s="5" t="s">
        <v>374</v>
      </c>
      <c r="AW411" s="5" t="s">
        <v>201</v>
      </c>
      <c r="AX411" s="10" t="str">
        <f aca="false">IFERROR(INDEX('full database 2024'!ar:ar, MATCH(A411, 'full database 2024'!b:b, 0)), "")</f>
        <v/>
      </c>
      <c r="AZ411" s="5" t="s">
        <v>857</v>
      </c>
      <c r="BD411" s="9" t="n">
        <v>45377</v>
      </c>
      <c r="BE411" s="9" t="n">
        <v>45779</v>
      </c>
      <c r="BI411" s="5" t="s">
        <v>81</v>
      </c>
      <c r="BJ411" s="5" t="n">
        <v>2021</v>
      </c>
      <c r="BK411" s="11" t="n">
        <v>45297</v>
      </c>
    </row>
    <row r="412" customFormat="false" ht="16.5" hidden="false" customHeight="true" outlineLevel="0" collapsed="false">
      <c r="A412" s="5" t="s">
        <v>1898</v>
      </c>
      <c r="B412" s="5" t="s">
        <v>1899</v>
      </c>
      <c r="C412" s="5"/>
      <c r="D412" s="5" t="s">
        <v>62</v>
      </c>
      <c r="E412" s="16" t="n">
        <v>125000</v>
      </c>
      <c r="F412" s="16" t="n">
        <v>100000</v>
      </c>
      <c r="G412" s="5" t="s">
        <v>132</v>
      </c>
      <c r="H412" s="6" t="n">
        <v>0</v>
      </c>
      <c r="I412" s="6" t="n">
        <v>0</v>
      </c>
      <c r="J412" s="7" t="n">
        <f aca="false">E412*1.19</f>
        <v>148750</v>
      </c>
      <c r="K412" s="7" t="n">
        <f aca="false">F412*1.19</f>
        <v>119000</v>
      </c>
      <c r="L412" s="5" t="s">
        <v>84</v>
      </c>
      <c r="M412" s="5" t="s">
        <v>65</v>
      </c>
      <c r="N412" s="8" t="s">
        <v>1900</v>
      </c>
      <c r="O412" s="5" t="s">
        <v>1901</v>
      </c>
      <c r="T412" s="5" t="s">
        <v>1902</v>
      </c>
      <c r="V412" s="5" t="s">
        <v>1139</v>
      </c>
      <c r="W412" s="5" t="s">
        <v>384</v>
      </c>
      <c r="X412" s="5" t="s">
        <v>139</v>
      </c>
      <c r="Y412" s="5" t="s">
        <v>73</v>
      </c>
      <c r="AD412" s="5" t="s">
        <v>1702</v>
      </c>
      <c r="AE412" s="5" t="s">
        <v>74</v>
      </c>
      <c r="AI412" s="9" t="n">
        <v>44470</v>
      </c>
      <c r="AL412" s="5" t="n">
        <v>139240</v>
      </c>
      <c r="AM412" s="5" t="s">
        <v>140</v>
      </c>
      <c r="AN412" s="5" t="s">
        <v>141</v>
      </c>
      <c r="AQ412" s="5" t="s">
        <v>77</v>
      </c>
      <c r="AR412" s="5" t="s">
        <v>143</v>
      </c>
      <c r="AS412" s="5" t="s">
        <v>73</v>
      </c>
      <c r="AT412" s="5" t="s">
        <v>105</v>
      </c>
      <c r="AU412" s="10" t="s">
        <v>186</v>
      </c>
      <c r="AW412" s="5" t="s">
        <v>201</v>
      </c>
      <c r="AX412" s="10" t="str">
        <f aca="false">IFERROR(INDEX('full database 2024'!ar:ar, MATCH(A412, 'full database 2024'!b:b, 0)), "")</f>
        <v/>
      </c>
      <c r="AZ412" s="5" t="s">
        <v>540</v>
      </c>
      <c r="BD412" s="9" t="n">
        <v>45377</v>
      </c>
      <c r="BE412" s="9" t="n">
        <v>45779</v>
      </c>
      <c r="BI412" s="5" t="s">
        <v>81</v>
      </c>
      <c r="BJ412" s="5" t="n">
        <v>2021</v>
      </c>
      <c r="BK412" s="11" t="n">
        <v>45666</v>
      </c>
    </row>
    <row r="413" customFormat="false" ht="16.5" hidden="false" customHeight="true" outlineLevel="0" collapsed="false">
      <c r="A413" s="5" t="s">
        <v>1903</v>
      </c>
      <c r="B413" s="5"/>
      <c r="C413" s="5"/>
      <c r="D413" s="5" t="s">
        <v>62</v>
      </c>
      <c r="E413" s="5" t="n">
        <v>112318</v>
      </c>
      <c r="F413" s="5" t="n">
        <v>112318</v>
      </c>
      <c r="G413" s="5" t="s">
        <v>147</v>
      </c>
      <c r="H413" s="6" t="n">
        <v>122427</v>
      </c>
      <c r="I413" s="6" t="n">
        <v>122427</v>
      </c>
      <c r="J413" s="7" t="n">
        <v>112318</v>
      </c>
      <c r="K413" s="7" t="n">
        <v>112318</v>
      </c>
      <c r="L413" s="5" t="s">
        <v>84</v>
      </c>
      <c r="M413" s="5" t="s">
        <v>65</v>
      </c>
      <c r="N413" s="5"/>
      <c r="O413" s="5"/>
      <c r="T413" s="5"/>
      <c r="V413" s="5" t="s">
        <v>1691</v>
      </c>
      <c r="W413" s="5"/>
      <c r="X413" s="5"/>
      <c r="Y413" s="5" t="s">
        <v>73</v>
      </c>
      <c r="AD413" s="5"/>
      <c r="AE413" s="5"/>
      <c r="AI413" s="9" t="n">
        <v>43862</v>
      </c>
      <c r="AL413" s="5" t="n">
        <v>122427</v>
      </c>
      <c r="AM413" s="5" t="s">
        <v>924</v>
      </c>
      <c r="AN413" s="5"/>
      <c r="AQ413" s="5" t="s">
        <v>77</v>
      </c>
      <c r="AR413" s="5" t="s">
        <v>151</v>
      </c>
      <c r="AS413" s="5" t="s">
        <v>73</v>
      </c>
      <c r="AT413" s="5" t="s">
        <v>78</v>
      </c>
      <c r="AU413" s="5" t="s">
        <v>259</v>
      </c>
      <c r="AV413" s="5"/>
      <c r="AW413" s="5" t="s">
        <v>94</v>
      </c>
      <c r="AX413" s="10" t="str">
        <f aca="false">IFERROR(INDEX('full database 2024'!ar:ar, MATCH(A413, 'full database 2024'!b:b, 0)), "")</f>
        <v/>
      </c>
      <c r="AY413" s="5" t="s">
        <v>501</v>
      </c>
      <c r="AZ413" s="5" t="s">
        <v>540</v>
      </c>
      <c r="BD413" s="9" t="n">
        <v>45596</v>
      </c>
      <c r="BE413" s="9" t="n">
        <v>45596</v>
      </c>
      <c r="BI413" s="5"/>
      <c r="BJ413" s="5" t="n">
        <v>2020</v>
      </c>
      <c r="BK413" s="11"/>
    </row>
    <row r="414" customFormat="false" ht="16.5" hidden="false" customHeight="true" outlineLevel="0" collapsed="false">
      <c r="A414" s="5" t="s">
        <v>1904</v>
      </c>
      <c r="C414" s="5"/>
      <c r="D414" s="5" t="s">
        <v>62</v>
      </c>
      <c r="E414" s="5" t="n">
        <v>112158</v>
      </c>
      <c r="F414" s="5" t="n">
        <v>112158</v>
      </c>
      <c r="G414" s="5" t="s">
        <v>147</v>
      </c>
      <c r="H414" s="6" t="n">
        <v>121131</v>
      </c>
      <c r="I414" s="6" t="n">
        <v>121131</v>
      </c>
      <c r="J414" s="7" t="n">
        <v>112158</v>
      </c>
      <c r="K414" s="7" t="n">
        <v>112158</v>
      </c>
      <c r="L414" s="5" t="s">
        <v>84</v>
      </c>
      <c r="M414" s="5" t="s">
        <v>65</v>
      </c>
      <c r="N414" s="8" t="s">
        <v>1905</v>
      </c>
      <c r="V414" s="5" t="s">
        <v>1906</v>
      </c>
      <c r="X414" s="5" t="s">
        <v>185</v>
      </c>
      <c r="Y414" s="5" t="s">
        <v>73</v>
      </c>
      <c r="AI414" s="9" t="n">
        <v>44562</v>
      </c>
      <c r="AJ414" s="5" t="n">
        <v>36</v>
      </c>
      <c r="AK414" s="5" t="s">
        <v>433</v>
      </c>
      <c r="AL414" s="5" t="n">
        <v>3365</v>
      </c>
      <c r="AM414" s="5" t="s">
        <v>182</v>
      </c>
      <c r="AN414" s="30" t="s">
        <v>1907</v>
      </c>
      <c r="AQ414" s="5" t="s">
        <v>77</v>
      </c>
      <c r="AR414" s="5" t="s">
        <v>185</v>
      </c>
      <c r="AS414" s="5" t="s">
        <v>73</v>
      </c>
      <c r="AT414" s="5" t="s">
        <v>78</v>
      </c>
      <c r="AW414" s="5" t="s">
        <v>94</v>
      </c>
      <c r="AX414" s="10" t="str">
        <f aca="false">IFERROR(INDEX('full database 2024'!ar:ar, MATCH(A414, 'full database 2024'!b:b, 0)), "")</f>
        <v/>
      </c>
      <c r="AZ414" s="5" t="s">
        <v>188</v>
      </c>
      <c r="BD414" s="9" t="n">
        <v>45596</v>
      </c>
      <c r="BE414" s="9" t="n">
        <v>45779</v>
      </c>
      <c r="BJ414" s="5" t="n">
        <v>2022</v>
      </c>
      <c r="BK414" s="11" t="n">
        <v>36526</v>
      </c>
    </row>
    <row r="415" customFormat="false" ht="16.5" hidden="false" customHeight="true" outlineLevel="0" collapsed="false">
      <c r="A415" s="5" t="s">
        <v>1908</v>
      </c>
      <c r="C415" s="5"/>
      <c r="D415" s="5" t="s">
        <v>62</v>
      </c>
      <c r="E415" s="16" t="n">
        <v>111527</v>
      </c>
      <c r="F415" s="16" t="n">
        <v>111527</v>
      </c>
      <c r="G415" s="5" t="s">
        <v>132</v>
      </c>
      <c r="H415" s="6" t="n">
        <v>139409</v>
      </c>
      <c r="I415" s="6" t="n">
        <v>139409</v>
      </c>
      <c r="J415" s="7" t="n">
        <f aca="false">E415*1.19</f>
        <v>132717.13</v>
      </c>
      <c r="K415" s="7" t="n">
        <f aca="false">F415*1.19</f>
        <v>132717.13</v>
      </c>
      <c r="L415" s="5" t="s">
        <v>84</v>
      </c>
      <c r="M415" s="5" t="s">
        <v>65</v>
      </c>
      <c r="N415" s="8" t="s">
        <v>1909</v>
      </c>
      <c r="T415" s="5" t="s">
        <v>1910</v>
      </c>
      <c r="V415" s="5" t="s">
        <v>1911</v>
      </c>
      <c r="X415" s="5" t="s">
        <v>139</v>
      </c>
      <c r="Y415" s="5" t="s">
        <v>73</v>
      </c>
      <c r="AI415" s="9" t="n">
        <v>45597</v>
      </c>
      <c r="AJ415" s="5" t="n">
        <v>12</v>
      </c>
      <c r="AK415" s="5" t="s">
        <v>433</v>
      </c>
      <c r="AL415" s="5" t="n">
        <v>11617</v>
      </c>
      <c r="AM415" s="5" t="s">
        <v>140</v>
      </c>
      <c r="AN415" s="25" t="s">
        <v>1539</v>
      </c>
      <c r="AQ415" s="5" t="s">
        <v>77</v>
      </c>
      <c r="AR415" s="5" t="s">
        <v>143</v>
      </c>
      <c r="AS415" s="5" t="s">
        <v>73</v>
      </c>
      <c r="AT415" s="5" t="s">
        <v>78</v>
      </c>
      <c r="AW415" s="5" t="s">
        <v>94</v>
      </c>
      <c r="AX415" s="10" t="str">
        <f aca="false">IFERROR(INDEX('full database 2024'!ar:ar, MATCH(A415, 'full database 2024'!b:b, 0)), "")</f>
        <v/>
      </c>
      <c r="AZ415" s="5" t="s">
        <v>399</v>
      </c>
      <c r="BD415" s="9" t="n">
        <v>45596</v>
      </c>
      <c r="BE415" s="9" t="n">
        <v>45779</v>
      </c>
      <c r="BJ415" s="5" t="n">
        <v>2024</v>
      </c>
      <c r="BK415" s="11" t="n">
        <v>36526</v>
      </c>
    </row>
    <row r="416" customFormat="false" ht="16.5" hidden="false" customHeight="true" outlineLevel="0" collapsed="false">
      <c r="A416" s="5" t="s">
        <v>1912</v>
      </c>
      <c r="C416" s="5"/>
      <c r="D416" s="5" t="s">
        <v>62</v>
      </c>
      <c r="E416" s="5" t="n">
        <v>100000</v>
      </c>
      <c r="F416" s="5" t="n">
        <f aca="false">E416/2</f>
        <v>50000</v>
      </c>
      <c r="G416" s="5" t="s">
        <v>147</v>
      </c>
      <c r="H416" s="6" t="n">
        <v>107722</v>
      </c>
      <c r="I416" s="6" t="n">
        <v>0</v>
      </c>
      <c r="J416" s="7" t="n">
        <v>100000</v>
      </c>
      <c r="K416" s="7" t="n">
        <f aca="false">J416/2</f>
        <v>50000</v>
      </c>
      <c r="L416" s="5" t="s">
        <v>84</v>
      </c>
      <c r="M416" s="5" t="s">
        <v>65</v>
      </c>
      <c r="N416" s="8" t="s">
        <v>1913</v>
      </c>
      <c r="P416" s="5"/>
      <c r="Q416" s="5"/>
      <c r="R416" s="5" t="s">
        <v>1914</v>
      </c>
      <c r="T416" s="5" t="s">
        <v>973</v>
      </c>
      <c r="U416" s="5" t="s">
        <v>70</v>
      </c>
      <c r="V416" s="5" t="s">
        <v>974</v>
      </c>
      <c r="W416" s="5" t="s">
        <v>102</v>
      </c>
      <c r="X416" s="5" t="s">
        <v>975</v>
      </c>
      <c r="Y416" s="5" t="s">
        <v>73</v>
      </c>
      <c r="Z416" s="5" t="s">
        <v>70</v>
      </c>
      <c r="AE416" s="5" t="s">
        <v>117</v>
      </c>
      <c r="AI416" s="9" t="n">
        <v>44860</v>
      </c>
      <c r="AJ416" s="5" t="n">
        <v>1</v>
      </c>
      <c r="AK416" s="5" t="s">
        <v>75</v>
      </c>
      <c r="AL416" s="5" t="n">
        <v>107722</v>
      </c>
      <c r="AM416" s="5" t="s">
        <v>182</v>
      </c>
      <c r="AN416" s="5" t="s">
        <v>976</v>
      </c>
      <c r="AQ416" s="5" t="s">
        <v>1915</v>
      </c>
      <c r="AR416" s="5" t="s">
        <v>185</v>
      </c>
      <c r="AS416" s="5" t="s">
        <v>73</v>
      </c>
      <c r="AT416" s="5" t="s">
        <v>374</v>
      </c>
      <c r="AW416" s="5" t="s">
        <v>94</v>
      </c>
      <c r="AX416" s="10" t="str">
        <f aca="false">IFERROR(INDEX('full database 2024'!ar:ar, MATCH(A416, 'full database 2024'!b:b, 0)), "")</f>
        <v/>
      </c>
      <c r="AZ416" s="5" t="s">
        <v>534</v>
      </c>
      <c r="BD416" s="9" t="n">
        <v>45007</v>
      </c>
      <c r="BE416" s="9" t="n">
        <v>45183</v>
      </c>
      <c r="BH416" s="5" t="s">
        <v>65</v>
      </c>
      <c r="BI416" s="5" t="s">
        <v>145</v>
      </c>
      <c r="BJ416" s="5" t="n">
        <v>2022</v>
      </c>
      <c r="BK416" s="5" t="s">
        <v>1916</v>
      </c>
    </row>
    <row r="417" customFormat="false" ht="16.5" hidden="false" customHeight="true" outlineLevel="0" collapsed="false">
      <c r="A417" s="5" t="s">
        <v>1917</v>
      </c>
      <c r="C417" s="5"/>
      <c r="D417" s="5" t="s">
        <v>62</v>
      </c>
      <c r="E417" s="5" t="n">
        <v>100000</v>
      </c>
      <c r="F417" s="5" t="n">
        <f aca="false">E417/2</f>
        <v>50000</v>
      </c>
      <c r="G417" s="5" t="s">
        <v>147</v>
      </c>
      <c r="H417" s="6" t="n">
        <v>107722</v>
      </c>
      <c r="I417" s="6" t="n">
        <v>0</v>
      </c>
      <c r="J417" s="7" t="n">
        <v>100000</v>
      </c>
      <c r="K417" s="7" t="n">
        <f aca="false">J417/2</f>
        <v>50000</v>
      </c>
      <c r="L417" s="5" t="s">
        <v>84</v>
      </c>
      <c r="M417" s="5" t="s">
        <v>65</v>
      </c>
      <c r="N417" s="8" t="s">
        <v>1913</v>
      </c>
      <c r="P417" s="5"/>
      <c r="Q417" s="5"/>
      <c r="R417" s="5" t="s">
        <v>1914</v>
      </c>
      <c r="T417" s="5" t="s">
        <v>1918</v>
      </c>
      <c r="U417" s="5" t="s">
        <v>70</v>
      </c>
      <c r="V417" s="5" t="s">
        <v>1919</v>
      </c>
      <c r="W417" s="5" t="s">
        <v>102</v>
      </c>
      <c r="X417" s="5" t="s">
        <v>568</v>
      </c>
      <c r="Y417" s="5" t="s">
        <v>73</v>
      </c>
      <c r="Z417" s="5" t="s">
        <v>70</v>
      </c>
      <c r="AE417" s="5" t="s">
        <v>117</v>
      </c>
      <c r="AI417" s="9" t="n">
        <v>44860</v>
      </c>
      <c r="AJ417" s="5" t="n">
        <v>1</v>
      </c>
      <c r="AK417" s="5" t="s">
        <v>75</v>
      </c>
      <c r="AL417" s="5" t="n">
        <v>107722</v>
      </c>
      <c r="AM417" s="5" t="s">
        <v>182</v>
      </c>
      <c r="AN417" s="5" t="s">
        <v>976</v>
      </c>
      <c r="AQ417" s="5" t="s">
        <v>1915</v>
      </c>
      <c r="AR417" s="5" t="s">
        <v>185</v>
      </c>
      <c r="AS417" s="5" t="s">
        <v>73</v>
      </c>
      <c r="AT417" s="5" t="s">
        <v>374</v>
      </c>
      <c r="AW417" s="5" t="s">
        <v>94</v>
      </c>
      <c r="AX417" s="10" t="str">
        <f aca="false">IFERROR(INDEX('full database 2024'!ar:ar, MATCH(A417, 'full database 2024'!b:b, 0)), "")</f>
        <v/>
      </c>
      <c r="AZ417" s="5" t="s">
        <v>534</v>
      </c>
      <c r="BD417" s="9" t="n">
        <v>45007</v>
      </c>
      <c r="BE417" s="9" t="n">
        <v>45183</v>
      </c>
      <c r="BH417" s="5" t="s">
        <v>65</v>
      </c>
      <c r="BI417" s="5" t="s">
        <v>145</v>
      </c>
      <c r="BJ417" s="5" t="n">
        <v>2022</v>
      </c>
      <c r="BK417" s="5" t="s">
        <v>1916</v>
      </c>
    </row>
    <row r="418" customFormat="false" ht="16.5" hidden="false" customHeight="true" outlineLevel="0" collapsed="false">
      <c r="A418" s="5" t="s">
        <v>1920</v>
      </c>
      <c r="C418" s="5"/>
      <c r="D418" s="5" t="s">
        <v>62</v>
      </c>
      <c r="E418" s="5" t="n">
        <v>100000</v>
      </c>
      <c r="F418" s="5" t="n">
        <f aca="false">E418/2</f>
        <v>50000</v>
      </c>
      <c r="G418" s="5" t="s">
        <v>147</v>
      </c>
      <c r="H418" s="6" t="n">
        <v>107722</v>
      </c>
      <c r="I418" s="6" t="n">
        <v>0</v>
      </c>
      <c r="J418" s="7" t="n">
        <v>100000</v>
      </c>
      <c r="K418" s="7" t="n">
        <f aca="false">J418/2</f>
        <v>50000</v>
      </c>
      <c r="L418" s="5" t="s">
        <v>84</v>
      </c>
      <c r="M418" s="5" t="s">
        <v>65</v>
      </c>
      <c r="N418" s="8" t="s">
        <v>1913</v>
      </c>
      <c r="P418" s="5"/>
      <c r="Q418" s="5"/>
      <c r="R418" s="5" t="s">
        <v>1914</v>
      </c>
      <c r="T418" s="5" t="s">
        <v>1921</v>
      </c>
      <c r="U418" s="5" t="s">
        <v>70</v>
      </c>
      <c r="V418" s="5" t="s">
        <v>1922</v>
      </c>
      <c r="W418" s="5" t="s">
        <v>102</v>
      </c>
      <c r="X418" s="5" t="s">
        <v>151</v>
      </c>
      <c r="Y418" s="5" t="s">
        <v>73</v>
      </c>
      <c r="Z418" s="5" t="s">
        <v>70</v>
      </c>
      <c r="AE418" s="5" t="s">
        <v>117</v>
      </c>
      <c r="AI418" s="9" t="n">
        <v>44860</v>
      </c>
      <c r="AJ418" s="5" t="n">
        <v>1</v>
      </c>
      <c r="AK418" s="5" t="s">
        <v>75</v>
      </c>
      <c r="AL418" s="5" t="n">
        <v>107722</v>
      </c>
      <c r="AM418" s="5" t="s">
        <v>182</v>
      </c>
      <c r="AN418" s="5" t="s">
        <v>976</v>
      </c>
      <c r="AQ418" s="5" t="s">
        <v>1915</v>
      </c>
      <c r="AR418" s="5" t="s">
        <v>185</v>
      </c>
      <c r="AS418" s="5" t="s">
        <v>73</v>
      </c>
      <c r="AT418" s="5" t="s">
        <v>374</v>
      </c>
      <c r="AW418" s="5" t="s">
        <v>94</v>
      </c>
      <c r="AX418" s="10" t="str">
        <f aca="false">IFERROR(INDEX('full database 2024'!ar:ar, MATCH(A418, 'full database 2024'!b:b, 0)), "")</f>
        <v/>
      </c>
      <c r="AZ418" s="5" t="s">
        <v>534</v>
      </c>
      <c r="BD418" s="9" t="n">
        <v>45007</v>
      </c>
      <c r="BE418" s="9" t="n">
        <v>45183</v>
      </c>
      <c r="BH418" s="5" t="s">
        <v>65</v>
      </c>
      <c r="BI418" s="5" t="s">
        <v>145</v>
      </c>
      <c r="BJ418" s="5" t="n">
        <v>2022</v>
      </c>
      <c r="BK418" s="5" t="s">
        <v>1916</v>
      </c>
    </row>
    <row r="419" customFormat="false" ht="16.5" hidden="false" customHeight="true" outlineLevel="0" collapsed="false">
      <c r="A419" s="5" t="s">
        <v>1923</v>
      </c>
      <c r="C419" s="5"/>
      <c r="D419" s="5" t="s">
        <v>62</v>
      </c>
      <c r="E419" s="5" t="n">
        <v>100000</v>
      </c>
      <c r="F419" s="5" t="n">
        <f aca="false">E419/2</f>
        <v>50000</v>
      </c>
      <c r="G419" s="5" t="s">
        <v>147</v>
      </c>
      <c r="H419" s="6" t="n">
        <v>107722</v>
      </c>
      <c r="I419" s="6" t="n">
        <v>0</v>
      </c>
      <c r="J419" s="7" t="n">
        <v>100000</v>
      </c>
      <c r="K419" s="7" t="n">
        <f aca="false">J419/2</f>
        <v>50000</v>
      </c>
      <c r="L419" s="5" t="s">
        <v>84</v>
      </c>
      <c r="M419" s="5" t="s">
        <v>65</v>
      </c>
      <c r="N419" s="8" t="s">
        <v>1913</v>
      </c>
      <c r="P419" s="5"/>
      <c r="Q419" s="5"/>
      <c r="R419" s="5" t="s">
        <v>1914</v>
      </c>
      <c r="T419" s="5" t="s">
        <v>979</v>
      </c>
      <c r="U419" s="5" t="s">
        <v>70</v>
      </c>
      <c r="V419" s="5" t="s">
        <v>980</v>
      </c>
      <c r="W419" s="5" t="s">
        <v>102</v>
      </c>
      <c r="X419" s="5" t="s">
        <v>139</v>
      </c>
      <c r="Y419" s="5" t="s">
        <v>73</v>
      </c>
      <c r="Z419" s="5" t="s">
        <v>70</v>
      </c>
      <c r="AD419" s="5" t="s">
        <v>981</v>
      </c>
      <c r="AE419" s="5" t="s">
        <v>74</v>
      </c>
      <c r="AI419" s="9" t="n">
        <v>44860</v>
      </c>
      <c r="AJ419" s="5" t="n">
        <v>1</v>
      </c>
      <c r="AK419" s="5" t="s">
        <v>75</v>
      </c>
      <c r="AL419" s="5" t="n">
        <v>107722</v>
      </c>
      <c r="AM419" s="5" t="s">
        <v>182</v>
      </c>
      <c r="AN419" s="5" t="s">
        <v>976</v>
      </c>
      <c r="AQ419" s="5" t="s">
        <v>1915</v>
      </c>
      <c r="AR419" s="5" t="s">
        <v>185</v>
      </c>
      <c r="AS419" s="5" t="s">
        <v>73</v>
      </c>
      <c r="AT419" s="5" t="s">
        <v>374</v>
      </c>
      <c r="AW419" s="5" t="s">
        <v>94</v>
      </c>
      <c r="AX419" s="10" t="str">
        <f aca="false">IFERROR(INDEX('full database 2024'!ar:ar, MATCH(A419, 'full database 2024'!b:b, 0)), "")</f>
        <v/>
      </c>
      <c r="AZ419" s="5" t="s">
        <v>534</v>
      </c>
      <c r="BD419" s="9" t="n">
        <v>45007</v>
      </c>
      <c r="BE419" s="9" t="n">
        <v>45183</v>
      </c>
      <c r="BH419" s="5" t="s">
        <v>65</v>
      </c>
      <c r="BI419" s="5" t="s">
        <v>145</v>
      </c>
      <c r="BJ419" s="5" t="n">
        <v>2022</v>
      </c>
      <c r="BK419" s="5" t="s">
        <v>1916</v>
      </c>
    </row>
    <row r="420" customFormat="false" ht="16.5" hidden="false" customHeight="true" outlineLevel="0" collapsed="false">
      <c r="A420" s="5" t="s">
        <v>1924</v>
      </c>
      <c r="C420" s="5"/>
      <c r="D420" s="5" t="s">
        <v>62</v>
      </c>
      <c r="E420" s="5" t="n">
        <v>100000</v>
      </c>
      <c r="F420" s="5" t="n">
        <v>100000</v>
      </c>
      <c r="G420" s="5" t="s">
        <v>212</v>
      </c>
      <c r="H420" s="6" t="n">
        <v>9400</v>
      </c>
      <c r="I420" s="6" t="n">
        <v>9400</v>
      </c>
      <c r="J420" s="7" t="n">
        <f aca="false">E420*0.091</f>
        <v>9100</v>
      </c>
      <c r="K420" s="7" t="n">
        <f aca="false">F420*0.091</f>
        <v>9100</v>
      </c>
      <c r="L420" s="5" t="s">
        <v>84</v>
      </c>
      <c r="M420" s="5" t="s">
        <v>65</v>
      </c>
      <c r="N420" s="5"/>
      <c r="P420" s="5"/>
      <c r="Q420" s="5"/>
      <c r="R420" s="5"/>
      <c r="T420" s="5"/>
      <c r="U420" s="5"/>
      <c r="V420" s="5" t="s">
        <v>500</v>
      </c>
      <c r="W420" s="5"/>
      <c r="X420" s="5" t="s">
        <v>215</v>
      </c>
      <c r="Y420" s="5" t="s">
        <v>73</v>
      </c>
      <c r="Z420" s="5"/>
      <c r="AD420" s="5"/>
      <c r="AE420" s="5"/>
      <c r="AI420" s="9" t="n">
        <v>44414</v>
      </c>
      <c r="AJ420" s="5" t="n">
        <v>5</v>
      </c>
      <c r="AK420" s="5" t="s">
        <v>216</v>
      </c>
      <c r="AL420" s="5" t="n">
        <v>1880</v>
      </c>
      <c r="AM420" s="5" t="s">
        <v>489</v>
      </c>
      <c r="AN420" s="5"/>
      <c r="AQ420" s="5" t="s">
        <v>77</v>
      </c>
      <c r="AR420" s="5" t="s">
        <v>215</v>
      </c>
      <c r="AS420" s="5" t="s">
        <v>73</v>
      </c>
      <c r="AT420" s="5" t="s">
        <v>78</v>
      </c>
      <c r="AW420" s="5" t="s">
        <v>94</v>
      </c>
      <c r="AX420" s="10" t="str">
        <f aca="false">IFERROR(INDEX('full database 2024'!ar:ar, MATCH(A420, 'full database 2024'!b:b, 0)), "")</f>
        <v/>
      </c>
      <c r="AZ420" s="5" t="s">
        <v>399</v>
      </c>
      <c r="BD420" s="9" t="n">
        <v>45596</v>
      </c>
      <c r="BE420" s="9" t="n">
        <v>45596</v>
      </c>
      <c r="BH420" s="5"/>
      <c r="BI420" s="5"/>
      <c r="BJ420" s="5" t="n">
        <v>2021</v>
      </c>
      <c r="BK420" s="11" t="n">
        <v>36526</v>
      </c>
    </row>
    <row r="421" customFormat="false" ht="16.5" hidden="false" customHeight="true" outlineLevel="0" collapsed="false">
      <c r="A421" s="5" t="s">
        <v>1925</v>
      </c>
      <c r="C421" s="5"/>
      <c r="D421" s="5" t="s">
        <v>62</v>
      </c>
      <c r="E421" s="5" t="n">
        <v>100000</v>
      </c>
      <c r="F421" s="5" t="n">
        <v>100000</v>
      </c>
      <c r="G421" s="5" t="s">
        <v>212</v>
      </c>
      <c r="H421" s="6" t="n">
        <v>9400</v>
      </c>
      <c r="I421" s="6" t="n">
        <v>9400</v>
      </c>
      <c r="J421" s="7" t="n">
        <f aca="false">E421*0.091</f>
        <v>9100</v>
      </c>
      <c r="K421" s="7" t="n">
        <f aca="false">F421*0.091</f>
        <v>9100</v>
      </c>
      <c r="L421" s="5" t="s">
        <v>84</v>
      </c>
      <c r="M421" s="5" t="s">
        <v>65</v>
      </c>
      <c r="V421" s="5" t="s">
        <v>1926</v>
      </c>
      <c r="X421" s="5" t="s">
        <v>215</v>
      </c>
      <c r="Y421" s="5" t="s">
        <v>73</v>
      </c>
      <c r="AI421" s="9" t="n">
        <v>44931</v>
      </c>
      <c r="AJ421" s="5" t="n">
        <v>12</v>
      </c>
      <c r="AK421" s="5" t="s">
        <v>216</v>
      </c>
      <c r="AL421" s="5" t="n">
        <v>783</v>
      </c>
      <c r="AM421" s="5" t="s">
        <v>489</v>
      </c>
      <c r="AN421" s="5"/>
      <c r="AQ421" s="5" t="s">
        <v>77</v>
      </c>
      <c r="AR421" s="5" t="s">
        <v>215</v>
      </c>
      <c r="AS421" s="5" t="s">
        <v>73</v>
      </c>
      <c r="AT421" s="5" t="s">
        <v>78</v>
      </c>
      <c r="AW421" s="5" t="s">
        <v>94</v>
      </c>
      <c r="AX421" s="10" t="str">
        <f aca="false">IFERROR(INDEX('full database 2024'!ar:ar, MATCH(A421, 'full database 2024'!b:b, 0)), "")</f>
        <v/>
      </c>
      <c r="AZ421" s="5" t="s">
        <v>748</v>
      </c>
      <c r="BD421" s="9" t="n">
        <v>45596</v>
      </c>
      <c r="BE421" s="9" t="n">
        <v>45596</v>
      </c>
      <c r="BJ421" s="5" t="n">
        <v>2023</v>
      </c>
      <c r="BK421" s="11" t="n">
        <v>36526</v>
      </c>
    </row>
    <row r="422" customFormat="false" ht="16.5" hidden="false" customHeight="true" outlineLevel="0" collapsed="false">
      <c r="A422" s="5" t="s">
        <v>1927</v>
      </c>
      <c r="C422" s="5"/>
      <c r="D422" s="5" t="s">
        <v>62</v>
      </c>
      <c r="E422" s="16" t="n">
        <v>99883</v>
      </c>
      <c r="F422" s="16" t="n">
        <v>99883</v>
      </c>
      <c r="G422" s="5" t="s">
        <v>132</v>
      </c>
      <c r="H422" s="6" t="n">
        <v>124854</v>
      </c>
      <c r="I422" s="6" t="n">
        <v>124854</v>
      </c>
      <c r="J422" s="7" t="n">
        <f aca="false">E422*1.19</f>
        <v>118860.77</v>
      </c>
      <c r="K422" s="7" t="n">
        <f aca="false">F422*1.19</f>
        <v>118860.77</v>
      </c>
      <c r="L422" s="5" t="s">
        <v>84</v>
      </c>
      <c r="M422" s="5" t="s">
        <v>65</v>
      </c>
      <c r="N422" s="8" t="s">
        <v>1928</v>
      </c>
      <c r="T422" s="5" t="s">
        <v>1929</v>
      </c>
      <c r="V422" s="5" t="s">
        <v>1930</v>
      </c>
      <c r="X422" s="5" t="s">
        <v>139</v>
      </c>
      <c r="Y422" s="5" t="s">
        <v>73</v>
      </c>
      <c r="AI422" s="9" t="n">
        <v>45295</v>
      </c>
      <c r="AJ422" s="5" t="n">
        <v>12</v>
      </c>
      <c r="AK422" s="5" t="s">
        <v>216</v>
      </c>
      <c r="AL422" s="5" t="n">
        <v>10404</v>
      </c>
      <c r="AM422" s="5" t="s">
        <v>140</v>
      </c>
      <c r="AN422" s="5" t="s">
        <v>699</v>
      </c>
      <c r="AQ422" s="5" t="s">
        <v>77</v>
      </c>
      <c r="AR422" s="5" t="s">
        <v>143</v>
      </c>
      <c r="AS422" s="5" t="s">
        <v>73</v>
      </c>
      <c r="AT422" s="5" t="s">
        <v>105</v>
      </c>
      <c r="AU422" s="10" t="s">
        <v>106</v>
      </c>
      <c r="AW422" s="5" t="s">
        <v>94</v>
      </c>
      <c r="AX422" s="10" t="str">
        <f aca="false">IFERROR(INDEX('full database 2024'!ar:ar, MATCH(A422, 'full database 2024'!b:b, 0)), "")</f>
        <v/>
      </c>
      <c r="AZ422" s="5" t="s">
        <v>540</v>
      </c>
      <c r="BD422" s="9" t="n">
        <v>45596</v>
      </c>
      <c r="BE422" s="9" t="n">
        <v>45779</v>
      </c>
      <c r="BJ422" s="5" t="n">
        <v>2024</v>
      </c>
      <c r="BK422" s="11" t="n">
        <v>36526</v>
      </c>
    </row>
    <row r="423" customFormat="false" ht="16.5" hidden="false" customHeight="true" outlineLevel="0" collapsed="false">
      <c r="A423" s="5" t="s">
        <v>1931</v>
      </c>
      <c r="C423" s="5"/>
      <c r="D423" s="5" t="s">
        <v>62</v>
      </c>
      <c r="E423" s="16" t="n">
        <v>96325</v>
      </c>
      <c r="F423" s="16" t="n">
        <v>96325</v>
      </c>
      <c r="G423" s="5" t="s">
        <v>132</v>
      </c>
      <c r="H423" s="6" t="n">
        <v>120406</v>
      </c>
      <c r="I423" s="6" t="n">
        <v>120406</v>
      </c>
      <c r="J423" s="7" t="n">
        <f aca="false">E423*1.19</f>
        <v>114626.75</v>
      </c>
      <c r="K423" s="7" t="n">
        <f aca="false">F423*1.19</f>
        <v>114626.75</v>
      </c>
      <c r="L423" s="5" t="s">
        <v>84</v>
      </c>
      <c r="M423" s="5" t="s">
        <v>65</v>
      </c>
      <c r="N423" s="8" t="s">
        <v>1932</v>
      </c>
      <c r="T423" s="5" t="s">
        <v>1933</v>
      </c>
      <c r="V423" s="5" t="s">
        <v>1934</v>
      </c>
      <c r="X423" s="5" t="s">
        <v>139</v>
      </c>
      <c r="Y423" s="5" t="s">
        <v>73</v>
      </c>
      <c r="AI423" s="9" t="n">
        <v>44572</v>
      </c>
      <c r="AJ423" s="5" t="n">
        <v>24</v>
      </c>
      <c r="AK423" s="5" t="s">
        <v>216</v>
      </c>
      <c r="AL423" s="5" t="n">
        <v>5017</v>
      </c>
      <c r="AM423" s="5" t="s">
        <v>140</v>
      </c>
      <c r="AN423" s="25" t="s">
        <v>1539</v>
      </c>
      <c r="AQ423" s="5" t="s">
        <v>77</v>
      </c>
      <c r="AR423" s="5" t="s">
        <v>143</v>
      </c>
      <c r="AS423" s="5" t="s">
        <v>73</v>
      </c>
      <c r="AT423" s="5" t="s">
        <v>105</v>
      </c>
      <c r="AW423" s="5" t="s">
        <v>94</v>
      </c>
      <c r="AX423" s="10" t="str">
        <f aca="false">IFERROR(INDEX('full database 2024'!ar:ar, MATCH(A423, 'full database 2024'!b:b, 0)), "")</f>
        <v/>
      </c>
      <c r="AZ423" s="5" t="s">
        <v>287</v>
      </c>
      <c r="BD423" s="9" t="n">
        <v>45596</v>
      </c>
      <c r="BE423" s="9" t="n">
        <v>45779</v>
      </c>
      <c r="BJ423" s="5" t="n">
        <v>2022</v>
      </c>
      <c r="BK423" s="11" t="n">
        <v>36526</v>
      </c>
    </row>
    <row r="424" customFormat="false" ht="16.5" hidden="false" customHeight="true" outlineLevel="0" collapsed="false">
      <c r="A424" s="5" t="s">
        <v>823</v>
      </c>
      <c r="C424" s="5"/>
      <c r="D424" s="5" t="s">
        <v>62</v>
      </c>
      <c r="E424" s="5" t="n">
        <v>96116</v>
      </c>
      <c r="F424" s="5" t="n">
        <v>96116</v>
      </c>
      <c r="G424" s="5" t="s">
        <v>147</v>
      </c>
      <c r="H424" s="6" t="n">
        <v>104766</v>
      </c>
      <c r="I424" s="6" t="n">
        <v>104766</v>
      </c>
      <c r="J424" s="7" t="n">
        <v>96116</v>
      </c>
      <c r="K424" s="7" t="n">
        <v>96116</v>
      </c>
      <c r="L424" s="5" t="s">
        <v>84</v>
      </c>
      <c r="M424" s="5" t="s">
        <v>65</v>
      </c>
      <c r="T424" s="5"/>
      <c r="V424" s="5" t="s">
        <v>1935</v>
      </c>
      <c r="X424" s="5" t="s">
        <v>151</v>
      </c>
      <c r="Y424" s="5" t="s">
        <v>73</v>
      </c>
      <c r="AI424" s="9" t="n">
        <v>44105</v>
      </c>
      <c r="AJ424" s="5"/>
      <c r="AK424" s="5"/>
      <c r="AL424" s="5" t="n">
        <v>104766</v>
      </c>
      <c r="AM424" s="5" t="s">
        <v>821</v>
      </c>
      <c r="AN424" s="5"/>
      <c r="AQ424" s="5" t="s">
        <v>77</v>
      </c>
      <c r="AR424" s="5" t="s">
        <v>151</v>
      </c>
      <c r="AS424" s="5" t="s">
        <v>73</v>
      </c>
      <c r="AT424" s="5" t="s">
        <v>71</v>
      </c>
      <c r="AW424" s="5" t="s">
        <v>94</v>
      </c>
      <c r="AX424" s="10" t="str">
        <f aca="false">IFERROR(INDEX('full database 2024'!ar:ar, MATCH(A424, 'full database 2024'!b:b, 0)), "")</f>
        <v/>
      </c>
      <c r="AZ424" s="5" t="s">
        <v>129</v>
      </c>
      <c r="BD424" s="9" t="n">
        <v>45596</v>
      </c>
      <c r="BE424" s="9" t="n">
        <v>45596</v>
      </c>
      <c r="BJ424" s="5" t="n">
        <v>2020</v>
      </c>
      <c r="BK424" s="11"/>
    </row>
    <row r="425" customFormat="false" ht="16.5" hidden="false" customHeight="true" outlineLevel="0" collapsed="false">
      <c r="A425" s="5" t="s">
        <v>1936</v>
      </c>
      <c r="C425" s="5"/>
      <c r="D425" s="5" t="s">
        <v>62</v>
      </c>
      <c r="E425" s="5" t="n">
        <v>93534</v>
      </c>
      <c r="F425" s="5" t="n">
        <v>93534</v>
      </c>
      <c r="G425" s="5" t="s">
        <v>147</v>
      </c>
      <c r="H425" s="6" t="n">
        <v>101952</v>
      </c>
      <c r="I425" s="6" t="n">
        <v>101952</v>
      </c>
      <c r="J425" s="7" t="n">
        <v>93534</v>
      </c>
      <c r="K425" s="7" t="n">
        <v>93534</v>
      </c>
      <c r="L425" s="5" t="s">
        <v>84</v>
      </c>
      <c r="M425" s="5" t="s">
        <v>65</v>
      </c>
      <c r="N425" s="8" t="s">
        <v>1937</v>
      </c>
      <c r="V425" s="5" t="s">
        <v>1938</v>
      </c>
      <c r="X425" s="5" t="s">
        <v>151</v>
      </c>
      <c r="Y425" s="5" t="s">
        <v>73</v>
      </c>
      <c r="AI425" s="9" t="n">
        <v>45246</v>
      </c>
      <c r="AL425" s="5" t="n">
        <v>101952</v>
      </c>
      <c r="AM425" s="5" t="s">
        <v>153</v>
      </c>
      <c r="AN425" s="5"/>
      <c r="AQ425" s="5" t="s">
        <v>77</v>
      </c>
      <c r="AR425" s="5" t="s">
        <v>151</v>
      </c>
      <c r="AS425" s="5" t="s">
        <v>73</v>
      </c>
      <c r="AT425" s="5" t="s">
        <v>78</v>
      </c>
      <c r="AW425" s="5" t="s">
        <v>94</v>
      </c>
      <c r="AX425" s="10" t="str">
        <f aca="false">IFERROR(INDEX('full database 2024'!ar:ar, MATCH(A425, 'full database 2024'!b:b, 0)), "")</f>
        <v/>
      </c>
      <c r="AZ425" s="5" t="s">
        <v>129</v>
      </c>
      <c r="BD425" s="9" t="n">
        <v>45596</v>
      </c>
      <c r="BE425" s="9" t="n">
        <v>45779</v>
      </c>
      <c r="BJ425" s="5" t="n">
        <v>2023</v>
      </c>
      <c r="BK425" s="5" t="s">
        <v>1043</v>
      </c>
    </row>
    <row r="426" customFormat="false" ht="16.5" hidden="false" customHeight="true" outlineLevel="0" collapsed="false">
      <c r="A426" s="5" t="s">
        <v>823</v>
      </c>
      <c r="C426" s="5"/>
      <c r="D426" s="5" t="s">
        <v>62</v>
      </c>
      <c r="E426" s="5" t="n">
        <v>92194</v>
      </c>
      <c r="F426" s="5" t="n">
        <v>92194</v>
      </c>
      <c r="G426" s="5" t="s">
        <v>147</v>
      </c>
      <c r="H426" s="6" t="n">
        <v>100491</v>
      </c>
      <c r="I426" s="6" t="n">
        <v>100491</v>
      </c>
      <c r="J426" s="7" t="n">
        <v>92194</v>
      </c>
      <c r="K426" s="7" t="n">
        <v>92194</v>
      </c>
      <c r="L426" s="5" t="s">
        <v>84</v>
      </c>
      <c r="M426" s="5" t="s">
        <v>65</v>
      </c>
      <c r="N426" s="5"/>
      <c r="V426" s="5" t="s">
        <v>1939</v>
      </c>
      <c r="X426" s="5" t="s">
        <v>151</v>
      </c>
      <c r="Y426" s="5" t="s">
        <v>73</v>
      </c>
      <c r="AI426" s="9" t="n">
        <v>44105</v>
      </c>
      <c r="AL426" s="5" t="n">
        <v>100491</v>
      </c>
      <c r="AM426" s="5" t="s">
        <v>821</v>
      </c>
      <c r="AN426" s="5"/>
      <c r="AQ426" s="5" t="s">
        <v>77</v>
      </c>
      <c r="AR426" s="5" t="s">
        <v>151</v>
      </c>
      <c r="AS426" s="5" t="s">
        <v>73</v>
      </c>
      <c r="AT426" s="5" t="s">
        <v>71</v>
      </c>
      <c r="AW426" s="5" t="s">
        <v>94</v>
      </c>
      <c r="AX426" s="10" t="str">
        <f aca="false">IFERROR(INDEX('full database 2024'!ar:ar, MATCH(A426, 'full database 2024'!b:b, 0)), "")</f>
        <v/>
      </c>
      <c r="AZ426" s="5" t="s">
        <v>129</v>
      </c>
      <c r="BD426" s="9" t="n">
        <v>45596</v>
      </c>
      <c r="BE426" s="9" t="n">
        <v>45596</v>
      </c>
      <c r="BJ426" s="5" t="n">
        <v>2020</v>
      </c>
      <c r="BK426" s="5"/>
    </row>
    <row r="427" customFormat="false" ht="16.5" hidden="false" customHeight="true" outlineLevel="0" collapsed="false">
      <c r="A427" s="5" t="s">
        <v>823</v>
      </c>
      <c r="C427" s="5"/>
      <c r="D427" s="5" t="s">
        <v>62</v>
      </c>
      <c r="E427" s="5" t="n">
        <v>91880</v>
      </c>
      <c r="F427" s="5" t="n">
        <v>91880</v>
      </c>
      <c r="G427" s="5" t="s">
        <v>147</v>
      </c>
      <c r="H427" s="6" t="n">
        <v>100149</v>
      </c>
      <c r="I427" s="6" t="n">
        <v>100149</v>
      </c>
      <c r="J427" s="7" t="n">
        <v>91880</v>
      </c>
      <c r="K427" s="7" t="n">
        <v>91880</v>
      </c>
      <c r="L427" s="5" t="s">
        <v>84</v>
      </c>
      <c r="M427" s="5" t="s">
        <v>65</v>
      </c>
      <c r="V427" s="5" t="s">
        <v>1940</v>
      </c>
      <c r="X427" s="5" t="s">
        <v>151</v>
      </c>
      <c r="Y427" s="5" t="s">
        <v>73</v>
      </c>
      <c r="AI427" s="9" t="n">
        <v>44105</v>
      </c>
      <c r="AL427" s="5" t="n">
        <v>100149</v>
      </c>
      <c r="AM427" s="5" t="s">
        <v>821</v>
      </c>
      <c r="AN427" s="5"/>
      <c r="AQ427" s="5" t="s">
        <v>77</v>
      </c>
      <c r="AR427" s="5" t="s">
        <v>151</v>
      </c>
      <c r="AS427" s="5" t="s">
        <v>73</v>
      </c>
      <c r="AT427" s="5" t="s">
        <v>71</v>
      </c>
      <c r="AW427" s="5" t="s">
        <v>94</v>
      </c>
      <c r="AX427" s="10" t="str">
        <f aca="false">IFERROR(INDEX('full database 2024'!ar:ar, MATCH(A427, 'full database 2024'!b:b, 0)), "")</f>
        <v/>
      </c>
      <c r="AZ427" s="5" t="s">
        <v>129</v>
      </c>
      <c r="BD427" s="9" t="n">
        <v>45596</v>
      </c>
      <c r="BE427" s="9" t="n">
        <v>45596</v>
      </c>
      <c r="BJ427" s="5" t="n">
        <v>2020</v>
      </c>
    </row>
    <row r="428" customFormat="false" ht="16.5" hidden="false" customHeight="true" outlineLevel="0" collapsed="false">
      <c r="A428" s="5" t="s">
        <v>1941</v>
      </c>
      <c r="B428" s="5" t="s">
        <v>920</v>
      </c>
      <c r="C428" s="5"/>
      <c r="D428" s="5" t="s">
        <v>62</v>
      </c>
      <c r="E428" s="5" t="n">
        <v>89442</v>
      </c>
      <c r="F428" s="5" t="n">
        <v>89442</v>
      </c>
      <c r="G428" s="5" t="s">
        <v>147</v>
      </c>
      <c r="H428" s="6" t="n">
        <v>98872</v>
      </c>
      <c r="I428" s="6" t="n">
        <v>98872</v>
      </c>
      <c r="J428" s="7" t="n">
        <v>89442</v>
      </c>
      <c r="K428" s="7" t="n">
        <v>89442</v>
      </c>
      <c r="L428" s="5" t="s">
        <v>84</v>
      </c>
      <c r="M428" s="5"/>
      <c r="N428" s="8" t="s">
        <v>1942</v>
      </c>
      <c r="O428" s="5" t="s">
        <v>1943</v>
      </c>
      <c r="V428" s="5"/>
      <c r="X428" s="5"/>
      <c r="Y428" s="5" t="s">
        <v>73</v>
      </c>
      <c r="AI428" s="9" t="n">
        <v>44105</v>
      </c>
      <c r="AL428" s="5" t="n">
        <v>98872</v>
      </c>
      <c r="AM428" s="5" t="s">
        <v>153</v>
      </c>
      <c r="AN428" s="5"/>
      <c r="AQ428" s="5" t="s">
        <v>77</v>
      </c>
      <c r="AR428" s="5" t="s">
        <v>151</v>
      </c>
      <c r="AS428" s="5" t="s">
        <v>73</v>
      </c>
      <c r="AT428" s="5" t="s">
        <v>78</v>
      </c>
      <c r="AW428" s="5" t="s">
        <v>94</v>
      </c>
      <c r="AX428" s="10" t="str">
        <f aca="false">IFERROR(INDEX('full database 2024'!ar:ar, MATCH(A428, 'full database 2024'!b:b, 0)), "")</f>
        <v/>
      </c>
      <c r="AZ428" s="5" t="s">
        <v>188</v>
      </c>
      <c r="BD428" s="9" t="n">
        <v>45671</v>
      </c>
      <c r="BE428" s="9" t="n">
        <v>45779</v>
      </c>
      <c r="BJ428" s="5" t="n">
        <v>2020</v>
      </c>
      <c r="BK428" s="5" t="s">
        <v>1089</v>
      </c>
    </row>
    <row r="429" customFormat="false" ht="16.5" hidden="false" customHeight="true" outlineLevel="0" collapsed="false">
      <c r="A429" s="5" t="s">
        <v>1944</v>
      </c>
      <c r="B429" s="5"/>
      <c r="C429" s="5"/>
      <c r="D429" s="5" t="s">
        <v>62</v>
      </c>
      <c r="E429" s="5" t="n">
        <v>86826</v>
      </c>
      <c r="F429" s="5" t="n">
        <v>86826</v>
      </c>
      <c r="G429" s="5" t="s">
        <v>147</v>
      </c>
      <c r="H429" s="6" t="n">
        <v>94641</v>
      </c>
      <c r="I429" s="6" t="n">
        <v>94641</v>
      </c>
      <c r="J429" s="7" t="n">
        <v>86826</v>
      </c>
      <c r="K429" s="7" t="n">
        <v>86826</v>
      </c>
      <c r="L429" s="5" t="s">
        <v>84</v>
      </c>
      <c r="M429" s="5" t="s">
        <v>65</v>
      </c>
      <c r="N429" s="5"/>
      <c r="O429" s="5"/>
      <c r="V429" s="5" t="s">
        <v>832</v>
      </c>
      <c r="Y429" s="5" t="s">
        <v>73</v>
      </c>
      <c r="AI429" s="9" t="n">
        <v>44348</v>
      </c>
      <c r="AL429" s="5" t="n">
        <v>94641</v>
      </c>
      <c r="AM429" s="5" t="s">
        <v>1945</v>
      </c>
      <c r="AN429" s="5"/>
      <c r="AQ429" s="5" t="s">
        <v>77</v>
      </c>
      <c r="AR429" s="5" t="s">
        <v>151</v>
      </c>
      <c r="AS429" s="5" t="s">
        <v>73</v>
      </c>
      <c r="AT429" s="5" t="s">
        <v>78</v>
      </c>
      <c r="AW429" s="5" t="s">
        <v>94</v>
      </c>
      <c r="AX429" s="10" t="str">
        <f aca="false">IFERROR(INDEX('full database 2024'!ar:ar, MATCH(A429, 'full database 2024'!b:b, 0)), "")</f>
        <v/>
      </c>
      <c r="AZ429" s="5" t="s">
        <v>309</v>
      </c>
      <c r="BD429" s="9" t="n">
        <v>45596</v>
      </c>
      <c r="BE429" s="9" t="n">
        <v>45596</v>
      </c>
      <c r="BJ429" s="5" t="n">
        <v>2021</v>
      </c>
      <c r="BK429" s="5"/>
    </row>
    <row r="430" customFormat="false" ht="16.5" hidden="false" customHeight="true" outlineLevel="0" collapsed="false">
      <c r="A430" s="5" t="s">
        <v>1946</v>
      </c>
      <c r="B430" s="5" t="s">
        <v>920</v>
      </c>
      <c r="C430" s="5"/>
      <c r="D430" s="5" t="s">
        <v>62</v>
      </c>
      <c r="E430" s="5" t="n">
        <v>82218</v>
      </c>
      <c r="F430" s="5" t="n">
        <v>82218</v>
      </c>
      <c r="G430" s="5" t="s">
        <v>147</v>
      </c>
      <c r="H430" s="6" t="n">
        <v>88829</v>
      </c>
      <c r="I430" s="6" t="n">
        <v>88829</v>
      </c>
      <c r="J430" s="7" t="n">
        <v>82218</v>
      </c>
      <c r="K430" s="7" t="n">
        <v>82218</v>
      </c>
      <c r="L430" s="5" t="s">
        <v>84</v>
      </c>
      <c r="M430" s="5"/>
      <c r="N430" s="8" t="s">
        <v>1947</v>
      </c>
      <c r="O430" s="5" t="s">
        <v>1948</v>
      </c>
      <c r="V430" s="5" t="s">
        <v>1949</v>
      </c>
      <c r="X430" s="5" t="s">
        <v>151</v>
      </c>
      <c r="Y430" s="5" t="s">
        <v>73</v>
      </c>
      <c r="AI430" s="9" t="n">
        <v>45214</v>
      </c>
      <c r="AL430" s="5" t="n">
        <v>88829</v>
      </c>
      <c r="AM430" s="5" t="s">
        <v>153</v>
      </c>
      <c r="AN430" s="5"/>
      <c r="AQ430" s="5" t="s">
        <v>77</v>
      </c>
      <c r="AR430" s="5" t="s">
        <v>151</v>
      </c>
      <c r="AS430" s="5" t="s">
        <v>73</v>
      </c>
      <c r="AT430" s="5" t="s">
        <v>78</v>
      </c>
      <c r="AW430" s="5" t="s">
        <v>94</v>
      </c>
      <c r="AX430" s="10" t="str">
        <f aca="false">IFERROR(INDEX('full database 2024'!ar:ar, MATCH(A430, 'full database 2024'!b:b, 0)), "")</f>
        <v/>
      </c>
      <c r="AZ430" s="5" t="s">
        <v>129</v>
      </c>
      <c r="BD430" s="9" t="n">
        <v>45671</v>
      </c>
      <c r="BE430" s="9" t="n">
        <v>45779</v>
      </c>
      <c r="BJ430" s="5" t="n">
        <v>2023</v>
      </c>
      <c r="BK430" s="5" t="s">
        <v>1642</v>
      </c>
    </row>
    <row r="431" customFormat="false" ht="16.5" hidden="false" customHeight="true" outlineLevel="0" collapsed="false">
      <c r="A431" s="5" t="s">
        <v>1950</v>
      </c>
      <c r="B431" s="5"/>
      <c r="C431" s="5"/>
      <c r="D431" s="5" t="s">
        <v>62</v>
      </c>
      <c r="E431" s="5" t="n">
        <v>80738</v>
      </c>
      <c r="F431" s="5" t="n">
        <v>80738</v>
      </c>
      <c r="G431" s="5" t="s">
        <v>147</v>
      </c>
      <c r="H431" s="6" t="n">
        <v>88005</v>
      </c>
      <c r="I431" s="6" t="n">
        <v>88005</v>
      </c>
      <c r="J431" s="7" t="n">
        <v>80738</v>
      </c>
      <c r="K431" s="7" t="n">
        <v>80738</v>
      </c>
      <c r="L431" s="5" t="s">
        <v>84</v>
      </c>
      <c r="M431" s="5" t="s">
        <v>65</v>
      </c>
      <c r="N431" s="5"/>
      <c r="O431" s="5"/>
      <c r="V431" s="5" t="s">
        <v>1951</v>
      </c>
      <c r="X431" s="5"/>
      <c r="Y431" s="5" t="s">
        <v>73</v>
      </c>
      <c r="AI431" s="9" t="n">
        <v>45170</v>
      </c>
      <c r="AL431" s="5" t="n">
        <v>88005</v>
      </c>
      <c r="AM431" s="5" t="s">
        <v>153</v>
      </c>
      <c r="AN431" s="5"/>
      <c r="AQ431" s="5" t="s">
        <v>77</v>
      </c>
      <c r="AR431" s="5" t="s">
        <v>151</v>
      </c>
      <c r="AS431" s="5" t="s">
        <v>73</v>
      </c>
      <c r="AT431" s="5" t="s">
        <v>105</v>
      </c>
      <c r="AU431" s="10" t="s">
        <v>186</v>
      </c>
      <c r="AW431" s="5" t="s">
        <v>94</v>
      </c>
      <c r="AX431" s="10" t="str">
        <f aca="false">IFERROR(INDEX('full database 2024'!ar:ar, MATCH(A431, 'full database 2024'!b:b, 0)), "")</f>
        <v/>
      </c>
      <c r="AZ431" s="5" t="s">
        <v>540</v>
      </c>
      <c r="BD431" s="9" t="n">
        <v>45596</v>
      </c>
      <c r="BE431" s="9" t="n">
        <v>45596</v>
      </c>
      <c r="BJ431" s="5" t="n">
        <v>2023</v>
      </c>
      <c r="BK431" s="5"/>
    </row>
    <row r="432" customFormat="false" ht="16.5" hidden="false" customHeight="true" outlineLevel="0" collapsed="false">
      <c r="A432" s="5" t="s">
        <v>1527</v>
      </c>
      <c r="C432" s="5"/>
      <c r="D432" s="5" t="s">
        <v>62</v>
      </c>
      <c r="E432" s="5" t="n">
        <v>78593</v>
      </c>
      <c r="F432" s="5" t="n">
        <v>78593</v>
      </c>
      <c r="G432" s="5" t="s">
        <v>147</v>
      </c>
      <c r="H432" s="6" t="n">
        <v>85666</v>
      </c>
      <c r="I432" s="6" t="n">
        <v>85666</v>
      </c>
      <c r="J432" s="7" t="n">
        <v>78593</v>
      </c>
      <c r="K432" s="7" t="n">
        <v>78593</v>
      </c>
      <c r="L432" s="5" t="s">
        <v>84</v>
      </c>
      <c r="M432" s="5" t="s">
        <v>65</v>
      </c>
      <c r="V432" s="5" t="s">
        <v>1952</v>
      </c>
      <c r="X432" s="5" t="s">
        <v>151</v>
      </c>
      <c r="Y432" s="5" t="s">
        <v>73</v>
      </c>
      <c r="AI432" s="9" t="n">
        <v>43839</v>
      </c>
      <c r="AL432" s="5" t="n">
        <v>85666</v>
      </c>
      <c r="AM432" s="5" t="s">
        <v>153</v>
      </c>
      <c r="AN432" s="5"/>
      <c r="AQ432" s="5" t="s">
        <v>77</v>
      </c>
      <c r="AR432" s="5" t="s">
        <v>151</v>
      </c>
      <c r="AS432" s="5" t="s">
        <v>73</v>
      </c>
      <c r="AT432" s="5" t="s">
        <v>78</v>
      </c>
      <c r="AW432" s="5" t="s">
        <v>94</v>
      </c>
      <c r="AX432" s="10" t="str">
        <f aca="false">IFERROR(INDEX('full database 2024'!ar:ar, MATCH(A432, 'full database 2024'!b:b, 0)), "")</f>
        <v/>
      </c>
      <c r="AZ432" s="5" t="s">
        <v>129</v>
      </c>
      <c r="BD432" s="9" t="n">
        <v>45596</v>
      </c>
      <c r="BE432" s="9" t="n">
        <v>45596</v>
      </c>
      <c r="BJ432" s="5" t="n">
        <v>2020</v>
      </c>
    </row>
    <row r="433" customFormat="false" ht="16.5" hidden="false" customHeight="true" outlineLevel="0" collapsed="false">
      <c r="A433" s="5" t="s">
        <v>1953</v>
      </c>
      <c r="C433" s="5"/>
      <c r="D433" s="5" t="s">
        <v>62</v>
      </c>
      <c r="E433" s="5" t="n">
        <v>75000</v>
      </c>
      <c r="F433" s="5" t="n">
        <v>75000</v>
      </c>
      <c r="G433" s="5" t="s">
        <v>147</v>
      </c>
      <c r="H433" s="6" t="n">
        <v>79675</v>
      </c>
      <c r="I433" s="6" t="n">
        <v>79675</v>
      </c>
      <c r="J433" s="7" t="n">
        <v>75000</v>
      </c>
      <c r="K433" s="7" t="n">
        <v>75000</v>
      </c>
      <c r="L433" s="5" t="s">
        <v>84</v>
      </c>
      <c r="M433" s="5" t="s">
        <v>65</v>
      </c>
      <c r="N433" s="8" t="s">
        <v>1954</v>
      </c>
      <c r="P433" s="5"/>
      <c r="Q433" s="5"/>
      <c r="R433" s="5" t="s">
        <v>1955</v>
      </c>
      <c r="T433" s="5" t="s">
        <v>1956</v>
      </c>
      <c r="U433" s="5" t="s">
        <v>70</v>
      </c>
      <c r="V433" s="5" t="s">
        <v>1953</v>
      </c>
      <c r="W433" s="5" t="s">
        <v>102</v>
      </c>
      <c r="X433" s="5" t="s">
        <v>257</v>
      </c>
      <c r="Y433" s="5" t="s">
        <v>73</v>
      </c>
      <c r="Z433" s="5" t="s">
        <v>70</v>
      </c>
      <c r="AE433" s="5" t="s">
        <v>117</v>
      </c>
      <c r="AI433" s="9" t="n">
        <v>44593</v>
      </c>
      <c r="AJ433" s="5" t="n">
        <v>1</v>
      </c>
      <c r="AK433" s="5" t="s">
        <v>228</v>
      </c>
      <c r="AL433" s="5" t="n">
        <v>79675</v>
      </c>
      <c r="AM433" s="5" t="s">
        <v>1957</v>
      </c>
      <c r="AN433" s="5"/>
      <c r="AQ433" s="5" t="s">
        <v>77</v>
      </c>
      <c r="AR433" s="5" t="s">
        <v>257</v>
      </c>
      <c r="AS433" s="5" t="s">
        <v>73</v>
      </c>
      <c r="AT433" s="5" t="s">
        <v>105</v>
      </c>
      <c r="AU433" s="10" t="s">
        <v>106</v>
      </c>
      <c r="AW433" s="5" t="s">
        <v>94</v>
      </c>
      <c r="AX433" s="10" t="str">
        <f aca="false">IFERROR(INDEX('full database 2024'!ar:ar, MATCH(A433, 'full database 2024'!b:b, 0)), "")</f>
        <v/>
      </c>
      <c r="AY433" s="5" t="s">
        <v>447</v>
      </c>
      <c r="AZ433" s="5" t="s">
        <v>188</v>
      </c>
      <c r="BD433" s="9" t="n">
        <v>44985</v>
      </c>
      <c r="BE433" s="9" t="n">
        <v>45035</v>
      </c>
      <c r="BI433" s="5" t="s">
        <v>81</v>
      </c>
      <c r="BJ433" s="5" t="n">
        <v>2022</v>
      </c>
      <c r="BK433" s="11" t="n">
        <v>44928</v>
      </c>
    </row>
    <row r="434" customFormat="false" ht="16.5" hidden="false" customHeight="true" outlineLevel="0" collapsed="false">
      <c r="A434" s="5" t="s">
        <v>1958</v>
      </c>
      <c r="C434" s="5"/>
      <c r="D434" s="5" t="s">
        <v>62</v>
      </c>
      <c r="E434" s="5" t="n">
        <v>74999</v>
      </c>
      <c r="F434" s="5" t="n">
        <v>75000</v>
      </c>
      <c r="G434" s="5" t="s">
        <v>147</v>
      </c>
      <c r="H434" s="6" t="n">
        <v>80999</v>
      </c>
      <c r="I434" s="6" t="n">
        <v>81000</v>
      </c>
      <c r="J434" s="7" t="n">
        <v>74999</v>
      </c>
      <c r="K434" s="7" t="n">
        <v>75000</v>
      </c>
      <c r="L434" s="5" t="s">
        <v>84</v>
      </c>
      <c r="M434" s="5" t="s">
        <v>65</v>
      </c>
      <c r="N434" s="5"/>
      <c r="P434" s="5"/>
      <c r="Q434" s="5"/>
      <c r="R434" s="5"/>
      <c r="T434" s="5"/>
      <c r="U434" s="5"/>
      <c r="V434" s="5" t="s">
        <v>1959</v>
      </c>
      <c r="W434" s="5"/>
      <c r="X434" s="5" t="s">
        <v>151</v>
      </c>
      <c r="Y434" s="5" t="s">
        <v>73</v>
      </c>
      <c r="Z434" s="5"/>
      <c r="AE434" s="5"/>
      <c r="AI434" s="9" t="n">
        <v>45139</v>
      </c>
      <c r="AJ434" s="5"/>
      <c r="AK434" s="5" t="s">
        <v>228</v>
      </c>
      <c r="AL434" s="5" t="n">
        <v>80999</v>
      </c>
      <c r="AM434" s="5" t="s">
        <v>182</v>
      </c>
      <c r="AN434" s="5" t="str">
        <f aca="false">IFERROR(INDEX('full database 2024'!aj:aj, MATCH(A434, 'full database 2024'!b:b, 0)), "")</f>
        <v/>
      </c>
      <c r="AQ434" s="5" t="s">
        <v>77</v>
      </c>
      <c r="AR434" s="5" t="s">
        <v>185</v>
      </c>
      <c r="AS434" s="5" t="s">
        <v>73</v>
      </c>
      <c r="AT434" s="5" t="s">
        <v>105</v>
      </c>
      <c r="AU434" s="5" t="s">
        <v>186</v>
      </c>
      <c r="AV434" s="10" t="s">
        <v>569</v>
      </c>
      <c r="AW434" s="5" t="s">
        <v>94</v>
      </c>
      <c r="AX434" s="10" t="str">
        <f aca="false">IFERROR(INDEX('full database 2024'!ar:ar, MATCH(A434, 'full database 2024'!b:b, 0)), "")</f>
        <v/>
      </c>
      <c r="AZ434" s="5" t="s">
        <v>188</v>
      </c>
      <c r="BD434" s="9" t="n">
        <v>45596</v>
      </c>
      <c r="BE434" s="9" t="n">
        <v>45596</v>
      </c>
      <c r="BI434" s="5"/>
      <c r="BJ434" s="5" t="n">
        <v>2023</v>
      </c>
      <c r="BK434" s="11" t="n">
        <v>36526</v>
      </c>
    </row>
    <row r="435" customFormat="false" ht="16.5" hidden="false" customHeight="true" outlineLevel="0" collapsed="false">
      <c r="A435" s="5" t="s">
        <v>1960</v>
      </c>
      <c r="C435" s="5"/>
      <c r="D435" s="5" t="s">
        <v>62</v>
      </c>
      <c r="E435" s="5" t="n">
        <v>74999</v>
      </c>
      <c r="F435" s="5" t="n">
        <v>75000</v>
      </c>
      <c r="G435" s="5" t="s">
        <v>147</v>
      </c>
      <c r="H435" s="6" t="n">
        <v>80999</v>
      </c>
      <c r="I435" s="6" t="n">
        <v>81000</v>
      </c>
      <c r="J435" s="7" t="n">
        <v>74999</v>
      </c>
      <c r="K435" s="7" t="n">
        <v>75000</v>
      </c>
      <c r="L435" s="5" t="s">
        <v>84</v>
      </c>
      <c r="M435" s="5" t="s">
        <v>65</v>
      </c>
      <c r="V435" s="5" t="s">
        <v>1961</v>
      </c>
      <c r="X435" s="5" t="s">
        <v>151</v>
      </c>
      <c r="Y435" s="5" t="s">
        <v>73</v>
      </c>
      <c r="AI435" s="9" t="n">
        <v>45108</v>
      </c>
      <c r="AK435" s="5" t="s">
        <v>228</v>
      </c>
      <c r="AL435" s="5" t="n">
        <v>80999</v>
      </c>
      <c r="AM435" s="5" t="s">
        <v>182</v>
      </c>
      <c r="AN435" s="5" t="str">
        <f aca="false">IFERROR(INDEX('full database 2024'!aj:aj, MATCH(A435, 'full database 2024'!b:b, 0)), "")</f>
        <v/>
      </c>
      <c r="AQ435" s="5" t="s">
        <v>77</v>
      </c>
      <c r="AR435" s="5" t="s">
        <v>185</v>
      </c>
      <c r="AS435" s="5" t="s">
        <v>73</v>
      </c>
      <c r="AT435" s="5" t="s">
        <v>78</v>
      </c>
      <c r="AW435" s="5" t="s">
        <v>94</v>
      </c>
      <c r="AX435" s="10" t="str">
        <f aca="false">IFERROR(INDEX('full database 2024'!ar:ar, MATCH(A435, 'full database 2024'!b:b, 0)), "")</f>
        <v/>
      </c>
      <c r="AY435" s="5" t="s">
        <v>447</v>
      </c>
      <c r="AZ435" s="5" t="s">
        <v>188</v>
      </c>
      <c r="BD435" s="9" t="n">
        <v>45596</v>
      </c>
      <c r="BE435" s="9" t="n">
        <v>45596</v>
      </c>
      <c r="BJ435" s="5" t="n">
        <v>2023</v>
      </c>
      <c r="BK435" s="11" t="n">
        <v>36526</v>
      </c>
    </row>
    <row r="436" customFormat="false" ht="16.5" hidden="false" customHeight="true" outlineLevel="0" collapsed="false">
      <c r="A436" s="5" t="s">
        <v>1962</v>
      </c>
      <c r="B436" s="5" t="s">
        <v>1963</v>
      </c>
      <c r="C436" s="5"/>
      <c r="D436" s="5" t="s">
        <v>62</v>
      </c>
      <c r="E436" s="16" t="n">
        <v>71941</v>
      </c>
      <c r="F436" s="16" t="n">
        <v>71941</v>
      </c>
      <c r="G436" s="5" t="s">
        <v>132</v>
      </c>
      <c r="H436" s="6" t="n">
        <v>89552</v>
      </c>
      <c r="I436" s="6" t="n">
        <v>89552</v>
      </c>
      <c r="J436" s="7" t="n">
        <f aca="false">E436*1.19</f>
        <v>85609.79</v>
      </c>
      <c r="K436" s="7" t="n">
        <f aca="false">F436*1.19</f>
        <v>85609.79</v>
      </c>
      <c r="L436" s="5" t="s">
        <v>84</v>
      </c>
      <c r="M436" s="5" t="s">
        <v>65</v>
      </c>
      <c r="N436" s="8" t="s">
        <v>1964</v>
      </c>
      <c r="O436" s="5" t="s">
        <v>1965</v>
      </c>
      <c r="P436" s="5"/>
      <c r="Q436" s="5"/>
      <c r="R436" s="5" t="s">
        <v>1966</v>
      </c>
      <c r="T436" s="5" t="s">
        <v>1967</v>
      </c>
      <c r="U436" s="5" t="s">
        <v>1968</v>
      </c>
      <c r="V436" s="5" t="s">
        <v>1969</v>
      </c>
      <c r="W436" s="5" t="s">
        <v>90</v>
      </c>
      <c r="X436" s="5" t="s">
        <v>139</v>
      </c>
      <c r="Y436" s="5" t="s">
        <v>73</v>
      </c>
      <c r="Z436" s="5" t="s">
        <v>70</v>
      </c>
      <c r="AC436" s="5" t="s">
        <v>1970</v>
      </c>
      <c r="AD436" s="5" t="s">
        <v>1971</v>
      </c>
      <c r="AE436" s="5" t="s">
        <v>74</v>
      </c>
      <c r="AI436" s="9" t="n">
        <v>44075</v>
      </c>
      <c r="AJ436" s="5" t="n">
        <v>4</v>
      </c>
      <c r="AK436" s="5" t="s">
        <v>75</v>
      </c>
      <c r="AL436" s="5" t="n">
        <v>22388</v>
      </c>
      <c r="AM436" s="5" t="s">
        <v>140</v>
      </c>
      <c r="AN436" s="5" t="s">
        <v>199</v>
      </c>
      <c r="AQ436" s="5" t="s">
        <v>77</v>
      </c>
      <c r="AR436" s="5" t="s">
        <v>143</v>
      </c>
      <c r="AS436" s="5" t="s">
        <v>73</v>
      </c>
      <c r="AT436" s="5" t="s">
        <v>374</v>
      </c>
      <c r="AW436" s="5" t="s">
        <v>201</v>
      </c>
      <c r="AX436" s="10" t="str">
        <f aca="false">IFERROR(INDEX('full database 2024'!ar:ar, MATCH(A436, 'full database 2024'!b:b, 0)), "")</f>
        <v/>
      </c>
      <c r="AZ436" s="5" t="s">
        <v>121</v>
      </c>
      <c r="BD436" s="9" t="n">
        <v>45036</v>
      </c>
      <c r="BE436" s="9" t="n">
        <v>45779</v>
      </c>
      <c r="BI436" s="5" t="s">
        <v>81</v>
      </c>
      <c r="BJ436" s="5" t="n">
        <v>2020</v>
      </c>
      <c r="BK436" s="11" t="n">
        <v>45300</v>
      </c>
    </row>
    <row r="437" customFormat="false" ht="16.5" hidden="false" customHeight="true" outlineLevel="0" collapsed="false">
      <c r="A437" s="5" t="s">
        <v>1972</v>
      </c>
      <c r="B437" s="5"/>
      <c r="C437" s="5"/>
      <c r="D437" s="5" t="s">
        <v>62</v>
      </c>
      <c r="E437" s="5" t="n">
        <v>71005</v>
      </c>
      <c r="F437" s="5" t="n">
        <v>71005</v>
      </c>
      <c r="G437" s="5" t="s">
        <v>147</v>
      </c>
      <c r="H437" s="6" t="n">
        <v>77395</v>
      </c>
      <c r="I437" s="6" t="n">
        <v>77395</v>
      </c>
      <c r="J437" s="7" t="n">
        <v>71005</v>
      </c>
      <c r="K437" s="7" t="n">
        <v>71005</v>
      </c>
      <c r="L437" s="5" t="s">
        <v>84</v>
      </c>
      <c r="M437" s="5" t="s">
        <v>65</v>
      </c>
      <c r="N437" s="8" t="s">
        <v>1973</v>
      </c>
      <c r="O437" s="5"/>
      <c r="P437" s="5"/>
      <c r="Q437" s="5"/>
      <c r="R437" s="5"/>
      <c r="T437" s="5"/>
      <c r="U437" s="5"/>
      <c r="V437" s="5" t="s">
        <v>1974</v>
      </c>
      <c r="W437" s="5"/>
      <c r="X437" s="5" t="s">
        <v>151</v>
      </c>
      <c r="Y437" s="5" t="s">
        <v>73</v>
      </c>
      <c r="Z437" s="5"/>
      <c r="AC437" s="5"/>
      <c r="AD437" s="5"/>
      <c r="AE437" s="5"/>
      <c r="AI437" s="9" t="n">
        <v>45231</v>
      </c>
      <c r="AJ437" s="5"/>
      <c r="AK437" s="5"/>
      <c r="AL437" s="5" t="n">
        <v>77395</v>
      </c>
      <c r="AM437" s="5" t="s">
        <v>153</v>
      </c>
      <c r="AN437" s="5"/>
      <c r="AQ437" s="5" t="s">
        <v>77</v>
      </c>
      <c r="AR437" s="5" t="s">
        <v>151</v>
      </c>
      <c r="AS437" s="5" t="s">
        <v>73</v>
      </c>
      <c r="AT437" s="5" t="s">
        <v>78</v>
      </c>
      <c r="AW437" s="5" t="s">
        <v>94</v>
      </c>
      <c r="AX437" s="10" t="str">
        <f aca="false">IFERROR(INDEX('full database 2024'!ar:ar, MATCH(A437, 'full database 2024'!b:b, 0)), "")</f>
        <v/>
      </c>
      <c r="AZ437" s="5" t="s">
        <v>129</v>
      </c>
      <c r="BD437" s="9" t="n">
        <v>45596</v>
      </c>
      <c r="BE437" s="9" t="n">
        <v>45779</v>
      </c>
      <c r="BI437" s="5"/>
      <c r="BJ437" s="5" t="n">
        <v>2023</v>
      </c>
      <c r="BK437" s="5" t="s">
        <v>1219</v>
      </c>
    </row>
    <row r="438" customFormat="false" ht="16.5" hidden="false" customHeight="true" outlineLevel="0" collapsed="false">
      <c r="A438" s="5" t="s">
        <v>1975</v>
      </c>
      <c r="B438" s="5" t="s">
        <v>1976</v>
      </c>
      <c r="C438" s="5"/>
      <c r="D438" s="5" t="s">
        <v>62</v>
      </c>
      <c r="E438" s="16" t="n">
        <v>69066</v>
      </c>
      <c r="F438" s="16" t="n">
        <v>69066</v>
      </c>
      <c r="G438" s="5" t="s">
        <v>132</v>
      </c>
      <c r="H438" s="6" t="n">
        <v>85146</v>
      </c>
      <c r="I438" s="6" t="n">
        <v>85146</v>
      </c>
      <c r="J438" s="7" t="n">
        <f aca="false">E438*1.19</f>
        <v>82188.54</v>
      </c>
      <c r="K438" s="7" t="n">
        <f aca="false">F438*1.19</f>
        <v>82188.54</v>
      </c>
      <c r="L438" s="5" t="s">
        <v>84</v>
      </c>
      <c r="M438" s="5" t="s">
        <v>65</v>
      </c>
      <c r="N438" s="8" t="s">
        <v>1977</v>
      </c>
      <c r="O438" s="5" t="s">
        <v>1978</v>
      </c>
      <c r="T438" s="5" t="s">
        <v>1979</v>
      </c>
      <c r="U438" s="5" t="s">
        <v>70</v>
      </c>
      <c r="V438" s="5" t="s">
        <v>1980</v>
      </c>
      <c r="W438" s="5" t="s">
        <v>102</v>
      </c>
      <c r="X438" s="5" t="s">
        <v>139</v>
      </c>
      <c r="Y438" s="5" t="s">
        <v>73</v>
      </c>
      <c r="Z438" s="5" t="s">
        <v>70</v>
      </c>
      <c r="AE438" s="5" t="s">
        <v>117</v>
      </c>
      <c r="AI438" s="9" t="n">
        <v>44136</v>
      </c>
      <c r="AJ438" s="5" t="n">
        <v>1</v>
      </c>
      <c r="AK438" s="5" t="s">
        <v>228</v>
      </c>
      <c r="AL438" s="5" t="n">
        <v>85146</v>
      </c>
      <c r="AM438" s="5" t="s">
        <v>140</v>
      </c>
      <c r="AN438" s="5" t="s">
        <v>699</v>
      </c>
      <c r="AQ438" s="5" t="s">
        <v>77</v>
      </c>
      <c r="AR438" s="5" t="s">
        <v>143</v>
      </c>
      <c r="AS438" s="5" t="s">
        <v>73</v>
      </c>
      <c r="AT438" s="5" t="s">
        <v>78</v>
      </c>
      <c r="AW438" s="5" t="s">
        <v>94</v>
      </c>
      <c r="AX438" s="10" t="str">
        <f aca="false">IFERROR(INDEX('full database 2024'!ar:ar, MATCH(A438, 'full database 2024'!b:b, 0)), "")</f>
        <v/>
      </c>
      <c r="AZ438" s="5" t="s">
        <v>188</v>
      </c>
      <c r="BD438" s="9" t="n">
        <v>45014</v>
      </c>
      <c r="BE438" s="9" t="n">
        <v>45779</v>
      </c>
      <c r="BI438" s="5" t="s">
        <v>81</v>
      </c>
      <c r="BJ438" s="5" t="n">
        <v>2020</v>
      </c>
      <c r="BK438" s="11" t="n">
        <v>44207</v>
      </c>
    </row>
    <row r="439" customFormat="false" ht="16.5" hidden="false" customHeight="true" outlineLevel="0" collapsed="false">
      <c r="A439" s="5" t="s">
        <v>1981</v>
      </c>
      <c r="B439" s="5"/>
      <c r="C439" s="5"/>
      <c r="D439" s="5" t="s">
        <v>62</v>
      </c>
      <c r="E439" s="5" t="n">
        <v>68661</v>
      </c>
      <c r="F439" s="5" t="n">
        <v>68661</v>
      </c>
      <c r="G439" s="5" t="s">
        <v>147</v>
      </c>
      <c r="H439" s="6" t="n">
        <v>74840</v>
      </c>
      <c r="I439" s="6" t="n">
        <v>74840</v>
      </c>
      <c r="J439" s="7" t="n">
        <v>68661</v>
      </c>
      <c r="K439" s="7" t="n">
        <v>68661</v>
      </c>
      <c r="L439" s="5" t="s">
        <v>84</v>
      </c>
      <c r="M439" s="5" t="s">
        <v>65</v>
      </c>
      <c r="N439" s="5"/>
      <c r="O439" s="5"/>
      <c r="T439" s="5"/>
      <c r="U439" s="5"/>
      <c r="V439" s="5" t="s">
        <v>1653</v>
      </c>
      <c r="W439" s="5"/>
      <c r="X439" s="5"/>
      <c r="Y439" s="5" t="s">
        <v>73</v>
      </c>
      <c r="Z439" s="5"/>
      <c r="AE439" s="5"/>
      <c r="AI439" s="9" t="n">
        <v>45047</v>
      </c>
      <c r="AJ439" s="5"/>
      <c r="AK439" s="5"/>
      <c r="AL439" s="5" t="n">
        <v>74840</v>
      </c>
      <c r="AM439" s="5" t="s">
        <v>924</v>
      </c>
      <c r="AN439" s="5"/>
      <c r="AQ439" s="5" t="s">
        <v>77</v>
      </c>
      <c r="AR439" s="5" t="s">
        <v>151</v>
      </c>
      <c r="AS439" s="5" t="s">
        <v>73</v>
      </c>
      <c r="AT439" s="5" t="s">
        <v>105</v>
      </c>
      <c r="AU439" s="5" t="s">
        <v>186</v>
      </c>
      <c r="AV439" s="10" t="s">
        <v>569</v>
      </c>
      <c r="AW439" s="5" t="s">
        <v>94</v>
      </c>
      <c r="AX439" s="10" t="str">
        <f aca="false">IFERROR(INDEX('full database 2024'!ar:ar, MATCH(A439, 'full database 2024'!b:b, 0)), "")</f>
        <v/>
      </c>
      <c r="AZ439" s="5" t="s">
        <v>121</v>
      </c>
      <c r="BD439" s="9" t="n">
        <v>45596</v>
      </c>
      <c r="BE439" s="9" t="n">
        <v>45596</v>
      </c>
      <c r="BI439" s="5"/>
      <c r="BJ439" s="5" t="n">
        <v>2023</v>
      </c>
      <c r="BK439" s="11"/>
    </row>
    <row r="440" customFormat="false" ht="16.5" hidden="false" customHeight="true" outlineLevel="0" collapsed="false">
      <c r="A440" s="5" t="s">
        <v>1982</v>
      </c>
      <c r="C440" s="5"/>
      <c r="D440" s="5" t="s">
        <v>62</v>
      </c>
      <c r="E440" s="5" t="n">
        <v>68278</v>
      </c>
      <c r="F440" s="5" t="n">
        <v>68278</v>
      </c>
      <c r="G440" s="5" t="s">
        <v>147</v>
      </c>
      <c r="H440" s="6" t="n">
        <v>74423</v>
      </c>
      <c r="I440" s="6" t="n">
        <v>74423</v>
      </c>
      <c r="J440" s="7" t="n">
        <v>68278</v>
      </c>
      <c r="K440" s="7" t="n">
        <v>68278</v>
      </c>
      <c r="L440" s="5" t="s">
        <v>84</v>
      </c>
      <c r="M440" s="5" t="s">
        <v>65</v>
      </c>
      <c r="V440" s="5" t="s">
        <v>1983</v>
      </c>
      <c r="Y440" s="5" t="s">
        <v>73</v>
      </c>
      <c r="AI440" s="9" t="n">
        <v>45170</v>
      </c>
      <c r="AL440" s="5" t="n">
        <v>74423</v>
      </c>
      <c r="AM440" s="5" t="s">
        <v>924</v>
      </c>
      <c r="AN440" s="5"/>
      <c r="AQ440" s="5" t="s">
        <v>77</v>
      </c>
      <c r="AR440" s="5" t="s">
        <v>151</v>
      </c>
      <c r="AS440" s="5" t="s">
        <v>73</v>
      </c>
      <c r="AT440" s="5" t="s">
        <v>105</v>
      </c>
      <c r="AU440" s="10" t="s">
        <v>186</v>
      </c>
      <c r="AW440" s="5" t="s">
        <v>94</v>
      </c>
      <c r="AX440" s="10" t="str">
        <f aca="false">IFERROR(INDEX('full database 2024'!ar:ar, MATCH(A440, 'full database 2024'!b:b, 0)), "")</f>
        <v/>
      </c>
      <c r="AZ440" s="5" t="s">
        <v>188</v>
      </c>
      <c r="BD440" s="9" t="n">
        <v>45596</v>
      </c>
      <c r="BE440" s="9" t="n">
        <v>45596</v>
      </c>
      <c r="BJ440" s="5" t="n">
        <v>2023</v>
      </c>
    </row>
    <row r="441" customFormat="false" ht="16.5" hidden="false" customHeight="true" outlineLevel="0" collapsed="false">
      <c r="A441" s="5" t="s">
        <v>1984</v>
      </c>
      <c r="C441" s="5"/>
      <c r="D441" s="5" t="s">
        <v>62</v>
      </c>
      <c r="E441" s="5" t="n">
        <v>64819</v>
      </c>
      <c r="F441" s="5" t="n">
        <v>64819</v>
      </c>
      <c r="G441" s="5" t="s">
        <v>147</v>
      </c>
      <c r="H441" s="6" t="n">
        <v>70653</v>
      </c>
      <c r="I441" s="6" t="n">
        <v>70653</v>
      </c>
      <c r="J441" s="7" t="n">
        <v>64819</v>
      </c>
      <c r="K441" s="7" t="n">
        <v>64819</v>
      </c>
      <c r="L441" s="5" t="s">
        <v>84</v>
      </c>
      <c r="M441" s="5" t="s">
        <v>65</v>
      </c>
      <c r="V441" s="5" t="s">
        <v>824</v>
      </c>
      <c r="Y441" s="5" t="s">
        <v>73</v>
      </c>
      <c r="AI441" s="9" t="n">
        <v>44835</v>
      </c>
      <c r="AL441" s="5" t="n">
        <v>70653</v>
      </c>
      <c r="AM441" s="5" t="s">
        <v>821</v>
      </c>
      <c r="AN441" s="5"/>
      <c r="AQ441" s="5" t="s">
        <v>77</v>
      </c>
      <c r="AR441" s="5" t="s">
        <v>151</v>
      </c>
      <c r="AS441" s="5" t="s">
        <v>73</v>
      </c>
      <c r="AT441" s="5" t="s">
        <v>105</v>
      </c>
      <c r="AU441" s="5" t="s">
        <v>186</v>
      </c>
      <c r="AV441" s="5"/>
      <c r="AW441" s="5" t="s">
        <v>94</v>
      </c>
      <c r="AX441" s="10" t="str">
        <f aca="false">IFERROR(INDEX('full database 2024'!ar:ar, MATCH(A441, 'full database 2024'!b:b, 0)), "")</f>
        <v/>
      </c>
      <c r="AZ441" s="5" t="s">
        <v>188</v>
      </c>
      <c r="BD441" s="9" t="n">
        <v>45596</v>
      </c>
      <c r="BE441" s="9" t="n">
        <v>45596</v>
      </c>
      <c r="BJ441" s="5" t="n">
        <v>2022</v>
      </c>
    </row>
    <row r="442" customFormat="false" ht="16.5" hidden="false" customHeight="true" outlineLevel="0" collapsed="false">
      <c r="A442" s="5" t="s">
        <v>1985</v>
      </c>
      <c r="C442" s="5"/>
      <c r="D442" s="5" t="s">
        <v>62</v>
      </c>
      <c r="E442" s="16" t="n">
        <v>47101</v>
      </c>
      <c r="F442" s="16" t="n">
        <v>47101</v>
      </c>
      <c r="G442" s="5" t="s">
        <v>132</v>
      </c>
      <c r="H442" s="6" t="n">
        <v>73538</v>
      </c>
      <c r="I442" s="6" t="n">
        <v>73538</v>
      </c>
      <c r="J442" s="7" t="n">
        <f aca="false">E442*1.19</f>
        <v>56050.19</v>
      </c>
      <c r="K442" s="7" t="n">
        <f aca="false">F442*1.19</f>
        <v>56050.19</v>
      </c>
      <c r="L442" s="5" t="s">
        <v>84</v>
      </c>
      <c r="M442" s="5" t="s">
        <v>65</v>
      </c>
      <c r="N442" s="8" t="s">
        <v>1986</v>
      </c>
      <c r="T442" s="5" t="s">
        <v>1987</v>
      </c>
      <c r="V442" s="5" t="s">
        <v>1988</v>
      </c>
      <c r="W442" s="5" t="s">
        <v>102</v>
      </c>
      <c r="X442" s="5" t="s">
        <v>139</v>
      </c>
      <c r="Y442" s="5" t="s">
        <v>73</v>
      </c>
      <c r="AE442" s="5" t="s">
        <v>117</v>
      </c>
      <c r="AI442" s="9" t="n">
        <v>44136</v>
      </c>
      <c r="AL442" s="5" t="n">
        <v>73538</v>
      </c>
      <c r="AM442" s="5" t="s">
        <v>140</v>
      </c>
      <c r="AN442" s="5" t="s">
        <v>699</v>
      </c>
      <c r="AQ442" s="5" t="s">
        <v>77</v>
      </c>
      <c r="AR442" s="5" t="s">
        <v>143</v>
      </c>
      <c r="AS442" s="5" t="s">
        <v>73</v>
      </c>
      <c r="AT442" s="5" t="s">
        <v>78</v>
      </c>
      <c r="AW442" s="5" t="s">
        <v>94</v>
      </c>
      <c r="AX442" s="10" t="str">
        <f aca="false">IFERROR(INDEX('full database 2024'!ar:ar, MATCH(A442, 'full database 2024'!b:b, 0)), "")</f>
        <v/>
      </c>
      <c r="AZ442" s="5" t="s">
        <v>188</v>
      </c>
      <c r="BD442" s="9" t="n">
        <v>45377</v>
      </c>
      <c r="BE442" s="9" t="n">
        <v>45779</v>
      </c>
      <c r="BI442" s="5" t="s">
        <v>81</v>
      </c>
      <c r="BJ442" s="5" t="n">
        <v>2020</v>
      </c>
      <c r="BK442" s="11" t="n">
        <v>44203</v>
      </c>
    </row>
    <row r="443" customFormat="false" ht="16.5" hidden="false" customHeight="true" outlineLevel="0" collapsed="false">
      <c r="A443" s="5" t="s">
        <v>1989</v>
      </c>
      <c r="C443" s="5"/>
      <c r="D443" s="5" t="s">
        <v>62</v>
      </c>
      <c r="E443" s="5" t="n">
        <v>62859</v>
      </c>
      <c r="F443" s="5" t="n">
        <v>62859</v>
      </c>
      <c r="G443" s="5" t="s">
        <v>147</v>
      </c>
      <c r="H443" s="6" t="n">
        <v>68517</v>
      </c>
      <c r="I443" s="6" t="n">
        <v>68517</v>
      </c>
      <c r="J443" s="7" t="n">
        <v>62859</v>
      </c>
      <c r="K443" s="7" t="n">
        <v>62859</v>
      </c>
      <c r="L443" s="5" t="s">
        <v>84</v>
      </c>
      <c r="M443" s="5" t="s">
        <v>65</v>
      </c>
      <c r="N443" s="5"/>
      <c r="T443" s="5"/>
      <c r="V443" s="5" t="s">
        <v>1990</v>
      </c>
      <c r="W443" s="5"/>
      <c r="X443" s="5"/>
      <c r="Y443" s="5" t="s">
        <v>73</v>
      </c>
      <c r="AE443" s="5"/>
      <c r="AI443" s="9" t="n">
        <v>44929</v>
      </c>
      <c r="AL443" s="5" t="n">
        <v>68517</v>
      </c>
      <c r="AM443" s="5" t="s">
        <v>153</v>
      </c>
      <c r="AN443" s="5"/>
      <c r="AQ443" s="5" t="s">
        <v>77</v>
      </c>
      <c r="AR443" s="5" t="s">
        <v>151</v>
      </c>
      <c r="AS443" s="5" t="s">
        <v>73</v>
      </c>
      <c r="AT443" s="5" t="s">
        <v>78</v>
      </c>
      <c r="AW443" s="5" t="s">
        <v>94</v>
      </c>
      <c r="AX443" s="10" t="str">
        <f aca="false">IFERROR(INDEX('full database 2024'!ar:ar, MATCH(A443, 'full database 2024'!b:b, 0)), "")</f>
        <v/>
      </c>
      <c r="AZ443" s="5" t="s">
        <v>309</v>
      </c>
      <c r="BD443" s="9" t="n">
        <v>45596</v>
      </c>
      <c r="BE443" s="9" t="n">
        <v>45596</v>
      </c>
      <c r="BI443" s="5"/>
      <c r="BJ443" s="5" t="n">
        <v>2023</v>
      </c>
      <c r="BK443" s="11"/>
    </row>
    <row r="444" customFormat="false" ht="16.5" hidden="false" customHeight="true" outlineLevel="0" collapsed="false">
      <c r="A444" s="5" t="s">
        <v>1991</v>
      </c>
      <c r="B444" s="5" t="s">
        <v>1992</v>
      </c>
      <c r="C444" s="5"/>
      <c r="D444" s="5" t="s">
        <v>62</v>
      </c>
      <c r="E444" s="16" t="n">
        <v>62500</v>
      </c>
      <c r="F444" s="16" t="n">
        <v>50000</v>
      </c>
      <c r="G444" s="5" t="s">
        <v>132</v>
      </c>
      <c r="H444" s="6" t="n">
        <v>67500</v>
      </c>
      <c r="I444" s="6" t="n">
        <v>54000</v>
      </c>
      <c r="J444" s="7" t="n">
        <f aca="false">E444*1.19</f>
        <v>74375</v>
      </c>
      <c r="K444" s="7" t="n">
        <f aca="false">F444*1.19</f>
        <v>59500</v>
      </c>
      <c r="L444" s="5" t="s">
        <v>84</v>
      </c>
      <c r="M444" s="5" t="s">
        <v>65</v>
      </c>
      <c r="N444" s="8" t="s">
        <v>1993</v>
      </c>
      <c r="O444" s="5" t="s">
        <v>1994</v>
      </c>
      <c r="P444" s="5"/>
      <c r="Q444" s="5"/>
      <c r="R444" s="5" t="s">
        <v>670</v>
      </c>
      <c r="T444" s="5" t="s">
        <v>1995</v>
      </c>
      <c r="V444" s="5" t="s">
        <v>1996</v>
      </c>
      <c r="W444" s="5" t="s">
        <v>102</v>
      </c>
      <c r="X444" s="5" t="s">
        <v>139</v>
      </c>
      <c r="Y444" s="5" t="s">
        <v>73</v>
      </c>
      <c r="AE444" s="5" t="s">
        <v>117</v>
      </c>
      <c r="AI444" s="9" t="n">
        <v>44927</v>
      </c>
      <c r="AJ444" s="5" t="n">
        <v>1</v>
      </c>
      <c r="AK444" s="5" t="s">
        <v>75</v>
      </c>
      <c r="AL444" s="5" t="n">
        <v>67500</v>
      </c>
      <c r="AM444" s="5" t="s">
        <v>140</v>
      </c>
      <c r="AN444" s="5" t="s">
        <v>699</v>
      </c>
      <c r="AQ444" s="5" t="s">
        <v>77</v>
      </c>
      <c r="AR444" s="5" t="s">
        <v>143</v>
      </c>
      <c r="AS444" s="5" t="s">
        <v>73</v>
      </c>
      <c r="AT444" s="5" t="s">
        <v>374</v>
      </c>
      <c r="AW444" s="5" t="s">
        <v>94</v>
      </c>
      <c r="AX444" s="10" t="str">
        <f aca="false">IFERROR(INDEX('full database 2024'!ar:ar, MATCH(A444, 'full database 2024'!b:b, 0)), "")</f>
        <v/>
      </c>
      <c r="AZ444" s="5" t="s">
        <v>121</v>
      </c>
      <c r="BD444" s="9" t="n">
        <v>45377</v>
      </c>
      <c r="BE444" s="9" t="n">
        <v>45779</v>
      </c>
      <c r="BI444" s="5" t="s">
        <v>81</v>
      </c>
      <c r="BJ444" s="5" t="n">
        <v>2023</v>
      </c>
    </row>
    <row r="445" customFormat="false" ht="16.5" hidden="false" customHeight="true" outlineLevel="0" collapsed="false">
      <c r="A445" s="5" t="s">
        <v>1997</v>
      </c>
      <c r="B445" s="5" t="s">
        <v>1998</v>
      </c>
      <c r="C445" s="5"/>
      <c r="D445" s="5" t="s">
        <v>62</v>
      </c>
      <c r="E445" s="16" t="n">
        <v>62500</v>
      </c>
      <c r="F445" s="16" t="n">
        <v>50000</v>
      </c>
      <c r="G445" s="5" t="s">
        <v>132</v>
      </c>
      <c r="H445" s="6" t="n">
        <v>65625</v>
      </c>
      <c r="I445" s="6" t="n">
        <v>52500</v>
      </c>
      <c r="J445" s="7" t="n">
        <f aca="false">E445*1.19</f>
        <v>74375</v>
      </c>
      <c r="K445" s="7" t="n">
        <f aca="false">F445*1.19</f>
        <v>59500</v>
      </c>
      <c r="L445" s="5" t="s">
        <v>84</v>
      </c>
      <c r="M445" s="5" t="s">
        <v>65</v>
      </c>
      <c r="N445" s="8" t="s">
        <v>1999</v>
      </c>
      <c r="O445" s="5" t="s">
        <v>2000</v>
      </c>
      <c r="P445" s="5"/>
      <c r="Q445" s="5"/>
      <c r="R445" s="5" t="s">
        <v>670</v>
      </c>
      <c r="T445" s="5" t="s">
        <v>2001</v>
      </c>
      <c r="V445" s="5" t="s">
        <v>1864</v>
      </c>
      <c r="W445" s="5" t="s">
        <v>102</v>
      </c>
      <c r="X445" s="5" t="s">
        <v>139</v>
      </c>
      <c r="Y445" s="5" t="s">
        <v>73</v>
      </c>
      <c r="AE445" s="5" t="s">
        <v>117</v>
      </c>
      <c r="AI445" s="9" t="n">
        <v>44562</v>
      </c>
      <c r="AJ445" s="5" t="n">
        <v>1</v>
      </c>
      <c r="AK445" s="5" t="s">
        <v>75</v>
      </c>
      <c r="AL445" s="5" t="n">
        <v>65625</v>
      </c>
      <c r="AM445" s="5" t="s">
        <v>140</v>
      </c>
      <c r="AN445" s="5" t="s">
        <v>699</v>
      </c>
      <c r="AQ445" s="5" t="s">
        <v>77</v>
      </c>
      <c r="AR445" s="5" t="s">
        <v>143</v>
      </c>
      <c r="AS445" s="5" t="s">
        <v>73</v>
      </c>
      <c r="AT445" s="5" t="s">
        <v>78</v>
      </c>
      <c r="AW445" s="5" t="s">
        <v>94</v>
      </c>
      <c r="AX445" s="10" t="str">
        <f aca="false">IFERROR(INDEX('full database 2024'!ar:ar, MATCH(A445, 'full database 2024'!b:b, 0)), "")</f>
        <v/>
      </c>
      <c r="AY445" s="5" t="s">
        <v>1865</v>
      </c>
      <c r="AZ445" s="5" t="s">
        <v>188</v>
      </c>
      <c r="BD445" s="9" t="n">
        <v>45377</v>
      </c>
      <c r="BE445" s="9" t="n">
        <v>45779</v>
      </c>
      <c r="BI445" s="5" t="s">
        <v>81</v>
      </c>
      <c r="BJ445" s="5" t="n">
        <v>2022</v>
      </c>
    </row>
    <row r="446" customFormat="false" ht="16.5" hidden="false" customHeight="true" outlineLevel="0" collapsed="false">
      <c r="A446" s="5" t="s">
        <v>2002</v>
      </c>
      <c r="B446" s="5"/>
      <c r="C446" s="5"/>
      <c r="D446" s="5" t="s">
        <v>62</v>
      </c>
      <c r="E446" s="16" t="n">
        <v>62400</v>
      </c>
      <c r="F446" s="16" t="n">
        <v>49933</v>
      </c>
      <c r="G446" s="5" t="s">
        <v>132</v>
      </c>
      <c r="H446" s="6" t="n">
        <v>65520</v>
      </c>
      <c r="I446" s="6" t="n">
        <v>52430</v>
      </c>
      <c r="J446" s="7" t="n">
        <f aca="false">E446*1.19</f>
        <v>74256</v>
      </c>
      <c r="K446" s="7" t="n">
        <f aca="false">F446*1.19</f>
        <v>59420.27</v>
      </c>
      <c r="L446" s="5" t="s">
        <v>84</v>
      </c>
      <c r="M446" s="5" t="s">
        <v>65</v>
      </c>
      <c r="N446" s="5"/>
      <c r="O446" s="5"/>
      <c r="P446" s="5"/>
      <c r="Q446" s="5"/>
      <c r="R446" s="5" t="s">
        <v>670</v>
      </c>
      <c r="T446" s="5" t="s">
        <v>2003</v>
      </c>
      <c r="V446" s="5" t="s">
        <v>2004</v>
      </c>
      <c r="W446" s="5" t="s">
        <v>102</v>
      </c>
      <c r="X446" s="5" t="s">
        <v>139</v>
      </c>
      <c r="Y446" s="5" t="s">
        <v>73</v>
      </c>
      <c r="AE446" s="5" t="s">
        <v>117</v>
      </c>
      <c r="AI446" s="9" t="n">
        <v>44562</v>
      </c>
      <c r="AJ446" s="5" t="n">
        <v>0.5</v>
      </c>
      <c r="AK446" s="5" t="s">
        <v>75</v>
      </c>
      <c r="AL446" s="5" t="n">
        <v>65520</v>
      </c>
      <c r="AM446" s="5" t="s">
        <v>140</v>
      </c>
      <c r="AN446" s="5" t="s">
        <v>699</v>
      </c>
      <c r="AQ446" s="5" t="s">
        <v>77</v>
      </c>
      <c r="AR446" s="5" t="s">
        <v>143</v>
      </c>
      <c r="AS446" s="5" t="s">
        <v>73</v>
      </c>
      <c r="AT446" s="5" t="s">
        <v>105</v>
      </c>
      <c r="AU446" s="10" t="s">
        <v>106</v>
      </c>
      <c r="AW446" s="5" t="s">
        <v>94</v>
      </c>
      <c r="AX446" s="10" t="str">
        <f aca="false">IFERROR(INDEX('full database 2024'!ar:ar, MATCH(A446, 'full database 2024'!b:b, 0)), "")</f>
        <v/>
      </c>
      <c r="AZ446" s="5" t="s">
        <v>107</v>
      </c>
      <c r="BD446" s="9" t="n">
        <v>45377</v>
      </c>
      <c r="BE446" s="9" t="n">
        <v>45779</v>
      </c>
      <c r="BI446" s="5" t="s">
        <v>81</v>
      </c>
      <c r="BJ446" s="5" t="n">
        <v>2022</v>
      </c>
    </row>
    <row r="447" customFormat="false" ht="16.5" hidden="false" customHeight="true" outlineLevel="0" collapsed="false">
      <c r="A447" s="5" t="s">
        <v>2005</v>
      </c>
      <c r="B447" s="5" t="s">
        <v>2006</v>
      </c>
      <c r="C447" s="5"/>
      <c r="D447" s="5" t="s">
        <v>62</v>
      </c>
      <c r="E447" s="16" t="n">
        <v>62400</v>
      </c>
      <c r="F447" s="16" t="n">
        <v>49943</v>
      </c>
      <c r="G447" s="5" t="s">
        <v>132</v>
      </c>
      <c r="H447" s="6" t="n">
        <v>65520</v>
      </c>
      <c r="I447" s="6" t="n">
        <v>52440</v>
      </c>
      <c r="J447" s="7" t="n">
        <f aca="false">E447*1.19</f>
        <v>74256</v>
      </c>
      <c r="K447" s="7" t="n">
        <f aca="false">F447*1.19</f>
        <v>59432.17</v>
      </c>
      <c r="L447" s="5" t="s">
        <v>84</v>
      </c>
      <c r="M447" s="5" t="s">
        <v>65</v>
      </c>
      <c r="N447" s="8" t="s">
        <v>2007</v>
      </c>
      <c r="O447" s="5" t="s">
        <v>2008</v>
      </c>
      <c r="P447" s="5"/>
      <c r="Q447" s="5"/>
      <c r="R447" s="5" t="s">
        <v>670</v>
      </c>
      <c r="T447" s="5" t="s">
        <v>2009</v>
      </c>
      <c r="V447" s="5" t="s">
        <v>2010</v>
      </c>
      <c r="W447" s="5" t="s">
        <v>102</v>
      </c>
      <c r="X447" s="5" t="s">
        <v>139</v>
      </c>
      <c r="Y447" s="5" t="s">
        <v>73</v>
      </c>
      <c r="AE447" s="5" t="s">
        <v>117</v>
      </c>
      <c r="AI447" s="9" t="n">
        <v>44562</v>
      </c>
      <c r="AJ447" s="5" t="n">
        <v>0.5</v>
      </c>
      <c r="AK447" s="5" t="s">
        <v>75</v>
      </c>
      <c r="AL447" s="5" t="n">
        <v>65520</v>
      </c>
      <c r="AM447" s="5" t="s">
        <v>140</v>
      </c>
      <c r="AN447" s="5" t="s">
        <v>699</v>
      </c>
      <c r="AQ447" s="5" t="s">
        <v>77</v>
      </c>
      <c r="AR447" s="5" t="s">
        <v>143</v>
      </c>
      <c r="AS447" s="5" t="s">
        <v>73</v>
      </c>
      <c r="AT447" s="5" t="s">
        <v>374</v>
      </c>
      <c r="AW447" s="5" t="s">
        <v>94</v>
      </c>
      <c r="AX447" s="10" t="str">
        <f aca="false">IFERROR(INDEX('full database 2024'!ar:ar, MATCH(A447, 'full database 2024'!b:b, 0)), "")</f>
        <v/>
      </c>
      <c r="AZ447" s="5" t="s">
        <v>121</v>
      </c>
      <c r="BD447" s="9" t="n">
        <v>45377</v>
      </c>
      <c r="BE447" s="9" t="n">
        <v>45779</v>
      </c>
      <c r="BI447" s="5" t="s">
        <v>81</v>
      </c>
      <c r="BJ447" s="5" t="n">
        <v>2022</v>
      </c>
    </row>
    <row r="448" customFormat="false" ht="16.5" hidden="false" customHeight="true" outlineLevel="0" collapsed="false">
      <c r="A448" s="5" t="s">
        <v>2011</v>
      </c>
      <c r="B448" s="5" t="s">
        <v>2012</v>
      </c>
      <c r="C448" s="5"/>
      <c r="D448" s="5" t="s">
        <v>62</v>
      </c>
      <c r="E448" s="16" t="n">
        <v>62200</v>
      </c>
      <c r="F448" s="16" t="n">
        <v>49731</v>
      </c>
      <c r="G448" s="5" t="s">
        <v>132</v>
      </c>
      <c r="H448" s="6" t="n">
        <v>67176</v>
      </c>
      <c r="I448" s="6" t="n">
        <v>53709</v>
      </c>
      <c r="J448" s="7" t="n">
        <f aca="false">E448*1.19</f>
        <v>74018</v>
      </c>
      <c r="K448" s="7" t="n">
        <f aca="false">F448*1.19</f>
        <v>59179.89</v>
      </c>
      <c r="L448" s="5" t="s">
        <v>84</v>
      </c>
      <c r="M448" s="5" t="s">
        <v>65</v>
      </c>
      <c r="N448" s="5" t="s">
        <v>2013</v>
      </c>
      <c r="O448" s="5" t="s">
        <v>2014</v>
      </c>
      <c r="P448" s="5"/>
      <c r="Q448" s="5"/>
      <c r="R448" s="5" t="s">
        <v>670</v>
      </c>
      <c r="T448" s="5" t="s">
        <v>1233</v>
      </c>
      <c r="U448" s="5" t="s">
        <v>70</v>
      </c>
      <c r="V448" s="5" t="s">
        <v>1234</v>
      </c>
      <c r="W448" s="5" t="s">
        <v>102</v>
      </c>
      <c r="X448" s="5" t="s">
        <v>139</v>
      </c>
      <c r="Y448" s="5" t="s">
        <v>73</v>
      </c>
      <c r="Z448" s="5" t="s">
        <v>70</v>
      </c>
      <c r="AD448" s="5" t="s">
        <v>70</v>
      </c>
      <c r="AE448" s="5" t="s">
        <v>117</v>
      </c>
      <c r="AI448" s="9" t="n">
        <v>44927</v>
      </c>
      <c r="AJ448" s="5" t="n">
        <v>0.5</v>
      </c>
      <c r="AK448" s="5" t="s">
        <v>75</v>
      </c>
      <c r="AL448" s="5" t="n">
        <v>67176</v>
      </c>
      <c r="AM448" s="5" t="s">
        <v>140</v>
      </c>
      <c r="AN448" s="5" t="s">
        <v>699</v>
      </c>
      <c r="AO448" s="5" t="s">
        <v>720</v>
      </c>
      <c r="AQ448" s="5" t="s">
        <v>77</v>
      </c>
      <c r="AR448" s="5" t="s">
        <v>143</v>
      </c>
      <c r="AS448" s="5" t="s">
        <v>73</v>
      </c>
      <c r="AT448" s="5" t="s">
        <v>374</v>
      </c>
      <c r="AW448" s="5" t="s">
        <v>94</v>
      </c>
      <c r="AX448" s="10" t="str">
        <f aca="false">IFERROR(INDEX('full database 2024'!ar:ar, MATCH(A448, 'full database 2024'!b:b, 0)), "")</f>
        <v/>
      </c>
      <c r="AZ448" s="5" t="s">
        <v>239</v>
      </c>
      <c r="BD448" s="9" t="n">
        <v>45377</v>
      </c>
      <c r="BE448" s="9" t="n">
        <v>45779</v>
      </c>
      <c r="BI448" s="5" t="s">
        <v>81</v>
      </c>
      <c r="BJ448" s="5" t="n">
        <v>2023</v>
      </c>
    </row>
    <row r="449" customFormat="false" ht="16.5" hidden="false" customHeight="true" outlineLevel="0" collapsed="false">
      <c r="A449" s="5" t="s">
        <v>2015</v>
      </c>
      <c r="B449" s="5" t="s">
        <v>2016</v>
      </c>
      <c r="C449" s="5"/>
      <c r="D449" s="5" t="s">
        <v>62</v>
      </c>
      <c r="E449" s="16" t="n">
        <v>62000</v>
      </c>
      <c r="F449" s="16" t="n">
        <v>49622</v>
      </c>
      <c r="G449" s="5" t="s">
        <v>132</v>
      </c>
      <c r="H449" s="6" t="n">
        <v>65100</v>
      </c>
      <c r="I449" s="6" t="n">
        <v>52103</v>
      </c>
      <c r="J449" s="7" t="n">
        <f aca="false">E449*1.19</f>
        <v>73780</v>
      </c>
      <c r="K449" s="7" t="n">
        <f aca="false">F449*1.19</f>
        <v>59050.18</v>
      </c>
      <c r="L449" s="5" t="s">
        <v>84</v>
      </c>
      <c r="M449" s="5" t="s">
        <v>65</v>
      </c>
      <c r="N449" s="8" t="s">
        <v>2017</v>
      </c>
      <c r="O449" s="5" t="s">
        <v>2018</v>
      </c>
      <c r="P449" s="5"/>
      <c r="Q449" s="5"/>
      <c r="R449" s="5" t="s">
        <v>670</v>
      </c>
      <c r="T449" s="5" t="s">
        <v>2019</v>
      </c>
      <c r="U449" s="5"/>
      <c r="V449" s="5" t="s">
        <v>2020</v>
      </c>
      <c r="W449" s="5" t="s">
        <v>102</v>
      </c>
      <c r="X449" s="5" t="s">
        <v>139</v>
      </c>
      <c r="Y449" s="5" t="s">
        <v>73</v>
      </c>
      <c r="Z449" s="5"/>
      <c r="AD449" s="5"/>
      <c r="AE449" s="5" t="s">
        <v>117</v>
      </c>
      <c r="AI449" s="9" t="n">
        <v>44562</v>
      </c>
      <c r="AJ449" s="5" t="n">
        <v>0.5</v>
      </c>
      <c r="AK449" s="5" t="s">
        <v>75</v>
      </c>
      <c r="AL449" s="5" t="n">
        <v>65100</v>
      </c>
      <c r="AM449" s="5" t="s">
        <v>140</v>
      </c>
      <c r="AN449" s="5" t="s">
        <v>699</v>
      </c>
      <c r="AO449" s="5"/>
      <c r="AQ449" s="5" t="s">
        <v>77</v>
      </c>
      <c r="AR449" s="5" t="s">
        <v>143</v>
      </c>
      <c r="AS449" s="5" t="s">
        <v>73</v>
      </c>
      <c r="AT449" s="5" t="s">
        <v>374</v>
      </c>
      <c r="AW449" s="5" t="s">
        <v>94</v>
      </c>
      <c r="AX449" s="10" t="str">
        <f aca="false">IFERROR(INDEX('full database 2024'!ar:ar, MATCH(A449, 'full database 2024'!b:b, 0)), "")</f>
        <v/>
      </c>
      <c r="AZ449" s="5" t="s">
        <v>534</v>
      </c>
      <c r="BD449" s="9" t="n">
        <v>45377</v>
      </c>
      <c r="BE449" s="9" t="n">
        <v>45779</v>
      </c>
      <c r="BI449" s="5" t="s">
        <v>81</v>
      </c>
      <c r="BJ449" s="5" t="n">
        <v>2022</v>
      </c>
    </row>
    <row r="450" customFormat="false" ht="16.5" hidden="false" customHeight="true" outlineLevel="0" collapsed="false">
      <c r="A450" s="5" t="s">
        <v>823</v>
      </c>
      <c r="B450" s="5"/>
      <c r="C450" s="5"/>
      <c r="D450" s="5" t="s">
        <v>62</v>
      </c>
      <c r="E450" s="5" t="n">
        <v>61700</v>
      </c>
      <c r="F450" s="5" t="n">
        <v>61700</v>
      </c>
      <c r="G450" s="5" t="s">
        <v>147</v>
      </c>
      <c r="H450" s="6" t="n">
        <v>67253</v>
      </c>
      <c r="I450" s="6" t="n">
        <v>67253</v>
      </c>
      <c r="J450" s="7" t="n">
        <v>61700</v>
      </c>
      <c r="K450" s="7" t="n">
        <v>61700</v>
      </c>
      <c r="L450" s="5" t="s">
        <v>84</v>
      </c>
      <c r="M450" s="5" t="s">
        <v>65</v>
      </c>
      <c r="N450" s="5"/>
      <c r="O450" s="5"/>
      <c r="P450" s="5"/>
      <c r="Q450" s="5"/>
      <c r="R450" s="5"/>
      <c r="T450" s="5"/>
      <c r="V450" s="5" t="s">
        <v>2021</v>
      </c>
      <c r="W450" s="5"/>
      <c r="X450" s="5" t="s">
        <v>151</v>
      </c>
      <c r="Y450" s="5" t="s">
        <v>73</v>
      </c>
      <c r="AE450" s="5"/>
      <c r="AI450" s="9" t="n">
        <v>44105</v>
      </c>
      <c r="AJ450" s="5"/>
      <c r="AK450" s="5"/>
      <c r="AL450" s="5" t="n">
        <v>67253</v>
      </c>
      <c r="AM450" s="5" t="s">
        <v>821</v>
      </c>
      <c r="AN450" s="5"/>
      <c r="AQ450" s="5" t="s">
        <v>77</v>
      </c>
      <c r="AR450" s="5" t="s">
        <v>151</v>
      </c>
      <c r="AS450" s="5" t="s">
        <v>73</v>
      </c>
      <c r="AT450" s="5" t="s">
        <v>71</v>
      </c>
      <c r="AW450" s="5" t="s">
        <v>94</v>
      </c>
      <c r="AX450" s="10" t="str">
        <f aca="false">IFERROR(INDEX('full database 2024'!ar:ar, MATCH(A450, 'full database 2024'!b:b, 0)), "")</f>
        <v/>
      </c>
      <c r="AZ450" s="5" t="s">
        <v>129</v>
      </c>
      <c r="BD450" s="9" t="n">
        <v>45596</v>
      </c>
      <c r="BE450" s="9" t="n">
        <v>45596</v>
      </c>
      <c r="BI450" s="5"/>
      <c r="BJ450" s="5" t="n">
        <v>2020</v>
      </c>
    </row>
    <row r="451" customFormat="false" ht="16.5" hidden="false" customHeight="true" outlineLevel="0" collapsed="false">
      <c r="A451" s="5" t="s">
        <v>2022</v>
      </c>
      <c r="B451" s="5" t="s">
        <v>2023</v>
      </c>
      <c r="C451" s="5"/>
      <c r="D451" s="5" t="s">
        <v>62</v>
      </c>
      <c r="E451" s="16" t="n">
        <v>61200</v>
      </c>
      <c r="F451" s="16" t="n">
        <v>48972</v>
      </c>
      <c r="G451" s="5" t="s">
        <v>132</v>
      </c>
      <c r="H451" s="6" t="n">
        <v>64260</v>
      </c>
      <c r="I451" s="6" t="n">
        <v>51421</v>
      </c>
      <c r="J451" s="7" t="n">
        <f aca="false">E451*1.19</f>
        <v>72828</v>
      </c>
      <c r="K451" s="7" t="n">
        <f aca="false">F451*1.19</f>
        <v>58276.68</v>
      </c>
      <c r="L451" s="5" t="s">
        <v>84</v>
      </c>
      <c r="M451" s="5" t="s">
        <v>65</v>
      </c>
      <c r="N451" s="8" t="s">
        <v>2024</v>
      </c>
      <c r="O451" s="5" t="s">
        <v>2025</v>
      </c>
      <c r="P451" s="5"/>
      <c r="Q451" s="5"/>
      <c r="R451" s="5" t="s">
        <v>670</v>
      </c>
      <c r="T451" s="5" t="s">
        <v>2026</v>
      </c>
      <c r="V451" s="5" t="s">
        <v>2027</v>
      </c>
      <c r="W451" s="5" t="s">
        <v>102</v>
      </c>
      <c r="X451" s="5" t="s">
        <v>139</v>
      </c>
      <c r="Y451" s="5" t="s">
        <v>73</v>
      </c>
      <c r="AE451" s="5" t="s">
        <v>117</v>
      </c>
      <c r="AI451" s="9" t="n">
        <v>44562</v>
      </c>
      <c r="AJ451" s="5" t="n">
        <v>0.5</v>
      </c>
      <c r="AK451" s="5" t="s">
        <v>75</v>
      </c>
      <c r="AL451" s="5" t="n">
        <v>64260</v>
      </c>
      <c r="AM451" s="5" t="s">
        <v>140</v>
      </c>
      <c r="AN451" s="5" t="s">
        <v>699</v>
      </c>
      <c r="AQ451" s="5" t="s">
        <v>77</v>
      </c>
      <c r="AR451" s="5" t="s">
        <v>143</v>
      </c>
      <c r="AS451" s="5" t="s">
        <v>73</v>
      </c>
      <c r="AT451" s="5" t="s">
        <v>78</v>
      </c>
      <c r="AW451" s="5" t="s">
        <v>94</v>
      </c>
      <c r="AX451" s="10" t="str">
        <f aca="false">IFERROR(INDEX('full database 2024'!ar:ar, MATCH(A451, 'full database 2024'!b:b, 0)), "")</f>
        <v/>
      </c>
      <c r="AZ451" s="5" t="s">
        <v>129</v>
      </c>
      <c r="BD451" s="9" t="n">
        <v>45377</v>
      </c>
      <c r="BE451" s="9" t="n">
        <v>45779</v>
      </c>
      <c r="BI451" s="5" t="s">
        <v>81</v>
      </c>
      <c r="BJ451" s="5" t="n">
        <v>2022</v>
      </c>
    </row>
    <row r="452" customFormat="false" ht="16.5" hidden="false" customHeight="true" outlineLevel="0" collapsed="false">
      <c r="A452" s="5" t="s">
        <v>2028</v>
      </c>
      <c r="B452" s="5" t="s">
        <v>2029</v>
      </c>
      <c r="C452" s="5"/>
      <c r="D452" s="5" t="s">
        <v>62</v>
      </c>
      <c r="E452" s="16" t="n">
        <v>60700</v>
      </c>
      <c r="F452" s="16" t="n">
        <v>48528</v>
      </c>
      <c r="G452" s="5" t="s">
        <v>132</v>
      </c>
      <c r="H452" s="6" t="n">
        <v>63735</v>
      </c>
      <c r="I452" s="6" t="n">
        <v>50954</v>
      </c>
      <c r="J452" s="7" t="n">
        <f aca="false">E452*1.19</f>
        <v>72233</v>
      </c>
      <c r="K452" s="7" t="n">
        <f aca="false">F452*1.19</f>
        <v>57748.32</v>
      </c>
      <c r="L452" s="5" t="s">
        <v>84</v>
      </c>
      <c r="M452" s="5" t="s">
        <v>65</v>
      </c>
      <c r="N452" s="8" t="s">
        <v>2030</v>
      </c>
      <c r="O452" s="5" t="s">
        <v>2031</v>
      </c>
      <c r="P452" s="5"/>
      <c r="Q452" s="5"/>
      <c r="R452" s="5" t="s">
        <v>670</v>
      </c>
      <c r="T452" s="5" t="s">
        <v>2032</v>
      </c>
      <c r="V452" s="5" t="s">
        <v>2033</v>
      </c>
      <c r="W452" s="5" t="s">
        <v>102</v>
      </c>
      <c r="X452" s="5" t="s">
        <v>139</v>
      </c>
      <c r="Y452" s="5" t="s">
        <v>73</v>
      </c>
      <c r="AE452" s="5" t="s">
        <v>117</v>
      </c>
      <c r="AI452" s="9" t="n">
        <v>44562</v>
      </c>
      <c r="AJ452" s="5" t="n">
        <v>0.5</v>
      </c>
      <c r="AK452" s="5" t="s">
        <v>75</v>
      </c>
      <c r="AL452" s="5" t="n">
        <v>63735</v>
      </c>
      <c r="AM452" s="5" t="s">
        <v>140</v>
      </c>
      <c r="AN452" s="5" t="s">
        <v>699</v>
      </c>
      <c r="AQ452" s="5" t="s">
        <v>77</v>
      </c>
      <c r="AR452" s="5" t="s">
        <v>143</v>
      </c>
      <c r="AS452" s="5" t="s">
        <v>73</v>
      </c>
      <c r="AT452" s="5" t="s">
        <v>374</v>
      </c>
      <c r="AW452" s="5" t="s">
        <v>94</v>
      </c>
      <c r="AX452" s="10" t="str">
        <f aca="false">IFERROR(INDEX('full database 2024'!ar:ar, MATCH(A452, 'full database 2024'!b:b, 0)), "")</f>
        <v/>
      </c>
      <c r="AZ452" s="5" t="s">
        <v>857</v>
      </c>
      <c r="BD452" s="9" t="n">
        <v>45377</v>
      </c>
      <c r="BE452" s="9" t="n">
        <v>45779</v>
      </c>
      <c r="BI452" s="5" t="s">
        <v>81</v>
      </c>
      <c r="BJ452" s="5" t="n">
        <v>2022</v>
      </c>
    </row>
    <row r="453" customFormat="false" ht="16.5" hidden="false" customHeight="true" outlineLevel="0" collapsed="false">
      <c r="A453" s="5" t="s">
        <v>823</v>
      </c>
      <c r="B453" s="5"/>
      <c r="C453" s="5"/>
      <c r="D453" s="5" t="s">
        <v>62</v>
      </c>
      <c r="E453" s="5" t="n">
        <v>60327</v>
      </c>
      <c r="F453" s="5" t="n">
        <v>60327</v>
      </c>
      <c r="G453" s="5" t="s">
        <v>147</v>
      </c>
      <c r="H453" s="6" t="n">
        <v>65756</v>
      </c>
      <c r="I453" s="6" t="n">
        <v>65756</v>
      </c>
      <c r="J453" s="7" t="n">
        <v>60327</v>
      </c>
      <c r="K453" s="7" t="n">
        <v>60327</v>
      </c>
      <c r="L453" s="5" t="s">
        <v>84</v>
      </c>
      <c r="M453" s="5" t="s">
        <v>65</v>
      </c>
      <c r="N453" s="5"/>
      <c r="O453" s="5"/>
      <c r="P453" s="5"/>
      <c r="Q453" s="5"/>
      <c r="R453" s="5"/>
      <c r="T453" s="5"/>
      <c r="V453" s="5" t="s">
        <v>2034</v>
      </c>
      <c r="W453" s="5"/>
      <c r="X453" s="5" t="s">
        <v>151</v>
      </c>
      <c r="Y453" s="5" t="s">
        <v>73</v>
      </c>
      <c r="AE453" s="5"/>
      <c r="AI453" s="9" t="n">
        <v>44105</v>
      </c>
      <c r="AJ453" s="5"/>
      <c r="AK453" s="5"/>
      <c r="AL453" s="5" t="n">
        <v>65756</v>
      </c>
      <c r="AM453" s="5" t="s">
        <v>821</v>
      </c>
      <c r="AN453" s="5"/>
      <c r="AQ453" s="5" t="s">
        <v>77</v>
      </c>
      <c r="AR453" s="5" t="s">
        <v>151</v>
      </c>
      <c r="AS453" s="5" t="s">
        <v>73</v>
      </c>
      <c r="AT453" s="5" t="s">
        <v>71</v>
      </c>
      <c r="AW453" s="5" t="s">
        <v>94</v>
      </c>
      <c r="AX453" s="10" t="str">
        <f aca="false">IFERROR(INDEX('full database 2024'!ar:ar, MATCH(A453, 'full database 2024'!b:b, 0)), "")</f>
        <v/>
      </c>
      <c r="AZ453" s="5" t="s">
        <v>129</v>
      </c>
      <c r="BD453" s="9" t="n">
        <v>45596</v>
      </c>
      <c r="BE453" s="9" t="n">
        <v>45596</v>
      </c>
      <c r="BI453" s="5"/>
      <c r="BJ453" s="5" t="n">
        <v>2020</v>
      </c>
    </row>
    <row r="454" customFormat="false" ht="16.5" hidden="false" customHeight="true" outlineLevel="0" collapsed="false">
      <c r="A454" s="5" t="s">
        <v>2035</v>
      </c>
      <c r="C454" s="5"/>
      <c r="D454" s="5" t="s">
        <v>62</v>
      </c>
      <c r="E454" s="5" t="n">
        <v>57836</v>
      </c>
      <c r="F454" s="5" t="n">
        <v>57836</v>
      </c>
      <c r="G454" s="5" t="s">
        <v>147</v>
      </c>
      <c r="H454" s="6" t="n">
        <v>63041</v>
      </c>
      <c r="I454" s="6" t="n">
        <v>63041</v>
      </c>
      <c r="J454" s="7" t="n">
        <v>57836</v>
      </c>
      <c r="K454" s="7" t="n">
        <v>57836</v>
      </c>
      <c r="L454" s="5" t="s">
        <v>84</v>
      </c>
      <c r="M454" s="5" t="s">
        <v>65</v>
      </c>
      <c r="V454" s="5" t="s">
        <v>832</v>
      </c>
      <c r="X454" s="5"/>
      <c r="Y454" s="5" t="s">
        <v>73</v>
      </c>
      <c r="AI454" s="9" t="n">
        <v>44931</v>
      </c>
      <c r="AL454" s="5" t="n">
        <v>63041</v>
      </c>
      <c r="AM454" s="5" t="s">
        <v>153</v>
      </c>
      <c r="AN454" s="5"/>
      <c r="AQ454" s="5" t="s">
        <v>77</v>
      </c>
      <c r="AR454" s="5" t="s">
        <v>151</v>
      </c>
      <c r="AS454" s="5" t="s">
        <v>73</v>
      </c>
      <c r="AT454" s="5" t="s">
        <v>78</v>
      </c>
      <c r="AW454" s="5" t="s">
        <v>94</v>
      </c>
      <c r="AX454" s="10" t="str">
        <f aca="false">IFERROR(INDEX('full database 2024'!ar:ar, MATCH(A454, 'full database 2024'!b:b, 0)), "")</f>
        <v/>
      </c>
      <c r="AZ454" s="5" t="s">
        <v>309</v>
      </c>
      <c r="BD454" s="9" t="n">
        <v>45596</v>
      </c>
      <c r="BE454" s="9" t="n">
        <v>45596</v>
      </c>
      <c r="BJ454" s="5" t="n">
        <v>2023</v>
      </c>
    </row>
    <row r="455" customFormat="false" ht="16.5" hidden="false" customHeight="true" outlineLevel="0" collapsed="false">
      <c r="A455" s="5" t="s">
        <v>2036</v>
      </c>
      <c r="B455" s="5" t="s">
        <v>2037</v>
      </c>
      <c r="C455" s="5"/>
      <c r="D455" s="5" t="s">
        <v>62</v>
      </c>
      <c r="E455" s="16" t="n">
        <v>47520</v>
      </c>
      <c r="F455" s="16" t="n">
        <v>47520</v>
      </c>
      <c r="G455" s="5" t="s">
        <v>132</v>
      </c>
      <c r="H455" s="6" t="n">
        <v>64291</v>
      </c>
      <c r="I455" s="6" t="n">
        <v>64292</v>
      </c>
      <c r="J455" s="7" t="n">
        <f aca="false">E455*1.19</f>
        <v>56548.8</v>
      </c>
      <c r="K455" s="7" t="n">
        <f aca="false">F455*1.19</f>
        <v>56548.8</v>
      </c>
      <c r="L455" s="5" t="s">
        <v>84</v>
      </c>
      <c r="M455" s="5" t="s">
        <v>65</v>
      </c>
      <c r="N455" s="8" t="s">
        <v>2038</v>
      </c>
      <c r="O455" s="5" t="s">
        <v>2039</v>
      </c>
      <c r="T455" s="5" t="s">
        <v>2040</v>
      </c>
      <c r="V455" s="5" t="s">
        <v>2041</v>
      </c>
      <c r="W455" s="5" t="s">
        <v>102</v>
      </c>
      <c r="X455" s="5" t="s">
        <v>139</v>
      </c>
      <c r="Y455" s="5" t="s">
        <v>73</v>
      </c>
      <c r="AE455" s="5" t="s">
        <v>117</v>
      </c>
      <c r="AI455" s="9" t="n">
        <v>43983</v>
      </c>
      <c r="AL455" s="5" t="n">
        <v>64291</v>
      </c>
      <c r="AM455" s="5" t="s">
        <v>140</v>
      </c>
      <c r="AN455" s="5" t="s">
        <v>699</v>
      </c>
      <c r="AQ455" s="5" t="s">
        <v>77</v>
      </c>
      <c r="AR455" s="5" t="s">
        <v>143</v>
      </c>
      <c r="AS455" s="5" t="s">
        <v>73</v>
      </c>
      <c r="AT455" s="5" t="s">
        <v>78</v>
      </c>
      <c r="AW455" s="5" t="s">
        <v>94</v>
      </c>
      <c r="AX455" s="10" t="str">
        <f aca="false">IFERROR(INDEX('full database 2024'!ar:ar, MATCH(A455, 'full database 2024'!b:b, 0)), "")</f>
        <v/>
      </c>
      <c r="AZ455" s="5" t="s">
        <v>188</v>
      </c>
      <c r="BD455" s="9" t="n">
        <v>45377</v>
      </c>
      <c r="BE455" s="9" t="n">
        <v>45779</v>
      </c>
      <c r="BI455" s="5" t="s">
        <v>81</v>
      </c>
      <c r="BJ455" s="5" t="n">
        <v>2020</v>
      </c>
      <c r="BK455" s="11" t="n">
        <v>43841</v>
      </c>
    </row>
    <row r="456" customFormat="false" ht="16.5" hidden="false" customHeight="true" outlineLevel="0" collapsed="false">
      <c r="A456" s="5" t="s">
        <v>2042</v>
      </c>
      <c r="B456" s="5" t="s">
        <v>2043</v>
      </c>
      <c r="C456" s="5"/>
      <c r="D456" s="5" t="s">
        <v>62</v>
      </c>
      <c r="E456" s="16" t="n">
        <v>56100</v>
      </c>
      <c r="F456" s="16" t="n">
        <v>44906</v>
      </c>
      <c r="G456" s="5" t="s">
        <v>132</v>
      </c>
      <c r="H456" s="6" t="n">
        <v>58905</v>
      </c>
      <c r="I456" s="6" t="n">
        <v>47151</v>
      </c>
      <c r="J456" s="7" t="n">
        <f aca="false">E456*1.19</f>
        <v>66759</v>
      </c>
      <c r="K456" s="7" t="n">
        <f aca="false">F456*1.19</f>
        <v>53438.14</v>
      </c>
      <c r="L456" s="5" t="s">
        <v>84</v>
      </c>
      <c r="M456" s="5" t="s">
        <v>65</v>
      </c>
      <c r="N456" s="8" t="s">
        <v>2044</v>
      </c>
      <c r="O456" s="5" t="s">
        <v>2045</v>
      </c>
      <c r="P456" s="5"/>
      <c r="Q456" s="5"/>
      <c r="R456" s="5" t="s">
        <v>670</v>
      </c>
      <c r="T456" s="5" t="s">
        <v>1979</v>
      </c>
      <c r="V456" s="5" t="s">
        <v>2046</v>
      </c>
      <c r="W456" s="5" t="s">
        <v>102</v>
      </c>
      <c r="X456" s="5" t="s">
        <v>139</v>
      </c>
      <c r="Y456" s="5" t="s">
        <v>73</v>
      </c>
      <c r="AE456" s="5" t="s">
        <v>117</v>
      </c>
      <c r="AI456" s="9" t="n">
        <v>44562</v>
      </c>
      <c r="AJ456" s="5" t="n">
        <v>1.5</v>
      </c>
      <c r="AK456" s="5" t="s">
        <v>75</v>
      </c>
      <c r="AL456" s="5" t="n">
        <v>39270</v>
      </c>
      <c r="AM456" s="5" t="s">
        <v>140</v>
      </c>
      <c r="AN456" s="5" t="s">
        <v>699</v>
      </c>
      <c r="AQ456" s="5" t="s">
        <v>77</v>
      </c>
      <c r="AR456" s="5" t="s">
        <v>143</v>
      </c>
      <c r="AS456" s="5" t="s">
        <v>73</v>
      </c>
      <c r="AT456" s="5" t="s">
        <v>78</v>
      </c>
      <c r="AW456" s="5" t="s">
        <v>94</v>
      </c>
      <c r="AX456" s="10" t="str">
        <f aca="false">IFERROR(INDEX('full database 2024'!ar:ar, MATCH(A456, 'full database 2024'!b:b, 0)), "")</f>
        <v/>
      </c>
      <c r="AZ456" s="5" t="s">
        <v>129</v>
      </c>
      <c r="BD456" s="9" t="n">
        <v>45377</v>
      </c>
      <c r="BE456" s="9" t="n">
        <v>45779</v>
      </c>
      <c r="BI456" s="5" t="s">
        <v>81</v>
      </c>
      <c r="BJ456" s="5" t="n">
        <v>2022</v>
      </c>
      <c r="BK456" s="11"/>
    </row>
    <row r="457" customFormat="false" ht="16.5" hidden="false" customHeight="true" outlineLevel="0" collapsed="false">
      <c r="A457" s="5" t="s">
        <v>2047</v>
      </c>
      <c r="B457" s="5"/>
      <c r="C457" s="5"/>
      <c r="D457" s="5" t="s">
        <v>62</v>
      </c>
      <c r="E457" s="5" t="n">
        <v>55340</v>
      </c>
      <c r="F457" s="5" t="n">
        <v>55340</v>
      </c>
      <c r="G457" s="5" t="s">
        <v>147</v>
      </c>
      <c r="H457" s="6" t="n">
        <v>60321</v>
      </c>
      <c r="I457" s="6" t="n">
        <v>60321</v>
      </c>
      <c r="J457" s="7" t="n">
        <v>55340</v>
      </c>
      <c r="K457" s="7" t="n">
        <v>55340</v>
      </c>
      <c r="L457" s="5" t="s">
        <v>84</v>
      </c>
      <c r="M457" s="5" t="s">
        <v>65</v>
      </c>
      <c r="N457" s="8" t="s">
        <v>2048</v>
      </c>
      <c r="O457" s="5"/>
      <c r="P457" s="5"/>
      <c r="Q457" s="5"/>
      <c r="R457" s="5"/>
      <c r="T457" s="5"/>
      <c r="V457" s="5" t="s">
        <v>2049</v>
      </c>
      <c r="W457" s="5"/>
      <c r="X457" s="5" t="s">
        <v>151</v>
      </c>
      <c r="Y457" s="5" t="s">
        <v>73</v>
      </c>
      <c r="AE457" s="5"/>
      <c r="AI457" s="9" t="n">
        <v>45200</v>
      </c>
      <c r="AJ457" s="5"/>
      <c r="AK457" s="5"/>
      <c r="AL457" s="5" t="n">
        <v>60321</v>
      </c>
      <c r="AM457" s="5" t="s">
        <v>153</v>
      </c>
      <c r="AN457" s="5"/>
      <c r="AQ457" s="5" t="s">
        <v>77</v>
      </c>
      <c r="AR457" s="5" t="s">
        <v>151</v>
      </c>
      <c r="AS457" s="5" t="s">
        <v>73</v>
      </c>
      <c r="AT457" s="5" t="s">
        <v>78</v>
      </c>
      <c r="AW457" s="5" t="s">
        <v>94</v>
      </c>
      <c r="AX457" s="10" t="str">
        <f aca="false">IFERROR(INDEX('full database 2024'!ar:ar, MATCH(A457, 'full database 2024'!b:b, 0)), "")</f>
        <v/>
      </c>
      <c r="AZ457" s="5" t="s">
        <v>129</v>
      </c>
      <c r="BD457" s="9" t="n">
        <v>45596</v>
      </c>
      <c r="BE457" s="9" t="n">
        <v>45779</v>
      </c>
      <c r="BI457" s="5"/>
      <c r="BJ457" s="5" t="n">
        <v>2023</v>
      </c>
      <c r="BK457" s="5" t="s">
        <v>1070</v>
      </c>
    </row>
    <row r="458" customFormat="false" ht="16.5" hidden="false" customHeight="true" outlineLevel="0" collapsed="false">
      <c r="A458" s="5" t="s">
        <v>2050</v>
      </c>
      <c r="B458" s="5" t="s">
        <v>920</v>
      </c>
      <c r="C458" s="5"/>
      <c r="D458" s="5" t="s">
        <v>62</v>
      </c>
      <c r="E458" s="5" t="n">
        <v>53831</v>
      </c>
      <c r="F458" s="5" t="n">
        <v>53831</v>
      </c>
      <c r="G458" s="5" t="s">
        <v>147</v>
      </c>
      <c r="H458" s="6" t="n">
        <v>58159</v>
      </c>
      <c r="I458" s="6" t="n">
        <v>58159</v>
      </c>
      <c r="J458" s="7" t="n">
        <v>53831</v>
      </c>
      <c r="K458" s="7" t="n">
        <v>53831</v>
      </c>
      <c r="L458" s="5" t="s">
        <v>84</v>
      </c>
      <c r="M458" s="5"/>
      <c r="N458" s="8" t="s">
        <v>2051</v>
      </c>
      <c r="O458" s="5" t="s">
        <v>2052</v>
      </c>
      <c r="V458" s="5"/>
      <c r="X458" s="5"/>
      <c r="Y458" s="5" t="s">
        <v>73</v>
      </c>
      <c r="AI458" s="9" t="n">
        <v>45214</v>
      </c>
      <c r="AL458" s="5" t="n">
        <v>58159</v>
      </c>
      <c r="AM458" s="5" t="s">
        <v>153</v>
      </c>
      <c r="AN458" s="5"/>
      <c r="AQ458" s="5" t="s">
        <v>77</v>
      </c>
      <c r="AR458" s="5" t="s">
        <v>151</v>
      </c>
      <c r="AS458" s="5" t="s">
        <v>73</v>
      </c>
      <c r="AT458" s="5" t="s">
        <v>78</v>
      </c>
      <c r="AW458" s="5" t="s">
        <v>94</v>
      </c>
      <c r="AX458" s="10" t="str">
        <f aca="false">IFERROR(INDEX('full database 2024'!ar:ar, MATCH(A458, 'full database 2024'!b:b, 0)), "")</f>
        <v/>
      </c>
      <c r="AZ458" s="5" t="s">
        <v>129</v>
      </c>
      <c r="BD458" s="9" t="n">
        <v>45671</v>
      </c>
      <c r="BE458" s="9" t="n">
        <v>45779</v>
      </c>
      <c r="BJ458" s="5" t="n">
        <v>2023</v>
      </c>
      <c r="BK458" s="5" t="s">
        <v>1642</v>
      </c>
    </row>
    <row r="459" customFormat="false" ht="16.5" hidden="false" customHeight="true" outlineLevel="0" collapsed="false">
      <c r="A459" s="5" t="s">
        <v>2053</v>
      </c>
      <c r="B459" s="5"/>
      <c r="C459" s="5"/>
      <c r="D459" s="5" t="s">
        <v>62</v>
      </c>
      <c r="E459" s="16" t="n">
        <v>51020</v>
      </c>
      <c r="F459" s="16" t="n">
        <v>51020</v>
      </c>
      <c r="G459" s="5" t="s">
        <v>132</v>
      </c>
      <c r="H459" s="6" t="n">
        <v>63775</v>
      </c>
      <c r="I459" s="6" t="n">
        <v>63775</v>
      </c>
      <c r="J459" s="7" t="n">
        <f aca="false">E459*1.19</f>
        <v>60713.8</v>
      </c>
      <c r="K459" s="7" t="n">
        <f aca="false">F459*1.19</f>
        <v>60713.8</v>
      </c>
      <c r="L459" s="5" t="s">
        <v>84</v>
      </c>
      <c r="M459" s="5" t="s">
        <v>65</v>
      </c>
      <c r="N459" s="8" t="s">
        <v>2054</v>
      </c>
      <c r="O459" s="5"/>
      <c r="T459" s="5" t="s">
        <v>2055</v>
      </c>
      <c r="V459" s="5" t="s">
        <v>2056</v>
      </c>
      <c r="X459" s="5" t="s">
        <v>139</v>
      </c>
      <c r="Y459" s="5" t="s">
        <v>73</v>
      </c>
      <c r="AI459" s="9" t="n">
        <v>44203</v>
      </c>
      <c r="AJ459" s="5" t="n">
        <v>49</v>
      </c>
      <c r="AK459" s="5" t="s">
        <v>433</v>
      </c>
      <c r="AL459" s="5" t="n">
        <v>1302</v>
      </c>
      <c r="AM459" s="5" t="s">
        <v>140</v>
      </c>
      <c r="AN459" s="5" t="s">
        <v>141</v>
      </c>
      <c r="AQ459" s="5" t="s">
        <v>77</v>
      </c>
      <c r="AR459" s="5" t="s">
        <v>143</v>
      </c>
      <c r="AS459" s="5" t="s">
        <v>73</v>
      </c>
      <c r="AT459" s="5" t="s">
        <v>105</v>
      </c>
      <c r="AU459" s="5" t="s">
        <v>106</v>
      </c>
      <c r="AV459" s="5"/>
      <c r="AW459" s="5" t="s">
        <v>94</v>
      </c>
      <c r="AX459" s="10" t="str">
        <f aca="false">IFERROR(INDEX('full database 2024'!ar:ar, MATCH(A459, 'full database 2024'!b:b, 0)), "")</f>
        <v/>
      </c>
      <c r="AZ459" s="5" t="s">
        <v>540</v>
      </c>
      <c r="BD459" s="9" t="n">
        <v>45596</v>
      </c>
      <c r="BE459" s="9" t="n">
        <v>45779</v>
      </c>
      <c r="BJ459" s="5" t="n">
        <v>2021</v>
      </c>
      <c r="BK459" s="11" t="n">
        <v>36526</v>
      </c>
    </row>
    <row r="460" customFormat="false" ht="16.5" hidden="false" customHeight="true" outlineLevel="0" collapsed="false">
      <c r="A460" s="5" t="s">
        <v>2057</v>
      </c>
      <c r="B460" s="5" t="s">
        <v>2058</v>
      </c>
      <c r="C460" s="5"/>
      <c r="D460" s="5" t="s">
        <v>62</v>
      </c>
      <c r="E460" s="16" t="n">
        <v>50000</v>
      </c>
      <c r="F460" s="16" t="n">
        <v>50000</v>
      </c>
      <c r="G460" s="5" t="s">
        <v>132</v>
      </c>
      <c r="H460" s="6" t="n">
        <v>61261</v>
      </c>
      <c r="I460" s="6" t="n">
        <v>61261</v>
      </c>
      <c r="J460" s="7" t="n">
        <f aca="false">E460*1.19</f>
        <v>59500</v>
      </c>
      <c r="K460" s="7" t="n">
        <f aca="false">F460*1.19</f>
        <v>59500</v>
      </c>
      <c r="L460" s="5" t="s">
        <v>84</v>
      </c>
      <c r="M460" s="5" t="s">
        <v>65</v>
      </c>
      <c r="N460" s="8" t="s">
        <v>2059</v>
      </c>
      <c r="P460" s="5"/>
      <c r="Q460" s="5"/>
      <c r="R460" s="5" t="s">
        <v>2060</v>
      </c>
      <c r="T460" s="5" t="s">
        <v>2061</v>
      </c>
      <c r="U460" s="5" t="s">
        <v>70</v>
      </c>
      <c r="V460" s="5" t="s">
        <v>2062</v>
      </c>
      <c r="W460" s="5" t="s">
        <v>102</v>
      </c>
      <c r="X460" s="5" t="s">
        <v>139</v>
      </c>
      <c r="Y460" s="5" t="s">
        <v>73</v>
      </c>
      <c r="Z460" s="5" t="s">
        <v>70</v>
      </c>
      <c r="AE460" s="5" t="s">
        <v>117</v>
      </c>
      <c r="AI460" s="9" t="n">
        <v>44927</v>
      </c>
      <c r="AJ460" s="5" t="n">
        <v>0.5</v>
      </c>
      <c r="AK460" s="5" t="s">
        <v>75</v>
      </c>
      <c r="AL460" s="5" t="n">
        <v>61261</v>
      </c>
      <c r="AM460" s="5" t="s">
        <v>182</v>
      </c>
      <c r="AN460" s="5" t="s">
        <v>579</v>
      </c>
      <c r="AQ460" s="5" t="s">
        <v>77</v>
      </c>
      <c r="AR460" s="5" t="s">
        <v>185</v>
      </c>
      <c r="AS460" s="5" t="s">
        <v>73</v>
      </c>
      <c r="AT460" s="5" t="s">
        <v>105</v>
      </c>
      <c r="AU460" s="10" t="s">
        <v>186</v>
      </c>
      <c r="AW460" s="5" t="s">
        <v>187</v>
      </c>
      <c r="AX460" s="10" t="str">
        <f aca="false">IFERROR(INDEX('full database 2024'!ar:ar, MATCH(A460, 'full database 2024'!b:b, 0)), "")</f>
        <v/>
      </c>
      <c r="AZ460" s="5" t="s">
        <v>129</v>
      </c>
      <c r="BD460" s="9" t="n">
        <v>44959</v>
      </c>
      <c r="BE460" s="9" t="n">
        <v>45035</v>
      </c>
      <c r="BI460" s="5" t="s">
        <v>81</v>
      </c>
      <c r="BJ460" s="5" t="n">
        <v>2023</v>
      </c>
      <c r="BK460" s="11" t="n">
        <v>44933</v>
      </c>
    </row>
    <row r="461" customFormat="false" ht="16.5" hidden="false" customHeight="true" outlineLevel="0" collapsed="false">
      <c r="A461" s="5" t="s">
        <v>2063</v>
      </c>
      <c r="C461" s="5"/>
      <c r="D461" s="5" t="s">
        <v>62</v>
      </c>
      <c r="E461" s="5" t="n">
        <v>50000</v>
      </c>
      <c r="F461" s="5" t="n">
        <v>50000</v>
      </c>
      <c r="G461" s="5" t="s">
        <v>147</v>
      </c>
      <c r="H461" s="6" t="n">
        <v>54931</v>
      </c>
      <c r="I461" s="6" t="n">
        <v>54931</v>
      </c>
      <c r="J461" s="7" t="n">
        <v>50000</v>
      </c>
      <c r="K461" s="7" t="n">
        <v>50000</v>
      </c>
      <c r="L461" s="5" t="s">
        <v>84</v>
      </c>
      <c r="M461" s="5" t="s">
        <v>65</v>
      </c>
      <c r="N461" s="8" t="s">
        <v>2064</v>
      </c>
      <c r="P461" s="5"/>
      <c r="Q461" s="5"/>
      <c r="R461" s="5" t="s">
        <v>2065</v>
      </c>
      <c r="T461" s="5" t="s">
        <v>2066</v>
      </c>
      <c r="U461" s="5" t="s">
        <v>2067</v>
      </c>
      <c r="V461" s="5" t="s">
        <v>2068</v>
      </c>
      <c r="W461" s="5" t="s">
        <v>90</v>
      </c>
      <c r="X461" s="5" t="s">
        <v>151</v>
      </c>
      <c r="Y461" s="5" t="s">
        <v>73</v>
      </c>
      <c r="Z461" s="5" t="s">
        <v>70</v>
      </c>
      <c r="AD461" s="5" t="s">
        <v>2069</v>
      </c>
      <c r="AE461" s="5" t="s">
        <v>74</v>
      </c>
      <c r="AI461" s="9" t="n">
        <v>44105</v>
      </c>
      <c r="AJ461" s="5" t="n">
        <v>1</v>
      </c>
      <c r="AK461" s="5" t="s">
        <v>228</v>
      </c>
      <c r="AL461" s="5" t="n">
        <v>54931</v>
      </c>
      <c r="AM461" s="5" t="s">
        <v>182</v>
      </c>
      <c r="AN461" s="5" t="s">
        <v>2070</v>
      </c>
      <c r="AQ461" s="5" t="s">
        <v>77</v>
      </c>
      <c r="AR461" s="5" t="s">
        <v>185</v>
      </c>
      <c r="AS461" s="5" t="s">
        <v>73</v>
      </c>
      <c r="AT461" s="5" t="s">
        <v>71</v>
      </c>
      <c r="AU461" s="10" t="s">
        <v>286</v>
      </c>
      <c r="AW461" s="5" t="s">
        <v>94</v>
      </c>
      <c r="AX461" s="10" t="str">
        <f aca="false">IFERROR(INDEX('full database 2024'!ar:ar, MATCH(A461, 'full database 2024'!b:b, 0)), "")</f>
        <v/>
      </c>
      <c r="AZ461" s="5" t="s">
        <v>95</v>
      </c>
      <c r="BD461" s="9" t="n">
        <v>45036</v>
      </c>
      <c r="BE461" s="9" t="n">
        <v>45036</v>
      </c>
      <c r="BI461" s="5" t="s">
        <v>81</v>
      </c>
      <c r="BJ461" s="5" t="n">
        <v>2020</v>
      </c>
      <c r="BK461" s="11" t="n">
        <v>44206</v>
      </c>
    </row>
    <row r="462" customFormat="false" ht="16.5" hidden="false" customHeight="true" outlineLevel="0" collapsed="false">
      <c r="A462" s="5" t="s">
        <v>2071</v>
      </c>
      <c r="B462" s="5" t="s">
        <v>2072</v>
      </c>
      <c r="C462" s="5"/>
      <c r="D462" s="5" t="s">
        <v>62</v>
      </c>
      <c r="E462" s="16" t="n">
        <v>49520</v>
      </c>
      <c r="F462" s="16" t="n">
        <v>49520</v>
      </c>
      <c r="G462" s="5" t="s">
        <v>132</v>
      </c>
      <c r="H462" s="6" t="n">
        <v>61900</v>
      </c>
      <c r="I462" s="6" t="n">
        <v>61900</v>
      </c>
      <c r="J462" s="7" t="n">
        <f aca="false">E462*1.19</f>
        <v>58928.8</v>
      </c>
      <c r="K462" s="7" t="n">
        <f aca="false">F462*1.19</f>
        <v>58928.8</v>
      </c>
      <c r="L462" s="5" t="s">
        <v>84</v>
      </c>
      <c r="M462" s="5" t="s">
        <v>65</v>
      </c>
      <c r="N462" s="8" t="s">
        <v>2073</v>
      </c>
      <c r="O462" s="5" t="s">
        <v>2074</v>
      </c>
      <c r="P462" s="5"/>
      <c r="Q462" s="5"/>
      <c r="R462" s="5"/>
      <c r="T462" s="5" t="s">
        <v>2075</v>
      </c>
      <c r="U462" s="5"/>
      <c r="V462" s="5" t="s">
        <v>2076</v>
      </c>
      <c r="W462" s="5"/>
      <c r="X462" s="5" t="s">
        <v>139</v>
      </c>
      <c r="Y462" s="5" t="s">
        <v>73</v>
      </c>
      <c r="Z462" s="5"/>
      <c r="AD462" s="5"/>
      <c r="AE462" s="5"/>
      <c r="AI462" s="9" t="n">
        <v>44932</v>
      </c>
      <c r="AJ462" s="5" t="n">
        <v>5</v>
      </c>
      <c r="AK462" s="5" t="s">
        <v>216</v>
      </c>
      <c r="AL462" s="5" t="n">
        <v>12380</v>
      </c>
      <c r="AM462" s="5" t="s">
        <v>140</v>
      </c>
      <c r="AN462" s="5" t="s">
        <v>699</v>
      </c>
      <c r="AQ462" s="5" t="s">
        <v>77</v>
      </c>
      <c r="AR462" s="5" t="s">
        <v>143</v>
      </c>
      <c r="AS462" s="5" t="s">
        <v>73</v>
      </c>
      <c r="AT462" s="5" t="s">
        <v>71</v>
      </c>
      <c r="AU462" s="10" t="s">
        <v>106</v>
      </c>
      <c r="AW462" s="5" t="s">
        <v>94</v>
      </c>
      <c r="AX462" s="10" t="str">
        <f aca="false">IFERROR(INDEX('full database 2024'!ar:ar, MATCH(A462, 'full database 2024'!b:b, 0)), "")</f>
        <v/>
      </c>
      <c r="AZ462" s="5" t="s">
        <v>540</v>
      </c>
      <c r="BD462" s="9" t="n">
        <v>45596</v>
      </c>
      <c r="BE462" s="9" t="n">
        <v>45779</v>
      </c>
      <c r="BI462" s="5"/>
      <c r="BJ462" s="5" t="n">
        <v>2023</v>
      </c>
      <c r="BK462" s="11" t="n">
        <v>36526</v>
      </c>
    </row>
    <row r="463" customFormat="false" ht="16.5" hidden="false" customHeight="true" outlineLevel="0" collapsed="false">
      <c r="A463" s="5" t="s">
        <v>2077</v>
      </c>
      <c r="B463" s="5" t="s">
        <v>2078</v>
      </c>
      <c r="C463" s="5"/>
      <c r="D463" s="5" t="s">
        <v>62</v>
      </c>
      <c r="E463" s="5" t="n">
        <v>49139</v>
      </c>
      <c r="F463" s="5" t="n">
        <v>49139</v>
      </c>
      <c r="G463" s="5" t="s">
        <v>147</v>
      </c>
      <c r="H463" s="6" t="n">
        <v>57984</v>
      </c>
      <c r="I463" s="6" t="n">
        <v>57984</v>
      </c>
      <c r="J463" s="7" t="n">
        <v>49139</v>
      </c>
      <c r="K463" s="7" t="n">
        <v>49139</v>
      </c>
      <c r="L463" s="5" t="s">
        <v>84</v>
      </c>
      <c r="M463" s="5" t="s">
        <v>65</v>
      </c>
      <c r="N463" s="8" t="s">
        <v>2079</v>
      </c>
      <c r="O463" s="5" t="s">
        <v>2080</v>
      </c>
      <c r="T463" s="5"/>
      <c r="V463" s="5" t="s">
        <v>644</v>
      </c>
      <c r="W463" s="5" t="s">
        <v>384</v>
      </c>
      <c r="X463" s="5" t="s">
        <v>215</v>
      </c>
      <c r="Y463" s="5" t="s">
        <v>73</v>
      </c>
      <c r="AD463" s="5" t="s">
        <v>2081</v>
      </c>
      <c r="AE463" s="5" t="s">
        <v>74</v>
      </c>
      <c r="AI463" s="9" t="n">
        <v>44501</v>
      </c>
      <c r="AJ463" s="5"/>
      <c r="AK463" s="5"/>
      <c r="AL463" s="5" t="n">
        <v>57984</v>
      </c>
      <c r="AM463" s="5" t="s">
        <v>489</v>
      </c>
      <c r="AN463" s="5"/>
      <c r="AQ463" s="5" t="s">
        <v>77</v>
      </c>
      <c r="AR463" s="5" t="s">
        <v>215</v>
      </c>
      <c r="AS463" s="5" t="s">
        <v>73</v>
      </c>
      <c r="AT463" s="5" t="s">
        <v>105</v>
      </c>
      <c r="AU463" s="10" t="s">
        <v>186</v>
      </c>
      <c r="AW463" s="5" t="s">
        <v>94</v>
      </c>
      <c r="AX463" s="10" t="str">
        <f aca="false">IFERROR(INDEX('full database 2024'!ar:ar, MATCH(A463, 'full database 2024'!b:b, 0)), "")</f>
        <v/>
      </c>
      <c r="AZ463" s="5" t="s">
        <v>540</v>
      </c>
      <c r="BD463" s="9" t="n">
        <v>45377</v>
      </c>
      <c r="BE463" s="9" t="n">
        <v>45779</v>
      </c>
      <c r="BI463" s="5" t="s">
        <v>81</v>
      </c>
      <c r="BJ463" s="5" t="n">
        <v>2021</v>
      </c>
      <c r="BK463" s="11" t="n">
        <v>44565</v>
      </c>
    </row>
    <row r="464" customFormat="false" ht="16.5" hidden="false" customHeight="true" outlineLevel="0" collapsed="false">
      <c r="A464" s="5" t="s">
        <v>2082</v>
      </c>
      <c r="B464" s="5" t="s">
        <v>2083</v>
      </c>
      <c r="C464" s="5"/>
      <c r="D464" s="5" t="s">
        <v>62</v>
      </c>
      <c r="E464" s="16" t="n">
        <v>48877</v>
      </c>
      <c r="F464" s="16" t="n">
        <v>48877</v>
      </c>
      <c r="G464" s="5" t="s">
        <v>132</v>
      </c>
      <c r="H464" s="6" t="n">
        <v>61096</v>
      </c>
      <c r="I464" s="6" t="n">
        <v>61096</v>
      </c>
      <c r="J464" s="7" t="n">
        <f aca="false">E464*1.19</f>
        <v>58163.63</v>
      </c>
      <c r="K464" s="7" t="n">
        <f aca="false">F464*1.19</f>
        <v>58163.63</v>
      </c>
      <c r="L464" s="5" t="s">
        <v>84</v>
      </c>
      <c r="M464" s="5" t="s">
        <v>65</v>
      </c>
      <c r="N464" s="8" t="s">
        <v>2084</v>
      </c>
      <c r="O464" s="5" t="s">
        <v>2085</v>
      </c>
      <c r="T464" s="5" t="s">
        <v>1543</v>
      </c>
      <c r="V464" s="5" t="s">
        <v>1544</v>
      </c>
      <c r="W464" s="5"/>
      <c r="X464" s="5" t="s">
        <v>139</v>
      </c>
      <c r="Y464" s="5" t="s">
        <v>73</v>
      </c>
      <c r="AD464" s="5"/>
      <c r="AE464" s="5"/>
      <c r="AI464" s="9" t="n">
        <v>44932</v>
      </c>
      <c r="AJ464" s="5" t="n">
        <v>6</v>
      </c>
      <c r="AK464" s="5" t="s">
        <v>216</v>
      </c>
      <c r="AL464" s="5" t="n">
        <v>10183</v>
      </c>
      <c r="AM464" s="5" t="s">
        <v>140</v>
      </c>
      <c r="AN464" s="5" t="s">
        <v>699</v>
      </c>
      <c r="AQ464" s="5" t="s">
        <v>77</v>
      </c>
      <c r="AR464" s="5" t="s">
        <v>143</v>
      </c>
      <c r="AS464" s="5" t="s">
        <v>73</v>
      </c>
      <c r="AT464" s="5" t="s">
        <v>105</v>
      </c>
      <c r="AU464" s="10" t="s">
        <v>106</v>
      </c>
      <c r="AW464" s="5" t="s">
        <v>94</v>
      </c>
      <c r="AX464" s="10" t="str">
        <f aca="false">IFERROR(INDEX('full database 2024'!ar:ar, MATCH(A464, 'full database 2024'!b:b, 0)), "")</f>
        <v/>
      </c>
      <c r="AZ464" s="5" t="s">
        <v>540</v>
      </c>
      <c r="BD464" s="9" t="n">
        <v>45596</v>
      </c>
      <c r="BE464" s="9" t="n">
        <v>45779</v>
      </c>
      <c r="BI464" s="5"/>
      <c r="BJ464" s="5" t="n">
        <v>2023</v>
      </c>
      <c r="BK464" s="11" t="n">
        <v>36526</v>
      </c>
    </row>
    <row r="465" customFormat="false" ht="16.5" hidden="false" customHeight="true" outlineLevel="0" collapsed="false">
      <c r="A465" s="5" t="s">
        <v>823</v>
      </c>
      <c r="B465" s="5"/>
      <c r="C465" s="5"/>
      <c r="D465" s="5" t="s">
        <v>62</v>
      </c>
      <c r="E465" s="5" t="n">
        <v>47129</v>
      </c>
      <c r="F465" s="5" t="n">
        <v>47129</v>
      </c>
      <c r="G465" s="5" t="s">
        <v>147</v>
      </c>
      <c r="H465" s="6" t="n">
        <v>51371</v>
      </c>
      <c r="I465" s="6" t="n">
        <v>51371</v>
      </c>
      <c r="J465" s="7" t="n">
        <v>47129</v>
      </c>
      <c r="K465" s="7" t="n">
        <v>47129</v>
      </c>
      <c r="L465" s="5" t="s">
        <v>84</v>
      </c>
      <c r="M465" s="5" t="s">
        <v>65</v>
      </c>
      <c r="N465" s="5"/>
      <c r="O465" s="5"/>
      <c r="T465" s="5"/>
      <c r="V465" s="5" t="s">
        <v>2086</v>
      </c>
      <c r="X465" s="5" t="s">
        <v>151</v>
      </c>
      <c r="Y465" s="5" t="s">
        <v>73</v>
      </c>
      <c r="AI465" s="9" t="n">
        <v>44105</v>
      </c>
      <c r="AJ465" s="5"/>
      <c r="AK465" s="5"/>
      <c r="AL465" s="5" t="n">
        <v>51371</v>
      </c>
      <c r="AM465" s="5" t="s">
        <v>821</v>
      </c>
      <c r="AN465" s="5"/>
      <c r="AQ465" s="5" t="s">
        <v>77</v>
      </c>
      <c r="AR465" s="5" t="s">
        <v>151</v>
      </c>
      <c r="AS465" s="5" t="s">
        <v>73</v>
      </c>
      <c r="AT465" s="5" t="s">
        <v>71</v>
      </c>
      <c r="AW465" s="5" t="s">
        <v>94</v>
      </c>
      <c r="AX465" s="10" t="str">
        <f aca="false">IFERROR(INDEX('full database 2024'!ar:ar, MATCH(A465, 'full database 2024'!b:b, 0)), "")</f>
        <v/>
      </c>
      <c r="AZ465" s="5" t="s">
        <v>129</v>
      </c>
      <c r="BD465" s="9" t="n">
        <v>45596</v>
      </c>
      <c r="BE465" s="9" t="n">
        <v>45596</v>
      </c>
      <c r="BJ465" s="5" t="n">
        <v>2020</v>
      </c>
      <c r="BK465" s="11"/>
    </row>
    <row r="466" customFormat="false" ht="16.5" hidden="false" customHeight="true" outlineLevel="0" collapsed="false">
      <c r="A466" s="5" t="s">
        <v>2087</v>
      </c>
      <c r="B466" s="5" t="s">
        <v>2088</v>
      </c>
      <c r="C466" s="5"/>
      <c r="D466" s="5" t="s">
        <v>62</v>
      </c>
      <c r="E466" s="5" t="n">
        <v>47087</v>
      </c>
      <c r="F466" s="5" t="n">
        <v>47087</v>
      </c>
      <c r="G466" s="5" t="s">
        <v>147</v>
      </c>
      <c r="H466" s="6" t="n">
        <v>55563</v>
      </c>
      <c r="I466" s="6" t="n">
        <v>55563</v>
      </c>
      <c r="J466" s="7" t="n">
        <v>47087</v>
      </c>
      <c r="K466" s="7" t="n">
        <v>47087</v>
      </c>
      <c r="L466" s="5" t="s">
        <v>84</v>
      </c>
      <c r="M466" s="5" t="s">
        <v>65</v>
      </c>
      <c r="N466" s="8" t="s">
        <v>2089</v>
      </c>
      <c r="O466" s="5" t="s">
        <v>2090</v>
      </c>
      <c r="T466" s="5" t="s">
        <v>2091</v>
      </c>
      <c r="V466" s="5" t="s">
        <v>2092</v>
      </c>
      <c r="W466" s="5" t="s">
        <v>102</v>
      </c>
      <c r="X466" s="5" t="s">
        <v>215</v>
      </c>
      <c r="Y466" s="5" t="s">
        <v>73</v>
      </c>
      <c r="AE466" s="5" t="s">
        <v>117</v>
      </c>
      <c r="AI466" s="9" t="n">
        <v>44501</v>
      </c>
      <c r="AL466" s="5" t="n">
        <v>55563</v>
      </c>
      <c r="AM466" s="5" t="s">
        <v>489</v>
      </c>
      <c r="AN466" s="5"/>
      <c r="AQ466" s="5" t="s">
        <v>77</v>
      </c>
      <c r="AR466" s="5" t="s">
        <v>215</v>
      </c>
      <c r="AS466" s="5" t="s">
        <v>73</v>
      </c>
      <c r="AT466" s="5" t="s">
        <v>78</v>
      </c>
      <c r="AW466" s="5" t="s">
        <v>94</v>
      </c>
      <c r="AX466" s="10" t="str">
        <f aca="false">IFERROR(INDEX('full database 2024'!ar:ar, MATCH(A466, 'full database 2024'!b:b, 0)), "")</f>
        <v/>
      </c>
      <c r="AZ466" s="5" t="s">
        <v>188</v>
      </c>
      <c r="BD466" s="9" t="n">
        <v>45377</v>
      </c>
      <c r="BE466" s="9" t="n">
        <v>45733</v>
      </c>
      <c r="BI466" s="5" t="s">
        <v>81</v>
      </c>
      <c r="BJ466" s="5" t="n">
        <v>2021</v>
      </c>
      <c r="BK466" s="5" t="s">
        <v>2093</v>
      </c>
    </row>
    <row r="467" customFormat="false" ht="16.5" hidden="false" customHeight="true" outlineLevel="0" collapsed="false">
      <c r="A467" s="5" t="s">
        <v>2094</v>
      </c>
      <c r="B467" s="5"/>
      <c r="C467" s="5"/>
      <c r="D467" s="5" t="s">
        <v>62</v>
      </c>
      <c r="E467" s="5" t="n">
        <v>45764</v>
      </c>
      <c r="F467" s="5" t="n">
        <v>45764</v>
      </c>
      <c r="G467" s="5" t="s">
        <v>147</v>
      </c>
      <c r="H467" s="6" t="n">
        <v>49883</v>
      </c>
      <c r="I467" s="6" t="n">
        <v>49883</v>
      </c>
      <c r="J467" s="7" t="n">
        <v>45764</v>
      </c>
      <c r="K467" s="7" t="n">
        <v>45764</v>
      </c>
      <c r="L467" s="5" t="s">
        <v>84</v>
      </c>
      <c r="M467" s="5" t="s">
        <v>65</v>
      </c>
      <c r="N467" s="8" t="s">
        <v>2095</v>
      </c>
      <c r="O467" s="5"/>
      <c r="T467" s="5"/>
      <c r="V467" s="5" t="s">
        <v>2096</v>
      </c>
      <c r="W467" s="5"/>
      <c r="X467" s="5" t="s">
        <v>151</v>
      </c>
      <c r="Y467" s="5" t="s">
        <v>73</v>
      </c>
      <c r="AE467" s="5"/>
      <c r="AI467" s="9" t="n">
        <v>45383</v>
      </c>
      <c r="AL467" s="5" t="n">
        <v>49883</v>
      </c>
      <c r="AM467" s="5" t="s">
        <v>153</v>
      </c>
      <c r="AN467" s="5"/>
      <c r="AQ467" s="5" t="s">
        <v>77</v>
      </c>
      <c r="AR467" s="5" t="s">
        <v>151</v>
      </c>
      <c r="AS467" s="5" t="s">
        <v>73</v>
      </c>
      <c r="AT467" s="5" t="s">
        <v>78</v>
      </c>
      <c r="AW467" s="5" t="s">
        <v>94</v>
      </c>
      <c r="AX467" s="10" t="str">
        <f aca="false">IFERROR(INDEX('full database 2024'!ar:ar, MATCH(A467, 'full database 2024'!b:b, 0)), "")</f>
        <v/>
      </c>
      <c r="AZ467" s="5" t="s">
        <v>129</v>
      </c>
      <c r="BD467" s="9" t="n">
        <v>45596</v>
      </c>
      <c r="BE467" s="9" t="n">
        <v>45779</v>
      </c>
      <c r="BI467" s="5"/>
      <c r="BJ467" s="5" t="n">
        <v>2024</v>
      </c>
      <c r="BK467" s="5" t="s">
        <v>1345</v>
      </c>
    </row>
    <row r="468" customFormat="false" ht="16.5" hidden="false" customHeight="true" outlineLevel="0" collapsed="false">
      <c r="A468" s="5" t="s">
        <v>2097</v>
      </c>
      <c r="C468" s="5"/>
      <c r="D468" s="5" t="s">
        <v>62</v>
      </c>
      <c r="E468" s="5" t="n">
        <v>43288</v>
      </c>
      <c r="F468" s="5" t="n">
        <v>43288</v>
      </c>
      <c r="G468" s="5" t="s">
        <v>147</v>
      </c>
      <c r="H468" s="6" t="n">
        <v>47184</v>
      </c>
      <c r="I468" s="6" t="n">
        <v>47184</v>
      </c>
      <c r="J468" s="7" t="n">
        <v>43288</v>
      </c>
      <c r="K468" s="7" t="n">
        <v>43288</v>
      </c>
      <c r="L468" s="5" t="s">
        <v>84</v>
      </c>
      <c r="M468" s="5" t="s">
        <v>65</v>
      </c>
      <c r="N468" s="8" t="s">
        <v>2098</v>
      </c>
      <c r="V468" s="5" t="s">
        <v>2099</v>
      </c>
      <c r="X468" s="5" t="s">
        <v>151</v>
      </c>
      <c r="Y468" s="5" t="s">
        <v>73</v>
      </c>
      <c r="AI468" s="9" t="n">
        <v>45383</v>
      </c>
      <c r="AL468" s="5" t="n">
        <v>47184</v>
      </c>
      <c r="AM468" s="5" t="s">
        <v>153</v>
      </c>
      <c r="AN468" s="5"/>
      <c r="AQ468" s="5" t="s">
        <v>77</v>
      </c>
      <c r="AR468" s="5" t="s">
        <v>151</v>
      </c>
      <c r="AS468" s="5" t="s">
        <v>73</v>
      </c>
      <c r="AT468" s="5" t="s">
        <v>78</v>
      </c>
      <c r="AW468" s="5" t="s">
        <v>94</v>
      </c>
      <c r="AX468" s="10" t="str">
        <f aca="false">IFERROR(INDEX('full database 2024'!ar:ar, MATCH(A468, 'full database 2024'!b:b, 0)), "")</f>
        <v/>
      </c>
      <c r="AZ468" s="5" t="s">
        <v>129</v>
      </c>
      <c r="BD468" s="9" t="n">
        <v>45596</v>
      </c>
      <c r="BE468" s="9" t="n">
        <v>45779</v>
      </c>
      <c r="BJ468" s="5" t="n">
        <v>2024</v>
      </c>
      <c r="BK468" s="5" t="s">
        <v>1345</v>
      </c>
    </row>
    <row r="469" customFormat="false" ht="16.5" hidden="false" customHeight="true" outlineLevel="0" collapsed="false">
      <c r="A469" s="5" t="s">
        <v>2100</v>
      </c>
      <c r="C469" s="5"/>
      <c r="D469" s="5" t="s">
        <v>62</v>
      </c>
      <c r="E469" s="5" t="n">
        <v>37982</v>
      </c>
      <c r="F469" s="5" t="n">
        <v>37982</v>
      </c>
      <c r="G469" s="5" t="s">
        <v>147</v>
      </c>
      <c r="H469" s="6" t="n">
        <v>41400</v>
      </c>
      <c r="I469" s="6" t="n">
        <v>41400</v>
      </c>
      <c r="J469" s="7" t="n">
        <v>37982</v>
      </c>
      <c r="K469" s="7" t="n">
        <v>37982</v>
      </c>
      <c r="L469" s="5" t="s">
        <v>84</v>
      </c>
      <c r="M469" s="5" t="s">
        <v>65</v>
      </c>
      <c r="N469" s="5"/>
      <c r="V469" s="5" t="s">
        <v>2101</v>
      </c>
      <c r="X469" s="5"/>
      <c r="Y469" s="5" t="s">
        <v>73</v>
      </c>
      <c r="AI469" s="9" t="n">
        <v>44652</v>
      </c>
      <c r="AL469" s="5" t="n">
        <v>41400</v>
      </c>
      <c r="AM469" s="5" t="s">
        <v>924</v>
      </c>
      <c r="AN469" s="5"/>
      <c r="AQ469" s="5" t="s">
        <v>77</v>
      </c>
      <c r="AR469" s="5" t="s">
        <v>151</v>
      </c>
      <c r="AS469" s="5" t="s">
        <v>73</v>
      </c>
      <c r="AT469" s="5" t="s">
        <v>105</v>
      </c>
      <c r="AU469" s="5" t="s">
        <v>186</v>
      </c>
      <c r="AV469" s="10" t="s">
        <v>569</v>
      </c>
      <c r="AW469" s="5" t="s">
        <v>94</v>
      </c>
      <c r="AX469" s="10" t="str">
        <f aca="false">IFERROR(INDEX('full database 2024'!ar:ar, MATCH(A469, 'full database 2024'!b:b, 0)), "")</f>
        <v/>
      </c>
      <c r="AZ469" s="5" t="s">
        <v>107</v>
      </c>
      <c r="BD469" s="9" t="n">
        <v>45596</v>
      </c>
      <c r="BE469" s="9" t="n">
        <v>45596</v>
      </c>
      <c r="BJ469" s="5" t="n">
        <v>2022</v>
      </c>
      <c r="BK469" s="5"/>
    </row>
    <row r="470" customFormat="false" ht="16.5" hidden="false" customHeight="true" outlineLevel="0" collapsed="false">
      <c r="A470" s="5" t="s">
        <v>2102</v>
      </c>
      <c r="C470" s="5"/>
      <c r="D470" s="5" t="s">
        <v>62</v>
      </c>
      <c r="E470" s="5" t="n">
        <v>37435</v>
      </c>
      <c r="F470" s="5" t="n">
        <v>37435</v>
      </c>
      <c r="G470" s="5" t="s">
        <v>147</v>
      </c>
      <c r="H470" s="6" t="n">
        <v>40805</v>
      </c>
      <c r="I470" s="6" t="n">
        <v>40805</v>
      </c>
      <c r="J470" s="7" t="n">
        <v>37435</v>
      </c>
      <c r="K470" s="7" t="n">
        <v>37435</v>
      </c>
      <c r="L470" s="5" t="s">
        <v>84</v>
      </c>
      <c r="M470" s="5" t="s">
        <v>65</v>
      </c>
      <c r="V470" s="5" t="s">
        <v>2103</v>
      </c>
      <c r="Y470" s="5" t="s">
        <v>73</v>
      </c>
      <c r="AI470" s="9" t="n">
        <v>44409</v>
      </c>
      <c r="AL470" s="5" t="n">
        <v>40805</v>
      </c>
      <c r="AM470" s="5" t="s">
        <v>924</v>
      </c>
      <c r="AN470" s="5"/>
      <c r="AQ470" s="5" t="s">
        <v>77</v>
      </c>
      <c r="AR470" s="5" t="s">
        <v>151</v>
      </c>
      <c r="AS470" s="5" t="s">
        <v>73</v>
      </c>
      <c r="AT470" s="5" t="s">
        <v>105</v>
      </c>
      <c r="AU470" s="10" t="s">
        <v>186</v>
      </c>
      <c r="AW470" s="5" t="s">
        <v>94</v>
      </c>
      <c r="AX470" s="10" t="str">
        <f aca="false">IFERROR(INDEX('full database 2024'!ar:ar, MATCH(A470, 'full database 2024'!b:b, 0)), "")</f>
        <v/>
      </c>
      <c r="AZ470" s="5" t="s">
        <v>107</v>
      </c>
      <c r="BD470" s="9" t="n">
        <v>45596</v>
      </c>
      <c r="BE470" s="9" t="n">
        <v>45596</v>
      </c>
      <c r="BJ470" s="5" t="n">
        <v>2021</v>
      </c>
    </row>
    <row r="471" customFormat="false" ht="16.5" hidden="false" customHeight="true" outlineLevel="0" collapsed="false">
      <c r="A471" s="5" t="s">
        <v>2104</v>
      </c>
      <c r="B471" s="5" t="s">
        <v>2105</v>
      </c>
      <c r="C471" s="5"/>
      <c r="D471" s="5" t="s">
        <v>62</v>
      </c>
      <c r="E471" s="5" t="n">
        <v>36100</v>
      </c>
      <c r="F471" s="5" t="n">
        <v>36100</v>
      </c>
      <c r="G471" s="5" t="s">
        <v>147</v>
      </c>
      <c r="H471" s="6" t="n">
        <v>41406</v>
      </c>
      <c r="I471" s="6" t="n">
        <v>41406</v>
      </c>
      <c r="J471" s="7" t="n">
        <v>36100</v>
      </c>
      <c r="K471" s="7" t="n">
        <v>36100</v>
      </c>
      <c r="L471" s="5" t="s">
        <v>84</v>
      </c>
      <c r="M471" s="5" t="s">
        <v>65</v>
      </c>
      <c r="N471" s="8" t="s">
        <v>2106</v>
      </c>
      <c r="O471" s="5" t="s">
        <v>2107</v>
      </c>
      <c r="P471" s="5"/>
      <c r="Q471" s="5"/>
      <c r="R471" s="5" t="s">
        <v>2108</v>
      </c>
      <c r="T471" s="5" t="s">
        <v>616</v>
      </c>
      <c r="U471" s="5" t="s">
        <v>70</v>
      </c>
      <c r="V471" s="5" t="s">
        <v>617</v>
      </c>
      <c r="W471" s="5" t="s">
        <v>102</v>
      </c>
      <c r="X471" s="5" t="s">
        <v>160</v>
      </c>
      <c r="Y471" s="5" t="s">
        <v>73</v>
      </c>
      <c r="Z471" s="5" t="s">
        <v>70</v>
      </c>
      <c r="AD471" s="5" t="s">
        <v>807</v>
      </c>
      <c r="AE471" s="5" t="s">
        <v>74</v>
      </c>
      <c r="AI471" s="9" t="n">
        <v>44438</v>
      </c>
      <c r="AJ471" s="5" t="n">
        <v>1</v>
      </c>
      <c r="AK471" s="5" t="s">
        <v>228</v>
      </c>
      <c r="AL471" s="5" t="n">
        <v>41406</v>
      </c>
      <c r="AM471" s="5" t="s">
        <v>161</v>
      </c>
      <c r="AN471" s="5"/>
      <c r="AO471" s="5" t="s">
        <v>230</v>
      </c>
      <c r="AQ471" s="5" t="s">
        <v>77</v>
      </c>
      <c r="AR471" s="5" t="s">
        <v>160</v>
      </c>
      <c r="AS471" s="5" t="s">
        <v>73</v>
      </c>
      <c r="AT471" s="5" t="s">
        <v>71</v>
      </c>
      <c r="AU471" s="10" t="s">
        <v>120</v>
      </c>
      <c r="AV471" s="10"/>
      <c r="AW471" s="5" t="s">
        <v>94</v>
      </c>
      <c r="AX471" s="25" t="s">
        <v>79</v>
      </c>
      <c r="AZ471" s="5" t="s">
        <v>107</v>
      </c>
      <c r="BD471" s="9" t="n">
        <v>45421</v>
      </c>
      <c r="BE471" s="9" t="n">
        <v>45566</v>
      </c>
      <c r="BI471" s="5" t="s">
        <v>81</v>
      </c>
      <c r="BJ471" s="5" t="n">
        <v>2021</v>
      </c>
      <c r="BK471" s="5" t="s">
        <v>2109</v>
      </c>
    </row>
    <row r="472" customFormat="false" ht="16.5" hidden="false" customHeight="true" outlineLevel="0" collapsed="false">
      <c r="A472" s="5" t="s">
        <v>2110</v>
      </c>
      <c r="B472" s="5"/>
      <c r="C472" s="5"/>
      <c r="D472" s="5" t="s">
        <v>62</v>
      </c>
      <c r="E472" s="5" t="n">
        <v>36000</v>
      </c>
      <c r="F472" s="5" t="n">
        <v>36000</v>
      </c>
      <c r="G472" s="5" t="s">
        <v>147</v>
      </c>
      <c r="H472" s="6" t="n">
        <v>41031</v>
      </c>
      <c r="I472" s="6" t="n">
        <v>41031</v>
      </c>
      <c r="J472" s="7" t="n">
        <v>36000</v>
      </c>
      <c r="K472" s="7" t="n">
        <v>36000</v>
      </c>
      <c r="L472" s="5" t="s">
        <v>84</v>
      </c>
      <c r="M472" s="5" t="s">
        <v>65</v>
      </c>
      <c r="N472" s="8" t="s">
        <v>2111</v>
      </c>
      <c r="O472" s="5"/>
      <c r="P472" s="5"/>
      <c r="Q472" s="5"/>
      <c r="R472" s="5"/>
      <c r="T472" s="5"/>
      <c r="U472" s="5"/>
      <c r="V472" s="5"/>
      <c r="W472" s="5"/>
      <c r="X472" s="5"/>
      <c r="Y472" s="5" t="s">
        <v>73</v>
      </c>
      <c r="Z472" s="5"/>
      <c r="AD472" s="5"/>
      <c r="AE472" s="5"/>
      <c r="AI472" s="9" t="n">
        <v>43864</v>
      </c>
      <c r="AJ472" s="5"/>
      <c r="AK472" s="5"/>
      <c r="AL472" s="5" t="n">
        <v>41031</v>
      </c>
      <c r="AM472" s="5" t="s">
        <v>161</v>
      </c>
      <c r="AN472" s="5"/>
      <c r="AO472" s="5"/>
      <c r="AQ472" s="5" t="s">
        <v>77</v>
      </c>
      <c r="AR472" s="5" t="s">
        <v>160</v>
      </c>
      <c r="AS472" s="5" t="s">
        <v>73</v>
      </c>
      <c r="AT472" s="5" t="s">
        <v>71</v>
      </c>
      <c r="AU472" s="10" t="s">
        <v>120</v>
      </c>
      <c r="AW472" s="5" t="s">
        <v>94</v>
      </c>
      <c r="AX472" s="10" t="str">
        <f aca="false">IFERROR(INDEX('full database 2024'!ar:ar, MATCH(A472, 'full database 2024'!b:b, 0)), "")</f>
        <v/>
      </c>
      <c r="AZ472" s="5" t="s">
        <v>107</v>
      </c>
      <c r="BD472" s="9" t="n">
        <v>45596</v>
      </c>
      <c r="BE472" s="9" t="n">
        <v>45596</v>
      </c>
      <c r="BI472" s="5"/>
      <c r="BJ472" s="5" t="n">
        <v>2020</v>
      </c>
      <c r="BK472" s="11" t="n">
        <v>36526</v>
      </c>
    </row>
    <row r="473" customFormat="false" ht="16.5" hidden="false" customHeight="true" outlineLevel="0" collapsed="false">
      <c r="A473" s="5" t="s">
        <v>2112</v>
      </c>
      <c r="B473" s="5" t="s">
        <v>2113</v>
      </c>
      <c r="C473" s="5"/>
      <c r="D473" s="5" t="s">
        <v>62</v>
      </c>
      <c r="E473" s="16" t="n">
        <v>30000</v>
      </c>
      <c r="F473" s="16" t="n">
        <v>24000</v>
      </c>
      <c r="G473" s="5" t="s">
        <v>132</v>
      </c>
      <c r="H473" s="6" t="n">
        <v>31500</v>
      </c>
      <c r="I473" s="6" t="n">
        <v>25200</v>
      </c>
      <c r="J473" s="7" t="n">
        <f aca="false">E473*1.19</f>
        <v>35700</v>
      </c>
      <c r="K473" s="7" t="n">
        <f aca="false">F473*1.19</f>
        <v>28560</v>
      </c>
      <c r="L473" s="5" t="s">
        <v>84</v>
      </c>
      <c r="M473" s="5" t="s">
        <v>65</v>
      </c>
      <c r="N473" s="8" t="s">
        <v>2114</v>
      </c>
      <c r="O473" s="5" t="s">
        <v>2115</v>
      </c>
      <c r="P473" s="5"/>
      <c r="Q473" s="5"/>
      <c r="R473" s="5" t="s">
        <v>670</v>
      </c>
      <c r="T473" s="5" t="s">
        <v>1870</v>
      </c>
      <c r="V473" s="5" t="s">
        <v>2116</v>
      </c>
      <c r="W473" s="5" t="s">
        <v>102</v>
      </c>
      <c r="X473" s="5" t="s">
        <v>139</v>
      </c>
      <c r="Y473" s="5" t="s">
        <v>73</v>
      </c>
      <c r="AE473" s="5" t="s">
        <v>117</v>
      </c>
      <c r="AI473" s="9" t="n">
        <v>44562</v>
      </c>
      <c r="AJ473" s="5" t="n">
        <v>0.5</v>
      </c>
      <c r="AK473" s="5" t="s">
        <v>75</v>
      </c>
      <c r="AL473" s="5" t="n">
        <v>31500</v>
      </c>
      <c r="AM473" s="5" t="s">
        <v>140</v>
      </c>
      <c r="AN473" s="5" t="s">
        <v>699</v>
      </c>
      <c r="AQ473" s="5" t="s">
        <v>77</v>
      </c>
      <c r="AR473" s="5" t="s">
        <v>143</v>
      </c>
      <c r="AS473" s="5" t="s">
        <v>73</v>
      </c>
      <c r="AT473" s="5" t="s">
        <v>374</v>
      </c>
      <c r="AW473" s="5" t="s">
        <v>94</v>
      </c>
      <c r="AX473" s="10" t="str">
        <f aca="false">IFERROR(INDEX('full database 2024'!ar:ar, MATCH(A473, 'full database 2024'!b:b, 0)), "")</f>
        <v/>
      </c>
      <c r="AZ473" s="5" t="s">
        <v>540</v>
      </c>
      <c r="BD473" s="9" t="n">
        <v>45377</v>
      </c>
      <c r="BE473" s="9" t="n">
        <v>45779</v>
      </c>
      <c r="BI473" s="5" t="s">
        <v>81</v>
      </c>
      <c r="BJ473" s="5" t="n">
        <v>2022</v>
      </c>
      <c r="BK473" s="11"/>
    </row>
    <row r="474" customFormat="false" ht="16.5" hidden="false" customHeight="true" outlineLevel="0" collapsed="false">
      <c r="A474" s="5" t="s">
        <v>2117</v>
      </c>
      <c r="B474" s="5"/>
      <c r="C474" s="5"/>
      <c r="D474" s="5" t="s">
        <v>62</v>
      </c>
      <c r="E474" s="16" t="n">
        <v>28421</v>
      </c>
      <c r="F474" s="16" t="n">
        <v>28421</v>
      </c>
      <c r="G474" s="5" t="s">
        <v>132</v>
      </c>
      <c r="H474" s="6" t="n">
        <v>35526</v>
      </c>
      <c r="I474" s="6" t="n">
        <v>35526</v>
      </c>
      <c r="J474" s="7" t="n">
        <f aca="false">E474*1.19</f>
        <v>33820.99</v>
      </c>
      <c r="K474" s="7" t="n">
        <f aca="false">F474*1.19</f>
        <v>33820.99</v>
      </c>
      <c r="L474" s="5" t="s">
        <v>84</v>
      </c>
      <c r="M474" s="5" t="s">
        <v>65</v>
      </c>
      <c r="N474" s="8" t="s">
        <v>2118</v>
      </c>
      <c r="O474" s="5"/>
      <c r="P474" s="5"/>
      <c r="Q474" s="5"/>
      <c r="R474" s="5"/>
      <c r="T474" s="5" t="s">
        <v>2119</v>
      </c>
      <c r="V474" s="5" t="s">
        <v>2120</v>
      </c>
      <c r="W474" s="5"/>
      <c r="X474" s="5" t="s">
        <v>139</v>
      </c>
      <c r="Y474" s="5" t="s">
        <v>73</v>
      </c>
      <c r="AE474" s="5"/>
      <c r="AI474" s="9" t="n">
        <v>44197</v>
      </c>
      <c r="AJ474" s="5" t="n">
        <v>6</v>
      </c>
      <c r="AK474" s="5" t="s">
        <v>216</v>
      </c>
      <c r="AL474" s="5" t="n">
        <v>5921</v>
      </c>
      <c r="AM474" s="5" t="s">
        <v>140</v>
      </c>
      <c r="AN474" s="5" t="s">
        <v>2121</v>
      </c>
      <c r="AQ474" s="5" t="s">
        <v>77</v>
      </c>
      <c r="AR474" s="5" t="s">
        <v>143</v>
      </c>
      <c r="AS474" s="5" t="s">
        <v>73</v>
      </c>
      <c r="AT474" s="5" t="s">
        <v>105</v>
      </c>
      <c r="AU474" s="10" t="s">
        <v>106</v>
      </c>
      <c r="AW474" s="5" t="s">
        <v>94</v>
      </c>
      <c r="AX474" s="10" t="str">
        <f aca="false">IFERROR(INDEX('full database 2024'!ar:ar, MATCH(A474, 'full database 2024'!b:b, 0)), "")</f>
        <v/>
      </c>
      <c r="AZ474" s="5" t="s">
        <v>540</v>
      </c>
      <c r="BD474" s="9" t="n">
        <v>45596</v>
      </c>
      <c r="BE474" s="9" t="n">
        <v>45779</v>
      </c>
      <c r="BI474" s="5"/>
      <c r="BJ474" s="5" t="n">
        <v>2021</v>
      </c>
      <c r="BK474" s="11" t="n">
        <v>36526</v>
      </c>
    </row>
    <row r="475" customFormat="false" ht="16.5" hidden="false" customHeight="true" outlineLevel="0" collapsed="false">
      <c r="A475" s="5" t="s">
        <v>2122</v>
      </c>
      <c r="B475" s="5" t="s">
        <v>920</v>
      </c>
      <c r="C475" s="5"/>
      <c r="D475" s="5" t="s">
        <v>62</v>
      </c>
      <c r="E475" s="5" t="n">
        <v>27308</v>
      </c>
      <c r="F475" s="5" t="n">
        <v>27308</v>
      </c>
      <c r="G475" s="5" t="s">
        <v>147</v>
      </c>
      <c r="H475" s="6" t="n">
        <v>30701</v>
      </c>
      <c r="I475" s="6" t="n">
        <v>30701</v>
      </c>
      <c r="J475" s="7" t="n">
        <v>27308</v>
      </c>
      <c r="K475" s="7" t="n">
        <v>27308</v>
      </c>
      <c r="L475" s="5" t="s">
        <v>84</v>
      </c>
      <c r="M475" s="5"/>
      <c r="N475" s="8" t="s">
        <v>2123</v>
      </c>
      <c r="O475" s="5" t="s">
        <v>2124</v>
      </c>
      <c r="T475" s="5"/>
      <c r="V475" s="5"/>
      <c r="X475" s="5"/>
      <c r="Y475" s="5" t="s">
        <v>73</v>
      </c>
      <c r="AI475" s="9" t="n">
        <v>43831</v>
      </c>
      <c r="AJ475" s="5"/>
      <c r="AK475" s="5"/>
      <c r="AL475" s="5" t="n">
        <v>30701</v>
      </c>
      <c r="AM475" s="5" t="s">
        <v>153</v>
      </c>
      <c r="AN475" s="5"/>
      <c r="AQ475" s="5" t="s">
        <v>77</v>
      </c>
      <c r="AR475" s="5" t="s">
        <v>151</v>
      </c>
      <c r="AS475" s="5" t="s">
        <v>73</v>
      </c>
      <c r="AT475" s="5" t="s">
        <v>78</v>
      </c>
      <c r="AW475" s="5" t="s">
        <v>94</v>
      </c>
      <c r="AX475" s="10" t="str">
        <f aca="false">IFERROR(INDEX('full database 2024'!ar:ar, MATCH(A475, 'full database 2024'!b:b, 0)), "")</f>
        <v/>
      </c>
      <c r="AZ475" s="5" t="s">
        <v>129</v>
      </c>
      <c r="BD475" s="9" t="n">
        <v>45671</v>
      </c>
      <c r="BE475" s="9" t="n">
        <v>45779</v>
      </c>
      <c r="BJ475" s="5" t="n">
        <v>2020</v>
      </c>
      <c r="BK475" s="5" t="s">
        <v>1177</v>
      </c>
    </row>
    <row r="476" customFormat="false" ht="16.5" hidden="false" customHeight="true" outlineLevel="0" collapsed="false">
      <c r="A476" s="5" t="s">
        <v>2125</v>
      </c>
      <c r="B476" s="5" t="s">
        <v>2126</v>
      </c>
      <c r="C476" s="5"/>
      <c r="D476" s="5" t="s">
        <v>62</v>
      </c>
      <c r="E476" s="16" t="n">
        <v>27000</v>
      </c>
      <c r="F476" s="16" t="n">
        <v>21600</v>
      </c>
      <c r="G476" s="5" t="s">
        <v>132</v>
      </c>
      <c r="H476" s="6" t="n">
        <v>28350</v>
      </c>
      <c r="I476" s="6" t="n">
        <v>22680</v>
      </c>
      <c r="J476" s="7" t="n">
        <f aca="false">E476*1.19</f>
        <v>32130</v>
      </c>
      <c r="K476" s="7" t="n">
        <f aca="false">F476*1.19</f>
        <v>25704</v>
      </c>
      <c r="L476" s="5" t="s">
        <v>84</v>
      </c>
      <c r="M476" s="5" t="s">
        <v>65</v>
      </c>
      <c r="N476" s="8" t="s">
        <v>2127</v>
      </c>
      <c r="O476" s="5" t="s">
        <v>2128</v>
      </c>
      <c r="P476" s="5"/>
      <c r="Q476" s="5"/>
      <c r="R476" s="5" t="s">
        <v>670</v>
      </c>
      <c r="T476" s="5" t="s">
        <v>2129</v>
      </c>
      <c r="V476" s="5" t="s">
        <v>2116</v>
      </c>
      <c r="W476" s="5" t="s">
        <v>102</v>
      </c>
      <c r="X476" s="5" t="s">
        <v>139</v>
      </c>
      <c r="Y476" s="5" t="s">
        <v>73</v>
      </c>
      <c r="AE476" s="5" t="s">
        <v>117</v>
      </c>
      <c r="AI476" s="9" t="n">
        <v>44562</v>
      </c>
      <c r="AJ476" s="5" t="n">
        <v>0.5</v>
      </c>
      <c r="AK476" s="5" t="s">
        <v>75</v>
      </c>
      <c r="AL476" s="5" t="n">
        <v>28350</v>
      </c>
      <c r="AM476" s="5" t="s">
        <v>140</v>
      </c>
      <c r="AN476" s="5" t="s">
        <v>699</v>
      </c>
      <c r="AQ476" s="5" t="s">
        <v>77</v>
      </c>
      <c r="AR476" s="5" t="s">
        <v>143</v>
      </c>
      <c r="AS476" s="5" t="s">
        <v>73</v>
      </c>
      <c r="AT476" s="5" t="s">
        <v>374</v>
      </c>
      <c r="AW476" s="5" t="s">
        <v>94</v>
      </c>
      <c r="AX476" s="10" t="str">
        <f aca="false">IFERROR(INDEX('full database 2024'!ar:ar, MATCH(A476, 'full database 2024'!b:b, 0)), "")</f>
        <v/>
      </c>
      <c r="AZ476" s="5" t="s">
        <v>540</v>
      </c>
      <c r="BD476" s="9" t="n">
        <v>45377</v>
      </c>
      <c r="BE476" s="9" t="n">
        <v>45779</v>
      </c>
      <c r="BI476" s="5" t="s">
        <v>81</v>
      </c>
      <c r="BJ476" s="5" t="n">
        <v>2022</v>
      </c>
      <c r="BK476" s="5"/>
    </row>
    <row r="477" customFormat="false" ht="16.5" hidden="false" customHeight="true" outlineLevel="0" collapsed="false">
      <c r="A477" s="5" t="s">
        <v>2130</v>
      </c>
      <c r="B477" s="5"/>
      <c r="C477" s="5"/>
      <c r="D477" s="5" t="s">
        <v>62</v>
      </c>
      <c r="E477" s="5" t="n">
        <v>26706</v>
      </c>
      <c r="F477" s="5" t="n">
        <v>26706</v>
      </c>
      <c r="G477" s="5" t="s">
        <v>147</v>
      </c>
      <c r="H477" s="6" t="n">
        <v>29110</v>
      </c>
      <c r="I477" s="6" t="n">
        <v>29110</v>
      </c>
      <c r="J477" s="7" t="n">
        <v>26706</v>
      </c>
      <c r="K477" s="7" t="n">
        <v>26706</v>
      </c>
      <c r="L477" s="5" t="s">
        <v>84</v>
      </c>
      <c r="M477" s="5" t="s">
        <v>65</v>
      </c>
      <c r="N477" s="5"/>
      <c r="O477" s="5"/>
      <c r="P477" s="5"/>
      <c r="Q477" s="5"/>
      <c r="R477" s="5"/>
      <c r="T477" s="5"/>
      <c r="V477" s="5" t="s">
        <v>2131</v>
      </c>
      <c r="W477" s="5"/>
      <c r="X477" s="5"/>
      <c r="Y477" s="5" t="s">
        <v>73</v>
      </c>
      <c r="AE477" s="5"/>
      <c r="AI477" s="9" t="n">
        <v>44652</v>
      </c>
      <c r="AJ477" s="5"/>
      <c r="AK477" s="5"/>
      <c r="AL477" s="5" t="n">
        <v>29110</v>
      </c>
      <c r="AM477" s="5" t="s">
        <v>924</v>
      </c>
      <c r="AN477" s="5"/>
      <c r="AQ477" s="5" t="s">
        <v>77</v>
      </c>
      <c r="AR477" s="5" t="s">
        <v>151</v>
      </c>
      <c r="AS477" s="5" t="s">
        <v>73</v>
      </c>
      <c r="AT477" s="5" t="s">
        <v>78</v>
      </c>
      <c r="AW477" s="5" t="s">
        <v>94</v>
      </c>
      <c r="AX477" s="10" t="str">
        <f aca="false">IFERROR(INDEX('full database 2024'!ar:ar, MATCH(A477, 'full database 2024'!b:b, 0)), "")</f>
        <v/>
      </c>
      <c r="AZ477" s="5" t="s">
        <v>129</v>
      </c>
      <c r="BD477" s="9" t="n">
        <v>45596</v>
      </c>
      <c r="BE477" s="9" t="n">
        <v>45596</v>
      </c>
      <c r="BI477" s="5"/>
      <c r="BJ477" s="5" t="n">
        <v>2022</v>
      </c>
    </row>
    <row r="478" customFormat="false" ht="16.5" hidden="false" customHeight="true" outlineLevel="0" collapsed="false">
      <c r="A478" s="5" t="s">
        <v>2132</v>
      </c>
      <c r="B478" s="5" t="s">
        <v>2133</v>
      </c>
      <c r="C478" s="5"/>
      <c r="D478" s="5" t="s">
        <v>62</v>
      </c>
      <c r="E478" s="16" t="n">
        <v>26100</v>
      </c>
      <c r="F478" s="16" t="n">
        <v>20884</v>
      </c>
      <c r="G478" s="5" t="s">
        <v>132</v>
      </c>
      <c r="H478" s="6" t="n">
        <v>27405</v>
      </c>
      <c r="I478" s="6" t="n">
        <v>21928</v>
      </c>
      <c r="J478" s="7" t="n">
        <f aca="false">E478*1.19</f>
        <v>31059</v>
      </c>
      <c r="K478" s="7" t="n">
        <f aca="false">F478*1.19</f>
        <v>24851.96</v>
      </c>
      <c r="L478" s="5" t="s">
        <v>84</v>
      </c>
      <c r="M478" s="5" t="s">
        <v>65</v>
      </c>
      <c r="N478" s="8" t="s">
        <v>2134</v>
      </c>
      <c r="P478" s="5"/>
      <c r="Q478" s="5"/>
      <c r="R478" s="5" t="s">
        <v>670</v>
      </c>
      <c r="T478" s="5" t="s">
        <v>1455</v>
      </c>
      <c r="V478" s="5" t="s">
        <v>2135</v>
      </c>
      <c r="W478" s="5" t="s">
        <v>102</v>
      </c>
      <c r="X478" s="5" t="s">
        <v>139</v>
      </c>
      <c r="Y478" s="5" t="s">
        <v>73</v>
      </c>
      <c r="AE478" s="5" t="s">
        <v>117</v>
      </c>
      <c r="AI478" s="9" t="n">
        <v>44562</v>
      </c>
      <c r="AJ478" s="5" t="n">
        <v>0.5</v>
      </c>
      <c r="AK478" s="5" t="s">
        <v>75</v>
      </c>
      <c r="AL478" s="5" t="n">
        <v>27405</v>
      </c>
      <c r="AM478" s="5" t="s">
        <v>140</v>
      </c>
      <c r="AN478" s="5" t="s">
        <v>699</v>
      </c>
      <c r="AQ478" s="5" t="s">
        <v>77</v>
      </c>
      <c r="AR478" s="5" t="s">
        <v>143</v>
      </c>
      <c r="AS478" s="5" t="s">
        <v>73</v>
      </c>
      <c r="AT478" s="5" t="s">
        <v>78</v>
      </c>
      <c r="AU478" s="10" t="s">
        <v>259</v>
      </c>
      <c r="AW478" s="5" t="s">
        <v>94</v>
      </c>
      <c r="AX478" s="10" t="str">
        <f aca="false">IFERROR(INDEX('full database 2024'!ar:ar, MATCH(A478, 'full database 2024'!b:b, 0)), "")</f>
        <v/>
      </c>
      <c r="AY478" s="5" t="s">
        <v>297</v>
      </c>
      <c r="AZ478" s="5" t="s">
        <v>540</v>
      </c>
      <c r="BD478" s="9" t="n">
        <v>45377</v>
      </c>
      <c r="BE478" s="9" t="n">
        <v>45779</v>
      </c>
      <c r="BI478" s="5" t="s">
        <v>81</v>
      </c>
      <c r="BJ478" s="5" t="n">
        <v>2022</v>
      </c>
    </row>
    <row r="479" customFormat="false" ht="16.5" hidden="false" customHeight="true" outlineLevel="0" collapsed="false">
      <c r="A479" s="5" t="s">
        <v>823</v>
      </c>
      <c r="B479" s="5"/>
      <c r="C479" s="5"/>
      <c r="D479" s="5" t="s">
        <v>62</v>
      </c>
      <c r="E479" s="5" t="n">
        <v>25558</v>
      </c>
      <c r="F479" s="5" t="n">
        <v>25558</v>
      </c>
      <c r="G479" s="5" t="s">
        <v>147</v>
      </c>
      <c r="H479" s="6" t="n">
        <v>27858</v>
      </c>
      <c r="I479" s="6" t="n">
        <v>27858</v>
      </c>
      <c r="J479" s="7" t="n">
        <v>25558</v>
      </c>
      <c r="K479" s="7" t="n">
        <v>25558</v>
      </c>
      <c r="L479" s="5" t="s">
        <v>84</v>
      </c>
      <c r="M479" s="5" t="s">
        <v>65</v>
      </c>
      <c r="N479" s="5"/>
      <c r="P479" s="5"/>
      <c r="Q479" s="5"/>
      <c r="R479" s="5"/>
      <c r="T479" s="5"/>
      <c r="V479" s="5" t="s">
        <v>2136</v>
      </c>
      <c r="W479" s="5"/>
      <c r="X479" s="5" t="s">
        <v>151</v>
      </c>
      <c r="Y479" s="5" t="s">
        <v>73</v>
      </c>
      <c r="AE479" s="5"/>
      <c r="AI479" s="9" t="n">
        <v>44105</v>
      </c>
      <c r="AJ479" s="5"/>
      <c r="AK479" s="5"/>
      <c r="AL479" s="5" t="n">
        <v>27858</v>
      </c>
      <c r="AM479" s="5" t="s">
        <v>821</v>
      </c>
      <c r="AN479" s="5"/>
      <c r="AQ479" s="5" t="s">
        <v>77</v>
      </c>
      <c r="AR479" s="5" t="s">
        <v>151</v>
      </c>
      <c r="AS479" s="5" t="s">
        <v>73</v>
      </c>
      <c r="AT479" s="5" t="s">
        <v>71</v>
      </c>
      <c r="AW479" s="5" t="s">
        <v>94</v>
      </c>
      <c r="AX479" s="10" t="str">
        <f aca="false">IFERROR(INDEX('full database 2024'!ar:ar, MATCH(A479, 'full database 2024'!b:b, 0)), "")</f>
        <v/>
      </c>
      <c r="AZ479" s="5" t="s">
        <v>129</v>
      </c>
      <c r="BD479" s="9" t="n">
        <v>45596</v>
      </c>
      <c r="BE479" s="9" t="n">
        <v>45596</v>
      </c>
      <c r="BI479" s="5"/>
      <c r="BJ479" s="5" t="n">
        <v>2020</v>
      </c>
    </row>
    <row r="480" customFormat="false" ht="16.5" hidden="false" customHeight="true" outlineLevel="0" collapsed="false">
      <c r="A480" s="5" t="s">
        <v>2137</v>
      </c>
      <c r="B480" s="5" t="s">
        <v>920</v>
      </c>
      <c r="C480" s="5"/>
      <c r="D480" s="5" t="s">
        <v>62</v>
      </c>
      <c r="E480" s="5" t="n">
        <v>24837</v>
      </c>
      <c r="F480" s="5" t="n">
        <v>24837</v>
      </c>
      <c r="G480" s="5" t="s">
        <v>147</v>
      </c>
      <c r="H480" s="6" t="n">
        <v>26788</v>
      </c>
      <c r="I480" s="6" t="n">
        <v>26788</v>
      </c>
      <c r="J480" s="7" t="n">
        <v>24837</v>
      </c>
      <c r="K480" s="7" t="n">
        <v>24837</v>
      </c>
      <c r="L480" s="5" t="s">
        <v>84</v>
      </c>
      <c r="M480" s="5" t="s">
        <v>65</v>
      </c>
      <c r="O480" s="5" t="s">
        <v>2138</v>
      </c>
      <c r="T480" s="5" t="s">
        <v>2139</v>
      </c>
      <c r="V480" s="5"/>
      <c r="X480" s="5"/>
      <c r="Y480" s="5" t="s">
        <v>73</v>
      </c>
      <c r="AI480" s="9" t="n">
        <v>44835</v>
      </c>
      <c r="AL480" s="5" t="n">
        <v>26788</v>
      </c>
      <c r="AM480" s="5" t="s">
        <v>1523</v>
      </c>
      <c r="AN480" s="5"/>
      <c r="AQ480" s="5" t="s">
        <v>77</v>
      </c>
      <c r="AR480" s="5" t="s">
        <v>568</v>
      </c>
      <c r="AS480" s="5" t="s">
        <v>73</v>
      </c>
      <c r="AT480" s="5" t="s">
        <v>374</v>
      </c>
      <c r="AW480" s="5" t="s">
        <v>94</v>
      </c>
      <c r="AX480" s="10" t="str">
        <f aca="false">IFERROR(INDEX('full database 2024'!ar:ar, MATCH(A480, 'full database 2024'!b:b, 0)), "")</f>
        <v/>
      </c>
      <c r="AZ480" s="5" t="s">
        <v>121</v>
      </c>
      <c r="BD480" s="9" t="n">
        <v>45596</v>
      </c>
      <c r="BE480" s="9" t="n">
        <v>45779</v>
      </c>
      <c r="BJ480" s="5" t="n">
        <v>2022</v>
      </c>
      <c r="BK480" s="11" t="n">
        <v>36526</v>
      </c>
    </row>
    <row r="481" customFormat="false" ht="16.5" hidden="false" customHeight="true" outlineLevel="0" collapsed="false">
      <c r="A481" s="5" t="s">
        <v>2140</v>
      </c>
      <c r="B481" s="5"/>
      <c r="C481" s="5"/>
      <c r="D481" s="5" t="s">
        <v>62</v>
      </c>
      <c r="E481" s="5" t="n">
        <v>23000</v>
      </c>
      <c r="F481" s="5" t="n">
        <v>0</v>
      </c>
      <c r="G481" s="5" t="s">
        <v>147</v>
      </c>
      <c r="H481" s="6" t="n">
        <v>24433</v>
      </c>
      <c r="I481" s="6" t="n">
        <v>0</v>
      </c>
      <c r="J481" s="7" t="n">
        <v>23000</v>
      </c>
      <c r="K481" s="7" t="n">
        <v>0</v>
      </c>
      <c r="L481" s="5" t="s">
        <v>84</v>
      </c>
      <c r="M481" s="5" t="s">
        <v>65</v>
      </c>
      <c r="N481" s="8" t="s">
        <v>2141</v>
      </c>
      <c r="O481" s="5"/>
      <c r="T481" s="5" t="s">
        <v>2142</v>
      </c>
      <c r="U481" s="5" t="s">
        <v>70</v>
      </c>
      <c r="V481" s="5" t="s">
        <v>2143</v>
      </c>
      <c r="W481" s="5" t="s">
        <v>102</v>
      </c>
      <c r="X481" s="5" t="s">
        <v>333</v>
      </c>
      <c r="Y481" s="5" t="s">
        <v>73</v>
      </c>
      <c r="Z481" s="5" t="s">
        <v>70</v>
      </c>
      <c r="AE481" s="5" t="s">
        <v>117</v>
      </c>
      <c r="AI481" s="9" t="n">
        <v>44162</v>
      </c>
      <c r="AJ481" s="5" t="n">
        <v>1</v>
      </c>
      <c r="AK481" s="5" t="s">
        <v>228</v>
      </c>
      <c r="AL481" s="5" t="n">
        <v>24433</v>
      </c>
      <c r="AM481" s="5" t="s">
        <v>2144</v>
      </c>
      <c r="AN481" s="5"/>
      <c r="AQ481" s="5" t="s">
        <v>102</v>
      </c>
      <c r="AR481" s="5" t="s">
        <v>333</v>
      </c>
      <c r="AS481" s="5" t="s">
        <v>73</v>
      </c>
      <c r="AT481" s="5" t="s">
        <v>78</v>
      </c>
      <c r="AW481" s="5" t="s">
        <v>94</v>
      </c>
      <c r="AX481" s="10" t="str">
        <f aca="false">IFERROR(INDEX('full database 2024'!ar:ar, MATCH(A481, 'full database 2024'!b:b, 0)), "")</f>
        <v/>
      </c>
      <c r="AZ481" s="5" t="s">
        <v>188</v>
      </c>
      <c r="BA481" s="5" t="s">
        <v>65</v>
      </c>
      <c r="BD481" s="9" t="n">
        <v>44985</v>
      </c>
      <c r="BE481" s="9" t="n">
        <v>45035</v>
      </c>
      <c r="BI481" s="5" t="s">
        <v>241</v>
      </c>
      <c r="BJ481" s="5" t="n">
        <v>2020</v>
      </c>
      <c r="BK481" s="5" t="s">
        <v>2145</v>
      </c>
    </row>
    <row r="482" customFormat="false" ht="16.5" hidden="false" customHeight="true" outlineLevel="0" collapsed="false">
      <c r="A482" s="5" t="s">
        <v>2102</v>
      </c>
      <c r="C482" s="5"/>
      <c r="D482" s="5" t="s">
        <v>62</v>
      </c>
      <c r="E482" s="5" t="n">
        <v>20090</v>
      </c>
      <c r="F482" s="5" t="n">
        <v>20090</v>
      </c>
      <c r="G482" s="5" t="s">
        <v>147</v>
      </c>
      <c r="H482" s="6" t="n">
        <v>21899</v>
      </c>
      <c r="I482" s="6" t="n">
        <v>21899</v>
      </c>
      <c r="J482" s="7" t="n">
        <v>20090</v>
      </c>
      <c r="K482" s="7" t="n">
        <v>20090</v>
      </c>
      <c r="L482" s="5" t="s">
        <v>84</v>
      </c>
      <c r="M482" s="5" t="s">
        <v>65</v>
      </c>
      <c r="N482" s="5"/>
      <c r="T482" s="5"/>
      <c r="U482" s="5"/>
      <c r="V482" s="5" t="s">
        <v>1510</v>
      </c>
      <c r="W482" s="5"/>
      <c r="X482" s="5"/>
      <c r="Y482" s="5" t="s">
        <v>73</v>
      </c>
      <c r="Z482" s="5"/>
      <c r="AE482" s="5"/>
      <c r="AI482" s="9" t="n">
        <v>44409</v>
      </c>
      <c r="AJ482" s="5"/>
      <c r="AK482" s="5"/>
      <c r="AL482" s="5" t="n">
        <v>21899</v>
      </c>
      <c r="AM482" s="5" t="s">
        <v>924</v>
      </c>
      <c r="AN482" s="5"/>
      <c r="AQ482" s="5" t="s">
        <v>77</v>
      </c>
      <c r="AR482" s="5" t="s">
        <v>151</v>
      </c>
      <c r="AS482" s="5" t="s">
        <v>73</v>
      </c>
      <c r="AT482" s="5" t="s">
        <v>105</v>
      </c>
      <c r="AU482" s="10" t="s">
        <v>186</v>
      </c>
      <c r="AW482" s="5" t="s">
        <v>94</v>
      </c>
      <c r="AX482" s="10" t="str">
        <f aca="false">IFERROR(INDEX('full database 2024'!ar:ar, MATCH(A482, 'full database 2024'!b:b, 0)), "")</f>
        <v/>
      </c>
      <c r="AZ482" s="5" t="s">
        <v>107</v>
      </c>
      <c r="BA482" s="5"/>
      <c r="BD482" s="9" t="n">
        <v>45596</v>
      </c>
      <c r="BE482" s="9" t="n">
        <v>45596</v>
      </c>
      <c r="BI482" s="5"/>
      <c r="BJ482" s="5" t="n">
        <v>2021</v>
      </c>
      <c r="BK482" s="5"/>
    </row>
    <row r="483" customFormat="false" ht="16.5" hidden="false" customHeight="true" outlineLevel="0" collapsed="false">
      <c r="A483" s="5" t="s">
        <v>2146</v>
      </c>
      <c r="B483" s="5" t="s">
        <v>2146</v>
      </c>
      <c r="C483" s="5"/>
      <c r="D483" s="5" t="s">
        <v>62</v>
      </c>
      <c r="E483" s="5" t="n">
        <v>15000</v>
      </c>
      <c r="F483" s="5" t="n">
        <v>15000</v>
      </c>
      <c r="G483" s="5" t="s">
        <v>732</v>
      </c>
      <c r="H483" s="6" t="n">
        <v>16500</v>
      </c>
      <c r="I483" s="6" t="n">
        <v>16500</v>
      </c>
      <c r="J483" s="7" t="n">
        <f aca="false">E483*1.07</f>
        <v>16050</v>
      </c>
      <c r="K483" s="7" t="n">
        <f aca="false">F483*1.07</f>
        <v>16050</v>
      </c>
      <c r="L483" s="5" t="s">
        <v>84</v>
      </c>
      <c r="M483" s="5" t="s">
        <v>65</v>
      </c>
      <c r="N483" s="8" t="s">
        <v>2147</v>
      </c>
      <c r="O483" s="5" t="s">
        <v>2148</v>
      </c>
      <c r="T483" s="5" t="s">
        <v>2149</v>
      </c>
      <c r="V483" s="5"/>
      <c r="Y483" s="5" t="s">
        <v>73</v>
      </c>
      <c r="AI483" s="9" t="n">
        <v>45063</v>
      </c>
      <c r="AJ483" s="5" t="n">
        <v>12</v>
      </c>
      <c r="AK483" s="5" t="s">
        <v>216</v>
      </c>
      <c r="AL483" s="5" t="n">
        <v>1375</v>
      </c>
      <c r="AM483" s="5" t="s">
        <v>736</v>
      </c>
      <c r="AN483" s="5"/>
      <c r="AQ483" s="5" t="s">
        <v>77</v>
      </c>
      <c r="AR483" s="5" t="s">
        <v>737</v>
      </c>
      <c r="AS483" s="5" t="s">
        <v>73</v>
      </c>
      <c r="AT483" s="5" t="s">
        <v>78</v>
      </c>
      <c r="AU483" s="10" t="s">
        <v>259</v>
      </c>
      <c r="AW483" s="5" t="s">
        <v>94</v>
      </c>
      <c r="AX483" s="10" t="str">
        <f aca="false">IFERROR(INDEX('full database 2024'!ar:ar, MATCH(A483, 'full database 2024'!b:b, 0)), "")</f>
        <v/>
      </c>
      <c r="AZ483" s="5" t="s">
        <v>2150</v>
      </c>
      <c r="BD483" s="9" t="n">
        <v>45596</v>
      </c>
      <c r="BE483" s="9" t="n">
        <v>45779</v>
      </c>
      <c r="BJ483" s="5" t="n">
        <v>2023</v>
      </c>
      <c r="BK483" s="11" t="n">
        <v>36526</v>
      </c>
    </row>
    <row r="484" customFormat="false" ht="16.5" hidden="false" customHeight="true" outlineLevel="0" collapsed="false">
      <c r="A484" s="5" t="s">
        <v>2151</v>
      </c>
      <c r="B484" s="5"/>
      <c r="C484" s="5"/>
      <c r="D484" s="5" t="s">
        <v>62</v>
      </c>
      <c r="E484" s="5" t="n">
        <v>15000</v>
      </c>
      <c r="F484" s="5" t="n">
        <v>15000</v>
      </c>
      <c r="G484" s="5" t="s">
        <v>732</v>
      </c>
      <c r="H484" s="6" t="n">
        <v>17400</v>
      </c>
      <c r="I484" s="6" t="n">
        <v>17400</v>
      </c>
      <c r="J484" s="7" t="n">
        <f aca="false">E484*1.07</f>
        <v>16050</v>
      </c>
      <c r="K484" s="7" t="n">
        <f aca="false">F484*1.07</f>
        <v>16050</v>
      </c>
      <c r="L484" s="5" t="s">
        <v>84</v>
      </c>
      <c r="M484" s="5" t="s">
        <v>65</v>
      </c>
      <c r="N484" s="5"/>
      <c r="O484" s="5"/>
      <c r="T484" s="5" t="s">
        <v>2152</v>
      </c>
      <c r="Y484" s="5" t="s">
        <v>73</v>
      </c>
      <c r="AI484" s="9"/>
      <c r="AJ484" s="5"/>
      <c r="AK484" s="5"/>
      <c r="AL484" s="5" t="n">
        <v>17400</v>
      </c>
      <c r="AM484" s="5" t="s">
        <v>736</v>
      </c>
      <c r="AN484" s="5"/>
      <c r="AQ484" s="5" t="s">
        <v>77</v>
      </c>
      <c r="AR484" s="5" t="s">
        <v>737</v>
      </c>
      <c r="AS484" s="5" t="s">
        <v>73</v>
      </c>
      <c r="AT484" s="5" t="s">
        <v>78</v>
      </c>
      <c r="AW484" s="5" t="s">
        <v>94</v>
      </c>
      <c r="AX484" s="10" t="str">
        <f aca="false">IFERROR(INDEX('full database 2024'!ar:ar, MATCH(A484, 'full database 2024'!b:b, 0)), "")</f>
        <v/>
      </c>
      <c r="AZ484" s="5" t="s">
        <v>399</v>
      </c>
      <c r="BD484" s="9" t="n">
        <v>45596</v>
      </c>
      <c r="BE484" s="9" t="n">
        <v>45779</v>
      </c>
      <c r="BJ484" s="5" t="n">
        <v>2020</v>
      </c>
      <c r="BK484" s="11"/>
    </row>
    <row r="485" customFormat="false" ht="16.5" hidden="false" customHeight="true" outlineLevel="0" collapsed="false">
      <c r="A485" s="5" t="s">
        <v>2153</v>
      </c>
      <c r="C485" s="5"/>
      <c r="D485" s="5" t="s">
        <v>62</v>
      </c>
      <c r="E485" s="5" t="n">
        <v>11590</v>
      </c>
      <c r="F485" s="5" t="n">
        <v>11590</v>
      </c>
      <c r="G485" s="5" t="s">
        <v>147</v>
      </c>
      <c r="H485" s="6" t="n">
        <v>12633</v>
      </c>
      <c r="I485" s="6" t="n">
        <v>12633</v>
      </c>
      <c r="J485" s="7" t="n">
        <v>11590</v>
      </c>
      <c r="K485" s="7" t="n">
        <v>11590</v>
      </c>
      <c r="L485" s="5" t="s">
        <v>84</v>
      </c>
      <c r="M485" s="5" t="s">
        <v>65</v>
      </c>
      <c r="T485" s="5"/>
      <c r="V485" s="5" t="s">
        <v>2154</v>
      </c>
      <c r="Y485" s="5" t="s">
        <v>73</v>
      </c>
      <c r="AI485" s="9" t="n">
        <v>43862</v>
      </c>
      <c r="AL485" s="5" t="n">
        <v>12633</v>
      </c>
      <c r="AM485" s="5" t="s">
        <v>153</v>
      </c>
      <c r="AN485" s="5"/>
      <c r="AQ485" s="5" t="s">
        <v>77</v>
      </c>
      <c r="AR485" s="5" t="s">
        <v>151</v>
      </c>
      <c r="AS485" s="5" t="s">
        <v>73</v>
      </c>
      <c r="AT485" s="5" t="s">
        <v>78</v>
      </c>
      <c r="AW485" s="5" t="s">
        <v>94</v>
      </c>
      <c r="AX485" s="10" t="str">
        <f aca="false">IFERROR(INDEX('full database 2024'!ar:ar, MATCH(A485, 'full database 2024'!b:b, 0)), "")</f>
        <v/>
      </c>
      <c r="AY485" s="5" t="s">
        <v>297</v>
      </c>
      <c r="AZ485" s="5" t="s">
        <v>188</v>
      </c>
      <c r="BD485" s="9" t="n">
        <v>45596</v>
      </c>
      <c r="BE485" s="9" t="n">
        <v>45596</v>
      </c>
      <c r="BJ485" s="5" t="n">
        <v>2020</v>
      </c>
    </row>
    <row r="486" customFormat="false" ht="16.5" hidden="false" customHeight="true" outlineLevel="0" collapsed="false">
      <c r="A486" s="5" t="s">
        <v>2155</v>
      </c>
      <c r="C486" s="5"/>
      <c r="D486" s="5" t="s">
        <v>62</v>
      </c>
      <c r="E486" s="5" t="n">
        <v>9210</v>
      </c>
      <c r="F486" s="5" t="n">
        <v>9210</v>
      </c>
      <c r="G486" s="5" t="s">
        <v>147</v>
      </c>
      <c r="H486" s="6" t="n">
        <v>10039</v>
      </c>
      <c r="I486" s="6" t="n">
        <v>10039</v>
      </c>
      <c r="J486" s="7" t="n">
        <v>9210</v>
      </c>
      <c r="K486" s="7" t="n">
        <v>9210</v>
      </c>
      <c r="L486" s="5" t="s">
        <v>84</v>
      </c>
      <c r="M486" s="5" t="s">
        <v>65</v>
      </c>
      <c r="N486" s="8" t="s">
        <v>2156</v>
      </c>
      <c r="V486" s="5" t="s">
        <v>2157</v>
      </c>
      <c r="X486" s="5" t="s">
        <v>151</v>
      </c>
      <c r="Y486" s="5" t="s">
        <v>73</v>
      </c>
      <c r="AI486" s="9" t="n">
        <v>45397</v>
      </c>
      <c r="AL486" s="5" t="n">
        <v>10039</v>
      </c>
      <c r="AM486" s="5" t="s">
        <v>153</v>
      </c>
      <c r="AN486" s="5"/>
      <c r="AQ486" s="5" t="s">
        <v>77</v>
      </c>
      <c r="AR486" s="5" t="s">
        <v>151</v>
      </c>
      <c r="AS486" s="5" t="s">
        <v>73</v>
      </c>
      <c r="AT486" s="5" t="s">
        <v>78</v>
      </c>
      <c r="AU486" s="10" t="s">
        <v>259</v>
      </c>
      <c r="AW486" s="5" t="s">
        <v>94</v>
      </c>
      <c r="AX486" s="10" t="str">
        <f aca="false">IFERROR(INDEX('full database 2024'!ar:ar, MATCH(A486, 'full database 2024'!b:b, 0)), "")</f>
        <v/>
      </c>
      <c r="AZ486" s="5" t="s">
        <v>129</v>
      </c>
      <c r="BD486" s="9" t="n">
        <v>45596</v>
      </c>
      <c r="BE486" s="9" t="n">
        <v>45779</v>
      </c>
      <c r="BJ486" s="5" t="n">
        <v>2024</v>
      </c>
      <c r="BK486" s="5" t="s">
        <v>1039</v>
      </c>
    </row>
    <row r="487" customFormat="false" ht="16.5" hidden="false" customHeight="true" outlineLevel="0" collapsed="false">
      <c r="A487" s="5" t="s">
        <v>2158</v>
      </c>
      <c r="C487" s="5"/>
      <c r="D487" s="5" t="s">
        <v>62</v>
      </c>
      <c r="E487" s="5" t="n">
        <v>8265</v>
      </c>
      <c r="F487" s="5" t="n">
        <v>8265</v>
      </c>
      <c r="G487" s="5" t="s">
        <v>147</v>
      </c>
      <c r="H487" s="6" t="n">
        <v>9009</v>
      </c>
      <c r="I487" s="6" t="n">
        <v>9009</v>
      </c>
      <c r="J487" s="7" t="n">
        <v>8265</v>
      </c>
      <c r="K487" s="7" t="n">
        <v>8265</v>
      </c>
      <c r="L487" s="5" t="s">
        <v>84</v>
      </c>
      <c r="M487" s="5" t="s">
        <v>65</v>
      </c>
      <c r="N487" s="5"/>
      <c r="V487" s="5" t="s">
        <v>2159</v>
      </c>
      <c r="X487" s="5"/>
      <c r="Y487" s="5" t="s">
        <v>73</v>
      </c>
      <c r="AI487" s="9" t="n">
        <v>45170</v>
      </c>
      <c r="AL487" s="5" t="n">
        <v>9009</v>
      </c>
      <c r="AM487" s="5" t="s">
        <v>153</v>
      </c>
      <c r="AN487" s="5"/>
      <c r="AQ487" s="5" t="s">
        <v>77</v>
      </c>
      <c r="AR487" s="5" t="s">
        <v>151</v>
      </c>
      <c r="AS487" s="5" t="s">
        <v>73</v>
      </c>
      <c r="AT487" s="5" t="s">
        <v>105</v>
      </c>
      <c r="AU487" s="10" t="s">
        <v>186</v>
      </c>
      <c r="AW487" s="5" t="s">
        <v>94</v>
      </c>
      <c r="AX487" s="10" t="str">
        <f aca="false">IFERROR(INDEX('full database 2024'!ar:ar, MATCH(A487, 'full database 2024'!b:b, 0)), "")</f>
        <v/>
      </c>
      <c r="AZ487" s="5" t="s">
        <v>188</v>
      </c>
      <c r="BD487" s="9" t="n">
        <v>45596</v>
      </c>
      <c r="BE487" s="9" t="n">
        <v>45596</v>
      </c>
      <c r="BJ487" s="5" t="n">
        <v>2023</v>
      </c>
      <c r="BK487" s="5"/>
    </row>
    <row r="488" customFormat="false" ht="16.5" hidden="false" customHeight="true" outlineLevel="0" collapsed="false">
      <c r="A488" s="5" t="s">
        <v>823</v>
      </c>
      <c r="C488" s="5"/>
      <c r="D488" s="5" t="s">
        <v>62</v>
      </c>
      <c r="E488" s="5" t="n">
        <v>7760</v>
      </c>
      <c r="F488" s="5" t="n">
        <v>7760</v>
      </c>
      <c r="G488" s="5" t="s">
        <v>147</v>
      </c>
      <c r="H488" s="6" t="n">
        <v>8458</v>
      </c>
      <c r="I488" s="6" t="n">
        <v>8458</v>
      </c>
      <c r="J488" s="7" t="n">
        <v>7760</v>
      </c>
      <c r="K488" s="7" t="n">
        <v>7760</v>
      </c>
      <c r="L488" s="5" t="s">
        <v>84</v>
      </c>
      <c r="M488" s="5" t="s">
        <v>65</v>
      </c>
      <c r="V488" s="5" t="s">
        <v>2160</v>
      </c>
      <c r="X488" s="5" t="s">
        <v>151</v>
      </c>
      <c r="Y488" s="5" t="s">
        <v>73</v>
      </c>
      <c r="AI488" s="9" t="n">
        <v>44105</v>
      </c>
      <c r="AL488" s="5" t="n">
        <v>8458</v>
      </c>
      <c r="AM488" s="5" t="s">
        <v>821</v>
      </c>
      <c r="AN488" s="5"/>
      <c r="AQ488" s="5" t="s">
        <v>77</v>
      </c>
      <c r="AR488" s="5" t="s">
        <v>151</v>
      </c>
      <c r="AS488" s="5" t="s">
        <v>73</v>
      </c>
      <c r="AT488" s="5" t="s">
        <v>71</v>
      </c>
      <c r="AW488" s="5" t="s">
        <v>94</v>
      </c>
      <c r="AX488" s="10" t="str">
        <f aca="false">IFERROR(INDEX('full database 2024'!ar:ar, MATCH(A488, 'full database 2024'!b:b, 0)), "")</f>
        <v/>
      </c>
      <c r="AZ488" s="5" t="s">
        <v>129</v>
      </c>
      <c r="BD488" s="9" t="n">
        <v>45596</v>
      </c>
      <c r="BE488" s="9" t="n">
        <v>45596</v>
      </c>
      <c r="BJ488" s="5" t="n">
        <v>2020</v>
      </c>
    </row>
    <row r="489" customFormat="false" ht="16.5" hidden="false" customHeight="true" outlineLevel="0" collapsed="false">
      <c r="A489" s="5" t="s">
        <v>2161</v>
      </c>
      <c r="B489" s="5" t="s">
        <v>920</v>
      </c>
      <c r="C489" s="5"/>
      <c r="D489" s="5" t="s">
        <v>62</v>
      </c>
      <c r="E489" s="5" t="n">
        <v>4624</v>
      </c>
      <c r="F489" s="5" t="n">
        <v>4624</v>
      </c>
      <c r="G489" s="5" t="s">
        <v>147</v>
      </c>
      <c r="H489" s="6" t="n">
        <v>5186</v>
      </c>
      <c r="I489" s="6" t="n">
        <v>5186</v>
      </c>
      <c r="J489" s="7" t="n">
        <v>4624</v>
      </c>
      <c r="K489" s="7" t="n">
        <v>4624</v>
      </c>
      <c r="L489" s="5" t="s">
        <v>84</v>
      </c>
      <c r="M489" s="5"/>
      <c r="N489" s="8" t="s">
        <v>2162</v>
      </c>
      <c r="O489" s="5" t="s">
        <v>2163</v>
      </c>
      <c r="V489" s="5"/>
      <c r="X489" s="5"/>
      <c r="Y489" s="5" t="s">
        <v>73</v>
      </c>
      <c r="AI489" s="9" t="n">
        <v>43831</v>
      </c>
      <c r="AL489" s="5" t="n">
        <v>5186</v>
      </c>
      <c r="AM489" s="5" t="s">
        <v>153</v>
      </c>
      <c r="AN489" s="5"/>
      <c r="AQ489" s="5" t="s">
        <v>77</v>
      </c>
      <c r="AR489" s="5" t="s">
        <v>151</v>
      </c>
      <c r="AS489" s="5" t="s">
        <v>73</v>
      </c>
      <c r="AT489" s="5" t="s">
        <v>78</v>
      </c>
      <c r="AW489" s="5" t="s">
        <v>94</v>
      </c>
      <c r="AX489" s="10" t="str">
        <f aca="false">IFERROR(INDEX('full database 2024'!ar:ar, MATCH(A489, 'full database 2024'!b:b, 0)), "")</f>
        <v/>
      </c>
      <c r="AZ489" s="5" t="s">
        <v>188</v>
      </c>
      <c r="BD489" s="9" t="n">
        <v>45671</v>
      </c>
      <c r="BE489" s="9" t="n">
        <v>45779</v>
      </c>
      <c r="BJ489" s="5" t="n">
        <v>2020</v>
      </c>
      <c r="BK489" s="5" t="s">
        <v>1177</v>
      </c>
    </row>
    <row r="490" customFormat="false" ht="16.5" hidden="false" customHeight="true" outlineLevel="0" collapsed="false">
      <c r="A490" s="5" t="s">
        <v>2164</v>
      </c>
      <c r="B490" s="5" t="s">
        <v>920</v>
      </c>
      <c r="C490" s="5"/>
      <c r="D490" s="5" t="s">
        <v>62</v>
      </c>
      <c r="E490" s="5" t="n">
        <v>1561</v>
      </c>
      <c r="F490" s="5" t="n">
        <v>1561</v>
      </c>
      <c r="G490" s="5" t="s">
        <v>147</v>
      </c>
      <c r="H490" s="6" t="n">
        <v>1746</v>
      </c>
      <c r="I490" s="6" t="n">
        <v>1746</v>
      </c>
      <c r="J490" s="7" t="n">
        <v>1561</v>
      </c>
      <c r="K490" s="7" t="n">
        <v>1561</v>
      </c>
      <c r="L490" s="5" t="s">
        <v>84</v>
      </c>
      <c r="N490" s="8" t="s">
        <v>2165</v>
      </c>
      <c r="O490" s="5" t="s">
        <v>2166</v>
      </c>
      <c r="Y490" s="5" t="s">
        <v>73</v>
      </c>
      <c r="AI490" s="9" t="n">
        <v>43831</v>
      </c>
      <c r="AL490" s="5" t="n">
        <v>1746</v>
      </c>
      <c r="AM490" s="5" t="s">
        <v>153</v>
      </c>
      <c r="AN490" s="5"/>
      <c r="AQ490" s="5" t="s">
        <v>77</v>
      </c>
      <c r="AR490" s="5" t="s">
        <v>151</v>
      </c>
      <c r="AS490" s="5" t="s">
        <v>73</v>
      </c>
      <c r="AT490" s="5" t="s">
        <v>78</v>
      </c>
      <c r="AW490" s="5" t="s">
        <v>94</v>
      </c>
      <c r="AX490" s="10" t="str">
        <f aca="false">IFERROR(INDEX('full database 2024'!ar:ar, MATCH(A490, 'full database 2024'!b:b, 0)), "")</f>
        <v/>
      </c>
      <c r="AZ490" s="5" t="s">
        <v>188</v>
      </c>
      <c r="BD490" s="9" t="n">
        <v>45671</v>
      </c>
      <c r="BE490" s="9" t="n">
        <v>45779</v>
      </c>
      <c r="BJ490" s="5" t="n">
        <v>2020</v>
      </c>
      <c r="BK490" s="5" t="s">
        <v>1177</v>
      </c>
    </row>
    <row r="491" customFormat="false" ht="16.5" hidden="false" customHeight="true" outlineLevel="0" collapsed="false">
      <c r="A491" s="5" t="s">
        <v>2167</v>
      </c>
      <c r="B491" s="5" t="s">
        <v>2168</v>
      </c>
      <c r="C491" s="5"/>
      <c r="D491" s="5" t="s">
        <v>62</v>
      </c>
      <c r="E491" s="5" t="n">
        <v>0</v>
      </c>
      <c r="F491" s="5" t="n">
        <v>0</v>
      </c>
      <c r="G491" s="5" t="s">
        <v>147</v>
      </c>
      <c r="H491" s="6" t="n">
        <v>0</v>
      </c>
      <c r="I491" s="6" t="n">
        <v>0</v>
      </c>
      <c r="J491" s="7" t="n">
        <v>0</v>
      </c>
      <c r="K491" s="7" t="n">
        <v>0</v>
      </c>
      <c r="L491" s="5" t="s">
        <v>84</v>
      </c>
      <c r="M491" s="5" t="s">
        <v>65</v>
      </c>
      <c r="N491" s="8" t="s">
        <v>2169</v>
      </c>
      <c r="O491" s="5" t="s">
        <v>223</v>
      </c>
      <c r="P491" s="5"/>
      <c r="Q491" s="5"/>
      <c r="R491" s="5" t="s">
        <v>2170</v>
      </c>
      <c r="T491" s="5" t="s">
        <v>2171</v>
      </c>
      <c r="U491" s="5" t="s">
        <v>70</v>
      </c>
      <c r="V491" s="5" t="s">
        <v>2172</v>
      </c>
      <c r="W491" s="5" t="s">
        <v>305</v>
      </c>
      <c r="X491" s="5" t="s">
        <v>160</v>
      </c>
      <c r="Y491" s="5" t="s">
        <v>73</v>
      </c>
      <c r="Z491" s="5" t="s">
        <v>70</v>
      </c>
      <c r="AD491" s="5" t="s">
        <v>2173</v>
      </c>
      <c r="AE491" s="5" t="s">
        <v>74</v>
      </c>
      <c r="AI491" s="9" t="n">
        <v>44562</v>
      </c>
      <c r="AJ491" s="5" t="n">
        <v>3</v>
      </c>
      <c r="AK491" s="5" t="s">
        <v>75</v>
      </c>
      <c r="AL491" s="5" t="n">
        <v>0</v>
      </c>
      <c r="AM491" s="5" t="s">
        <v>2174</v>
      </c>
      <c r="AN491" s="5"/>
      <c r="AO491" s="5" t="s">
        <v>230</v>
      </c>
      <c r="AQ491" s="5" t="s">
        <v>184</v>
      </c>
      <c r="AR491" s="5" t="s">
        <v>160</v>
      </c>
      <c r="AS491" s="5" t="s">
        <v>73</v>
      </c>
      <c r="AT491" s="5" t="s">
        <v>78</v>
      </c>
      <c r="AW491" s="5" t="s">
        <v>94</v>
      </c>
      <c r="AX491" s="10" t="str">
        <f aca="false">IFERROR(INDEX('full database 2024'!ar:ar, MATCH(A491, 'full database 2024'!b:b, 0)), "")</f>
        <v/>
      </c>
      <c r="AZ491" s="5" t="s">
        <v>129</v>
      </c>
      <c r="BD491" s="9" t="n">
        <v>45421</v>
      </c>
      <c r="BE491" s="9" t="n">
        <v>45441</v>
      </c>
      <c r="BI491" s="5" t="s">
        <v>81</v>
      </c>
      <c r="BJ491" s="5" t="n">
        <v>2022</v>
      </c>
      <c r="BK491" s="11" t="n">
        <v>45658</v>
      </c>
    </row>
    <row r="492" customFormat="false" ht="16.5" hidden="false" customHeight="true" outlineLevel="0" collapsed="false">
      <c r="A492" s="5" t="s">
        <v>2175</v>
      </c>
      <c r="B492" s="5" t="s">
        <v>2176</v>
      </c>
      <c r="C492" s="5"/>
      <c r="D492" s="5" t="s">
        <v>62</v>
      </c>
      <c r="E492" s="5" t="n">
        <v>0</v>
      </c>
      <c r="F492" s="5" t="n">
        <v>0</v>
      </c>
      <c r="G492" s="5" t="s">
        <v>147</v>
      </c>
      <c r="H492" s="6" t="n">
        <v>0</v>
      </c>
      <c r="I492" s="6" t="n">
        <v>0</v>
      </c>
      <c r="J492" s="7" t="n">
        <v>0</v>
      </c>
      <c r="K492" s="7" t="n">
        <v>0</v>
      </c>
      <c r="L492" s="5" t="s">
        <v>84</v>
      </c>
      <c r="M492" s="5" t="s">
        <v>65</v>
      </c>
      <c r="N492" s="8" t="s">
        <v>2177</v>
      </c>
      <c r="O492" s="5" t="s">
        <v>223</v>
      </c>
      <c r="P492" s="5"/>
      <c r="Q492" s="5"/>
      <c r="R492" s="5" t="s">
        <v>2170</v>
      </c>
      <c r="T492" s="5" t="s">
        <v>2178</v>
      </c>
      <c r="U492" s="5" t="s">
        <v>2179</v>
      </c>
      <c r="V492" s="5" t="s">
        <v>2180</v>
      </c>
      <c r="W492" s="5" t="s">
        <v>305</v>
      </c>
      <c r="X492" s="5" t="s">
        <v>160</v>
      </c>
      <c r="Y492" s="5" t="s">
        <v>73</v>
      </c>
      <c r="Z492" s="5" t="s">
        <v>70</v>
      </c>
      <c r="AC492" s="5" t="s">
        <v>2181</v>
      </c>
      <c r="AD492" s="5" t="s">
        <v>2182</v>
      </c>
      <c r="AE492" s="5" t="s">
        <v>74</v>
      </c>
      <c r="AI492" s="9" t="n">
        <v>45078</v>
      </c>
      <c r="AJ492" s="5" t="n">
        <v>3</v>
      </c>
      <c r="AK492" s="5" t="s">
        <v>75</v>
      </c>
      <c r="AL492" s="5" t="n">
        <v>0</v>
      </c>
      <c r="AM492" s="5" t="s">
        <v>2174</v>
      </c>
      <c r="AN492" s="5"/>
      <c r="AO492" s="5" t="s">
        <v>2183</v>
      </c>
      <c r="AQ492" s="5" t="s">
        <v>184</v>
      </c>
      <c r="AR492" s="5" t="s">
        <v>160</v>
      </c>
      <c r="AS492" s="5" t="s">
        <v>73</v>
      </c>
      <c r="AT492" s="5" t="s">
        <v>78</v>
      </c>
      <c r="AU492" s="10"/>
      <c r="AW492" s="5" t="s">
        <v>94</v>
      </c>
      <c r="AX492" s="25" t="s">
        <v>296</v>
      </c>
      <c r="AY492" s="5" t="s">
        <v>447</v>
      </c>
      <c r="AZ492" s="5" t="s">
        <v>639</v>
      </c>
      <c r="BD492" s="9" t="n">
        <v>45421</v>
      </c>
      <c r="BE492" s="9" t="n">
        <v>45441</v>
      </c>
      <c r="BI492" s="5" t="s">
        <v>81</v>
      </c>
      <c r="BJ492" s="5" t="n">
        <v>2023</v>
      </c>
      <c r="BK492" s="11" t="n">
        <v>46028</v>
      </c>
    </row>
    <row r="493" customFormat="false" ht="16.5" hidden="false" customHeight="true" outlineLevel="0" collapsed="false">
      <c r="A493" s="5" t="s">
        <v>2184</v>
      </c>
      <c r="B493" s="5" t="s">
        <v>2185</v>
      </c>
      <c r="C493" s="5"/>
      <c r="D493" s="5" t="s">
        <v>62</v>
      </c>
      <c r="E493" s="5" t="n">
        <v>0</v>
      </c>
      <c r="F493" s="5" t="n">
        <v>0</v>
      </c>
      <c r="G493" s="5" t="s">
        <v>147</v>
      </c>
      <c r="H493" s="6" t="n">
        <v>0</v>
      </c>
      <c r="I493" s="6" t="n">
        <v>0</v>
      </c>
      <c r="J493" s="7" t="n">
        <v>0</v>
      </c>
      <c r="K493" s="7" t="n">
        <v>0</v>
      </c>
      <c r="L493" s="5" t="s">
        <v>84</v>
      </c>
      <c r="M493" s="5" t="s">
        <v>65</v>
      </c>
      <c r="N493" s="8" t="s">
        <v>2186</v>
      </c>
      <c r="O493" s="5" t="s">
        <v>223</v>
      </c>
      <c r="P493" s="5"/>
      <c r="Q493" s="5"/>
      <c r="R493" s="5" t="s">
        <v>2170</v>
      </c>
      <c r="T493" s="5" t="s">
        <v>616</v>
      </c>
      <c r="U493" s="5" t="s">
        <v>70</v>
      </c>
      <c r="V493" s="5" t="s">
        <v>617</v>
      </c>
      <c r="W493" s="5" t="s">
        <v>102</v>
      </c>
      <c r="X493" s="5" t="s">
        <v>160</v>
      </c>
      <c r="Y493" s="5" t="s">
        <v>73</v>
      </c>
      <c r="Z493" s="5" t="s">
        <v>70</v>
      </c>
      <c r="AC493" s="5"/>
      <c r="AD493" s="5" t="s">
        <v>2187</v>
      </c>
      <c r="AE493" s="5" t="s">
        <v>74</v>
      </c>
      <c r="AI493" s="9" t="n">
        <v>44440</v>
      </c>
      <c r="AJ493" s="5" t="n">
        <v>4</v>
      </c>
      <c r="AK493" s="5" t="s">
        <v>75</v>
      </c>
      <c r="AL493" s="5" t="n">
        <v>0</v>
      </c>
      <c r="AM493" s="5" t="s">
        <v>1214</v>
      </c>
      <c r="AN493" s="5"/>
      <c r="AO493" s="5" t="s">
        <v>230</v>
      </c>
      <c r="AQ493" s="5" t="s">
        <v>1214</v>
      </c>
      <c r="AR493" s="5" t="s">
        <v>160</v>
      </c>
      <c r="AS493" s="5" t="s">
        <v>73</v>
      </c>
      <c r="AT493" s="5" t="s">
        <v>78</v>
      </c>
      <c r="AU493" s="10" t="s">
        <v>120</v>
      </c>
      <c r="AW493" s="5" t="s">
        <v>94</v>
      </c>
      <c r="AX493" s="10" t="str">
        <f aca="false">IFERROR(INDEX('full database 2024'!ar:ar, MATCH(A493, 'full database 2024'!b:b, 0)), "")</f>
        <v/>
      </c>
      <c r="AZ493" s="5" t="s">
        <v>525</v>
      </c>
      <c r="BD493" s="9" t="n">
        <v>45421</v>
      </c>
      <c r="BE493" s="9" t="n">
        <v>45441</v>
      </c>
      <c r="BI493" s="5" t="s">
        <v>81</v>
      </c>
      <c r="BJ493" s="5" t="n">
        <v>2021</v>
      </c>
      <c r="BK493" s="11" t="n">
        <v>45666</v>
      </c>
    </row>
    <row r="494" customFormat="false" ht="16.5" hidden="false" customHeight="true" outlineLevel="0" collapsed="false">
      <c r="A494" s="5" t="s">
        <v>2188</v>
      </c>
      <c r="B494" s="5" t="s">
        <v>2189</v>
      </c>
      <c r="C494" s="5"/>
      <c r="D494" s="5" t="s">
        <v>62</v>
      </c>
      <c r="E494" s="5" t="n">
        <v>0</v>
      </c>
      <c r="F494" s="5" t="n">
        <v>0</v>
      </c>
      <c r="G494" s="5" t="s">
        <v>132</v>
      </c>
      <c r="H494" s="6" t="n">
        <v>0</v>
      </c>
      <c r="I494" s="6" t="n">
        <v>0</v>
      </c>
      <c r="J494" s="7" t="n">
        <v>0</v>
      </c>
      <c r="K494" s="7" t="n">
        <v>0</v>
      </c>
      <c r="L494" s="5" t="s">
        <v>84</v>
      </c>
      <c r="M494" s="5" t="s">
        <v>65</v>
      </c>
      <c r="N494" s="8" t="s">
        <v>2190</v>
      </c>
      <c r="O494" s="5" t="s">
        <v>223</v>
      </c>
      <c r="P494" s="5"/>
      <c r="Q494" s="5"/>
      <c r="R494" s="5" t="s">
        <v>2170</v>
      </c>
      <c r="T494" s="5" t="s">
        <v>2191</v>
      </c>
      <c r="U494" s="5" t="s">
        <v>2192</v>
      </c>
      <c r="V494" s="5" t="s">
        <v>2193</v>
      </c>
      <c r="W494" s="5" t="s">
        <v>90</v>
      </c>
      <c r="X494" s="5" t="s">
        <v>139</v>
      </c>
      <c r="Y494" s="5" t="s">
        <v>73</v>
      </c>
      <c r="Z494" s="5" t="s">
        <v>70</v>
      </c>
      <c r="AC494" s="5" t="s">
        <v>2194</v>
      </c>
      <c r="AD494" s="5" t="s">
        <v>2195</v>
      </c>
      <c r="AE494" s="5" t="s">
        <v>74</v>
      </c>
      <c r="AI494" s="9" t="n">
        <v>44713</v>
      </c>
      <c r="AJ494" s="5" t="n">
        <v>3</v>
      </c>
      <c r="AK494" s="5" t="s">
        <v>75</v>
      </c>
      <c r="AL494" s="5" t="n">
        <v>0</v>
      </c>
      <c r="AM494" s="28" t="s">
        <v>1060</v>
      </c>
      <c r="AN494" s="5"/>
      <c r="AO494" s="5" t="s">
        <v>230</v>
      </c>
      <c r="AQ494" s="5" t="s">
        <v>77</v>
      </c>
      <c r="AR494" s="5" t="s">
        <v>143</v>
      </c>
      <c r="AS494" s="5" t="s">
        <v>73</v>
      </c>
      <c r="AT494" s="5" t="s">
        <v>78</v>
      </c>
      <c r="AW494" s="5" t="s">
        <v>94</v>
      </c>
      <c r="AX494" s="10" t="str">
        <f aca="false">IFERROR(INDEX('full database 2024'!ar:ar, MATCH(A494, 'full database 2024'!b:b, 0)), "")</f>
        <v/>
      </c>
      <c r="AZ494" s="5" t="s">
        <v>129</v>
      </c>
      <c r="BD494" s="9" t="n">
        <v>45421</v>
      </c>
      <c r="BE494" s="9" t="n">
        <v>45779</v>
      </c>
      <c r="BI494" s="5" t="s">
        <v>81</v>
      </c>
      <c r="BJ494" s="5" t="n">
        <v>2022</v>
      </c>
      <c r="BK494" s="11" t="n">
        <v>45663</v>
      </c>
    </row>
    <row r="495" customFormat="false" ht="16.5" hidden="false" customHeight="true" outlineLevel="0" collapsed="false">
      <c r="A495" s="5" t="s">
        <v>2196</v>
      </c>
      <c r="B495" s="5" t="s">
        <v>2197</v>
      </c>
      <c r="C495" s="5"/>
      <c r="D495" s="5" t="s">
        <v>62</v>
      </c>
      <c r="E495" s="5" t="n">
        <v>0</v>
      </c>
      <c r="F495" s="5" t="n">
        <v>0</v>
      </c>
      <c r="G495" s="5"/>
      <c r="H495" s="6" t="n">
        <v>0</v>
      </c>
      <c r="I495" s="6" t="n">
        <v>0</v>
      </c>
      <c r="J495" s="7"/>
      <c r="K495" s="7"/>
      <c r="L495" s="5" t="s">
        <v>84</v>
      </c>
      <c r="M495" s="5"/>
      <c r="N495" s="8" t="s">
        <v>2198</v>
      </c>
      <c r="O495" s="5" t="s">
        <v>2199</v>
      </c>
      <c r="P495" s="5"/>
      <c r="Q495" s="5"/>
      <c r="R495" s="5"/>
      <c r="T495" s="5" t="s">
        <v>2200</v>
      </c>
      <c r="U495" s="5"/>
      <c r="V495" s="5" t="s">
        <v>2201</v>
      </c>
      <c r="W495" s="5"/>
      <c r="X495" s="5" t="s">
        <v>385</v>
      </c>
      <c r="Y495" s="5" t="s">
        <v>73</v>
      </c>
      <c r="Z495" s="5"/>
      <c r="AC495" s="5"/>
      <c r="AD495" s="5"/>
      <c r="AE495" s="5"/>
      <c r="AI495" s="9" t="n">
        <v>44201</v>
      </c>
      <c r="AJ495" s="5"/>
      <c r="AK495" s="5"/>
      <c r="AL495" s="5" t="n">
        <v>0</v>
      </c>
      <c r="AM495" s="5" t="s">
        <v>2202</v>
      </c>
      <c r="AN495" s="5"/>
      <c r="AO495" s="5"/>
      <c r="AQ495" s="5" t="s">
        <v>77</v>
      </c>
      <c r="AR495" s="5" t="s">
        <v>385</v>
      </c>
      <c r="AS495" s="5" t="s">
        <v>73</v>
      </c>
      <c r="AT495" s="5" t="s">
        <v>78</v>
      </c>
      <c r="AW495" s="5" t="s">
        <v>94</v>
      </c>
      <c r="AX495" s="10" t="str">
        <f aca="false">IFERROR(INDEX('full database 2024'!ar:ar, MATCH(A495, 'full database 2024'!b:b, 0)), "")</f>
        <v/>
      </c>
      <c r="AZ495" s="5" t="s">
        <v>129</v>
      </c>
      <c r="BD495" s="9" t="n">
        <v>45671</v>
      </c>
      <c r="BE495" s="9" t="n">
        <v>45779</v>
      </c>
      <c r="BI495" s="5"/>
      <c r="BJ495" s="5" t="n">
        <v>2021</v>
      </c>
      <c r="BK495" s="11"/>
    </row>
    <row r="496" customFormat="false" ht="16.5" hidden="false" customHeight="true" outlineLevel="0" collapsed="false">
      <c r="A496" s="5" t="s">
        <v>2203</v>
      </c>
      <c r="B496" s="5" t="s">
        <v>2204</v>
      </c>
      <c r="C496" s="5"/>
      <c r="D496" s="5" t="s">
        <v>62</v>
      </c>
      <c r="E496" s="5" t="n">
        <v>0</v>
      </c>
      <c r="F496" s="5" t="n">
        <v>0</v>
      </c>
      <c r="H496" s="6" t="n">
        <v>0</v>
      </c>
      <c r="I496" s="6" t="n">
        <v>0</v>
      </c>
      <c r="J496" s="7"/>
      <c r="K496" s="7"/>
      <c r="L496" s="5" t="s">
        <v>84</v>
      </c>
      <c r="N496" s="8" t="s">
        <v>2205</v>
      </c>
      <c r="O496" s="5" t="s">
        <v>2206</v>
      </c>
      <c r="T496" s="5" t="s">
        <v>2207</v>
      </c>
      <c r="V496" s="5" t="s">
        <v>2208</v>
      </c>
      <c r="X496" s="5" t="s">
        <v>2209</v>
      </c>
      <c r="Y496" s="5" t="s">
        <v>73</v>
      </c>
      <c r="AI496" s="9" t="n">
        <v>44197</v>
      </c>
      <c r="AL496" s="5" t="n">
        <v>0</v>
      </c>
      <c r="AM496" s="5" t="s">
        <v>2210</v>
      </c>
      <c r="AN496" s="5"/>
      <c r="AQ496" s="5" t="s">
        <v>77</v>
      </c>
      <c r="AR496" s="5" t="s">
        <v>151</v>
      </c>
      <c r="AS496" s="5" t="s">
        <v>73</v>
      </c>
      <c r="AT496" s="5" t="s">
        <v>78</v>
      </c>
      <c r="AW496" s="5" t="s">
        <v>94</v>
      </c>
      <c r="AX496" s="10" t="str">
        <f aca="false">IFERROR(INDEX('full database 2024'!ar:ar, MATCH(A496, 'full database 2024'!b:b, 0)), "")</f>
        <v/>
      </c>
      <c r="AZ496" s="5" t="s">
        <v>639</v>
      </c>
      <c r="BD496" s="9" t="n">
        <v>45671</v>
      </c>
      <c r="BE496" s="9" t="n">
        <v>45779</v>
      </c>
      <c r="BJ496" s="5" t="n">
        <v>2021</v>
      </c>
    </row>
    <row r="497" customFormat="false" ht="16.5" hidden="false" customHeight="true" outlineLevel="0" collapsed="false">
      <c r="A497" s="5" t="s">
        <v>2211</v>
      </c>
      <c r="B497" s="5" t="s">
        <v>2212</v>
      </c>
      <c r="C497" s="5"/>
      <c r="D497" s="5" t="s">
        <v>62</v>
      </c>
      <c r="E497" s="5" t="n">
        <v>0</v>
      </c>
      <c r="F497" s="5" t="n">
        <v>0</v>
      </c>
      <c r="H497" s="6" t="n">
        <v>0</v>
      </c>
      <c r="I497" s="6" t="n">
        <v>0</v>
      </c>
      <c r="J497" s="7"/>
      <c r="K497" s="7"/>
      <c r="L497" s="5" t="s">
        <v>84</v>
      </c>
      <c r="N497" s="8" t="s">
        <v>2213</v>
      </c>
      <c r="O497" s="5" t="s">
        <v>2214</v>
      </c>
      <c r="T497" s="5"/>
      <c r="V497" s="5"/>
      <c r="X497" s="5"/>
      <c r="Y497" s="5" t="s">
        <v>73</v>
      </c>
      <c r="AI497" s="9" t="n">
        <v>44938</v>
      </c>
      <c r="AL497" s="5" t="n">
        <v>0</v>
      </c>
      <c r="AM497" s="5" t="s">
        <v>554</v>
      </c>
      <c r="AN497" s="5"/>
      <c r="AQ497" s="5" t="s">
        <v>77</v>
      </c>
      <c r="AR497" s="5" t="s">
        <v>553</v>
      </c>
      <c r="AS497" s="5" t="s">
        <v>73</v>
      </c>
      <c r="AT497" s="5" t="s">
        <v>105</v>
      </c>
      <c r="AU497" s="10" t="s">
        <v>106</v>
      </c>
      <c r="AW497" s="5" t="s">
        <v>94</v>
      </c>
      <c r="AX497" s="10" t="str">
        <f aca="false">IFERROR(INDEX('full database 2024'!ar:ar, MATCH(A497, 'full database 2024'!b:b, 0)), "")</f>
        <v/>
      </c>
      <c r="AY497" s="5" t="s">
        <v>297</v>
      </c>
      <c r="AZ497" s="5" t="s">
        <v>521</v>
      </c>
      <c r="BD497" s="9" t="n">
        <v>45671</v>
      </c>
      <c r="BE497" s="9" t="n">
        <v>45779</v>
      </c>
      <c r="BJ497" s="5" t="n">
        <v>2023</v>
      </c>
      <c r="BK497" s="5" t="s">
        <v>2215</v>
      </c>
    </row>
    <row r="498" customFormat="false" ht="16.5" hidden="false" customHeight="true" outlineLevel="0" collapsed="false">
      <c r="A498" s="5" t="s">
        <v>2216</v>
      </c>
      <c r="B498" s="5" t="s">
        <v>2217</v>
      </c>
      <c r="C498" s="5"/>
      <c r="D498" s="5" t="s">
        <v>62</v>
      </c>
      <c r="E498" s="5" t="n">
        <v>0</v>
      </c>
      <c r="F498" s="5" t="n">
        <v>0</v>
      </c>
      <c r="H498" s="6" t="n">
        <v>0</v>
      </c>
      <c r="I498" s="6" t="n">
        <v>0</v>
      </c>
      <c r="J498" s="7"/>
      <c r="K498" s="7"/>
      <c r="L498" s="5" t="s">
        <v>84</v>
      </c>
      <c r="N498" s="5"/>
      <c r="O498" s="5" t="s">
        <v>2218</v>
      </c>
      <c r="T498" s="5" t="s">
        <v>2219</v>
      </c>
      <c r="Y498" s="5" t="s">
        <v>73</v>
      </c>
      <c r="AI498" s="9" t="n">
        <v>43831</v>
      </c>
      <c r="AL498" s="5" t="n">
        <v>0</v>
      </c>
      <c r="AM498" s="5" t="s">
        <v>2220</v>
      </c>
      <c r="AN498" s="5"/>
      <c r="AQ498" s="5" t="s">
        <v>77</v>
      </c>
      <c r="AR498" s="5" t="s">
        <v>2221</v>
      </c>
      <c r="AS498" s="5" t="s">
        <v>73</v>
      </c>
      <c r="AT498" s="5" t="s">
        <v>78</v>
      </c>
      <c r="AW498" s="5" t="s">
        <v>94</v>
      </c>
      <c r="AX498" s="10" t="str">
        <f aca="false">IFERROR(INDEX('full database 2024'!ar:ar, MATCH(A498, 'full database 2024'!b:b, 0)), "")</f>
        <v/>
      </c>
      <c r="AZ498" s="5" t="s">
        <v>540</v>
      </c>
      <c r="BD498" s="9" t="n">
        <v>45671</v>
      </c>
      <c r="BE498" s="9" t="n">
        <v>45779</v>
      </c>
      <c r="BJ498" s="5" t="n">
        <v>2020</v>
      </c>
      <c r="BK498" s="5" t="s">
        <v>2222</v>
      </c>
    </row>
    <row r="499" customFormat="false" ht="16.5" hidden="false" customHeight="true" outlineLevel="0" collapsed="false">
      <c r="A499" s="5" t="s">
        <v>2223</v>
      </c>
      <c r="B499" s="5" t="s">
        <v>2224</v>
      </c>
      <c r="C499" s="5"/>
      <c r="D499" s="5" t="s">
        <v>62</v>
      </c>
      <c r="E499" s="16" t="n">
        <v>125000</v>
      </c>
      <c r="F499" s="16" t="n">
        <v>100000</v>
      </c>
      <c r="G499" s="5" t="s">
        <v>132</v>
      </c>
      <c r="H499" s="6" t="n">
        <v>0</v>
      </c>
      <c r="I499" s="6" t="n">
        <v>0</v>
      </c>
      <c r="J499" s="7" t="n">
        <f aca="false">E499*1.19</f>
        <v>148750</v>
      </c>
      <c r="K499" s="7" t="n">
        <f aca="false">F499*1.19</f>
        <v>119000</v>
      </c>
      <c r="L499" s="5" t="s">
        <v>84</v>
      </c>
      <c r="N499" s="8" t="s">
        <v>2225</v>
      </c>
      <c r="O499" s="5" t="s">
        <v>2226</v>
      </c>
      <c r="T499" s="5" t="s">
        <v>2227</v>
      </c>
      <c r="V499" s="5" t="s">
        <v>2228</v>
      </c>
      <c r="X499" s="5" t="s">
        <v>139</v>
      </c>
      <c r="Y499" s="5" t="s">
        <v>73</v>
      </c>
      <c r="AI499" s="9" t="n">
        <v>44469</v>
      </c>
      <c r="AL499" s="5" t="n">
        <v>0</v>
      </c>
      <c r="AM499" s="5" t="s">
        <v>140</v>
      </c>
      <c r="AN499" s="25" t="s">
        <v>1539</v>
      </c>
      <c r="AQ499" s="5" t="s">
        <v>77</v>
      </c>
      <c r="AR499" s="5" t="s">
        <v>143</v>
      </c>
      <c r="AS499" s="5" t="s">
        <v>73</v>
      </c>
      <c r="AT499" s="5" t="s">
        <v>78</v>
      </c>
      <c r="AW499" s="5" t="s">
        <v>201</v>
      </c>
      <c r="AX499" s="10" t="str">
        <f aca="false">IFERROR(INDEX('full database 2024'!ar:ar, MATCH(A499, 'full database 2024'!b:b, 0)), "")</f>
        <v/>
      </c>
      <c r="AZ499" s="5" t="s">
        <v>287</v>
      </c>
      <c r="BD499" s="9" t="n">
        <v>45671</v>
      </c>
      <c r="BE499" s="9" t="n">
        <v>45779</v>
      </c>
      <c r="BJ499" s="5" t="n">
        <v>2021</v>
      </c>
      <c r="BK499" s="5" t="s">
        <v>2229</v>
      </c>
    </row>
    <row r="500" customFormat="false" ht="16.5" hidden="false" customHeight="true" outlineLevel="0" collapsed="false">
      <c r="A500" s="5" t="s">
        <v>2230</v>
      </c>
      <c r="B500" s="5" t="s">
        <v>2231</v>
      </c>
      <c r="C500" s="5"/>
      <c r="D500" s="5" t="s">
        <v>62</v>
      </c>
      <c r="E500" s="16" t="n">
        <v>125000</v>
      </c>
      <c r="F500" s="16" t="n">
        <v>100000</v>
      </c>
      <c r="G500" s="5" t="s">
        <v>132</v>
      </c>
      <c r="H500" s="6" t="n">
        <v>0</v>
      </c>
      <c r="I500" s="6" t="n">
        <v>0</v>
      </c>
      <c r="J500" s="7" t="n">
        <f aca="false">E500*1.19</f>
        <v>148750</v>
      </c>
      <c r="K500" s="7" t="n">
        <f aca="false">F500*1.19</f>
        <v>119000</v>
      </c>
      <c r="L500" s="5" t="s">
        <v>84</v>
      </c>
      <c r="N500" s="8" t="s">
        <v>2232</v>
      </c>
      <c r="O500" s="5" t="s">
        <v>2233</v>
      </c>
      <c r="T500" s="5" t="s">
        <v>2234</v>
      </c>
      <c r="V500" s="5" t="s">
        <v>2235</v>
      </c>
      <c r="X500" s="5" t="s">
        <v>139</v>
      </c>
      <c r="Y500" s="5" t="s">
        <v>73</v>
      </c>
      <c r="AI500" s="9" t="n">
        <v>44104</v>
      </c>
      <c r="AL500" s="5" t="n">
        <v>0</v>
      </c>
      <c r="AM500" s="5" t="s">
        <v>140</v>
      </c>
      <c r="AN500" s="5" t="s">
        <v>141</v>
      </c>
      <c r="AQ500" s="5" t="s">
        <v>77</v>
      </c>
      <c r="AR500" s="5" t="s">
        <v>143</v>
      </c>
      <c r="AS500" s="5" t="s">
        <v>73</v>
      </c>
      <c r="AT500" s="5" t="s">
        <v>78</v>
      </c>
      <c r="AW500" s="5" t="s">
        <v>201</v>
      </c>
      <c r="AX500" s="10" t="str">
        <f aca="false">IFERROR(INDEX('full database 2024'!ar:ar, MATCH(A500, 'full database 2024'!b:b, 0)), "")</f>
        <v/>
      </c>
      <c r="AZ500" s="5" t="s">
        <v>287</v>
      </c>
      <c r="BD500" s="9" t="n">
        <v>45671</v>
      </c>
      <c r="BE500" s="9" t="n">
        <v>45779</v>
      </c>
      <c r="BJ500" s="5" t="n">
        <v>2020</v>
      </c>
      <c r="BK500" s="5" t="s">
        <v>2236</v>
      </c>
    </row>
    <row r="501" customFormat="false" ht="16.5" hidden="false" customHeight="true" outlineLevel="0" collapsed="false">
      <c r="A501" s="5" t="s">
        <v>2237</v>
      </c>
      <c r="B501" s="5" t="s">
        <v>2238</v>
      </c>
      <c r="C501" s="5"/>
      <c r="D501" s="5" t="s">
        <v>62</v>
      </c>
      <c r="E501" s="5" t="n">
        <v>0</v>
      </c>
      <c r="F501" s="5" t="n">
        <v>0</v>
      </c>
      <c r="G501" s="5"/>
      <c r="H501" s="6" t="n">
        <v>0</v>
      </c>
      <c r="I501" s="6" t="n">
        <v>0</v>
      </c>
      <c r="J501" s="7"/>
      <c r="K501" s="7"/>
      <c r="L501" s="5" t="s">
        <v>84</v>
      </c>
      <c r="N501" s="8" t="s">
        <v>2239</v>
      </c>
      <c r="O501" s="5" t="s">
        <v>2240</v>
      </c>
      <c r="T501" s="5" t="s">
        <v>2241</v>
      </c>
      <c r="V501" s="5" t="s">
        <v>2242</v>
      </c>
      <c r="X501" s="5" t="s">
        <v>2243</v>
      </c>
      <c r="Y501" s="5" t="s">
        <v>73</v>
      </c>
      <c r="AI501" s="9" t="n">
        <v>43836</v>
      </c>
      <c r="AL501" s="5" t="n">
        <v>0</v>
      </c>
      <c r="AM501" s="5" t="s">
        <v>2244</v>
      </c>
      <c r="AN501" s="5"/>
      <c r="AQ501" s="5" t="s">
        <v>77</v>
      </c>
      <c r="AR501" s="5" t="s">
        <v>2243</v>
      </c>
      <c r="AS501" s="5" t="s">
        <v>73</v>
      </c>
      <c r="AT501" s="5" t="s">
        <v>78</v>
      </c>
      <c r="AW501" s="5" t="s">
        <v>94</v>
      </c>
      <c r="AX501" s="10" t="str">
        <f aca="false">IFERROR(INDEX('full database 2024'!ar:ar, MATCH(A501, 'full database 2024'!b:b, 0)), "")</f>
        <v/>
      </c>
      <c r="AZ501" s="5" t="s">
        <v>129</v>
      </c>
      <c r="BD501" s="9" t="n">
        <v>45671</v>
      </c>
      <c r="BE501" s="9" t="n">
        <v>45779</v>
      </c>
      <c r="BJ501" s="5" t="n">
        <v>2020</v>
      </c>
      <c r="BK501" s="5"/>
    </row>
    <row r="502" customFormat="false" ht="16.5" hidden="false" customHeight="true" outlineLevel="0" collapsed="false">
      <c r="A502" s="5" t="s">
        <v>2245</v>
      </c>
      <c r="B502" s="5" t="s">
        <v>2246</v>
      </c>
      <c r="C502" s="5"/>
      <c r="D502" s="5" t="s">
        <v>62</v>
      </c>
      <c r="E502" s="5" t="n">
        <v>0</v>
      </c>
      <c r="F502" s="5" t="n">
        <v>0</v>
      </c>
      <c r="G502" s="5" t="s">
        <v>147</v>
      </c>
      <c r="H502" s="6" t="n">
        <v>0</v>
      </c>
      <c r="I502" s="6" t="n">
        <v>0</v>
      </c>
      <c r="J502" s="7" t="n">
        <v>0</v>
      </c>
      <c r="K502" s="7" t="n">
        <v>0</v>
      </c>
      <c r="L502" s="5" t="s">
        <v>84</v>
      </c>
      <c r="N502" s="8" t="s">
        <v>2247</v>
      </c>
      <c r="O502" s="5" t="s">
        <v>2248</v>
      </c>
      <c r="T502" s="5" t="s">
        <v>2249</v>
      </c>
      <c r="V502" s="5"/>
      <c r="X502" s="5" t="s">
        <v>333</v>
      </c>
      <c r="Y502" s="5" t="s">
        <v>73</v>
      </c>
      <c r="AI502" s="9" t="n">
        <v>44366</v>
      </c>
      <c r="AL502" s="5" t="n">
        <v>0</v>
      </c>
      <c r="AM502" s="5" t="s">
        <v>459</v>
      </c>
      <c r="AN502" s="5"/>
      <c r="AQ502" s="5" t="s">
        <v>77</v>
      </c>
      <c r="AR502" s="5" t="s">
        <v>333</v>
      </c>
      <c r="AS502" s="5" t="s">
        <v>73</v>
      </c>
      <c r="AT502" s="5" t="s">
        <v>78</v>
      </c>
      <c r="AW502" s="5" t="s">
        <v>94</v>
      </c>
      <c r="AX502" s="10" t="str">
        <f aca="false">IFERROR(INDEX('full database 2024'!ar:ar, MATCH(A502, 'full database 2024'!b:b, 0)), "")</f>
        <v/>
      </c>
      <c r="AY502" s="5" t="s">
        <v>447</v>
      </c>
      <c r="AZ502" s="5" t="s">
        <v>2250</v>
      </c>
      <c r="BD502" s="9" t="n">
        <v>45671</v>
      </c>
      <c r="BE502" s="9" t="n">
        <v>45779</v>
      </c>
      <c r="BJ502" s="5" t="n">
        <v>2021</v>
      </c>
      <c r="BK502" s="5" t="s">
        <v>2251</v>
      </c>
    </row>
    <row r="503" customFormat="false" ht="16.5" hidden="false" customHeight="true" outlineLevel="0" collapsed="false">
      <c r="A503" s="5" t="s">
        <v>2252</v>
      </c>
      <c r="B503" s="5" t="s">
        <v>2253</v>
      </c>
      <c r="C503" s="5"/>
      <c r="D503" s="5" t="s">
        <v>62</v>
      </c>
      <c r="E503" s="5" t="n">
        <v>0</v>
      </c>
      <c r="F503" s="5" t="n">
        <v>0</v>
      </c>
      <c r="G503" s="5" t="s">
        <v>147</v>
      </c>
      <c r="H503" s="6" t="n">
        <v>0</v>
      </c>
      <c r="I503" s="6" t="n">
        <v>0</v>
      </c>
      <c r="J503" s="7" t="n">
        <v>0</v>
      </c>
      <c r="K503" s="7" t="n">
        <v>0</v>
      </c>
      <c r="L503" s="5" t="s">
        <v>84</v>
      </c>
      <c r="N503" s="8" t="s">
        <v>2254</v>
      </c>
      <c r="O503" s="5" t="s">
        <v>2255</v>
      </c>
      <c r="T503" s="5"/>
      <c r="X503" s="5"/>
      <c r="Y503" s="5" t="s">
        <v>73</v>
      </c>
      <c r="AI503" s="9" t="n">
        <v>43922</v>
      </c>
      <c r="AL503" s="5" t="n">
        <v>0</v>
      </c>
      <c r="AM503" s="5" t="s">
        <v>459</v>
      </c>
      <c r="AN503" s="5"/>
      <c r="AQ503" s="5" t="s">
        <v>77</v>
      </c>
      <c r="AR503" s="5" t="s">
        <v>333</v>
      </c>
      <c r="AS503" s="5" t="s">
        <v>73</v>
      </c>
      <c r="AT503" s="5" t="s">
        <v>78</v>
      </c>
      <c r="AW503" s="5" t="s">
        <v>94</v>
      </c>
      <c r="AX503" s="10" t="str">
        <f aca="false">IFERROR(INDEX('full database 2024'!ar:ar, MATCH(A503, 'full database 2024'!b:b, 0)), "")</f>
        <v/>
      </c>
      <c r="AZ503" s="5" t="s">
        <v>129</v>
      </c>
      <c r="BD503" s="9" t="n">
        <v>45671</v>
      </c>
      <c r="BE503" s="9" t="n">
        <v>45779</v>
      </c>
      <c r="BJ503" s="5" t="n">
        <v>2020</v>
      </c>
      <c r="BK503" s="5" t="s">
        <v>2256</v>
      </c>
    </row>
    <row r="504" customFormat="false" ht="16.5" hidden="false" customHeight="true" outlineLevel="0" collapsed="false">
      <c r="A504" s="5" t="s">
        <v>2257</v>
      </c>
      <c r="B504" s="5" t="s">
        <v>2258</v>
      </c>
      <c r="C504" s="5"/>
      <c r="D504" s="5" t="s">
        <v>62</v>
      </c>
      <c r="E504" s="5" t="n">
        <v>0</v>
      </c>
      <c r="F504" s="5" t="n">
        <v>0</v>
      </c>
      <c r="G504" s="5" t="s">
        <v>147</v>
      </c>
      <c r="H504" s="6" t="n">
        <v>0</v>
      </c>
      <c r="I504" s="6" t="n">
        <v>0</v>
      </c>
      <c r="J504" s="7" t="n">
        <v>0</v>
      </c>
      <c r="K504" s="7" t="n">
        <v>0</v>
      </c>
      <c r="L504" s="5" t="s">
        <v>84</v>
      </c>
      <c r="N504" s="8" t="s">
        <v>2259</v>
      </c>
      <c r="O504" s="5" t="s">
        <v>2260</v>
      </c>
      <c r="Y504" s="5" t="s">
        <v>73</v>
      </c>
      <c r="AI504" s="9" t="n">
        <v>43862</v>
      </c>
      <c r="AL504" s="5" t="n">
        <v>0</v>
      </c>
      <c r="AM504" s="5" t="s">
        <v>459</v>
      </c>
      <c r="AN504" s="5"/>
      <c r="AQ504" s="5" t="s">
        <v>77</v>
      </c>
      <c r="AR504" s="5" t="s">
        <v>333</v>
      </c>
      <c r="AS504" s="5" t="s">
        <v>73</v>
      </c>
      <c r="AT504" s="5" t="s">
        <v>78</v>
      </c>
      <c r="AW504" s="5" t="s">
        <v>94</v>
      </c>
      <c r="AX504" s="10" t="str">
        <f aca="false">IFERROR(INDEX('full database 2024'!ar:ar, MATCH(A504, 'full database 2024'!b:b, 0)), "")</f>
        <v/>
      </c>
      <c r="AZ504" s="5" t="s">
        <v>188</v>
      </c>
      <c r="BD504" s="9" t="n">
        <v>45671</v>
      </c>
      <c r="BE504" s="9" t="n">
        <v>45779</v>
      </c>
      <c r="BJ504" s="5" t="n">
        <v>2020</v>
      </c>
      <c r="BK504" s="5" t="s">
        <v>2261</v>
      </c>
    </row>
    <row r="505" customFormat="false" ht="16.5" hidden="false" customHeight="true" outlineLevel="0" collapsed="false">
      <c r="A505" s="5" t="s">
        <v>2262</v>
      </c>
      <c r="B505" s="5" t="s">
        <v>2263</v>
      </c>
      <c r="C505" s="5"/>
      <c r="D505" s="5" t="s">
        <v>62</v>
      </c>
      <c r="E505" s="5" t="n">
        <v>0</v>
      </c>
      <c r="F505" s="5" t="n">
        <v>0</v>
      </c>
      <c r="G505" s="5" t="s">
        <v>147</v>
      </c>
      <c r="H505" s="6" t="n">
        <v>0</v>
      </c>
      <c r="I505" s="6" t="n">
        <v>0</v>
      </c>
      <c r="J505" s="7" t="n">
        <v>0</v>
      </c>
      <c r="K505" s="7" t="n">
        <v>0</v>
      </c>
      <c r="L505" s="5" t="s">
        <v>84</v>
      </c>
      <c r="N505" s="8" t="s">
        <v>2264</v>
      </c>
      <c r="O505" s="5" t="s">
        <v>2265</v>
      </c>
      <c r="Y505" s="5" t="s">
        <v>73</v>
      </c>
      <c r="AI505" s="9" t="n">
        <v>44197</v>
      </c>
      <c r="AL505" s="5" t="n">
        <v>0</v>
      </c>
      <c r="AM505" s="5" t="s">
        <v>459</v>
      </c>
      <c r="AN505" s="5"/>
      <c r="AQ505" s="5" t="s">
        <v>77</v>
      </c>
      <c r="AR505" s="5" t="s">
        <v>333</v>
      </c>
      <c r="AS505" s="5" t="s">
        <v>73</v>
      </c>
      <c r="AT505" s="5" t="s">
        <v>78</v>
      </c>
      <c r="AW505" s="5" t="s">
        <v>94</v>
      </c>
      <c r="AX505" s="10" t="str">
        <f aca="false">IFERROR(INDEX('full database 2024'!ar:ar, MATCH(A505, 'full database 2024'!b:b, 0)), "")</f>
        <v/>
      </c>
      <c r="AZ505" s="5" t="s">
        <v>399</v>
      </c>
      <c r="BD505" s="9" t="n">
        <v>45671</v>
      </c>
      <c r="BE505" s="9" t="n">
        <v>45779</v>
      </c>
      <c r="BJ505" s="5" t="n">
        <v>2021</v>
      </c>
      <c r="BK505" s="5" t="s">
        <v>2266</v>
      </c>
    </row>
    <row r="506" customFormat="false" ht="16.5" hidden="false" customHeight="true" outlineLevel="0" collapsed="false">
      <c r="A506" s="5" t="s">
        <v>2267</v>
      </c>
      <c r="B506" s="5" t="s">
        <v>2268</v>
      </c>
      <c r="C506" s="5"/>
      <c r="D506" s="5" t="s">
        <v>62</v>
      </c>
      <c r="E506" s="5" t="n">
        <v>0</v>
      </c>
      <c r="F506" s="5" t="n">
        <v>0</v>
      </c>
      <c r="G506" s="5"/>
      <c r="H506" s="6" t="n">
        <v>0</v>
      </c>
      <c r="I506" s="6" t="n">
        <v>0</v>
      </c>
      <c r="J506" s="7"/>
      <c r="K506" s="7"/>
      <c r="L506" s="5" t="s">
        <v>84</v>
      </c>
      <c r="N506" s="8" t="s">
        <v>2269</v>
      </c>
      <c r="O506" s="5" t="s">
        <v>2270</v>
      </c>
      <c r="V506" s="5" t="s">
        <v>2271</v>
      </c>
      <c r="X506" s="5" t="s">
        <v>553</v>
      </c>
      <c r="Y506" s="5" t="s">
        <v>73</v>
      </c>
      <c r="AI506" s="9" t="n">
        <v>44934</v>
      </c>
      <c r="AL506" s="5" t="n">
        <v>0</v>
      </c>
      <c r="AM506" s="5" t="s">
        <v>554</v>
      </c>
      <c r="AN506" s="5"/>
      <c r="AQ506" s="5" t="s">
        <v>77</v>
      </c>
      <c r="AR506" s="5" t="s">
        <v>553</v>
      </c>
      <c r="AS506" s="5" t="s">
        <v>73</v>
      </c>
      <c r="AT506" s="5" t="s">
        <v>78</v>
      </c>
      <c r="AW506" s="5" t="s">
        <v>94</v>
      </c>
      <c r="AX506" s="10" t="str">
        <f aca="false">IFERROR(INDEX('full database 2024'!ar:ar, MATCH(A506, 'full database 2024'!b:b, 0)), "")</f>
        <v/>
      </c>
      <c r="AZ506" s="5" t="s">
        <v>525</v>
      </c>
      <c r="BD506" s="9" t="n">
        <v>45671</v>
      </c>
      <c r="BE506" s="9" t="n">
        <v>45779</v>
      </c>
      <c r="BJ506" s="5" t="n">
        <v>2023</v>
      </c>
      <c r="BK506" s="5" t="s">
        <v>2272</v>
      </c>
    </row>
    <row r="507" customFormat="false" ht="16.5" hidden="false" customHeight="true" outlineLevel="0" collapsed="false">
      <c r="A507" s="5" t="s">
        <v>2273</v>
      </c>
      <c r="B507" s="5" t="s">
        <v>2274</v>
      </c>
      <c r="C507" s="5"/>
      <c r="D507" s="5" t="s">
        <v>62</v>
      </c>
      <c r="E507" s="5" t="n">
        <v>0</v>
      </c>
      <c r="F507" s="5" t="n">
        <v>0</v>
      </c>
      <c r="H507" s="6" t="n">
        <v>0</v>
      </c>
      <c r="I507" s="6" t="n">
        <v>0</v>
      </c>
      <c r="J507" s="7"/>
      <c r="K507" s="7"/>
      <c r="L507" s="5" t="s">
        <v>84</v>
      </c>
      <c r="N507" s="8" t="s">
        <v>2275</v>
      </c>
      <c r="O507" s="5" t="s">
        <v>2276</v>
      </c>
      <c r="V507" s="5" t="s">
        <v>2277</v>
      </c>
      <c r="X507" s="5" t="s">
        <v>151</v>
      </c>
      <c r="Y507" s="5" t="s">
        <v>73</v>
      </c>
      <c r="AI507" s="9" t="n">
        <v>44470</v>
      </c>
      <c r="AL507" s="5" t="n">
        <v>0</v>
      </c>
      <c r="AM507" s="5" t="s">
        <v>2278</v>
      </c>
      <c r="AN507" s="5"/>
      <c r="AQ507" s="5" t="s">
        <v>2279</v>
      </c>
      <c r="AR507" s="5" t="s">
        <v>151</v>
      </c>
      <c r="AS507" s="5" t="s">
        <v>73</v>
      </c>
      <c r="AT507" s="5" t="s">
        <v>105</v>
      </c>
      <c r="AU507" s="5" t="s">
        <v>106</v>
      </c>
      <c r="AV507" s="5"/>
      <c r="AW507" s="5" t="s">
        <v>94</v>
      </c>
      <c r="AX507" s="10" t="str">
        <f aca="false">IFERROR(INDEX('full database 2024'!ar:ar, MATCH(A507, 'full database 2024'!b:b, 0)), "")</f>
        <v/>
      </c>
      <c r="AZ507" s="5" t="s">
        <v>521</v>
      </c>
      <c r="BD507" s="9" t="n">
        <v>45671</v>
      </c>
      <c r="BE507" s="9" t="n">
        <v>45779</v>
      </c>
      <c r="BJ507" s="5" t="n">
        <v>2021</v>
      </c>
      <c r="BK507" s="5" t="s">
        <v>1089</v>
      </c>
    </row>
    <row r="508" customFormat="false" ht="16.5" hidden="false" customHeight="true" outlineLevel="0" collapsed="false">
      <c r="A508" s="5" t="s">
        <v>2280</v>
      </c>
      <c r="B508" s="5" t="s">
        <v>2281</v>
      </c>
      <c r="C508" s="5"/>
      <c r="D508" s="5" t="s">
        <v>62</v>
      </c>
      <c r="E508" s="16" t="n">
        <v>125000</v>
      </c>
      <c r="F508" s="16" t="n">
        <v>100000</v>
      </c>
      <c r="G508" s="5" t="s">
        <v>132</v>
      </c>
      <c r="H508" s="6" t="n">
        <v>0</v>
      </c>
      <c r="I508" s="6" t="n">
        <v>0</v>
      </c>
      <c r="J508" s="7" t="n">
        <f aca="false">E508*1.19</f>
        <v>148750</v>
      </c>
      <c r="K508" s="7" t="n">
        <f aca="false">F508*1.19</f>
        <v>119000</v>
      </c>
      <c r="L508" s="5" t="s">
        <v>84</v>
      </c>
      <c r="N508" s="8" t="s">
        <v>2282</v>
      </c>
      <c r="O508" s="5" t="s">
        <v>2283</v>
      </c>
      <c r="T508" s="5" t="s">
        <v>2284</v>
      </c>
      <c r="V508" s="5" t="s">
        <v>1139</v>
      </c>
      <c r="X508" s="5" t="s">
        <v>139</v>
      </c>
      <c r="Y508" s="5" t="s">
        <v>73</v>
      </c>
      <c r="AI508" s="9" t="n">
        <v>44104</v>
      </c>
      <c r="AL508" s="5" t="n">
        <v>0</v>
      </c>
      <c r="AM508" s="5" t="s">
        <v>140</v>
      </c>
      <c r="AN508" s="5" t="s">
        <v>141</v>
      </c>
      <c r="AQ508" s="5" t="s">
        <v>77</v>
      </c>
      <c r="AR508" s="5" t="s">
        <v>143</v>
      </c>
      <c r="AS508" s="5" t="s">
        <v>73</v>
      </c>
      <c r="AT508" s="5" t="s">
        <v>105</v>
      </c>
      <c r="AU508" s="10" t="s">
        <v>106</v>
      </c>
      <c r="AW508" s="5" t="s">
        <v>201</v>
      </c>
      <c r="AX508" s="10" t="str">
        <f aca="false">IFERROR(INDEX('full database 2024'!ar:ar, MATCH(A508, 'full database 2024'!b:b, 0)), "")</f>
        <v/>
      </c>
      <c r="AZ508" s="5" t="s">
        <v>540</v>
      </c>
      <c r="BD508" s="9" t="n">
        <v>45671</v>
      </c>
      <c r="BE508" s="9" t="n">
        <v>45779</v>
      </c>
      <c r="BJ508" s="5" t="n">
        <v>2020</v>
      </c>
      <c r="BK508" s="5" t="s">
        <v>2285</v>
      </c>
    </row>
    <row r="509" customFormat="false" ht="16.5" hidden="false" customHeight="true" outlineLevel="0" collapsed="false">
      <c r="A509" s="5" t="s">
        <v>2286</v>
      </c>
      <c r="B509" s="5" t="s">
        <v>2287</v>
      </c>
      <c r="C509" s="5"/>
      <c r="D509" s="5" t="s">
        <v>62</v>
      </c>
      <c r="E509" s="5" t="n">
        <v>0</v>
      </c>
      <c r="F509" s="5" t="n">
        <v>0</v>
      </c>
      <c r="G509" s="5"/>
      <c r="H509" s="6" t="n">
        <v>0</v>
      </c>
      <c r="I509" s="6" t="n">
        <v>0</v>
      </c>
      <c r="J509" s="7"/>
      <c r="K509" s="7"/>
      <c r="L509" s="5" t="s">
        <v>84</v>
      </c>
      <c r="N509" s="8" t="s">
        <v>2288</v>
      </c>
      <c r="O509" s="5" t="s">
        <v>2289</v>
      </c>
      <c r="T509" s="5"/>
      <c r="V509" s="5"/>
      <c r="X509" s="5"/>
      <c r="Y509" s="5" t="s">
        <v>73</v>
      </c>
      <c r="AI509" s="9" t="n">
        <v>44929</v>
      </c>
      <c r="AL509" s="5" t="n">
        <v>0</v>
      </c>
      <c r="AM509" s="5" t="s">
        <v>554</v>
      </c>
      <c r="AN509" s="5"/>
      <c r="AQ509" s="5" t="s">
        <v>77</v>
      </c>
      <c r="AR509" s="5" t="s">
        <v>553</v>
      </c>
      <c r="AS509" s="5" t="s">
        <v>73</v>
      </c>
      <c r="AT509" s="5" t="s">
        <v>374</v>
      </c>
      <c r="AW509" s="5" t="s">
        <v>94</v>
      </c>
      <c r="AX509" s="10" t="str">
        <f aca="false">IFERROR(INDEX('full database 2024'!ar:ar, MATCH(A509, 'full database 2024'!b:b, 0)), "")</f>
        <v/>
      </c>
      <c r="AZ509" s="5" t="s">
        <v>121</v>
      </c>
      <c r="BD509" s="9" t="n">
        <v>45671</v>
      </c>
      <c r="BE509" s="9" t="n">
        <v>45779</v>
      </c>
      <c r="BJ509" s="5" t="n">
        <v>2023</v>
      </c>
      <c r="BK509" s="5"/>
    </row>
    <row r="510" customFormat="false" ht="16.5" hidden="false" customHeight="true" outlineLevel="0" collapsed="false">
      <c r="A510" s="5" t="s">
        <v>2290</v>
      </c>
      <c r="B510" s="5" t="s">
        <v>2291</v>
      </c>
      <c r="C510" s="5"/>
      <c r="D510" s="5" t="s">
        <v>62</v>
      </c>
      <c r="E510" s="5" t="n">
        <v>0</v>
      </c>
      <c r="F510" s="5" t="n">
        <v>0</v>
      </c>
      <c r="G510" s="5"/>
      <c r="H510" s="6" t="n">
        <v>0</v>
      </c>
      <c r="I510" s="6" t="n">
        <v>0</v>
      </c>
      <c r="J510" s="7"/>
      <c r="K510" s="7"/>
      <c r="L510" s="5" t="s">
        <v>84</v>
      </c>
      <c r="N510" s="8" t="s">
        <v>2292</v>
      </c>
      <c r="O510" s="5" t="s">
        <v>2293</v>
      </c>
      <c r="T510" s="5" t="s">
        <v>2294</v>
      </c>
      <c r="V510" s="5"/>
      <c r="X510" s="5"/>
      <c r="Y510" s="5" t="s">
        <v>73</v>
      </c>
      <c r="AI510" s="9" t="n">
        <v>44104</v>
      </c>
      <c r="AL510" s="5" t="n">
        <v>0</v>
      </c>
      <c r="AM510" s="5" t="s">
        <v>2202</v>
      </c>
      <c r="AN510" s="5"/>
      <c r="AQ510" s="5" t="s">
        <v>77</v>
      </c>
      <c r="AR510" s="5" t="s">
        <v>385</v>
      </c>
      <c r="AS510" s="5" t="s">
        <v>73</v>
      </c>
      <c r="AT510" s="5" t="s">
        <v>78</v>
      </c>
      <c r="AW510" s="5" t="s">
        <v>94</v>
      </c>
      <c r="AX510" s="10" t="str">
        <f aca="false">IFERROR(INDEX('full database 2024'!ar:ar, MATCH(A510, 'full database 2024'!b:b, 0)), "")</f>
        <v/>
      </c>
      <c r="AZ510" s="5" t="s">
        <v>188</v>
      </c>
      <c r="BD510" s="9" t="n">
        <v>45671</v>
      </c>
      <c r="BE510" s="9" t="n">
        <v>45779</v>
      </c>
      <c r="BJ510" s="5" t="n">
        <v>2020</v>
      </c>
      <c r="BK510" s="5" t="s">
        <v>1852</v>
      </c>
    </row>
    <row r="511" customFormat="false" ht="16.5" hidden="false" customHeight="true" outlineLevel="0" collapsed="false">
      <c r="A511" s="5" t="s">
        <v>2295</v>
      </c>
      <c r="B511" s="5" t="s">
        <v>2296</v>
      </c>
      <c r="C511" s="5"/>
      <c r="D511" s="5" t="s">
        <v>62</v>
      </c>
      <c r="E511" s="5" t="n">
        <v>0</v>
      </c>
      <c r="F511" s="5" t="n">
        <v>0</v>
      </c>
      <c r="H511" s="6" t="n">
        <v>0</v>
      </c>
      <c r="I511" s="6" t="n">
        <v>0</v>
      </c>
      <c r="J511" s="7"/>
      <c r="K511" s="7"/>
      <c r="L511" s="5" t="s">
        <v>84</v>
      </c>
      <c r="N511" s="8" t="s">
        <v>2297</v>
      </c>
      <c r="O511" s="5" t="s">
        <v>2298</v>
      </c>
      <c r="T511" s="5"/>
      <c r="V511" s="5" t="s">
        <v>552</v>
      </c>
      <c r="X511" s="5" t="s">
        <v>553</v>
      </c>
      <c r="Y511" s="5" t="s">
        <v>73</v>
      </c>
      <c r="AI511" s="9" t="n">
        <v>45332</v>
      </c>
      <c r="AL511" s="5" t="n">
        <v>0</v>
      </c>
      <c r="AM511" s="5" t="s">
        <v>554</v>
      </c>
      <c r="AN511" s="5"/>
      <c r="AQ511" s="5" t="s">
        <v>77</v>
      </c>
      <c r="AR511" s="5" t="s">
        <v>553</v>
      </c>
      <c r="AS511" s="5" t="s">
        <v>73</v>
      </c>
      <c r="AT511" s="5" t="s">
        <v>78</v>
      </c>
      <c r="AW511" s="5" t="s">
        <v>94</v>
      </c>
      <c r="AX511" s="10" t="str">
        <f aca="false">IFERROR(INDEX('full database 2024'!ar:ar, MATCH(A511, 'full database 2024'!b:b, 0)), "")</f>
        <v/>
      </c>
      <c r="AZ511" s="5" t="s">
        <v>399</v>
      </c>
      <c r="BD511" s="9" t="n">
        <v>45671</v>
      </c>
      <c r="BE511" s="9" t="n">
        <v>45779</v>
      </c>
      <c r="BJ511" s="5" t="n">
        <v>2023</v>
      </c>
      <c r="BK511" s="11" t="n">
        <v>45566</v>
      </c>
    </row>
    <row r="512" customFormat="false" ht="16.5" hidden="false" customHeight="true" outlineLevel="0" collapsed="false">
      <c r="A512" s="5" t="s">
        <v>2299</v>
      </c>
      <c r="B512" s="5" t="s">
        <v>2300</v>
      </c>
      <c r="C512" s="5"/>
      <c r="D512" s="5" t="s">
        <v>62</v>
      </c>
      <c r="E512" s="5" t="n">
        <v>0</v>
      </c>
      <c r="F512" s="5" t="n">
        <v>0</v>
      </c>
      <c r="H512" s="6" t="n">
        <v>0</v>
      </c>
      <c r="I512" s="6" t="n">
        <v>0</v>
      </c>
      <c r="J512" s="7"/>
      <c r="K512" s="7"/>
      <c r="L512" s="5" t="s">
        <v>84</v>
      </c>
      <c r="N512" s="8" t="s">
        <v>2301</v>
      </c>
      <c r="O512" s="5" t="s">
        <v>2302</v>
      </c>
      <c r="T512" s="5" t="s">
        <v>2303</v>
      </c>
      <c r="V512" s="5" t="s">
        <v>2304</v>
      </c>
      <c r="X512" s="5" t="s">
        <v>2243</v>
      </c>
      <c r="Y512" s="5" t="s">
        <v>73</v>
      </c>
      <c r="AI512" s="9" t="n">
        <v>44198</v>
      </c>
      <c r="AL512" s="5" t="n">
        <v>0</v>
      </c>
      <c r="AM512" s="5" t="s">
        <v>2244</v>
      </c>
      <c r="AN512" s="5"/>
      <c r="AQ512" s="5" t="s">
        <v>77</v>
      </c>
      <c r="AR512" s="5" t="s">
        <v>2243</v>
      </c>
      <c r="AS512" s="5" t="s">
        <v>73</v>
      </c>
      <c r="AT512" s="5" t="s">
        <v>78</v>
      </c>
      <c r="AW512" s="5" t="s">
        <v>94</v>
      </c>
      <c r="AX512" s="10" t="str">
        <f aca="false">IFERROR(INDEX('full database 2024'!ar:ar, MATCH(A512, 'full database 2024'!b:b, 0)), "")</f>
        <v/>
      </c>
      <c r="AY512" s="5" t="s">
        <v>447</v>
      </c>
      <c r="AZ512" s="5" t="s">
        <v>188</v>
      </c>
      <c r="BD512" s="9" t="n">
        <v>45671</v>
      </c>
      <c r="BE512" s="9" t="n">
        <v>45779</v>
      </c>
      <c r="BJ512" s="5" t="n">
        <v>2021</v>
      </c>
      <c r="BK512" s="11"/>
    </row>
    <row r="513" customFormat="false" ht="16.5" hidden="false" customHeight="true" outlineLevel="0" collapsed="false">
      <c r="A513" s="5" t="s">
        <v>2305</v>
      </c>
      <c r="B513" s="5" t="s">
        <v>2306</v>
      </c>
      <c r="C513" s="5"/>
      <c r="D513" s="5" t="s">
        <v>62</v>
      </c>
      <c r="E513" s="5" t="n">
        <v>0</v>
      </c>
      <c r="F513" s="5" t="n">
        <v>0</v>
      </c>
      <c r="H513" s="6" t="n">
        <v>0</v>
      </c>
      <c r="I513" s="6" t="n">
        <v>0</v>
      </c>
      <c r="J513" s="7"/>
      <c r="K513" s="7"/>
      <c r="L513" s="5" t="s">
        <v>84</v>
      </c>
      <c r="N513" s="8" t="s">
        <v>2307</v>
      </c>
      <c r="O513" s="5" t="s">
        <v>2308</v>
      </c>
      <c r="T513" s="5" t="s">
        <v>2309</v>
      </c>
      <c r="V513" s="5" t="s">
        <v>2310</v>
      </c>
      <c r="X513" s="5" t="s">
        <v>151</v>
      </c>
      <c r="Y513" s="5" t="s">
        <v>73</v>
      </c>
      <c r="AI513" s="9" t="n">
        <v>44197</v>
      </c>
      <c r="AL513" s="5" t="n">
        <v>0</v>
      </c>
      <c r="AM513" s="5" t="s">
        <v>2210</v>
      </c>
      <c r="AN513" s="5"/>
      <c r="AQ513" s="5" t="s">
        <v>77</v>
      </c>
      <c r="AR513" s="5" t="s">
        <v>151</v>
      </c>
      <c r="AS513" s="5" t="s">
        <v>73</v>
      </c>
      <c r="AT513" s="5" t="s">
        <v>78</v>
      </c>
      <c r="AW513" s="5" t="s">
        <v>94</v>
      </c>
      <c r="AX513" s="10" t="str">
        <f aca="false">IFERROR(INDEX('full database 2024'!ar:ar, MATCH(A513, 'full database 2024'!b:b, 0)), "")</f>
        <v/>
      </c>
      <c r="AZ513" s="5" t="s">
        <v>639</v>
      </c>
      <c r="BD513" s="9" t="n">
        <v>45671</v>
      </c>
      <c r="BE513" s="9" t="n">
        <v>45779</v>
      </c>
      <c r="BJ513" s="5" t="n">
        <v>2021</v>
      </c>
    </row>
    <row r="514" customFormat="false" ht="16.5" hidden="false" customHeight="true" outlineLevel="0" collapsed="false">
      <c r="A514" s="5" t="s">
        <v>2311</v>
      </c>
      <c r="B514" s="5" t="s">
        <v>2312</v>
      </c>
      <c r="C514" s="5"/>
      <c r="D514" s="5" t="s">
        <v>62</v>
      </c>
      <c r="E514" s="5" t="n">
        <v>0</v>
      </c>
      <c r="F514" s="5" t="n">
        <v>0</v>
      </c>
      <c r="H514" s="6" t="n">
        <v>0</v>
      </c>
      <c r="I514" s="6" t="n">
        <v>0</v>
      </c>
      <c r="J514" s="7"/>
      <c r="K514" s="7"/>
      <c r="L514" s="5" t="s">
        <v>84</v>
      </c>
      <c r="N514" s="8" t="s">
        <v>2313</v>
      </c>
      <c r="O514" s="5" t="s">
        <v>2314</v>
      </c>
      <c r="T514" s="5"/>
      <c r="V514" s="5" t="s">
        <v>1088</v>
      </c>
      <c r="X514" s="5" t="s">
        <v>151</v>
      </c>
      <c r="Y514" s="5" t="s">
        <v>73</v>
      </c>
      <c r="AI514" s="9" t="n">
        <v>44287</v>
      </c>
      <c r="AL514" s="5" t="n">
        <v>0</v>
      </c>
      <c r="AM514" s="5" t="s">
        <v>2278</v>
      </c>
      <c r="AN514" s="5"/>
      <c r="AQ514" s="5" t="s">
        <v>2279</v>
      </c>
      <c r="AR514" s="5" t="s">
        <v>151</v>
      </c>
      <c r="AS514" s="5" t="s">
        <v>73</v>
      </c>
      <c r="AT514" s="5" t="s">
        <v>78</v>
      </c>
      <c r="AW514" s="5" t="s">
        <v>94</v>
      </c>
      <c r="AX514" s="10" t="str">
        <f aca="false">IFERROR(INDEX('full database 2024'!ar:ar, MATCH(A514, 'full database 2024'!b:b, 0)), "")</f>
        <v/>
      </c>
      <c r="AY514" s="5" t="s">
        <v>447</v>
      </c>
      <c r="AZ514" s="5" t="s">
        <v>188</v>
      </c>
      <c r="BD514" s="9" t="n">
        <v>45671</v>
      </c>
      <c r="BE514" s="9" t="n">
        <v>45779</v>
      </c>
      <c r="BJ514" s="5" t="n">
        <v>2021</v>
      </c>
      <c r="BK514" s="5" t="s">
        <v>2315</v>
      </c>
    </row>
    <row r="515" customFormat="false" ht="16.5" hidden="false" customHeight="true" outlineLevel="0" collapsed="false">
      <c r="A515" s="5" t="s">
        <v>2316</v>
      </c>
      <c r="B515" s="5" t="s">
        <v>2317</v>
      </c>
      <c r="C515" s="5"/>
      <c r="D515" s="5" t="s">
        <v>62</v>
      </c>
      <c r="E515" s="16" t="n">
        <v>125000</v>
      </c>
      <c r="F515" s="16" t="n">
        <v>100000</v>
      </c>
      <c r="G515" s="5" t="s">
        <v>132</v>
      </c>
      <c r="H515" s="6" t="n">
        <v>0</v>
      </c>
      <c r="I515" s="6" t="n">
        <v>0</v>
      </c>
      <c r="J515" s="7" t="n">
        <f aca="false">E515*1.19</f>
        <v>148750</v>
      </c>
      <c r="K515" s="7" t="n">
        <f aca="false">F515*1.19</f>
        <v>119000</v>
      </c>
      <c r="L515" s="5" t="s">
        <v>84</v>
      </c>
      <c r="N515" s="8" t="s">
        <v>2318</v>
      </c>
      <c r="O515" s="5" t="s">
        <v>2319</v>
      </c>
      <c r="T515" s="5" t="s">
        <v>2320</v>
      </c>
      <c r="V515" s="5" t="s">
        <v>931</v>
      </c>
      <c r="X515" s="5" t="s">
        <v>139</v>
      </c>
      <c r="Y515" s="5" t="s">
        <v>73</v>
      </c>
      <c r="AI515" s="9" t="n">
        <v>44834</v>
      </c>
      <c r="AL515" s="5" t="n">
        <v>0</v>
      </c>
      <c r="AM515" s="5" t="s">
        <v>140</v>
      </c>
      <c r="AN515" s="5" t="s">
        <v>199</v>
      </c>
      <c r="AQ515" s="5" t="s">
        <v>77</v>
      </c>
      <c r="AR515" s="5" t="s">
        <v>143</v>
      </c>
      <c r="AS515" s="5" t="s">
        <v>73</v>
      </c>
      <c r="AT515" s="5" t="s">
        <v>105</v>
      </c>
      <c r="AU515" s="10" t="s">
        <v>186</v>
      </c>
      <c r="AW515" s="5" t="s">
        <v>201</v>
      </c>
      <c r="AX515" s="10" t="str">
        <f aca="false">IFERROR(INDEX('full database 2024'!ar:ar, MATCH(A515, 'full database 2024'!b:b, 0)), "")</f>
        <v/>
      </c>
      <c r="AZ515" s="5" t="s">
        <v>129</v>
      </c>
      <c r="BD515" s="9" t="n">
        <v>45671</v>
      </c>
      <c r="BE515" s="9" t="n">
        <v>45779</v>
      </c>
      <c r="BJ515" s="5" t="n">
        <v>2022</v>
      </c>
      <c r="BK515" s="5" t="s">
        <v>1852</v>
      </c>
    </row>
    <row r="516" customFormat="false" ht="16.5" hidden="false" customHeight="true" outlineLevel="0" collapsed="false">
      <c r="A516" s="5" t="s">
        <v>2321</v>
      </c>
      <c r="B516" s="5" t="s">
        <v>2322</v>
      </c>
      <c r="C516" s="5"/>
      <c r="D516" s="5" t="s">
        <v>62</v>
      </c>
      <c r="E516" s="5" t="n">
        <v>0</v>
      </c>
      <c r="F516" s="5" t="n">
        <v>0</v>
      </c>
      <c r="G516" s="5"/>
      <c r="H516" s="6" t="n">
        <v>0</v>
      </c>
      <c r="I516" s="6" t="n">
        <v>0</v>
      </c>
      <c r="J516" s="7"/>
      <c r="K516" s="7"/>
      <c r="L516" s="5" t="s">
        <v>84</v>
      </c>
      <c r="N516" s="8" t="s">
        <v>2323</v>
      </c>
      <c r="O516" s="5" t="s">
        <v>2324</v>
      </c>
      <c r="T516" s="5"/>
      <c r="V516" s="5"/>
      <c r="X516" s="5"/>
      <c r="Y516" s="5" t="s">
        <v>73</v>
      </c>
      <c r="AI516" s="9" t="n">
        <v>44931</v>
      </c>
      <c r="AL516" s="5" t="n">
        <v>0</v>
      </c>
      <c r="AM516" s="5" t="s">
        <v>554</v>
      </c>
      <c r="AN516" s="5"/>
      <c r="AQ516" s="5" t="s">
        <v>77</v>
      </c>
      <c r="AR516" s="5" t="s">
        <v>553</v>
      </c>
      <c r="AS516" s="5" t="s">
        <v>73</v>
      </c>
      <c r="AT516" s="5" t="s">
        <v>78</v>
      </c>
      <c r="AW516" s="5" t="s">
        <v>94</v>
      </c>
      <c r="AX516" s="10" t="str">
        <f aca="false">IFERROR(INDEX('full database 2024'!ar:ar, MATCH(A516, 'full database 2024'!b:b, 0)), "")</f>
        <v/>
      </c>
      <c r="AZ516" s="5" t="s">
        <v>396</v>
      </c>
      <c r="BD516" s="9" t="n">
        <v>45671</v>
      </c>
      <c r="BE516" s="9" t="n">
        <v>45779</v>
      </c>
      <c r="BJ516" s="5" t="n">
        <v>2023</v>
      </c>
      <c r="BK516" s="5" t="s">
        <v>2325</v>
      </c>
    </row>
    <row r="517" customFormat="false" ht="16.5" hidden="false" customHeight="true" outlineLevel="0" collapsed="false">
      <c r="A517" s="5" t="s">
        <v>2326</v>
      </c>
      <c r="B517" s="5" t="s">
        <v>2327</v>
      </c>
      <c r="C517" s="5"/>
      <c r="D517" s="5" t="s">
        <v>62</v>
      </c>
      <c r="E517" s="16" t="n">
        <v>125000</v>
      </c>
      <c r="F517" s="16" t="n">
        <v>100000</v>
      </c>
      <c r="G517" s="5" t="s">
        <v>132</v>
      </c>
      <c r="H517" s="6" t="n">
        <v>0</v>
      </c>
      <c r="I517" s="6" t="n">
        <v>0</v>
      </c>
      <c r="J517" s="7" t="n">
        <f aca="false">E517*1.19</f>
        <v>148750</v>
      </c>
      <c r="K517" s="7" t="n">
        <f aca="false">F517*1.19</f>
        <v>119000</v>
      </c>
      <c r="L517" s="5" t="s">
        <v>84</v>
      </c>
      <c r="N517" s="8" t="s">
        <v>2328</v>
      </c>
      <c r="O517" s="5" t="s">
        <v>2329</v>
      </c>
      <c r="T517" s="5" t="s">
        <v>2330</v>
      </c>
      <c r="V517" s="5" t="s">
        <v>2331</v>
      </c>
      <c r="X517" s="5" t="s">
        <v>139</v>
      </c>
      <c r="Y517" s="5" t="s">
        <v>73</v>
      </c>
      <c r="AI517" s="9" t="n">
        <v>44316</v>
      </c>
      <c r="AL517" s="5" t="n">
        <v>0</v>
      </c>
      <c r="AM517" s="5" t="s">
        <v>140</v>
      </c>
      <c r="AN517" s="5" t="s">
        <v>199</v>
      </c>
      <c r="AQ517" s="5" t="s">
        <v>77</v>
      </c>
      <c r="AR517" s="5" t="s">
        <v>143</v>
      </c>
      <c r="AS517" s="5" t="s">
        <v>73</v>
      </c>
      <c r="AT517" s="5" t="s">
        <v>78</v>
      </c>
      <c r="AW517" s="5" t="s">
        <v>201</v>
      </c>
      <c r="AX517" s="10" t="str">
        <f aca="false">IFERROR(INDEX('full database 2024'!ar:ar, MATCH(A517, 'full database 2024'!b:b, 0)), "")</f>
        <v/>
      </c>
      <c r="AZ517" s="5" t="s">
        <v>129</v>
      </c>
      <c r="BD517" s="9" t="n">
        <v>45671</v>
      </c>
      <c r="BE517" s="9" t="n">
        <v>45779</v>
      </c>
      <c r="BJ517" s="5" t="n">
        <v>2021</v>
      </c>
      <c r="BK517" s="5" t="s">
        <v>2332</v>
      </c>
    </row>
    <row r="518" customFormat="false" ht="16.5" hidden="false" customHeight="true" outlineLevel="0" collapsed="false">
      <c r="A518" s="5" t="s">
        <v>2333</v>
      </c>
      <c r="B518" s="5" t="s">
        <v>2334</v>
      </c>
      <c r="C518" s="5"/>
      <c r="D518" s="5" t="s">
        <v>62</v>
      </c>
      <c r="E518" s="5" t="n">
        <v>0</v>
      </c>
      <c r="F518" s="5" t="n">
        <v>0</v>
      </c>
      <c r="G518" s="5" t="s">
        <v>147</v>
      </c>
      <c r="H518" s="6" t="n">
        <v>0</v>
      </c>
      <c r="I518" s="6" t="n">
        <v>0</v>
      </c>
      <c r="J518" s="7" t="n">
        <v>0</v>
      </c>
      <c r="K518" s="7" t="n">
        <v>0</v>
      </c>
      <c r="L518" s="5" t="s">
        <v>84</v>
      </c>
      <c r="N518" s="8" t="s">
        <v>2335</v>
      </c>
      <c r="O518" s="5" t="s">
        <v>2336</v>
      </c>
      <c r="T518" s="5" t="s">
        <v>2337</v>
      </c>
      <c r="V518" s="5" t="s">
        <v>2338</v>
      </c>
      <c r="X518" s="5" t="s">
        <v>333</v>
      </c>
      <c r="Y518" s="5" t="s">
        <v>73</v>
      </c>
      <c r="AI518" s="9" t="n">
        <v>44805</v>
      </c>
      <c r="AL518" s="5" t="n">
        <v>0</v>
      </c>
      <c r="AM518" s="5" t="s">
        <v>459</v>
      </c>
      <c r="AN518" s="5"/>
      <c r="AQ518" s="5" t="s">
        <v>77</v>
      </c>
      <c r="AR518" s="5" t="s">
        <v>333</v>
      </c>
      <c r="AS518" s="5" t="s">
        <v>73</v>
      </c>
      <c r="AT518" s="5" t="s">
        <v>78</v>
      </c>
      <c r="AW518" s="5" t="s">
        <v>94</v>
      </c>
      <c r="AX518" s="10" t="str">
        <f aca="false">IFERROR(INDEX('full database 2024'!ar:ar, MATCH(A518, 'full database 2024'!b:b, 0)), "")</f>
        <v/>
      </c>
      <c r="AZ518" s="5" t="s">
        <v>525</v>
      </c>
      <c r="BD518" s="9" t="n">
        <v>45671</v>
      </c>
      <c r="BE518" s="9" t="n">
        <v>45779</v>
      </c>
      <c r="BJ518" s="5" t="n">
        <v>2022</v>
      </c>
      <c r="BK518" s="5" t="s">
        <v>2339</v>
      </c>
    </row>
    <row r="519" customFormat="false" ht="16.5" hidden="false" customHeight="true" outlineLevel="0" collapsed="false">
      <c r="A519" s="5" t="s">
        <v>2340</v>
      </c>
      <c r="B519" s="5" t="s">
        <v>920</v>
      </c>
      <c r="C519" s="5"/>
      <c r="D519" s="5" t="s">
        <v>62</v>
      </c>
      <c r="E519" s="5" t="n">
        <v>0</v>
      </c>
      <c r="F519" s="5" t="n">
        <v>0</v>
      </c>
      <c r="G519" s="5"/>
      <c r="H519" s="6" t="n">
        <v>0</v>
      </c>
      <c r="I519" s="6" t="n">
        <v>0</v>
      </c>
      <c r="J519" s="7"/>
      <c r="K519" s="7"/>
      <c r="L519" s="5" t="s">
        <v>84</v>
      </c>
      <c r="N519" s="8" t="s">
        <v>2341</v>
      </c>
      <c r="O519" s="5" t="s">
        <v>2342</v>
      </c>
      <c r="T519" s="5" t="s">
        <v>2343</v>
      </c>
      <c r="V519" s="5" t="s">
        <v>2344</v>
      </c>
      <c r="X519" s="5" t="s">
        <v>257</v>
      </c>
      <c r="Y519" s="5" t="s">
        <v>73</v>
      </c>
      <c r="AI519" s="9" t="n">
        <v>44197</v>
      </c>
      <c r="AL519" s="5" t="n">
        <v>0</v>
      </c>
      <c r="AM519" s="5" t="s">
        <v>2345</v>
      </c>
      <c r="AN519" s="5"/>
      <c r="AQ519" s="5" t="s">
        <v>77</v>
      </c>
      <c r="AR519" s="5" t="s">
        <v>257</v>
      </c>
      <c r="AS519" s="5" t="s">
        <v>73</v>
      </c>
      <c r="AT519" s="5" t="s">
        <v>78</v>
      </c>
      <c r="AW519" s="5" t="s">
        <v>94</v>
      </c>
      <c r="AX519" s="10" t="str">
        <f aca="false">IFERROR(INDEX('full database 2024'!ar:ar, MATCH(A519, 'full database 2024'!b:b, 0)), "")</f>
        <v/>
      </c>
      <c r="AZ519" s="5" t="s">
        <v>639</v>
      </c>
      <c r="BD519" s="9" t="n">
        <v>45671</v>
      </c>
      <c r="BE519" s="9" t="n">
        <v>45779</v>
      </c>
      <c r="BJ519" s="5" t="n">
        <v>2021</v>
      </c>
      <c r="BK519" s="5"/>
    </row>
    <row r="520" customFormat="false" ht="16.5" hidden="false" customHeight="true" outlineLevel="0" collapsed="false">
      <c r="A520" s="5" t="s">
        <v>2346</v>
      </c>
      <c r="B520" s="5" t="s">
        <v>2347</v>
      </c>
      <c r="C520" s="5"/>
      <c r="D520" s="5" t="s">
        <v>62</v>
      </c>
      <c r="E520" s="5" t="n">
        <v>0</v>
      </c>
      <c r="F520" s="5" t="n">
        <v>0</v>
      </c>
      <c r="H520" s="6" t="n">
        <v>0</v>
      </c>
      <c r="I520" s="6" t="n">
        <v>0</v>
      </c>
      <c r="J520" s="7"/>
      <c r="K520" s="7"/>
      <c r="L520" s="5" t="s">
        <v>84</v>
      </c>
      <c r="N520" s="8" t="s">
        <v>2348</v>
      </c>
      <c r="O520" s="5" t="s">
        <v>2349</v>
      </c>
      <c r="T520" s="5" t="s">
        <v>2350</v>
      </c>
      <c r="V520" s="5" t="s">
        <v>2351</v>
      </c>
      <c r="X520" s="5" t="s">
        <v>2221</v>
      </c>
      <c r="Y520" s="5" t="s">
        <v>73</v>
      </c>
      <c r="AI520" s="9" t="n">
        <v>43831</v>
      </c>
      <c r="AL520" s="5" t="n">
        <v>0</v>
      </c>
      <c r="AM520" s="5" t="s">
        <v>2352</v>
      </c>
      <c r="AN520" s="5"/>
      <c r="AQ520" s="5" t="s">
        <v>77</v>
      </c>
      <c r="AR520" s="5" t="s">
        <v>2221</v>
      </c>
      <c r="AS520" s="5" t="s">
        <v>73</v>
      </c>
      <c r="AT520" s="5" t="s">
        <v>78</v>
      </c>
      <c r="AW520" s="5" t="s">
        <v>94</v>
      </c>
      <c r="AX520" s="10" t="str">
        <f aca="false">IFERROR(INDEX('full database 2024'!ar:ar, MATCH(A520, 'full database 2024'!b:b, 0)), "")</f>
        <v/>
      </c>
      <c r="AZ520" s="5" t="s">
        <v>188</v>
      </c>
      <c r="BD520" s="9" t="n">
        <v>45671</v>
      </c>
      <c r="BE520" s="9" t="n">
        <v>45779</v>
      </c>
      <c r="BJ520" s="5" t="n">
        <v>2020</v>
      </c>
      <c r="BK520" s="5" t="s">
        <v>2353</v>
      </c>
    </row>
    <row r="521" customFormat="false" ht="16.5" hidden="false" customHeight="true" outlineLevel="0" collapsed="false">
      <c r="A521" s="5" t="s">
        <v>2354</v>
      </c>
      <c r="B521" s="5" t="s">
        <v>2355</v>
      </c>
      <c r="C521" s="5"/>
      <c r="D521" s="5" t="s">
        <v>62</v>
      </c>
      <c r="E521" s="5" t="n">
        <v>0</v>
      </c>
      <c r="F521" s="5" t="n">
        <v>0</v>
      </c>
      <c r="H521" s="6" t="n">
        <v>0</v>
      </c>
      <c r="I521" s="6" t="n">
        <v>0</v>
      </c>
      <c r="J521" s="7"/>
      <c r="K521" s="7"/>
      <c r="L521" s="5" t="s">
        <v>84</v>
      </c>
      <c r="N521" s="8" t="s">
        <v>2356</v>
      </c>
      <c r="O521" s="5" t="s">
        <v>2357</v>
      </c>
      <c r="T521" s="5"/>
      <c r="V521" s="5" t="s">
        <v>2271</v>
      </c>
      <c r="X521" s="5" t="s">
        <v>553</v>
      </c>
      <c r="Y521" s="5" t="s">
        <v>73</v>
      </c>
      <c r="AI521" s="9" t="n">
        <v>45294</v>
      </c>
      <c r="AL521" s="5" t="n">
        <v>0</v>
      </c>
      <c r="AM521" s="5" t="s">
        <v>554</v>
      </c>
      <c r="AN521" s="5"/>
      <c r="AQ521" s="5" t="s">
        <v>77</v>
      </c>
      <c r="AR521" s="5" t="s">
        <v>553</v>
      </c>
      <c r="AS521" s="5" t="s">
        <v>73</v>
      </c>
      <c r="AT521" s="5" t="s">
        <v>78</v>
      </c>
      <c r="AW521" s="5" t="s">
        <v>94</v>
      </c>
      <c r="AX521" s="10" t="str">
        <f aca="false">IFERROR(INDEX('full database 2024'!ar:ar, MATCH(A521, 'full database 2024'!b:b, 0)), "")</f>
        <v/>
      </c>
      <c r="AZ521" s="5" t="s">
        <v>399</v>
      </c>
      <c r="BD521" s="9" t="n">
        <v>45671</v>
      </c>
      <c r="BE521" s="9" t="n">
        <v>45779</v>
      </c>
      <c r="BJ521" s="5" t="n">
        <v>2024</v>
      </c>
      <c r="BK521" s="5" t="s">
        <v>1283</v>
      </c>
    </row>
    <row r="522" customFormat="false" ht="16.5" hidden="false" customHeight="true" outlineLevel="0" collapsed="false">
      <c r="A522" s="5" t="s">
        <v>2358</v>
      </c>
      <c r="B522" s="5" t="s">
        <v>2359</v>
      </c>
      <c r="C522" s="5"/>
      <c r="D522" s="5" t="s">
        <v>62</v>
      </c>
      <c r="E522" s="5" t="n">
        <v>0</v>
      </c>
      <c r="F522" s="5" t="n">
        <v>0</v>
      </c>
      <c r="H522" s="6" t="n">
        <v>0</v>
      </c>
      <c r="I522" s="6" t="n">
        <v>0</v>
      </c>
      <c r="J522" s="7"/>
      <c r="K522" s="7"/>
      <c r="L522" s="5" t="s">
        <v>84</v>
      </c>
      <c r="N522" s="5"/>
      <c r="O522" s="5" t="s">
        <v>2360</v>
      </c>
      <c r="T522" s="5" t="s">
        <v>2361</v>
      </c>
      <c r="V522" s="5"/>
      <c r="X522" s="5"/>
      <c r="Y522" s="5" t="s">
        <v>73</v>
      </c>
      <c r="AI522" s="9" t="n">
        <v>44105</v>
      </c>
      <c r="AL522" s="5" t="n">
        <v>0</v>
      </c>
      <c r="AM522" s="5" t="s">
        <v>2362</v>
      </c>
      <c r="AN522" s="5"/>
      <c r="AQ522" s="5" t="s">
        <v>77</v>
      </c>
      <c r="AR522" s="5" t="s">
        <v>271</v>
      </c>
      <c r="AS522" s="5" t="s">
        <v>73</v>
      </c>
      <c r="AT522" s="5" t="s">
        <v>374</v>
      </c>
      <c r="AW522" s="5" t="s">
        <v>94</v>
      </c>
      <c r="AX522" s="10" t="str">
        <f aca="false">IFERROR(INDEX('full database 2024'!ar:ar, MATCH(A522, 'full database 2024'!b:b, 0)), "")</f>
        <v/>
      </c>
      <c r="AZ522" s="5" t="s">
        <v>857</v>
      </c>
      <c r="BD522" s="9" t="n">
        <v>45671</v>
      </c>
      <c r="BE522" s="9" t="n">
        <v>45779</v>
      </c>
      <c r="BJ522" s="5" t="n">
        <v>2020</v>
      </c>
      <c r="BK522" s="5" t="s">
        <v>2363</v>
      </c>
    </row>
    <row r="523" customFormat="false" ht="16.5" hidden="false" customHeight="true" outlineLevel="0" collapsed="false">
      <c r="A523" s="5" t="s">
        <v>2364</v>
      </c>
      <c r="B523" s="5" t="s">
        <v>2365</v>
      </c>
      <c r="C523" s="5"/>
      <c r="D523" s="5" t="s">
        <v>62</v>
      </c>
      <c r="E523" s="16" t="n">
        <v>125000</v>
      </c>
      <c r="F523" s="16" t="n">
        <v>100000</v>
      </c>
      <c r="G523" s="5" t="s">
        <v>132</v>
      </c>
      <c r="H523" s="6" t="n">
        <v>0</v>
      </c>
      <c r="I523" s="6" t="n">
        <v>0</v>
      </c>
      <c r="J523" s="7" t="n">
        <f aca="false">E523*1.19</f>
        <v>148750</v>
      </c>
      <c r="K523" s="7" t="n">
        <f aca="false">F523*1.19</f>
        <v>119000</v>
      </c>
      <c r="L523" s="5" t="s">
        <v>84</v>
      </c>
      <c r="N523" s="8" t="s">
        <v>2366</v>
      </c>
      <c r="O523" s="5" t="s">
        <v>2367</v>
      </c>
      <c r="T523" s="5" t="s">
        <v>2368</v>
      </c>
      <c r="V523" s="5" t="s">
        <v>931</v>
      </c>
      <c r="X523" s="5" t="s">
        <v>139</v>
      </c>
      <c r="Y523" s="5" t="s">
        <v>73</v>
      </c>
      <c r="AI523" s="9" t="n">
        <v>44843</v>
      </c>
      <c r="AL523" s="5" t="n">
        <v>0</v>
      </c>
      <c r="AM523" s="5" t="s">
        <v>140</v>
      </c>
      <c r="AN523" s="5" t="s">
        <v>199</v>
      </c>
      <c r="AQ523" s="5" t="s">
        <v>77</v>
      </c>
      <c r="AR523" s="5" t="s">
        <v>143</v>
      </c>
      <c r="AS523" s="5" t="s">
        <v>73</v>
      </c>
      <c r="AT523" s="5" t="s">
        <v>78</v>
      </c>
      <c r="AW523" s="5" t="s">
        <v>201</v>
      </c>
      <c r="AX523" s="10" t="str">
        <f aca="false">IFERROR(INDEX('full database 2024'!ar:ar, MATCH(A523, 'full database 2024'!b:b, 0)), "")</f>
        <v/>
      </c>
      <c r="AZ523" s="5" t="s">
        <v>857</v>
      </c>
      <c r="BD523" s="9" t="n">
        <v>45671</v>
      </c>
      <c r="BE523" s="9" t="n">
        <v>45779</v>
      </c>
      <c r="BJ523" s="5" t="n">
        <v>2022</v>
      </c>
      <c r="BK523" s="5" t="s">
        <v>1852</v>
      </c>
    </row>
    <row r="524" customFormat="false" ht="16.5" hidden="false" customHeight="true" outlineLevel="0" collapsed="false">
      <c r="A524" s="5" t="s">
        <v>2369</v>
      </c>
      <c r="B524" s="5" t="s">
        <v>2370</v>
      </c>
      <c r="C524" s="5"/>
      <c r="D524" s="5" t="s">
        <v>62</v>
      </c>
      <c r="E524" s="5" t="n">
        <v>0</v>
      </c>
      <c r="F524" s="5" t="n">
        <v>0</v>
      </c>
      <c r="G524" s="5" t="s">
        <v>147</v>
      </c>
      <c r="H524" s="6" t="n">
        <v>0</v>
      </c>
      <c r="I524" s="6" t="n">
        <v>0</v>
      </c>
      <c r="J524" s="7" t="n">
        <v>0</v>
      </c>
      <c r="K524" s="7" t="n">
        <v>0</v>
      </c>
      <c r="L524" s="5" t="s">
        <v>84</v>
      </c>
      <c r="N524" s="8" t="s">
        <v>2371</v>
      </c>
      <c r="O524" s="5" t="s">
        <v>2372</v>
      </c>
      <c r="T524" s="5"/>
      <c r="V524" s="5"/>
      <c r="X524" s="5"/>
      <c r="Y524" s="5" t="s">
        <v>73</v>
      </c>
      <c r="AI524" s="9" t="n">
        <v>44593</v>
      </c>
      <c r="AL524" s="5" t="n">
        <v>0</v>
      </c>
      <c r="AM524" s="5" t="s">
        <v>459</v>
      </c>
      <c r="AN524" s="5"/>
      <c r="AQ524" s="5" t="s">
        <v>77</v>
      </c>
      <c r="AR524" s="5" t="s">
        <v>333</v>
      </c>
      <c r="AS524" s="5" t="s">
        <v>73</v>
      </c>
      <c r="AT524" s="5" t="s">
        <v>78</v>
      </c>
      <c r="AW524" s="5" t="s">
        <v>94</v>
      </c>
      <c r="AX524" s="10" t="str">
        <f aca="false">IFERROR(INDEX('full database 2024'!ar:ar, MATCH(A524, 'full database 2024'!b:b, 0)), "")</f>
        <v/>
      </c>
      <c r="AZ524" s="5" t="s">
        <v>525</v>
      </c>
      <c r="BD524" s="9" t="n">
        <v>45671</v>
      </c>
      <c r="BE524" s="9" t="n">
        <v>45779</v>
      </c>
      <c r="BJ524" s="5" t="n">
        <v>2022</v>
      </c>
      <c r="BK524" s="11" t="n">
        <v>45659</v>
      </c>
    </row>
    <row r="525" customFormat="false" ht="16.5" hidden="false" customHeight="true" outlineLevel="0" collapsed="false">
      <c r="A525" s="5" t="s">
        <v>2373</v>
      </c>
      <c r="B525" s="5" t="s">
        <v>2374</v>
      </c>
      <c r="C525" s="5"/>
      <c r="D525" s="5" t="s">
        <v>62</v>
      </c>
      <c r="E525" s="5" t="n">
        <v>0</v>
      </c>
      <c r="F525" s="5" t="n">
        <v>0</v>
      </c>
      <c r="G525" s="5"/>
      <c r="H525" s="6" t="n">
        <v>0</v>
      </c>
      <c r="I525" s="6" t="n">
        <v>0</v>
      </c>
      <c r="J525" s="7"/>
      <c r="K525" s="7"/>
      <c r="L525" s="5" t="s">
        <v>84</v>
      </c>
      <c r="N525" s="8" t="s">
        <v>2375</v>
      </c>
      <c r="O525" s="5" t="s">
        <v>2376</v>
      </c>
      <c r="V525" s="5" t="s">
        <v>1088</v>
      </c>
      <c r="X525" s="5" t="s">
        <v>151</v>
      </c>
      <c r="Y525" s="5" t="s">
        <v>73</v>
      </c>
      <c r="AI525" s="9" t="n">
        <v>44378</v>
      </c>
      <c r="AL525" s="5" t="n">
        <v>0</v>
      </c>
      <c r="AM525" s="5" t="s">
        <v>2278</v>
      </c>
      <c r="AN525" s="5"/>
      <c r="AQ525" s="5" t="s">
        <v>2279</v>
      </c>
      <c r="AR525" s="5" t="s">
        <v>151</v>
      </c>
      <c r="AS525" s="5" t="s">
        <v>73</v>
      </c>
      <c r="AT525" s="5" t="s">
        <v>78</v>
      </c>
      <c r="AW525" s="5" t="s">
        <v>94</v>
      </c>
      <c r="AX525" s="10" t="str">
        <f aca="false">IFERROR(INDEX('full database 2024'!ar:ar, MATCH(A525, 'full database 2024'!b:b, 0)), "")</f>
        <v/>
      </c>
      <c r="AZ525" s="5" t="s">
        <v>129</v>
      </c>
      <c r="BD525" s="9" t="n">
        <v>45671</v>
      </c>
      <c r="BE525" s="9" t="n">
        <v>45779</v>
      </c>
      <c r="BJ525" s="5" t="n">
        <v>2021</v>
      </c>
      <c r="BK525" s="5" t="s">
        <v>2377</v>
      </c>
    </row>
    <row r="526" customFormat="false" ht="16.5" hidden="false" customHeight="true" outlineLevel="0" collapsed="false">
      <c r="A526" s="5" t="s">
        <v>2378</v>
      </c>
      <c r="B526" s="5" t="s">
        <v>2379</v>
      </c>
      <c r="C526" s="5"/>
      <c r="D526" s="5" t="s">
        <v>62</v>
      </c>
      <c r="E526" s="5" t="n">
        <v>0</v>
      </c>
      <c r="F526" s="5" t="n">
        <v>0</v>
      </c>
      <c r="H526" s="6" t="n">
        <v>0</v>
      </c>
      <c r="I526" s="6" t="n">
        <v>0</v>
      </c>
      <c r="J526" s="7"/>
      <c r="K526" s="7"/>
      <c r="L526" s="5" t="s">
        <v>84</v>
      </c>
      <c r="N526" s="8" t="s">
        <v>2380</v>
      </c>
      <c r="O526" s="5" t="s">
        <v>2381</v>
      </c>
      <c r="V526" s="5" t="s">
        <v>2382</v>
      </c>
      <c r="X526" s="5" t="s">
        <v>151</v>
      </c>
      <c r="Y526" s="5" t="s">
        <v>73</v>
      </c>
      <c r="AI526" s="9" t="n">
        <v>44197</v>
      </c>
      <c r="AL526" s="5" t="n">
        <v>0</v>
      </c>
      <c r="AM526" s="5" t="s">
        <v>2278</v>
      </c>
      <c r="AN526" s="5"/>
      <c r="AQ526" s="5" t="s">
        <v>2279</v>
      </c>
      <c r="AR526" s="5" t="s">
        <v>151</v>
      </c>
      <c r="AS526" s="5" t="s">
        <v>73</v>
      </c>
      <c r="AT526" s="5" t="s">
        <v>78</v>
      </c>
      <c r="AW526" s="5" t="s">
        <v>94</v>
      </c>
      <c r="AX526" s="10" t="str">
        <f aca="false">IFERROR(INDEX('full database 2024'!ar:ar, MATCH(A526, 'full database 2024'!b:b, 0)), "")</f>
        <v/>
      </c>
      <c r="AZ526" s="5" t="s">
        <v>129</v>
      </c>
      <c r="BD526" s="9" t="n">
        <v>45671</v>
      </c>
      <c r="BE526" s="9" t="n">
        <v>45779</v>
      </c>
      <c r="BJ526" s="5" t="n">
        <v>2021</v>
      </c>
      <c r="BK526" s="5" t="s">
        <v>2377</v>
      </c>
    </row>
    <row r="527" customFormat="false" ht="16.5" hidden="false" customHeight="true" outlineLevel="0" collapsed="false">
      <c r="A527" s="5" t="s">
        <v>2383</v>
      </c>
      <c r="B527" s="5"/>
      <c r="C527" s="5"/>
      <c r="D527" s="5" t="s">
        <v>62</v>
      </c>
      <c r="E527" s="5"/>
      <c r="F527" s="5"/>
      <c r="G527" s="5"/>
      <c r="H527" s="6"/>
      <c r="I527" s="6"/>
      <c r="J527" s="7"/>
      <c r="K527" s="7"/>
      <c r="L527" s="5" t="s">
        <v>84</v>
      </c>
      <c r="M527" s="5" t="s">
        <v>65</v>
      </c>
      <c r="N527" s="8" t="s">
        <v>2384</v>
      </c>
      <c r="O527" s="5"/>
      <c r="T527" s="5" t="s">
        <v>2385</v>
      </c>
      <c r="U527" s="5" t="s">
        <v>70</v>
      </c>
      <c r="V527" s="5" t="s">
        <v>2386</v>
      </c>
      <c r="W527" s="5" t="s">
        <v>102</v>
      </c>
      <c r="X527" s="5" t="s">
        <v>151</v>
      </c>
      <c r="Y527" s="5" t="s">
        <v>73</v>
      </c>
      <c r="Z527" s="5" t="s">
        <v>70</v>
      </c>
      <c r="AD527" s="5" t="s">
        <v>2387</v>
      </c>
      <c r="AE527" s="5" t="s">
        <v>74</v>
      </c>
      <c r="AI527" s="9" t="n">
        <v>44651</v>
      </c>
      <c r="AK527" s="5" t="s">
        <v>75</v>
      </c>
      <c r="AL527" s="5"/>
      <c r="AM527" s="5" t="s">
        <v>182</v>
      </c>
      <c r="AN527" s="5" t="s">
        <v>2388</v>
      </c>
      <c r="AQ527" s="5" t="s">
        <v>77</v>
      </c>
      <c r="AR527" s="5" t="s">
        <v>185</v>
      </c>
      <c r="AS527" s="5" t="s">
        <v>73</v>
      </c>
      <c r="AT527" s="5" t="s">
        <v>374</v>
      </c>
      <c r="AW527" s="5" t="s">
        <v>94</v>
      </c>
      <c r="AX527" s="10" t="str">
        <f aca="false">IFERROR(INDEX('full database 2024'!ar:ar, MATCH(A527, 'full database 2024'!b:b, 0)), "")</f>
        <v/>
      </c>
      <c r="AZ527" s="5" t="s">
        <v>121</v>
      </c>
      <c r="BD527" s="9" t="n">
        <v>44985</v>
      </c>
      <c r="BE527" s="9" t="n">
        <v>45035</v>
      </c>
      <c r="BI527" s="5" t="s">
        <v>81</v>
      </c>
      <c r="BJ527" s="5" t="n">
        <v>2022</v>
      </c>
      <c r="BK527" s="5"/>
    </row>
    <row r="528" customFormat="false" ht="16.5" hidden="false" customHeight="true" outlineLevel="0" collapsed="false">
      <c r="A528" s="5" t="s">
        <v>2389</v>
      </c>
      <c r="C528" s="5"/>
      <c r="D528" s="5" t="s">
        <v>62</v>
      </c>
      <c r="J528" s="18"/>
      <c r="K528" s="18"/>
      <c r="L528" s="5" t="s">
        <v>84</v>
      </c>
      <c r="M528" s="5" t="s">
        <v>65</v>
      </c>
      <c r="N528" s="8" t="s">
        <v>2384</v>
      </c>
      <c r="T528" s="5" t="s">
        <v>2390</v>
      </c>
      <c r="U528" s="5" t="s">
        <v>70</v>
      </c>
      <c r="V528" s="5" t="s">
        <v>2391</v>
      </c>
      <c r="W528" s="5" t="s">
        <v>102</v>
      </c>
      <c r="X528" s="5" t="s">
        <v>139</v>
      </c>
      <c r="Y528" s="5" t="s">
        <v>73</v>
      </c>
      <c r="Z528" s="5" t="s">
        <v>70</v>
      </c>
      <c r="AD528" s="5" t="s">
        <v>2392</v>
      </c>
      <c r="AE528" s="5" t="s">
        <v>74</v>
      </c>
      <c r="AI528" s="9" t="n">
        <v>44651</v>
      </c>
      <c r="AK528" s="5" t="s">
        <v>75</v>
      </c>
      <c r="AM528" s="5" t="s">
        <v>182</v>
      </c>
      <c r="AN528" s="5" t="s">
        <v>2388</v>
      </c>
      <c r="AQ528" s="5" t="s">
        <v>77</v>
      </c>
      <c r="AR528" s="5" t="s">
        <v>185</v>
      </c>
      <c r="AS528" s="5" t="s">
        <v>73</v>
      </c>
      <c r="AT528" s="5" t="s">
        <v>374</v>
      </c>
      <c r="AW528" s="5" t="s">
        <v>94</v>
      </c>
      <c r="AX528" s="10" t="str">
        <f aca="false">IFERROR(INDEX('full database 2024'!ar:ar, MATCH(A528, 'full database 2024'!b:b, 0)), "")</f>
        <v/>
      </c>
      <c r="AZ528" s="5" t="s">
        <v>534</v>
      </c>
      <c r="BD528" s="9" t="n">
        <v>44985</v>
      </c>
      <c r="BE528" s="9" t="n">
        <v>45036</v>
      </c>
      <c r="BI528" s="5" t="s">
        <v>81</v>
      </c>
      <c r="BJ528" s="5" t="n">
        <v>2022</v>
      </c>
    </row>
    <row r="529" customFormat="false" ht="16.5" hidden="false" customHeight="true" outlineLevel="0" collapsed="false">
      <c r="A529" s="5" t="s">
        <v>2393</v>
      </c>
      <c r="C529" s="5"/>
      <c r="D529" s="5" t="s">
        <v>62</v>
      </c>
      <c r="J529" s="18"/>
      <c r="K529" s="18"/>
      <c r="L529" s="5" t="s">
        <v>84</v>
      </c>
      <c r="M529" s="5" t="s">
        <v>65</v>
      </c>
      <c r="N529" s="8" t="s">
        <v>2394</v>
      </c>
      <c r="P529" s="5"/>
      <c r="Q529" s="5"/>
      <c r="R529" s="5" t="s">
        <v>2395</v>
      </c>
      <c r="T529" s="5" t="s">
        <v>2396</v>
      </c>
      <c r="U529" s="5" t="s">
        <v>2397</v>
      </c>
      <c r="V529" s="5" t="s">
        <v>2172</v>
      </c>
      <c r="W529" s="5" t="s">
        <v>305</v>
      </c>
      <c r="X529" s="5" t="s">
        <v>160</v>
      </c>
      <c r="Y529" s="5" t="s">
        <v>73</v>
      </c>
      <c r="Z529" s="5" t="s">
        <v>70</v>
      </c>
      <c r="AD529" s="5" t="s">
        <v>2398</v>
      </c>
      <c r="AE529" s="5" t="s">
        <v>74</v>
      </c>
      <c r="AI529" s="9" t="n">
        <v>43891</v>
      </c>
      <c r="AJ529" s="5" t="n">
        <v>2</v>
      </c>
      <c r="AK529" s="5" t="s">
        <v>228</v>
      </c>
      <c r="AL529" s="5" t="n">
        <v>0</v>
      </c>
      <c r="AM529" s="5" t="s">
        <v>2399</v>
      </c>
      <c r="AN529" s="5"/>
      <c r="AQ529" s="5" t="s">
        <v>77</v>
      </c>
      <c r="AR529" s="5" t="s">
        <v>2400</v>
      </c>
      <c r="AS529" s="5" t="s">
        <v>73</v>
      </c>
      <c r="AT529" s="5" t="s">
        <v>71</v>
      </c>
      <c r="AU529" s="10" t="s">
        <v>286</v>
      </c>
      <c r="AW529" s="5" t="s">
        <v>201</v>
      </c>
      <c r="AX529" s="10" t="str">
        <f aca="false">IFERROR(INDEX('full database 2024'!ar:ar, MATCH(A529, 'full database 2024'!b:b, 0)), "")</f>
        <v/>
      </c>
      <c r="AZ529" s="5" t="s">
        <v>95</v>
      </c>
      <c r="BD529" s="9" t="n">
        <v>45036</v>
      </c>
      <c r="BE529" s="9" t="n">
        <v>45036</v>
      </c>
      <c r="BI529" s="5" t="s">
        <v>81</v>
      </c>
      <c r="BJ529" s="5" t="n">
        <v>2020</v>
      </c>
      <c r="BK529" s="11" t="n">
        <v>44564</v>
      </c>
    </row>
    <row r="530" customFormat="false" ht="16.5" hidden="false" customHeight="true" outlineLevel="0" collapsed="false">
      <c r="A530" s="5" t="s">
        <v>2401</v>
      </c>
      <c r="C530" s="5"/>
      <c r="D530" s="5" t="s">
        <v>62</v>
      </c>
      <c r="J530" s="18"/>
      <c r="K530" s="18"/>
      <c r="L530" s="5" t="s">
        <v>84</v>
      </c>
      <c r="M530" s="5" t="s">
        <v>65</v>
      </c>
      <c r="N530" s="8" t="s">
        <v>2402</v>
      </c>
      <c r="P530" s="5"/>
      <c r="Q530" s="5"/>
      <c r="R530" s="5" t="s">
        <v>2395</v>
      </c>
      <c r="T530" s="5" t="s">
        <v>2403</v>
      </c>
      <c r="U530" s="5" t="s">
        <v>70</v>
      </c>
      <c r="V530" s="5" t="s">
        <v>2404</v>
      </c>
      <c r="W530" s="5" t="s">
        <v>102</v>
      </c>
      <c r="X530" s="5" t="s">
        <v>333</v>
      </c>
      <c r="Y530" s="5" t="s">
        <v>73</v>
      </c>
      <c r="Z530" s="5" t="s">
        <v>70</v>
      </c>
      <c r="AD530" s="5" t="s">
        <v>2405</v>
      </c>
      <c r="AE530" s="5" t="s">
        <v>74</v>
      </c>
      <c r="AI530" s="9" t="n">
        <v>44495</v>
      </c>
      <c r="AJ530" s="5" t="n">
        <v>3</v>
      </c>
      <c r="AK530" s="5" t="s">
        <v>75</v>
      </c>
      <c r="AL530" s="5" t="n">
        <v>0</v>
      </c>
      <c r="AM530" s="5" t="s">
        <v>2406</v>
      </c>
      <c r="AN530" s="5"/>
      <c r="AQ530" s="5" t="s">
        <v>77</v>
      </c>
      <c r="AR530" s="5" t="s">
        <v>333</v>
      </c>
      <c r="AS530" s="5" t="s">
        <v>73</v>
      </c>
      <c r="AT530" s="5" t="s">
        <v>78</v>
      </c>
      <c r="AU530" s="10" t="s">
        <v>259</v>
      </c>
      <c r="AV530" s="10"/>
      <c r="AW530" s="5" t="s">
        <v>94</v>
      </c>
      <c r="AX530" s="10" t="str">
        <f aca="false">IFERROR(INDEX('full database 2024'!ar:ar, MATCH(A530, 'full database 2024'!b:b, 0)), "")</f>
        <v/>
      </c>
      <c r="AZ530" s="5" t="s">
        <v>129</v>
      </c>
      <c r="BD530" s="9" t="n">
        <v>45036</v>
      </c>
      <c r="BE530" s="9" t="n">
        <v>45036</v>
      </c>
      <c r="BI530" s="5" t="s">
        <v>81</v>
      </c>
      <c r="BJ530" s="5" t="n">
        <v>2021</v>
      </c>
      <c r="BK530" s="5" t="s">
        <v>2407</v>
      </c>
    </row>
    <row r="531" customFormat="false" ht="16.5" hidden="false" customHeight="true" outlineLevel="0" collapsed="false">
      <c r="A531" s="5" t="s">
        <v>2408</v>
      </c>
      <c r="B531" s="5" t="s">
        <v>2409</v>
      </c>
      <c r="C531" s="5"/>
      <c r="D531" s="5" t="s">
        <v>62</v>
      </c>
      <c r="J531" s="18"/>
      <c r="K531" s="18"/>
      <c r="L531" s="5" t="s">
        <v>84</v>
      </c>
      <c r="M531" s="5" t="s">
        <v>65</v>
      </c>
      <c r="N531" s="8" t="s">
        <v>2410</v>
      </c>
      <c r="O531" s="5" t="s">
        <v>2411</v>
      </c>
      <c r="P531" s="5"/>
      <c r="Q531" s="5"/>
      <c r="R531" s="5" t="s">
        <v>2395</v>
      </c>
      <c r="T531" s="5" t="s">
        <v>2412</v>
      </c>
      <c r="U531" s="5" t="s">
        <v>2413</v>
      </c>
      <c r="V531" s="5" t="s">
        <v>270</v>
      </c>
      <c r="W531" s="5" t="s">
        <v>90</v>
      </c>
      <c r="X531" s="5" t="s">
        <v>271</v>
      </c>
      <c r="Y531" s="5" t="s">
        <v>73</v>
      </c>
      <c r="Z531" s="5" t="s">
        <v>70</v>
      </c>
      <c r="AC531" s="5" t="s">
        <v>2414</v>
      </c>
      <c r="AD531" s="5" t="s">
        <v>270</v>
      </c>
      <c r="AE531" s="5" t="s">
        <v>117</v>
      </c>
      <c r="AI531" s="9" t="n">
        <v>43894</v>
      </c>
      <c r="AJ531" s="5" t="n">
        <v>4</v>
      </c>
      <c r="AK531" s="5" t="s">
        <v>75</v>
      </c>
      <c r="AL531" s="5" t="n">
        <v>0</v>
      </c>
      <c r="AM531" s="5" t="s">
        <v>2415</v>
      </c>
      <c r="AN531" s="5"/>
      <c r="AQ531" s="5" t="s">
        <v>77</v>
      </c>
      <c r="AR531" s="5" t="s">
        <v>271</v>
      </c>
      <c r="AS531" s="5" t="s">
        <v>73</v>
      </c>
      <c r="AT531" s="5" t="s">
        <v>78</v>
      </c>
      <c r="AW531" s="5" t="s">
        <v>94</v>
      </c>
      <c r="AX531" s="10" t="str">
        <f aca="false">IFERROR(INDEX('full database 2024'!ar:ar, MATCH(A531, 'full database 2024'!b:b, 0)), "")</f>
        <v/>
      </c>
      <c r="AZ531" s="5" t="s">
        <v>129</v>
      </c>
      <c r="BD531" s="9" t="n">
        <v>45037</v>
      </c>
      <c r="BE531" s="9" t="n">
        <v>45779</v>
      </c>
      <c r="BI531" s="5" t="s">
        <v>81</v>
      </c>
      <c r="BJ531" s="5" t="n">
        <v>2020</v>
      </c>
      <c r="BK531" s="11" t="n">
        <v>45385</v>
      </c>
    </row>
    <row r="532" customFormat="false" ht="16.5" hidden="false" customHeight="true" outlineLevel="0" collapsed="false">
      <c r="A532" s="5" t="s">
        <v>2416</v>
      </c>
      <c r="B532" s="5" t="s">
        <v>2417</v>
      </c>
      <c r="C532" s="5"/>
      <c r="D532" s="5" t="s">
        <v>62</v>
      </c>
      <c r="G532" s="5" t="s">
        <v>147</v>
      </c>
      <c r="H532" s="6" t="n">
        <v>0</v>
      </c>
      <c r="J532" s="18"/>
      <c r="K532" s="18"/>
      <c r="L532" s="5" t="s">
        <v>84</v>
      </c>
      <c r="M532" s="5" t="s">
        <v>65</v>
      </c>
      <c r="N532" s="8" t="s">
        <v>2418</v>
      </c>
      <c r="O532" s="5" t="s">
        <v>2419</v>
      </c>
      <c r="P532" s="5"/>
      <c r="Q532" s="5"/>
      <c r="R532" s="5" t="s">
        <v>2395</v>
      </c>
      <c r="T532" s="5" t="s">
        <v>2420</v>
      </c>
      <c r="U532" s="5" t="s">
        <v>2421</v>
      </c>
      <c r="V532" s="5" t="s">
        <v>270</v>
      </c>
      <c r="W532" s="5" t="s">
        <v>90</v>
      </c>
      <c r="X532" s="5" t="s">
        <v>271</v>
      </c>
      <c r="Y532" s="5" t="s">
        <v>73</v>
      </c>
      <c r="Z532" s="5" t="s">
        <v>70</v>
      </c>
      <c r="AC532" s="5"/>
      <c r="AD532" s="5" t="s">
        <v>70</v>
      </c>
      <c r="AE532" s="5" t="s">
        <v>117</v>
      </c>
      <c r="AI532" s="9" t="n">
        <v>44138</v>
      </c>
      <c r="AJ532" s="5" t="n">
        <v>5</v>
      </c>
      <c r="AK532" s="5" t="s">
        <v>75</v>
      </c>
      <c r="AL532" s="5" t="n">
        <v>0</v>
      </c>
      <c r="AM532" s="5" t="s">
        <v>2415</v>
      </c>
      <c r="AN532" s="5"/>
      <c r="AO532" s="5" t="s">
        <v>720</v>
      </c>
      <c r="AQ532" s="5" t="s">
        <v>77</v>
      </c>
      <c r="AR532" s="5" t="s">
        <v>271</v>
      </c>
      <c r="AS532" s="5" t="s">
        <v>73</v>
      </c>
      <c r="AT532" s="5" t="s">
        <v>374</v>
      </c>
      <c r="AW532" s="5" t="s">
        <v>94</v>
      </c>
      <c r="AX532" s="10" t="str">
        <f aca="false">IFERROR(INDEX('full database 2024'!ar:ar, MATCH(A532, 'full database 2024'!b:b, 0)), "")</f>
        <v/>
      </c>
      <c r="AZ532" s="5" t="s">
        <v>239</v>
      </c>
      <c r="BD532" s="9" t="n">
        <v>45037</v>
      </c>
      <c r="BE532" s="9" t="n">
        <v>45733</v>
      </c>
      <c r="BI532" s="5" t="s">
        <v>81</v>
      </c>
      <c r="BJ532" s="5" t="n">
        <v>2020</v>
      </c>
      <c r="BK532" s="11" t="n">
        <v>45727</v>
      </c>
    </row>
    <row r="533" customFormat="false" ht="16.5" hidden="false" customHeight="true" outlineLevel="0" collapsed="false">
      <c r="A533" s="5" t="s">
        <v>2422</v>
      </c>
      <c r="B533" s="5" t="s">
        <v>2423</v>
      </c>
      <c r="C533" s="5"/>
      <c r="D533" s="5" t="s">
        <v>62</v>
      </c>
      <c r="G533" s="5" t="s">
        <v>147</v>
      </c>
      <c r="H533" s="6"/>
      <c r="J533" s="18"/>
      <c r="K533" s="18"/>
      <c r="L533" s="5" t="s">
        <v>84</v>
      </c>
      <c r="M533" s="5" t="s">
        <v>65</v>
      </c>
      <c r="N533" s="8" t="s">
        <v>2424</v>
      </c>
      <c r="O533" s="5" t="s">
        <v>2425</v>
      </c>
      <c r="P533" s="5"/>
      <c r="Q533" s="5"/>
      <c r="R533" s="5" t="s">
        <v>2395</v>
      </c>
      <c r="T533" s="5" t="s">
        <v>2426</v>
      </c>
      <c r="U533" s="5" t="s">
        <v>2413</v>
      </c>
      <c r="V533" s="5" t="s">
        <v>270</v>
      </c>
      <c r="W533" s="5" t="s">
        <v>90</v>
      </c>
      <c r="X533" s="5" t="s">
        <v>271</v>
      </c>
      <c r="Y533" s="5" t="s">
        <v>73</v>
      </c>
      <c r="Z533" s="5" t="s">
        <v>70</v>
      </c>
      <c r="AD533" s="5"/>
      <c r="AE533" s="5" t="s">
        <v>117</v>
      </c>
      <c r="AI533" s="9" t="n">
        <v>44095</v>
      </c>
      <c r="AJ533" s="5" t="n">
        <v>4</v>
      </c>
      <c r="AK533" s="5" t="s">
        <v>75</v>
      </c>
      <c r="AL533" s="5" t="n">
        <v>0</v>
      </c>
      <c r="AM533" s="5" t="s">
        <v>2415</v>
      </c>
      <c r="AN533" s="5"/>
      <c r="AO533" s="5"/>
      <c r="AQ533" s="5" t="s">
        <v>77</v>
      </c>
      <c r="AR533" s="5" t="s">
        <v>271</v>
      </c>
      <c r="AS533" s="5" t="s">
        <v>73</v>
      </c>
      <c r="AT533" s="5" t="s">
        <v>78</v>
      </c>
      <c r="AW533" s="5" t="s">
        <v>94</v>
      </c>
      <c r="AX533" s="10" t="str">
        <f aca="false">IFERROR(INDEX('full database 2024'!ar:ar, MATCH(A533, 'full database 2024'!b:b, 0)), "")</f>
        <v/>
      </c>
      <c r="AZ533" s="5" t="s">
        <v>188</v>
      </c>
      <c r="BD533" s="9" t="n">
        <v>45037</v>
      </c>
      <c r="BE533" s="9" t="n">
        <v>45779</v>
      </c>
      <c r="BI533" s="5" t="s">
        <v>81</v>
      </c>
      <c r="BJ533" s="5" t="n">
        <v>2020</v>
      </c>
      <c r="BK533" s="5" t="s">
        <v>2427</v>
      </c>
    </row>
    <row r="534" customFormat="false" ht="16.5" hidden="false" customHeight="true" outlineLevel="0" collapsed="false">
      <c r="A534" s="5" t="s">
        <v>2428</v>
      </c>
      <c r="B534" s="5" t="s">
        <v>2359</v>
      </c>
      <c r="C534" s="5"/>
      <c r="D534" s="5" t="s">
        <v>62</v>
      </c>
      <c r="G534" s="5" t="s">
        <v>147</v>
      </c>
      <c r="H534" s="6" t="n">
        <v>0</v>
      </c>
      <c r="J534" s="18"/>
      <c r="K534" s="18"/>
      <c r="L534" s="5" t="s">
        <v>84</v>
      </c>
      <c r="M534" s="5" t="s">
        <v>65</v>
      </c>
      <c r="N534" s="8" t="s">
        <v>2429</v>
      </c>
      <c r="O534" s="5" t="s">
        <v>2430</v>
      </c>
      <c r="P534" s="5"/>
      <c r="Q534" s="5"/>
      <c r="R534" s="5" t="s">
        <v>2395</v>
      </c>
      <c r="T534" s="5" t="s">
        <v>2431</v>
      </c>
      <c r="U534" s="5" t="s">
        <v>2432</v>
      </c>
      <c r="V534" s="5" t="s">
        <v>2433</v>
      </c>
      <c r="W534" s="5" t="s">
        <v>90</v>
      </c>
      <c r="X534" s="5" t="s">
        <v>271</v>
      </c>
      <c r="Y534" s="5" t="s">
        <v>73</v>
      </c>
      <c r="Z534" s="5" t="s">
        <v>70</v>
      </c>
      <c r="AC534" s="5" t="s">
        <v>2434</v>
      </c>
      <c r="AD534" s="5" t="s">
        <v>2433</v>
      </c>
      <c r="AE534" s="5" t="s">
        <v>117</v>
      </c>
      <c r="AI534" s="9" t="n">
        <v>44105</v>
      </c>
      <c r="AJ534" s="5" t="n">
        <v>4</v>
      </c>
      <c r="AK534" s="5" t="s">
        <v>75</v>
      </c>
      <c r="AL534" s="5" t="n">
        <v>0</v>
      </c>
      <c r="AM534" s="5" t="s">
        <v>2415</v>
      </c>
      <c r="AN534" s="5"/>
      <c r="AO534" s="5" t="s">
        <v>720</v>
      </c>
      <c r="AQ534" s="5" t="s">
        <v>77</v>
      </c>
      <c r="AR534" s="5" t="s">
        <v>271</v>
      </c>
      <c r="AS534" s="5" t="s">
        <v>73</v>
      </c>
      <c r="AT534" s="5" t="s">
        <v>374</v>
      </c>
      <c r="AW534" s="5" t="s">
        <v>94</v>
      </c>
      <c r="AX534" s="10" t="str">
        <f aca="false">IFERROR(INDEX('full database 2024'!ar:ar, MATCH(A534, 'full database 2024'!b:b, 0)), "")</f>
        <v/>
      </c>
      <c r="AZ534" s="5" t="s">
        <v>239</v>
      </c>
      <c r="BD534" s="9" t="n">
        <v>45037</v>
      </c>
      <c r="BE534" s="9" t="n">
        <v>45667</v>
      </c>
      <c r="BI534" s="5" t="s">
        <v>81</v>
      </c>
      <c r="BJ534" s="5" t="n">
        <v>2020</v>
      </c>
      <c r="BK534" s="11" t="n">
        <v>45301</v>
      </c>
    </row>
    <row r="535" customFormat="false" ht="16.5" hidden="false" customHeight="true" outlineLevel="0" collapsed="false">
      <c r="A535" s="5" t="s">
        <v>2435</v>
      </c>
      <c r="B535" s="5"/>
      <c r="C535" s="5"/>
      <c r="D535" s="5" t="s">
        <v>62</v>
      </c>
      <c r="G535" s="5" t="s">
        <v>147</v>
      </c>
      <c r="H535" s="6"/>
      <c r="J535" s="18"/>
      <c r="K535" s="18"/>
      <c r="L535" s="5" t="s">
        <v>84</v>
      </c>
      <c r="M535" s="5" t="s">
        <v>65</v>
      </c>
      <c r="N535" s="8" t="s">
        <v>2436</v>
      </c>
      <c r="O535" s="5"/>
      <c r="P535" s="5"/>
      <c r="Q535" s="5"/>
      <c r="R535" s="5" t="s">
        <v>2395</v>
      </c>
      <c r="T535" s="5" t="s">
        <v>2437</v>
      </c>
      <c r="U535" s="5" t="s">
        <v>2438</v>
      </c>
      <c r="V535" s="5" t="s">
        <v>2439</v>
      </c>
      <c r="W535" s="5" t="s">
        <v>90</v>
      </c>
      <c r="X535" s="5" t="s">
        <v>271</v>
      </c>
      <c r="Y535" s="5" t="s">
        <v>73</v>
      </c>
      <c r="Z535" s="5" t="s">
        <v>70</v>
      </c>
      <c r="AC535" s="5"/>
      <c r="AD535" s="5"/>
      <c r="AE535" s="5" t="s">
        <v>117</v>
      </c>
      <c r="AI535" s="9" t="n">
        <v>44197</v>
      </c>
      <c r="AJ535" s="5" t="n">
        <v>2</v>
      </c>
      <c r="AK535" s="5" t="s">
        <v>228</v>
      </c>
      <c r="AL535" s="5" t="n">
        <v>0</v>
      </c>
      <c r="AM535" s="5" t="s">
        <v>2415</v>
      </c>
      <c r="AN535" s="5"/>
      <c r="AO535" s="5"/>
      <c r="AQ535" s="5" t="s">
        <v>77</v>
      </c>
      <c r="AR535" s="5" t="s">
        <v>271</v>
      </c>
      <c r="AS535" s="5" t="s">
        <v>73</v>
      </c>
      <c r="AT535" s="5" t="s">
        <v>105</v>
      </c>
      <c r="AU535" s="10" t="s">
        <v>186</v>
      </c>
      <c r="AW535" s="5" t="s">
        <v>94</v>
      </c>
      <c r="AX535" s="10" t="str">
        <f aca="false">IFERROR(INDEX('full database 2024'!ar:ar, MATCH(A535, 'full database 2024'!b:b, 0)), "")</f>
        <v/>
      </c>
      <c r="AZ535" s="5" t="s">
        <v>540</v>
      </c>
      <c r="BD535" s="9" t="n">
        <v>45037</v>
      </c>
      <c r="BE535" s="9" t="n">
        <v>45037</v>
      </c>
      <c r="BI535" s="5" t="s">
        <v>81</v>
      </c>
      <c r="BJ535" s="5" t="n">
        <v>2021</v>
      </c>
      <c r="BK535" s="11" t="n">
        <v>44927</v>
      </c>
    </row>
    <row r="536" customFormat="false" ht="16.5" hidden="false" customHeight="true" outlineLevel="0" collapsed="false">
      <c r="A536" s="5" t="s">
        <v>2440</v>
      </c>
      <c r="C536" s="5"/>
      <c r="D536" s="5" t="s">
        <v>62</v>
      </c>
      <c r="G536" s="5" t="s">
        <v>147</v>
      </c>
      <c r="J536" s="18"/>
      <c r="K536" s="18"/>
      <c r="L536" s="5" t="s">
        <v>84</v>
      </c>
      <c r="M536" s="5" t="s">
        <v>65</v>
      </c>
      <c r="N536" s="8" t="s">
        <v>2441</v>
      </c>
      <c r="P536" s="5"/>
      <c r="Q536" s="5"/>
      <c r="R536" s="5" t="s">
        <v>2395</v>
      </c>
      <c r="T536" s="5" t="s">
        <v>2442</v>
      </c>
      <c r="U536" s="5" t="s">
        <v>2413</v>
      </c>
      <c r="V536" s="5" t="s">
        <v>270</v>
      </c>
      <c r="W536" s="5" t="s">
        <v>90</v>
      </c>
      <c r="X536" s="5" t="s">
        <v>271</v>
      </c>
      <c r="Y536" s="5" t="s">
        <v>73</v>
      </c>
      <c r="Z536" s="5" t="s">
        <v>70</v>
      </c>
      <c r="AE536" s="5" t="s">
        <v>117</v>
      </c>
      <c r="AI536" s="9" t="n">
        <v>44224</v>
      </c>
      <c r="AJ536" s="5" t="n">
        <v>4</v>
      </c>
      <c r="AK536" s="5" t="s">
        <v>75</v>
      </c>
      <c r="AL536" s="5" t="n">
        <v>0</v>
      </c>
      <c r="AM536" s="5" t="s">
        <v>2415</v>
      </c>
      <c r="AN536" s="5"/>
      <c r="AQ536" s="5" t="s">
        <v>77</v>
      </c>
      <c r="AR536" s="5" t="s">
        <v>271</v>
      </c>
      <c r="AS536" s="5" t="s">
        <v>73</v>
      </c>
      <c r="AT536" s="5" t="s">
        <v>105</v>
      </c>
      <c r="AU536" s="10" t="s">
        <v>186</v>
      </c>
      <c r="AW536" s="5" t="s">
        <v>94</v>
      </c>
      <c r="AX536" s="10" t="str">
        <f aca="false">IFERROR(INDEX('full database 2024'!ar:ar, MATCH(A536, 'full database 2024'!b:b, 0)), "")</f>
        <v/>
      </c>
      <c r="AZ536" s="5" t="s">
        <v>540</v>
      </c>
      <c r="BD536" s="9" t="n">
        <v>45037</v>
      </c>
      <c r="BE536" s="9" t="n">
        <v>45037</v>
      </c>
      <c r="BI536" s="5" t="s">
        <v>81</v>
      </c>
      <c r="BJ536" s="5" t="n">
        <v>2021</v>
      </c>
      <c r="BK536" s="5" t="s">
        <v>2443</v>
      </c>
    </row>
    <row r="537" customFormat="false" ht="16.5" hidden="false" customHeight="true" outlineLevel="0" collapsed="false">
      <c r="A537" s="5" t="s">
        <v>2444</v>
      </c>
      <c r="C537" s="5"/>
      <c r="D537" s="5" t="s">
        <v>62</v>
      </c>
      <c r="G537" s="5" t="s">
        <v>147</v>
      </c>
      <c r="J537" s="18"/>
      <c r="K537" s="18"/>
      <c r="L537" s="5" t="s">
        <v>84</v>
      </c>
      <c r="M537" s="5" t="s">
        <v>65</v>
      </c>
      <c r="N537" s="8" t="s">
        <v>2445</v>
      </c>
      <c r="P537" s="5"/>
      <c r="Q537" s="5"/>
      <c r="R537" s="5" t="s">
        <v>2395</v>
      </c>
      <c r="T537" s="5" t="s">
        <v>2446</v>
      </c>
      <c r="U537" s="5" t="s">
        <v>2447</v>
      </c>
      <c r="V537" s="5" t="s">
        <v>270</v>
      </c>
      <c r="W537" s="5" t="s">
        <v>90</v>
      </c>
      <c r="X537" s="5" t="s">
        <v>271</v>
      </c>
      <c r="Y537" s="5" t="s">
        <v>73</v>
      </c>
      <c r="Z537" s="5" t="s">
        <v>70</v>
      </c>
      <c r="AE537" s="5" t="s">
        <v>117</v>
      </c>
      <c r="AI537" s="9" t="n">
        <v>44285</v>
      </c>
      <c r="AJ537" s="5" t="n">
        <v>4</v>
      </c>
      <c r="AK537" s="5" t="s">
        <v>75</v>
      </c>
      <c r="AL537" s="5" t="n">
        <v>0</v>
      </c>
      <c r="AM537" s="5" t="s">
        <v>2415</v>
      </c>
      <c r="AN537" s="5"/>
      <c r="AQ537" s="5" t="s">
        <v>77</v>
      </c>
      <c r="AR537" s="5" t="s">
        <v>271</v>
      </c>
      <c r="AS537" s="5" t="s">
        <v>73</v>
      </c>
      <c r="AT537" s="5" t="s">
        <v>105</v>
      </c>
      <c r="AU537" s="5" t="s">
        <v>186</v>
      </c>
      <c r="AV537" s="10" t="s">
        <v>569</v>
      </c>
      <c r="AW537" s="5" t="s">
        <v>94</v>
      </c>
      <c r="AX537" s="10" t="str">
        <f aca="false">IFERROR(INDEX('full database 2024'!ar:ar, MATCH(A537, 'full database 2024'!b:b, 0)), "")</f>
        <v/>
      </c>
      <c r="AZ537" s="5" t="s">
        <v>396</v>
      </c>
      <c r="BD537" s="9" t="n">
        <v>45037</v>
      </c>
      <c r="BE537" s="9" t="n">
        <v>45037</v>
      </c>
      <c r="BI537" s="5" t="s">
        <v>81</v>
      </c>
      <c r="BJ537" s="5" t="n">
        <v>2021</v>
      </c>
      <c r="BK537" s="5" t="s">
        <v>2448</v>
      </c>
    </row>
    <row r="538" customFormat="false" ht="16.5" hidden="false" customHeight="true" outlineLevel="0" collapsed="false">
      <c r="A538" s="5" t="s">
        <v>2449</v>
      </c>
      <c r="C538" s="5"/>
      <c r="D538" s="5" t="s">
        <v>62</v>
      </c>
      <c r="G538" s="5" t="s">
        <v>212</v>
      </c>
      <c r="J538" s="18"/>
      <c r="K538" s="18"/>
      <c r="L538" s="5" t="s">
        <v>84</v>
      </c>
      <c r="M538" s="5" t="s">
        <v>65</v>
      </c>
      <c r="N538" s="8" t="s">
        <v>2450</v>
      </c>
      <c r="P538" s="5"/>
      <c r="Q538" s="5"/>
      <c r="R538" s="5" t="s">
        <v>2395</v>
      </c>
      <c r="T538" s="5" t="s">
        <v>595</v>
      </c>
      <c r="U538" s="5" t="s">
        <v>596</v>
      </c>
      <c r="V538" s="5" t="s">
        <v>393</v>
      </c>
      <c r="W538" s="5" t="s">
        <v>90</v>
      </c>
      <c r="X538" s="5" t="s">
        <v>215</v>
      </c>
      <c r="Y538" s="5" t="s">
        <v>73</v>
      </c>
      <c r="Z538" s="5" t="s">
        <v>70</v>
      </c>
      <c r="AC538" s="5" t="s">
        <v>2451</v>
      </c>
      <c r="AD538" s="5" t="s">
        <v>393</v>
      </c>
      <c r="AE538" s="5" t="s">
        <v>117</v>
      </c>
      <c r="AI538" s="9" t="n">
        <v>44959</v>
      </c>
      <c r="AJ538" s="5" t="n">
        <v>1</v>
      </c>
      <c r="AK538" s="5" t="s">
        <v>75</v>
      </c>
      <c r="AL538" s="5" t="n">
        <v>0</v>
      </c>
      <c r="AM538" s="5" t="s">
        <v>2452</v>
      </c>
      <c r="AN538" s="5"/>
      <c r="AQ538" s="5" t="s">
        <v>102</v>
      </c>
      <c r="AR538" s="5" t="s">
        <v>215</v>
      </c>
      <c r="AS538" s="5" t="s">
        <v>73</v>
      </c>
      <c r="AT538" s="5" t="s">
        <v>78</v>
      </c>
      <c r="AW538" s="5" t="s">
        <v>94</v>
      </c>
      <c r="AX538" s="10" t="str">
        <f aca="false">IFERROR(INDEX('full database 2024'!ar:ar, MATCH(A538, 'full database 2024'!b:b, 0)), "")</f>
        <v/>
      </c>
      <c r="AZ538" s="5" t="s">
        <v>129</v>
      </c>
      <c r="BD538" s="9" t="n">
        <v>45037</v>
      </c>
      <c r="BE538" s="9" t="n">
        <v>45037</v>
      </c>
      <c r="BI538" s="5" t="s">
        <v>81</v>
      </c>
      <c r="BJ538" s="5" t="n">
        <v>2023</v>
      </c>
      <c r="BK538" s="11" t="n">
        <v>45324</v>
      </c>
    </row>
    <row r="539" customFormat="false" ht="16.5" hidden="false" customHeight="true" outlineLevel="0" collapsed="false">
      <c r="A539" s="5" t="s">
        <v>2453</v>
      </c>
      <c r="B539" s="5" t="s">
        <v>2454</v>
      </c>
      <c r="C539" s="5"/>
      <c r="D539" s="5" t="s">
        <v>62</v>
      </c>
      <c r="E539" s="5" t="n">
        <v>458974</v>
      </c>
      <c r="G539" s="5" t="s">
        <v>732</v>
      </c>
      <c r="H539" s="6" t="n">
        <v>499829</v>
      </c>
      <c r="J539" s="7" t="n">
        <f aca="false">E539*1.07</f>
        <v>491102.18</v>
      </c>
      <c r="K539" s="7" t="n">
        <f aca="false">F539*1.07</f>
        <v>0</v>
      </c>
      <c r="L539" s="5" t="s">
        <v>84</v>
      </c>
      <c r="M539" s="5" t="s">
        <v>65</v>
      </c>
      <c r="N539" s="8" t="s">
        <v>2455</v>
      </c>
      <c r="O539" s="5" t="s">
        <v>2456</v>
      </c>
      <c r="P539" s="5"/>
      <c r="Q539" s="5"/>
      <c r="R539" s="5"/>
      <c r="T539" s="5" t="s">
        <v>2149</v>
      </c>
      <c r="U539" s="5"/>
      <c r="V539" s="5" t="s">
        <v>993</v>
      </c>
      <c r="W539" s="5" t="s">
        <v>384</v>
      </c>
      <c r="X539" s="5" t="s">
        <v>737</v>
      </c>
      <c r="Y539" s="5" t="s">
        <v>73</v>
      </c>
      <c r="Z539" s="5"/>
      <c r="AC539" s="5" t="s">
        <v>1192</v>
      </c>
      <c r="AD539" s="5" t="s">
        <v>2457</v>
      </c>
      <c r="AE539" s="5" t="s">
        <v>74</v>
      </c>
      <c r="AI539" s="9" t="n">
        <v>44166</v>
      </c>
      <c r="AJ539" s="5"/>
      <c r="AK539" s="5"/>
      <c r="AL539" s="5" t="n">
        <v>499829</v>
      </c>
      <c r="AM539" s="5" t="s">
        <v>736</v>
      </c>
      <c r="AN539" s="5"/>
      <c r="AQ539" s="5" t="s">
        <v>77</v>
      </c>
      <c r="AR539" s="5" t="s">
        <v>737</v>
      </c>
      <c r="AS539" s="5" t="s">
        <v>73</v>
      </c>
      <c r="AT539" s="5" t="s">
        <v>78</v>
      </c>
      <c r="AW539" s="5" t="s">
        <v>94</v>
      </c>
      <c r="AX539" s="10" t="str">
        <f aca="false">IFERROR(INDEX('full database 2024'!ar:ar, MATCH(A539, 'full database 2024'!b:b, 0)), "")</f>
        <v/>
      </c>
      <c r="AZ539" s="5" t="s">
        <v>396</v>
      </c>
      <c r="BD539" s="9" t="n">
        <v>45377</v>
      </c>
      <c r="BE539" s="9" t="n">
        <v>45733</v>
      </c>
      <c r="BI539" s="5" t="s">
        <v>81</v>
      </c>
      <c r="BJ539" s="5" t="n">
        <v>2020</v>
      </c>
      <c r="BK539" s="11" t="n">
        <v>44938</v>
      </c>
    </row>
    <row r="540" customFormat="false" ht="16.5" hidden="false" customHeight="true" outlineLevel="0" collapsed="false">
      <c r="A540" s="5" t="s">
        <v>2458</v>
      </c>
      <c r="B540" s="5"/>
      <c r="C540" s="5"/>
      <c r="D540" s="5" t="s">
        <v>62</v>
      </c>
      <c r="E540" s="5"/>
      <c r="G540" s="5" t="s">
        <v>147</v>
      </c>
      <c r="H540" s="6"/>
      <c r="J540" s="7"/>
      <c r="K540" s="18"/>
      <c r="L540" s="5" t="s">
        <v>84</v>
      </c>
      <c r="M540" s="5" t="s">
        <v>65</v>
      </c>
      <c r="N540" s="5"/>
      <c r="O540" s="5"/>
      <c r="T540" s="5"/>
      <c r="V540" s="5" t="e">
        <f aca="false">#error!</f>
        <v>#NAME?</v>
      </c>
      <c r="W540" s="5"/>
      <c r="X540" s="5"/>
      <c r="Y540" s="5" t="s">
        <v>73</v>
      </c>
      <c r="AC540" s="5"/>
      <c r="AD540" s="5"/>
      <c r="AE540" s="5"/>
      <c r="AI540" s="9" t="n">
        <v>44667</v>
      </c>
      <c r="AL540" s="5"/>
      <c r="AM540" s="5" t="s">
        <v>924</v>
      </c>
      <c r="AN540" s="5"/>
      <c r="AQ540" s="5" t="s">
        <v>77</v>
      </c>
      <c r="AR540" s="5" t="s">
        <v>151</v>
      </c>
      <c r="AS540" s="5" t="s">
        <v>73</v>
      </c>
      <c r="AT540" s="5" t="s">
        <v>105</v>
      </c>
      <c r="AU540" s="10" t="s">
        <v>186</v>
      </c>
      <c r="AW540" s="5" t="s">
        <v>94</v>
      </c>
      <c r="AX540" s="10" t="str">
        <f aca="false">IFERROR(INDEX('full database 2024'!ar:ar, MATCH(A540, 'full database 2024'!b:b, 0)), "")</f>
        <v/>
      </c>
      <c r="AZ540" s="5" t="s">
        <v>129</v>
      </c>
      <c r="BD540" s="9" t="n">
        <v>45596</v>
      </c>
      <c r="BE540" s="9" t="n">
        <v>45596</v>
      </c>
      <c r="BI540" s="5"/>
      <c r="BJ540" s="5" t="n">
        <v>2022</v>
      </c>
      <c r="BK540" s="11"/>
    </row>
    <row r="541" customFormat="false" ht="16.5" hidden="false" customHeight="true" outlineLevel="0" collapsed="false">
      <c r="A541" s="5" t="s">
        <v>2459</v>
      </c>
      <c r="C541" s="5"/>
      <c r="D541" s="5" t="s">
        <v>62</v>
      </c>
      <c r="G541" s="5" t="s">
        <v>147</v>
      </c>
      <c r="J541" s="18"/>
      <c r="K541" s="18"/>
      <c r="L541" s="5" t="s">
        <v>84</v>
      </c>
      <c r="M541" s="5" t="s">
        <v>65</v>
      </c>
      <c r="N541" s="8" t="s">
        <v>2460</v>
      </c>
      <c r="T541" s="5" t="s">
        <v>2461</v>
      </c>
      <c r="V541" s="5" t="s">
        <v>2462</v>
      </c>
      <c r="X541" s="5" t="s">
        <v>271</v>
      </c>
      <c r="Y541" s="5" t="s">
        <v>73</v>
      </c>
      <c r="AI541" s="9" t="n">
        <v>44105</v>
      </c>
      <c r="AJ541" s="5" t="n">
        <v>12</v>
      </c>
      <c r="AK541" s="5" t="s">
        <v>216</v>
      </c>
      <c r="AL541" s="5" t="n">
        <v>0</v>
      </c>
      <c r="AM541" s="5" t="s">
        <v>2362</v>
      </c>
      <c r="AN541" s="5"/>
      <c r="AQ541" s="5" t="s">
        <v>77</v>
      </c>
      <c r="AR541" s="5" t="s">
        <v>271</v>
      </c>
      <c r="AS541" s="5" t="s">
        <v>73</v>
      </c>
      <c r="AT541" s="5" t="s">
        <v>78</v>
      </c>
      <c r="AW541" s="5" t="s">
        <v>94</v>
      </c>
      <c r="AX541" s="10" t="str">
        <f aca="false">IFERROR(INDEX('full database 2024'!ar:ar, MATCH(A541, 'full database 2024'!b:b, 0)), "")</f>
        <v/>
      </c>
      <c r="AZ541" s="5" t="s">
        <v>188</v>
      </c>
      <c r="BD541" s="9" t="n">
        <v>45596</v>
      </c>
      <c r="BE541" s="9" t="n">
        <v>45596</v>
      </c>
      <c r="BJ541" s="5" t="n">
        <v>2020</v>
      </c>
      <c r="BK541" s="11" t="n">
        <v>36526</v>
      </c>
    </row>
    <row r="542" customFormat="false" ht="16.5" hidden="false" customHeight="true" outlineLevel="0" collapsed="false">
      <c r="A542" s="5" t="s">
        <v>2463</v>
      </c>
      <c r="C542" s="5"/>
      <c r="D542" s="5" t="s">
        <v>62</v>
      </c>
      <c r="G542" s="5" t="s">
        <v>147</v>
      </c>
      <c r="J542" s="18"/>
      <c r="K542" s="18"/>
      <c r="L542" s="5" t="s">
        <v>84</v>
      </c>
      <c r="M542" s="5" t="s">
        <v>65</v>
      </c>
      <c r="N542" s="8" t="s">
        <v>2464</v>
      </c>
      <c r="T542" s="5" t="s">
        <v>2465</v>
      </c>
      <c r="V542" s="5" t="s">
        <v>2466</v>
      </c>
      <c r="X542" s="5" t="s">
        <v>271</v>
      </c>
      <c r="Y542" s="5" t="s">
        <v>73</v>
      </c>
      <c r="AI542" s="9" t="n">
        <v>43841</v>
      </c>
      <c r="AJ542" s="5" t="n">
        <v>24</v>
      </c>
      <c r="AK542" s="5" t="s">
        <v>216</v>
      </c>
      <c r="AL542" s="5" t="n">
        <v>0</v>
      </c>
      <c r="AM542" s="5" t="s">
        <v>2362</v>
      </c>
      <c r="AN542" s="5"/>
      <c r="AQ542" s="5" t="s">
        <v>77</v>
      </c>
      <c r="AR542" s="5" t="s">
        <v>271</v>
      </c>
      <c r="AS542" s="5" t="s">
        <v>73</v>
      </c>
      <c r="AT542" s="5" t="s">
        <v>105</v>
      </c>
      <c r="AU542" s="10" t="s">
        <v>106</v>
      </c>
      <c r="AW542" s="5" t="s">
        <v>94</v>
      </c>
      <c r="AX542" s="5" t="s">
        <v>79</v>
      </c>
      <c r="AZ542" s="5" t="s">
        <v>107</v>
      </c>
      <c r="BD542" s="9" t="n">
        <v>45596</v>
      </c>
      <c r="BE542" s="9" t="n">
        <v>45596</v>
      </c>
      <c r="BJ542" s="5" t="n">
        <v>2020</v>
      </c>
      <c r="BK542" s="11" t="n">
        <v>36526</v>
      </c>
    </row>
    <row r="543" customFormat="false" ht="16.5" hidden="false" customHeight="true" outlineLevel="0" collapsed="false">
      <c r="A543" s="5" t="s">
        <v>2467</v>
      </c>
      <c r="C543" s="5"/>
      <c r="D543" s="5" t="s">
        <v>62</v>
      </c>
      <c r="G543" s="5" t="s">
        <v>147</v>
      </c>
      <c r="J543" s="18"/>
      <c r="K543" s="18"/>
      <c r="L543" s="5" t="s">
        <v>84</v>
      </c>
      <c r="M543" s="5" t="s">
        <v>65</v>
      </c>
      <c r="N543" s="5"/>
      <c r="T543" s="5"/>
      <c r="U543" s="5" t="s">
        <v>2468</v>
      </c>
      <c r="V543" s="5" t="s">
        <v>2462</v>
      </c>
      <c r="W543" s="5"/>
      <c r="X543" s="5" t="s">
        <v>271</v>
      </c>
      <c r="Y543" s="5" t="s">
        <v>73</v>
      </c>
      <c r="AG543" s="9"/>
      <c r="AH543" s="5"/>
      <c r="AI543" s="5"/>
      <c r="AJ543" s="5" t="n">
        <v>8</v>
      </c>
      <c r="AK543" s="5" t="s">
        <v>216</v>
      </c>
      <c r="AL543" s="5"/>
      <c r="AM543" s="5" t="s">
        <v>2362</v>
      </c>
      <c r="AO543" s="5"/>
      <c r="AP543" s="5"/>
      <c r="AQ543" s="5" t="s">
        <v>77</v>
      </c>
      <c r="AR543" s="5" t="s">
        <v>271</v>
      </c>
      <c r="AS543" s="5" t="s">
        <v>73</v>
      </c>
      <c r="AT543" s="5" t="s">
        <v>71</v>
      </c>
      <c r="AU543" s="10" t="s">
        <v>481</v>
      </c>
      <c r="AW543" s="5" t="s">
        <v>94</v>
      </c>
      <c r="AX543" s="10" t="str">
        <f aca="false">IFERROR(INDEX('full database 2024'!ar:ar, MATCH(A543, 'full database 2024'!b:b, 0)), "")</f>
        <v/>
      </c>
      <c r="AZ543" s="5" t="s">
        <v>188</v>
      </c>
      <c r="BB543" s="9"/>
      <c r="BC543" s="9"/>
      <c r="BD543" s="9" t="n">
        <v>45596</v>
      </c>
      <c r="BE543" s="9" t="n">
        <v>45779</v>
      </c>
      <c r="BH543" s="5"/>
      <c r="BI543" s="5" t="n">
        <v>0</v>
      </c>
      <c r="BJ543" s="5" t="n">
        <v>2024</v>
      </c>
    </row>
    <row r="544" customFormat="false" ht="16.5" hidden="false" customHeight="true" outlineLevel="0" collapsed="false">
      <c r="A544" s="5" t="s">
        <v>2469</v>
      </c>
      <c r="C544" s="5"/>
      <c r="D544" s="5" t="s">
        <v>62</v>
      </c>
      <c r="G544" s="5" t="s">
        <v>147</v>
      </c>
      <c r="J544" s="18"/>
      <c r="K544" s="18"/>
      <c r="L544" s="5" t="s">
        <v>84</v>
      </c>
      <c r="M544" s="5" t="s">
        <v>65</v>
      </c>
      <c r="N544" s="8" t="s">
        <v>2470</v>
      </c>
      <c r="U544" s="5" t="s">
        <v>2468</v>
      </c>
      <c r="V544" s="5" t="s">
        <v>2462</v>
      </c>
      <c r="X544" s="5" t="s">
        <v>271</v>
      </c>
      <c r="Y544" s="5" t="s">
        <v>73</v>
      </c>
      <c r="AI544" s="9" t="n">
        <v>43839</v>
      </c>
      <c r="AJ544" s="5" t="n">
        <v>24</v>
      </c>
      <c r="AK544" s="5" t="s">
        <v>216</v>
      </c>
      <c r="AL544" s="5"/>
      <c r="AM544" s="5" t="s">
        <v>547</v>
      </c>
      <c r="AQ544" s="5" t="s">
        <v>77</v>
      </c>
      <c r="AR544" s="5" t="s">
        <v>271</v>
      </c>
      <c r="AS544" s="5" t="s">
        <v>73</v>
      </c>
      <c r="AT544" s="5" t="s">
        <v>78</v>
      </c>
      <c r="AW544" s="5" t="s">
        <v>94</v>
      </c>
      <c r="AX544" s="10" t="str">
        <f aca="false">IFERROR(INDEX('full database 2024'!ar:ar, MATCH(A544, 'full database 2024'!b:b, 0)), "")</f>
        <v/>
      </c>
      <c r="AZ544" s="5" t="s">
        <v>188</v>
      </c>
      <c r="BD544" s="9" t="n">
        <v>45596</v>
      </c>
      <c r="BE544" s="9" t="n">
        <v>45596</v>
      </c>
      <c r="BI544" s="5" t="n">
        <v>0</v>
      </c>
      <c r="BJ544" s="5" t="n">
        <v>2020</v>
      </c>
    </row>
    <row r="545" customFormat="false" ht="16.5" hidden="false" customHeight="true" outlineLevel="0" collapsed="false">
      <c r="A545" s="5" t="s">
        <v>2471</v>
      </c>
      <c r="C545" s="5"/>
      <c r="D545" s="5" t="s">
        <v>62</v>
      </c>
      <c r="G545" s="5" t="s">
        <v>147</v>
      </c>
      <c r="J545" s="18"/>
      <c r="K545" s="18"/>
      <c r="L545" s="5" t="s">
        <v>84</v>
      </c>
      <c r="M545" s="5" t="s">
        <v>65</v>
      </c>
      <c r="N545" s="8" t="s">
        <v>2472</v>
      </c>
      <c r="U545" s="5"/>
      <c r="V545" s="5" t="s">
        <v>2473</v>
      </c>
      <c r="X545" s="5" t="s">
        <v>333</v>
      </c>
      <c r="Y545" s="5" t="s">
        <v>73</v>
      </c>
      <c r="Z545" s="5"/>
      <c r="AA545" s="5"/>
      <c r="AE545" s="5" t="s">
        <v>2474</v>
      </c>
      <c r="AI545" s="9" t="n">
        <v>44440</v>
      </c>
      <c r="AJ545" s="5" t="n">
        <v>12</v>
      </c>
      <c r="AK545" s="5" t="s">
        <v>216</v>
      </c>
      <c r="AL545" s="5" t="n">
        <v>0</v>
      </c>
      <c r="AM545" s="5" t="s">
        <v>459</v>
      </c>
      <c r="AN545" s="5"/>
      <c r="AO545" s="5"/>
      <c r="AP545" s="5"/>
      <c r="AQ545" s="5" t="s">
        <v>77</v>
      </c>
      <c r="AR545" s="5" t="s">
        <v>333</v>
      </c>
      <c r="AS545" s="5" t="s">
        <v>73</v>
      </c>
      <c r="AT545" s="5" t="s">
        <v>71</v>
      </c>
      <c r="AU545" s="10" t="s">
        <v>106</v>
      </c>
      <c r="AW545" s="5" t="s">
        <v>94</v>
      </c>
      <c r="AX545" s="10" t="str">
        <f aca="false">IFERROR(INDEX('full database 2024'!ar:ar, MATCH(A545, 'full database 2024'!b:b, 0)), "")</f>
        <v/>
      </c>
      <c r="AZ545" s="5" t="s">
        <v>107</v>
      </c>
      <c r="BD545" s="9" t="n">
        <v>45596</v>
      </c>
      <c r="BE545" s="9" t="n">
        <v>45596</v>
      </c>
      <c r="BF545" s="9"/>
      <c r="BG545" s="9"/>
      <c r="BJ545" s="5" t="n">
        <v>2021</v>
      </c>
      <c r="BK545" s="11" t="n">
        <v>36526</v>
      </c>
    </row>
    <row r="546" customFormat="false" ht="16.5" hidden="false" customHeight="true" outlineLevel="0" collapsed="false">
      <c r="A546" s="5" t="s">
        <v>2475</v>
      </c>
      <c r="C546" s="5"/>
      <c r="D546" s="5" t="s">
        <v>62</v>
      </c>
      <c r="G546" s="5" t="s">
        <v>147</v>
      </c>
      <c r="J546" s="18"/>
      <c r="K546" s="18"/>
      <c r="L546" s="5" t="s">
        <v>84</v>
      </c>
      <c r="M546" s="5" t="s">
        <v>65</v>
      </c>
      <c r="N546" s="5"/>
      <c r="V546" s="5"/>
      <c r="X546" s="5" t="s">
        <v>151</v>
      </c>
      <c r="Y546" s="5" t="s">
        <v>73</v>
      </c>
      <c r="AE546" s="5"/>
      <c r="AI546" s="9" t="n">
        <v>44199</v>
      </c>
      <c r="AJ546" s="5" t="n">
        <v>37</v>
      </c>
      <c r="AK546" s="5" t="s">
        <v>216</v>
      </c>
      <c r="AL546" s="5" t="n">
        <v>0</v>
      </c>
      <c r="AM546" s="5" t="s">
        <v>153</v>
      </c>
      <c r="AN546" s="5"/>
      <c r="AQ546" s="5" t="s">
        <v>77</v>
      </c>
      <c r="AR546" s="5" t="s">
        <v>151</v>
      </c>
      <c r="AS546" s="5" t="s">
        <v>73</v>
      </c>
      <c r="AT546" s="5" t="s">
        <v>78</v>
      </c>
      <c r="AW546" s="5" t="s">
        <v>94</v>
      </c>
      <c r="AX546" s="10" t="str">
        <f aca="false">IFERROR(INDEX('full database 2024'!ar:ar, MATCH(A546, 'full database 2024'!b:b, 0)), "")</f>
        <v/>
      </c>
      <c r="AZ546" s="5" t="s">
        <v>525</v>
      </c>
      <c r="BD546" s="9" t="n">
        <v>45596</v>
      </c>
      <c r="BE546" s="9" t="n">
        <v>45596</v>
      </c>
      <c r="BJ546" s="5" t="n">
        <v>2021</v>
      </c>
      <c r="BK546" s="11" t="n">
        <v>36526</v>
      </c>
    </row>
    <row r="547" customFormat="false" ht="16.5" hidden="false" customHeight="true" outlineLevel="0" collapsed="false">
      <c r="A547" s="5" t="s">
        <v>2476</v>
      </c>
      <c r="C547" s="5"/>
      <c r="D547" s="5" t="s">
        <v>62</v>
      </c>
      <c r="G547" s="5" t="s">
        <v>147</v>
      </c>
      <c r="J547" s="18"/>
      <c r="K547" s="18"/>
      <c r="L547" s="5" t="s">
        <v>84</v>
      </c>
      <c r="M547" s="5" t="s">
        <v>65</v>
      </c>
      <c r="V547" s="5" t="s">
        <v>2477</v>
      </c>
      <c r="X547" s="5"/>
      <c r="Y547" s="5" t="s">
        <v>73</v>
      </c>
      <c r="AI547" s="9" t="n">
        <v>44197</v>
      </c>
      <c r="AJ547" s="5"/>
      <c r="AK547" s="5"/>
      <c r="AL547" s="5"/>
      <c r="AM547" s="5" t="s">
        <v>1945</v>
      </c>
      <c r="AN547" s="5"/>
      <c r="AQ547" s="5" t="s">
        <v>77</v>
      </c>
      <c r="AR547" s="5" t="s">
        <v>151</v>
      </c>
      <c r="AS547" s="5" t="s">
        <v>73</v>
      </c>
      <c r="AT547" s="5" t="s">
        <v>71</v>
      </c>
      <c r="AW547" s="5" t="s">
        <v>94</v>
      </c>
      <c r="AX547" s="10" t="str">
        <f aca="false">IFERROR(INDEX('full database 2024'!ar:ar, MATCH(A547, 'full database 2024'!b:b, 0)), "")</f>
        <v/>
      </c>
      <c r="AZ547" s="5" t="s">
        <v>287</v>
      </c>
      <c r="BD547" s="9" t="n">
        <v>45596</v>
      </c>
      <c r="BE547" s="9" t="n">
        <v>45596</v>
      </c>
      <c r="BJ547" s="5" t="n">
        <v>2021</v>
      </c>
      <c r="BK547" s="11"/>
    </row>
    <row r="548" customFormat="false" ht="16.5" hidden="false" customHeight="true" outlineLevel="0" collapsed="false">
      <c r="A548" s="5" t="s">
        <v>2478</v>
      </c>
      <c r="C548" s="5"/>
      <c r="D548" s="5" t="s">
        <v>62</v>
      </c>
      <c r="G548" s="5" t="s">
        <v>147</v>
      </c>
      <c r="J548" s="18"/>
      <c r="K548" s="18"/>
      <c r="L548" s="5" t="s">
        <v>84</v>
      </c>
      <c r="M548" s="5" t="s">
        <v>65</v>
      </c>
      <c r="V548" s="5"/>
      <c r="X548" s="5" t="s">
        <v>333</v>
      </c>
      <c r="Y548" s="5" t="s">
        <v>73</v>
      </c>
      <c r="AI548" s="9" t="n">
        <v>44593</v>
      </c>
      <c r="AK548" s="5" t="s">
        <v>433</v>
      </c>
      <c r="AM548" s="5" t="s">
        <v>459</v>
      </c>
      <c r="AN548" s="5"/>
      <c r="AQ548" s="5" t="s">
        <v>77</v>
      </c>
      <c r="AR548" s="5" t="s">
        <v>333</v>
      </c>
      <c r="AS548" s="5" t="s">
        <v>73</v>
      </c>
      <c r="AT548" s="5" t="s">
        <v>105</v>
      </c>
      <c r="AU548" s="10" t="s">
        <v>186</v>
      </c>
      <c r="AW548" s="5" t="s">
        <v>94</v>
      </c>
      <c r="AX548" s="10" t="str">
        <f aca="false">IFERROR(INDEX('full database 2024'!ar:ar, MATCH(A548, 'full database 2024'!b:b, 0)), "")</f>
        <v/>
      </c>
      <c r="AZ548" s="5" t="s">
        <v>107</v>
      </c>
      <c r="BD548" s="9" t="n">
        <v>45596</v>
      </c>
      <c r="BE548" s="9" t="n">
        <v>45596</v>
      </c>
      <c r="BJ548" s="5" t="n">
        <v>2023</v>
      </c>
      <c r="BK548" s="11" t="n">
        <v>36526</v>
      </c>
    </row>
    <row r="549" customFormat="false" ht="16.5" hidden="false" customHeight="true" outlineLevel="0" collapsed="false">
      <c r="A549" s="5" t="s">
        <v>2479</v>
      </c>
      <c r="C549" s="5"/>
      <c r="D549" s="5" t="s">
        <v>62</v>
      </c>
      <c r="G549" s="5" t="s">
        <v>147</v>
      </c>
      <c r="J549" s="18"/>
      <c r="K549" s="18"/>
      <c r="L549" s="5" t="s">
        <v>84</v>
      </c>
      <c r="M549" s="5" t="s">
        <v>65</v>
      </c>
      <c r="N549" s="8" t="s">
        <v>2480</v>
      </c>
      <c r="T549" s="5" t="s">
        <v>2481</v>
      </c>
      <c r="V549" s="5" t="s">
        <v>2482</v>
      </c>
      <c r="X549" s="5" t="s">
        <v>333</v>
      </c>
      <c r="Y549" s="5" t="s">
        <v>73</v>
      </c>
      <c r="AI549" s="9" t="n">
        <v>44835</v>
      </c>
      <c r="AJ549" s="5" t="n">
        <v>73</v>
      </c>
      <c r="AK549" s="5" t="s">
        <v>433</v>
      </c>
      <c r="AL549" s="5" t="n">
        <v>0</v>
      </c>
      <c r="AM549" s="5" t="s">
        <v>459</v>
      </c>
      <c r="AN549" s="5"/>
      <c r="AQ549" s="5" t="s">
        <v>77</v>
      </c>
      <c r="AR549" s="5" t="s">
        <v>333</v>
      </c>
      <c r="AS549" s="5" t="s">
        <v>73</v>
      </c>
      <c r="AT549" s="5" t="s">
        <v>105</v>
      </c>
      <c r="AU549" s="5" t="s">
        <v>106</v>
      </c>
      <c r="AV549" s="5"/>
      <c r="AW549" s="5" t="s">
        <v>94</v>
      </c>
      <c r="AX549" s="10" t="str">
        <f aca="false">IFERROR(INDEX('full database 2024'!ar:ar, MATCH(A549, 'full database 2024'!b:b, 0)), "")</f>
        <v/>
      </c>
      <c r="AZ549" s="5" t="s">
        <v>540</v>
      </c>
      <c r="BD549" s="9" t="n">
        <v>45596</v>
      </c>
      <c r="BE549" s="9" t="n">
        <v>45596</v>
      </c>
      <c r="BJ549" s="5" t="n">
        <v>2022</v>
      </c>
      <c r="BK549" s="11" t="n">
        <v>36526</v>
      </c>
    </row>
    <row r="550" customFormat="false" ht="16.5" hidden="false" customHeight="true" outlineLevel="0" collapsed="false">
      <c r="A550" s="5" t="s">
        <v>2483</v>
      </c>
      <c r="C550" s="5"/>
      <c r="D550" s="5" t="s">
        <v>62</v>
      </c>
      <c r="G550" s="5" t="s">
        <v>147</v>
      </c>
      <c r="J550" s="18"/>
      <c r="K550" s="18"/>
      <c r="L550" s="5" t="s">
        <v>84</v>
      </c>
      <c r="M550" s="5" t="s">
        <v>65</v>
      </c>
      <c r="N550" s="5"/>
      <c r="T550" s="5" t="s">
        <v>2484</v>
      </c>
      <c r="V550" s="5" t="s">
        <v>2485</v>
      </c>
      <c r="X550" s="5" t="s">
        <v>271</v>
      </c>
      <c r="Y550" s="5" t="s">
        <v>73</v>
      </c>
      <c r="AI550" s="9" t="n">
        <v>44256</v>
      </c>
      <c r="AJ550" s="5" t="n">
        <v>36</v>
      </c>
      <c r="AK550" s="5" t="s">
        <v>216</v>
      </c>
      <c r="AL550" s="5" t="n">
        <v>0</v>
      </c>
      <c r="AM550" s="5" t="s">
        <v>2486</v>
      </c>
      <c r="AN550" s="5"/>
      <c r="AQ550" s="5" t="s">
        <v>77</v>
      </c>
      <c r="AR550" s="5" t="s">
        <v>271</v>
      </c>
      <c r="AS550" s="5" t="s">
        <v>73</v>
      </c>
      <c r="AT550" s="5" t="s">
        <v>78</v>
      </c>
      <c r="AW550" s="5" t="s">
        <v>94</v>
      </c>
      <c r="AX550" s="10" t="str">
        <f aca="false">IFERROR(INDEX('full database 2024'!ar:ar, MATCH(A550, 'full database 2024'!b:b, 0)), "")</f>
        <v/>
      </c>
      <c r="AZ550" s="5" t="s">
        <v>309</v>
      </c>
      <c r="BD550" s="9" t="n">
        <v>45596</v>
      </c>
      <c r="BE550" s="9" t="n">
        <v>45596</v>
      </c>
      <c r="BJ550" s="5" t="n">
        <v>2021</v>
      </c>
      <c r="BK550" s="11" t="n">
        <v>36526</v>
      </c>
    </row>
    <row r="551" customFormat="false" ht="16.5" hidden="false" customHeight="true" outlineLevel="0" collapsed="false">
      <c r="A551" s="5" t="s">
        <v>2487</v>
      </c>
      <c r="C551" s="5"/>
      <c r="D551" s="5" t="s">
        <v>62</v>
      </c>
      <c r="G551" s="5" t="s">
        <v>147</v>
      </c>
      <c r="J551" s="18"/>
      <c r="K551" s="18"/>
      <c r="L551" s="5" t="s">
        <v>84</v>
      </c>
      <c r="M551" s="5" t="s">
        <v>65</v>
      </c>
      <c r="T551" s="5"/>
      <c r="V551" s="5" t="s">
        <v>2488</v>
      </c>
      <c r="X551" s="5" t="s">
        <v>333</v>
      </c>
      <c r="Y551" s="5" t="s">
        <v>73</v>
      </c>
      <c r="AI551" s="9" t="n">
        <v>44713</v>
      </c>
      <c r="AJ551" s="5" t="n">
        <v>16</v>
      </c>
      <c r="AK551" s="5" t="s">
        <v>216</v>
      </c>
      <c r="AL551" s="5" t="n">
        <v>0</v>
      </c>
      <c r="AM551" s="5" t="s">
        <v>459</v>
      </c>
      <c r="AN551" s="5"/>
      <c r="AQ551" s="5" t="s">
        <v>77</v>
      </c>
      <c r="AR551" s="5" t="s">
        <v>333</v>
      </c>
      <c r="AS551" s="5" t="s">
        <v>73</v>
      </c>
      <c r="AT551" s="5" t="s">
        <v>105</v>
      </c>
      <c r="AU551" s="10" t="s">
        <v>186</v>
      </c>
      <c r="AW551" s="5" t="s">
        <v>94</v>
      </c>
      <c r="AX551" s="10" t="str">
        <f aca="false">IFERROR(INDEX('full database 2024'!ar:ar, MATCH(A551, 'full database 2024'!b:b, 0)), "")</f>
        <v/>
      </c>
      <c r="AZ551" s="5" t="s">
        <v>540</v>
      </c>
      <c r="BD551" s="9" t="n">
        <v>45596</v>
      </c>
      <c r="BE551" s="9" t="n">
        <v>45596</v>
      </c>
      <c r="BJ551" s="5" t="n">
        <v>2022</v>
      </c>
      <c r="BK551" s="11" t="n">
        <v>36526</v>
      </c>
    </row>
    <row r="552" customFormat="false" ht="16.5" hidden="false" customHeight="true" outlineLevel="0" collapsed="false">
      <c r="A552" s="5" t="s">
        <v>2489</v>
      </c>
      <c r="B552" s="5" t="s">
        <v>2490</v>
      </c>
      <c r="C552" s="5"/>
      <c r="D552" s="5" t="s">
        <v>62</v>
      </c>
      <c r="G552" s="5" t="s">
        <v>147</v>
      </c>
      <c r="J552" s="18"/>
      <c r="K552" s="18"/>
      <c r="L552" s="5" t="s">
        <v>84</v>
      </c>
      <c r="M552" s="5" t="s">
        <v>65</v>
      </c>
      <c r="N552" s="8" t="s">
        <v>2491</v>
      </c>
      <c r="O552" s="5" t="s">
        <v>2492</v>
      </c>
      <c r="T552" s="5" t="s">
        <v>2493</v>
      </c>
      <c r="V552" s="5" t="s">
        <v>2482</v>
      </c>
      <c r="X552" s="5" t="s">
        <v>333</v>
      </c>
      <c r="Y552" s="5" t="s">
        <v>73</v>
      </c>
      <c r="AI552" s="9" t="n">
        <v>45413</v>
      </c>
      <c r="AJ552" s="5"/>
      <c r="AK552" s="5" t="s">
        <v>433</v>
      </c>
      <c r="AL552" s="5"/>
      <c r="AM552" s="5" t="s">
        <v>459</v>
      </c>
      <c r="AN552" s="5"/>
      <c r="AQ552" s="5" t="s">
        <v>77</v>
      </c>
      <c r="AR552" s="5" t="s">
        <v>333</v>
      </c>
      <c r="AS552" s="5" t="s">
        <v>73</v>
      </c>
      <c r="AT552" s="5" t="s">
        <v>78</v>
      </c>
      <c r="AW552" s="5" t="s">
        <v>94</v>
      </c>
      <c r="AX552" s="10" t="str">
        <f aca="false">IFERROR(INDEX('full database 2024'!ar:ar, MATCH(A552, 'full database 2024'!b:b, 0)), "")</f>
        <v/>
      </c>
      <c r="AZ552" s="5" t="s">
        <v>188</v>
      </c>
      <c r="BD552" s="9" t="n">
        <v>45596</v>
      </c>
      <c r="BE552" s="9" t="n">
        <v>45779</v>
      </c>
      <c r="BJ552" s="5" t="n">
        <v>2024</v>
      </c>
      <c r="BK552" s="11" t="n">
        <v>36526</v>
      </c>
    </row>
    <row r="553" customFormat="false" ht="16.5" hidden="false" customHeight="true" outlineLevel="0" collapsed="false">
      <c r="A553" s="5" t="s">
        <v>2494</v>
      </c>
      <c r="B553" s="5"/>
      <c r="C553" s="5"/>
      <c r="D553" s="5" t="s">
        <v>62</v>
      </c>
      <c r="G553" s="5"/>
      <c r="J553" s="18"/>
      <c r="K553" s="18"/>
      <c r="L553" s="5" t="s">
        <v>84</v>
      </c>
      <c r="M553" s="5" t="s">
        <v>65</v>
      </c>
      <c r="N553" s="5"/>
      <c r="O553" s="5"/>
      <c r="T553" s="5"/>
      <c r="V553" s="5" t="s">
        <v>2495</v>
      </c>
      <c r="X553" s="5" t="s">
        <v>151</v>
      </c>
      <c r="Y553" s="5" t="s">
        <v>73</v>
      </c>
      <c r="AD553" s="5" t="s">
        <v>2496</v>
      </c>
      <c r="AI553" s="9" t="n">
        <v>44205</v>
      </c>
      <c r="AK553" s="5"/>
      <c r="AM553" s="5" t="s">
        <v>924</v>
      </c>
      <c r="AN553" s="5"/>
      <c r="AQ553" s="5" t="s">
        <v>77</v>
      </c>
      <c r="AR553" s="5" t="s">
        <v>151</v>
      </c>
      <c r="AS553" s="5" t="s">
        <v>73</v>
      </c>
      <c r="AT553" s="5" t="s">
        <v>78</v>
      </c>
      <c r="AW553" s="5" t="s">
        <v>94</v>
      </c>
      <c r="AX553" s="5" t="s">
        <v>1433</v>
      </c>
      <c r="AY553" s="5" t="s">
        <v>297</v>
      </c>
      <c r="AZ553" s="5" t="s">
        <v>188</v>
      </c>
      <c r="BD553" s="9" t="n">
        <v>45596</v>
      </c>
      <c r="BE553" s="9" t="n">
        <v>45596</v>
      </c>
      <c r="BJ553" s="5" t="n">
        <v>2021</v>
      </c>
      <c r="BK553" s="11" t="n">
        <v>36526</v>
      </c>
    </row>
    <row r="554" customFormat="false" ht="16.5" hidden="false" customHeight="true" outlineLevel="0" collapsed="false">
      <c r="A554" s="5" t="s">
        <v>2497</v>
      </c>
      <c r="C554" s="5"/>
      <c r="D554" s="5" t="s">
        <v>62</v>
      </c>
      <c r="G554" s="5" t="s">
        <v>147</v>
      </c>
      <c r="J554" s="18"/>
      <c r="K554" s="18"/>
      <c r="L554" s="5" t="s">
        <v>84</v>
      </c>
      <c r="M554" s="5" t="s">
        <v>65</v>
      </c>
      <c r="V554" s="5" t="s">
        <v>2488</v>
      </c>
      <c r="X554" s="5" t="s">
        <v>333</v>
      </c>
      <c r="Y554" s="5" t="s">
        <v>73</v>
      </c>
      <c r="AD554" s="5"/>
      <c r="AE554" s="5" t="s">
        <v>2498</v>
      </c>
      <c r="AI554" s="9" t="n">
        <v>44075</v>
      </c>
      <c r="AK554" s="5" t="s">
        <v>433</v>
      </c>
      <c r="AM554" s="5" t="s">
        <v>459</v>
      </c>
      <c r="AN554" s="5"/>
      <c r="AQ554" s="5" t="s">
        <v>77</v>
      </c>
      <c r="AR554" s="5" t="s">
        <v>333</v>
      </c>
      <c r="AS554" s="5" t="s">
        <v>73</v>
      </c>
      <c r="AT554" s="5" t="s">
        <v>78</v>
      </c>
      <c r="AW554" s="5" t="s">
        <v>94</v>
      </c>
      <c r="AX554" s="10" t="str">
        <f aca="false">IFERROR(INDEX('full database 2024'!ar:ar, MATCH(A554, 'full database 2024'!b:b, 0)), "")</f>
        <v/>
      </c>
      <c r="AZ554" s="5" t="s">
        <v>399</v>
      </c>
      <c r="BD554" s="9" t="n">
        <v>45596</v>
      </c>
      <c r="BE554" s="9" t="n">
        <v>45596</v>
      </c>
      <c r="BJ554" s="5" t="n">
        <v>2020</v>
      </c>
      <c r="BK554" s="11" t="n">
        <v>36526</v>
      </c>
    </row>
    <row r="555" customFormat="false" ht="16.5" hidden="false" customHeight="true" outlineLevel="0" collapsed="false">
      <c r="A555" s="5" t="s">
        <v>2499</v>
      </c>
      <c r="C555" s="5"/>
      <c r="D555" s="5" t="s">
        <v>62</v>
      </c>
      <c r="G555" s="5"/>
      <c r="J555" s="18"/>
      <c r="K555" s="18"/>
      <c r="L555" s="5" t="s">
        <v>84</v>
      </c>
      <c r="M555" s="5" t="s">
        <v>65</v>
      </c>
      <c r="U555" s="5" t="s">
        <v>2500</v>
      </c>
      <c r="V555" s="5" t="s">
        <v>2501</v>
      </c>
      <c r="X555" s="5" t="s">
        <v>151</v>
      </c>
      <c r="Y555" s="5" t="s">
        <v>73</v>
      </c>
      <c r="AD555" s="5" t="s">
        <v>2502</v>
      </c>
      <c r="AE555" s="5"/>
      <c r="AI555" s="9" t="n">
        <v>44929</v>
      </c>
      <c r="AK555" s="5"/>
      <c r="AM555" s="5" t="s">
        <v>924</v>
      </c>
      <c r="AN555" s="5"/>
      <c r="AQ555" s="5" t="s">
        <v>77</v>
      </c>
      <c r="AR555" s="5" t="s">
        <v>151</v>
      </c>
      <c r="AS555" s="5" t="s">
        <v>73</v>
      </c>
      <c r="AT555" s="5" t="s">
        <v>78</v>
      </c>
      <c r="AW555" s="5" t="s">
        <v>94</v>
      </c>
      <c r="AX555" s="10" t="str">
        <f aca="false">IFERROR(INDEX('full database 2024'!ar:ar, MATCH(A555, 'full database 2024'!b:b, 0)), "")</f>
        <v/>
      </c>
      <c r="AZ555" s="5" t="s">
        <v>129</v>
      </c>
      <c r="BD555" s="9" t="n">
        <v>45596</v>
      </c>
      <c r="BE555" s="9" t="n">
        <v>45596</v>
      </c>
      <c r="BJ555" s="5" t="n">
        <v>2023</v>
      </c>
      <c r="BK555" s="11" t="n">
        <v>36526</v>
      </c>
    </row>
    <row r="556" customFormat="false" ht="16.5" hidden="false" customHeight="true" outlineLevel="0" collapsed="false">
      <c r="A556" s="5" t="s">
        <v>2503</v>
      </c>
      <c r="C556" s="5"/>
      <c r="D556" s="5" t="s">
        <v>62</v>
      </c>
      <c r="G556" s="5" t="s">
        <v>147</v>
      </c>
      <c r="J556" s="18"/>
      <c r="K556" s="18"/>
      <c r="L556" s="5" t="s">
        <v>84</v>
      </c>
      <c r="M556" s="5" t="s">
        <v>65</v>
      </c>
      <c r="U556" s="5"/>
      <c r="V556" s="5" t="s">
        <v>2477</v>
      </c>
      <c r="X556" s="5"/>
      <c r="Y556" s="5" t="s">
        <v>73</v>
      </c>
      <c r="AD556" s="5"/>
      <c r="AI556" s="9" t="n">
        <v>44197</v>
      </c>
      <c r="AM556" s="5" t="s">
        <v>1945</v>
      </c>
      <c r="AN556" s="5"/>
      <c r="AQ556" s="5" t="s">
        <v>77</v>
      </c>
      <c r="AR556" s="5" t="s">
        <v>151</v>
      </c>
      <c r="AS556" s="5" t="s">
        <v>73</v>
      </c>
      <c r="AT556" s="5" t="s">
        <v>78</v>
      </c>
      <c r="AW556" s="5" t="s">
        <v>94</v>
      </c>
      <c r="AX556" s="10" t="str">
        <f aca="false">IFERROR(INDEX('full database 2024'!ar:ar, MATCH(A556, 'full database 2024'!b:b, 0)), "")</f>
        <v/>
      </c>
      <c r="AZ556" s="5" t="s">
        <v>188</v>
      </c>
      <c r="BD556" s="9" t="n">
        <v>45596</v>
      </c>
      <c r="BE556" s="9" t="n">
        <v>45596</v>
      </c>
      <c r="BJ556" s="5" t="n">
        <v>2021</v>
      </c>
      <c r="BK556" s="11"/>
    </row>
    <row r="557" customFormat="false" ht="16.5" hidden="false" customHeight="true" outlineLevel="0" collapsed="false">
      <c r="A557" s="5" t="s">
        <v>2504</v>
      </c>
      <c r="C557" s="5"/>
      <c r="D557" s="5" t="s">
        <v>62</v>
      </c>
      <c r="G557" s="5" t="s">
        <v>147</v>
      </c>
      <c r="J557" s="18"/>
      <c r="K557" s="18"/>
      <c r="L557" s="5" t="s">
        <v>84</v>
      </c>
      <c r="M557" s="5" t="s">
        <v>65</v>
      </c>
      <c r="V557" s="5"/>
      <c r="X557" s="5"/>
      <c r="Y557" s="5" t="s">
        <v>73</v>
      </c>
      <c r="AI557" s="9" t="n">
        <v>44200</v>
      </c>
      <c r="AJ557" s="5" t="n">
        <v>24</v>
      </c>
      <c r="AK557" s="5" t="s">
        <v>216</v>
      </c>
      <c r="AL557" s="5" t="n">
        <v>0</v>
      </c>
      <c r="AM557" s="5"/>
      <c r="AN557" s="5"/>
      <c r="AQ557" s="5" t="s">
        <v>77</v>
      </c>
      <c r="AR557" s="5" t="s">
        <v>151</v>
      </c>
      <c r="AS557" s="5" t="s">
        <v>73</v>
      </c>
      <c r="AT557" s="5" t="s">
        <v>78</v>
      </c>
      <c r="AW557" s="5" t="s">
        <v>94</v>
      </c>
      <c r="AX557" s="10" t="str">
        <f aca="false">IFERROR(INDEX('full database 2024'!ar:ar, MATCH(A557, 'full database 2024'!b:b, 0)), "")</f>
        <v/>
      </c>
      <c r="AZ557" s="5" t="s">
        <v>129</v>
      </c>
      <c r="BD557" s="9" t="n">
        <v>45596</v>
      </c>
      <c r="BE557" s="9" t="n">
        <v>45596</v>
      </c>
      <c r="BJ557" s="5" t="n">
        <v>2021</v>
      </c>
      <c r="BK557" s="11" t="n">
        <v>36526</v>
      </c>
    </row>
    <row r="558" customFormat="false" ht="16.5" hidden="false" customHeight="true" outlineLevel="0" collapsed="false">
      <c r="A558" s="5" t="s">
        <v>2505</v>
      </c>
      <c r="B558" s="5" t="s">
        <v>2506</v>
      </c>
      <c r="C558" s="5"/>
      <c r="D558" s="5" t="s">
        <v>62</v>
      </c>
      <c r="G558" s="5" t="s">
        <v>147</v>
      </c>
      <c r="J558" s="18"/>
      <c r="K558" s="18"/>
      <c r="L558" s="5" t="s">
        <v>84</v>
      </c>
      <c r="M558" s="5" t="s">
        <v>65</v>
      </c>
      <c r="N558" s="8" t="s">
        <v>2507</v>
      </c>
      <c r="O558" s="5" t="s">
        <v>2508</v>
      </c>
      <c r="T558" s="5" t="s">
        <v>2509</v>
      </c>
      <c r="W558" s="5" t="s">
        <v>2462</v>
      </c>
      <c r="Y558" s="5" t="s">
        <v>271</v>
      </c>
      <c r="Z558" s="5" t="s">
        <v>73</v>
      </c>
      <c r="AI558" s="31" t="n">
        <v>43831</v>
      </c>
      <c r="AJ558" s="9" t="n">
        <v>43831</v>
      </c>
      <c r="AK558" s="5" t="n">
        <v>36</v>
      </c>
      <c r="AL558" s="5" t="s">
        <v>216</v>
      </c>
      <c r="AM558" s="5" t="s">
        <v>547</v>
      </c>
      <c r="AN558" s="5"/>
      <c r="AQ558" s="5" t="s">
        <v>77</v>
      </c>
      <c r="AR558" s="5" t="s">
        <v>271</v>
      </c>
      <c r="AS558" s="5" t="s">
        <v>73</v>
      </c>
      <c r="AT558" s="5" t="s">
        <v>374</v>
      </c>
      <c r="AW558" s="5" t="s">
        <v>94</v>
      </c>
      <c r="AX558" s="10" t="str">
        <f aca="false">IFERROR(INDEX('full database 2024'!ar:ar, MATCH(A558, 'full database 2024'!b:b, 0)), "")</f>
        <v/>
      </c>
      <c r="AZ558" s="5" t="s">
        <v>239</v>
      </c>
      <c r="BC558" s="9"/>
      <c r="BD558" s="9" t="n">
        <v>45596</v>
      </c>
      <c r="BE558" s="9" t="n">
        <v>45779</v>
      </c>
      <c r="BI558" s="5"/>
      <c r="BJ558" s="5" t="n">
        <v>2020</v>
      </c>
      <c r="BK558" s="32" t="n">
        <v>44957</v>
      </c>
    </row>
    <row r="559" customFormat="false" ht="16.5" hidden="false" customHeight="true" outlineLevel="0" collapsed="false">
      <c r="A559" s="5" t="s">
        <v>2510</v>
      </c>
      <c r="C559" s="5"/>
      <c r="D559" s="5" t="s">
        <v>62</v>
      </c>
      <c r="G559" s="5" t="s">
        <v>147</v>
      </c>
      <c r="J559" s="18"/>
      <c r="K559" s="18"/>
      <c r="L559" s="5" t="s">
        <v>84</v>
      </c>
      <c r="M559" s="5" t="s">
        <v>65</v>
      </c>
      <c r="N559" s="5"/>
      <c r="O559" s="5"/>
      <c r="T559" s="5"/>
      <c r="V559" s="5" t="s">
        <v>2511</v>
      </c>
      <c r="W559" s="5"/>
      <c r="X559" s="5" t="s">
        <v>333</v>
      </c>
      <c r="Y559" s="5" t="s">
        <v>73</v>
      </c>
      <c r="Z559" s="5"/>
      <c r="AI559" s="9" t="n">
        <v>44197</v>
      </c>
      <c r="AJ559" s="9"/>
      <c r="AK559" s="5" t="s">
        <v>433</v>
      </c>
      <c r="AL559" s="5"/>
      <c r="AM559" s="13" t="s">
        <v>459</v>
      </c>
      <c r="AN559" s="5"/>
      <c r="AQ559" s="5" t="s">
        <v>77</v>
      </c>
      <c r="AR559" s="5" t="s">
        <v>333</v>
      </c>
      <c r="AS559" s="5" t="s">
        <v>73</v>
      </c>
      <c r="AT559" s="5" t="s">
        <v>78</v>
      </c>
      <c r="AW559" s="5" t="s">
        <v>94</v>
      </c>
      <c r="AX559" s="10" t="str">
        <f aca="false">IFERROR(INDEX('full database 2024'!ar:ar, MATCH(A559, 'full database 2024'!b:b, 0)), "")</f>
        <v/>
      </c>
      <c r="AZ559" s="5" t="s">
        <v>95</v>
      </c>
      <c r="BA559" s="5"/>
      <c r="BD559" s="9" t="n">
        <v>45596</v>
      </c>
      <c r="BE559" s="9" t="n">
        <v>45596</v>
      </c>
      <c r="BF559" s="9"/>
      <c r="BJ559" s="5" t="n">
        <v>2020</v>
      </c>
      <c r="BK559" s="11" t="n">
        <v>36526</v>
      </c>
    </row>
    <row r="560" customFormat="false" ht="16.5" hidden="false" customHeight="true" outlineLevel="0" collapsed="false">
      <c r="A560" s="5" t="s">
        <v>2512</v>
      </c>
      <c r="C560" s="5"/>
      <c r="D560" s="5" t="s">
        <v>62</v>
      </c>
      <c r="G560" s="5" t="s">
        <v>147</v>
      </c>
      <c r="J560" s="18"/>
      <c r="K560" s="18"/>
      <c r="L560" s="5" t="s">
        <v>84</v>
      </c>
      <c r="M560" s="5" t="s">
        <v>65</v>
      </c>
      <c r="N560" s="8" t="s">
        <v>2513</v>
      </c>
      <c r="V560" s="5" t="s">
        <v>610</v>
      </c>
      <c r="X560" s="5" t="s">
        <v>333</v>
      </c>
      <c r="Y560" s="5" t="s">
        <v>73</v>
      </c>
      <c r="AI560" s="9" t="n">
        <v>44866</v>
      </c>
      <c r="AJ560" s="5" t="n">
        <v>12</v>
      </c>
      <c r="AK560" s="5" t="s">
        <v>216</v>
      </c>
      <c r="AL560" s="5" t="n">
        <v>0</v>
      </c>
      <c r="AM560" s="5" t="s">
        <v>459</v>
      </c>
      <c r="AQ560" s="5" t="s">
        <v>77</v>
      </c>
      <c r="AR560" s="5" t="s">
        <v>333</v>
      </c>
      <c r="AS560" s="5" t="s">
        <v>73</v>
      </c>
      <c r="AT560" s="5" t="s">
        <v>78</v>
      </c>
      <c r="AW560" s="5" t="s">
        <v>94</v>
      </c>
      <c r="AX560" s="10" t="str">
        <f aca="false">IFERROR(INDEX('full database 2024'!ar:ar, MATCH(A560, 'full database 2024'!b:b, 0)), "")</f>
        <v/>
      </c>
      <c r="AZ560" s="5" t="s">
        <v>309</v>
      </c>
      <c r="BD560" s="9" t="n">
        <v>45596</v>
      </c>
      <c r="BE560" s="9" t="n">
        <v>45596</v>
      </c>
      <c r="BJ560" s="5" t="n">
        <v>2022</v>
      </c>
      <c r="BK560" s="11" t="n">
        <v>36526</v>
      </c>
    </row>
    <row r="561" customFormat="false" ht="16.5" hidden="false" customHeight="true" outlineLevel="0" collapsed="false">
      <c r="A561" s="5" t="s">
        <v>2514</v>
      </c>
      <c r="C561" s="5"/>
      <c r="D561" s="5" t="s">
        <v>62</v>
      </c>
      <c r="G561" s="5" t="s">
        <v>147</v>
      </c>
      <c r="J561" s="18"/>
      <c r="K561" s="18"/>
      <c r="L561" s="5" t="s">
        <v>84</v>
      </c>
      <c r="M561" s="5" t="s">
        <v>65</v>
      </c>
      <c r="N561" s="5"/>
      <c r="T561" s="5" t="s">
        <v>2515</v>
      </c>
      <c r="V561" s="5" t="s">
        <v>2462</v>
      </c>
      <c r="X561" s="5" t="s">
        <v>271</v>
      </c>
      <c r="Y561" s="5" t="s">
        <v>73</v>
      </c>
      <c r="AI561" s="9"/>
      <c r="AJ561" s="5" t="n">
        <v>48</v>
      </c>
      <c r="AK561" s="5" t="s">
        <v>433</v>
      </c>
      <c r="AL561" s="5" t="n">
        <v>0</v>
      </c>
      <c r="AM561" s="13" t="s">
        <v>2362</v>
      </c>
      <c r="AQ561" s="5" t="s">
        <v>77</v>
      </c>
      <c r="AR561" s="5" t="s">
        <v>271</v>
      </c>
      <c r="AS561" s="5" t="s">
        <v>73</v>
      </c>
      <c r="AT561" s="5" t="s">
        <v>78</v>
      </c>
      <c r="AW561" s="5" t="s">
        <v>94</v>
      </c>
      <c r="AX561" s="10" t="str">
        <f aca="false">IFERROR(INDEX('full database 2024'!ar:ar, MATCH(A561, 'full database 2024'!b:b, 0)), "")</f>
        <v/>
      </c>
      <c r="AZ561" s="5" t="s">
        <v>396</v>
      </c>
      <c r="BD561" s="9" t="n">
        <v>45596</v>
      </c>
      <c r="BE561" s="9" t="n">
        <v>45779</v>
      </c>
      <c r="BJ561" s="5" t="n">
        <v>2020</v>
      </c>
      <c r="BK561" s="11"/>
    </row>
    <row r="562" customFormat="false" ht="16.5" hidden="false" customHeight="true" outlineLevel="0" collapsed="false">
      <c r="A562" s="5" t="s">
        <v>2516</v>
      </c>
      <c r="C562" s="5"/>
      <c r="D562" s="5" t="s">
        <v>62</v>
      </c>
      <c r="G562" s="5" t="s">
        <v>147</v>
      </c>
      <c r="J562" s="18"/>
      <c r="K562" s="18"/>
      <c r="L562" s="5" t="s">
        <v>84</v>
      </c>
      <c r="M562" s="5" t="s">
        <v>65</v>
      </c>
      <c r="T562" s="5"/>
      <c r="V562" s="5"/>
      <c r="X562" s="5"/>
      <c r="Y562" s="5" t="s">
        <v>73</v>
      </c>
      <c r="AI562" s="9" t="n">
        <v>44197</v>
      </c>
      <c r="AJ562" s="5" t="n">
        <v>36</v>
      </c>
      <c r="AK562" s="5" t="s">
        <v>216</v>
      </c>
      <c r="AL562" s="5" t="n">
        <v>0</v>
      </c>
      <c r="AQ562" s="5" t="s">
        <v>77</v>
      </c>
      <c r="AR562" s="5" t="s">
        <v>151</v>
      </c>
      <c r="AS562" s="5" t="s">
        <v>73</v>
      </c>
      <c r="AT562" s="5" t="s">
        <v>71</v>
      </c>
      <c r="AU562" s="10" t="s">
        <v>286</v>
      </c>
      <c r="AW562" s="5" t="s">
        <v>94</v>
      </c>
      <c r="AX562" s="10" t="str">
        <f aca="false">IFERROR(INDEX('full database 2024'!ar:ar, MATCH(A562, 'full database 2024'!b:b, 0)), "")</f>
        <v/>
      </c>
      <c r="AZ562" s="5" t="s">
        <v>95</v>
      </c>
      <c r="BD562" s="9" t="n">
        <v>45596</v>
      </c>
      <c r="BE562" s="9" t="n">
        <v>45596</v>
      </c>
      <c r="BJ562" s="5" t="n">
        <v>2023</v>
      </c>
      <c r="BK562" s="11" t="n">
        <v>36526</v>
      </c>
    </row>
    <row r="563" customFormat="false" ht="16.5" hidden="false" customHeight="true" outlineLevel="0" collapsed="false">
      <c r="A563" s="5" t="s">
        <v>2517</v>
      </c>
      <c r="C563" s="5"/>
      <c r="D563" s="5" t="s">
        <v>62</v>
      </c>
      <c r="G563" s="5"/>
      <c r="J563" s="18"/>
      <c r="K563" s="18"/>
      <c r="L563" s="5" t="s">
        <v>84</v>
      </c>
      <c r="M563" s="5" t="s">
        <v>65</v>
      </c>
      <c r="U563" s="5" t="s">
        <v>2518</v>
      </c>
      <c r="V563" s="5" t="s">
        <v>2519</v>
      </c>
      <c r="X563" s="5" t="s">
        <v>151</v>
      </c>
      <c r="Y563" s="5" t="s">
        <v>73</v>
      </c>
      <c r="AD563" s="5" t="s">
        <v>2502</v>
      </c>
      <c r="AI563" s="9" t="n">
        <v>44566</v>
      </c>
      <c r="AJ563" s="5"/>
      <c r="AK563" s="5"/>
      <c r="AL563" s="5"/>
      <c r="AQ563" s="5" t="s">
        <v>77</v>
      </c>
      <c r="AR563" s="5" t="s">
        <v>151</v>
      </c>
      <c r="AS563" s="5" t="s">
        <v>73</v>
      </c>
      <c r="AT563" s="5" t="s">
        <v>78</v>
      </c>
      <c r="AW563" s="5" t="s">
        <v>94</v>
      </c>
      <c r="AX563" s="10" t="str">
        <f aca="false">IFERROR(INDEX('full database 2024'!ar:ar, MATCH(A563, 'full database 2024'!b:b, 0)), "")</f>
        <v/>
      </c>
      <c r="AZ563" s="5" t="s">
        <v>396</v>
      </c>
      <c r="BD563" s="9" t="n">
        <v>45596</v>
      </c>
      <c r="BE563" s="9" t="n">
        <v>45596</v>
      </c>
      <c r="BJ563" s="5" t="n">
        <v>2022</v>
      </c>
      <c r="BK563" s="11" t="n">
        <v>36526</v>
      </c>
    </row>
    <row r="564" customFormat="false" ht="16.5" hidden="false" customHeight="true" outlineLevel="0" collapsed="false">
      <c r="A564" s="5" t="s">
        <v>2520</v>
      </c>
      <c r="C564" s="5"/>
      <c r="D564" s="5" t="s">
        <v>62</v>
      </c>
      <c r="J564" s="18"/>
      <c r="K564" s="18"/>
      <c r="L564" s="5" t="s">
        <v>84</v>
      </c>
      <c r="M564" s="5" t="s">
        <v>65</v>
      </c>
      <c r="U564" s="5" t="s">
        <v>1341</v>
      </c>
      <c r="V564" s="5" t="s">
        <v>1342</v>
      </c>
      <c r="X564" s="5" t="s">
        <v>151</v>
      </c>
      <c r="Y564" s="5" t="s">
        <v>73</v>
      </c>
      <c r="AD564" s="5" t="s">
        <v>2521</v>
      </c>
      <c r="AI564" s="9" t="n">
        <v>44570</v>
      </c>
      <c r="AQ564" s="5" t="s">
        <v>77</v>
      </c>
      <c r="AR564" s="5" t="s">
        <v>151</v>
      </c>
      <c r="AS564" s="5" t="s">
        <v>73</v>
      </c>
      <c r="AT564" s="5" t="s">
        <v>78</v>
      </c>
      <c r="AW564" s="5" t="s">
        <v>94</v>
      </c>
      <c r="AX564" s="10" t="str">
        <f aca="false">IFERROR(INDEX('full database 2024'!ar:ar, MATCH(A564, 'full database 2024'!b:b, 0)), "")</f>
        <v/>
      </c>
      <c r="AZ564" s="5" t="s">
        <v>129</v>
      </c>
      <c r="BD564" s="9" t="n">
        <v>45596</v>
      </c>
      <c r="BE564" s="9" t="n">
        <v>45596</v>
      </c>
      <c r="BJ564" s="5" t="n">
        <v>2022</v>
      </c>
      <c r="BK564" s="11" t="n">
        <v>36526</v>
      </c>
    </row>
    <row r="565" customFormat="false" ht="16.5" hidden="false" customHeight="true" outlineLevel="0" collapsed="false">
      <c r="A565" s="5" t="s">
        <v>2522</v>
      </c>
      <c r="C565" s="5"/>
      <c r="D565" s="5" t="s">
        <v>62</v>
      </c>
      <c r="G565" s="5" t="s">
        <v>147</v>
      </c>
      <c r="J565" s="18"/>
      <c r="K565" s="18"/>
      <c r="L565" s="5" t="s">
        <v>84</v>
      </c>
      <c r="M565" s="5" t="s">
        <v>65</v>
      </c>
      <c r="T565" s="5" t="s">
        <v>2523</v>
      </c>
      <c r="U565" s="5"/>
      <c r="V565" s="5" t="s">
        <v>2482</v>
      </c>
      <c r="X565" s="5" t="s">
        <v>333</v>
      </c>
      <c r="Y565" s="5" t="s">
        <v>73</v>
      </c>
      <c r="AD565" s="5" t="s">
        <v>2523</v>
      </c>
      <c r="AI565" s="9" t="n">
        <v>45170</v>
      </c>
      <c r="AK565" s="5" t="s">
        <v>433</v>
      </c>
      <c r="AM565" s="13" t="s">
        <v>459</v>
      </c>
      <c r="AQ565" s="5" t="s">
        <v>77</v>
      </c>
      <c r="AR565" s="5" t="s">
        <v>333</v>
      </c>
      <c r="AS565" s="5" t="s">
        <v>73</v>
      </c>
      <c r="AT565" s="5" t="s">
        <v>78</v>
      </c>
      <c r="AW565" s="5" t="s">
        <v>94</v>
      </c>
      <c r="AX565" s="10" t="str">
        <f aca="false">IFERROR(INDEX('full database 2024'!ar:ar, MATCH(A565, 'full database 2024'!b:b, 0)), "")</f>
        <v/>
      </c>
      <c r="AZ565" s="5" t="s">
        <v>129</v>
      </c>
      <c r="BD565" s="9" t="n">
        <v>45596</v>
      </c>
      <c r="BE565" s="9" t="n">
        <v>45596</v>
      </c>
      <c r="BJ565" s="5" t="n">
        <v>2023</v>
      </c>
      <c r="BK565" s="11" t="n">
        <v>36526</v>
      </c>
    </row>
    <row r="566" customFormat="false" ht="16.5" hidden="false" customHeight="true" outlineLevel="0" collapsed="false">
      <c r="A566" s="5" t="s">
        <v>2524</v>
      </c>
      <c r="C566" s="5"/>
      <c r="D566" s="5" t="s">
        <v>62</v>
      </c>
      <c r="G566" s="5" t="s">
        <v>147</v>
      </c>
      <c r="J566" s="18"/>
      <c r="K566" s="18"/>
      <c r="L566" s="5" t="s">
        <v>84</v>
      </c>
      <c r="M566" s="5" t="s">
        <v>65</v>
      </c>
      <c r="T566" s="5"/>
      <c r="V566" s="5" t="s">
        <v>2477</v>
      </c>
      <c r="X566" s="5"/>
      <c r="Y566" s="5" t="s">
        <v>73</v>
      </c>
      <c r="AD566" s="5"/>
      <c r="AI566" s="9" t="n">
        <v>44198</v>
      </c>
      <c r="AK566" s="5"/>
      <c r="AQ566" s="5" t="s">
        <v>77</v>
      </c>
      <c r="AR566" s="5" t="s">
        <v>151</v>
      </c>
      <c r="AS566" s="5" t="s">
        <v>73</v>
      </c>
      <c r="AT566" s="5" t="s">
        <v>71</v>
      </c>
      <c r="AW566" s="5" t="s">
        <v>94</v>
      </c>
      <c r="AX566" s="10" t="str">
        <f aca="false">IFERROR(INDEX('full database 2024'!ar:ar, MATCH(A566, 'full database 2024'!b:b, 0)), "")</f>
        <v/>
      </c>
      <c r="AZ566" s="5" t="s">
        <v>525</v>
      </c>
      <c r="BD566" s="9" t="n">
        <v>45596</v>
      </c>
      <c r="BE566" s="9" t="n">
        <v>45596</v>
      </c>
      <c r="BJ566" s="5" t="n">
        <v>2021</v>
      </c>
      <c r="BK566" s="11"/>
    </row>
    <row r="567" customFormat="false" ht="16.5" hidden="false" customHeight="true" outlineLevel="0" collapsed="false">
      <c r="A567" s="5" t="s">
        <v>2525</v>
      </c>
      <c r="C567" s="5"/>
      <c r="D567" s="5" t="s">
        <v>62</v>
      </c>
      <c r="G567" s="5" t="s">
        <v>732</v>
      </c>
      <c r="J567" s="7" t="n">
        <f aca="false">E567*1.07</f>
        <v>0</v>
      </c>
      <c r="K567" s="7" t="n">
        <f aca="false">F567*1.07</f>
        <v>0</v>
      </c>
      <c r="L567" s="5" t="s">
        <v>84</v>
      </c>
      <c r="M567" s="5" t="s">
        <v>65</v>
      </c>
      <c r="T567" s="5" t="s">
        <v>2526</v>
      </c>
      <c r="V567" s="5"/>
      <c r="Y567" s="5" t="s">
        <v>73</v>
      </c>
      <c r="AI567" s="9" t="n">
        <v>45076</v>
      </c>
      <c r="AJ567" s="5" t="n">
        <v>19</v>
      </c>
      <c r="AK567" s="5" t="s">
        <v>433</v>
      </c>
      <c r="AL567" s="5" t="n">
        <v>0</v>
      </c>
      <c r="AQ567" s="5" t="s">
        <v>77</v>
      </c>
      <c r="AR567" s="5" t="s">
        <v>737</v>
      </c>
      <c r="AS567" s="5" t="s">
        <v>73</v>
      </c>
      <c r="AT567" s="5" t="s">
        <v>78</v>
      </c>
      <c r="AW567" s="5" t="s">
        <v>94</v>
      </c>
      <c r="AX567" s="10" t="str">
        <f aca="false">IFERROR(INDEX('full database 2024'!ar:ar, MATCH(A567, 'full database 2024'!b:b, 0)), "")</f>
        <v/>
      </c>
      <c r="AZ567" s="5" t="s">
        <v>309</v>
      </c>
      <c r="BD567" s="9" t="n">
        <v>45596</v>
      </c>
      <c r="BE567" s="9" t="n">
        <v>45596</v>
      </c>
      <c r="BJ567" s="5" t="n">
        <v>2020</v>
      </c>
      <c r="BK567" s="11" t="n">
        <v>36526</v>
      </c>
    </row>
    <row r="568" customFormat="false" ht="16.5" hidden="false" customHeight="true" outlineLevel="0" collapsed="false">
      <c r="A568" s="5" t="s">
        <v>2527</v>
      </c>
      <c r="C568" s="5"/>
      <c r="D568" s="5" t="s">
        <v>62</v>
      </c>
      <c r="G568" s="5" t="s">
        <v>147</v>
      </c>
      <c r="J568" s="18"/>
      <c r="K568" s="18"/>
      <c r="L568" s="5" t="s">
        <v>84</v>
      </c>
      <c r="M568" s="5" t="s">
        <v>65</v>
      </c>
      <c r="T568" s="5"/>
      <c r="Y568" s="5" t="s">
        <v>73</v>
      </c>
      <c r="AI568" s="9" t="n">
        <v>43840</v>
      </c>
      <c r="AJ568" s="5"/>
      <c r="AK568" s="5"/>
      <c r="AL568" s="5"/>
      <c r="AQ568" s="5" t="s">
        <v>77</v>
      </c>
      <c r="AR568" s="5" t="s">
        <v>151</v>
      </c>
      <c r="AS568" s="5" t="s">
        <v>73</v>
      </c>
      <c r="AT568" s="5" t="s">
        <v>105</v>
      </c>
      <c r="AU568" s="5" t="s">
        <v>186</v>
      </c>
      <c r="AV568" s="5"/>
      <c r="AW568" s="5" t="s">
        <v>94</v>
      </c>
      <c r="AX568" s="10" t="str">
        <f aca="false">IFERROR(INDEX('full database 2024'!ar:ar, MATCH(A568, 'full database 2024'!b:b, 0)), "")</f>
        <v/>
      </c>
      <c r="AZ568" s="5" t="s">
        <v>107</v>
      </c>
      <c r="BD568" s="9" t="n">
        <v>45596</v>
      </c>
      <c r="BE568" s="9" t="n">
        <v>45596</v>
      </c>
      <c r="BJ568" s="5" t="n">
        <v>2020</v>
      </c>
      <c r="BK568" s="11"/>
    </row>
    <row r="569" customFormat="false" ht="16.5" hidden="false" customHeight="true" outlineLevel="0" collapsed="false">
      <c r="A569" s="10" t="s">
        <v>2528</v>
      </c>
      <c r="D569" s="5" t="s">
        <v>62</v>
      </c>
      <c r="G569" s="5" t="s">
        <v>147</v>
      </c>
      <c r="J569" s="18"/>
      <c r="K569" s="18"/>
      <c r="L569" s="5" t="s">
        <v>84</v>
      </c>
      <c r="M569" s="5" t="s">
        <v>65</v>
      </c>
      <c r="U569" s="5" t="s">
        <v>2529</v>
      </c>
      <c r="W569" s="5" t="s">
        <v>2530</v>
      </c>
      <c r="Y569" s="5" t="s">
        <v>271</v>
      </c>
      <c r="Z569" s="5" t="s">
        <v>73</v>
      </c>
      <c r="AI569" s="9"/>
      <c r="AK569" s="5" t="n">
        <v>1</v>
      </c>
      <c r="AL569" s="5" t="s">
        <v>216</v>
      </c>
      <c r="AM569" s="5" t="s">
        <v>2362</v>
      </c>
      <c r="AN569" s="5"/>
      <c r="AQ569" s="5" t="s">
        <v>77</v>
      </c>
      <c r="AR569" s="5" t="s">
        <v>271</v>
      </c>
      <c r="AS569" s="5" t="s">
        <v>73</v>
      </c>
      <c r="AT569" s="5" t="s">
        <v>105</v>
      </c>
      <c r="AU569" s="10" t="s">
        <v>106</v>
      </c>
      <c r="AW569" s="5" t="s">
        <v>94</v>
      </c>
      <c r="AX569" s="10" t="str">
        <f aca="false">IFERROR(INDEX('full database 2024'!ar:ar, MATCH(A569, 'full database 2024'!b:b, 0)), "")</f>
        <v/>
      </c>
      <c r="AZ569" s="5" t="s">
        <v>287</v>
      </c>
      <c r="BC569" s="9"/>
      <c r="BD569" s="9" t="n">
        <v>45596</v>
      </c>
      <c r="BE569" s="9" t="n">
        <v>45779</v>
      </c>
      <c r="BI569" s="5"/>
      <c r="BJ569" s="5" t="n">
        <v>2024</v>
      </c>
    </row>
    <row r="570" customFormat="false" ht="16.5" hidden="false" customHeight="true" outlineLevel="0" collapsed="false">
      <c r="A570" s="10" t="s">
        <v>2531</v>
      </c>
      <c r="D570" s="5" t="s">
        <v>62</v>
      </c>
      <c r="G570" s="5" t="s">
        <v>147</v>
      </c>
      <c r="J570" s="18"/>
      <c r="K570" s="18"/>
      <c r="L570" s="5" t="s">
        <v>84</v>
      </c>
      <c r="M570" s="5" t="s">
        <v>65</v>
      </c>
      <c r="T570" s="5" t="s">
        <v>2532</v>
      </c>
      <c r="U570" s="5"/>
      <c r="V570" s="5" t="s">
        <v>2482</v>
      </c>
      <c r="W570" s="5"/>
      <c r="X570" s="5" t="s">
        <v>333</v>
      </c>
      <c r="Y570" s="5" t="s">
        <v>73</v>
      </c>
      <c r="Z570" s="5"/>
      <c r="AI570" s="9" t="n">
        <v>44228</v>
      </c>
      <c r="AK570" s="5" t="s">
        <v>216</v>
      </c>
      <c r="AL570" s="5"/>
      <c r="AM570" s="13" t="s">
        <v>459</v>
      </c>
      <c r="AN570" s="5"/>
      <c r="AQ570" s="5" t="s">
        <v>77</v>
      </c>
      <c r="AR570" s="5" t="s">
        <v>333</v>
      </c>
      <c r="AS570" s="5" t="s">
        <v>73</v>
      </c>
      <c r="AT570" s="5" t="s">
        <v>78</v>
      </c>
      <c r="AW570" s="5" t="s">
        <v>94</v>
      </c>
      <c r="AX570" s="10" t="str">
        <f aca="false">IFERROR(INDEX('full database 2024'!ar:ar, MATCH(A570, 'full database 2024'!b:b, 0)), "")</f>
        <v/>
      </c>
      <c r="AZ570" s="5" t="s">
        <v>399</v>
      </c>
      <c r="BD570" s="9" t="n">
        <v>45596</v>
      </c>
      <c r="BE570" s="9" t="n">
        <v>45596</v>
      </c>
      <c r="BF570" s="9"/>
      <c r="BJ570" s="5" t="n">
        <v>2021</v>
      </c>
      <c r="BK570" s="11" t="n">
        <v>36526</v>
      </c>
    </row>
    <row r="571" customFormat="false" ht="16.5" hidden="false" customHeight="true" outlineLevel="0" collapsed="false">
      <c r="A571" s="10" t="s">
        <v>2533</v>
      </c>
      <c r="D571" s="5" t="s">
        <v>62</v>
      </c>
      <c r="G571" s="5"/>
      <c r="J571" s="18"/>
      <c r="K571" s="18"/>
      <c r="L571" s="5" t="s">
        <v>84</v>
      </c>
      <c r="M571" s="5" t="s">
        <v>65</v>
      </c>
      <c r="T571" s="5" t="s">
        <v>2534</v>
      </c>
      <c r="V571" s="5"/>
      <c r="X571" s="5" t="s">
        <v>115</v>
      </c>
      <c r="Y571" s="5" t="s">
        <v>73</v>
      </c>
      <c r="AD571" s="5" t="s">
        <v>2535</v>
      </c>
      <c r="AE571" s="5" t="s">
        <v>2536</v>
      </c>
      <c r="AI571" s="9" t="n">
        <v>44287</v>
      </c>
      <c r="AJ571" s="5" t="n">
        <v>48</v>
      </c>
      <c r="AK571" s="5" t="s">
        <v>433</v>
      </c>
      <c r="AL571" s="5" t="n">
        <v>0</v>
      </c>
      <c r="AQ571" s="5" t="s">
        <v>77</v>
      </c>
      <c r="AR571" s="5" t="s">
        <v>115</v>
      </c>
      <c r="AS571" s="5" t="s">
        <v>73</v>
      </c>
      <c r="AT571" s="5" t="s">
        <v>78</v>
      </c>
      <c r="AU571" s="10"/>
      <c r="AW571" s="5" t="s">
        <v>94</v>
      </c>
      <c r="AX571" s="28" t="s">
        <v>79</v>
      </c>
      <c r="AZ571" s="5" t="s">
        <v>287</v>
      </c>
      <c r="BD571" s="9" t="n">
        <v>45596</v>
      </c>
      <c r="BE571" s="9" t="n">
        <v>45596</v>
      </c>
      <c r="BJ571" s="5" t="n">
        <v>2021</v>
      </c>
      <c r="BK571" s="11" t="n">
        <v>36526</v>
      </c>
    </row>
    <row r="572" customFormat="false" ht="16.5" hidden="false" customHeight="true" outlineLevel="0" collapsed="false">
      <c r="A572" s="10" t="s">
        <v>2537</v>
      </c>
      <c r="D572" s="5" t="s">
        <v>62</v>
      </c>
      <c r="G572" s="5" t="s">
        <v>147</v>
      </c>
      <c r="J572" s="18"/>
      <c r="K572" s="18"/>
      <c r="L572" s="5" t="s">
        <v>84</v>
      </c>
      <c r="M572" s="5" t="s">
        <v>65</v>
      </c>
      <c r="T572" s="5"/>
      <c r="V572" s="5" t="s">
        <v>2477</v>
      </c>
      <c r="X572" s="5"/>
      <c r="Y572" s="5" t="s">
        <v>73</v>
      </c>
      <c r="AD572" s="5"/>
      <c r="AE572" s="5"/>
      <c r="AI572" s="9" t="n">
        <v>44197</v>
      </c>
      <c r="AJ572" s="5"/>
      <c r="AK572" s="5"/>
      <c r="AL572" s="5"/>
      <c r="AQ572" s="5" t="s">
        <v>77</v>
      </c>
      <c r="AR572" s="5" t="s">
        <v>151</v>
      </c>
      <c r="AS572" s="5" t="s">
        <v>73</v>
      </c>
      <c r="AT572" s="5" t="s">
        <v>78</v>
      </c>
      <c r="AW572" s="5" t="s">
        <v>94</v>
      </c>
      <c r="AX572" s="10" t="str">
        <f aca="false">IFERROR(INDEX('full database 2024'!ar:ar, MATCH(A572, 'full database 2024'!b:b, 0)), "")</f>
        <v/>
      </c>
      <c r="AZ572" s="5" t="s">
        <v>129</v>
      </c>
      <c r="BD572" s="9" t="n">
        <v>45596</v>
      </c>
      <c r="BE572" s="9" t="n">
        <v>45596</v>
      </c>
      <c r="BJ572" s="5" t="n">
        <v>2021</v>
      </c>
      <c r="BK572" s="11"/>
    </row>
    <row r="573" customFormat="false" ht="16.5" hidden="false" customHeight="true" outlineLevel="0" collapsed="false">
      <c r="A573" s="10" t="s">
        <v>2538</v>
      </c>
      <c r="D573" s="5" t="s">
        <v>62</v>
      </c>
      <c r="G573" s="5" t="s">
        <v>147</v>
      </c>
      <c r="J573" s="18"/>
      <c r="K573" s="18"/>
      <c r="L573" s="5" t="s">
        <v>84</v>
      </c>
      <c r="M573" s="5" t="s">
        <v>65</v>
      </c>
      <c r="N573" s="8" t="s">
        <v>2539</v>
      </c>
      <c r="V573" s="5"/>
      <c r="Y573" s="5" t="s">
        <v>73</v>
      </c>
      <c r="AI573" s="9" t="n">
        <v>44197</v>
      </c>
      <c r="AJ573" s="5" t="n">
        <v>6</v>
      </c>
      <c r="AK573" s="5" t="s">
        <v>216</v>
      </c>
      <c r="AL573" s="5" t="n">
        <v>0</v>
      </c>
      <c r="AM573" s="5" t="s">
        <v>153</v>
      </c>
      <c r="AQ573" s="5" t="s">
        <v>77</v>
      </c>
      <c r="AR573" s="5" t="s">
        <v>151</v>
      </c>
      <c r="AS573" s="5" t="s">
        <v>73</v>
      </c>
      <c r="AT573" s="5" t="s">
        <v>71</v>
      </c>
      <c r="AW573" s="5" t="s">
        <v>94</v>
      </c>
      <c r="AX573" s="10" t="str">
        <f aca="false">IFERROR(INDEX('full database 2024'!ar:ar, MATCH(A573, 'full database 2024'!b:b, 0)), "")</f>
        <v/>
      </c>
      <c r="AZ573" s="5" t="s">
        <v>639</v>
      </c>
      <c r="BD573" s="9" t="n">
        <v>45596</v>
      </c>
      <c r="BE573" s="9" t="n">
        <v>45596</v>
      </c>
      <c r="BJ573" s="5" t="n">
        <v>2021</v>
      </c>
      <c r="BK573" s="11" t="n">
        <v>36526</v>
      </c>
    </row>
    <row r="574" customFormat="false" ht="16.5" hidden="false" customHeight="true" outlineLevel="0" collapsed="false">
      <c r="A574" s="10" t="s">
        <v>2540</v>
      </c>
      <c r="D574" s="5" t="s">
        <v>62</v>
      </c>
      <c r="G574" s="5" t="s">
        <v>147</v>
      </c>
      <c r="J574" s="18"/>
      <c r="K574" s="18"/>
      <c r="L574" s="5" t="s">
        <v>84</v>
      </c>
      <c r="M574" s="5" t="s">
        <v>65</v>
      </c>
      <c r="N574" s="5"/>
      <c r="V574" s="5" t="s">
        <v>2477</v>
      </c>
      <c r="Y574" s="5" t="s">
        <v>73</v>
      </c>
      <c r="AI574" s="9" t="n">
        <v>43840</v>
      </c>
      <c r="AJ574" s="5"/>
      <c r="AK574" s="5"/>
      <c r="AL574" s="5"/>
      <c r="AQ574" s="5" t="s">
        <v>77</v>
      </c>
      <c r="AR574" s="5" t="s">
        <v>151</v>
      </c>
      <c r="AS574" s="5" t="s">
        <v>73</v>
      </c>
      <c r="AT574" s="5" t="s">
        <v>71</v>
      </c>
      <c r="AW574" s="5" t="s">
        <v>94</v>
      </c>
      <c r="AX574" s="10" t="str">
        <f aca="false">IFERROR(INDEX('full database 2024'!ar:ar, MATCH(A574, 'full database 2024'!b:b, 0)), "")</f>
        <v/>
      </c>
      <c r="AZ574" s="5" t="s">
        <v>639</v>
      </c>
      <c r="BD574" s="9" t="n">
        <v>45596</v>
      </c>
      <c r="BE574" s="9" t="n">
        <v>45596</v>
      </c>
      <c r="BJ574" s="5" t="n">
        <v>2020</v>
      </c>
      <c r="BK574" s="11"/>
    </row>
    <row r="575" customFormat="false" ht="16.5" hidden="false" customHeight="true" outlineLevel="0" collapsed="false">
      <c r="A575" s="10" t="s">
        <v>2541</v>
      </c>
      <c r="B575" s="5" t="s">
        <v>2542</v>
      </c>
      <c r="D575" s="5" t="s">
        <v>62</v>
      </c>
      <c r="G575" s="5" t="s">
        <v>147</v>
      </c>
      <c r="J575" s="18"/>
      <c r="K575" s="18"/>
      <c r="L575" s="5" t="s">
        <v>84</v>
      </c>
      <c r="M575" s="5" t="s">
        <v>65</v>
      </c>
      <c r="N575" s="8" t="s">
        <v>2543</v>
      </c>
      <c r="O575" s="5" t="s">
        <v>2544</v>
      </c>
      <c r="T575" s="5" t="s">
        <v>2545</v>
      </c>
      <c r="V575" s="5"/>
      <c r="W575" s="5" t="s">
        <v>2462</v>
      </c>
      <c r="Y575" s="5" t="s">
        <v>271</v>
      </c>
      <c r="Z575" s="5" t="s">
        <v>73</v>
      </c>
      <c r="AI575" s="31" t="n">
        <v>44197</v>
      </c>
      <c r="AJ575" s="9" t="n">
        <v>44197</v>
      </c>
      <c r="AK575" s="5" t="n">
        <v>24</v>
      </c>
      <c r="AL575" s="5" t="s">
        <v>216</v>
      </c>
      <c r="AM575" s="5" t="s">
        <v>547</v>
      </c>
      <c r="AN575" s="5"/>
      <c r="AQ575" s="5" t="s">
        <v>77</v>
      </c>
      <c r="AR575" s="5" t="s">
        <v>271</v>
      </c>
      <c r="AS575" s="5" t="s">
        <v>73</v>
      </c>
      <c r="AT575" s="5" t="s">
        <v>78</v>
      </c>
      <c r="AU575" s="10"/>
      <c r="AW575" s="5" t="s">
        <v>94</v>
      </c>
      <c r="AX575" s="5" t="s">
        <v>79</v>
      </c>
      <c r="AY575" s="5"/>
      <c r="AZ575" s="5" t="s">
        <v>188</v>
      </c>
      <c r="BC575" s="9"/>
      <c r="BD575" s="9" t="n">
        <v>45596</v>
      </c>
      <c r="BE575" s="9" t="n">
        <v>45733</v>
      </c>
      <c r="BI575" s="5"/>
      <c r="BJ575" s="5" t="n">
        <v>2021</v>
      </c>
      <c r="BK575" s="32" t="n">
        <v>44926</v>
      </c>
    </row>
    <row r="576" customFormat="false" ht="16.5" hidden="false" customHeight="true" outlineLevel="0" collapsed="false">
      <c r="A576" s="10" t="s">
        <v>2546</v>
      </c>
      <c r="D576" s="5" t="s">
        <v>62</v>
      </c>
      <c r="G576" s="5"/>
      <c r="J576" s="18"/>
      <c r="K576" s="18"/>
      <c r="L576" s="5" t="s">
        <v>84</v>
      </c>
      <c r="M576" s="5" t="s">
        <v>65</v>
      </c>
      <c r="N576" s="5"/>
      <c r="O576" s="5"/>
      <c r="T576" s="5"/>
      <c r="V576" s="5" t="s">
        <v>2547</v>
      </c>
      <c r="W576" s="5"/>
      <c r="X576" s="5" t="s">
        <v>151</v>
      </c>
      <c r="Y576" s="5" t="s">
        <v>73</v>
      </c>
      <c r="Z576" s="5"/>
      <c r="AI576" s="9" t="n">
        <v>44197</v>
      </c>
      <c r="AJ576" s="9"/>
      <c r="AK576" s="5"/>
      <c r="AL576" s="5"/>
      <c r="AM576" s="5" t="s">
        <v>924</v>
      </c>
      <c r="AN576" s="5"/>
      <c r="AO576" s="5"/>
      <c r="AQ576" s="5" t="s">
        <v>77</v>
      </c>
      <c r="AR576" s="5" t="s">
        <v>151</v>
      </c>
      <c r="AS576" s="5" t="s">
        <v>73</v>
      </c>
      <c r="AT576" s="5" t="s">
        <v>78</v>
      </c>
      <c r="AW576" s="5" t="s">
        <v>94</v>
      </c>
      <c r="AX576" s="10" t="str">
        <f aca="false" t="array" ref="AX576:AX576">IFERROR(INDEX('full database 2024'!ar:ar, MATCH(A576, 'full database 2024'!b:b, 0)), "")</f>
        <v/>
      </c>
      <c r="AZ576" s="5" t="s">
        <v>129</v>
      </c>
      <c r="BA576" s="5"/>
      <c r="BD576" s="9" t="n">
        <v>45596</v>
      </c>
      <c r="BE576" s="9" t="n">
        <v>45596</v>
      </c>
      <c r="BF576" s="9"/>
      <c r="BJ576" s="5" t="n">
        <v>2021</v>
      </c>
      <c r="BK576" s="11" t="n">
        <v>36526</v>
      </c>
    </row>
    <row r="577" customFormat="false" ht="16.5" hidden="false" customHeight="true" outlineLevel="0" collapsed="false">
      <c r="A577" s="10" t="s">
        <v>2548</v>
      </c>
      <c r="B577" s="5" t="s">
        <v>2549</v>
      </c>
      <c r="D577" s="5" t="s">
        <v>62</v>
      </c>
      <c r="J577" s="18"/>
      <c r="K577" s="18"/>
      <c r="L577" s="5" t="s">
        <v>84</v>
      </c>
      <c r="M577" s="5" t="s">
        <v>65</v>
      </c>
      <c r="N577" s="8" t="s">
        <v>2550</v>
      </c>
      <c r="O577" s="5" t="s">
        <v>223</v>
      </c>
      <c r="U577" s="5"/>
      <c r="V577" s="5" t="s">
        <v>2551</v>
      </c>
      <c r="W577" s="5" t="s">
        <v>2552</v>
      </c>
      <c r="X577" s="5" t="s">
        <v>115</v>
      </c>
      <c r="Y577" s="5" t="s">
        <v>73</v>
      </c>
      <c r="Z577" s="5" t="s">
        <v>70</v>
      </c>
      <c r="AD577" s="5" t="s">
        <v>2553</v>
      </c>
      <c r="AE577" s="5" t="s">
        <v>74</v>
      </c>
      <c r="AI577" s="9" t="n">
        <v>45383</v>
      </c>
      <c r="AJ577" s="5" t="n">
        <v>3</v>
      </c>
      <c r="AK577" s="5" t="s">
        <v>75</v>
      </c>
      <c r="AL577" s="5" t="n">
        <v>0</v>
      </c>
      <c r="AM577" s="5" t="s">
        <v>182</v>
      </c>
      <c r="AN577" s="5" t="s">
        <v>2554</v>
      </c>
      <c r="AQ577" s="5" t="s">
        <v>77</v>
      </c>
      <c r="AR577" s="5" t="s">
        <v>185</v>
      </c>
      <c r="AS577" s="5" t="s">
        <v>73</v>
      </c>
      <c r="AT577" s="5" t="s">
        <v>78</v>
      </c>
      <c r="AU577" s="10"/>
      <c r="AW577" s="5" t="s">
        <v>94</v>
      </c>
      <c r="AX577" s="5" t="s">
        <v>79</v>
      </c>
      <c r="AY577" s="5"/>
      <c r="AZ577" s="5" t="s">
        <v>129</v>
      </c>
      <c r="BD577" s="9" t="n">
        <v>45628</v>
      </c>
      <c r="BE577" s="9" t="n">
        <v>45629</v>
      </c>
      <c r="BI577" s="5" t="s">
        <v>81</v>
      </c>
      <c r="BJ577" s="5" t="n">
        <v>2024</v>
      </c>
      <c r="BK577" s="11" t="n">
        <v>46391</v>
      </c>
    </row>
    <row r="578" customFormat="false" ht="16.5" hidden="false" customHeight="true" outlineLevel="0" collapsed="false">
      <c r="A578" s="10" t="s">
        <v>2555</v>
      </c>
      <c r="B578" s="5" t="s">
        <v>2556</v>
      </c>
      <c r="D578" s="5" t="s">
        <v>62</v>
      </c>
      <c r="J578" s="18"/>
      <c r="K578" s="18"/>
      <c r="L578" s="5" t="s">
        <v>84</v>
      </c>
      <c r="M578" s="5" t="s">
        <v>65</v>
      </c>
      <c r="N578" s="8" t="s">
        <v>2557</v>
      </c>
      <c r="O578" s="5" t="s">
        <v>223</v>
      </c>
      <c r="P578" s="5"/>
      <c r="Q578" s="5"/>
      <c r="R578" s="5" t="s">
        <v>2395</v>
      </c>
      <c r="T578" s="5" t="s">
        <v>1183</v>
      </c>
      <c r="U578" s="5" t="s">
        <v>70</v>
      </c>
      <c r="V578" s="5" t="s">
        <v>1184</v>
      </c>
      <c r="W578" s="5" t="s">
        <v>102</v>
      </c>
      <c r="X578" s="5" t="s">
        <v>151</v>
      </c>
      <c r="Y578" s="5" t="s">
        <v>73</v>
      </c>
      <c r="Z578" s="5" t="s">
        <v>70</v>
      </c>
      <c r="AD578" s="5" t="s">
        <v>2558</v>
      </c>
      <c r="AE578" s="5" t="s">
        <v>74</v>
      </c>
      <c r="AI578" s="9" t="n">
        <v>45214</v>
      </c>
      <c r="AJ578" s="5" t="n">
        <v>2</v>
      </c>
      <c r="AK578" s="5" t="s">
        <v>75</v>
      </c>
      <c r="AL578" s="5" t="n">
        <v>0</v>
      </c>
      <c r="AM578" s="5" t="s">
        <v>153</v>
      </c>
      <c r="AN578" s="5"/>
      <c r="AQ578" s="5" t="s">
        <v>77</v>
      </c>
      <c r="AR578" s="5" t="s">
        <v>151</v>
      </c>
      <c r="AS578" s="5" t="s">
        <v>73</v>
      </c>
      <c r="AT578" s="5" t="s">
        <v>374</v>
      </c>
      <c r="AU578" s="10"/>
      <c r="AW578" s="5" t="s">
        <v>94</v>
      </c>
      <c r="AX578" s="5" t="s">
        <v>375</v>
      </c>
      <c r="AY578" s="5"/>
      <c r="AZ578" s="5" t="s">
        <v>239</v>
      </c>
      <c r="BD578" s="9" t="n">
        <v>45645</v>
      </c>
      <c r="BE578" s="9" t="n">
        <v>45645</v>
      </c>
      <c r="BI578" s="5" t="s">
        <v>81</v>
      </c>
      <c r="BJ578" s="5" t="n">
        <v>2023</v>
      </c>
      <c r="BK578" s="5" t="s">
        <v>1185</v>
      </c>
    </row>
    <row r="579" customFormat="false" ht="16.5" hidden="false" customHeight="true" outlineLevel="0" collapsed="false">
      <c r="A579" s="5" t="s">
        <v>2559</v>
      </c>
      <c r="B579" s="5" t="s">
        <v>2560</v>
      </c>
      <c r="D579" s="5" t="s">
        <v>62</v>
      </c>
      <c r="E579" s="5" t="n">
        <v>86786560</v>
      </c>
      <c r="F579" s="5" t="n">
        <v>86786560</v>
      </c>
      <c r="G579" s="5" t="s">
        <v>110</v>
      </c>
      <c r="H579" s="6" t="n">
        <v>8871368</v>
      </c>
      <c r="J579" s="18" t="n">
        <f aca="false">E579*0.087</f>
        <v>7550430.72</v>
      </c>
      <c r="K579" s="18" t="n">
        <f aca="false">F579*0.087</f>
        <v>7550430.72</v>
      </c>
      <c r="L579" s="5" t="s">
        <v>84</v>
      </c>
      <c r="N579" s="8" t="s">
        <v>2561</v>
      </c>
      <c r="O579" s="5" t="s">
        <v>2562</v>
      </c>
      <c r="P579" s="5"/>
      <c r="Q579" s="5"/>
      <c r="R579" s="5" t="s">
        <v>486</v>
      </c>
      <c r="T579" s="5" t="s">
        <v>2534</v>
      </c>
      <c r="V579" s="5" t="s">
        <v>2563</v>
      </c>
      <c r="X579" s="5" t="s">
        <v>115</v>
      </c>
      <c r="Y579" s="5" t="s">
        <v>73</v>
      </c>
      <c r="Z579" s="5" t="s">
        <v>2564</v>
      </c>
      <c r="AI579" s="9" t="n">
        <v>44197</v>
      </c>
      <c r="AL579" s="5" t="n">
        <v>8871368</v>
      </c>
      <c r="AM579" s="5" t="s">
        <v>173</v>
      </c>
      <c r="AN579" s="5"/>
      <c r="AQ579" s="5" t="s">
        <v>77</v>
      </c>
      <c r="AR579" s="5" t="s">
        <v>115</v>
      </c>
      <c r="AS579" s="5" t="s">
        <v>73</v>
      </c>
      <c r="AT579" s="5" t="s">
        <v>78</v>
      </c>
      <c r="AW579" s="25" t="s">
        <v>94</v>
      </c>
      <c r="AX579" s="10" t="str">
        <f aca="false" t="array" ref="AX579:AX579">IFERROR(INDEX('full database 2024'!ar:ar, MATCH(A579, 'full database 2024'!b:b, 0)), "")</f>
        <v/>
      </c>
      <c r="AZ579" s="5" t="s">
        <v>399</v>
      </c>
      <c r="BD579" s="9" t="n">
        <v>45595</v>
      </c>
      <c r="BE579" s="9" t="n">
        <v>45595</v>
      </c>
      <c r="BJ579" s="5" t="n">
        <v>2021</v>
      </c>
      <c r="BK579" s="5" t="s">
        <v>2565</v>
      </c>
    </row>
    <row r="580" customFormat="false" ht="16.5" hidden="false" customHeight="true" outlineLevel="0" collapsed="false">
      <c r="A580" s="10" t="s">
        <v>2566</v>
      </c>
      <c r="D580" s="5" t="s">
        <v>62</v>
      </c>
      <c r="E580" s="5" t="n">
        <v>85000000</v>
      </c>
      <c r="F580" s="5" t="n">
        <v>60000000</v>
      </c>
      <c r="G580" s="5" t="s">
        <v>147</v>
      </c>
      <c r="H580" s="6" t="n">
        <v>90531800</v>
      </c>
      <c r="I580" s="6" t="n">
        <v>63904800</v>
      </c>
      <c r="J580" s="7" t="n">
        <v>85000000</v>
      </c>
      <c r="K580" s="7" t="n">
        <v>60000000</v>
      </c>
      <c r="L580" s="5" t="s">
        <v>84</v>
      </c>
      <c r="M580" s="5" t="s">
        <v>65</v>
      </c>
      <c r="N580" s="8" t="s">
        <v>2567</v>
      </c>
      <c r="P580" s="5"/>
      <c r="Q580" s="5"/>
      <c r="R580" s="5" t="s">
        <v>2568</v>
      </c>
      <c r="T580" s="5" t="s">
        <v>69</v>
      </c>
      <c r="U580" s="5" t="s">
        <v>70</v>
      </c>
      <c r="V580" s="5" t="s">
        <v>69</v>
      </c>
      <c r="W580" s="5" t="s">
        <v>69</v>
      </c>
      <c r="X580" s="5" t="s">
        <v>333</v>
      </c>
      <c r="Y580" s="5" t="s">
        <v>73</v>
      </c>
      <c r="Z580" s="5" t="s">
        <v>70</v>
      </c>
      <c r="AE580" s="5" t="s">
        <v>74</v>
      </c>
      <c r="AK580" s="5" t="s">
        <v>75</v>
      </c>
      <c r="AL580" s="5" t="n">
        <v>90531800</v>
      </c>
      <c r="AM580" s="5" t="s">
        <v>2569</v>
      </c>
      <c r="AN580" s="5"/>
      <c r="AQ580" s="5" t="s">
        <v>184</v>
      </c>
      <c r="AR580" s="5" t="s">
        <v>333</v>
      </c>
      <c r="AS580" s="5" t="s">
        <v>73</v>
      </c>
      <c r="AT580" s="5" t="s">
        <v>71</v>
      </c>
      <c r="AU580" s="10" t="s">
        <v>120</v>
      </c>
      <c r="AV580" s="10"/>
      <c r="AW580" s="5" t="s">
        <v>154</v>
      </c>
      <c r="AX580" s="5" t="s">
        <v>1433</v>
      </c>
      <c r="AY580" s="5"/>
      <c r="AZ580" s="5" t="s">
        <v>95</v>
      </c>
      <c r="BD580" s="9" t="n">
        <v>44959</v>
      </c>
      <c r="BE580" s="9" t="n">
        <v>45035</v>
      </c>
      <c r="BI580" s="5" t="s">
        <v>81</v>
      </c>
      <c r="BJ580" s="5" t="n">
        <v>2023</v>
      </c>
    </row>
    <row r="581" customFormat="false" ht="16.5" hidden="false" customHeight="true" outlineLevel="0" collapsed="false">
      <c r="A581" s="5" t="s">
        <v>2570</v>
      </c>
      <c r="B581" s="5" t="s">
        <v>2571</v>
      </c>
      <c r="D581" s="5" t="s">
        <v>62</v>
      </c>
      <c r="E581" s="5" t="n">
        <v>56382044</v>
      </c>
      <c r="F581" s="5" t="n">
        <v>56382044</v>
      </c>
      <c r="G581" s="5" t="s">
        <v>63</v>
      </c>
      <c r="H581" s="6" t="n">
        <v>8145521</v>
      </c>
      <c r="J581" s="7" t="n">
        <f aca="false">E581*0.13</f>
        <v>7329665.72</v>
      </c>
      <c r="K581" s="7" t="n">
        <f aca="false">F581*0.13</f>
        <v>7329665.72</v>
      </c>
      <c r="L581" s="5" t="s">
        <v>84</v>
      </c>
      <c r="O581" s="5" t="s">
        <v>2572</v>
      </c>
      <c r="P581" s="5"/>
      <c r="Q581" s="5"/>
      <c r="R581" s="5" t="s">
        <v>486</v>
      </c>
      <c r="T581" s="5" t="s">
        <v>2573</v>
      </c>
      <c r="V581" s="5" t="s">
        <v>128</v>
      </c>
      <c r="X581" s="5" t="s">
        <v>72</v>
      </c>
      <c r="Y581" s="5" t="s">
        <v>73</v>
      </c>
      <c r="Z581" s="5" t="s">
        <v>2574</v>
      </c>
      <c r="AI581" s="9" t="n">
        <v>44562</v>
      </c>
      <c r="AL581" s="5" t="n">
        <v>8145521</v>
      </c>
      <c r="AM581" s="5" t="s">
        <v>92</v>
      </c>
      <c r="AN581" s="5"/>
      <c r="AQ581" s="5" t="s">
        <v>93</v>
      </c>
      <c r="AR581" s="5" t="s">
        <v>72</v>
      </c>
      <c r="AS581" s="5" t="s">
        <v>73</v>
      </c>
      <c r="AT581" s="5" t="s">
        <v>78</v>
      </c>
      <c r="AU581" s="10" t="s">
        <v>259</v>
      </c>
      <c r="AW581" s="25" t="s">
        <v>94</v>
      </c>
      <c r="AX581" s="10" t="str">
        <f aca="false" t="array" ref="AX581:AX581">IFERROR(INDEX('full database 2024'!ar:ar, MATCH(A581, 'full database 2024'!b:b, 0)), "")</f>
        <v/>
      </c>
      <c r="AZ581" s="5" t="s">
        <v>129</v>
      </c>
      <c r="BD581" s="9" t="n">
        <v>45595</v>
      </c>
      <c r="BE581" s="9" t="n">
        <v>45595</v>
      </c>
      <c r="BJ581" s="5" t="n">
        <v>2022</v>
      </c>
      <c r="BK581" s="5" t="s">
        <v>2575</v>
      </c>
    </row>
    <row r="582" customFormat="false" ht="16.5" hidden="false" customHeight="true" outlineLevel="0" collapsed="false">
      <c r="A582" s="10" t="s">
        <v>2576</v>
      </c>
      <c r="D582" s="5" t="s">
        <v>62</v>
      </c>
      <c r="E582" s="5" t="n">
        <v>50000000</v>
      </c>
      <c r="F582" s="5" t="n">
        <v>50000000</v>
      </c>
      <c r="G582" s="5" t="s">
        <v>147</v>
      </c>
      <c r="H582" s="6" t="n">
        <v>54773750</v>
      </c>
      <c r="I582" s="6" t="n">
        <v>54773750</v>
      </c>
      <c r="J582" s="7" t="n">
        <v>50000000</v>
      </c>
      <c r="K582" s="7" t="n">
        <v>50000000</v>
      </c>
      <c r="L582" s="5" t="s">
        <v>64</v>
      </c>
      <c r="M582" s="5" t="s">
        <v>65</v>
      </c>
      <c r="N582" s="8" t="s">
        <v>2577</v>
      </c>
      <c r="P582" s="5"/>
      <c r="Q582" s="5"/>
      <c r="R582" s="5" t="s">
        <v>2578</v>
      </c>
      <c r="T582" s="5" t="s">
        <v>69</v>
      </c>
      <c r="U582" s="5" t="s">
        <v>70</v>
      </c>
      <c r="V582" s="5" t="s">
        <v>69</v>
      </c>
      <c r="W582" s="5" t="s">
        <v>102</v>
      </c>
      <c r="X582" s="5" t="s">
        <v>69</v>
      </c>
      <c r="Y582" s="5" t="s">
        <v>73</v>
      </c>
      <c r="Z582" s="5" t="s">
        <v>70</v>
      </c>
      <c r="AE582" s="5" t="s">
        <v>74</v>
      </c>
      <c r="AL582" s="5" t="n">
        <v>54773750</v>
      </c>
      <c r="AM582" s="5" t="s">
        <v>182</v>
      </c>
      <c r="AN582" s="5" t="s">
        <v>446</v>
      </c>
      <c r="AP582" s="8" t="s">
        <v>2577</v>
      </c>
      <c r="AQ582" s="5" t="s">
        <v>77</v>
      </c>
      <c r="AR582" s="5" t="s">
        <v>185</v>
      </c>
      <c r="AS582" s="5" t="s">
        <v>73</v>
      </c>
      <c r="AT582" s="5" t="s">
        <v>105</v>
      </c>
      <c r="AU582" s="10" t="s">
        <v>79</v>
      </c>
      <c r="AV582" s="10"/>
      <c r="AW582" s="5" t="s">
        <v>94</v>
      </c>
      <c r="BD582" s="9" t="n">
        <v>45301</v>
      </c>
      <c r="BE582" s="9" t="n">
        <v>45303</v>
      </c>
      <c r="BI582" s="5" t="s">
        <v>81</v>
      </c>
    </row>
    <row r="583" customFormat="false" ht="16.5" hidden="false" customHeight="true" outlineLevel="0" collapsed="false">
      <c r="A583" s="5" t="s">
        <v>2579</v>
      </c>
      <c r="B583" s="5" t="s">
        <v>2580</v>
      </c>
      <c r="D583" s="5" t="s">
        <v>62</v>
      </c>
      <c r="E583" s="5" t="n">
        <v>9969100</v>
      </c>
      <c r="F583" s="5" t="n">
        <v>9969100</v>
      </c>
      <c r="G583" s="5" t="s">
        <v>63</v>
      </c>
      <c r="H583" s="6" t="n">
        <v>1443382</v>
      </c>
      <c r="J583" s="7" t="n">
        <f aca="false">E583*0.13</f>
        <v>1295983</v>
      </c>
      <c r="K583" s="7" t="n">
        <f aca="false">F583*0.13</f>
        <v>1295983</v>
      </c>
      <c r="L583" s="5" t="s">
        <v>84</v>
      </c>
      <c r="O583" s="5" t="s">
        <v>2581</v>
      </c>
      <c r="P583" s="5"/>
      <c r="Q583" s="5"/>
      <c r="R583" s="5" t="s">
        <v>486</v>
      </c>
      <c r="T583" s="5" t="s">
        <v>2582</v>
      </c>
      <c r="V583" s="5" t="s">
        <v>571</v>
      </c>
      <c r="X583" s="5" t="s">
        <v>215</v>
      </c>
      <c r="Y583" s="5" t="s">
        <v>73</v>
      </c>
      <c r="Z583" s="5" t="s">
        <v>2583</v>
      </c>
      <c r="AI583" s="9" t="n">
        <v>44774</v>
      </c>
      <c r="AL583" s="5" t="n">
        <v>1443382</v>
      </c>
      <c r="AM583" s="5" t="s">
        <v>92</v>
      </c>
      <c r="AN583" s="5"/>
      <c r="AQ583" s="5" t="s">
        <v>93</v>
      </c>
      <c r="AR583" s="5" t="s">
        <v>72</v>
      </c>
      <c r="AS583" s="5" t="s">
        <v>73</v>
      </c>
      <c r="AT583" s="5" t="s">
        <v>78</v>
      </c>
      <c r="AW583" s="25" t="s">
        <v>94</v>
      </c>
      <c r="AX583" s="5" t="s">
        <v>296</v>
      </c>
      <c r="AY583" s="5"/>
      <c r="AZ583" s="5" t="s">
        <v>129</v>
      </c>
      <c r="BD583" s="9" t="n">
        <v>45595</v>
      </c>
      <c r="BE583" s="9" t="n">
        <v>45595</v>
      </c>
      <c r="BJ583" s="5" t="n">
        <v>2022</v>
      </c>
      <c r="BK583" s="5" t="s">
        <v>2584</v>
      </c>
    </row>
    <row r="584" customFormat="false" ht="16.5" hidden="false" customHeight="true" outlineLevel="0" collapsed="false">
      <c r="A584" s="5" t="s">
        <v>2585</v>
      </c>
      <c r="B584" s="5" t="s">
        <v>2586</v>
      </c>
      <c r="D584" s="5" t="s">
        <v>62</v>
      </c>
      <c r="E584" s="5" t="n">
        <v>8817638</v>
      </c>
      <c r="F584" s="5" t="n">
        <v>8817638</v>
      </c>
      <c r="G584" s="5" t="s">
        <v>147</v>
      </c>
      <c r="H584" s="6" t="n">
        <v>9959832</v>
      </c>
      <c r="J584" s="7" t="n">
        <v>8817638</v>
      </c>
      <c r="K584" s="7" t="n">
        <v>8817638</v>
      </c>
      <c r="L584" s="5" t="s">
        <v>84</v>
      </c>
      <c r="N584" s="8" t="s">
        <v>2587</v>
      </c>
      <c r="O584" s="5" t="s">
        <v>2588</v>
      </c>
      <c r="P584" s="5"/>
      <c r="Q584" s="5"/>
      <c r="R584" s="5" t="s">
        <v>486</v>
      </c>
      <c r="T584" s="5" t="s">
        <v>2589</v>
      </c>
      <c r="V584" s="5" t="s">
        <v>2590</v>
      </c>
      <c r="X584" s="5" t="s">
        <v>72</v>
      </c>
      <c r="Y584" s="5" t="s">
        <v>73</v>
      </c>
      <c r="AE584" s="5" t="s">
        <v>2591</v>
      </c>
      <c r="AI584" s="9" t="n">
        <v>42064</v>
      </c>
      <c r="AL584" s="5" t="n">
        <v>9959832</v>
      </c>
      <c r="AM584" s="5" t="s">
        <v>182</v>
      </c>
      <c r="AN584" s="24" t="s">
        <v>363</v>
      </c>
      <c r="AQ584" s="5" t="s">
        <v>77</v>
      </c>
      <c r="AR584" s="5" t="s">
        <v>185</v>
      </c>
      <c r="AS584" s="5" t="s">
        <v>73</v>
      </c>
      <c r="AT584" s="5" t="s">
        <v>78</v>
      </c>
      <c r="AU584" s="10"/>
      <c r="AW584" s="25" t="s">
        <v>94</v>
      </c>
      <c r="AX584" s="5" t="s">
        <v>79</v>
      </c>
      <c r="AY584" s="5"/>
      <c r="AZ584" s="5" t="s">
        <v>309</v>
      </c>
      <c r="BD584" s="9" t="n">
        <v>45593</v>
      </c>
      <c r="BE584" s="9" t="n">
        <v>45593</v>
      </c>
      <c r="BJ584" s="5" t="n">
        <v>2015</v>
      </c>
      <c r="BK584" s="5" t="s">
        <v>2592</v>
      </c>
    </row>
    <row r="585" customFormat="false" ht="16.5" hidden="false" customHeight="true" outlineLevel="0" collapsed="false">
      <c r="A585" s="5" t="s">
        <v>2593</v>
      </c>
      <c r="B585" s="5" t="s">
        <v>2594</v>
      </c>
      <c r="D585" s="5" t="s">
        <v>62</v>
      </c>
      <c r="E585" s="5" t="n">
        <v>7498000</v>
      </c>
      <c r="F585" s="5" t="n">
        <v>7498000</v>
      </c>
      <c r="G585" s="5" t="s">
        <v>212</v>
      </c>
      <c r="H585" s="6" t="n">
        <v>826591</v>
      </c>
      <c r="J585" s="7" t="n">
        <f aca="false">E585*0.091</f>
        <v>682318</v>
      </c>
      <c r="K585" s="7" t="n">
        <f aca="false">F585*0.091</f>
        <v>682318</v>
      </c>
      <c r="L585" s="5" t="s">
        <v>84</v>
      </c>
      <c r="N585" s="8" t="s">
        <v>2595</v>
      </c>
      <c r="O585" s="5" t="s">
        <v>2596</v>
      </c>
      <c r="P585" s="5"/>
      <c r="Q585" s="5"/>
      <c r="R585" s="5" t="s">
        <v>486</v>
      </c>
      <c r="T585" s="5" t="s">
        <v>2597</v>
      </c>
      <c r="V585" s="5" t="s">
        <v>426</v>
      </c>
      <c r="X585" s="5" t="s">
        <v>215</v>
      </c>
      <c r="Y585" s="5" t="s">
        <v>73</v>
      </c>
      <c r="Z585" s="5" t="s">
        <v>2598</v>
      </c>
      <c r="AI585" s="9" t="n">
        <v>43435</v>
      </c>
      <c r="AL585" s="5" t="n">
        <v>826591</v>
      </c>
      <c r="AM585" s="5" t="s">
        <v>217</v>
      </c>
      <c r="AN585" s="5"/>
      <c r="AQ585" s="5" t="s">
        <v>77</v>
      </c>
      <c r="AR585" s="5" t="s">
        <v>215</v>
      </c>
      <c r="AS585" s="5" t="s">
        <v>73</v>
      </c>
      <c r="AT585" s="5" t="s">
        <v>78</v>
      </c>
      <c r="AW585" s="5" t="s">
        <v>94</v>
      </c>
      <c r="AX585" s="10" t="str">
        <f aca="false">IFERROR(INDEX('full database 2024'!ar:ar, MATCH(A585, 'full database 2024'!b:b, 0)), "")</f>
        <v/>
      </c>
      <c r="AZ585" s="5" t="s">
        <v>309</v>
      </c>
      <c r="BD585" s="9" t="n">
        <v>45593</v>
      </c>
      <c r="BE585" s="9" t="n">
        <v>45593</v>
      </c>
      <c r="BJ585" s="5" t="n">
        <v>2018</v>
      </c>
      <c r="BK585" s="5" t="s">
        <v>2599</v>
      </c>
    </row>
    <row r="586" customFormat="false" ht="16.5" hidden="false" customHeight="true" outlineLevel="0" collapsed="false">
      <c r="A586" s="5" t="s">
        <v>2600</v>
      </c>
      <c r="B586" s="5" t="s">
        <v>2601</v>
      </c>
      <c r="D586" s="5" t="s">
        <v>62</v>
      </c>
      <c r="E586" s="5" t="n">
        <v>7495840</v>
      </c>
      <c r="F586" s="5" t="n">
        <v>7495840</v>
      </c>
      <c r="G586" s="5" t="s">
        <v>212</v>
      </c>
      <c r="H586" s="6" t="n">
        <v>826351</v>
      </c>
      <c r="J586" s="7" t="n">
        <f aca="false">E586*0.091</f>
        <v>682121.44</v>
      </c>
      <c r="K586" s="7" t="n">
        <f aca="false">F586*0.091</f>
        <v>682121.44</v>
      </c>
      <c r="L586" s="5" t="s">
        <v>84</v>
      </c>
      <c r="N586" s="8" t="s">
        <v>2602</v>
      </c>
      <c r="O586" s="5" t="s">
        <v>2603</v>
      </c>
      <c r="P586" s="5"/>
      <c r="Q586" s="5"/>
      <c r="R586" s="5" t="s">
        <v>486</v>
      </c>
      <c r="T586" s="5" t="s">
        <v>2604</v>
      </c>
      <c r="V586" s="5" t="s">
        <v>426</v>
      </c>
      <c r="X586" s="5" t="s">
        <v>215</v>
      </c>
      <c r="Y586" s="5" t="s">
        <v>73</v>
      </c>
      <c r="Z586" s="5" t="s">
        <v>2598</v>
      </c>
      <c r="AI586" s="9" t="n">
        <v>43435</v>
      </c>
      <c r="AL586" s="5" t="n">
        <v>826351</v>
      </c>
      <c r="AM586" s="5" t="s">
        <v>217</v>
      </c>
      <c r="AN586" s="5"/>
      <c r="AQ586" s="5" t="s">
        <v>77</v>
      </c>
      <c r="AR586" s="5" t="s">
        <v>215</v>
      </c>
      <c r="AS586" s="5" t="s">
        <v>73</v>
      </c>
      <c r="AT586" s="5" t="s">
        <v>78</v>
      </c>
      <c r="AW586" s="5" t="s">
        <v>94</v>
      </c>
      <c r="AX586" s="10" t="str">
        <f aca="false">IFERROR(INDEX('full database 2024'!ar:ar, MATCH(A586, 'full database 2024'!b:b, 0)), "")</f>
        <v/>
      </c>
      <c r="AZ586" s="5" t="s">
        <v>396</v>
      </c>
      <c r="BD586" s="9" t="n">
        <v>45593</v>
      </c>
      <c r="BE586" s="9" t="n">
        <v>45594</v>
      </c>
      <c r="BJ586" s="5" t="n">
        <v>2018</v>
      </c>
      <c r="BK586" s="5" t="s">
        <v>2599</v>
      </c>
    </row>
    <row r="587" customFormat="false" ht="16.5" hidden="false" customHeight="true" outlineLevel="0" collapsed="false">
      <c r="A587" s="5" t="s">
        <v>2605</v>
      </c>
      <c r="B587" s="5" t="s">
        <v>2606</v>
      </c>
      <c r="D587" s="5" t="s">
        <v>62</v>
      </c>
      <c r="E587" s="5" t="n">
        <v>5999984</v>
      </c>
      <c r="F587" s="5" t="n">
        <v>5999984</v>
      </c>
      <c r="G587" s="5" t="s">
        <v>110</v>
      </c>
      <c r="H587" s="6" t="n">
        <v>613313</v>
      </c>
      <c r="J587" s="18" t="n">
        <f aca="false">E587*0.087</f>
        <v>521998.608</v>
      </c>
      <c r="K587" s="18" t="n">
        <f aca="false">F587*0.087</f>
        <v>521998.608</v>
      </c>
      <c r="L587" s="5" t="s">
        <v>84</v>
      </c>
      <c r="N587" s="8" t="s">
        <v>2607</v>
      </c>
      <c r="O587" s="5" t="s">
        <v>2608</v>
      </c>
      <c r="P587" s="5"/>
      <c r="Q587" s="5"/>
      <c r="R587" s="5" t="s">
        <v>486</v>
      </c>
      <c r="T587" s="5" t="s">
        <v>2609</v>
      </c>
      <c r="V587" s="5" t="s">
        <v>2610</v>
      </c>
      <c r="X587" s="5" t="s">
        <v>115</v>
      </c>
      <c r="Y587" s="5" t="s">
        <v>73</v>
      </c>
      <c r="Z587" s="5" t="s">
        <v>2611</v>
      </c>
      <c r="AI587" s="9" t="n">
        <v>44197</v>
      </c>
      <c r="AL587" s="5" t="n">
        <v>613313</v>
      </c>
      <c r="AM587" s="5" t="s">
        <v>173</v>
      </c>
      <c r="AN587" s="5"/>
      <c r="AQ587" s="5" t="s">
        <v>77</v>
      </c>
      <c r="AR587" s="5" t="s">
        <v>115</v>
      </c>
      <c r="AS587" s="5" t="s">
        <v>73</v>
      </c>
      <c r="AT587" s="5" t="s">
        <v>78</v>
      </c>
      <c r="AU587" s="10"/>
      <c r="AW587" s="5" t="s">
        <v>94</v>
      </c>
      <c r="AX587" s="5" t="s">
        <v>375</v>
      </c>
      <c r="AY587" s="5"/>
      <c r="AZ587" s="5" t="s">
        <v>129</v>
      </c>
      <c r="BD587" s="9" t="n">
        <v>45595</v>
      </c>
      <c r="BE587" s="9" t="n">
        <v>45595</v>
      </c>
      <c r="BJ587" s="5" t="n">
        <v>2021</v>
      </c>
      <c r="BK587" s="5" t="s">
        <v>2565</v>
      </c>
    </row>
    <row r="588" customFormat="false" ht="16.5" hidden="false" customHeight="true" outlineLevel="0" collapsed="false">
      <c r="A588" s="5" t="s">
        <v>2612</v>
      </c>
      <c r="B588" s="5" t="s">
        <v>2613</v>
      </c>
      <c r="D588" s="5" t="s">
        <v>62</v>
      </c>
      <c r="E588" s="5" t="n">
        <v>5993835</v>
      </c>
      <c r="F588" s="5" t="n">
        <v>5993835</v>
      </c>
      <c r="G588" s="5" t="s">
        <v>212</v>
      </c>
      <c r="H588" s="6" t="n">
        <v>567595</v>
      </c>
      <c r="J588" s="7" t="n">
        <f aca="false">E588*0.091</f>
        <v>545438.985</v>
      </c>
      <c r="K588" s="7" t="n">
        <f aca="false">F588*0.091</f>
        <v>545438.985</v>
      </c>
      <c r="L588" s="5" t="s">
        <v>84</v>
      </c>
      <c r="N588" s="8" t="s">
        <v>2614</v>
      </c>
      <c r="O588" s="5" t="s">
        <v>2615</v>
      </c>
      <c r="P588" s="5"/>
      <c r="Q588" s="5"/>
      <c r="R588" s="5" t="s">
        <v>486</v>
      </c>
      <c r="S588" s="5" t="s">
        <v>2616</v>
      </c>
      <c r="T588" s="5" t="s">
        <v>2617</v>
      </c>
      <c r="V588" s="5" t="s">
        <v>426</v>
      </c>
      <c r="X588" s="5" t="s">
        <v>215</v>
      </c>
      <c r="Y588" s="5" t="s">
        <v>73</v>
      </c>
      <c r="Z588" s="5" t="s">
        <v>2598</v>
      </c>
      <c r="AI588" s="9" t="n">
        <v>44896</v>
      </c>
      <c r="AL588" s="5" t="n">
        <v>567595</v>
      </c>
      <c r="AM588" s="5" t="s">
        <v>217</v>
      </c>
      <c r="AN588" s="5"/>
      <c r="AQ588" s="5" t="s">
        <v>77</v>
      </c>
      <c r="AR588" s="5" t="s">
        <v>215</v>
      </c>
      <c r="AS588" s="5" t="s">
        <v>73</v>
      </c>
      <c r="AT588" s="5" t="s">
        <v>105</v>
      </c>
      <c r="AU588" s="5" t="s">
        <v>186</v>
      </c>
      <c r="AV588" s="5"/>
      <c r="AW588" s="5" t="s">
        <v>94</v>
      </c>
      <c r="AX588" s="10" t="str">
        <f aca="false" t="array" ref="AX588:AX588">IFERROR(INDEX('full database 2024'!ar:ar, MATCH(A588, 'full database 2024'!b:b, 0)), "")</f>
        <v/>
      </c>
      <c r="AZ588" s="5" t="s">
        <v>107</v>
      </c>
      <c r="BD588" s="9" t="n">
        <v>45595</v>
      </c>
      <c r="BE588" s="9" t="n">
        <v>45595</v>
      </c>
      <c r="BJ588" s="5" t="n">
        <v>2022</v>
      </c>
      <c r="BK588" s="5" t="s">
        <v>925</v>
      </c>
    </row>
    <row r="589" customFormat="false" ht="16.5" hidden="false" customHeight="true" outlineLevel="0" collapsed="false">
      <c r="A589" s="5" t="s">
        <v>2618</v>
      </c>
      <c r="B589" s="5" t="s">
        <v>2619</v>
      </c>
      <c r="D589" s="5" t="s">
        <v>62</v>
      </c>
      <c r="E589" s="5" t="n">
        <v>5946369</v>
      </c>
      <c r="F589" s="5" t="n">
        <v>5946369</v>
      </c>
      <c r="G589" s="5" t="s">
        <v>147</v>
      </c>
      <c r="H589" s="6" t="n">
        <v>6436886</v>
      </c>
      <c r="J589" s="7" t="n">
        <v>5946369</v>
      </c>
      <c r="K589" s="7" t="n">
        <v>5946369</v>
      </c>
      <c r="L589" s="5" t="s">
        <v>84</v>
      </c>
      <c r="M589" s="5" t="s">
        <v>65</v>
      </c>
      <c r="N589" s="8" t="s">
        <v>2620</v>
      </c>
      <c r="O589" s="5" t="s">
        <v>2621</v>
      </c>
      <c r="P589" s="5"/>
      <c r="Q589" s="5"/>
      <c r="R589" s="5" t="s">
        <v>2622</v>
      </c>
      <c r="X589" s="5" t="s">
        <v>2243</v>
      </c>
      <c r="Y589" s="5" t="s">
        <v>73</v>
      </c>
      <c r="AE589" s="5" t="s">
        <v>2623</v>
      </c>
      <c r="AI589" s="9" t="n">
        <v>45658</v>
      </c>
      <c r="AL589" s="5" t="n">
        <v>6436886</v>
      </c>
      <c r="AM589" s="5" t="s">
        <v>182</v>
      </c>
      <c r="AN589" s="24" t="s">
        <v>2624</v>
      </c>
      <c r="AQ589" s="5" t="s">
        <v>77</v>
      </c>
      <c r="AR589" s="5" t="s">
        <v>185</v>
      </c>
      <c r="AS589" s="5" t="s">
        <v>73</v>
      </c>
      <c r="AT589" s="5" t="s">
        <v>78</v>
      </c>
      <c r="AU589" s="10"/>
      <c r="AW589" s="5" t="s">
        <v>509</v>
      </c>
      <c r="AX589" s="5" t="s">
        <v>79</v>
      </c>
      <c r="AY589" s="5"/>
      <c r="AZ589" s="5" t="s">
        <v>95</v>
      </c>
      <c r="BD589" s="9" t="n">
        <v>45649</v>
      </c>
      <c r="BE589" s="9" t="n">
        <v>45747</v>
      </c>
      <c r="BJ589" s="5" t="n">
        <v>2025</v>
      </c>
      <c r="BK589" s="5" t="s">
        <v>2625</v>
      </c>
    </row>
    <row r="590" customFormat="false" ht="16.5" hidden="false" customHeight="true" outlineLevel="0" collapsed="false">
      <c r="A590" s="5" t="s">
        <v>2626</v>
      </c>
      <c r="B590" s="5" t="s">
        <v>2627</v>
      </c>
      <c r="D590" s="5" t="s">
        <v>62</v>
      </c>
      <c r="E590" s="5" t="n">
        <v>5849259</v>
      </c>
      <c r="F590" s="5" t="n">
        <v>5849259</v>
      </c>
      <c r="G590" s="5" t="s">
        <v>212</v>
      </c>
      <c r="H590" s="6" t="n">
        <v>553906</v>
      </c>
      <c r="J590" s="7" t="n">
        <f aca="false">E590*0.091</f>
        <v>532282.569</v>
      </c>
      <c r="K590" s="7" t="n">
        <f aca="false">F590*0.091</f>
        <v>532282.569</v>
      </c>
      <c r="L590" s="5" t="s">
        <v>84</v>
      </c>
      <c r="N590" s="8" t="s">
        <v>2628</v>
      </c>
      <c r="O590" s="5" t="s">
        <v>2629</v>
      </c>
      <c r="P590" s="5"/>
      <c r="Q590" s="5"/>
      <c r="R590" s="5" t="s">
        <v>486</v>
      </c>
      <c r="T590" s="5" t="s">
        <v>2630</v>
      </c>
      <c r="V590" s="5" t="s">
        <v>432</v>
      </c>
      <c r="X590" s="5" t="s">
        <v>215</v>
      </c>
      <c r="Y590" s="5" t="s">
        <v>73</v>
      </c>
      <c r="Z590" s="5" t="s">
        <v>2631</v>
      </c>
      <c r="AI590" s="9" t="n">
        <v>44896</v>
      </c>
      <c r="AL590" s="5" t="n">
        <v>553906</v>
      </c>
      <c r="AM590" s="5" t="s">
        <v>217</v>
      </c>
      <c r="AN590" s="5"/>
      <c r="AQ590" s="5" t="s">
        <v>77</v>
      </c>
      <c r="AR590" s="5" t="s">
        <v>215</v>
      </c>
      <c r="AS590" s="5" t="s">
        <v>73</v>
      </c>
      <c r="AT590" s="5" t="s">
        <v>78</v>
      </c>
      <c r="AW590" s="5" t="s">
        <v>94</v>
      </c>
      <c r="AX590" s="10" t="str">
        <f aca="false">IFERROR(INDEX('full database 2024'!ar:ar, MATCH(A590, 'full database 2024'!b:b, 0)), "")</f>
        <v/>
      </c>
      <c r="AZ590" s="5" t="s">
        <v>129</v>
      </c>
      <c r="BD590" s="9" t="n">
        <v>45595</v>
      </c>
      <c r="BE590" s="9" t="n">
        <v>45595</v>
      </c>
      <c r="BJ590" s="5" t="n">
        <v>2022</v>
      </c>
      <c r="BK590" s="5" t="s">
        <v>925</v>
      </c>
    </row>
    <row r="591" customFormat="false" ht="16.5" hidden="false" customHeight="true" outlineLevel="0" collapsed="false">
      <c r="A591" s="5" t="s">
        <v>2632</v>
      </c>
      <c r="B591" s="5" t="s">
        <v>2633</v>
      </c>
      <c r="D591" s="5" t="s">
        <v>62</v>
      </c>
      <c r="E591" s="5" t="n">
        <v>5518988</v>
      </c>
      <c r="F591" s="5" t="n">
        <v>5518988</v>
      </c>
      <c r="G591" s="5" t="s">
        <v>110</v>
      </c>
      <c r="H591" s="6" t="n">
        <v>538263</v>
      </c>
      <c r="J591" s="18" t="n">
        <f aca="false">E591*0.087</f>
        <v>480151.956</v>
      </c>
      <c r="K591" s="18" t="n">
        <f aca="false">F591*0.087</f>
        <v>480151.956</v>
      </c>
      <c r="L591" s="5" t="s">
        <v>84</v>
      </c>
      <c r="N591" s="8" t="s">
        <v>2634</v>
      </c>
      <c r="O591" s="5" t="s">
        <v>2635</v>
      </c>
      <c r="P591" s="5"/>
      <c r="Q591" s="5"/>
      <c r="R591" s="5" t="s">
        <v>486</v>
      </c>
      <c r="T591" s="5" t="s">
        <v>2636</v>
      </c>
      <c r="V591" s="5" t="s">
        <v>2637</v>
      </c>
      <c r="X591" s="5" t="s">
        <v>115</v>
      </c>
      <c r="Y591" s="5" t="s">
        <v>73</v>
      </c>
      <c r="AI591" s="9" t="n">
        <v>44562</v>
      </c>
      <c r="AL591" s="5" t="n">
        <v>538263</v>
      </c>
      <c r="AM591" s="5" t="s">
        <v>173</v>
      </c>
      <c r="AN591" s="5"/>
      <c r="AQ591" s="5" t="s">
        <v>77</v>
      </c>
      <c r="AR591" s="5" t="s">
        <v>115</v>
      </c>
      <c r="AS591" s="5" t="s">
        <v>73</v>
      </c>
      <c r="AT591" s="5" t="s">
        <v>78</v>
      </c>
      <c r="AW591" s="5" t="s">
        <v>94</v>
      </c>
      <c r="AX591" s="10" t="str">
        <f aca="false">IFERROR(INDEX('full database 2024'!ar:ar, MATCH(A591, 'full database 2024'!b:b, 0)), "")</f>
        <v/>
      </c>
      <c r="AZ591" s="5" t="s">
        <v>188</v>
      </c>
      <c r="BD591" s="9" t="n">
        <v>45595</v>
      </c>
      <c r="BE591" s="9" t="n">
        <v>45779</v>
      </c>
      <c r="BJ591" s="5" t="n">
        <v>2022</v>
      </c>
      <c r="BK591" s="5" t="s">
        <v>2565</v>
      </c>
    </row>
    <row r="592" customFormat="false" ht="16.5" hidden="false" customHeight="true" outlineLevel="0" collapsed="false">
      <c r="A592" s="5" t="s">
        <v>2638</v>
      </c>
      <c r="B592" s="5" t="s">
        <v>2639</v>
      </c>
      <c r="D592" s="5" t="s">
        <v>62</v>
      </c>
      <c r="E592" s="5" t="n">
        <v>5140274</v>
      </c>
      <c r="F592" s="5" t="n">
        <v>5140274</v>
      </c>
      <c r="G592" s="5" t="s">
        <v>147</v>
      </c>
      <c r="H592" s="6" t="n">
        <v>5674731</v>
      </c>
      <c r="J592" s="7" t="n">
        <v>5140274</v>
      </c>
      <c r="K592" s="7" t="n">
        <v>5140274</v>
      </c>
      <c r="L592" s="5" t="s">
        <v>84</v>
      </c>
      <c r="N592" s="8" t="s">
        <v>2640</v>
      </c>
      <c r="O592" s="5" t="s">
        <v>2641</v>
      </c>
      <c r="P592" s="5"/>
      <c r="Q592" s="5"/>
      <c r="R592" s="5" t="s">
        <v>486</v>
      </c>
      <c r="T592" s="5" t="s">
        <v>2642</v>
      </c>
      <c r="V592" s="5" t="s">
        <v>2643</v>
      </c>
      <c r="X592" s="5" t="s">
        <v>257</v>
      </c>
      <c r="Y592" s="5" t="s">
        <v>73</v>
      </c>
      <c r="Z592" s="5" t="s">
        <v>2643</v>
      </c>
      <c r="AE592" s="5" t="s">
        <v>2644</v>
      </c>
      <c r="AI592" s="9" t="n">
        <v>43983</v>
      </c>
      <c r="AL592" s="5" t="n">
        <v>5674731</v>
      </c>
      <c r="AM592" s="5" t="s">
        <v>182</v>
      </c>
      <c r="AN592" s="5" t="str">
        <f aca="false" t="array" ref="AN592:AN592">IFERROR(INDEX('full database 2024'!aj:aj, MATCH(A592, 'full database 2024'!b:b, 0)), "")</f>
        <v/>
      </c>
      <c r="AQ592" s="5" t="s">
        <v>77</v>
      </c>
      <c r="AR592" s="5" t="s">
        <v>185</v>
      </c>
      <c r="AS592" s="5" t="s">
        <v>73</v>
      </c>
      <c r="AT592" s="5" t="s">
        <v>78</v>
      </c>
      <c r="AW592" s="25" t="s">
        <v>94</v>
      </c>
      <c r="AX592" s="10" t="str">
        <f aca="false">IFERROR(INDEX('full database 2024'!ar:ar, MATCH(A592, 'full database 2024'!b:b, 0)), "")</f>
        <v/>
      </c>
      <c r="AZ592" s="5" t="s">
        <v>129</v>
      </c>
      <c r="BD592" s="9" t="n">
        <v>45594</v>
      </c>
      <c r="BE592" s="9" t="n">
        <v>45594</v>
      </c>
      <c r="BJ592" s="5" t="n">
        <v>2020</v>
      </c>
      <c r="BK592" s="5" t="s">
        <v>2645</v>
      </c>
    </row>
    <row r="593" customFormat="false" ht="16.5" hidden="false" customHeight="true" outlineLevel="0" collapsed="false">
      <c r="A593" s="5" t="s">
        <v>2646</v>
      </c>
      <c r="B593" s="5" t="s">
        <v>2647</v>
      </c>
      <c r="D593" s="5" t="s">
        <v>62</v>
      </c>
      <c r="E593" s="5" t="n">
        <v>4996972</v>
      </c>
      <c r="F593" s="5" t="n">
        <v>4996972</v>
      </c>
      <c r="G593" s="5" t="s">
        <v>147</v>
      </c>
      <c r="H593" s="6" t="n">
        <v>5409172</v>
      </c>
      <c r="J593" s="7" t="n">
        <v>4996972</v>
      </c>
      <c r="K593" s="7" t="n">
        <v>4996972</v>
      </c>
      <c r="L593" s="5" t="s">
        <v>84</v>
      </c>
      <c r="N593" s="8" t="s">
        <v>2648</v>
      </c>
      <c r="O593" s="5" t="s">
        <v>2649</v>
      </c>
      <c r="P593" s="5"/>
      <c r="Q593" s="5"/>
      <c r="R593" s="5" t="s">
        <v>2622</v>
      </c>
      <c r="Y593" s="5" t="s">
        <v>73</v>
      </c>
      <c r="AI593" s="9" t="n">
        <v>45566</v>
      </c>
      <c r="AL593" s="5" t="n">
        <v>5409172</v>
      </c>
      <c r="AM593" s="5" t="s">
        <v>182</v>
      </c>
      <c r="AN593" s="5" t="s">
        <v>404</v>
      </c>
      <c r="AQ593" s="5" t="s">
        <v>77</v>
      </c>
      <c r="AR593" s="5" t="s">
        <v>185</v>
      </c>
      <c r="AS593" s="5" t="s">
        <v>73</v>
      </c>
      <c r="AT593" s="5" t="s">
        <v>78</v>
      </c>
      <c r="AU593" s="10"/>
      <c r="AW593" s="25" t="s">
        <v>94</v>
      </c>
      <c r="AX593" s="5" t="s">
        <v>79</v>
      </c>
      <c r="AY593" s="5"/>
      <c r="AZ593" s="5" t="s">
        <v>129</v>
      </c>
      <c r="BD593" s="9" t="n">
        <v>45649</v>
      </c>
      <c r="BE593" s="9" t="n">
        <v>45649</v>
      </c>
      <c r="BJ593" s="5" t="n">
        <v>2024</v>
      </c>
      <c r="BK593" s="5" t="s">
        <v>2650</v>
      </c>
    </row>
    <row r="594" customFormat="false" ht="16.5" hidden="false" customHeight="true" outlineLevel="0" collapsed="false">
      <c r="A594" s="5" t="s">
        <v>2651</v>
      </c>
      <c r="B594" s="5" t="s">
        <v>2652</v>
      </c>
      <c r="D594" s="5" t="s">
        <v>62</v>
      </c>
      <c r="E594" s="5" t="n">
        <v>4989995</v>
      </c>
      <c r="F594" s="5" t="n">
        <v>4989995</v>
      </c>
      <c r="G594" s="5" t="s">
        <v>110</v>
      </c>
      <c r="H594" s="6" t="n">
        <v>482248</v>
      </c>
      <c r="J594" s="18" t="n">
        <f aca="false">E594*0.087</f>
        <v>434129.565</v>
      </c>
      <c r="K594" s="18" t="n">
        <f aca="false">F594*0.087</f>
        <v>434129.565</v>
      </c>
      <c r="L594" s="5" t="s">
        <v>84</v>
      </c>
      <c r="N594" s="8" t="s">
        <v>2653</v>
      </c>
      <c r="O594" s="5" t="s">
        <v>2654</v>
      </c>
      <c r="P594" s="5"/>
      <c r="Q594" s="5"/>
      <c r="R594" s="5" t="s">
        <v>486</v>
      </c>
      <c r="T594" s="5" t="s">
        <v>2655</v>
      </c>
      <c r="V594" s="5" t="s">
        <v>2656</v>
      </c>
      <c r="X594" s="5" t="s">
        <v>115</v>
      </c>
      <c r="Y594" s="5" t="s">
        <v>73</v>
      </c>
      <c r="AI594" s="9" t="n">
        <v>44562</v>
      </c>
      <c r="AL594" s="5" t="n">
        <v>482248</v>
      </c>
      <c r="AM594" s="5" t="s">
        <v>173</v>
      </c>
      <c r="AN594" s="5"/>
      <c r="AQ594" s="5" t="s">
        <v>77</v>
      </c>
      <c r="AR594" s="5" t="s">
        <v>115</v>
      </c>
      <c r="AS594" s="5" t="s">
        <v>73</v>
      </c>
      <c r="AT594" s="5" t="s">
        <v>105</v>
      </c>
      <c r="AU594" s="10"/>
      <c r="AW594" s="5" t="s">
        <v>94</v>
      </c>
      <c r="AX594" s="5" t="s">
        <v>375</v>
      </c>
      <c r="AY594" s="5"/>
      <c r="AZ594" s="5" t="s">
        <v>121</v>
      </c>
      <c r="BD594" s="9" t="n">
        <v>45595</v>
      </c>
      <c r="BE594" s="9" t="n">
        <v>45779</v>
      </c>
      <c r="BJ594" s="5" t="n">
        <v>2022</v>
      </c>
      <c r="BK594" s="5" t="s">
        <v>925</v>
      </c>
    </row>
    <row r="595" customFormat="false" ht="16.5" hidden="false" customHeight="true" outlineLevel="0" collapsed="false">
      <c r="A595" s="5" t="s">
        <v>2657</v>
      </c>
      <c r="B595" s="5" t="s">
        <v>2658</v>
      </c>
      <c r="D595" s="5" t="s">
        <v>62</v>
      </c>
      <c r="E595" s="5" t="n">
        <v>4499801</v>
      </c>
      <c r="F595" s="5" t="n">
        <v>4499801</v>
      </c>
      <c r="G595" s="5" t="s">
        <v>147</v>
      </c>
      <c r="H595" s="6" t="n">
        <v>4870989</v>
      </c>
      <c r="J595" s="7" t="n">
        <v>4499801</v>
      </c>
      <c r="K595" s="7" t="n">
        <v>4499801</v>
      </c>
      <c r="L595" s="5" t="s">
        <v>84</v>
      </c>
      <c r="M595" s="5" t="s">
        <v>65</v>
      </c>
      <c r="N595" s="8" t="s">
        <v>2659</v>
      </c>
      <c r="O595" s="5" t="s">
        <v>2660</v>
      </c>
      <c r="P595" s="5"/>
      <c r="Q595" s="5"/>
      <c r="R595" s="5" t="s">
        <v>2622</v>
      </c>
      <c r="Y595" s="5" t="s">
        <v>73</v>
      </c>
      <c r="AI595" s="9" t="n">
        <v>45597</v>
      </c>
      <c r="AL595" s="5" t="n">
        <v>4870989</v>
      </c>
      <c r="AM595" s="5" t="s">
        <v>182</v>
      </c>
      <c r="AN595" s="5" t="s">
        <v>404</v>
      </c>
      <c r="AQ595" s="5" t="s">
        <v>77</v>
      </c>
      <c r="AR595" s="5" t="s">
        <v>185</v>
      </c>
      <c r="AS595" s="5" t="s">
        <v>73</v>
      </c>
      <c r="AT595" s="5" t="s">
        <v>78</v>
      </c>
      <c r="AU595" s="5" t="s">
        <v>259</v>
      </c>
      <c r="AV595" s="5"/>
      <c r="AW595" s="25" t="s">
        <v>94</v>
      </c>
      <c r="AX595" s="5" t="s">
        <v>296</v>
      </c>
      <c r="AY595" s="5"/>
      <c r="AZ595" s="5" t="s">
        <v>188</v>
      </c>
      <c r="BD595" s="9" t="n">
        <v>45649</v>
      </c>
      <c r="BE595" s="9" t="n">
        <v>45750</v>
      </c>
      <c r="BJ595" s="5" t="n">
        <v>2024</v>
      </c>
      <c r="BK595" s="5" t="s">
        <v>2661</v>
      </c>
    </row>
    <row r="596" customFormat="false" ht="16.5" hidden="false" customHeight="true" outlineLevel="0" collapsed="false">
      <c r="A596" s="5" t="s">
        <v>2662</v>
      </c>
      <c r="B596" s="5" t="s">
        <v>2663</v>
      </c>
      <c r="D596" s="5" t="s">
        <v>62</v>
      </c>
      <c r="E596" s="5" t="n">
        <v>4484547</v>
      </c>
      <c r="F596" s="5" t="n">
        <v>4484547</v>
      </c>
      <c r="G596" s="5" t="s">
        <v>147</v>
      </c>
      <c r="H596" s="6" t="n">
        <v>4854474</v>
      </c>
      <c r="J596" s="7" t="n">
        <v>4484547</v>
      </c>
      <c r="K596" s="7" t="n">
        <v>4484547</v>
      </c>
      <c r="L596" s="5" t="s">
        <v>84</v>
      </c>
      <c r="M596" s="5" t="s">
        <v>65</v>
      </c>
      <c r="N596" s="8" t="s">
        <v>2664</v>
      </c>
      <c r="O596" s="5" t="s">
        <v>2665</v>
      </c>
      <c r="P596" s="5"/>
      <c r="Q596" s="5"/>
      <c r="R596" s="5" t="s">
        <v>2622</v>
      </c>
      <c r="Y596" s="5" t="s">
        <v>73</v>
      </c>
      <c r="AI596" s="9" t="n">
        <v>45597</v>
      </c>
      <c r="AL596" s="5" t="n">
        <v>4854474</v>
      </c>
      <c r="AM596" s="5" t="s">
        <v>182</v>
      </c>
      <c r="AN596" s="5" t="s">
        <v>404</v>
      </c>
      <c r="AQ596" s="5" t="s">
        <v>77</v>
      </c>
      <c r="AR596" s="5" t="s">
        <v>185</v>
      </c>
      <c r="AS596" s="5" t="s">
        <v>73</v>
      </c>
      <c r="AT596" s="5" t="s">
        <v>105</v>
      </c>
      <c r="AU596" s="5" t="s">
        <v>106</v>
      </c>
      <c r="AV596" s="5"/>
      <c r="AW596" s="25" t="s">
        <v>94</v>
      </c>
      <c r="AX596" s="5" t="s">
        <v>1433</v>
      </c>
      <c r="AY596" s="5"/>
      <c r="AZ596" s="5" t="s">
        <v>540</v>
      </c>
      <c r="BD596" s="9" t="n">
        <v>45649</v>
      </c>
      <c r="BE596" s="9" t="n">
        <v>45750</v>
      </c>
      <c r="BJ596" s="5" t="n">
        <v>2024</v>
      </c>
      <c r="BK596" s="5" t="s">
        <v>2666</v>
      </c>
    </row>
    <row r="597" customFormat="false" ht="16.5" hidden="false" customHeight="true" outlineLevel="0" collapsed="false">
      <c r="A597" s="5" t="s">
        <v>2667</v>
      </c>
      <c r="B597" s="5" t="s">
        <v>2668</v>
      </c>
      <c r="D597" s="5" t="s">
        <v>62</v>
      </c>
      <c r="E597" s="5" t="n">
        <v>4440185</v>
      </c>
      <c r="F597" s="5" t="n">
        <v>4440185</v>
      </c>
      <c r="G597" s="5" t="s">
        <v>212</v>
      </c>
      <c r="H597" s="6" t="n">
        <v>489490</v>
      </c>
      <c r="J597" s="7" t="n">
        <f aca="false">E597*0.091</f>
        <v>404056.835</v>
      </c>
      <c r="K597" s="7" t="n">
        <f aca="false">F597*0.091</f>
        <v>404056.835</v>
      </c>
      <c r="L597" s="5" t="s">
        <v>84</v>
      </c>
      <c r="N597" s="8" t="s">
        <v>2669</v>
      </c>
      <c r="O597" s="5" t="s">
        <v>2670</v>
      </c>
      <c r="P597" s="5"/>
      <c r="Q597" s="5"/>
      <c r="R597" s="5" t="s">
        <v>486</v>
      </c>
      <c r="T597" s="5" t="s">
        <v>2671</v>
      </c>
      <c r="V597" s="5" t="s">
        <v>432</v>
      </c>
      <c r="X597" s="5" t="s">
        <v>215</v>
      </c>
      <c r="Y597" s="5" t="s">
        <v>73</v>
      </c>
      <c r="Z597" s="5" t="s">
        <v>2631</v>
      </c>
      <c r="AI597" s="9" t="n">
        <v>43435</v>
      </c>
      <c r="AL597" s="5" t="n">
        <v>489490</v>
      </c>
      <c r="AM597" s="5" t="s">
        <v>217</v>
      </c>
      <c r="AN597" s="5"/>
      <c r="AQ597" s="5" t="s">
        <v>77</v>
      </c>
      <c r="AR597" s="5" t="s">
        <v>215</v>
      </c>
      <c r="AS597" s="5" t="s">
        <v>73</v>
      </c>
      <c r="AT597" s="5" t="s">
        <v>78</v>
      </c>
      <c r="AW597" s="5" t="s">
        <v>94</v>
      </c>
      <c r="AX597" s="10" t="str">
        <f aca="false">IFERROR(INDEX('full database 2024'!ar:ar, MATCH(A597, 'full database 2024'!b:b, 0)), "")</f>
        <v/>
      </c>
      <c r="AZ597" s="5" t="s">
        <v>399</v>
      </c>
      <c r="BD597" s="9" t="n">
        <v>45594</v>
      </c>
      <c r="BE597" s="9" t="n">
        <v>45594</v>
      </c>
      <c r="BJ597" s="5" t="n">
        <v>2018</v>
      </c>
      <c r="BK597" s="5" t="s">
        <v>2599</v>
      </c>
    </row>
    <row r="598" customFormat="false" ht="16.5" hidden="false" customHeight="true" outlineLevel="0" collapsed="false">
      <c r="A598" s="5" t="s">
        <v>2672</v>
      </c>
      <c r="B598" s="5" t="s">
        <v>2673</v>
      </c>
      <c r="D598" s="5" t="s">
        <v>62</v>
      </c>
      <c r="E598" s="5" t="n">
        <v>3999868</v>
      </c>
      <c r="F598" s="5" t="n">
        <v>3999868</v>
      </c>
      <c r="G598" s="5" t="s">
        <v>212</v>
      </c>
      <c r="H598" s="6" t="n">
        <v>378935</v>
      </c>
      <c r="J598" s="7" t="n">
        <f aca="false">E598*0.091</f>
        <v>363987.988</v>
      </c>
      <c r="K598" s="7" t="n">
        <f aca="false">F598*0.091</f>
        <v>363987.988</v>
      </c>
      <c r="L598" s="5" t="s">
        <v>84</v>
      </c>
      <c r="N598" s="8" t="s">
        <v>2674</v>
      </c>
      <c r="O598" s="5" t="s">
        <v>2675</v>
      </c>
      <c r="P598" s="5"/>
      <c r="Q598" s="5"/>
      <c r="R598" s="5" t="s">
        <v>486</v>
      </c>
      <c r="T598" s="5" t="s">
        <v>595</v>
      </c>
      <c r="V598" s="5" t="s">
        <v>393</v>
      </c>
      <c r="X598" s="5" t="s">
        <v>215</v>
      </c>
      <c r="Y598" s="5" t="s">
        <v>73</v>
      </c>
      <c r="Z598" s="5" t="s">
        <v>2631</v>
      </c>
      <c r="AI598" s="9" t="n">
        <v>45261</v>
      </c>
      <c r="AL598" s="5" t="n">
        <v>378935</v>
      </c>
      <c r="AM598" s="5" t="s">
        <v>217</v>
      </c>
      <c r="AN598" s="5"/>
      <c r="AQ598" s="5" t="s">
        <v>77</v>
      </c>
      <c r="AR598" s="5" t="s">
        <v>215</v>
      </c>
      <c r="AS598" s="5" t="s">
        <v>73</v>
      </c>
      <c r="AT598" s="5" t="s">
        <v>78</v>
      </c>
      <c r="AW598" s="5" t="s">
        <v>94</v>
      </c>
      <c r="AX598" s="10" t="str">
        <f aca="false">IFERROR(INDEX('full database 2024'!ar:ar, MATCH(A598, 'full database 2024'!b:b, 0)), "")</f>
        <v/>
      </c>
      <c r="AZ598" s="5" t="s">
        <v>394</v>
      </c>
      <c r="BD598" s="9" t="n">
        <v>45600</v>
      </c>
      <c r="BE598" s="9" t="n">
        <v>45607</v>
      </c>
      <c r="BJ598" s="5" t="n">
        <v>2023</v>
      </c>
      <c r="BK598" s="5" t="s">
        <v>925</v>
      </c>
    </row>
    <row r="599" customFormat="false" ht="16.5" hidden="false" customHeight="true" outlineLevel="0" collapsed="false">
      <c r="A599" s="5" t="s">
        <v>2676</v>
      </c>
      <c r="B599" s="5" t="s">
        <v>2677</v>
      </c>
      <c r="D599" s="5" t="s">
        <v>62</v>
      </c>
      <c r="E599" s="5" t="n">
        <v>3997632</v>
      </c>
      <c r="F599" s="5" t="n">
        <v>3997632</v>
      </c>
      <c r="G599" s="5" t="s">
        <v>63</v>
      </c>
      <c r="H599" s="6" t="n">
        <v>580066</v>
      </c>
      <c r="J599" s="7" t="n">
        <f aca="false">E599*0.13</f>
        <v>519692.16</v>
      </c>
      <c r="K599" s="7" t="n">
        <f aca="false">F599*0.13</f>
        <v>519692.16</v>
      </c>
      <c r="L599" s="5" t="s">
        <v>84</v>
      </c>
      <c r="O599" s="5" t="s">
        <v>2678</v>
      </c>
      <c r="P599" s="5"/>
      <c r="Q599" s="5"/>
      <c r="R599" s="5" t="s">
        <v>486</v>
      </c>
      <c r="T599" s="5" t="s">
        <v>2679</v>
      </c>
      <c r="V599" s="5" t="s">
        <v>128</v>
      </c>
      <c r="X599" s="5" t="s">
        <v>72</v>
      </c>
      <c r="Y599" s="5" t="s">
        <v>73</v>
      </c>
      <c r="Z599" s="5" t="s">
        <v>2574</v>
      </c>
      <c r="AI599" s="9" t="n">
        <v>45108</v>
      </c>
      <c r="AL599" s="5" t="n">
        <v>580066</v>
      </c>
      <c r="AM599" s="5" t="s">
        <v>92</v>
      </c>
      <c r="AN599" s="5"/>
      <c r="AQ599" s="5" t="s">
        <v>93</v>
      </c>
      <c r="AR599" s="5" t="s">
        <v>72</v>
      </c>
      <c r="AS599" s="5" t="s">
        <v>73</v>
      </c>
      <c r="AT599" s="5" t="s">
        <v>78</v>
      </c>
      <c r="AW599" s="5" t="s">
        <v>94</v>
      </c>
      <c r="AX599" s="10" t="str">
        <f aca="false">IFERROR(INDEX('full database 2024'!ar:ar, MATCH(A599, 'full database 2024'!b:b, 0)), "")</f>
        <v/>
      </c>
      <c r="AZ599" s="5" t="s">
        <v>129</v>
      </c>
      <c r="BD599" s="9" t="n">
        <v>45596</v>
      </c>
      <c r="BE599" s="9" t="n">
        <v>45596</v>
      </c>
      <c r="BJ599" s="5" t="n">
        <v>2023</v>
      </c>
      <c r="BK599" s="5" t="s">
        <v>2680</v>
      </c>
    </row>
    <row r="600" customFormat="false" ht="16.5" hidden="false" customHeight="true" outlineLevel="0" collapsed="false">
      <c r="A600" s="5" t="s">
        <v>2681</v>
      </c>
      <c r="B600" s="5" t="s">
        <v>2682</v>
      </c>
      <c r="D600" s="5" t="s">
        <v>62</v>
      </c>
      <c r="E600" s="5" t="n">
        <v>3994000</v>
      </c>
      <c r="F600" s="5" t="n">
        <v>3994000</v>
      </c>
      <c r="G600" s="5" t="s">
        <v>212</v>
      </c>
      <c r="H600" s="6" t="n">
        <v>403640</v>
      </c>
      <c r="J600" s="7" t="n">
        <f aca="false">E600*0.091</f>
        <v>363454</v>
      </c>
      <c r="K600" s="7" t="n">
        <f aca="false">F600*0.091</f>
        <v>363454</v>
      </c>
      <c r="L600" s="5" t="s">
        <v>84</v>
      </c>
      <c r="N600" s="8" t="s">
        <v>2683</v>
      </c>
      <c r="O600" s="5" t="s">
        <v>2684</v>
      </c>
      <c r="P600" s="5"/>
      <c r="Q600" s="5"/>
      <c r="R600" s="5" t="s">
        <v>486</v>
      </c>
      <c r="T600" s="5" t="s">
        <v>2685</v>
      </c>
      <c r="V600" s="5" t="s">
        <v>426</v>
      </c>
      <c r="X600" s="5" t="s">
        <v>215</v>
      </c>
      <c r="Y600" s="5" t="s">
        <v>73</v>
      </c>
      <c r="Z600" s="5" t="s">
        <v>2598</v>
      </c>
      <c r="AI600" s="9" t="n">
        <v>44197</v>
      </c>
      <c r="AL600" s="5" t="n">
        <v>403640</v>
      </c>
      <c r="AM600" s="5" t="s">
        <v>217</v>
      </c>
      <c r="AN600" s="5"/>
      <c r="AQ600" s="5" t="s">
        <v>77</v>
      </c>
      <c r="AR600" s="5" t="s">
        <v>215</v>
      </c>
      <c r="AS600" s="5" t="s">
        <v>73</v>
      </c>
      <c r="AT600" s="5" t="s">
        <v>78</v>
      </c>
      <c r="AU600" s="10"/>
      <c r="AW600" s="5" t="s">
        <v>94</v>
      </c>
      <c r="AX600" s="5" t="s">
        <v>296</v>
      </c>
      <c r="AY600" s="5" t="s">
        <v>501</v>
      </c>
      <c r="AZ600" s="5" t="s">
        <v>188</v>
      </c>
      <c r="BD600" s="9" t="n">
        <v>45595</v>
      </c>
      <c r="BE600" s="9" t="n">
        <v>45595</v>
      </c>
      <c r="BJ600" s="5" t="n">
        <v>2021</v>
      </c>
      <c r="BK600" s="5" t="s">
        <v>2565</v>
      </c>
    </row>
    <row r="601" customFormat="false" ht="16.5" hidden="false" customHeight="true" outlineLevel="0" collapsed="false">
      <c r="A601" s="5" t="s">
        <v>2686</v>
      </c>
      <c r="B601" s="5" t="s">
        <v>2687</v>
      </c>
      <c r="D601" s="5" t="s">
        <v>62</v>
      </c>
      <c r="E601" s="5" t="n">
        <v>3973196</v>
      </c>
      <c r="F601" s="5" t="n">
        <v>3973196</v>
      </c>
      <c r="G601" s="5" t="s">
        <v>63</v>
      </c>
      <c r="H601" s="6" t="n">
        <v>576544</v>
      </c>
      <c r="J601" s="7" t="n">
        <f aca="false">E601*0.13</f>
        <v>516515.48</v>
      </c>
      <c r="K601" s="7" t="n">
        <f aca="false">F601*0.13</f>
        <v>516515.48</v>
      </c>
      <c r="L601" s="5" t="s">
        <v>84</v>
      </c>
      <c r="O601" s="5" t="s">
        <v>2688</v>
      </c>
      <c r="P601" s="5"/>
      <c r="Q601" s="5"/>
      <c r="R601" s="5" t="s">
        <v>486</v>
      </c>
      <c r="T601" s="5" t="s">
        <v>2689</v>
      </c>
      <c r="V601" s="5" t="s">
        <v>128</v>
      </c>
      <c r="X601" s="5" t="s">
        <v>72</v>
      </c>
      <c r="Y601" s="5" t="s">
        <v>73</v>
      </c>
      <c r="Z601" s="5" t="s">
        <v>2574</v>
      </c>
      <c r="AI601" s="9" t="n">
        <v>44927</v>
      </c>
      <c r="AL601" s="5" t="n">
        <v>576544</v>
      </c>
      <c r="AM601" s="5" t="s">
        <v>92</v>
      </c>
      <c r="AN601" s="5"/>
      <c r="AQ601" s="5" t="s">
        <v>93</v>
      </c>
      <c r="AR601" s="5" t="s">
        <v>72</v>
      </c>
      <c r="AS601" s="5" t="s">
        <v>73</v>
      </c>
      <c r="AT601" s="5" t="s">
        <v>105</v>
      </c>
      <c r="AW601" s="5" t="s">
        <v>94</v>
      </c>
      <c r="AX601" s="10" t="str">
        <f aca="false" t="array" ref="AX601:AX601">IFERROR(INDEX('full database 2024'!ar:ar, MATCH(A601, 'full database 2024'!b:b, 0)), "")</f>
        <v/>
      </c>
      <c r="AZ601" s="5" t="s">
        <v>107</v>
      </c>
      <c r="BD601" s="9" t="n">
        <v>45595</v>
      </c>
      <c r="BE601" s="9" t="n">
        <v>45595</v>
      </c>
      <c r="BJ601" s="5" t="n">
        <v>2023</v>
      </c>
      <c r="BK601" s="5" t="s">
        <v>925</v>
      </c>
    </row>
    <row r="602" customFormat="false" ht="16.5" hidden="false" customHeight="true" outlineLevel="0" collapsed="false">
      <c r="A602" s="5" t="s">
        <v>2690</v>
      </c>
      <c r="B602" s="5" t="s">
        <v>2691</v>
      </c>
      <c r="D602" s="5" t="s">
        <v>62</v>
      </c>
      <c r="E602" s="5" t="n">
        <v>3420999</v>
      </c>
      <c r="F602" s="5" t="n">
        <v>3420999</v>
      </c>
      <c r="G602" s="5" t="s">
        <v>110</v>
      </c>
      <c r="H602" s="6" t="n">
        <v>321508</v>
      </c>
      <c r="J602" s="18" t="n">
        <f aca="false">E602*0.087</f>
        <v>297626.913</v>
      </c>
      <c r="K602" s="18" t="n">
        <f aca="false">F602*0.087</f>
        <v>297626.913</v>
      </c>
      <c r="L602" s="5" t="s">
        <v>84</v>
      </c>
      <c r="N602" s="8" t="s">
        <v>2692</v>
      </c>
      <c r="O602" s="5" t="s">
        <v>2693</v>
      </c>
      <c r="P602" s="5"/>
      <c r="Q602" s="5"/>
      <c r="R602" s="5" t="s">
        <v>486</v>
      </c>
      <c r="T602" s="5" t="s">
        <v>2694</v>
      </c>
      <c r="V602" s="5" t="s">
        <v>2695</v>
      </c>
      <c r="X602" s="5" t="s">
        <v>115</v>
      </c>
      <c r="Y602" s="5" t="s">
        <v>73</v>
      </c>
      <c r="Z602" s="5" t="s">
        <v>2696</v>
      </c>
      <c r="AI602" s="9" t="n">
        <v>45292</v>
      </c>
      <c r="AL602" s="5" t="n">
        <v>321508</v>
      </c>
      <c r="AM602" s="5" t="s">
        <v>173</v>
      </c>
      <c r="AN602" s="5"/>
      <c r="AQ602" s="5" t="s">
        <v>77</v>
      </c>
      <c r="AR602" s="5" t="s">
        <v>115</v>
      </c>
      <c r="AS602" s="5" t="s">
        <v>73</v>
      </c>
      <c r="AT602" s="5" t="s">
        <v>78</v>
      </c>
      <c r="AU602" s="10"/>
      <c r="AW602" s="5" t="s">
        <v>94</v>
      </c>
      <c r="AX602" s="5" t="s">
        <v>79</v>
      </c>
      <c r="AY602" s="5"/>
      <c r="AZ602" s="5" t="s">
        <v>129</v>
      </c>
      <c r="BD602" s="9" t="n">
        <v>45607</v>
      </c>
      <c r="BE602" s="9" t="n">
        <v>45607</v>
      </c>
      <c r="BJ602" s="5" t="n">
        <v>2024</v>
      </c>
      <c r="BK602" s="5" t="s">
        <v>2575</v>
      </c>
    </row>
    <row r="603" customFormat="false" ht="16.5" hidden="false" customHeight="true" outlineLevel="0" collapsed="false">
      <c r="A603" s="5" t="s">
        <v>2697</v>
      </c>
      <c r="B603" s="5" t="s">
        <v>2698</v>
      </c>
      <c r="D603" s="5" t="s">
        <v>62</v>
      </c>
      <c r="E603" s="5" t="n">
        <v>3000000</v>
      </c>
      <c r="F603" s="5" t="n">
        <v>3000000</v>
      </c>
      <c r="G603" s="5" t="s">
        <v>212</v>
      </c>
      <c r="H603" s="6" t="n">
        <v>284482</v>
      </c>
      <c r="J603" s="7" t="n">
        <f aca="false">E603*0.091</f>
        <v>273000</v>
      </c>
      <c r="K603" s="7" t="n">
        <f aca="false">F603*0.091</f>
        <v>273000</v>
      </c>
      <c r="L603" s="5" t="s">
        <v>84</v>
      </c>
      <c r="N603" s="8" t="s">
        <v>2699</v>
      </c>
      <c r="O603" s="5" t="s">
        <v>2700</v>
      </c>
      <c r="P603" s="5"/>
      <c r="Q603" s="5"/>
      <c r="R603" s="5" t="s">
        <v>486</v>
      </c>
      <c r="T603" s="5" t="s">
        <v>2701</v>
      </c>
      <c r="V603" s="5" t="s">
        <v>2702</v>
      </c>
      <c r="X603" s="5" t="s">
        <v>215</v>
      </c>
      <c r="Y603" s="5" t="s">
        <v>73</v>
      </c>
      <c r="AI603" s="9" t="n">
        <v>44866</v>
      </c>
      <c r="AL603" s="5" t="n">
        <v>284482</v>
      </c>
      <c r="AM603" s="5" t="s">
        <v>2703</v>
      </c>
      <c r="AN603" s="5"/>
      <c r="AQ603" s="5" t="s">
        <v>77</v>
      </c>
      <c r="AR603" s="5" t="s">
        <v>215</v>
      </c>
      <c r="AS603" s="5" t="s">
        <v>73</v>
      </c>
      <c r="AT603" s="5" t="s">
        <v>78</v>
      </c>
      <c r="AU603" s="10"/>
      <c r="AW603" s="5" t="s">
        <v>94</v>
      </c>
      <c r="AX603" s="5" t="s">
        <v>375</v>
      </c>
      <c r="AY603" s="5"/>
      <c r="AZ603" s="5" t="s">
        <v>396</v>
      </c>
      <c r="BD603" s="9" t="n">
        <v>45595</v>
      </c>
      <c r="BE603" s="9" t="n">
        <v>45595</v>
      </c>
      <c r="BJ603" s="5" t="n">
        <v>2022</v>
      </c>
      <c r="BK603" s="11" t="n">
        <v>45302</v>
      </c>
    </row>
    <row r="604" customFormat="false" ht="16.5" hidden="false" customHeight="true" outlineLevel="0" collapsed="false">
      <c r="A604" s="10" t="s">
        <v>2704</v>
      </c>
      <c r="B604" s="5" t="s">
        <v>2705</v>
      </c>
      <c r="D604" s="5" t="s">
        <v>62</v>
      </c>
      <c r="E604" s="5" t="n">
        <v>2959549</v>
      </c>
      <c r="F604" s="5" t="n">
        <v>2959549</v>
      </c>
      <c r="G604" s="5" t="s">
        <v>732</v>
      </c>
      <c r="H604" s="6" t="n">
        <v>3238191</v>
      </c>
      <c r="J604" s="7" t="n">
        <f aca="false">E604*1.07</f>
        <v>3166717.43</v>
      </c>
      <c r="K604" s="7" t="n">
        <f aca="false">F604*1.07</f>
        <v>3166717.43</v>
      </c>
      <c r="L604" s="5" t="s">
        <v>84</v>
      </c>
      <c r="N604" s="8" t="s">
        <v>2706</v>
      </c>
      <c r="O604" s="5" t="s">
        <v>2707</v>
      </c>
      <c r="T604" s="5" t="s">
        <v>2708</v>
      </c>
      <c r="U604" s="5" t="s">
        <v>69</v>
      </c>
      <c r="V604" s="5" t="s">
        <v>2013</v>
      </c>
      <c r="W604" s="5" t="s">
        <v>69</v>
      </c>
      <c r="X604" s="5" t="s">
        <v>737</v>
      </c>
      <c r="Y604" s="5" t="s">
        <v>73</v>
      </c>
      <c r="Z604" s="5" t="s">
        <v>70</v>
      </c>
      <c r="AD604" s="5" t="s">
        <v>70</v>
      </c>
      <c r="AE604" s="5" t="s">
        <v>117</v>
      </c>
      <c r="AI604" s="9" t="n">
        <v>45170</v>
      </c>
      <c r="AJ604" s="5" t="n">
        <v>4</v>
      </c>
      <c r="AK604" s="5" t="s">
        <v>75</v>
      </c>
      <c r="AL604" s="5" t="n">
        <v>809548</v>
      </c>
      <c r="AM604" s="5" t="s">
        <v>2709</v>
      </c>
      <c r="AN604" s="5"/>
      <c r="AO604" s="5" t="s">
        <v>2710</v>
      </c>
      <c r="AQ604" s="5" t="s">
        <v>77</v>
      </c>
      <c r="AR604" s="5" t="s">
        <v>737</v>
      </c>
      <c r="AS604" s="5" t="s">
        <v>73</v>
      </c>
      <c r="AT604" s="5" t="s">
        <v>374</v>
      </c>
      <c r="AW604" s="5" t="s">
        <v>94</v>
      </c>
      <c r="AX604" s="10" t="str">
        <f aca="false" t="array" ref="AX604:AX604">IFERROR(INDEX('full database 2024'!ar:ar, MATCH(A604, 'full database 2024'!b:b, 0)), "")</f>
        <v/>
      </c>
      <c r="AZ604" s="5" t="s">
        <v>239</v>
      </c>
      <c r="BD604" s="9" t="n">
        <v>45435</v>
      </c>
      <c r="BE604" s="9" t="n">
        <v>45454</v>
      </c>
      <c r="BJ604" s="5" t="n">
        <v>2023</v>
      </c>
    </row>
    <row r="605" customFormat="false" ht="16.5" hidden="false" customHeight="true" outlineLevel="0" collapsed="false">
      <c r="A605" s="5" t="s">
        <v>2711</v>
      </c>
      <c r="B605" s="5" t="s">
        <v>2712</v>
      </c>
      <c r="D605" s="5" t="s">
        <v>62</v>
      </c>
      <c r="E605" s="5" t="n">
        <v>2500000</v>
      </c>
      <c r="F605" s="5" t="n">
        <v>2500000</v>
      </c>
      <c r="G605" s="5" t="s">
        <v>63</v>
      </c>
      <c r="H605" s="6" t="n">
        <v>362739</v>
      </c>
      <c r="J605" s="7" t="n">
        <f aca="false">E605*0.13</f>
        <v>325000</v>
      </c>
      <c r="K605" s="7" t="n">
        <f aca="false">F605*0.13</f>
        <v>325000</v>
      </c>
      <c r="L605" s="5" t="s">
        <v>84</v>
      </c>
      <c r="O605" s="5" t="s">
        <v>2713</v>
      </c>
      <c r="P605" s="5"/>
      <c r="Q605" s="5"/>
      <c r="R605" s="5" t="s">
        <v>486</v>
      </c>
      <c r="T605" s="5" t="s">
        <v>2714</v>
      </c>
      <c r="V605" s="5" t="s">
        <v>2715</v>
      </c>
      <c r="X605" s="5" t="s">
        <v>72</v>
      </c>
      <c r="Y605" s="5" t="s">
        <v>73</v>
      </c>
      <c r="Z605" s="5" t="s">
        <v>2716</v>
      </c>
      <c r="AI605" s="9" t="n">
        <v>45413</v>
      </c>
      <c r="AL605" s="5" t="n">
        <v>362739</v>
      </c>
      <c r="AM605" s="5" t="s">
        <v>92</v>
      </c>
      <c r="AN605" s="5"/>
      <c r="AQ605" s="5" t="s">
        <v>93</v>
      </c>
      <c r="AR605" s="5" t="s">
        <v>72</v>
      </c>
      <c r="AS605" s="5" t="s">
        <v>73</v>
      </c>
      <c r="AT605" s="5" t="s">
        <v>78</v>
      </c>
      <c r="AU605" s="10"/>
      <c r="AW605" s="5" t="s">
        <v>94</v>
      </c>
      <c r="AX605" s="5" t="s">
        <v>375</v>
      </c>
      <c r="AY605" s="5"/>
      <c r="AZ605" s="5" t="s">
        <v>396</v>
      </c>
      <c r="BD605" s="9" t="n">
        <v>45607</v>
      </c>
      <c r="BE605" s="9" t="n">
        <v>45607</v>
      </c>
      <c r="BJ605" s="5" t="n">
        <v>2024</v>
      </c>
      <c r="BK605" s="5" t="s">
        <v>2717</v>
      </c>
    </row>
    <row r="606" customFormat="false" ht="16.5" hidden="false" customHeight="true" outlineLevel="0" collapsed="false">
      <c r="A606" s="5" t="s">
        <v>2718</v>
      </c>
      <c r="B606" s="5" t="s">
        <v>2719</v>
      </c>
      <c r="D606" s="5" t="s">
        <v>62</v>
      </c>
      <c r="E606" s="5" t="n">
        <v>2441250</v>
      </c>
      <c r="F606" s="5" t="n">
        <v>2441250</v>
      </c>
      <c r="G606" s="5" t="s">
        <v>147</v>
      </c>
      <c r="H606" s="6" t="n">
        <v>2642628</v>
      </c>
      <c r="J606" s="7" t="n">
        <v>2441250</v>
      </c>
      <c r="K606" s="7" t="n">
        <v>2441250</v>
      </c>
      <c r="L606" s="5" t="s">
        <v>84</v>
      </c>
      <c r="N606" s="8" t="s">
        <v>2720</v>
      </c>
      <c r="O606" s="5" t="s">
        <v>2721</v>
      </c>
      <c r="P606" s="5"/>
      <c r="Q606" s="5"/>
      <c r="R606" s="5" t="s">
        <v>486</v>
      </c>
      <c r="V606" s="5" t="s">
        <v>2722</v>
      </c>
      <c r="X606" s="5" t="s">
        <v>215</v>
      </c>
      <c r="Y606" s="5" t="s">
        <v>73</v>
      </c>
      <c r="AI606" s="9" t="n">
        <v>45474</v>
      </c>
      <c r="AL606" s="5" t="n">
        <v>2642628</v>
      </c>
      <c r="AM606" s="5" t="s">
        <v>182</v>
      </c>
      <c r="AN606" s="5" t="s">
        <v>446</v>
      </c>
      <c r="AQ606" s="5" t="s">
        <v>77</v>
      </c>
      <c r="AR606" s="5" t="s">
        <v>185</v>
      </c>
      <c r="AS606" s="5" t="s">
        <v>73</v>
      </c>
      <c r="AT606" s="5" t="s">
        <v>78</v>
      </c>
      <c r="AU606" s="10" t="s">
        <v>259</v>
      </c>
      <c r="AV606" s="10"/>
      <c r="AW606" s="25" t="s">
        <v>94</v>
      </c>
      <c r="AX606" s="5" t="s">
        <v>375</v>
      </c>
      <c r="AY606" s="5"/>
      <c r="AZ606" s="5" t="s">
        <v>188</v>
      </c>
      <c r="BD606" s="9" t="n">
        <v>45607</v>
      </c>
      <c r="BE606" s="9" t="n">
        <v>45779</v>
      </c>
      <c r="BJ606" s="5" t="n">
        <v>2024</v>
      </c>
      <c r="BK606" s="5" t="s">
        <v>2680</v>
      </c>
    </row>
    <row r="607" customFormat="false" ht="16.5" hidden="false" customHeight="true" outlineLevel="0" collapsed="false">
      <c r="A607" s="5" t="s">
        <v>560</v>
      </c>
      <c r="B607" s="5" t="s">
        <v>2723</v>
      </c>
      <c r="D607" s="5" t="s">
        <v>62</v>
      </c>
      <c r="E607" s="5" t="n">
        <v>2426375</v>
      </c>
      <c r="F607" s="5" t="n">
        <v>2426375</v>
      </c>
      <c r="G607" s="5" t="s">
        <v>147</v>
      </c>
      <c r="H607" s="6" t="n">
        <v>2619619</v>
      </c>
      <c r="J607" s="7" t="n">
        <v>2426375</v>
      </c>
      <c r="K607" s="7" t="n">
        <v>2426375</v>
      </c>
      <c r="L607" s="5" t="s">
        <v>84</v>
      </c>
      <c r="N607" s="8" t="s">
        <v>2724</v>
      </c>
      <c r="O607" s="5" t="s">
        <v>2725</v>
      </c>
      <c r="P607" s="5"/>
      <c r="Q607" s="5"/>
      <c r="R607" s="5" t="s">
        <v>486</v>
      </c>
      <c r="V607" s="5" t="s">
        <v>561</v>
      </c>
      <c r="X607" s="5" t="s">
        <v>151</v>
      </c>
      <c r="Y607" s="5" t="s">
        <v>73</v>
      </c>
      <c r="AI607" s="9" t="n">
        <v>44866</v>
      </c>
      <c r="AL607" s="5" t="n">
        <v>2619619</v>
      </c>
      <c r="AM607" s="5" t="s">
        <v>182</v>
      </c>
      <c r="AN607" s="24" t="s">
        <v>2726</v>
      </c>
      <c r="AQ607" s="5" t="s">
        <v>77</v>
      </c>
      <c r="AR607" s="5" t="s">
        <v>185</v>
      </c>
      <c r="AS607" s="5" t="s">
        <v>73</v>
      </c>
      <c r="AT607" s="5" t="s">
        <v>105</v>
      </c>
      <c r="AU607" s="10" t="s">
        <v>186</v>
      </c>
      <c r="AW607" s="25" t="s">
        <v>94</v>
      </c>
      <c r="AX607" s="5" t="s">
        <v>375</v>
      </c>
      <c r="AY607" s="5"/>
      <c r="AZ607" s="5" t="s">
        <v>540</v>
      </c>
      <c r="BD607" s="9" t="n">
        <v>45595</v>
      </c>
      <c r="BE607" s="9" t="n">
        <v>45595</v>
      </c>
      <c r="BJ607" s="5" t="n">
        <v>2022</v>
      </c>
      <c r="BK607" s="5" t="s">
        <v>2325</v>
      </c>
    </row>
    <row r="608" customFormat="false" ht="16.5" hidden="false" customHeight="true" outlineLevel="0" collapsed="false">
      <c r="A608" s="5" t="s">
        <v>2727</v>
      </c>
      <c r="B608" s="5" t="s">
        <v>2728</v>
      </c>
      <c r="D608" s="5" t="s">
        <v>62</v>
      </c>
      <c r="E608" s="5" t="n">
        <v>2036464</v>
      </c>
      <c r="F608" s="5" t="n">
        <v>2036464</v>
      </c>
      <c r="G608" s="5" t="s">
        <v>63</v>
      </c>
      <c r="H608" s="6" t="n">
        <v>300624</v>
      </c>
      <c r="J608" s="7" t="n">
        <f aca="false">E608*0.13</f>
        <v>264740.32</v>
      </c>
      <c r="K608" s="7" t="n">
        <f aca="false">F608*0.13</f>
        <v>264740.32</v>
      </c>
      <c r="L608" s="5" t="s">
        <v>84</v>
      </c>
      <c r="O608" s="5" t="s">
        <v>2729</v>
      </c>
      <c r="P608" s="5"/>
      <c r="Q608" s="5"/>
      <c r="R608" s="5" t="s">
        <v>486</v>
      </c>
      <c r="T608" s="5" t="s">
        <v>2730</v>
      </c>
      <c r="V608" s="5" t="s">
        <v>2731</v>
      </c>
      <c r="X608" s="5" t="s">
        <v>215</v>
      </c>
      <c r="Y608" s="5" t="s">
        <v>73</v>
      </c>
      <c r="Z608" s="5" t="s">
        <v>2732</v>
      </c>
      <c r="AI608" s="9" t="n">
        <v>44197</v>
      </c>
      <c r="AL608" s="5" t="n">
        <v>300624</v>
      </c>
      <c r="AM608" s="5" t="s">
        <v>92</v>
      </c>
      <c r="AN608" s="5"/>
      <c r="AQ608" s="5" t="s">
        <v>93</v>
      </c>
      <c r="AR608" s="5" t="s">
        <v>72</v>
      </c>
      <c r="AS608" s="5" t="s">
        <v>73</v>
      </c>
      <c r="AT608" s="5" t="s">
        <v>105</v>
      </c>
      <c r="AW608" s="5" t="s">
        <v>94</v>
      </c>
      <c r="AX608" s="10" t="str">
        <f aca="false" t="array" ref="AX608:AX608">IFERROR(INDEX('full database 2024'!ar:ar, MATCH(A608, 'full database 2024'!b:b, 0)), "")</f>
        <v/>
      </c>
      <c r="AY608" s="5" t="s">
        <v>297</v>
      </c>
      <c r="AZ608" s="5" t="s">
        <v>521</v>
      </c>
      <c r="BD608" s="9" t="n">
        <v>45595</v>
      </c>
      <c r="BE608" s="9" t="n">
        <v>45595</v>
      </c>
      <c r="BJ608" s="5" t="n">
        <v>2021</v>
      </c>
      <c r="BK608" s="5" t="s">
        <v>2565</v>
      </c>
    </row>
    <row r="609" customFormat="false" ht="16.5" hidden="false" customHeight="true" outlineLevel="0" collapsed="false">
      <c r="A609" s="5" t="s">
        <v>2733</v>
      </c>
      <c r="B609" s="5" t="s">
        <v>2734</v>
      </c>
      <c r="D609" s="5" t="s">
        <v>62</v>
      </c>
      <c r="E609" s="5" t="n">
        <v>1719000</v>
      </c>
      <c r="F609" s="5" t="n">
        <v>1719000</v>
      </c>
      <c r="G609" s="5" t="s">
        <v>212</v>
      </c>
      <c r="H609" s="6" t="n">
        <v>190657</v>
      </c>
      <c r="J609" s="7" t="n">
        <f aca="false">E609*0.091</f>
        <v>156429</v>
      </c>
      <c r="K609" s="7" t="n">
        <f aca="false">F609*0.091</f>
        <v>156429</v>
      </c>
      <c r="L609" s="5" t="s">
        <v>84</v>
      </c>
      <c r="N609" s="8" t="s">
        <v>2735</v>
      </c>
      <c r="O609" s="5" t="s">
        <v>2736</v>
      </c>
      <c r="T609" s="5" t="s">
        <v>2737</v>
      </c>
      <c r="V609" s="5" t="s">
        <v>571</v>
      </c>
      <c r="X609" s="5" t="s">
        <v>215</v>
      </c>
      <c r="Y609" s="5" t="s">
        <v>73</v>
      </c>
      <c r="AI609" s="9" t="n">
        <v>42917</v>
      </c>
      <c r="AL609" s="5" t="n">
        <v>190657</v>
      </c>
      <c r="AM609" s="5" t="s">
        <v>2703</v>
      </c>
      <c r="AN609" s="5"/>
      <c r="AQ609" s="5" t="s">
        <v>77</v>
      </c>
      <c r="AR609" s="5" t="s">
        <v>215</v>
      </c>
      <c r="AS609" s="5" t="s">
        <v>73</v>
      </c>
      <c r="AT609" s="5" t="s">
        <v>78</v>
      </c>
      <c r="AU609" s="10"/>
      <c r="AW609" s="5" t="s">
        <v>94</v>
      </c>
      <c r="AX609" s="5" t="s">
        <v>79</v>
      </c>
      <c r="AY609" s="5"/>
      <c r="AZ609" s="5" t="s">
        <v>129</v>
      </c>
      <c r="BD609" s="9" t="n">
        <v>45695</v>
      </c>
      <c r="BE609" s="9" t="n">
        <v>45695</v>
      </c>
      <c r="BJ609" s="5" t="n">
        <v>2017</v>
      </c>
      <c r="BK609" s="5" t="s">
        <v>2738</v>
      </c>
    </row>
    <row r="610" customFormat="false" ht="16.5" hidden="false" customHeight="true" outlineLevel="0" collapsed="false">
      <c r="A610" s="5" t="s">
        <v>2739</v>
      </c>
      <c r="B610" s="5" t="s">
        <v>2740</v>
      </c>
      <c r="D610" s="5" t="s">
        <v>62</v>
      </c>
      <c r="E610" s="5" t="n">
        <v>1656000</v>
      </c>
      <c r="F610" s="5" t="n">
        <v>1656000</v>
      </c>
      <c r="G610" s="5" t="s">
        <v>147</v>
      </c>
      <c r="H610" s="6" t="n">
        <v>1792594</v>
      </c>
      <c r="J610" s="7" t="n">
        <v>1656000</v>
      </c>
      <c r="K610" s="7" t="n">
        <v>1656000</v>
      </c>
      <c r="L610" s="5" t="s">
        <v>84</v>
      </c>
      <c r="M610" s="5" t="s">
        <v>65</v>
      </c>
      <c r="N610" s="8" t="s">
        <v>2741</v>
      </c>
      <c r="O610" s="5" t="s">
        <v>2742</v>
      </c>
      <c r="P610" s="5"/>
      <c r="Q610" s="5"/>
      <c r="R610" s="5" t="s">
        <v>2622</v>
      </c>
      <c r="V610" s="5" t="s">
        <v>2743</v>
      </c>
      <c r="X610" s="5" t="s">
        <v>2744</v>
      </c>
      <c r="Y610" s="5" t="s">
        <v>73</v>
      </c>
      <c r="AI610" s="9" t="n">
        <v>45658</v>
      </c>
      <c r="AL610" s="5" t="n">
        <v>1792594</v>
      </c>
      <c r="AM610" s="5" t="s">
        <v>182</v>
      </c>
      <c r="AN610" s="24" t="s">
        <v>508</v>
      </c>
      <c r="AQ610" s="5" t="s">
        <v>77</v>
      </c>
      <c r="AR610" s="5" t="s">
        <v>185</v>
      </c>
      <c r="AS610" s="5" t="s">
        <v>73</v>
      </c>
      <c r="AT610" s="5" t="s">
        <v>78</v>
      </c>
      <c r="AU610" s="10"/>
      <c r="AW610" s="25" t="s">
        <v>2745</v>
      </c>
      <c r="AX610" s="5" t="s">
        <v>79</v>
      </c>
      <c r="AY610" s="5"/>
      <c r="AZ610" s="5" t="s">
        <v>129</v>
      </c>
      <c r="BD610" s="9" t="n">
        <v>45649</v>
      </c>
      <c r="BE610" s="9" t="n">
        <v>45747</v>
      </c>
      <c r="BJ610" s="5" t="n">
        <v>2025</v>
      </c>
      <c r="BK610" s="5" t="s">
        <v>2625</v>
      </c>
    </row>
    <row r="611" customFormat="false" ht="16.5" hidden="false" customHeight="true" outlineLevel="0" collapsed="false">
      <c r="A611" s="5" t="s">
        <v>2746</v>
      </c>
      <c r="B611" s="5" t="s">
        <v>2747</v>
      </c>
      <c r="D611" s="5" t="s">
        <v>62</v>
      </c>
      <c r="E611" s="5" t="n">
        <v>999970</v>
      </c>
      <c r="F611" s="5" t="n">
        <v>999970</v>
      </c>
      <c r="G611" s="5" t="s">
        <v>63</v>
      </c>
      <c r="H611" s="6" t="n">
        <v>145103</v>
      </c>
      <c r="J611" s="7" t="n">
        <f aca="false">E611*0.13</f>
        <v>129996.1</v>
      </c>
      <c r="K611" s="7" t="n">
        <f aca="false">F611*0.13</f>
        <v>129996.1</v>
      </c>
      <c r="L611" s="5" t="s">
        <v>84</v>
      </c>
      <c r="O611" s="5" t="s">
        <v>2748</v>
      </c>
      <c r="P611" s="5"/>
      <c r="Q611" s="5"/>
      <c r="R611" s="5" t="s">
        <v>486</v>
      </c>
      <c r="T611" s="5" t="s">
        <v>2749</v>
      </c>
      <c r="V611" s="5" t="s">
        <v>128</v>
      </c>
      <c r="X611" s="5" t="s">
        <v>72</v>
      </c>
      <c r="Y611" s="5" t="s">
        <v>73</v>
      </c>
      <c r="Z611" s="5" t="s">
        <v>2574</v>
      </c>
      <c r="AI611" s="9" t="n">
        <v>45170</v>
      </c>
      <c r="AL611" s="5" t="n">
        <v>145103</v>
      </c>
      <c r="AM611" s="5" t="s">
        <v>92</v>
      </c>
      <c r="AN611" s="5"/>
      <c r="AQ611" s="5" t="s">
        <v>93</v>
      </c>
      <c r="AR611" s="5" t="s">
        <v>72</v>
      </c>
      <c r="AS611" s="5" t="s">
        <v>73</v>
      </c>
      <c r="AT611" s="5" t="s">
        <v>78</v>
      </c>
      <c r="AW611" s="5" t="s">
        <v>94</v>
      </c>
      <c r="AX611" s="10" t="str">
        <f aca="false">IFERROR(INDEX('full database 2024'!ar:ar, MATCH(A611, 'full database 2024'!b:b, 0)), "")</f>
        <v/>
      </c>
      <c r="AZ611" s="5" t="s">
        <v>129</v>
      </c>
      <c r="BD611" s="9" t="n">
        <v>45596</v>
      </c>
      <c r="BE611" s="9" t="n">
        <v>45596</v>
      </c>
      <c r="BJ611" s="5" t="n">
        <v>2023</v>
      </c>
      <c r="BK611" s="5" t="s">
        <v>2750</v>
      </c>
    </row>
    <row r="612" customFormat="false" ht="16.5" hidden="false" customHeight="true" outlineLevel="0" collapsed="false">
      <c r="A612" s="5" t="s">
        <v>2751</v>
      </c>
      <c r="B612" s="5" t="s">
        <v>2752</v>
      </c>
      <c r="D612" s="5" t="s">
        <v>62</v>
      </c>
      <c r="E612" s="5" t="n">
        <v>999000</v>
      </c>
      <c r="F612" s="5" t="n">
        <v>999000</v>
      </c>
      <c r="G612" s="5" t="s">
        <v>212</v>
      </c>
      <c r="H612" s="6" t="n">
        <v>111970</v>
      </c>
      <c r="J612" s="7" t="n">
        <f aca="false">E612*0.091</f>
        <v>90909</v>
      </c>
      <c r="K612" s="7" t="n">
        <f aca="false">F612*0.091</f>
        <v>90909</v>
      </c>
      <c r="L612" s="5" t="s">
        <v>84</v>
      </c>
      <c r="N612" s="8" t="s">
        <v>2753</v>
      </c>
      <c r="O612" s="5" t="s">
        <v>2754</v>
      </c>
      <c r="P612" s="5"/>
      <c r="Q612" s="5"/>
      <c r="R612" s="5" t="s">
        <v>486</v>
      </c>
      <c r="T612" s="5" t="s">
        <v>2755</v>
      </c>
      <c r="V612" s="5" t="s">
        <v>432</v>
      </c>
      <c r="X612" s="5" t="s">
        <v>215</v>
      </c>
      <c r="Y612" s="5" t="s">
        <v>73</v>
      </c>
      <c r="Z612" s="5" t="s">
        <v>2631</v>
      </c>
      <c r="AI612" s="9" t="n">
        <v>43800</v>
      </c>
      <c r="AL612" s="5" t="n">
        <v>111970</v>
      </c>
      <c r="AM612" s="5" t="s">
        <v>217</v>
      </c>
      <c r="AN612" s="5"/>
      <c r="AQ612" s="5" t="s">
        <v>77</v>
      </c>
      <c r="AR612" s="5" t="s">
        <v>215</v>
      </c>
      <c r="AS612" s="5" t="s">
        <v>73</v>
      </c>
      <c r="AT612" s="5" t="s">
        <v>78</v>
      </c>
      <c r="AW612" s="5" t="s">
        <v>94</v>
      </c>
      <c r="AX612" s="10" t="str">
        <f aca="false">IFERROR(INDEX('full database 2024'!ar:ar, MATCH(A612, 'full database 2024'!b:b, 0)), "")</f>
        <v/>
      </c>
      <c r="AZ612" s="5" t="s">
        <v>107</v>
      </c>
      <c r="BD612" s="9" t="n">
        <v>45594</v>
      </c>
      <c r="BE612" s="9" t="n">
        <v>45594</v>
      </c>
      <c r="BJ612" s="5" t="n">
        <v>2019</v>
      </c>
      <c r="BK612" s="5" t="s">
        <v>2599</v>
      </c>
    </row>
    <row r="613" customFormat="false" ht="16.5" hidden="false" customHeight="true" outlineLevel="0" collapsed="false">
      <c r="A613" s="5" t="s">
        <v>2756</v>
      </c>
      <c r="B613" s="5" t="s">
        <v>2757</v>
      </c>
      <c r="D613" s="5" t="s">
        <v>62</v>
      </c>
      <c r="E613" s="16" t="n">
        <v>956027</v>
      </c>
      <c r="F613" s="16" t="n">
        <v>956027</v>
      </c>
      <c r="G613" s="5" t="s">
        <v>132</v>
      </c>
      <c r="H613" s="6" t="n">
        <v>1230697</v>
      </c>
      <c r="J613" s="7" t="n">
        <f aca="false">E613*1.19</f>
        <v>1137672.13</v>
      </c>
      <c r="K613" s="7" t="n">
        <f aca="false">F613*1.19</f>
        <v>1137672.13</v>
      </c>
      <c r="L613" s="5" t="s">
        <v>84</v>
      </c>
      <c r="N613" s="8" t="s">
        <v>2758</v>
      </c>
      <c r="O613" s="5" t="s">
        <v>2759</v>
      </c>
      <c r="P613" s="5"/>
      <c r="Q613" s="5"/>
      <c r="R613" s="5" t="s">
        <v>486</v>
      </c>
      <c r="V613" s="5" t="s">
        <v>2760</v>
      </c>
      <c r="X613" s="5" t="s">
        <v>139</v>
      </c>
      <c r="Y613" s="5" t="s">
        <v>73</v>
      </c>
      <c r="Z613" s="5" t="s">
        <v>2761</v>
      </c>
      <c r="AI613" s="9" t="n">
        <v>43070</v>
      </c>
      <c r="AL613" s="5" t="n">
        <v>1230697</v>
      </c>
      <c r="AM613" s="5" t="s">
        <v>140</v>
      </c>
      <c r="AN613" s="5" t="s">
        <v>699</v>
      </c>
      <c r="AQ613" s="5" t="s">
        <v>77</v>
      </c>
      <c r="AR613" s="5" t="s">
        <v>143</v>
      </c>
      <c r="AS613" s="5" t="s">
        <v>73</v>
      </c>
      <c r="AT613" s="5" t="s">
        <v>78</v>
      </c>
      <c r="AW613" s="25" t="s">
        <v>94</v>
      </c>
      <c r="AX613" s="10" t="str">
        <f aca="false">IFERROR(INDEX('full database 2024'!ar:ar, MATCH(A613, 'full database 2024'!b:b, 0)), "")</f>
        <v/>
      </c>
      <c r="AZ613" s="5" t="s">
        <v>129</v>
      </c>
      <c r="BD613" s="9" t="n">
        <v>45593</v>
      </c>
      <c r="BE613" s="9" t="n">
        <v>45593</v>
      </c>
      <c r="BJ613" s="5" t="n">
        <v>2024</v>
      </c>
      <c r="BK613" s="5" t="s">
        <v>2762</v>
      </c>
    </row>
    <row r="614" customFormat="false" ht="16.5" hidden="false" customHeight="true" outlineLevel="0" collapsed="false">
      <c r="A614" s="10" t="s">
        <v>2763</v>
      </c>
      <c r="D614" s="5" t="s">
        <v>62</v>
      </c>
      <c r="E614" s="5" t="n">
        <v>891230</v>
      </c>
      <c r="F614" s="5" t="n">
        <v>891230</v>
      </c>
      <c r="G614" s="5" t="s">
        <v>63</v>
      </c>
      <c r="H614" s="6" t="n">
        <v>130000</v>
      </c>
      <c r="I614" s="6" t="n">
        <v>130000</v>
      </c>
      <c r="J614" s="7" t="n">
        <f aca="false">E614*0.13</f>
        <v>115859.9</v>
      </c>
      <c r="K614" s="7" t="n">
        <f aca="false">F614*0.13</f>
        <v>115859.9</v>
      </c>
      <c r="L614" s="5" t="s">
        <v>84</v>
      </c>
      <c r="P614" s="5"/>
      <c r="Q614" s="5"/>
      <c r="R614" s="5" t="s">
        <v>2764</v>
      </c>
      <c r="S614" s="5" t="s">
        <v>2765</v>
      </c>
      <c r="V614" s="5" t="s">
        <v>2766</v>
      </c>
      <c r="X614" s="5" t="s">
        <v>72</v>
      </c>
      <c r="Y614" s="5" t="s">
        <v>73</v>
      </c>
      <c r="Z614" s="5" t="s">
        <v>70</v>
      </c>
      <c r="AE614" s="5" t="s">
        <v>74</v>
      </c>
      <c r="AF614" s="9" t="n">
        <v>45149</v>
      </c>
      <c r="AG614" s="5" t="n">
        <v>2023</v>
      </c>
      <c r="AI614" s="9" t="n">
        <v>45292</v>
      </c>
      <c r="AL614" s="5" t="n">
        <v>130000</v>
      </c>
      <c r="AM614" s="5" t="s">
        <v>2767</v>
      </c>
      <c r="AN614" s="5"/>
      <c r="AQ614" s="5" t="s">
        <v>77</v>
      </c>
      <c r="AR614" s="5" t="s">
        <v>72</v>
      </c>
      <c r="AS614" s="5" t="s">
        <v>73</v>
      </c>
      <c r="AT614" s="5" t="s">
        <v>71</v>
      </c>
      <c r="AU614" s="10" t="s">
        <v>120</v>
      </c>
      <c r="AW614" s="5" t="s">
        <v>969</v>
      </c>
      <c r="AX614" s="10" t="str">
        <f aca="false">IFERROR(INDEX('full database 2024'!ar:ar, MATCH(A614, 'full database 2024'!b:b, 0)), "")</f>
        <v/>
      </c>
      <c r="AZ614" s="5" t="s">
        <v>748</v>
      </c>
      <c r="BD614" s="9" t="n">
        <v>45149</v>
      </c>
      <c r="BE614" s="9" t="n">
        <v>45779</v>
      </c>
      <c r="BF614" s="5" t="s">
        <v>65</v>
      </c>
      <c r="BG614" s="8" t="s">
        <v>2768</v>
      </c>
      <c r="BI614" s="5" t="s">
        <v>241</v>
      </c>
      <c r="BJ614" s="5" t="n">
        <v>2024</v>
      </c>
      <c r="BK614" s="5" t="s">
        <v>925</v>
      </c>
    </row>
    <row r="615" customFormat="false" ht="16.5" hidden="false" customHeight="true" outlineLevel="0" collapsed="false">
      <c r="A615" s="10" t="s">
        <v>2769</v>
      </c>
      <c r="D615" s="5" t="s">
        <v>62</v>
      </c>
      <c r="E615" s="5" t="n">
        <v>833659</v>
      </c>
      <c r="F615" s="5" t="n">
        <v>833659</v>
      </c>
      <c r="G615" s="5" t="s">
        <v>147</v>
      </c>
      <c r="H615" s="6" t="n">
        <v>917025</v>
      </c>
      <c r="I615" s="6" t="n">
        <v>917025</v>
      </c>
      <c r="J615" s="7" t="n">
        <v>833659</v>
      </c>
      <c r="K615" s="7" t="n">
        <v>833659</v>
      </c>
      <c r="L615" s="5" t="s">
        <v>84</v>
      </c>
      <c r="M615" s="5" t="s">
        <v>65</v>
      </c>
      <c r="S615" s="5" t="s">
        <v>2770</v>
      </c>
      <c r="V615" s="5" t="s">
        <v>2771</v>
      </c>
      <c r="W615" s="5" t="s">
        <v>102</v>
      </c>
      <c r="X615" s="5" t="s">
        <v>160</v>
      </c>
      <c r="Y615" s="5" t="s">
        <v>73</v>
      </c>
      <c r="AE615" s="5" t="s">
        <v>117</v>
      </c>
      <c r="AL615" s="5" t="n">
        <v>917025</v>
      </c>
      <c r="AM615" s="5" t="s">
        <v>161</v>
      </c>
      <c r="AN615" s="5"/>
      <c r="AQ615" s="5" t="s">
        <v>77</v>
      </c>
      <c r="AR615" s="5" t="s">
        <v>160</v>
      </c>
      <c r="AS615" s="5" t="s">
        <v>73</v>
      </c>
      <c r="AT615" s="5" t="s">
        <v>105</v>
      </c>
      <c r="AU615" s="10" t="s">
        <v>186</v>
      </c>
      <c r="AW615" s="5" t="s">
        <v>94</v>
      </c>
      <c r="AX615" s="10" t="str">
        <f aca="false">IFERROR(INDEX('full database 2024'!ar:ar, MATCH(A615, 'full database 2024'!b:b, 0)), "")</f>
        <v/>
      </c>
      <c r="AZ615" s="5" t="s">
        <v>521</v>
      </c>
      <c r="BD615" s="9" t="n">
        <v>45377</v>
      </c>
      <c r="BE615" s="9" t="n">
        <v>45377</v>
      </c>
      <c r="BI615" s="5" t="s">
        <v>81</v>
      </c>
      <c r="BJ615" s="5" t="n">
        <v>2024</v>
      </c>
    </row>
    <row r="616" customFormat="false" ht="16.5" hidden="false" customHeight="true" outlineLevel="0" collapsed="false">
      <c r="A616" s="10" t="s">
        <v>2772</v>
      </c>
      <c r="B616" s="5" t="s">
        <v>2773</v>
      </c>
      <c r="D616" s="5" t="s">
        <v>62</v>
      </c>
      <c r="E616" s="16" t="n">
        <v>755704</v>
      </c>
      <c r="F616" s="16" t="n">
        <v>755704</v>
      </c>
      <c r="G616" s="5" t="s">
        <v>132</v>
      </c>
      <c r="H616" s="6" t="n">
        <v>939483</v>
      </c>
      <c r="J616" s="7" t="n">
        <f aca="false">E616*1.19</f>
        <v>899287.76</v>
      </c>
      <c r="K616" s="7" t="n">
        <f aca="false">F616*1.19</f>
        <v>899287.76</v>
      </c>
      <c r="L616" s="5" t="s">
        <v>84</v>
      </c>
      <c r="N616" s="8" t="s">
        <v>2774</v>
      </c>
      <c r="O616" s="5" t="s">
        <v>2775</v>
      </c>
      <c r="P616" s="5"/>
      <c r="Q616" s="5"/>
      <c r="R616" s="5" t="s">
        <v>486</v>
      </c>
      <c r="T616" s="5" t="s">
        <v>2776</v>
      </c>
      <c r="V616" s="5" t="s">
        <v>2777</v>
      </c>
      <c r="X616" s="5" t="s">
        <v>139</v>
      </c>
      <c r="Y616" s="5" t="s">
        <v>73</v>
      </c>
      <c r="Z616" s="5" t="s">
        <v>2778</v>
      </c>
      <c r="AI616" s="9" t="n">
        <v>45016</v>
      </c>
      <c r="AL616" s="5" t="n">
        <v>939483</v>
      </c>
      <c r="AM616" s="5" t="s">
        <v>140</v>
      </c>
      <c r="AN616" s="5" t="s">
        <v>2779</v>
      </c>
      <c r="AQ616" s="5" t="s">
        <v>77</v>
      </c>
      <c r="AR616" s="5" t="s">
        <v>143</v>
      </c>
      <c r="AS616" s="5" t="s">
        <v>73</v>
      </c>
      <c r="AT616" s="5" t="s">
        <v>78</v>
      </c>
      <c r="AU616" s="10"/>
      <c r="AW616" s="5" t="s">
        <v>94</v>
      </c>
      <c r="AX616" s="5" t="s">
        <v>79</v>
      </c>
      <c r="AY616" s="5"/>
      <c r="AZ616" s="5" t="s">
        <v>129</v>
      </c>
      <c r="BD616" s="9" t="n">
        <v>45595</v>
      </c>
      <c r="BE616" s="9" t="n">
        <v>45595</v>
      </c>
      <c r="BJ616" s="5" t="n">
        <v>2024</v>
      </c>
      <c r="BK616" s="5" t="s">
        <v>2780</v>
      </c>
    </row>
    <row r="617" customFormat="false" ht="16.5" hidden="false" customHeight="true" outlineLevel="0" collapsed="false">
      <c r="A617" s="5" t="s">
        <v>2781</v>
      </c>
      <c r="B617" s="5" t="s">
        <v>2782</v>
      </c>
      <c r="D617" s="5" t="s">
        <v>62</v>
      </c>
      <c r="E617" s="16" t="n">
        <v>737478</v>
      </c>
      <c r="F617" s="16" t="n">
        <v>737478</v>
      </c>
      <c r="G617" s="5" t="s">
        <v>132</v>
      </c>
      <c r="H617" s="6" t="n">
        <v>916832</v>
      </c>
      <c r="J617" s="7" t="n">
        <f aca="false">E617*1.19</f>
        <v>877598.82</v>
      </c>
      <c r="K617" s="7" t="n">
        <f aca="false">F617*1.19</f>
        <v>877598.82</v>
      </c>
      <c r="L617" s="5" t="s">
        <v>84</v>
      </c>
      <c r="N617" s="8" t="s">
        <v>2783</v>
      </c>
      <c r="O617" s="5" t="s">
        <v>2784</v>
      </c>
      <c r="P617" s="5"/>
      <c r="Q617" s="5"/>
      <c r="R617" s="5" t="s">
        <v>486</v>
      </c>
      <c r="T617" s="5" t="s">
        <v>2785</v>
      </c>
      <c r="V617" s="5" t="s">
        <v>2786</v>
      </c>
      <c r="X617" s="5" t="s">
        <v>139</v>
      </c>
      <c r="Y617" s="5" t="s">
        <v>73</v>
      </c>
      <c r="Z617" s="5" t="s">
        <v>2787</v>
      </c>
      <c r="AI617" s="9" t="n">
        <v>45016</v>
      </c>
      <c r="AL617" s="5" t="n">
        <v>916832</v>
      </c>
      <c r="AM617" s="5" t="s">
        <v>140</v>
      </c>
      <c r="AN617" s="5" t="s">
        <v>2779</v>
      </c>
      <c r="AQ617" s="5" t="s">
        <v>77</v>
      </c>
      <c r="AR617" s="5" t="s">
        <v>143</v>
      </c>
      <c r="AS617" s="5" t="s">
        <v>73</v>
      </c>
      <c r="AT617" s="5" t="s">
        <v>78</v>
      </c>
      <c r="AU617" s="10"/>
      <c r="AW617" s="5" t="s">
        <v>94</v>
      </c>
      <c r="AX617" s="5" t="s">
        <v>79</v>
      </c>
      <c r="AY617" s="5"/>
      <c r="AZ617" s="5" t="s">
        <v>129</v>
      </c>
      <c r="BD617" s="9" t="n">
        <v>45595</v>
      </c>
      <c r="BE617" s="9" t="n">
        <v>45595</v>
      </c>
      <c r="BJ617" s="5" t="n">
        <v>2024</v>
      </c>
      <c r="BK617" s="5" t="s">
        <v>2448</v>
      </c>
    </row>
    <row r="618" customFormat="false" ht="16.5" hidden="false" customHeight="true" outlineLevel="0" collapsed="false">
      <c r="A618" s="5" t="s">
        <v>2788</v>
      </c>
      <c r="B618" s="5" t="s">
        <v>2789</v>
      </c>
      <c r="D618" s="5" t="s">
        <v>62</v>
      </c>
      <c r="E618" s="5" t="n">
        <v>561011</v>
      </c>
      <c r="F618" s="5" t="n">
        <v>561011</v>
      </c>
      <c r="G618" s="5" t="s">
        <v>732</v>
      </c>
      <c r="H618" s="6" t="n">
        <v>604744</v>
      </c>
      <c r="J618" s="7" t="n">
        <f aca="false">E618*1.07</f>
        <v>600281.77</v>
      </c>
      <c r="K618" s="7" t="n">
        <f aca="false">F618*1.07</f>
        <v>600281.77</v>
      </c>
      <c r="L618" s="5" t="s">
        <v>84</v>
      </c>
      <c r="N618" s="8" t="s">
        <v>2790</v>
      </c>
      <c r="O618" s="5" t="s">
        <v>2791</v>
      </c>
      <c r="P618" s="5"/>
      <c r="Q618" s="5"/>
      <c r="R618" s="5" t="s">
        <v>486</v>
      </c>
      <c r="T618" s="5" t="s">
        <v>2792</v>
      </c>
      <c r="V618" s="5" t="s">
        <v>2793</v>
      </c>
      <c r="X618" s="5" t="s">
        <v>737</v>
      </c>
      <c r="Y618" s="5" t="s">
        <v>73</v>
      </c>
      <c r="Z618" s="5" t="s">
        <v>2794</v>
      </c>
      <c r="AI618" s="9" t="n">
        <v>43864</v>
      </c>
      <c r="AL618" s="5" t="n">
        <v>604744</v>
      </c>
      <c r="AM618" s="5" t="s">
        <v>736</v>
      </c>
      <c r="AN618" s="5"/>
      <c r="AQ618" s="5" t="s">
        <v>77</v>
      </c>
      <c r="AR618" s="5" t="s">
        <v>737</v>
      </c>
      <c r="AS618" s="5" t="s">
        <v>73</v>
      </c>
      <c r="AT618" s="5" t="s">
        <v>78</v>
      </c>
      <c r="AU618" s="10"/>
      <c r="AW618" s="5" t="s">
        <v>94</v>
      </c>
      <c r="AX618" s="5" t="s">
        <v>375</v>
      </c>
      <c r="AY618" s="5"/>
      <c r="AZ618" s="5" t="s">
        <v>396</v>
      </c>
      <c r="BD618" s="9" t="n">
        <v>45594</v>
      </c>
      <c r="BE618" s="9" t="n">
        <v>45594</v>
      </c>
      <c r="BJ618" s="5" t="n">
        <v>2020</v>
      </c>
      <c r="BK618" s="11" t="n">
        <v>44995</v>
      </c>
    </row>
    <row r="619" customFormat="false" ht="16.5" hidden="false" customHeight="true" outlineLevel="0" collapsed="false">
      <c r="A619" s="5" t="s">
        <v>2795</v>
      </c>
      <c r="B619" s="5" t="s">
        <v>2796</v>
      </c>
      <c r="D619" s="5" t="s">
        <v>62</v>
      </c>
      <c r="E619" s="5" t="n">
        <v>500000</v>
      </c>
      <c r="F619" s="5" t="n">
        <v>500000</v>
      </c>
      <c r="G619" s="5" t="s">
        <v>212</v>
      </c>
      <c r="H619" s="6" t="n">
        <v>58407</v>
      </c>
      <c r="J619" s="7" t="n">
        <f aca="false">E619*0.091</f>
        <v>45500</v>
      </c>
      <c r="K619" s="7" t="n">
        <f aca="false">F619*0.091</f>
        <v>45500</v>
      </c>
      <c r="L619" s="5" t="s">
        <v>84</v>
      </c>
      <c r="N619" s="8" t="s">
        <v>2797</v>
      </c>
      <c r="O619" s="5" t="s">
        <v>2798</v>
      </c>
      <c r="P619" s="5"/>
      <c r="Q619" s="5"/>
      <c r="R619" s="5" t="s">
        <v>486</v>
      </c>
      <c r="T619" s="5" t="s">
        <v>2799</v>
      </c>
      <c r="V619" s="5" t="s">
        <v>571</v>
      </c>
      <c r="X619" s="5" t="s">
        <v>215</v>
      </c>
      <c r="Y619" s="5" t="s">
        <v>73</v>
      </c>
      <c r="Z619" s="5" t="s">
        <v>2583</v>
      </c>
      <c r="AI619" s="9" t="n">
        <v>42492</v>
      </c>
      <c r="AL619" s="5" t="n">
        <v>58407</v>
      </c>
      <c r="AM619" s="5" t="s">
        <v>2703</v>
      </c>
      <c r="AN619" s="5"/>
      <c r="AQ619" s="5" t="s">
        <v>77</v>
      </c>
      <c r="AR619" s="5" t="s">
        <v>215</v>
      </c>
      <c r="AS619" s="5" t="s">
        <v>73</v>
      </c>
      <c r="AT619" s="5" t="s">
        <v>78</v>
      </c>
      <c r="AW619" s="5" t="s">
        <v>94</v>
      </c>
      <c r="AX619" s="10" t="str">
        <f aca="false" t="array" ref="AX619:AX619">IFERROR(INDEX('full database 2024'!ar:ar, MATCH(A619, 'full database 2024'!b:b, 0)), "")</f>
        <v/>
      </c>
      <c r="AY619" s="5" t="s">
        <v>2800</v>
      </c>
      <c r="AZ619" s="5" t="s">
        <v>129</v>
      </c>
      <c r="BD619" s="9" t="n">
        <v>45593</v>
      </c>
      <c r="BE619" s="9" t="n">
        <v>45593</v>
      </c>
      <c r="BJ619" s="5" t="n">
        <v>2016</v>
      </c>
      <c r="BK619" s="5" t="s">
        <v>2801</v>
      </c>
    </row>
    <row r="620" customFormat="false" ht="16.5" hidden="false" customHeight="true" outlineLevel="0" collapsed="false">
      <c r="A620" s="5" t="s">
        <v>2802</v>
      </c>
      <c r="B620" s="5" t="s">
        <v>2803</v>
      </c>
      <c r="D620" s="5" t="s">
        <v>62</v>
      </c>
      <c r="E620" s="16" t="n">
        <v>497112</v>
      </c>
      <c r="F620" s="16" t="n">
        <v>497112</v>
      </c>
      <c r="G620" s="5" t="s">
        <v>132</v>
      </c>
      <c r="H620" s="6" t="n">
        <v>628616</v>
      </c>
      <c r="J620" s="7" t="n">
        <f aca="false">E620*1.19</f>
        <v>591563.28</v>
      </c>
      <c r="K620" s="7" t="n">
        <f aca="false">F620*1.19</f>
        <v>591563.28</v>
      </c>
      <c r="L620" s="5" t="s">
        <v>84</v>
      </c>
      <c r="N620" s="8" t="s">
        <v>2804</v>
      </c>
      <c r="O620" s="5" t="s">
        <v>2805</v>
      </c>
      <c r="P620" s="5"/>
      <c r="Q620" s="5"/>
      <c r="R620" s="5" t="s">
        <v>486</v>
      </c>
      <c r="T620" s="5" t="s">
        <v>2806</v>
      </c>
      <c r="V620" s="5" t="s">
        <v>2807</v>
      </c>
      <c r="X620" s="5" t="s">
        <v>139</v>
      </c>
      <c r="Y620" s="5" t="s">
        <v>73</v>
      </c>
      <c r="Z620" s="5" t="s">
        <v>2808</v>
      </c>
      <c r="AI620" s="9" t="n">
        <v>45382</v>
      </c>
      <c r="AL620" s="5" t="n">
        <v>628616</v>
      </c>
      <c r="AM620" s="5" t="s">
        <v>140</v>
      </c>
      <c r="AN620" s="5" t="s">
        <v>699</v>
      </c>
      <c r="AQ620" s="5" t="s">
        <v>77</v>
      </c>
      <c r="AR620" s="5" t="s">
        <v>143</v>
      </c>
      <c r="AS620" s="5" t="s">
        <v>73</v>
      </c>
      <c r="AT620" s="5" t="s">
        <v>78</v>
      </c>
      <c r="AW620" s="5" t="s">
        <v>94</v>
      </c>
      <c r="AX620" s="5" t="s">
        <v>375</v>
      </c>
      <c r="AY620" s="5"/>
      <c r="AZ620" s="5" t="s">
        <v>521</v>
      </c>
      <c r="BD620" s="9" t="n">
        <v>45607</v>
      </c>
      <c r="BE620" s="9" t="n">
        <v>45607</v>
      </c>
      <c r="BJ620" s="5" t="n">
        <v>2024</v>
      </c>
      <c r="BK620" s="5" t="s">
        <v>2809</v>
      </c>
    </row>
    <row r="621" customFormat="false" ht="16.5" hidden="false" customHeight="true" outlineLevel="0" collapsed="false">
      <c r="A621" s="10" t="s">
        <v>2810</v>
      </c>
      <c r="B621" s="5" t="s">
        <v>2811</v>
      </c>
      <c r="D621" s="5" t="s">
        <v>62</v>
      </c>
      <c r="E621" s="16" t="n">
        <v>469168</v>
      </c>
      <c r="F621" s="16" t="n">
        <v>469168</v>
      </c>
      <c r="G621" s="5" t="s">
        <v>132</v>
      </c>
      <c r="H621" s="6" t="n">
        <v>583266</v>
      </c>
      <c r="J621" s="7" t="n">
        <f aca="false">E621*1.19</f>
        <v>558309.92</v>
      </c>
      <c r="K621" s="7" t="n">
        <f aca="false">F621*1.19</f>
        <v>558309.92</v>
      </c>
      <c r="L621" s="5" t="s">
        <v>84</v>
      </c>
      <c r="N621" s="8" t="s">
        <v>2812</v>
      </c>
      <c r="O621" s="5" t="s">
        <v>2813</v>
      </c>
      <c r="T621" s="5" t="s">
        <v>1321</v>
      </c>
      <c r="V621" s="5" t="s">
        <v>2814</v>
      </c>
      <c r="X621" s="5" t="s">
        <v>139</v>
      </c>
      <c r="Y621" s="5" t="s">
        <v>73</v>
      </c>
      <c r="AI621" s="9" t="n">
        <v>45231</v>
      </c>
      <c r="AL621" s="5" t="n">
        <v>583266</v>
      </c>
      <c r="AM621" s="5" t="s">
        <v>140</v>
      </c>
      <c r="AN621" s="5" t="s">
        <v>699</v>
      </c>
      <c r="AQ621" s="5" t="s">
        <v>77</v>
      </c>
      <c r="AR621" s="5" t="s">
        <v>143</v>
      </c>
      <c r="AS621" s="5" t="s">
        <v>73</v>
      </c>
      <c r="AT621" s="5" t="s">
        <v>105</v>
      </c>
      <c r="AU621" s="10" t="s">
        <v>106</v>
      </c>
      <c r="AW621" s="5" t="s">
        <v>94</v>
      </c>
      <c r="AX621" s="10" t="str">
        <f aca="false">IFERROR(INDEX('full database 2024'!ar:ar, MATCH(A621, 'full database 2024'!b:b, 0)), "")</f>
        <v/>
      </c>
      <c r="AZ621" s="5" t="s">
        <v>540</v>
      </c>
      <c r="BD621" s="9" t="n">
        <v>45695</v>
      </c>
      <c r="BE621" s="9" t="n">
        <v>45695</v>
      </c>
      <c r="BJ621" s="5" t="n">
        <v>2023</v>
      </c>
      <c r="BK621" s="5" t="s">
        <v>2815</v>
      </c>
    </row>
    <row r="622" customFormat="false" ht="16.5" hidden="false" customHeight="true" outlineLevel="0" collapsed="false">
      <c r="A622" s="10" t="s">
        <v>2816</v>
      </c>
      <c r="B622" s="5" t="s">
        <v>2817</v>
      </c>
      <c r="D622" s="5" t="s">
        <v>62</v>
      </c>
      <c r="E622" s="16" t="n">
        <v>418399</v>
      </c>
      <c r="F622" s="16" t="n">
        <v>418399</v>
      </c>
      <c r="G622" s="5" t="s">
        <v>132</v>
      </c>
      <c r="H622" s="6" t="n">
        <v>514139</v>
      </c>
      <c r="J622" s="7" t="n">
        <f aca="false">E622*1.19</f>
        <v>497894.81</v>
      </c>
      <c r="K622" s="7" t="n">
        <f aca="false">F622*1.19</f>
        <v>497894.81</v>
      </c>
      <c r="L622" s="5" t="s">
        <v>84</v>
      </c>
      <c r="N622" s="8" t="s">
        <v>2818</v>
      </c>
      <c r="O622" s="5" t="s">
        <v>2819</v>
      </c>
      <c r="T622" s="5" t="s">
        <v>2820</v>
      </c>
      <c r="U622" s="5" t="s">
        <v>70</v>
      </c>
      <c r="V622" s="5" t="s">
        <v>2821</v>
      </c>
      <c r="W622" s="5" t="s">
        <v>102</v>
      </c>
      <c r="X622" s="5" t="s">
        <v>139</v>
      </c>
      <c r="Y622" s="5" t="s">
        <v>73</v>
      </c>
      <c r="Z622" s="5" t="s">
        <v>70</v>
      </c>
      <c r="AD622" s="5" t="s">
        <v>70</v>
      </c>
      <c r="AE622" s="5" t="s">
        <v>117</v>
      </c>
      <c r="AI622" s="9" t="n">
        <v>45047</v>
      </c>
      <c r="AJ622" s="5" t="n">
        <v>2</v>
      </c>
      <c r="AK622" s="5" t="s">
        <v>75</v>
      </c>
      <c r="AL622" s="5" t="n">
        <v>257070</v>
      </c>
      <c r="AM622" s="5" t="s">
        <v>140</v>
      </c>
      <c r="AN622" s="5" t="s">
        <v>699</v>
      </c>
      <c r="AO622" s="5" t="s">
        <v>2822</v>
      </c>
      <c r="AQ622" s="5" t="s">
        <v>77</v>
      </c>
      <c r="AR622" s="5" t="s">
        <v>143</v>
      </c>
      <c r="AS622" s="5" t="s">
        <v>73</v>
      </c>
      <c r="AT622" s="5" t="s">
        <v>374</v>
      </c>
      <c r="AW622" s="5" t="s">
        <v>94</v>
      </c>
      <c r="AX622" s="10" t="str">
        <f aca="false">IFERROR(INDEX('full database 2024'!ar:ar, MATCH(A622, 'full database 2024'!b:b, 0)), "")</f>
        <v/>
      </c>
      <c r="AZ622" s="5" t="s">
        <v>239</v>
      </c>
      <c r="BD622" s="9" t="n">
        <v>45435</v>
      </c>
      <c r="BE622" s="9" t="n">
        <v>45779</v>
      </c>
      <c r="BJ622" s="5" t="n">
        <v>2023</v>
      </c>
    </row>
    <row r="623" customFormat="false" ht="16.5" hidden="false" customHeight="true" outlineLevel="0" collapsed="false">
      <c r="A623" s="5" t="s">
        <v>2823</v>
      </c>
      <c r="B623" s="5" t="s">
        <v>2824</v>
      </c>
      <c r="D623" s="5" t="s">
        <v>62</v>
      </c>
      <c r="E623" s="16" t="n">
        <v>396259</v>
      </c>
      <c r="F623" s="16" t="n">
        <v>396259</v>
      </c>
      <c r="G623" s="5" t="s">
        <v>132</v>
      </c>
      <c r="H623" s="6" t="n">
        <v>492628</v>
      </c>
      <c r="J623" s="7" t="n">
        <f aca="false">E623*1.19</f>
        <v>471548.21</v>
      </c>
      <c r="K623" s="7" t="n">
        <f aca="false">F623*1.19</f>
        <v>471548.21</v>
      </c>
      <c r="L623" s="5" t="s">
        <v>84</v>
      </c>
      <c r="N623" s="8" t="s">
        <v>2825</v>
      </c>
      <c r="O623" s="5" t="s">
        <v>2826</v>
      </c>
      <c r="P623" s="5"/>
      <c r="Q623" s="5"/>
      <c r="R623" s="5" t="s">
        <v>486</v>
      </c>
      <c r="T623" s="5" t="s">
        <v>2827</v>
      </c>
      <c r="V623" s="5" t="s">
        <v>2828</v>
      </c>
      <c r="X623" s="5" t="s">
        <v>139</v>
      </c>
      <c r="Y623" s="5" t="s">
        <v>73</v>
      </c>
      <c r="Z623" s="5" t="s">
        <v>2829</v>
      </c>
      <c r="AI623" s="9" t="n">
        <v>45169</v>
      </c>
      <c r="AL623" s="5" t="n">
        <v>492628</v>
      </c>
      <c r="AM623" s="5" t="s">
        <v>140</v>
      </c>
      <c r="AN623" s="5" t="s">
        <v>699</v>
      </c>
      <c r="AQ623" s="5" t="s">
        <v>77</v>
      </c>
      <c r="AR623" s="5" t="s">
        <v>143</v>
      </c>
      <c r="AS623" s="5" t="s">
        <v>73</v>
      </c>
      <c r="AT623" s="5" t="s">
        <v>78</v>
      </c>
      <c r="AU623" s="10"/>
      <c r="AW623" s="5" t="s">
        <v>94</v>
      </c>
      <c r="AX623" s="5" t="s">
        <v>375</v>
      </c>
      <c r="AY623" s="5"/>
      <c r="AZ623" s="5" t="s">
        <v>188</v>
      </c>
      <c r="BD623" s="9" t="n">
        <v>45596</v>
      </c>
      <c r="BE623" s="9" t="n">
        <v>45596</v>
      </c>
      <c r="BJ623" s="5" t="n">
        <v>2024</v>
      </c>
      <c r="BK623" s="5" t="s">
        <v>2830</v>
      </c>
    </row>
    <row r="624" customFormat="false" ht="16.5" hidden="false" customHeight="true" outlineLevel="0" collapsed="false">
      <c r="A624" s="5" t="s">
        <v>2831</v>
      </c>
      <c r="B624" s="5" t="s">
        <v>2832</v>
      </c>
      <c r="D624" s="5" t="s">
        <v>62</v>
      </c>
      <c r="E624" s="16" t="n">
        <v>389000</v>
      </c>
      <c r="F624" s="16" t="n">
        <v>389000</v>
      </c>
      <c r="G624" s="5" t="s">
        <v>132</v>
      </c>
      <c r="H624" s="6" t="n">
        <v>483599</v>
      </c>
      <c r="J624" s="7" t="n">
        <f aca="false">E624*1.19</f>
        <v>462910</v>
      </c>
      <c r="K624" s="7" t="n">
        <f aca="false">F624*1.19</f>
        <v>462910</v>
      </c>
      <c r="L624" s="5" t="s">
        <v>84</v>
      </c>
      <c r="N624" s="8" t="s">
        <v>2833</v>
      </c>
      <c r="O624" s="5" t="s">
        <v>2834</v>
      </c>
      <c r="P624" s="5"/>
      <c r="Q624" s="5"/>
      <c r="R624" s="5" t="s">
        <v>486</v>
      </c>
      <c r="T624" s="5" t="s">
        <v>137</v>
      </c>
      <c r="V624" s="5" t="s">
        <v>2835</v>
      </c>
      <c r="X624" s="5" t="s">
        <v>139</v>
      </c>
      <c r="Y624" s="5" t="s">
        <v>73</v>
      </c>
      <c r="Z624" s="5" t="s">
        <v>2836</v>
      </c>
      <c r="AI624" s="9" t="n">
        <v>45169</v>
      </c>
      <c r="AL624" s="5" t="n">
        <v>483599</v>
      </c>
      <c r="AM624" s="5" t="s">
        <v>140</v>
      </c>
      <c r="AN624" s="5" t="s">
        <v>699</v>
      </c>
      <c r="AQ624" s="5" t="s">
        <v>77</v>
      </c>
      <c r="AR624" s="5" t="s">
        <v>143</v>
      </c>
      <c r="AS624" s="5" t="s">
        <v>73</v>
      </c>
      <c r="AT624" s="5" t="s">
        <v>78</v>
      </c>
      <c r="AU624" s="10"/>
      <c r="AW624" s="5" t="s">
        <v>94</v>
      </c>
      <c r="AX624" s="5" t="s">
        <v>79</v>
      </c>
      <c r="AY624" s="5"/>
      <c r="AZ624" s="5" t="s">
        <v>188</v>
      </c>
      <c r="BD624" s="9" t="n">
        <v>45596</v>
      </c>
      <c r="BE624" s="9" t="n">
        <v>45596</v>
      </c>
      <c r="BJ624" s="5" t="n">
        <v>2024</v>
      </c>
      <c r="BK624" s="5" t="s">
        <v>2830</v>
      </c>
    </row>
    <row r="625" customFormat="false" ht="16.5" hidden="false" customHeight="true" outlineLevel="0" collapsed="false">
      <c r="A625" s="5" t="s">
        <v>2837</v>
      </c>
      <c r="B625" s="5" t="s">
        <v>2838</v>
      </c>
      <c r="D625" s="5" t="s">
        <v>62</v>
      </c>
      <c r="E625" s="5" t="n">
        <v>376651</v>
      </c>
      <c r="F625" s="5" t="n">
        <v>376651</v>
      </c>
      <c r="G625" s="5" t="s">
        <v>732</v>
      </c>
      <c r="H625" s="6" t="n">
        <v>422000</v>
      </c>
      <c r="J625" s="7" t="n">
        <f aca="false">E625*1.07</f>
        <v>403016.57</v>
      </c>
      <c r="K625" s="7" t="n">
        <f aca="false">F625*1.07</f>
        <v>403016.57</v>
      </c>
      <c r="L625" s="5" t="s">
        <v>84</v>
      </c>
      <c r="N625" s="8" t="s">
        <v>2839</v>
      </c>
      <c r="O625" s="5" t="s">
        <v>2840</v>
      </c>
      <c r="P625" s="5"/>
      <c r="Q625" s="5"/>
      <c r="R625" s="5" t="s">
        <v>486</v>
      </c>
      <c r="S625" s="5" t="s">
        <v>2841</v>
      </c>
      <c r="T625" s="5" t="s">
        <v>2149</v>
      </c>
      <c r="V625" s="5" t="s">
        <v>2842</v>
      </c>
      <c r="X625" s="5" t="s">
        <v>737</v>
      </c>
      <c r="Y625" s="5" t="s">
        <v>73</v>
      </c>
      <c r="AI625" s="9" t="n">
        <v>45017</v>
      </c>
      <c r="AL625" s="5" t="n">
        <v>422000</v>
      </c>
      <c r="AM625" s="5" t="s">
        <v>736</v>
      </c>
      <c r="AN625" s="5"/>
      <c r="AQ625" s="5" t="s">
        <v>77</v>
      </c>
      <c r="AR625" s="5" t="s">
        <v>737</v>
      </c>
      <c r="AS625" s="5" t="s">
        <v>73</v>
      </c>
      <c r="AT625" s="5" t="s">
        <v>78</v>
      </c>
      <c r="AU625" s="10"/>
      <c r="AW625" s="5" t="s">
        <v>94</v>
      </c>
      <c r="AX625" s="5" t="s">
        <v>375</v>
      </c>
      <c r="AY625" s="5"/>
      <c r="AZ625" s="5" t="s">
        <v>188</v>
      </c>
      <c r="BD625" s="9" t="n">
        <v>45595</v>
      </c>
      <c r="BE625" s="9" t="n">
        <v>45595</v>
      </c>
      <c r="BJ625" s="5" t="n">
        <v>2023</v>
      </c>
      <c r="BK625" s="11" t="n">
        <v>45661</v>
      </c>
    </row>
    <row r="626" customFormat="false" ht="16.5" hidden="false" customHeight="true" outlineLevel="0" collapsed="false">
      <c r="A626" s="5" t="s">
        <v>2843</v>
      </c>
      <c r="B626" s="5" t="s">
        <v>2844</v>
      </c>
      <c r="D626" s="5" t="s">
        <v>62</v>
      </c>
      <c r="E626" s="5" t="n">
        <v>299900</v>
      </c>
      <c r="F626" s="5" t="n">
        <v>299900</v>
      </c>
      <c r="G626" s="5" t="s">
        <v>212</v>
      </c>
      <c r="H626" s="6" t="n">
        <v>31416</v>
      </c>
      <c r="J626" s="7" t="n">
        <f aca="false">E626*0.091</f>
        <v>27290.9</v>
      </c>
      <c r="K626" s="7" t="n">
        <f aca="false">F626*0.091</f>
        <v>27290.9</v>
      </c>
      <c r="L626" s="5" t="s">
        <v>84</v>
      </c>
      <c r="N626" s="8" t="s">
        <v>2845</v>
      </c>
      <c r="O626" s="5" t="s">
        <v>2846</v>
      </c>
      <c r="P626" s="5"/>
      <c r="Q626" s="5"/>
      <c r="R626" s="5" t="s">
        <v>486</v>
      </c>
      <c r="T626" s="5" t="s">
        <v>2847</v>
      </c>
      <c r="V626" s="5" t="s">
        <v>2848</v>
      </c>
      <c r="X626" s="5" t="s">
        <v>215</v>
      </c>
      <c r="Y626" s="5" t="s">
        <v>73</v>
      </c>
      <c r="AI626" s="9" t="n">
        <v>44501</v>
      </c>
      <c r="AL626" s="5" t="n">
        <v>31416</v>
      </c>
      <c r="AM626" s="5" t="s">
        <v>2703</v>
      </c>
      <c r="AN626" s="5"/>
      <c r="AQ626" s="5" t="s">
        <v>77</v>
      </c>
      <c r="AR626" s="5" t="s">
        <v>215</v>
      </c>
      <c r="AS626" s="5" t="s">
        <v>73</v>
      </c>
      <c r="AT626" s="5" t="s">
        <v>78</v>
      </c>
      <c r="AU626" s="10"/>
      <c r="AW626" s="5" t="s">
        <v>94</v>
      </c>
      <c r="AX626" s="5" t="s">
        <v>79</v>
      </c>
      <c r="AY626" s="5"/>
      <c r="AZ626" s="5" t="s">
        <v>129</v>
      </c>
      <c r="BD626" s="9" t="n">
        <v>45595</v>
      </c>
      <c r="BE626" s="9" t="n">
        <v>45779</v>
      </c>
      <c r="BJ626" s="5" t="n">
        <v>2021</v>
      </c>
      <c r="BK626" s="5" t="s">
        <v>2849</v>
      </c>
    </row>
    <row r="627" customFormat="false" ht="16.5" hidden="false" customHeight="true" outlineLevel="0" collapsed="false">
      <c r="A627" s="10" t="s">
        <v>2850</v>
      </c>
      <c r="D627" s="5" t="s">
        <v>62</v>
      </c>
      <c r="E627" s="5" t="n">
        <v>298226</v>
      </c>
      <c r="F627" s="5" t="n">
        <v>298226</v>
      </c>
      <c r="G627" s="5" t="s">
        <v>132</v>
      </c>
      <c r="H627" s="6" t="n">
        <v>360182</v>
      </c>
      <c r="I627" s="6" t="n">
        <v>360182</v>
      </c>
      <c r="J627" s="7" t="n">
        <f aca="false">E627*1.19</f>
        <v>354888.94</v>
      </c>
      <c r="K627" s="7" t="n">
        <f aca="false">F627*1.19</f>
        <v>354888.94</v>
      </c>
      <c r="L627" s="5" t="s">
        <v>2851</v>
      </c>
      <c r="N627" s="8" t="s">
        <v>2852</v>
      </c>
      <c r="T627" s="5" t="s">
        <v>2853</v>
      </c>
      <c r="U627" s="5" t="s">
        <v>70</v>
      </c>
      <c r="V627" s="5" t="s">
        <v>2854</v>
      </c>
      <c r="W627" s="5" t="s">
        <v>102</v>
      </c>
      <c r="X627" s="5" t="s">
        <v>139</v>
      </c>
      <c r="Y627" s="5" t="s">
        <v>73</v>
      </c>
      <c r="Z627" s="5" t="s">
        <v>70</v>
      </c>
      <c r="AC627" s="5" t="s">
        <v>2855</v>
      </c>
      <c r="AD627" s="5" t="s">
        <v>1684</v>
      </c>
      <c r="AE627" s="5" t="s">
        <v>117</v>
      </c>
      <c r="AF627" s="9" t="n">
        <v>43187</v>
      </c>
      <c r="AG627" s="5" t="n">
        <v>2018</v>
      </c>
      <c r="AJ627" s="5" t="n">
        <v>1</v>
      </c>
      <c r="AK627" s="5" t="s">
        <v>152</v>
      </c>
      <c r="AL627" s="5" t="n">
        <v>360182</v>
      </c>
      <c r="AM627" s="5" t="s">
        <v>140</v>
      </c>
      <c r="AN627" s="5" t="s">
        <v>699</v>
      </c>
      <c r="AQ627" s="5" t="s">
        <v>77</v>
      </c>
      <c r="AR627" s="5" t="s">
        <v>143</v>
      </c>
      <c r="AS627" s="5" t="s">
        <v>73</v>
      </c>
      <c r="AT627" s="5" t="s">
        <v>374</v>
      </c>
      <c r="AU627" s="10" t="s">
        <v>375</v>
      </c>
      <c r="AV627" s="10"/>
      <c r="AW627" s="5" t="s">
        <v>94</v>
      </c>
      <c r="BD627" s="9" t="n">
        <v>44960</v>
      </c>
      <c r="BE627" s="9" t="n">
        <v>45035</v>
      </c>
      <c r="BF627" s="5" t="s">
        <v>65</v>
      </c>
      <c r="BG627" s="8" t="s">
        <v>2856</v>
      </c>
      <c r="BH627" s="5" t="s">
        <v>65</v>
      </c>
      <c r="BI627" s="5" t="s">
        <v>145</v>
      </c>
    </row>
    <row r="628" customFormat="false" ht="16.5" hidden="false" customHeight="true" outlineLevel="0" collapsed="false">
      <c r="A628" s="5" t="s">
        <v>2857</v>
      </c>
      <c r="B628" s="5" t="s">
        <v>2858</v>
      </c>
      <c r="D628" s="5" t="s">
        <v>62</v>
      </c>
      <c r="E628" s="5" t="n">
        <v>195000</v>
      </c>
      <c r="F628" s="5" t="n">
        <v>195000</v>
      </c>
      <c r="G628" s="5" t="s">
        <v>732</v>
      </c>
      <c r="H628" s="6" t="n">
        <v>218185</v>
      </c>
      <c r="J628" s="7" t="n">
        <f aca="false">E628*1.07</f>
        <v>208650</v>
      </c>
      <c r="K628" s="7" t="n">
        <f aca="false">F628*1.07</f>
        <v>208650</v>
      </c>
      <c r="L628" s="5" t="s">
        <v>84</v>
      </c>
      <c r="N628" s="8" t="s">
        <v>2859</v>
      </c>
      <c r="O628" s="5" t="s">
        <v>2860</v>
      </c>
      <c r="P628" s="5"/>
      <c r="Q628" s="5"/>
      <c r="R628" s="5" t="s">
        <v>486</v>
      </c>
      <c r="T628" s="5" t="s">
        <v>2861</v>
      </c>
      <c r="V628" s="5" t="s">
        <v>2862</v>
      </c>
      <c r="X628" s="5" t="s">
        <v>737</v>
      </c>
      <c r="Y628" s="5" t="s">
        <v>73</v>
      </c>
      <c r="Z628" s="5" t="s">
        <v>2863</v>
      </c>
      <c r="AI628" s="9" t="n">
        <v>45017</v>
      </c>
      <c r="AL628" s="5" t="n">
        <v>218185</v>
      </c>
      <c r="AM628" s="5" t="s">
        <v>2709</v>
      </c>
      <c r="AN628" s="5"/>
      <c r="AQ628" s="5" t="s">
        <v>77</v>
      </c>
      <c r="AR628" s="5" t="s">
        <v>737</v>
      </c>
      <c r="AS628" s="5" t="s">
        <v>73</v>
      </c>
      <c r="AT628" s="5" t="s">
        <v>78</v>
      </c>
      <c r="AU628" s="10"/>
      <c r="AW628" s="5" t="s">
        <v>94</v>
      </c>
      <c r="AX628" s="5" t="s">
        <v>218</v>
      </c>
      <c r="AY628" s="5"/>
      <c r="AZ628" s="5" t="s">
        <v>396</v>
      </c>
      <c r="BD628" s="9" t="n">
        <v>45595</v>
      </c>
      <c r="BE628" s="9" t="n">
        <v>45595</v>
      </c>
      <c r="BJ628" s="5" t="n">
        <v>2023</v>
      </c>
      <c r="BK628" s="5" t="s">
        <v>2363</v>
      </c>
    </row>
    <row r="629" customFormat="false" ht="16.5" hidden="false" customHeight="true" outlineLevel="0" collapsed="false">
      <c r="A629" s="5" t="s">
        <v>2864</v>
      </c>
      <c r="B629" s="5" t="s">
        <v>2865</v>
      </c>
      <c r="D629" s="5" t="s">
        <v>62</v>
      </c>
      <c r="E629" s="5" t="n">
        <v>188590</v>
      </c>
      <c r="F629" s="5" t="n">
        <v>188590</v>
      </c>
      <c r="G629" s="5" t="s">
        <v>147</v>
      </c>
      <c r="H629" s="6" t="n">
        <v>204125</v>
      </c>
      <c r="J629" s="7" t="n">
        <v>188590</v>
      </c>
      <c r="K629" s="7" t="n">
        <v>188590</v>
      </c>
      <c r="L629" s="5" t="s">
        <v>84</v>
      </c>
      <c r="N629" s="8" t="s">
        <v>2866</v>
      </c>
      <c r="O629" s="5" t="s">
        <v>2867</v>
      </c>
      <c r="P629" s="5"/>
      <c r="Q629" s="5"/>
      <c r="R629" s="5" t="s">
        <v>486</v>
      </c>
      <c r="V629" s="5" t="s">
        <v>2868</v>
      </c>
      <c r="X629" s="5" t="s">
        <v>385</v>
      </c>
      <c r="Y629" s="5" t="s">
        <v>73</v>
      </c>
      <c r="Z629" s="5" t="s">
        <v>2869</v>
      </c>
      <c r="AE629" s="5" t="s">
        <v>2870</v>
      </c>
      <c r="AI629" s="9" t="n">
        <v>45170</v>
      </c>
      <c r="AL629" s="5" t="n">
        <v>204125</v>
      </c>
      <c r="AM629" s="5" t="s">
        <v>182</v>
      </c>
      <c r="AN629" s="24" t="s">
        <v>508</v>
      </c>
      <c r="AQ629" s="5" t="s">
        <v>77</v>
      </c>
      <c r="AR629" s="5" t="s">
        <v>185</v>
      </c>
      <c r="AS629" s="5" t="s">
        <v>73</v>
      </c>
      <c r="AT629" s="5" t="s">
        <v>105</v>
      </c>
      <c r="AU629" s="5" t="s">
        <v>186</v>
      </c>
      <c r="AV629" s="5"/>
      <c r="AW629" s="5" t="s">
        <v>201</v>
      </c>
      <c r="AX629" s="5" t="s">
        <v>79</v>
      </c>
      <c r="AY629" s="5"/>
      <c r="AZ629" s="5" t="s">
        <v>129</v>
      </c>
      <c r="BD629" s="9" t="n">
        <v>45596</v>
      </c>
      <c r="BE629" s="9" t="n">
        <v>45596</v>
      </c>
      <c r="BJ629" s="5" t="n">
        <v>2023</v>
      </c>
      <c r="BK629" s="5" t="s">
        <v>2871</v>
      </c>
    </row>
    <row r="630" customFormat="false" ht="16.5" hidden="false" customHeight="true" outlineLevel="0" collapsed="false">
      <c r="A630" s="5" t="s">
        <v>2872</v>
      </c>
      <c r="B630" s="5" t="s">
        <v>2873</v>
      </c>
      <c r="D630" s="5" t="s">
        <v>62</v>
      </c>
      <c r="E630" s="5" t="n">
        <v>187036</v>
      </c>
      <c r="F630" s="5" t="n">
        <v>187036</v>
      </c>
      <c r="G630" s="5" t="s">
        <v>732</v>
      </c>
      <c r="H630" s="6" t="n">
        <v>205658</v>
      </c>
      <c r="J630" s="7" t="n">
        <f aca="false">E630*1.07</f>
        <v>200128.52</v>
      </c>
      <c r="K630" s="7" t="n">
        <f aca="false">F630*1.07</f>
        <v>200128.52</v>
      </c>
      <c r="L630" s="5" t="s">
        <v>84</v>
      </c>
      <c r="N630" s="8" t="s">
        <v>2874</v>
      </c>
      <c r="O630" s="5" t="s">
        <v>2875</v>
      </c>
      <c r="P630" s="5"/>
      <c r="Q630" s="5"/>
      <c r="R630" s="5" t="s">
        <v>2622</v>
      </c>
      <c r="T630" s="5" t="s">
        <v>2876</v>
      </c>
      <c r="V630" s="5" t="s">
        <v>2877</v>
      </c>
      <c r="X630" s="5" t="s">
        <v>737</v>
      </c>
      <c r="Y630" s="5" t="s">
        <v>73</v>
      </c>
      <c r="AI630" s="9" t="n">
        <v>44805</v>
      </c>
      <c r="AL630" s="5" t="n">
        <v>205658</v>
      </c>
      <c r="AM630" s="5" t="s">
        <v>2709</v>
      </c>
      <c r="AN630" s="5"/>
      <c r="AQ630" s="5" t="s">
        <v>77</v>
      </c>
      <c r="AR630" s="5" t="s">
        <v>737</v>
      </c>
      <c r="AS630" s="5" t="s">
        <v>73</v>
      </c>
      <c r="AT630" s="5" t="s">
        <v>78</v>
      </c>
      <c r="AW630" s="5" t="s">
        <v>94</v>
      </c>
      <c r="AX630" s="10" t="str">
        <f aca="false" t="array" ref="AX630:AX630">IFERROR(INDEX('full database 2024'!ar:ar, MATCH(A630, 'full database 2024'!b:b, 0)), "")</f>
        <v/>
      </c>
      <c r="AZ630" s="5" t="s">
        <v>129</v>
      </c>
      <c r="BD630" s="9" t="n">
        <v>45632</v>
      </c>
      <c r="BE630" s="9" t="n">
        <v>45632</v>
      </c>
      <c r="BJ630" s="5" t="n">
        <v>2022</v>
      </c>
      <c r="BK630" s="5" t="s">
        <v>2878</v>
      </c>
    </row>
    <row r="631" customFormat="false" ht="16.5" hidden="false" customHeight="true" outlineLevel="0" collapsed="false">
      <c r="A631" s="5" t="s">
        <v>2879</v>
      </c>
      <c r="B631" s="5" t="s">
        <v>2880</v>
      </c>
      <c r="D631" s="5" t="s">
        <v>62</v>
      </c>
      <c r="E631" s="5" t="n">
        <v>181153</v>
      </c>
      <c r="F631" s="5" t="n">
        <v>181153</v>
      </c>
      <c r="G631" s="5" t="s">
        <v>147</v>
      </c>
      <c r="H631" s="6" t="n">
        <v>196089</v>
      </c>
      <c r="J631" s="7" t="n">
        <v>181153</v>
      </c>
      <c r="K631" s="7" t="n">
        <v>181153</v>
      </c>
      <c r="L631" s="5" t="s">
        <v>84</v>
      </c>
      <c r="M631" s="5" t="s">
        <v>65</v>
      </c>
      <c r="N631" s="8" t="s">
        <v>2881</v>
      </c>
      <c r="O631" s="5" t="s">
        <v>2882</v>
      </c>
      <c r="P631" s="5"/>
      <c r="Q631" s="5"/>
      <c r="R631" s="5" t="s">
        <v>486</v>
      </c>
      <c r="V631" s="5" t="s">
        <v>2883</v>
      </c>
      <c r="X631" s="5" t="s">
        <v>257</v>
      </c>
      <c r="Y631" s="5" t="s">
        <v>73</v>
      </c>
      <c r="Z631" s="5" t="s">
        <v>2884</v>
      </c>
      <c r="AE631" s="5" t="s">
        <v>2885</v>
      </c>
      <c r="AI631" s="9" t="n">
        <v>45789</v>
      </c>
      <c r="AL631" s="5" t="n">
        <v>196089</v>
      </c>
      <c r="AM631" s="5" t="s">
        <v>182</v>
      </c>
      <c r="AN631" s="24" t="s">
        <v>508</v>
      </c>
      <c r="AQ631" s="5" t="s">
        <v>77</v>
      </c>
      <c r="AR631" s="5" t="s">
        <v>185</v>
      </c>
      <c r="AS631" s="5" t="s">
        <v>73</v>
      </c>
      <c r="AT631" s="5" t="s">
        <v>78</v>
      </c>
      <c r="AU631" s="10"/>
      <c r="AW631" s="5" t="s">
        <v>201</v>
      </c>
      <c r="AX631" s="5" t="s">
        <v>218</v>
      </c>
      <c r="AY631" s="5"/>
      <c r="AZ631" s="5" t="s">
        <v>129</v>
      </c>
      <c r="BD631" s="9" t="n">
        <v>45607</v>
      </c>
      <c r="BE631" s="9" t="n">
        <v>45747</v>
      </c>
      <c r="BJ631" s="5" t="n">
        <v>2025</v>
      </c>
      <c r="BK631" s="11" t="n">
        <v>46696</v>
      </c>
    </row>
    <row r="632" customFormat="false" ht="16.5" hidden="false" customHeight="true" outlineLevel="0" collapsed="false">
      <c r="A632" s="10" t="s">
        <v>982</v>
      </c>
      <c r="D632" s="5" t="s">
        <v>62</v>
      </c>
      <c r="E632" s="5" t="n">
        <v>140290</v>
      </c>
      <c r="F632" s="5" t="n">
        <v>140290</v>
      </c>
      <c r="G632" s="5" t="s">
        <v>147</v>
      </c>
      <c r="H632" s="6" t="n">
        <v>152916</v>
      </c>
      <c r="I632" s="6" t="n">
        <v>152916</v>
      </c>
      <c r="J632" s="7" t="n">
        <v>140290</v>
      </c>
      <c r="K632" s="7" t="n">
        <v>140290</v>
      </c>
      <c r="L632" s="5" t="s">
        <v>84</v>
      </c>
      <c r="M632" s="5" t="s">
        <v>65</v>
      </c>
      <c r="V632" s="5" t="s">
        <v>2886</v>
      </c>
      <c r="Y632" s="5" t="s">
        <v>73</v>
      </c>
      <c r="AL632" s="5" t="n">
        <v>152916</v>
      </c>
      <c r="AM632" s="5" t="s">
        <v>821</v>
      </c>
      <c r="AN632" s="5"/>
      <c r="AQ632" s="5" t="s">
        <v>77</v>
      </c>
      <c r="AR632" s="5" t="s">
        <v>151</v>
      </c>
      <c r="AS632" s="5" t="s">
        <v>73</v>
      </c>
      <c r="AT632" s="5" t="s">
        <v>78</v>
      </c>
      <c r="AW632" s="5" t="s">
        <v>94</v>
      </c>
      <c r="AX632" s="10" t="str">
        <f aca="false" t="array" ref="AX632:AX632">IFERROR(INDEX('full database 2024'!ar:ar, MATCH(A632, 'full database 2024'!b:b, 0)), "")</f>
        <v/>
      </c>
      <c r="AZ632" s="5" t="s">
        <v>129</v>
      </c>
      <c r="BD632" s="9" t="n">
        <v>45596</v>
      </c>
      <c r="BE632" s="9" t="n">
        <v>45596</v>
      </c>
      <c r="BJ632" s="5" t="n">
        <v>2024</v>
      </c>
    </row>
    <row r="633" customFormat="false" ht="16.5" hidden="false" customHeight="true" outlineLevel="0" collapsed="false">
      <c r="A633" s="10" t="s">
        <v>2887</v>
      </c>
      <c r="B633" s="5" t="s">
        <v>2888</v>
      </c>
      <c r="D633" s="5" t="s">
        <v>62</v>
      </c>
      <c r="E633" s="16" t="n">
        <v>130444</v>
      </c>
      <c r="F633" s="16" t="n">
        <v>130444</v>
      </c>
      <c r="G633" s="5" t="s">
        <v>132</v>
      </c>
      <c r="H633" s="6" t="n">
        <v>162161</v>
      </c>
      <c r="J633" s="7" t="n">
        <f aca="false">E633*1.19</f>
        <v>155228.36</v>
      </c>
      <c r="K633" s="7" t="n">
        <f aca="false">F633*1.19</f>
        <v>155228.36</v>
      </c>
      <c r="L633" s="5" t="s">
        <v>84</v>
      </c>
      <c r="N633" s="8" t="s">
        <v>2889</v>
      </c>
      <c r="O633" s="5" t="s">
        <v>2890</v>
      </c>
      <c r="P633" s="5"/>
      <c r="Q633" s="5"/>
      <c r="R633" s="5" t="s">
        <v>486</v>
      </c>
      <c r="T633" s="5" t="s">
        <v>2891</v>
      </c>
      <c r="V633" s="5" t="s">
        <v>2892</v>
      </c>
      <c r="X633" s="5" t="s">
        <v>139</v>
      </c>
      <c r="Y633" s="5" t="s">
        <v>73</v>
      </c>
      <c r="Z633" s="5" t="s">
        <v>2893</v>
      </c>
      <c r="AI633" s="9" t="n">
        <v>45169</v>
      </c>
      <c r="AL633" s="5" t="n">
        <v>162161</v>
      </c>
      <c r="AM633" s="5" t="s">
        <v>140</v>
      </c>
      <c r="AN633" s="5" t="s">
        <v>699</v>
      </c>
      <c r="AQ633" s="5" t="s">
        <v>77</v>
      </c>
      <c r="AR633" s="5" t="s">
        <v>143</v>
      </c>
      <c r="AS633" s="5" t="s">
        <v>73</v>
      </c>
      <c r="AT633" s="5" t="s">
        <v>78</v>
      </c>
      <c r="AU633" s="10"/>
      <c r="AW633" s="5" t="s">
        <v>94</v>
      </c>
      <c r="AX633" s="5" t="s">
        <v>79</v>
      </c>
      <c r="AY633" s="5"/>
      <c r="AZ633" s="5" t="s">
        <v>309</v>
      </c>
      <c r="BD633" s="9" t="n">
        <v>45596</v>
      </c>
      <c r="BE633" s="9" t="n">
        <v>45596</v>
      </c>
      <c r="BJ633" s="5" t="n">
        <v>2024</v>
      </c>
      <c r="BK633" s="5" t="s">
        <v>2830</v>
      </c>
    </row>
    <row r="634" customFormat="false" ht="16.5" hidden="false" customHeight="true" outlineLevel="0" collapsed="false">
      <c r="A634" s="10" t="s">
        <v>2894</v>
      </c>
      <c r="B634" s="5" t="s">
        <v>2895</v>
      </c>
      <c r="D634" s="5" t="s">
        <v>62</v>
      </c>
      <c r="E634" s="16" t="n">
        <v>125000</v>
      </c>
      <c r="F634" s="16" t="n">
        <v>125000</v>
      </c>
      <c r="G634" s="5" t="s">
        <v>132</v>
      </c>
      <c r="H634" s="6" t="n">
        <v>156250</v>
      </c>
      <c r="I634" s="6" t="n">
        <v>125000</v>
      </c>
      <c r="J634" s="7" t="n">
        <f aca="false">E634*1.19</f>
        <v>148750</v>
      </c>
      <c r="K634" s="7" t="n">
        <f aca="false">F634*1.19</f>
        <v>148750</v>
      </c>
      <c r="L634" s="5" t="s">
        <v>84</v>
      </c>
      <c r="M634" s="5" t="s">
        <v>65</v>
      </c>
      <c r="N634" s="8" t="s">
        <v>2896</v>
      </c>
      <c r="O634" s="5" t="s">
        <v>2897</v>
      </c>
      <c r="T634" s="5" t="s">
        <v>2898</v>
      </c>
      <c r="U634" s="5" t="s">
        <v>69</v>
      </c>
      <c r="V634" s="5" t="s">
        <v>1139</v>
      </c>
      <c r="W634" s="5" t="s">
        <v>90</v>
      </c>
      <c r="X634" s="5" t="s">
        <v>139</v>
      </c>
      <c r="Y634" s="5" t="s">
        <v>73</v>
      </c>
      <c r="Z634" s="5" t="s">
        <v>70</v>
      </c>
      <c r="AD634" s="5" t="s">
        <v>70</v>
      </c>
      <c r="AE634" s="5" t="s">
        <v>117</v>
      </c>
      <c r="AI634" s="9" t="n">
        <v>44835</v>
      </c>
      <c r="AJ634" s="5" t="n">
        <v>4</v>
      </c>
      <c r="AK634" s="5" t="s">
        <v>75</v>
      </c>
      <c r="AL634" s="5" t="n">
        <v>39063</v>
      </c>
      <c r="AM634" s="5" t="s">
        <v>140</v>
      </c>
      <c r="AN634" s="5" t="s">
        <v>141</v>
      </c>
      <c r="AO634" s="5" t="s">
        <v>1760</v>
      </c>
      <c r="AQ634" s="5" t="s">
        <v>77</v>
      </c>
      <c r="AR634" s="5" t="s">
        <v>143</v>
      </c>
      <c r="AS634" s="5" t="s">
        <v>73</v>
      </c>
      <c r="AT634" s="5" t="s">
        <v>374</v>
      </c>
      <c r="AW634" s="5" t="s">
        <v>201</v>
      </c>
      <c r="AX634" s="10" t="str">
        <f aca="false" t="array" ref="AX634:AX634">IFERROR(INDEX('full database 2024'!ar:ar, MATCH(A634, 'full database 2024'!b:b, 0)), "")</f>
        <v/>
      </c>
      <c r="AZ634" s="5" t="s">
        <v>239</v>
      </c>
      <c r="BD634" s="9" t="n">
        <v>45435</v>
      </c>
      <c r="BE634" s="9" t="n">
        <v>45779</v>
      </c>
      <c r="BJ634" s="5" t="n">
        <v>2024</v>
      </c>
    </row>
    <row r="635" customFormat="false" ht="16.5" hidden="false" customHeight="true" outlineLevel="0" collapsed="false">
      <c r="A635" s="5" t="s">
        <v>2899</v>
      </c>
      <c r="B635" s="5" t="s">
        <v>2900</v>
      </c>
      <c r="D635" s="5" t="s">
        <v>62</v>
      </c>
      <c r="E635" s="16" t="n">
        <v>117091</v>
      </c>
      <c r="F635" s="16" t="n">
        <v>117091</v>
      </c>
      <c r="G635" s="5" t="s">
        <v>132</v>
      </c>
      <c r="H635" s="6" t="n">
        <v>148053</v>
      </c>
      <c r="J635" s="7" t="n">
        <f aca="false">E635*1.19</f>
        <v>139338.29</v>
      </c>
      <c r="K635" s="7" t="n">
        <f aca="false">F635*1.19</f>
        <v>139338.29</v>
      </c>
      <c r="L635" s="5" t="s">
        <v>84</v>
      </c>
      <c r="N635" s="8" t="s">
        <v>2901</v>
      </c>
      <c r="O635" s="5" t="s">
        <v>2902</v>
      </c>
      <c r="P635" s="5"/>
      <c r="Q635" s="5"/>
      <c r="R635" s="5" t="s">
        <v>486</v>
      </c>
      <c r="T635" s="5" t="s">
        <v>2903</v>
      </c>
      <c r="V635" s="5" t="s">
        <v>2904</v>
      </c>
      <c r="X635" s="5" t="s">
        <v>139</v>
      </c>
      <c r="Y635" s="5" t="s">
        <v>73</v>
      </c>
      <c r="Z635" s="5" t="s">
        <v>2905</v>
      </c>
      <c r="AI635" s="9" t="n">
        <v>45306</v>
      </c>
      <c r="AL635" s="5" t="n">
        <v>148053</v>
      </c>
      <c r="AM635" s="5" t="s">
        <v>140</v>
      </c>
      <c r="AN635" s="5" t="s">
        <v>141</v>
      </c>
      <c r="AQ635" s="5" t="s">
        <v>77</v>
      </c>
      <c r="AR635" s="5" t="s">
        <v>143</v>
      </c>
      <c r="AS635" s="5" t="s">
        <v>73</v>
      </c>
      <c r="AT635" s="5" t="s">
        <v>374</v>
      </c>
      <c r="AU635" s="10"/>
      <c r="AW635" s="5" t="s">
        <v>201</v>
      </c>
      <c r="AX635" s="5" t="s">
        <v>375</v>
      </c>
      <c r="AY635" s="5"/>
      <c r="AZ635" s="5" t="s">
        <v>107</v>
      </c>
      <c r="BD635" s="9" t="n">
        <v>45607</v>
      </c>
      <c r="BE635" s="9" t="n">
        <v>45779</v>
      </c>
      <c r="BJ635" s="5" t="n">
        <v>2024</v>
      </c>
      <c r="BK635" s="5" t="s">
        <v>2906</v>
      </c>
    </row>
    <row r="636" customFormat="false" ht="16.5" hidden="false" customHeight="true" outlineLevel="0" collapsed="false">
      <c r="A636" s="5" t="s">
        <v>2907</v>
      </c>
      <c r="B636" s="5" t="s">
        <v>2908</v>
      </c>
      <c r="D636" s="5" t="s">
        <v>62</v>
      </c>
      <c r="E636" s="16" t="n">
        <v>100587</v>
      </c>
      <c r="F636" s="16" t="n">
        <v>100587</v>
      </c>
      <c r="G636" s="5" t="s">
        <v>132</v>
      </c>
      <c r="H636" s="6" t="n">
        <v>130808</v>
      </c>
      <c r="J636" s="7" t="n">
        <f aca="false">E636*1.19</f>
        <v>119698.53</v>
      </c>
      <c r="K636" s="7" t="n">
        <f aca="false">F636*1.19</f>
        <v>119698.53</v>
      </c>
      <c r="L636" s="5" t="s">
        <v>84</v>
      </c>
      <c r="N636" s="8" t="s">
        <v>2909</v>
      </c>
      <c r="O636" s="5" t="s">
        <v>2910</v>
      </c>
      <c r="P636" s="5"/>
      <c r="Q636" s="5"/>
      <c r="R636" s="5" t="s">
        <v>486</v>
      </c>
      <c r="S636" s="5" t="s">
        <v>2911</v>
      </c>
      <c r="T636" s="5" t="s">
        <v>2912</v>
      </c>
      <c r="V636" s="5" t="s">
        <v>2913</v>
      </c>
      <c r="X636" s="5" t="s">
        <v>139</v>
      </c>
      <c r="Y636" s="5" t="s">
        <v>73</v>
      </c>
      <c r="Z636" s="5" t="s">
        <v>2914</v>
      </c>
      <c r="AI636" s="9" t="n">
        <v>43738</v>
      </c>
      <c r="AL636" s="5" t="n">
        <v>130808</v>
      </c>
      <c r="AM636" s="5" t="s">
        <v>140</v>
      </c>
      <c r="AN636" s="5" t="s">
        <v>141</v>
      </c>
      <c r="AQ636" s="5" t="s">
        <v>77</v>
      </c>
      <c r="AR636" s="5" t="s">
        <v>143</v>
      </c>
      <c r="AS636" s="5" t="s">
        <v>73</v>
      </c>
      <c r="AT636" s="5" t="s">
        <v>71</v>
      </c>
      <c r="AW636" s="5" t="s">
        <v>201</v>
      </c>
      <c r="AX636" s="10" t="str">
        <f aca="false" t="array" ref="AX636:AX636">IFERROR(INDEX('full database 2024'!ar:ar, MATCH(A636, 'full database 2024'!b:b, 0)), "")</f>
        <v/>
      </c>
      <c r="AZ636" s="5" t="s">
        <v>188</v>
      </c>
      <c r="BD636" s="9" t="n">
        <v>45594</v>
      </c>
      <c r="BE636" s="9" t="n">
        <v>45594</v>
      </c>
      <c r="BJ636" s="5" t="n">
        <v>2024</v>
      </c>
      <c r="BK636" s="5" t="s">
        <v>2915</v>
      </c>
    </row>
    <row r="637" customFormat="false" ht="16.5" hidden="false" customHeight="true" outlineLevel="0" collapsed="false">
      <c r="A637" s="10" t="s">
        <v>2916</v>
      </c>
      <c r="B637" s="5" t="s">
        <v>2917</v>
      </c>
      <c r="D637" s="5" t="s">
        <v>62</v>
      </c>
      <c r="E637" s="16" t="n">
        <v>99790</v>
      </c>
      <c r="F637" s="16" t="n">
        <v>99790</v>
      </c>
      <c r="G637" s="5" t="s">
        <v>132</v>
      </c>
      <c r="H637" s="6" t="n">
        <v>126187</v>
      </c>
      <c r="J637" s="7" t="n">
        <f aca="false">E637*1.19</f>
        <v>118750.1</v>
      </c>
      <c r="K637" s="7" t="n">
        <f aca="false">F637*1.19</f>
        <v>118750.1</v>
      </c>
      <c r="L637" s="5" t="s">
        <v>84</v>
      </c>
      <c r="N637" s="8" t="s">
        <v>2918</v>
      </c>
      <c r="O637" s="5" t="s">
        <v>2919</v>
      </c>
      <c r="P637" s="5"/>
      <c r="Q637" s="5"/>
      <c r="R637" s="5" t="s">
        <v>2622</v>
      </c>
      <c r="T637" s="5" t="s">
        <v>2920</v>
      </c>
      <c r="V637" s="5" t="s">
        <v>2921</v>
      </c>
      <c r="X637" s="5" t="s">
        <v>139</v>
      </c>
      <c r="Y637" s="5" t="s">
        <v>73</v>
      </c>
      <c r="AI637" s="9" t="n">
        <v>45382</v>
      </c>
      <c r="AL637" s="5" t="n">
        <v>126187</v>
      </c>
      <c r="AM637" s="5" t="s">
        <v>140</v>
      </c>
      <c r="AN637" s="5" t="s">
        <v>699</v>
      </c>
      <c r="AQ637" s="5" t="s">
        <v>77</v>
      </c>
      <c r="AR637" s="5" t="s">
        <v>143</v>
      </c>
      <c r="AS637" s="5" t="s">
        <v>73</v>
      </c>
      <c r="AT637" s="5" t="s">
        <v>78</v>
      </c>
      <c r="AU637" s="10"/>
      <c r="AW637" s="5" t="s">
        <v>94</v>
      </c>
      <c r="AX637" s="5" t="s">
        <v>296</v>
      </c>
      <c r="AY637" s="5" t="s">
        <v>1865</v>
      </c>
      <c r="AZ637" s="5" t="s">
        <v>188</v>
      </c>
      <c r="BD637" s="9" t="n">
        <v>45632</v>
      </c>
      <c r="BE637" s="9" t="n">
        <v>45632</v>
      </c>
      <c r="BJ637" s="5" t="n">
        <v>2024</v>
      </c>
      <c r="BK637" s="5" t="s">
        <v>2448</v>
      </c>
    </row>
    <row r="638" customFormat="false" ht="16.5" hidden="false" customHeight="true" outlineLevel="0" collapsed="false">
      <c r="A638" s="5" t="s">
        <v>2922</v>
      </c>
      <c r="B638" s="5" t="s">
        <v>2923</v>
      </c>
      <c r="D638" s="5" t="s">
        <v>62</v>
      </c>
      <c r="E638" s="16" t="n">
        <v>81265</v>
      </c>
      <c r="F638" s="16" t="n">
        <v>81265</v>
      </c>
      <c r="G638" s="5" t="s">
        <v>132</v>
      </c>
      <c r="H638" s="6" t="n">
        <v>124200</v>
      </c>
      <c r="J638" s="7" t="n">
        <f aca="false">E638*1.19</f>
        <v>96705.35</v>
      </c>
      <c r="K638" s="7" t="n">
        <f aca="false">F638*1.19</f>
        <v>96705.35</v>
      </c>
      <c r="L638" s="5" t="s">
        <v>84</v>
      </c>
      <c r="N638" s="8" t="s">
        <v>2924</v>
      </c>
      <c r="O638" s="5" t="s">
        <v>2925</v>
      </c>
      <c r="V638" s="5" t="s">
        <v>2926</v>
      </c>
      <c r="X638" s="5" t="s">
        <v>139</v>
      </c>
      <c r="Y638" s="5" t="s">
        <v>73</v>
      </c>
      <c r="AI638" s="9" t="n">
        <v>42185</v>
      </c>
      <c r="AL638" s="5" t="n">
        <v>124200</v>
      </c>
      <c r="AM638" s="5" t="s">
        <v>140</v>
      </c>
      <c r="AN638" s="5" t="s">
        <v>699</v>
      </c>
      <c r="AQ638" s="5" t="s">
        <v>77</v>
      </c>
      <c r="AR638" s="5" t="s">
        <v>143</v>
      </c>
      <c r="AS638" s="5" t="s">
        <v>73</v>
      </c>
      <c r="AT638" s="5" t="s">
        <v>105</v>
      </c>
      <c r="AU638" s="10" t="s">
        <v>186</v>
      </c>
      <c r="AW638" s="5" t="s">
        <v>94</v>
      </c>
      <c r="AX638" s="10" t="str">
        <f aca="false" t="array" ref="AX638:AX638">IFERROR(INDEX('full database 2024'!ar:ar, MATCH(A638, 'full database 2024'!b:b, 0)), "")</f>
        <v/>
      </c>
      <c r="AZ638" s="5" t="s">
        <v>129</v>
      </c>
      <c r="BD638" s="9" t="n">
        <v>45695</v>
      </c>
      <c r="BE638" s="9" t="n">
        <v>45733</v>
      </c>
      <c r="BJ638" s="5" t="n">
        <v>2024</v>
      </c>
      <c r="BK638" s="5" t="s">
        <v>2927</v>
      </c>
    </row>
    <row r="639" customFormat="false" ht="16.5" hidden="false" customHeight="true" outlineLevel="0" collapsed="false">
      <c r="A639" s="5" t="s">
        <v>2928</v>
      </c>
      <c r="B639" s="5" t="s">
        <v>2929</v>
      </c>
      <c r="D639" s="5" t="s">
        <v>62</v>
      </c>
      <c r="E639" s="5" t="n">
        <v>75000</v>
      </c>
      <c r="F639" s="5" t="n">
        <v>75000</v>
      </c>
      <c r="G639" s="5" t="s">
        <v>147</v>
      </c>
      <c r="H639" s="6" t="n">
        <v>81169</v>
      </c>
      <c r="J639" s="7" t="n">
        <v>75000</v>
      </c>
      <c r="K639" s="7" t="n">
        <v>75000</v>
      </c>
      <c r="L639" s="5" t="s">
        <v>84</v>
      </c>
      <c r="N639" s="8" t="s">
        <v>2930</v>
      </c>
      <c r="O639" s="5" t="s">
        <v>2931</v>
      </c>
      <c r="P639" s="5"/>
      <c r="Q639" s="5"/>
      <c r="R639" s="5" t="s">
        <v>486</v>
      </c>
      <c r="V639" s="5" t="s">
        <v>2932</v>
      </c>
      <c r="X639" s="5" t="s">
        <v>180</v>
      </c>
      <c r="Y639" s="5" t="s">
        <v>73</v>
      </c>
      <c r="AI639" s="9" t="n">
        <v>45173</v>
      </c>
      <c r="AL639" s="5" t="n">
        <v>81169</v>
      </c>
      <c r="AM639" s="5" t="s">
        <v>182</v>
      </c>
      <c r="AN639" s="24" t="s">
        <v>2933</v>
      </c>
      <c r="AQ639" s="5" t="s">
        <v>77</v>
      </c>
      <c r="AR639" s="5" t="s">
        <v>185</v>
      </c>
      <c r="AS639" s="5" t="s">
        <v>73</v>
      </c>
      <c r="AT639" s="5" t="s">
        <v>105</v>
      </c>
      <c r="AU639" s="10" t="s">
        <v>106</v>
      </c>
      <c r="AV639" s="10"/>
      <c r="AW639" s="5" t="s">
        <v>94</v>
      </c>
      <c r="AX639" s="5" t="s">
        <v>296</v>
      </c>
      <c r="AY639" s="5" t="s">
        <v>297</v>
      </c>
      <c r="AZ639" s="5" t="s">
        <v>540</v>
      </c>
      <c r="BD639" s="9" t="n">
        <v>45596</v>
      </c>
      <c r="BE639" s="9" t="n">
        <v>45779</v>
      </c>
      <c r="BJ639" s="5" t="n">
        <v>2023</v>
      </c>
      <c r="BK639" s="11" t="n">
        <v>45360</v>
      </c>
    </row>
    <row r="640" customFormat="false" ht="16.5" hidden="false" customHeight="true" outlineLevel="0" collapsed="false">
      <c r="A640" s="5" t="s">
        <v>2934</v>
      </c>
      <c r="B640" s="5" t="s">
        <v>2935</v>
      </c>
      <c r="D640" s="5" t="s">
        <v>62</v>
      </c>
      <c r="E640" s="5" t="n">
        <v>50000</v>
      </c>
      <c r="F640" s="5" t="n">
        <v>50000</v>
      </c>
      <c r="G640" s="5" t="s">
        <v>147</v>
      </c>
      <c r="H640" s="6" t="n">
        <v>58998</v>
      </c>
      <c r="J640" s="7" t="n">
        <v>50000</v>
      </c>
      <c r="K640" s="7" t="n">
        <v>50000</v>
      </c>
      <c r="L640" s="5" t="s">
        <v>84</v>
      </c>
      <c r="N640" s="8" t="s">
        <v>2936</v>
      </c>
      <c r="O640" s="5" t="s">
        <v>2937</v>
      </c>
      <c r="P640" s="5"/>
      <c r="Q640" s="5"/>
      <c r="R640" s="5" t="s">
        <v>486</v>
      </c>
      <c r="V640" s="5" t="s">
        <v>2938</v>
      </c>
      <c r="X640" s="5" t="s">
        <v>975</v>
      </c>
      <c r="Y640" s="5" t="s">
        <v>73</v>
      </c>
      <c r="AI640" s="9" t="n">
        <v>43252</v>
      </c>
      <c r="AL640" s="5" t="n">
        <v>58998</v>
      </c>
      <c r="AM640" s="5" t="s">
        <v>182</v>
      </c>
      <c r="AN640" s="5" t="s">
        <v>446</v>
      </c>
      <c r="AQ640" s="5" t="s">
        <v>77</v>
      </c>
      <c r="AR640" s="5" t="s">
        <v>185</v>
      </c>
      <c r="AS640" s="5" t="s">
        <v>73</v>
      </c>
      <c r="AT640" s="5" t="s">
        <v>78</v>
      </c>
      <c r="AW640" s="5" t="s">
        <v>94</v>
      </c>
      <c r="AX640" s="10" t="str">
        <f aca="false">IFERROR(INDEX('full database 2024'!ar:ar, MATCH(A640, 'full database 2024'!b:b, 0)), "")</f>
        <v/>
      </c>
      <c r="AZ640" s="5" t="s">
        <v>129</v>
      </c>
      <c r="BD640" s="9" t="n">
        <v>45593</v>
      </c>
      <c r="BE640" s="9" t="n">
        <v>45593</v>
      </c>
      <c r="BJ640" s="5" t="n">
        <v>2018</v>
      </c>
      <c r="BK640" s="5" t="s">
        <v>2939</v>
      </c>
    </row>
    <row r="641" customFormat="false" ht="16.5" hidden="false" customHeight="true" outlineLevel="0" collapsed="false">
      <c r="A641" s="5" t="s">
        <v>2940</v>
      </c>
      <c r="B641" s="5" t="s">
        <v>2941</v>
      </c>
      <c r="D641" s="5" t="s">
        <v>62</v>
      </c>
      <c r="E641" s="16" t="n">
        <v>50000</v>
      </c>
      <c r="F641" s="16" t="n">
        <v>50000</v>
      </c>
      <c r="G641" s="5" t="s">
        <v>132</v>
      </c>
      <c r="H641" s="6" t="n">
        <v>62158</v>
      </c>
      <c r="J641" s="7" t="n">
        <f aca="false">E641*1.19</f>
        <v>59500</v>
      </c>
      <c r="K641" s="7" t="n">
        <f aca="false">F641*1.19</f>
        <v>59500</v>
      </c>
      <c r="L641" s="5" t="s">
        <v>84</v>
      </c>
      <c r="N641" s="8" t="s">
        <v>2942</v>
      </c>
      <c r="O641" s="5" t="s">
        <v>2943</v>
      </c>
      <c r="P641" s="5"/>
      <c r="Q641" s="5"/>
      <c r="R641" s="5" t="s">
        <v>486</v>
      </c>
      <c r="T641" s="5" t="s">
        <v>2944</v>
      </c>
      <c r="V641" s="5" t="s">
        <v>2945</v>
      </c>
      <c r="X641" s="5" t="s">
        <v>139</v>
      </c>
      <c r="Y641" s="5" t="s">
        <v>73</v>
      </c>
      <c r="AI641" s="9" t="n">
        <v>45077</v>
      </c>
      <c r="AL641" s="5" t="n">
        <v>62158</v>
      </c>
      <c r="AM641" s="5" t="s">
        <v>140</v>
      </c>
      <c r="AN641" s="5" t="s">
        <v>699</v>
      </c>
      <c r="AQ641" s="5" t="s">
        <v>77</v>
      </c>
      <c r="AR641" s="5" t="s">
        <v>143</v>
      </c>
      <c r="AS641" s="5" t="s">
        <v>73</v>
      </c>
      <c r="AT641" s="5" t="s">
        <v>105</v>
      </c>
      <c r="AU641" s="10" t="s">
        <v>106</v>
      </c>
      <c r="AW641" s="5" t="s">
        <v>94</v>
      </c>
      <c r="AX641" s="10" t="str">
        <f aca="false">IFERROR(INDEX('full database 2024'!ar:ar, MATCH(A641, 'full database 2024'!b:b, 0)), "")</f>
        <v/>
      </c>
      <c r="AZ641" s="5" t="s">
        <v>540</v>
      </c>
      <c r="BD641" s="9" t="n">
        <v>45596</v>
      </c>
      <c r="BE641" s="9" t="n">
        <v>45596</v>
      </c>
      <c r="BJ641" s="5" t="n">
        <v>2024</v>
      </c>
      <c r="BK641" s="5" t="s">
        <v>2946</v>
      </c>
    </row>
    <row r="642" customFormat="false" ht="16.5" hidden="false" customHeight="true" outlineLevel="0" collapsed="false">
      <c r="A642" s="10" t="s">
        <v>2947</v>
      </c>
      <c r="B642" s="5" t="s">
        <v>2948</v>
      </c>
      <c r="D642" s="5" t="s">
        <v>62</v>
      </c>
      <c r="E642" s="5" t="n">
        <v>49999</v>
      </c>
      <c r="F642" s="5" t="n">
        <v>49999</v>
      </c>
      <c r="G642" s="5" t="s">
        <v>110</v>
      </c>
      <c r="H642" s="6" t="n">
        <v>4698</v>
      </c>
      <c r="J642" s="18" t="n">
        <f aca="false">E642*0.087</f>
        <v>4349.913</v>
      </c>
      <c r="K642" s="18" t="n">
        <f aca="false">F642*0.087</f>
        <v>4349.913</v>
      </c>
      <c r="L642" s="5" t="s">
        <v>84</v>
      </c>
      <c r="N642" s="8" t="s">
        <v>2949</v>
      </c>
      <c r="O642" s="5" t="s">
        <v>2950</v>
      </c>
      <c r="P642" s="5"/>
      <c r="Q642" s="5"/>
      <c r="R642" s="5" t="s">
        <v>486</v>
      </c>
      <c r="T642" s="5" t="s">
        <v>2951</v>
      </c>
      <c r="V642" s="5" t="s">
        <v>2952</v>
      </c>
      <c r="X642" s="5" t="s">
        <v>115</v>
      </c>
      <c r="Y642" s="5" t="s">
        <v>73</v>
      </c>
      <c r="AI642" s="9" t="n">
        <v>45292</v>
      </c>
      <c r="AL642" s="5" t="n">
        <v>4698</v>
      </c>
      <c r="AM642" s="5" t="s">
        <v>173</v>
      </c>
      <c r="AN642" s="5"/>
      <c r="AQ642" s="5" t="s">
        <v>77</v>
      </c>
      <c r="AR642" s="5" t="s">
        <v>115</v>
      </c>
      <c r="AS642" s="5" t="s">
        <v>73</v>
      </c>
      <c r="AT642" s="5" t="s">
        <v>78</v>
      </c>
      <c r="AU642" s="10"/>
      <c r="AW642" s="5" t="s">
        <v>94</v>
      </c>
      <c r="AX642" s="5" t="s">
        <v>79</v>
      </c>
      <c r="AY642" s="5"/>
      <c r="AZ642" s="5" t="s">
        <v>309</v>
      </c>
      <c r="BD642" s="9" t="n">
        <v>45600</v>
      </c>
      <c r="BE642" s="9" t="n">
        <v>45607</v>
      </c>
      <c r="BJ642" s="5" t="n">
        <v>2024</v>
      </c>
      <c r="BK642" s="5" t="s">
        <v>2565</v>
      </c>
    </row>
    <row r="643" customFormat="false" ht="16.5" hidden="false" customHeight="true" outlineLevel="0" collapsed="false">
      <c r="A643" s="5" t="s">
        <v>2953</v>
      </c>
      <c r="B643" s="5" t="s">
        <v>2954</v>
      </c>
      <c r="D643" s="5" t="s">
        <v>62</v>
      </c>
      <c r="E643" s="16" t="n">
        <v>49924</v>
      </c>
      <c r="F643" s="16" t="n">
        <v>49924</v>
      </c>
      <c r="G643" s="5" t="s">
        <v>132</v>
      </c>
      <c r="H643" s="6" t="n">
        <v>62064</v>
      </c>
      <c r="J643" s="7" t="n">
        <f aca="false">E643*1.19</f>
        <v>59409.56</v>
      </c>
      <c r="K643" s="7" t="n">
        <f aca="false">F643*1.19</f>
        <v>59409.56</v>
      </c>
      <c r="L643" s="5" t="s">
        <v>84</v>
      </c>
      <c r="N643" s="8" t="s">
        <v>2955</v>
      </c>
      <c r="O643" s="5" t="s">
        <v>2956</v>
      </c>
      <c r="P643" s="5"/>
      <c r="Q643" s="5"/>
      <c r="R643" s="5" t="s">
        <v>486</v>
      </c>
      <c r="T643" s="5" t="s">
        <v>2957</v>
      </c>
      <c r="V643" s="5" t="s">
        <v>2958</v>
      </c>
      <c r="X643" s="5" t="s">
        <v>139</v>
      </c>
      <c r="Y643" s="5" t="s">
        <v>73</v>
      </c>
      <c r="AI643" s="9" t="n">
        <v>45077</v>
      </c>
      <c r="AL643" s="5" t="n">
        <v>62064</v>
      </c>
      <c r="AM643" s="5" t="s">
        <v>140</v>
      </c>
      <c r="AN643" s="5" t="s">
        <v>699</v>
      </c>
      <c r="AQ643" s="5" t="s">
        <v>77</v>
      </c>
      <c r="AR643" s="5" t="s">
        <v>143</v>
      </c>
      <c r="AS643" s="5" t="s">
        <v>73</v>
      </c>
      <c r="AT643" s="5" t="s">
        <v>105</v>
      </c>
      <c r="AU643" s="10" t="s">
        <v>106</v>
      </c>
      <c r="AW643" s="5" t="s">
        <v>94</v>
      </c>
      <c r="AX643" s="5" t="s">
        <v>375</v>
      </c>
      <c r="AY643" s="5"/>
      <c r="AZ643" s="5" t="s">
        <v>121</v>
      </c>
      <c r="BD643" s="9" t="n">
        <v>45596</v>
      </c>
      <c r="BE643" s="9" t="n">
        <v>45596</v>
      </c>
      <c r="BJ643" s="5" t="n">
        <v>2024</v>
      </c>
      <c r="BK643" s="5" t="s">
        <v>2946</v>
      </c>
    </row>
    <row r="644" customFormat="false" ht="16.5" hidden="false" customHeight="true" outlineLevel="0" collapsed="false">
      <c r="A644" s="5" t="s">
        <v>2959</v>
      </c>
      <c r="B644" s="5" t="s">
        <v>2960</v>
      </c>
      <c r="D644" s="5" t="s">
        <v>62</v>
      </c>
      <c r="E644" s="16" t="n">
        <v>49903</v>
      </c>
      <c r="F644" s="16" t="n">
        <v>49903</v>
      </c>
      <c r="G644" s="5" t="s">
        <v>132</v>
      </c>
      <c r="H644" s="6" t="n">
        <v>62034</v>
      </c>
      <c r="J644" s="7" t="n">
        <f aca="false">E644*1.19</f>
        <v>59384.57</v>
      </c>
      <c r="K644" s="7" t="n">
        <f aca="false">F644*1.19</f>
        <v>59384.57</v>
      </c>
      <c r="L644" s="5" t="s">
        <v>84</v>
      </c>
      <c r="N644" s="8" t="s">
        <v>2961</v>
      </c>
      <c r="O644" s="5" t="s">
        <v>2962</v>
      </c>
      <c r="P644" s="5"/>
      <c r="Q644" s="5"/>
      <c r="R644" s="5" t="s">
        <v>486</v>
      </c>
      <c r="T644" s="5" t="s">
        <v>1148</v>
      </c>
      <c r="V644" s="5" t="s">
        <v>2963</v>
      </c>
      <c r="X644" s="5" t="s">
        <v>139</v>
      </c>
      <c r="Y644" s="5" t="s">
        <v>73</v>
      </c>
      <c r="AI644" s="9" t="n">
        <v>45077</v>
      </c>
      <c r="AL644" s="5" t="n">
        <v>62034</v>
      </c>
      <c r="AM644" s="5" t="s">
        <v>140</v>
      </c>
      <c r="AN644" s="5" t="s">
        <v>699</v>
      </c>
      <c r="AQ644" s="5" t="s">
        <v>77</v>
      </c>
      <c r="AR644" s="5" t="s">
        <v>143</v>
      </c>
      <c r="AS644" s="5" t="s">
        <v>73</v>
      </c>
      <c r="AT644" s="5" t="s">
        <v>78</v>
      </c>
      <c r="AW644" s="5" t="s">
        <v>94</v>
      </c>
      <c r="AX644" s="10" t="str">
        <f aca="false">IFERROR(INDEX('full database 2024'!ar:ar, MATCH(A644, 'full database 2024'!b:b, 0)), "")</f>
        <v/>
      </c>
      <c r="AZ644" s="5" t="s">
        <v>188</v>
      </c>
      <c r="BD644" s="9" t="n">
        <v>45596</v>
      </c>
      <c r="BE644" s="9" t="n">
        <v>45596</v>
      </c>
      <c r="BJ644" s="5" t="n">
        <v>2024</v>
      </c>
      <c r="BK644" s="5" t="s">
        <v>2964</v>
      </c>
    </row>
    <row r="645" customFormat="false" ht="16.5" hidden="false" customHeight="true" outlineLevel="0" collapsed="false">
      <c r="A645" s="10" t="s">
        <v>2965</v>
      </c>
      <c r="B645" s="5" t="s">
        <v>2966</v>
      </c>
      <c r="D645" s="5" t="s">
        <v>62</v>
      </c>
      <c r="E645" s="16" t="n">
        <v>125000</v>
      </c>
      <c r="F645" s="16" t="n">
        <v>100000</v>
      </c>
      <c r="G645" s="5" t="s">
        <v>132</v>
      </c>
      <c r="H645" s="6" t="n">
        <v>0</v>
      </c>
      <c r="I645" s="6" t="n">
        <v>0</v>
      </c>
      <c r="J645" s="7" t="n">
        <f aca="false">E645*1.19</f>
        <v>148750</v>
      </c>
      <c r="K645" s="7" t="n">
        <f aca="false">F645*1.19</f>
        <v>119000</v>
      </c>
      <c r="L645" s="5" t="s">
        <v>84</v>
      </c>
      <c r="N645" s="8" t="s">
        <v>2967</v>
      </c>
      <c r="O645" s="5" t="s">
        <v>2968</v>
      </c>
      <c r="T645" s="5" t="s">
        <v>2969</v>
      </c>
      <c r="U645" s="5" t="s">
        <v>2970</v>
      </c>
      <c r="V645" s="5" t="s">
        <v>1817</v>
      </c>
      <c r="W645" s="5" t="s">
        <v>90</v>
      </c>
      <c r="X645" s="5" t="s">
        <v>139</v>
      </c>
      <c r="Y645" s="5" t="s">
        <v>73</v>
      </c>
      <c r="Z645" s="5" t="s">
        <v>70</v>
      </c>
      <c r="AD645" s="5" t="s">
        <v>70</v>
      </c>
      <c r="AE645" s="5" t="s">
        <v>117</v>
      </c>
      <c r="AI645" s="9" t="n">
        <v>44470</v>
      </c>
      <c r="AJ645" s="5" t="n">
        <v>4</v>
      </c>
      <c r="AK645" s="5" t="s">
        <v>75</v>
      </c>
      <c r="AL645" s="5" t="n">
        <v>0</v>
      </c>
      <c r="AM645" s="5" t="s">
        <v>140</v>
      </c>
      <c r="AN645" s="5" t="s">
        <v>141</v>
      </c>
      <c r="AO645" s="5" t="s">
        <v>1760</v>
      </c>
      <c r="AQ645" s="5" t="s">
        <v>77</v>
      </c>
      <c r="AR645" s="5" t="s">
        <v>143</v>
      </c>
      <c r="AS645" s="5" t="s">
        <v>73</v>
      </c>
      <c r="AT645" s="5" t="s">
        <v>374</v>
      </c>
      <c r="AW645" s="5" t="s">
        <v>201</v>
      </c>
      <c r="AX645" s="10" t="str">
        <f aca="false">IFERROR(INDEX('full database 2024'!ar:ar, MATCH(A645, 'full database 2024'!b:b, 0)), "")</f>
        <v/>
      </c>
      <c r="AZ645" s="5" t="s">
        <v>239</v>
      </c>
      <c r="BD645" s="9" t="n">
        <v>45435</v>
      </c>
      <c r="BE645" s="9" t="n">
        <v>45779</v>
      </c>
      <c r="BJ645" s="5" t="n">
        <v>2024</v>
      </c>
    </row>
    <row r="646" customFormat="false" ht="16.5" hidden="false" customHeight="true" outlineLevel="0" collapsed="false">
      <c r="A646" s="10" t="s">
        <v>2971</v>
      </c>
      <c r="B646" s="5" t="s">
        <v>2972</v>
      </c>
      <c r="D646" s="5" t="s">
        <v>62</v>
      </c>
      <c r="E646" s="16" t="n">
        <v>125000</v>
      </c>
      <c r="F646" s="16" t="n">
        <v>100000</v>
      </c>
      <c r="G646" s="5" t="s">
        <v>132</v>
      </c>
      <c r="H646" s="6" t="n">
        <v>0</v>
      </c>
      <c r="J646" s="7" t="n">
        <f aca="false">E646*1.19</f>
        <v>148750</v>
      </c>
      <c r="K646" s="7" t="n">
        <f aca="false">F646*1.19</f>
        <v>119000</v>
      </c>
      <c r="L646" s="5" t="s">
        <v>84</v>
      </c>
      <c r="N646" s="8" t="s">
        <v>2973</v>
      </c>
      <c r="O646" s="5" t="s">
        <v>2974</v>
      </c>
      <c r="T646" s="5" t="s">
        <v>2975</v>
      </c>
      <c r="U646" s="5" t="s">
        <v>2976</v>
      </c>
      <c r="V646" s="5" t="s">
        <v>1732</v>
      </c>
      <c r="W646" s="5" t="s">
        <v>90</v>
      </c>
      <c r="X646" s="5" t="s">
        <v>139</v>
      </c>
      <c r="Y646" s="5" t="s">
        <v>73</v>
      </c>
      <c r="Z646" s="5" t="s">
        <v>70</v>
      </c>
      <c r="AD646" s="5" t="s">
        <v>70</v>
      </c>
      <c r="AE646" s="5" t="s">
        <v>117</v>
      </c>
      <c r="AI646" s="9" t="n">
        <v>44470</v>
      </c>
      <c r="AJ646" s="5" t="n">
        <v>4</v>
      </c>
      <c r="AK646" s="5" t="s">
        <v>75</v>
      </c>
      <c r="AL646" s="5" t="n">
        <v>0</v>
      </c>
      <c r="AM646" s="5" t="s">
        <v>140</v>
      </c>
      <c r="AN646" s="5" t="s">
        <v>199</v>
      </c>
      <c r="AO646" s="5" t="s">
        <v>1760</v>
      </c>
      <c r="AQ646" s="5" t="s">
        <v>77</v>
      </c>
      <c r="AR646" s="5" t="s">
        <v>143</v>
      </c>
      <c r="AS646" s="5" t="s">
        <v>73</v>
      </c>
      <c r="AT646" s="5" t="s">
        <v>374</v>
      </c>
      <c r="AW646" s="5" t="s">
        <v>201</v>
      </c>
      <c r="AX646" s="10" t="str">
        <f aca="false">IFERROR(INDEX('full database 2024'!ar:ar, MATCH(A646, 'full database 2024'!b:b, 0)), "")</f>
        <v/>
      </c>
      <c r="AZ646" s="5" t="s">
        <v>239</v>
      </c>
      <c r="BD646" s="9" t="n">
        <v>45435</v>
      </c>
      <c r="BE646" s="9" t="n">
        <v>45779</v>
      </c>
      <c r="BJ646" s="5" t="n">
        <v>2024</v>
      </c>
    </row>
    <row r="647" customFormat="false" ht="16.5" hidden="false" customHeight="true" outlineLevel="0" collapsed="false">
      <c r="A647" s="5" t="s">
        <v>2977</v>
      </c>
      <c r="B647" s="5" t="s">
        <v>2978</v>
      </c>
      <c r="D647" s="5" t="s">
        <v>62</v>
      </c>
      <c r="E647" s="5" t="n">
        <v>0</v>
      </c>
      <c r="H647" s="6" t="n">
        <v>0</v>
      </c>
      <c r="J647" s="18"/>
      <c r="K647" s="18"/>
      <c r="L647" s="5" t="s">
        <v>84</v>
      </c>
      <c r="N647" s="5" t="s">
        <v>2979</v>
      </c>
      <c r="O647" s="5" t="s">
        <v>2980</v>
      </c>
      <c r="P647" s="5"/>
      <c r="Q647" s="5"/>
      <c r="R647" s="5" t="s">
        <v>486</v>
      </c>
      <c r="S647" s="5" t="s">
        <v>2981</v>
      </c>
      <c r="T647" s="5" t="s">
        <v>2446</v>
      </c>
      <c r="V647" s="5" t="s">
        <v>2982</v>
      </c>
      <c r="X647" s="5" t="s">
        <v>271</v>
      </c>
      <c r="Y647" s="5" t="s">
        <v>73</v>
      </c>
      <c r="Z647" s="5" t="s">
        <v>2983</v>
      </c>
      <c r="AI647" s="9" t="n">
        <v>43880</v>
      </c>
      <c r="AL647" s="5" t="n">
        <v>0</v>
      </c>
      <c r="AM647" s="5" t="s">
        <v>2984</v>
      </c>
      <c r="AN647" s="5"/>
      <c r="AQ647" s="5" t="s">
        <v>77</v>
      </c>
      <c r="AR647" s="5" t="s">
        <v>271</v>
      </c>
      <c r="AS647" s="5" t="s">
        <v>73</v>
      </c>
      <c r="AT647" s="5" t="s">
        <v>105</v>
      </c>
      <c r="AU647" s="5" t="s">
        <v>186</v>
      </c>
      <c r="AV647" s="10" t="s">
        <v>569</v>
      </c>
      <c r="AW647" s="5" t="s">
        <v>94</v>
      </c>
      <c r="AX647" s="5" t="s">
        <v>79</v>
      </c>
      <c r="AY647" s="5"/>
      <c r="AZ647" s="5" t="s">
        <v>129</v>
      </c>
      <c r="BD647" s="9" t="n">
        <v>45594</v>
      </c>
      <c r="BE647" s="9" t="n">
        <v>45594</v>
      </c>
      <c r="BJ647" s="5" t="n">
        <v>2020</v>
      </c>
      <c r="BK647" s="11" t="n">
        <v>44110</v>
      </c>
    </row>
    <row r="648" customFormat="false" ht="16.5" hidden="false" customHeight="true" outlineLevel="0" collapsed="false">
      <c r="A648" s="5" t="s">
        <v>2985</v>
      </c>
      <c r="B648" s="5" t="s">
        <v>2986</v>
      </c>
      <c r="D648" s="5" t="s">
        <v>62</v>
      </c>
      <c r="E648" s="16" t="n">
        <v>125000</v>
      </c>
      <c r="F648" s="16" t="n">
        <v>100000</v>
      </c>
      <c r="G648" s="5" t="s">
        <v>132</v>
      </c>
      <c r="H648" s="6" t="n">
        <v>0</v>
      </c>
      <c r="J648" s="7" t="n">
        <f aca="false">E648*1.19</f>
        <v>148750</v>
      </c>
      <c r="K648" s="7" t="n">
        <f aca="false">F648*1.19</f>
        <v>119000</v>
      </c>
      <c r="L648" s="5" t="s">
        <v>84</v>
      </c>
      <c r="N648" s="8" t="s">
        <v>2987</v>
      </c>
      <c r="O648" s="5" t="s">
        <v>2988</v>
      </c>
      <c r="P648" s="5"/>
      <c r="Q648" s="5"/>
      <c r="R648" s="5" t="s">
        <v>486</v>
      </c>
      <c r="T648" s="5" t="s">
        <v>2989</v>
      </c>
      <c r="V648" s="5" t="s">
        <v>1767</v>
      </c>
      <c r="X648" s="5" t="s">
        <v>139</v>
      </c>
      <c r="Y648" s="5" t="s">
        <v>73</v>
      </c>
      <c r="Z648" s="5" t="s">
        <v>2990</v>
      </c>
      <c r="AI648" s="9" t="n">
        <v>44822</v>
      </c>
      <c r="AL648" s="5" t="n">
        <v>0</v>
      </c>
      <c r="AM648" s="5" t="s">
        <v>140</v>
      </c>
      <c r="AN648" s="5" t="s">
        <v>2121</v>
      </c>
      <c r="AQ648" s="5" t="s">
        <v>77</v>
      </c>
      <c r="AR648" s="5" t="s">
        <v>143</v>
      </c>
      <c r="AS648" s="5" t="s">
        <v>73</v>
      </c>
      <c r="AT648" s="5" t="s">
        <v>78</v>
      </c>
      <c r="AW648" s="5" t="s">
        <v>201</v>
      </c>
      <c r="AX648" s="10" t="str">
        <f aca="false" t="array" ref="AX648:AX648">IFERROR(INDEX('full database 2024'!ar:ar, MATCH(A648, 'full database 2024'!b:b, 0)), "")</f>
        <v/>
      </c>
      <c r="AZ648" s="5" t="s">
        <v>129</v>
      </c>
      <c r="BD648" s="9" t="n">
        <v>45595</v>
      </c>
      <c r="BE648" s="9" t="n">
        <v>45595</v>
      </c>
      <c r="BJ648" s="5" t="n">
        <v>2024</v>
      </c>
      <c r="BK648" s="5" t="s">
        <v>1852</v>
      </c>
    </row>
    <row r="649" customFormat="false" ht="16.5" hidden="false" customHeight="true" outlineLevel="0" collapsed="false">
      <c r="A649" s="5" t="s">
        <v>2991</v>
      </c>
      <c r="B649" s="5" t="s">
        <v>2992</v>
      </c>
      <c r="D649" s="5" t="s">
        <v>62</v>
      </c>
      <c r="E649" s="16" t="n">
        <v>125000</v>
      </c>
      <c r="F649" s="16" t="n">
        <v>100000</v>
      </c>
      <c r="G649" s="5" t="s">
        <v>132</v>
      </c>
      <c r="H649" s="6" t="n">
        <v>0</v>
      </c>
      <c r="J649" s="7" t="n">
        <f aca="false">E649*1.19</f>
        <v>148750</v>
      </c>
      <c r="K649" s="7" t="n">
        <f aca="false">F649*1.19</f>
        <v>119000</v>
      </c>
      <c r="L649" s="5" t="s">
        <v>84</v>
      </c>
      <c r="N649" s="8" t="s">
        <v>2993</v>
      </c>
      <c r="O649" s="5" t="s">
        <v>2994</v>
      </c>
      <c r="P649" s="5"/>
      <c r="Q649" s="5"/>
      <c r="R649" s="5" t="s">
        <v>486</v>
      </c>
      <c r="T649" s="5" t="s">
        <v>2995</v>
      </c>
      <c r="V649" s="5" t="s">
        <v>2996</v>
      </c>
      <c r="X649" s="5" t="s">
        <v>139</v>
      </c>
      <c r="Y649" s="5" t="s">
        <v>73</v>
      </c>
      <c r="Z649" s="5" t="s">
        <v>2997</v>
      </c>
      <c r="AI649" s="9" t="n">
        <v>44829</v>
      </c>
      <c r="AL649" s="5" t="n">
        <v>0</v>
      </c>
      <c r="AM649" s="5" t="s">
        <v>140</v>
      </c>
      <c r="AN649" s="5" t="s">
        <v>199</v>
      </c>
      <c r="AQ649" s="5" t="s">
        <v>77</v>
      </c>
      <c r="AR649" s="5" t="s">
        <v>143</v>
      </c>
      <c r="AS649" s="5" t="s">
        <v>73</v>
      </c>
      <c r="AT649" s="5" t="s">
        <v>374</v>
      </c>
      <c r="AU649" s="10"/>
      <c r="AW649" s="5" t="s">
        <v>201</v>
      </c>
      <c r="AX649" s="5" t="s">
        <v>79</v>
      </c>
      <c r="AY649" s="5"/>
      <c r="AZ649" s="5" t="s">
        <v>534</v>
      </c>
      <c r="BD649" s="9" t="n">
        <v>45595</v>
      </c>
      <c r="BE649" s="9" t="n">
        <v>45595</v>
      </c>
      <c r="BJ649" s="5" t="n">
        <v>2024</v>
      </c>
      <c r="BK649" s="5" t="s">
        <v>2998</v>
      </c>
    </row>
    <row r="650" customFormat="false" ht="16.5" hidden="false" customHeight="true" outlineLevel="0" collapsed="false">
      <c r="A650" s="5" t="s">
        <v>2999</v>
      </c>
      <c r="B650" s="5" t="s">
        <v>3000</v>
      </c>
      <c r="D650" s="5" t="s">
        <v>62</v>
      </c>
      <c r="E650" s="16" t="n">
        <v>125000</v>
      </c>
      <c r="F650" s="16" t="n">
        <v>100000</v>
      </c>
      <c r="G650" s="5" t="s">
        <v>132</v>
      </c>
      <c r="H650" s="6" t="n">
        <v>0</v>
      </c>
      <c r="J650" s="7" t="n">
        <f aca="false">E650*1.19</f>
        <v>148750</v>
      </c>
      <c r="K650" s="7" t="n">
        <f aca="false">F650*1.19</f>
        <v>119000</v>
      </c>
      <c r="L650" s="5" t="s">
        <v>84</v>
      </c>
      <c r="N650" s="8" t="s">
        <v>3001</v>
      </c>
      <c r="O650" s="5" t="s">
        <v>3002</v>
      </c>
      <c r="P650" s="5"/>
      <c r="Q650" s="5"/>
      <c r="R650" s="5" t="s">
        <v>486</v>
      </c>
      <c r="T650" s="5" t="s">
        <v>3003</v>
      </c>
      <c r="V650" s="5" t="s">
        <v>3004</v>
      </c>
      <c r="X650" s="5" t="s">
        <v>139</v>
      </c>
      <c r="Y650" s="5" t="s">
        <v>73</v>
      </c>
      <c r="Z650" s="5" t="s">
        <v>3005</v>
      </c>
      <c r="AI650" s="9" t="n">
        <v>45199</v>
      </c>
      <c r="AL650" s="5" t="n">
        <v>0</v>
      </c>
      <c r="AM650" s="5" t="s">
        <v>140</v>
      </c>
      <c r="AN650" s="5" t="s">
        <v>141</v>
      </c>
      <c r="AQ650" s="5" t="s">
        <v>77</v>
      </c>
      <c r="AR650" s="5" t="s">
        <v>143</v>
      </c>
      <c r="AS650" s="5" t="s">
        <v>73</v>
      </c>
      <c r="AT650" s="5" t="s">
        <v>78</v>
      </c>
      <c r="AU650" s="10"/>
      <c r="AW650" s="5" t="s">
        <v>201</v>
      </c>
      <c r="AX650" s="5" t="s">
        <v>79</v>
      </c>
      <c r="AY650" s="5"/>
      <c r="AZ650" s="5" t="s">
        <v>129</v>
      </c>
      <c r="BD650" s="9" t="n">
        <v>45600</v>
      </c>
      <c r="BE650" s="9" t="n">
        <v>45600</v>
      </c>
      <c r="BJ650" s="5" t="n">
        <v>2024</v>
      </c>
      <c r="BK650" s="5" t="s">
        <v>3006</v>
      </c>
    </row>
    <row r="651" customFormat="false" ht="16.5" hidden="false" customHeight="true" outlineLevel="0" collapsed="false">
      <c r="A651" s="10" t="s">
        <v>3007</v>
      </c>
      <c r="D651" s="5" t="s">
        <v>62</v>
      </c>
      <c r="J651" s="18"/>
      <c r="K651" s="18"/>
      <c r="L651" s="5" t="s">
        <v>2851</v>
      </c>
      <c r="N651" s="8" t="s">
        <v>3008</v>
      </c>
      <c r="S651" s="5" t="s">
        <v>3009</v>
      </c>
      <c r="T651" s="5" t="s">
        <v>3010</v>
      </c>
      <c r="U651" s="5" t="s">
        <v>70</v>
      </c>
      <c r="V651" s="5" t="s">
        <v>3011</v>
      </c>
      <c r="W651" s="5" t="s">
        <v>102</v>
      </c>
      <c r="X651" s="5" t="s">
        <v>151</v>
      </c>
      <c r="Y651" s="5" t="s">
        <v>73</v>
      </c>
      <c r="Z651" s="5" t="s">
        <v>70</v>
      </c>
      <c r="AC651" s="5" t="s">
        <v>3012</v>
      </c>
      <c r="AD651" s="5" t="s">
        <v>3011</v>
      </c>
      <c r="AE651" s="5" t="s">
        <v>117</v>
      </c>
      <c r="AF651" s="9" t="n">
        <v>43889</v>
      </c>
      <c r="AG651" s="5" t="n">
        <v>2020</v>
      </c>
      <c r="AJ651" s="5" t="n">
        <v>1</v>
      </c>
      <c r="AK651" s="5" t="s">
        <v>152</v>
      </c>
      <c r="AL651" s="5" t="n">
        <v>0</v>
      </c>
      <c r="AM651" s="5" t="s">
        <v>3013</v>
      </c>
      <c r="AN651" s="5" t="s">
        <v>3014</v>
      </c>
      <c r="AQ651" s="5" t="s">
        <v>77</v>
      </c>
      <c r="AR651" s="5" t="s">
        <v>185</v>
      </c>
      <c r="AS651" s="5" t="s">
        <v>73</v>
      </c>
      <c r="AT651" s="5" t="s">
        <v>105</v>
      </c>
      <c r="AU651" s="5" t="s">
        <v>106</v>
      </c>
      <c r="AV651" s="5"/>
      <c r="AW651" s="5" t="s">
        <v>94</v>
      </c>
      <c r="AX651" s="10" t="s">
        <v>296</v>
      </c>
      <c r="AY651" s="10"/>
      <c r="BD651" s="9" t="n">
        <v>44960</v>
      </c>
      <c r="BE651" s="9" t="n">
        <v>45035</v>
      </c>
      <c r="BF651" s="5" t="s">
        <v>65</v>
      </c>
      <c r="BG651" s="8" t="s">
        <v>3015</v>
      </c>
      <c r="BI651" s="5" t="s">
        <v>241</v>
      </c>
    </row>
    <row r="652" customFormat="false" ht="16.5" hidden="false" customHeight="true" outlineLevel="0" collapsed="false">
      <c r="A652" s="10" t="s">
        <v>3016</v>
      </c>
      <c r="D652" s="5" t="s">
        <v>62</v>
      </c>
      <c r="J652" s="18"/>
      <c r="K652" s="18"/>
      <c r="L652" s="5" t="s">
        <v>2851</v>
      </c>
      <c r="N652" s="8" t="s">
        <v>3017</v>
      </c>
      <c r="S652" s="5" t="s">
        <v>3018</v>
      </c>
      <c r="T652" s="5" t="s">
        <v>3019</v>
      </c>
      <c r="U652" s="5" t="s">
        <v>3020</v>
      </c>
      <c r="V652" s="5" t="s">
        <v>3021</v>
      </c>
      <c r="W652" s="5" t="s">
        <v>718</v>
      </c>
      <c r="X652" s="5" t="s">
        <v>1676</v>
      </c>
      <c r="Y652" s="5" t="s">
        <v>73</v>
      </c>
      <c r="Z652" s="5" t="s">
        <v>70</v>
      </c>
      <c r="AE652" s="5" t="s">
        <v>74</v>
      </c>
      <c r="AF652" s="9" t="n">
        <v>43709</v>
      </c>
      <c r="AG652" s="5" t="n">
        <v>2019</v>
      </c>
      <c r="AK652" s="5" t="s">
        <v>152</v>
      </c>
      <c r="AM652" s="5" t="s">
        <v>182</v>
      </c>
      <c r="AN652" s="5"/>
      <c r="AQ652" s="5" t="s">
        <v>77</v>
      </c>
      <c r="AR652" s="5" t="s">
        <v>185</v>
      </c>
      <c r="AS652" s="5" t="s">
        <v>73</v>
      </c>
      <c r="AT652" s="5" t="s">
        <v>71</v>
      </c>
      <c r="AU652" s="10" t="s">
        <v>79</v>
      </c>
      <c r="AV652" s="10"/>
      <c r="AW652" s="5" t="s">
        <v>94</v>
      </c>
      <c r="BA652" s="5" t="s">
        <v>65</v>
      </c>
      <c r="BD652" s="9" t="n">
        <v>44960</v>
      </c>
      <c r="BE652" s="9" t="n">
        <v>45035</v>
      </c>
      <c r="BF652" s="5" t="s">
        <v>65</v>
      </c>
      <c r="BG652" s="8" t="s">
        <v>3022</v>
      </c>
      <c r="BI652" s="5" t="s">
        <v>241</v>
      </c>
    </row>
    <row r="653" customFormat="false" ht="16.5" hidden="false" customHeight="true" outlineLevel="0" collapsed="false">
      <c r="A653" s="10" t="s">
        <v>3023</v>
      </c>
      <c r="D653" s="5" t="s">
        <v>62</v>
      </c>
      <c r="J653" s="18"/>
      <c r="K653" s="18"/>
      <c r="L653" s="5" t="s">
        <v>2851</v>
      </c>
      <c r="N653" s="8" t="s">
        <v>3008</v>
      </c>
      <c r="S653" s="5" t="s">
        <v>3018</v>
      </c>
      <c r="T653" s="5" t="s">
        <v>3024</v>
      </c>
      <c r="U653" s="5" t="s">
        <v>70</v>
      </c>
      <c r="V653" s="5" t="s">
        <v>3021</v>
      </c>
      <c r="W653" s="5" t="s">
        <v>718</v>
      </c>
      <c r="X653" s="5" t="s">
        <v>1676</v>
      </c>
      <c r="Y653" s="5" t="s">
        <v>73</v>
      </c>
      <c r="Z653" s="5" t="s">
        <v>70</v>
      </c>
      <c r="AE653" s="5" t="s">
        <v>117</v>
      </c>
      <c r="AF653" s="9" t="n">
        <v>43993</v>
      </c>
      <c r="AG653" s="5" t="n">
        <v>2020</v>
      </c>
      <c r="AK653" s="5" t="s">
        <v>152</v>
      </c>
      <c r="AM653" s="5" t="s">
        <v>182</v>
      </c>
      <c r="AN653" s="5"/>
      <c r="AQ653" s="5" t="s">
        <v>77</v>
      </c>
      <c r="AR653" s="5" t="s">
        <v>185</v>
      </c>
      <c r="AS653" s="5" t="s">
        <v>73</v>
      </c>
      <c r="AT653" s="5" t="s">
        <v>374</v>
      </c>
      <c r="AU653" s="10" t="s">
        <v>375</v>
      </c>
      <c r="AV653" s="10"/>
      <c r="AW653" s="5" t="s">
        <v>94</v>
      </c>
      <c r="BD653" s="9" t="n">
        <v>44960</v>
      </c>
      <c r="BE653" s="9" t="n">
        <v>45035</v>
      </c>
      <c r="BF653" s="5" t="s">
        <v>65</v>
      </c>
      <c r="BG653" s="8" t="s">
        <v>3025</v>
      </c>
      <c r="BI653" s="5" t="s">
        <v>241</v>
      </c>
    </row>
    <row r="654" customFormat="false" ht="16.5" hidden="false" customHeight="true" outlineLevel="0" collapsed="false">
      <c r="A654" s="10" t="s">
        <v>3026</v>
      </c>
      <c r="D654" s="5" t="s">
        <v>62</v>
      </c>
      <c r="J654" s="18"/>
      <c r="K654" s="18"/>
      <c r="L654" s="5" t="s">
        <v>2851</v>
      </c>
      <c r="S654" s="5" t="s">
        <v>3027</v>
      </c>
      <c r="T654" s="5" t="s">
        <v>2191</v>
      </c>
      <c r="U654" s="5" t="s">
        <v>3028</v>
      </c>
      <c r="V654" s="5" t="s">
        <v>2193</v>
      </c>
      <c r="W654" s="5" t="s">
        <v>90</v>
      </c>
      <c r="X654" s="5" t="s">
        <v>139</v>
      </c>
      <c r="Y654" s="5" t="s">
        <v>73</v>
      </c>
      <c r="Z654" s="5" t="s">
        <v>70</v>
      </c>
      <c r="AE654" s="5" t="s">
        <v>117</v>
      </c>
      <c r="AF654" s="9" t="n">
        <v>44104</v>
      </c>
      <c r="AG654" s="5" t="n">
        <v>2020</v>
      </c>
      <c r="AK654" s="5" t="s">
        <v>152</v>
      </c>
      <c r="AM654" s="5" t="s">
        <v>140</v>
      </c>
      <c r="AN654" s="5"/>
      <c r="AQ654" s="5" t="s">
        <v>77</v>
      </c>
      <c r="AR654" s="5" t="s">
        <v>143</v>
      </c>
      <c r="AS654" s="5" t="s">
        <v>73</v>
      </c>
      <c r="AT654" s="5" t="s">
        <v>78</v>
      </c>
      <c r="AU654" s="10" t="s">
        <v>375</v>
      </c>
      <c r="AV654" s="10"/>
      <c r="AW654" s="5" t="s">
        <v>94</v>
      </c>
      <c r="BD654" s="9" t="n">
        <v>44960</v>
      </c>
      <c r="BE654" s="9" t="n">
        <v>45035</v>
      </c>
      <c r="BF654" s="5" t="s">
        <v>65</v>
      </c>
      <c r="BG654" s="8" t="s">
        <v>3029</v>
      </c>
      <c r="BI654" s="5" t="s">
        <v>241</v>
      </c>
    </row>
    <row r="655" customFormat="false" ht="16.5" hidden="false" customHeight="true" outlineLevel="0" collapsed="false">
      <c r="A655" s="10" t="s">
        <v>3030</v>
      </c>
      <c r="D655" s="5" t="s">
        <v>62</v>
      </c>
      <c r="J655" s="18"/>
      <c r="K655" s="18"/>
      <c r="L655" s="5" t="s">
        <v>2851</v>
      </c>
      <c r="P655" s="5"/>
      <c r="Q655" s="5"/>
      <c r="R655" s="5" t="s">
        <v>3031</v>
      </c>
      <c r="S655" s="5" t="s">
        <v>3032</v>
      </c>
      <c r="T655" s="5" t="s">
        <v>3033</v>
      </c>
      <c r="U655" s="5" t="s">
        <v>3034</v>
      </c>
      <c r="V655" s="5" t="s">
        <v>1826</v>
      </c>
      <c r="W655" s="5" t="s">
        <v>90</v>
      </c>
      <c r="X655" s="5" t="s">
        <v>139</v>
      </c>
      <c r="Y655" s="5" t="s">
        <v>73</v>
      </c>
      <c r="Z655" s="5" t="s">
        <v>70</v>
      </c>
      <c r="AE655" s="5" t="s">
        <v>117</v>
      </c>
      <c r="AF655" s="9" t="n">
        <v>44090</v>
      </c>
      <c r="AG655" s="5" t="n">
        <v>2020</v>
      </c>
      <c r="AK655" s="5" t="s">
        <v>152</v>
      </c>
      <c r="AM655" s="5" t="s">
        <v>140</v>
      </c>
      <c r="AN655" s="5"/>
      <c r="AQ655" s="5" t="s">
        <v>77</v>
      </c>
      <c r="AR655" s="5" t="s">
        <v>143</v>
      </c>
      <c r="AS655" s="5" t="s">
        <v>73</v>
      </c>
      <c r="AT655" s="5" t="s">
        <v>374</v>
      </c>
      <c r="AU655" s="10" t="s">
        <v>375</v>
      </c>
      <c r="AV655" s="10"/>
      <c r="AW655" s="5" t="s">
        <v>94</v>
      </c>
      <c r="BA655" s="5" t="s">
        <v>65</v>
      </c>
      <c r="BD655" s="9" t="n">
        <v>44960</v>
      </c>
      <c r="BE655" s="9" t="n">
        <v>45035</v>
      </c>
      <c r="BF655" s="5" t="s">
        <v>65</v>
      </c>
      <c r="BG655" s="8" t="s">
        <v>3035</v>
      </c>
      <c r="BI655" s="5" t="s">
        <v>241</v>
      </c>
    </row>
    <row r="656" customFormat="false" ht="16.5" hidden="false" customHeight="true" outlineLevel="0" collapsed="false">
      <c r="A656" s="10" t="s">
        <v>3036</v>
      </c>
      <c r="D656" s="5" t="s">
        <v>62</v>
      </c>
      <c r="J656" s="18"/>
      <c r="K656" s="18"/>
      <c r="L656" s="5" t="s">
        <v>2851</v>
      </c>
      <c r="N656" s="8" t="s">
        <v>3037</v>
      </c>
      <c r="S656" s="5" t="s">
        <v>3038</v>
      </c>
      <c r="T656" s="5" t="s">
        <v>3024</v>
      </c>
      <c r="U656" s="5" t="s">
        <v>70</v>
      </c>
      <c r="V656" s="5" t="s">
        <v>3021</v>
      </c>
      <c r="W656" s="5" t="s">
        <v>718</v>
      </c>
      <c r="X656" s="5" t="s">
        <v>1676</v>
      </c>
      <c r="Y656" s="5" t="s">
        <v>73</v>
      </c>
      <c r="Z656" s="5" t="s">
        <v>70</v>
      </c>
      <c r="AE656" s="5" t="s">
        <v>117</v>
      </c>
      <c r="AF656" s="9" t="n">
        <v>44490</v>
      </c>
      <c r="AG656" s="5" t="n">
        <v>2021</v>
      </c>
      <c r="AK656" s="5" t="s">
        <v>152</v>
      </c>
      <c r="AM656" s="5" t="s">
        <v>182</v>
      </c>
      <c r="AN656" s="5"/>
      <c r="AQ656" s="5" t="s">
        <v>77</v>
      </c>
      <c r="AR656" s="5" t="s">
        <v>185</v>
      </c>
      <c r="AS656" s="5" t="s">
        <v>73</v>
      </c>
      <c r="AT656" s="5" t="s">
        <v>374</v>
      </c>
      <c r="AU656" s="10" t="s">
        <v>375</v>
      </c>
      <c r="AV656" s="10"/>
      <c r="AW656" s="5" t="s">
        <v>94</v>
      </c>
      <c r="BB656" s="5" t="s">
        <v>65</v>
      </c>
      <c r="BD656" s="9" t="n">
        <v>44980</v>
      </c>
      <c r="BE656" s="9" t="n">
        <v>45035</v>
      </c>
      <c r="BF656" s="5" t="s">
        <v>65</v>
      </c>
      <c r="BG656" s="8" t="s">
        <v>3039</v>
      </c>
      <c r="BI656" s="5" t="s">
        <v>241</v>
      </c>
    </row>
    <row r="657" customFormat="false" ht="16.5" hidden="false" customHeight="true" outlineLevel="0" collapsed="false">
      <c r="A657" s="10" t="s">
        <v>3040</v>
      </c>
      <c r="D657" s="5" t="s">
        <v>62</v>
      </c>
      <c r="J657" s="18"/>
      <c r="K657" s="18"/>
      <c r="L657" s="5" t="s">
        <v>3041</v>
      </c>
      <c r="S657" s="5" t="s">
        <v>3042</v>
      </c>
      <c r="T657" s="5" t="s">
        <v>3043</v>
      </c>
      <c r="U657" s="5" t="s">
        <v>70</v>
      </c>
      <c r="V657" s="5" t="s">
        <v>3044</v>
      </c>
      <c r="W657" s="5" t="s">
        <v>102</v>
      </c>
      <c r="X657" s="5" t="s">
        <v>139</v>
      </c>
      <c r="Y657" s="5" t="s">
        <v>73</v>
      </c>
      <c r="Z657" s="5" t="s">
        <v>70</v>
      </c>
      <c r="AD657" s="5" t="s">
        <v>3045</v>
      </c>
      <c r="AE657" s="5" t="s">
        <v>74</v>
      </c>
      <c r="AG657" s="5" t="n">
        <v>2023</v>
      </c>
      <c r="AM657" s="5" t="s">
        <v>140</v>
      </c>
      <c r="AN657" s="5" t="s">
        <v>699</v>
      </c>
      <c r="AP657" s="8" t="s">
        <v>3046</v>
      </c>
      <c r="AQ657" s="5" t="s">
        <v>77</v>
      </c>
      <c r="AR657" s="5" t="s">
        <v>143</v>
      </c>
      <c r="AS657" s="5" t="s">
        <v>73</v>
      </c>
      <c r="AT657" s="5" t="s">
        <v>374</v>
      </c>
      <c r="AU657" s="10" t="s">
        <v>375</v>
      </c>
      <c r="AV657" s="10"/>
      <c r="AW657" s="5" t="s">
        <v>94</v>
      </c>
      <c r="BA657" s="5" t="s">
        <v>65</v>
      </c>
      <c r="BD657" s="9" t="n">
        <v>45022</v>
      </c>
      <c r="BE657" s="9" t="n">
        <v>45035</v>
      </c>
      <c r="BF657" s="5" t="s">
        <v>65</v>
      </c>
      <c r="BI657" s="5" t="s">
        <v>241</v>
      </c>
    </row>
    <row r="658" customFormat="false" ht="16.5" hidden="false" customHeight="true" outlineLevel="0" collapsed="false">
      <c r="A658" s="10" t="s">
        <v>3047</v>
      </c>
      <c r="D658" s="5" t="s">
        <v>62</v>
      </c>
      <c r="J658" s="18"/>
      <c r="K658" s="18"/>
      <c r="L658" s="5" t="s">
        <v>84</v>
      </c>
      <c r="M658" s="5" t="s">
        <v>65</v>
      </c>
      <c r="N658" s="8" t="s">
        <v>3048</v>
      </c>
      <c r="T658" s="5" t="s">
        <v>3049</v>
      </c>
      <c r="V658" s="5" t="s">
        <v>3050</v>
      </c>
      <c r="W658" s="5" t="s">
        <v>384</v>
      </c>
      <c r="X658" s="5" t="s">
        <v>151</v>
      </c>
      <c r="Y658" s="5" t="s">
        <v>73</v>
      </c>
      <c r="AD658" s="5" t="s">
        <v>3051</v>
      </c>
      <c r="AE658" s="5" t="s">
        <v>74</v>
      </c>
      <c r="AM658" s="10" t="s">
        <v>2278</v>
      </c>
      <c r="AQ658" s="5" t="s">
        <v>2279</v>
      </c>
      <c r="AR658" s="5" t="s">
        <v>151</v>
      </c>
      <c r="AS658" s="5" t="s">
        <v>73</v>
      </c>
      <c r="AT658" s="5" t="s">
        <v>78</v>
      </c>
      <c r="AU658" s="10" t="s">
        <v>259</v>
      </c>
      <c r="AV658" s="10"/>
      <c r="AW658" s="5" t="s">
        <v>94</v>
      </c>
      <c r="AX658" s="5" t="s">
        <v>79</v>
      </c>
      <c r="AY658" s="5"/>
      <c r="AZ658" s="5" t="s">
        <v>309</v>
      </c>
      <c r="BD658" s="9" t="n">
        <v>45377</v>
      </c>
      <c r="BE658" s="9" t="n">
        <v>45394</v>
      </c>
      <c r="BI658" s="5" t="s">
        <v>81</v>
      </c>
      <c r="BJ658" s="5" t="n">
        <v>2020</v>
      </c>
    </row>
    <row r="659" customFormat="false" ht="16.5" hidden="false" customHeight="true" outlineLevel="0" collapsed="false">
      <c r="A659" s="10" t="s">
        <v>3052</v>
      </c>
      <c r="B659" s="5" t="s">
        <v>3053</v>
      </c>
      <c r="D659" s="5" t="s">
        <v>62</v>
      </c>
      <c r="J659" s="18"/>
      <c r="K659" s="18"/>
      <c r="L659" s="5" t="s">
        <v>84</v>
      </c>
      <c r="M659" s="5" t="s">
        <v>65</v>
      </c>
      <c r="N659" s="8" t="s">
        <v>3054</v>
      </c>
      <c r="O659" s="5" t="s">
        <v>3055</v>
      </c>
      <c r="T659" s="5" t="s">
        <v>3056</v>
      </c>
      <c r="V659" s="5" t="s">
        <v>3057</v>
      </c>
      <c r="W659" s="5" t="s">
        <v>384</v>
      </c>
      <c r="X659" s="5" t="s">
        <v>160</v>
      </c>
      <c r="Y659" s="5" t="s">
        <v>73</v>
      </c>
      <c r="AD659" s="5" t="s">
        <v>3058</v>
      </c>
      <c r="AE659" s="5" t="s">
        <v>74</v>
      </c>
      <c r="AI659" s="9" t="n">
        <v>44562</v>
      </c>
      <c r="AM659" s="5" t="s">
        <v>182</v>
      </c>
      <c r="AN659" s="5" t="s">
        <v>976</v>
      </c>
      <c r="AQ659" s="5" t="s">
        <v>77</v>
      </c>
      <c r="AR659" s="5" t="s">
        <v>185</v>
      </c>
      <c r="AS659" s="5" t="s">
        <v>73</v>
      </c>
      <c r="AT659" s="5" t="s">
        <v>78</v>
      </c>
      <c r="AW659" s="5" t="s">
        <v>94</v>
      </c>
      <c r="AX659" s="10" t="str">
        <f aca="false" t="array" ref="AX659:AX659">IFERROR(INDEX('full database 2024'!ar:ar, MATCH(A659, 'full database 2024'!b:b, 0)), "")</f>
        <v/>
      </c>
      <c r="AZ659" s="5" t="s">
        <v>399</v>
      </c>
      <c r="BD659" s="9" t="n">
        <v>45377</v>
      </c>
      <c r="BE659" s="9" t="n">
        <v>45779</v>
      </c>
      <c r="BI659" s="5" t="s">
        <v>81</v>
      </c>
      <c r="BJ659" s="5" t="n">
        <v>2022</v>
      </c>
    </row>
    <row r="660" customFormat="false" ht="16.5" hidden="false" customHeight="true" outlineLevel="0" collapsed="false">
      <c r="A660" s="10" t="s">
        <v>3059</v>
      </c>
      <c r="B660" s="5" t="s">
        <v>3060</v>
      </c>
      <c r="D660" s="5" t="s">
        <v>62</v>
      </c>
      <c r="E660" s="5" t="n">
        <v>50000</v>
      </c>
      <c r="F660" s="5" t="n">
        <v>50000</v>
      </c>
      <c r="G660" s="5" t="s">
        <v>147</v>
      </c>
      <c r="H660" s="6" t="n">
        <v>56849</v>
      </c>
      <c r="J660" s="7" t="n">
        <v>50000</v>
      </c>
      <c r="K660" s="7" t="n">
        <v>50000</v>
      </c>
      <c r="L660" s="5" t="s">
        <v>84</v>
      </c>
      <c r="M660" s="5" t="s">
        <v>65</v>
      </c>
      <c r="N660" s="8" t="s">
        <v>3061</v>
      </c>
      <c r="O660" s="5" t="s">
        <v>3062</v>
      </c>
      <c r="P660" s="5"/>
      <c r="Q660" s="5"/>
      <c r="R660" s="5" t="s">
        <v>3063</v>
      </c>
      <c r="T660" s="5" t="s">
        <v>3064</v>
      </c>
      <c r="V660" s="5" t="s">
        <v>3065</v>
      </c>
      <c r="X660" s="5" t="s">
        <v>333</v>
      </c>
      <c r="Y660" s="5" t="s">
        <v>73</v>
      </c>
      <c r="AI660" s="9" t="n">
        <v>45658</v>
      </c>
      <c r="AL660" s="5" t="n">
        <v>56849</v>
      </c>
      <c r="AM660" s="5" t="s">
        <v>459</v>
      </c>
      <c r="AN660" s="5"/>
      <c r="AQ660" s="5" t="s">
        <v>77</v>
      </c>
      <c r="AR660" s="5" t="s">
        <v>333</v>
      </c>
      <c r="AS660" s="5" t="s">
        <v>73</v>
      </c>
      <c r="AT660" s="5" t="s">
        <v>374</v>
      </c>
      <c r="AU660" s="10"/>
      <c r="AW660" s="5" t="s">
        <v>94</v>
      </c>
      <c r="AX660" s="5" t="s">
        <v>79</v>
      </c>
      <c r="AY660" s="5"/>
      <c r="AZ660" s="5" t="s">
        <v>857</v>
      </c>
      <c r="BD660" s="9" t="n">
        <v>45733</v>
      </c>
      <c r="BE660" s="9" t="n">
        <v>45761</v>
      </c>
      <c r="BJ660" s="5" t="n">
        <v>2025</v>
      </c>
      <c r="BK660" s="5" t="s">
        <v>925</v>
      </c>
    </row>
    <row r="661" customFormat="false" ht="16.5" hidden="false" customHeight="true" outlineLevel="0" collapsed="false">
      <c r="A661" s="10" t="s">
        <v>3066</v>
      </c>
      <c r="B661" s="5" t="s">
        <v>3067</v>
      </c>
      <c r="D661" s="5" t="s">
        <v>62</v>
      </c>
      <c r="E661" s="16" t="n">
        <v>125000</v>
      </c>
      <c r="F661" s="16" t="n">
        <v>100000</v>
      </c>
      <c r="G661" s="5" t="s">
        <v>132</v>
      </c>
      <c r="H661" s="6" t="n">
        <v>0</v>
      </c>
      <c r="J661" s="7" t="n">
        <f aca="false">E661*1.19</f>
        <v>148750</v>
      </c>
      <c r="K661" s="7" t="n">
        <f aca="false">F661*1.19</f>
        <v>119000</v>
      </c>
      <c r="L661" s="5" t="s">
        <v>84</v>
      </c>
      <c r="N661" s="8" t="s">
        <v>3068</v>
      </c>
      <c r="O661" s="5" t="s">
        <v>3069</v>
      </c>
      <c r="T661" s="5" t="s">
        <v>3070</v>
      </c>
      <c r="V661" s="5" t="s">
        <v>1732</v>
      </c>
      <c r="X661" s="5" t="s">
        <v>139</v>
      </c>
      <c r="Y661" s="5" t="s">
        <v>73</v>
      </c>
      <c r="Z661" s="5" t="s">
        <v>3071</v>
      </c>
      <c r="AI661" s="9" t="n">
        <v>45199</v>
      </c>
      <c r="AL661" s="5" t="n">
        <v>0</v>
      </c>
      <c r="AM661" s="5" t="s">
        <v>140</v>
      </c>
      <c r="AN661" s="5" t="s">
        <v>141</v>
      </c>
      <c r="AQ661" s="5" t="s">
        <v>77</v>
      </c>
      <c r="AR661" s="5" t="s">
        <v>143</v>
      </c>
      <c r="AS661" s="5" t="s">
        <v>73</v>
      </c>
      <c r="AT661" s="5" t="s">
        <v>374</v>
      </c>
      <c r="AU661" s="10"/>
      <c r="AW661" s="5" t="s">
        <v>201</v>
      </c>
      <c r="AX661" s="5" t="s">
        <v>375</v>
      </c>
      <c r="AY661" s="5"/>
      <c r="AZ661" s="5" t="s">
        <v>857</v>
      </c>
      <c r="BD661" s="9" t="n">
        <v>45733</v>
      </c>
      <c r="BE661" s="9" t="n">
        <v>45733</v>
      </c>
      <c r="BJ661" s="5" t="n">
        <v>2023</v>
      </c>
      <c r="BK661" s="5" t="s">
        <v>3006</v>
      </c>
    </row>
    <row r="662" customFormat="false" ht="16.5" hidden="false" customHeight="true" outlineLevel="0" collapsed="false">
      <c r="A662" s="5" t="s">
        <v>3072</v>
      </c>
      <c r="B662" s="5" t="s">
        <v>3073</v>
      </c>
      <c r="D662" s="5" t="s">
        <v>62</v>
      </c>
      <c r="E662" s="5" t="n">
        <v>4618368</v>
      </c>
      <c r="F662" s="5" t="n">
        <v>4618368</v>
      </c>
      <c r="G662" s="5" t="s">
        <v>147</v>
      </c>
      <c r="H662" s="6" t="n">
        <v>4999337</v>
      </c>
      <c r="J662" s="7" t="n">
        <v>4618368</v>
      </c>
      <c r="K662" s="7" t="n">
        <v>4618368</v>
      </c>
      <c r="L662" s="5" t="s">
        <v>84</v>
      </c>
      <c r="M662" s="5" t="s">
        <v>65</v>
      </c>
      <c r="N662" s="8" t="s">
        <v>3074</v>
      </c>
      <c r="O662" s="5" t="s">
        <v>3075</v>
      </c>
      <c r="X662" s="5" t="s">
        <v>143</v>
      </c>
      <c r="Y662" s="5" t="s">
        <v>73</v>
      </c>
      <c r="AE662" s="5" t="s">
        <v>3076</v>
      </c>
      <c r="AI662" s="9" t="n">
        <v>45658</v>
      </c>
      <c r="AL662" s="5" t="n">
        <v>4999337</v>
      </c>
      <c r="AM662" s="5" t="s">
        <v>182</v>
      </c>
      <c r="AN662" s="5" t="s">
        <v>404</v>
      </c>
      <c r="AQ662" s="5" t="s">
        <v>77</v>
      </c>
      <c r="AR662" s="5" t="s">
        <v>185</v>
      </c>
      <c r="AS662" s="5" t="s">
        <v>73</v>
      </c>
      <c r="AT662" s="5" t="s">
        <v>78</v>
      </c>
      <c r="AU662" s="10" t="s">
        <v>259</v>
      </c>
      <c r="AV662" s="10"/>
      <c r="AW662" s="25" t="s">
        <v>94</v>
      </c>
      <c r="AX662" s="5" t="s">
        <v>375</v>
      </c>
      <c r="AY662" s="5"/>
      <c r="AZ662" s="5" t="s">
        <v>188</v>
      </c>
      <c r="BD662" s="9" t="n">
        <v>45733</v>
      </c>
      <c r="BE662" s="9" t="n">
        <v>45747</v>
      </c>
      <c r="BJ662" s="5" t="n">
        <v>2025</v>
      </c>
      <c r="BK662" s="5" t="s">
        <v>2625</v>
      </c>
    </row>
    <row r="663" customFormat="false" ht="16.5" hidden="false" customHeight="true" outlineLevel="0" collapsed="false">
      <c r="A663" s="5" t="s">
        <v>3077</v>
      </c>
      <c r="B663" s="5" t="s">
        <v>3078</v>
      </c>
      <c r="D663" s="5" t="s">
        <v>62</v>
      </c>
      <c r="E663" s="5" t="n">
        <v>3928000</v>
      </c>
      <c r="F663" s="5" t="n">
        <v>3928000</v>
      </c>
      <c r="G663" s="5" t="s">
        <v>212</v>
      </c>
      <c r="H663" s="6" t="n">
        <v>372206</v>
      </c>
      <c r="J663" s="7" t="n">
        <f aca="false">E663*0.091</f>
        <v>357448</v>
      </c>
      <c r="K663" s="7" t="n">
        <f aca="false">F663*0.091</f>
        <v>357448</v>
      </c>
      <c r="L663" s="5" t="s">
        <v>84</v>
      </c>
      <c r="M663" s="5" t="s">
        <v>65</v>
      </c>
      <c r="N663" s="8" t="s">
        <v>3079</v>
      </c>
      <c r="O663" s="5" t="s">
        <v>3080</v>
      </c>
      <c r="T663" s="5" t="s">
        <v>3081</v>
      </c>
      <c r="V663" s="5" t="s">
        <v>393</v>
      </c>
      <c r="X663" s="5" t="s">
        <v>215</v>
      </c>
      <c r="Y663" s="5" t="s">
        <v>73</v>
      </c>
      <c r="AI663" s="9" t="n">
        <v>45658</v>
      </c>
      <c r="AL663" s="5" t="n">
        <v>372206</v>
      </c>
      <c r="AM663" s="5" t="s">
        <v>563</v>
      </c>
      <c r="AN663" s="5"/>
      <c r="AQ663" s="5" t="s">
        <v>77</v>
      </c>
      <c r="AR663" s="5" t="s">
        <v>215</v>
      </c>
      <c r="AS663" s="5" t="s">
        <v>73</v>
      </c>
      <c r="AT663" s="5" t="s">
        <v>78</v>
      </c>
      <c r="AU663" s="10"/>
      <c r="AW663" s="5" t="s">
        <v>94</v>
      </c>
      <c r="AX663" s="5" t="s">
        <v>296</v>
      </c>
      <c r="AY663" s="5"/>
      <c r="AZ663" s="5" t="s">
        <v>129</v>
      </c>
      <c r="BD663" s="9" t="n">
        <v>45733</v>
      </c>
      <c r="BE663" s="9" t="n">
        <v>45747</v>
      </c>
      <c r="BJ663" s="5" t="n">
        <v>2025</v>
      </c>
      <c r="BK663" s="5" t="s">
        <v>2625</v>
      </c>
    </row>
    <row r="664" customFormat="false" ht="16.5" hidden="false" customHeight="true" outlineLevel="0" collapsed="false">
      <c r="A664" s="5" t="s">
        <v>3082</v>
      </c>
      <c r="B664" s="5" t="s">
        <v>3083</v>
      </c>
      <c r="D664" s="5" t="s">
        <v>62</v>
      </c>
      <c r="E664" s="16" t="n">
        <v>45332</v>
      </c>
      <c r="F664" s="16" t="n">
        <v>45332</v>
      </c>
      <c r="G664" s="5" t="s">
        <v>132</v>
      </c>
      <c r="H664" s="6" t="n">
        <v>57322</v>
      </c>
      <c r="J664" s="7" t="n">
        <f aca="false">E664*1.19</f>
        <v>53945.08</v>
      </c>
      <c r="K664" s="7" t="n">
        <f aca="false">F664*1.19</f>
        <v>53945.08</v>
      </c>
      <c r="L664" s="5" t="s">
        <v>84</v>
      </c>
      <c r="N664" s="8" t="s">
        <v>3084</v>
      </c>
      <c r="O664" s="5" t="s">
        <v>3085</v>
      </c>
      <c r="T664" s="5" t="s">
        <v>3086</v>
      </c>
      <c r="V664" s="5" t="s">
        <v>3087</v>
      </c>
      <c r="X664" s="5" t="s">
        <v>139</v>
      </c>
      <c r="Y664" s="5" t="s">
        <v>73</v>
      </c>
      <c r="AI664" s="9" t="n">
        <v>45565</v>
      </c>
      <c r="AL664" s="5" t="n">
        <v>57322</v>
      </c>
      <c r="AM664" s="5" t="s">
        <v>140</v>
      </c>
      <c r="AN664" s="5" t="s">
        <v>699</v>
      </c>
      <c r="AQ664" s="5" t="s">
        <v>77</v>
      </c>
      <c r="AR664" s="5" t="s">
        <v>143</v>
      </c>
      <c r="AS664" s="5" t="s">
        <v>73</v>
      </c>
      <c r="AT664" s="5" t="s">
        <v>78</v>
      </c>
      <c r="AU664" s="10" t="s">
        <v>259</v>
      </c>
      <c r="AV664" s="10"/>
      <c r="AW664" s="5" t="s">
        <v>94</v>
      </c>
      <c r="AX664" s="5" t="s">
        <v>375</v>
      </c>
      <c r="AY664" s="5"/>
      <c r="AZ664" s="5" t="s">
        <v>188</v>
      </c>
      <c r="BD664" s="9" t="n">
        <v>45733</v>
      </c>
      <c r="BE664" s="9" t="n">
        <v>45733</v>
      </c>
      <c r="BJ664" s="5" t="n">
        <v>2024</v>
      </c>
      <c r="BK664" s="5" t="s">
        <v>2448</v>
      </c>
    </row>
    <row r="665" customFormat="false" ht="16.5" hidden="false" customHeight="true" outlineLevel="0" collapsed="false">
      <c r="A665" s="5" t="s">
        <v>3088</v>
      </c>
      <c r="B665" s="5" t="s">
        <v>3089</v>
      </c>
      <c r="D665" s="5" t="s">
        <v>62</v>
      </c>
      <c r="E665" s="5" t="n">
        <v>4541601</v>
      </c>
      <c r="F665" s="5" t="n">
        <v>4541601</v>
      </c>
      <c r="G665" s="5" t="s">
        <v>212</v>
      </c>
      <c r="H665" s="6" t="n">
        <v>430358</v>
      </c>
      <c r="J665" s="7" t="n">
        <f aca="false">E665*0.091</f>
        <v>413285.691</v>
      </c>
      <c r="K665" s="7" t="n">
        <f aca="false">F665*0.091</f>
        <v>413285.691</v>
      </c>
      <c r="L665" s="5" t="s">
        <v>84</v>
      </c>
      <c r="N665" s="8" t="s">
        <v>3090</v>
      </c>
      <c r="O665" s="5" t="s">
        <v>3091</v>
      </c>
      <c r="T665" s="5" t="s">
        <v>2799</v>
      </c>
      <c r="V665" s="5" t="s">
        <v>500</v>
      </c>
      <c r="X665" s="5" t="s">
        <v>215</v>
      </c>
      <c r="Y665" s="5" t="s">
        <v>73</v>
      </c>
      <c r="AI665" s="9" t="n">
        <v>45536</v>
      </c>
      <c r="AL665" s="5" t="n">
        <v>430358</v>
      </c>
      <c r="AM665" s="5" t="s">
        <v>489</v>
      </c>
      <c r="AN665" s="5"/>
      <c r="AQ665" s="5" t="s">
        <v>77</v>
      </c>
      <c r="AR665" s="5" t="s">
        <v>215</v>
      </c>
      <c r="AS665" s="5" t="s">
        <v>73</v>
      </c>
      <c r="AT665" s="5" t="s">
        <v>78</v>
      </c>
      <c r="AU665" s="10"/>
      <c r="AW665" s="5" t="s">
        <v>94</v>
      </c>
      <c r="AX665" s="5" t="s">
        <v>375</v>
      </c>
      <c r="AY665" s="5"/>
      <c r="AZ665" s="5" t="s">
        <v>396</v>
      </c>
      <c r="BD665" s="9" t="n">
        <v>45733</v>
      </c>
      <c r="BE665" s="9" t="n">
        <v>45733</v>
      </c>
      <c r="BJ665" s="5" t="n">
        <v>2024</v>
      </c>
      <c r="BK665" s="5" t="s">
        <v>2339</v>
      </c>
    </row>
    <row r="666" customFormat="false" ht="16.5" hidden="false" customHeight="true" outlineLevel="0" collapsed="false">
      <c r="A666" s="5" t="s">
        <v>3092</v>
      </c>
      <c r="B666" s="5" t="s">
        <v>3093</v>
      </c>
      <c r="D666" s="5" t="s">
        <v>62</v>
      </c>
      <c r="E666" s="16" t="n">
        <v>321199</v>
      </c>
      <c r="F666" s="16" t="n">
        <v>321199</v>
      </c>
      <c r="G666" s="5" t="s">
        <v>132</v>
      </c>
      <c r="H666" s="6" t="n">
        <v>406169</v>
      </c>
      <c r="J666" s="7" t="n">
        <f aca="false">E666*1.19</f>
        <v>382226.81</v>
      </c>
      <c r="K666" s="7" t="n">
        <f aca="false">F666*1.19</f>
        <v>382226.81</v>
      </c>
      <c r="L666" s="5" t="s">
        <v>84</v>
      </c>
      <c r="N666" s="8" t="s">
        <v>3094</v>
      </c>
      <c r="O666" s="5" t="s">
        <v>3095</v>
      </c>
      <c r="T666" s="5" t="s">
        <v>3096</v>
      </c>
      <c r="V666" s="5" t="s">
        <v>3097</v>
      </c>
      <c r="X666" s="5" t="s">
        <v>139</v>
      </c>
      <c r="Y666" s="5" t="s">
        <v>73</v>
      </c>
      <c r="AI666" s="9" t="n">
        <v>45535</v>
      </c>
      <c r="AL666" s="5" t="n">
        <v>406169</v>
      </c>
      <c r="AM666" s="5" t="s">
        <v>140</v>
      </c>
      <c r="AN666" s="5" t="s">
        <v>699</v>
      </c>
      <c r="AQ666" s="5" t="s">
        <v>77</v>
      </c>
      <c r="AR666" s="5" t="s">
        <v>143</v>
      </c>
      <c r="AS666" s="5" t="s">
        <v>73</v>
      </c>
      <c r="AT666" s="5" t="s">
        <v>78</v>
      </c>
      <c r="AU666" s="10"/>
      <c r="AW666" s="5" t="s">
        <v>94</v>
      </c>
      <c r="AX666" s="5" t="s">
        <v>495</v>
      </c>
      <c r="AY666" s="5"/>
      <c r="AZ666" s="5" t="s">
        <v>129</v>
      </c>
      <c r="BD666" s="9" t="n">
        <v>45733</v>
      </c>
      <c r="BE666" s="9" t="n">
        <v>45733</v>
      </c>
      <c r="BJ666" s="5" t="n">
        <v>2024</v>
      </c>
      <c r="BK666" s="5" t="s">
        <v>1033</v>
      </c>
    </row>
    <row r="667" customFormat="false" ht="16.5" hidden="false" customHeight="true" outlineLevel="0" collapsed="false">
      <c r="A667" s="5" t="s">
        <v>3098</v>
      </c>
      <c r="B667" s="5" t="s">
        <v>3099</v>
      </c>
      <c r="D667" s="5" t="s">
        <v>62</v>
      </c>
      <c r="E667" s="16" t="n">
        <v>726808</v>
      </c>
      <c r="F667" s="16" t="n">
        <v>726808</v>
      </c>
      <c r="G667" s="5" t="s">
        <v>132</v>
      </c>
      <c r="H667" s="6" t="n">
        <v>919088</v>
      </c>
      <c r="J667" s="7" t="n">
        <f aca="false">E667*1.19</f>
        <v>864901.52</v>
      </c>
      <c r="K667" s="7" t="n">
        <f aca="false">F667*1.19</f>
        <v>864901.52</v>
      </c>
      <c r="L667" s="5" t="s">
        <v>84</v>
      </c>
      <c r="N667" s="8" t="s">
        <v>3100</v>
      </c>
      <c r="O667" s="5" t="s">
        <v>3101</v>
      </c>
      <c r="T667" s="5" t="s">
        <v>1335</v>
      </c>
      <c r="V667" s="5" t="s">
        <v>3102</v>
      </c>
      <c r="X667" s="5" t="s">
        <v>139</v>
      </c>
      <c r="Y667" s="5" t="s">
        <v>73</v>
      </c>
      <c r="AI667" s="9" t="n">
        <v>45412</v>
      </c>
      <c r="AL667" s="5" t="n">
        <v>919088</v>
      </c>
      <c r="AM667" s="5" t="s">
        <v>140</v>
      </c>
      <c r="AN667" s="5" t="s">
        <v>699</v>
      </c>
      <c r="AQ667" s="5" t="s">
        <v>77</v>
      </c>
      <c r="AR667" s="5" t="s">
        <v>143</v>
      </c>
      <c r="AS667" s="5" t="s">
        <v>73</v>
      </c>
      <c r="AT667" s="5" t="s">
        <v>105</v>
      </c>
      <c r="AU667" s="5" t="s">
        <v>186</v>
      </c>
      <c r="AV667" s="5"/>
      <c r="AW667" s="5" t="s">
        <v>94</v>
      </c>
      <c r="AX667" s="5" t="s">
        <v>375</v>
      </c>
      <c r="AY667" s="5"/>
      <c r="AZ667" s="5" t="s">
        <v>121</v>
      </c>
      <c r="BD667" s="9" t="n">
        <v>45733</v>
      </c>
      <c r="BE667" s="9" t="n">
        <v>45733</v>
      </c>
      <c r="BJ667" s="5" t="n">
        <v>2024</v>
      </c>
      <c r="BK667" s="5" t="s">
        <v>3103</v>
      </c>
    </row>
    <row r="668" customFormat="false" ht="16.5" hidden="false" customHeight="true" outlineLevel="0" collapsed="false">
      <c r="A668" s="5" t="s">
        <v>3104</v>
      </c>
      <c r="B668" s="5" t="s">
        <v>3105</v>
      </c>
      <c r="D668" s="5" t="s">
        <v>62</v>
      </c>
      <c r="E668" s="16" t="n">
        <v>199035</v>
      </c>
      <c r="F668" s="16" t="n">
        <v>199035</v>
      </c>
      <c r="G668" s="5" t="s">
        <v>132</v>
      </c>
      <c r="H668" s="6" t="n">
        <v>251684</v>
      </c>
      <c r="J668" s="7" t="n">
        <f aca="false">E668*1.19</f>
        <v>236851.65</v>
      </c>
      <c r="K668" s="7" t="n">
        <f aca="false">F668*1.19</f>
        <v>236851.65</v>
      </c>
      <c r="L668" s="5" t="s">
        <v>84</v>
      </c>
      <c r="N668" s="8" t="s">
        <v>3106</v>
      </c>
      <c r="O668" s="5" t="s">
        <v>3107</v>
      </c>
      <c r="T668" s="5" t="s">
        <v>3108</v>
      </c>
      <c r="V668" s="5" t="s">
        <v>3109</v>
      </c>
      <c r="X668" s="5" t="s">
        <v>139</v>
      </c>
      <c r="Y668" s="5" t="s">
        <v>73</v>
      </c>
      <c r="AI668" s="9" t="n">
        <v>45382</v>
      </c>
      <c r="AL668" s="5" t="n">
        <v>251684</v>
      </c>
      <c r="AM668" s="5" t="s">
        <v>140</v>
      </c>
      <c r="AN668" s="5" t="s">
        <v>141</v>
      </c>
      <c r="AQ668" s="5" t="s">
        <v>77</v>
      </c>
      <c r="AR668" s="5" t="s">
        <v>143</v>
      </c>
      <c r="AS668" s="5" t="s">
        <v>73</v>
      </c>
      <c r="AT668" s="5" t="s">
        <v>78</v>
      </c>
      <c r="AU668" s="10"/>
      <c r="AW668" s="5" t="s">
        <v>94</v>
      </c>
      <c r="AX668" s="5" t="s">
        <v>495</v>
      </c>
      <c r="AY668" s="5"/>
      <c r="AZ668" s="5" t="s">
        <v>129</v>
      </c>
      <c r="BD668" s="9" t="n">
        <v>45733</v>
      </c>
      <c r="BE668" s="9" t="n">
        <v>45733</v>
      </c>
      <c r="BJ668" s="5" t="n">
        <v>2024</v>
      </c>
      <c r="BK668" s="5" t="s">
        <v>3110</v>
      </c>
    </row>
    <row r="669" customFormat="false" ht="16.5" hidden="false" customHeight="true" outlineLevel="0" collapsed="false">
      <c r="A669" s="5" t="s">
        <v>3111</v>
      </c>
      <c r="B669" s="5" t="s">
        <v>3112</v>
      </c>
      <c r="D669" s="5" t="s">
        <v>62</v>
      </c>
      <c r="E669" s="16" t="n">
        <v>206795</v>
      </c>
      <c r="F669" s="16" t="n">
        <v>206795</v>
      </c>
      <c r="G669" s="5" t="s">
        <v>132</v>
      </c>
      <c r="H669" s="6" t="n">
        <v>261498</v>
      </c>
      <c r="J669" s="7" t="n">
        <f aca="false">E669*1.19</f>
        <v>246086.05</v>
      </c>
      <c r="K669" s="7" t="n">
        <f aca="false">F669*1.19</f>
        <v>246086.05</v>
      </c>
      <c r="L669" s="5" t="s">
        <v>84</v>
      </c>
      <c r="N669" s="8" t="s">
        <v>3113</v>
      </c>
      <c r="O669" s="5" t="s">
        <v>3114</v>
      </c>
      <c r="T669" s="5" t="s">
        <v>3115</v>
      </c>
      <c r="V669" s="5" t="s">
        <v>1139</v>
      </c>
      <c r="X669" s="5" t="s">
        <v>139</v>
      </c>
      <c r="Y669" s="5" t="s">
        <v>73</v>
      </c>
      <c r="Z669" s="5" t="s">
        <v>3071</v>
      </c>
      <c r="AI669" s="9" t="n">
        <v>45292</v>
      </c>
      <c r="AL669" s="5" t="n">
        <v>261498</v>
      </c>
      <c r="AM669" s="5" t="s">
        <v>140</v>
      </c>
      <c r="AN669" s="5" t="s">
        <v>141</v>
      </c>
      <c r="AQ669" s="5" t="s">
        <v>77</v>
      </c>
      <c r="AR669" s="5" t="s">
        <v>143</v>
      </c>
      <c r="AS669" s="5" t="s">
        <v>73</v>
      </c>
      <c r="AT669" s="5" t="s">
        <v>374</v>
      </c>
      <c r="AU669" s="10"/>
      <c r="AW669" s="5" t="s">
        <v>94</v>
      </c>
      <c r="AX669" s="5" t="s">
        <v>375</v>
      </c>
      <c r="AY669" s="5"/>
      <c r="AZ669" s="5" t="s">
        <v>239</v>
      </c>
      <c r="BD669" s="9" t="n">
        <v>45733</v>
      </c>
      <c r="BE669" s="9" t="n">
        <v>45733</v>
      </c>
      <c r="BJ669" s="5" t="n">
        <v>2024</v>
      </c>
      <c r="BK669" s="5" t="s">
        <v>925</v>
      </c>
    </row>
    <row r="670" customFormat="false" ht="16.5" hidden="false" customHeight="true" outlineLevel="0" collapsed="false">
      <c r="A670" s="5" t="s">
        <v>3116</v>
      </c>
      <c r="B670" s="5" t="s">
        <v>3117</v>
      </c>
      <c r="D670" s="5" t="s">
        <v>62</v>
      </c>
      <c r="E670" s="16" t="n">
        <v>350279</v>
      </c>
      <c r="F670" s="16" t="n">
        <v>350279</v>
      </c>
      <c r="G670" s="5" t="s">
        <v>132</v>
      </c>
      <c r="H670" s="6" t="n">
        <v>435462</v>
      </c>
      <c r="J670" s="7" t="n">
        <f aca="false">E670*1.19</f>
        <v>416832.01</v>
      </c>
      <c r="K670" s="7" t="n">
        <f aca="false">F670*1.19</f>
        <v>416832.01</v>
      </c>
      <c r="L670" s="5" t="s">
        <v>84</v>
      </c>
      <c r="N670" s="8" t="s">
        <v>3118</v>
      </c>
      <c r="O670" s="5" t="s">
        <v>3119</v>
      </c>
      <c r="T670" s="5" t="s">
        <v>3120</v>
      </c>
      <c r="V670" s="5" t="s">
        <v>3121</v>
      </c>
      <c r="X670" s="5" t="s">
        <v>139</v>
      </c>
      <c r="Y670" s="5" t="s">
        <v>73</v>
      </c>
      <c r="AI670" s="9" t="n">
        <v>45169</v>
      </c>
      <c r="AL670" s="5" t="n">
        <v>435462</v>
      </c>
      <c r="AM670" s="5" t="s">
        <v>140</v>
      </c>
      <c r="AN670" s="5" t="s">
        <v>699</v>
      </c>
      <c r="AQ670" s="5" t="s">
        <v>77</v>
      </c>
      <c r="AR670" s="5" t="s">
        <v>143</v>
      </c>
      <c r="AS670" s="5" t="s">
        <v>73</v>
      </c>
      <c r="AT670" s="5" t="s">
        <v>105</v>
      </c>
      <c r="AU670" s="5" t="s">
        <v>106</v>
      </c>
      <c r="AV670" s="5"/>
      <c r="AW670" s="5" t="s">
        <v>94</v>
      </c>
      <c r="AX670" s="5" t="s">
        <v>218</v>
      </c>
      <c r="AY670" s="5"/>
      <c r="AZ670" s="5" t="s">
        <v>129</v>
      </c>
      <c r="BD670" s="9" t="n">
        <v>45733</v>
      </c>
      <c r="BE670" s="9" t="n">
        <v>45733</v>
      </c>
      <c r="BJ670" s="5" t="n">
        <v>2023</v>
      </c>
      <c r="BK670" s="5" t="s">
        <v>2830</v>
      </c>
    </row>
    <row r="671" customFormat="false" ht="16.5" hidden="false" customHeight="true" outlineLevel="0" collapsed="false">
      <c r="A671" s="5" t="s">
        <v>3122</v>
      </c>
      <c r="B671" s="5" t="s">
        <v>3123</v>
      </c>
      <c r="D671" s="5" t="s">
        <v>62</v>
      </c>
      <c r="E671" s="5" t="n">
        <v>249618</v>
      </c>
      <c r="F671" s="5" t="n">
        <v>249618</v>
      </c>
      <c r="G671" s="5" t="s">
        <v>147</v>
      </c>
      <c r="H671" s="6" t="n">
        <v>270199</v>
      </c>
      <c r="J671" s="7" t="n">
        <v>249618</v>
      </c>
      <c r="K671" s="7" t="n">
        <v>249618</v>
      </c>
      <c r="L671" s="5" t="s">
        <v>84</v>
      </c>
      <c r="M671" s="5" t="s">
        <v>65</v>
      </c>
      <c r="N671" s="8" t="s">
        <v>3124</v>
      </c>
      <c r="O671" s="5" t="s">
        <v>3125</v>
      </c>
      <c r="V671" s="5" t="s">
        <v>3126</v>
      </c>
      <c r="X671" s="5" t="s">
        <v>352</v>
      </c>
      <c r="Y671" s="5" t="s">
        <v>73</v>
      </c>
      <c r="AE671" s="5" t="s">
        <v>3127</v>
      </c>
      <c r="AI671" s="9" t="n">
        <v>45689</v>
      </c>
      <c r="AL671" s="5" t="n">
        <v>270199</v>
      </c>
      <c r="AM671" s="5" t="s">
        <v>182</v>
      </c>
      <c r="AN671" s="24" t="s">
        <v>508</v>
      </c>
      <c r="AQ671" s="5" t="s">
        <v>77</v>
      </c>
      <c r="AR671" s="5" t="s">
        <v>185</v>
      </c>
      <c r="AS671" s="5" t="s">
        <v>73</v>
      </c>
      <c r="AT671" s="5" t="s">
        <v>78</v>
      </c>
      <c r="AU671" s="10" t="s">
        <v>259</v>
      </c>
      <c r="AV671" s="10"/>
      <c r="AW671" s="5" t="s">
        <v>94</v>
      </c>
      <c r="AX671" s="5" t="s">
        <v>296</v>
      </c>
      <c r="AY671" s="5" t="s">
        <v>297</v>
      </c>
      <c r="AZ671" s="5" t="s">
        <v>188</v>
      </c>
      <c r="BD671" s="9" t="n">
        <v>45736</v>
      </c>
      <c r="BE671" s="9" t="n">
        <v>45747</v>
      </c>
      <c r="BJ671" s="5" t="n">
        <v>2025</v>
      </c>
      <c r="BK671" s="5" t="s">
        <v>2584</v>
      </c>
    </row>
    <row r="672" customFormat="false" ht="16.5" hidden="false" customHeight="true" outlineLevel="0" collapsed="false">
      <c r="A672" s="5" t="s">
        <v>3128</v>
      </c>
      <c r="B672" s="5" t="s">
        <v>3129</v>
      </c>
      <c r="D672" s="5" t="s">
        <v>62</v>
      </c>
      <c r="E672" s="5" t="n">
        <v>40000000</v>
      </c>
      <c r="F672" s="5" t="n">
        <v>40000000</v>
      </c>
      <c r="G672" s="5" t="s">
        <v>212</v>
      </c>
      <c r="H672" s="6" t="n">
        <v>3790407</v>
      </c>
      <c r="J672" s="7" t="n">
        <f aca="false">E672*0.091</f>
        <v>3640000</v>
      </c>
      <c r="K672" s="7" t="n">
        <f aca="false">F672*0.091</f>
        <v>3640000</v>
      </c>
      <c r="L672" s="5" t="s">
        <v>84</v>
      </c>
      <c r="M672" s="5" t="s">
        <v>65</v>
      </c>
      <c r="N672" s="8" t="s">
        <v>3130</v>
      </c>
      <c r="O672" s="5" t="s">
        <v>3131</v>
      </c>
      <c r="T672" s="5" t="s">
        <v>3132</v>
      </c>
      <c r="V672" s="5" t="s">
        <v>3133</v>
      </c>
      <c r="X672" s="5" t="s">
        <v>215</v>
      </c>
      <c r="Y672" s="5" t="s">
        <v>73</v>
      </c>
      <c r="AI672" s="9" t="n">
        <v>45658</v>
      </c>
      <c r="AL672" s="5" t="n">
        <v>3790407</v>
      </c>
      <c r="AM672" s="5" t="s">
        <v>217</v>
      </c>
      <c r="AN672" s="5"/>
      <c r="AQ672" s="5" t="s">
        <v>77</v>
      </c>
      <c r="AR672" s="5" t="s">
        <v>215</v>
      </c>
      <c r="AS672" s="5" t="s">
        <v>73</v>
      </c>
      <c r="AT672" s="5" t="s">
        <v>78</v>
      </c>
      <c r="AW672" s="25" t="s">
        <v>94</v>
      </c>
      <c r="AX672" s="10" t="str">
        <f aca="false" t="array" ref="AX672:AX672">IFERROR(INDEX('full database 2024'!ar:ar, MATCH(A672, 'full database 2024'!b:b, 0)), "")</f>
        <v/>
      </c>
      <c r="AZ672" s="5" t="s">
        <v>3134</v>
      </c>
      <c r="BD672" s="9" t="n">
        <v>45736</v>
      </c>
      <c r="BE672" s="9" t="n">
        <v>45747</v>
      </c>
      <c r="BJ672" s="29" t="n">
        <v>2025</v>
      </c>
      <c r="BK672" s="5" t="s">
        <v>2625</v>
      </c>
    </row>
    <row r="673" customFormat="false" ht="16.5" hidden="false" customHeight="true" outlineLevel="0" collapsed="false">
      <c r="A673" s="5" t="s">
        <v>3135</v>
      </c>
      <c r="B673" s="5" t="s">
        <v>3136</v>
      </c>
      <c r="D673" s="5" t="s">
        <v>62</v>
      </c>
      <c r="E673" s="5" t="n">
        <v>2485840</v>
      </c>
      <c r="F673" s="5" t="n">
        <v>2485840</v>
      </c>
      <c r="G673" s="5" t="s">
        <v>147</v>
      </c>
      <c r="H673" s="6" t="n">
        <v>2690896</v>
      </c>
      <c r="J673" s="7" t="n">
        <v>2485840</v>
      </c>
      <c r="K673" s="7" t="n">
        <v>2485840</v>
      </c>
      <c r="L673" s="5" t="s">
        <v>84</v>
      </c>
      <c r="M673" s="5" t="s">
        <v>65</v>
      </c>
      <c r="N673" s="8" t="s">
        <v>3137</v>
      </c>
      <c r="O673" s="5" t="s">
        <v>3138</v>
      </c>
      <c r="V673" s="5" t="s">
        <v>3139</v>
      </c>
      <c r="X673" s="5" t="s">
        <v>215</v>
      </c>
      <c r="Y673" s="5" t="s">
        <v>73</v>
      </c>
      <c r="AI673" s="9" t="n">
        <v>45658</v>
      </c>
      <c r="AL673" s="5" t="n">
        <v>2690896</v>
      </c>
      <c r="AM673" s="5" t="s">
        <v>182</v>
      </c>
      <c r="AN673" s="5" t="s">
        <v>446</v>
      </c>
      <c r="AQ673" s="5" t="s">
        <v>77</v>
      </c>
      <c r="AR673" s="5" t="s">
        <v>185</v>
      </c>
      <c r="AS673" s="5" t="s">
        <v>73</v>
      </c>
      <c r="AT673" s="5" t="s">
        <v>105</v>
      </c>
      <c r="AU673" s="10" t="s">
        <v>106</v>
      </c>
      <c r="AV673" s="10"/>
      <c r="AW673" s="25" t="s">
        <v>94</v>
      </c>
      <c r="AX673" s="5" t="s">
        <v>1433</v>
      </c>
      <c r="AY673" s="5"/>
      <c r="AZ673" s="5" t="s">
        <v>129</v>
      </c>
      <c r="BD673" s="9" t="n">
        <v>45736</v>
      </c>
      <c r="BE673" s="9" t="n">
        <v>45747</v>
      </c>
      <c r="BJ673" s="5" t="n">
        <v>2025</v>
      </c>
      <c r="BK673" s="5" t="s">
        <v>2680</v>
      </c>
    </row>
    <row r="674" customFormat="false" ht="16.5" hidden="false" customHeight="true" outlineLevel="0" collapsed="false">
      <c r="A674" s="5" t="s">
        <v>3140</v>
      </c>
      <c r="B674" s="5" t="s">
        <v>3141</v>
      </c>
      <c r="D674" s="5" t="s">
        <v>62</v>
      </c>
      <c r="E674" s="5" t="n">
        <v>2499999</v>
      </c>
      <c r="F674" s="5" t="n">
        <v>2499999</v>
      </c>
      <c r="G674" s="5" t="s">
        <v>147</v>
      </c>
      <c r="H674" s="6" t="n">
        <v>2706222</v>
      </c>
      <c r="J674" s="7" t="n">
        <v>2499999</v>
      </c>
      <c r="K674" s="7" t="n">
        <v>2499999</v>
      </c>
      <c r="L674" s="5" t="s">
        <v>84</v>
      </c>
      <c r="M674" s="5" t="s">
        <v>65</v>
      </c>
      <c r="N674" s="8" t="s">
        <v>3142</v>
      </c>
      <c r="O674" s="5" t="s">
        <v>3143</v>
      </c>
      <c r="V674" s="5" t="s">
        <v>3144</v>
      </c>
      <c r="X674" s="5" t="s">
        <v>160</v>
      </c>
      <c r="Y674" s="5" t="s">
        <v>73</v>
      </c>
      <c r="AI674" s="9" t="n">
        <v>45658</v>
      </c>
      <c r="AL674" s="5" t="n">
        <v>2706222</v>
      </c>
      <c r="AM674" s="5" t="s">
        <v>182</v>
      </c>
      <c r="AN674" s="5" t="s">
        <v>446</v>
      </c>
      <c r="AQ674" s="5" t="s">
        <v>77</v>
      </c>
      <c r="AR674" s="5" t="s">
        <v>185</v>
      </c>
      <c r="AS674" s="5" t="s">
        <v>73</v>
      </c>
      <c r="AT674" s="5" t="s">
        <v>105</v>
      </c>
      <c r="AU674" s="5" t="s">
        <v>106</v>
      </c>
      <c r="AV674" s="5"/>
      <c r="AW674" s="25" t="s">
        <v>94</v>
      </c>
      <c r="AX674" s="5" t="s">
        <v>495</v>
      </c>
      <c r="AY674" s="5"/>
      <c r="AZ674" s="5" t="s">
        <v>540</v>
      </c>
      <c r="BD674" s="9" t="n">
        <v>45736</v>
      </c>
      <c r="BE674" s="9" t="n">
        <v>45747</v>
      </c>
      <c r="BJ674" s="5" t="n">
        <v>2025</v>
      </c>
      <c r="BK674" s="5" t="s">
        <v>2251</v>
      </c>
    </row>
    <row r="675" customFormat="false" ht="16.5" hidden="false" customHeight="true" outlineLevel="0" collapsed="false">
      <c r="A675" s="5" t="s">
        <v>3145</v>
      </c>
      <c r="B675" s="5" t="s">
        <v>3146</v>
      </c>
      <c r="D675" s="5" t="s">
        <v>62</v>
      </c>
      <c r="E675" s="5" t="n">
        <v>3000000</v>
      </c>
      <c r="F675" s="5" t="n">
        <v>3000000</v>
      </c>
      <c r="G675" s="5" t="s">
        <v>212</v>
      </c>
      <c r="H675" s="6" t="n">
        <v>284274</v>
      </c>
      <c r="J675" s="7" t="n">
        <f aca="false">E675*0.091</f>
        <v>273000</v>
      </c>
      <c r="K675" s="7" t="n">
        <f aca="false">F675*0.091</f>
        <v>273000</v>
      </c>
      <c r="L675" s="5" t="s">
        <v>84</v>
      </c>
      <c r="M675" s="5" t="s">
        <v>65</v>
      </c>
      <c r="N675" s="8" t="s">
        <v>3147</v>
      </c>
      <c r="O675" s="5" t="s">
        <v>3148</v>
      </c>
      <c r="T675" s="5" t="s">
        <v>3149</v>
      </c>
      <c r="V675" s="5" t="s">
        <v>432</v>
      </c>
      <c r="X675" s="5" t="s">
        <v>215</v>
      </c>
      <c r="Y675" s="5" t="s">
        <v>73</v>
      </c>
      <c r="AI675" s="9" t="n">
        <v>45658</v>
      </c>
      <c r="AL675" s="5" t="n">
        <v>284274</v>
      </c>
      <c r="AM675" s="5" t="s">
        <v>217</v>
      </c>
      <c r="AN675" s="5"/>
      <c r="AQ675" s="5" t="s">
        <v>77</v>
      </c>
      <c r="AR675" s="5" t="s">
        <v>215</v>
      </c>
      <c r="AS675" s="5" t="s">
        <v>73</v>
      </c>
      <c r="AT675" s="5" t="s">
        <v>78</v>
      </c>
      <c r="AU675" s="10"/>
      <c r="AW675" s="5" t="s">
        <v>94</v>
      </c>
      <c r="AX675" s="5" t="s">
        <v>375</v>
      </c>
      <c r="AY675" s="5"/>
      <c r="AZ675" s="5" t="s">
        <v>95</v>
      </c>
      <c r="BD675" s="9" t="n">
        <v>45736</v>
      </c>
      <c r="BE675" s="9" t="n">
        <v>45747</v>
      </c>
      <c r="BJ675" s="5" t="n">
        <v>2025</v>
      </c>
      <c r="BK675" s="5" t="s">
        <v>2625</v>
      </c>
    </row>
    <row r="676" customFormat="false" ht="16.5" hidden="false" customHeight="true" outlineLevel="0" collapsed="false">
      <c r="A676" s="5" t="s">
        <v>3150</v>
      </c>
      <c r="B676" s="5" t="s">
        <v>3151</v>
      </c>
      <c r="D676" s="5" t="s">
        <v>62</v>
      </c>
      <c r="E676" s="5" t="n">
        <v>5273375</v>
      </c>
      <c r="F676" s="5" t="n">
        <v>5273375</v>
      </c>
      <c r="G676" s="5" t="s">
        <v>147</v>
      </c>
      <c r="H676" s="6" t="n">
        <v>5708376</v>
      </c>
      <c r="J676" s="7" t="n">
        <v>5273375</v>
      </c>
      <c r="K676" s="7" t="n">
        <v>5273375</v>
      </c>
      <c r="L676" s="5" t="s">
        <v>84</v>
      </c>
      <c r="M676" s="5" t="s">
        <v>65</v>
      </c>
      <c r="N676" s="8" t="s">
        <v>3152</v>
      </c>
      <c r="O676" s="5" t="s">
        <v>3153</v>
      </c>
      <c r="X676" s="5" t="s">
        <v>180</v>
      </c>
      <c r="Y676" s="5" t="s">
        <v>73</v>
      </c>
      <c r="Z676" s="5" t="s">
        <v>3154</v>
      </c>
      <c r="AE676" s="5" t="s">
        <v>3155</v>
      </c>
      <c r="AI676" s="9" t="n">
        <v>45658</v>
      </c>
      <c r="AL676" s="5" t="n">
        <v>5708376</v>
      </c>
      <c r="AM676" s="5" t="s">
        <v>182</v>
      </c>
      <c r="AN676" s="5" t="s">
        <v>404</v>
      </c>
      <c r="AQ676" s="5" t="s">
        <v>77</v>
      </c>
      <c r="AR676" s="5" t="s">
        <v>185</v>
      </c>
      <c r="AS676" s="5" t="s">
        <v>73</v>
      </c>
      <c r="AT676" s="5" t="s">
        <v>78</v>
      </c>
      <c r="AU676" s="10" t="s">
        <v>259</v>
      </c>
      <c r="AV676" s="10"/>
      <c r="AW676" s="25" t="s">
        <v>94</v>
      </c>
      <c r="AX676" s="5" t="s">
        <v>79</v>
      </c>
      <c r="AY676" s="5"/>
      <c r="AZ676" s="5" t="s">
        <v>540</v>
      </c>
      <c r="BD676" s="9" t="n">
        <v>45736</v>
      </c>
      <c r="BE676" s="9" t="n">
        <v>45747</v>
      </c>
      <c r="BJ676" s="5" t="n">
        <v>2025</v>
      </c>
      <c r="BK676" s="5" t="s">
        <v>2575</v>
      </c>
    </row>
    <row r="677" customFormat="false" ht="16.5" hidden="false" customHeight="true" outlineLevel="0" collapsed="false">
      <c r="A677" s="5" t="s">
        <v>3156</v>
      </c>
      <c r="B677" s="5" t="s">
        <v>3157</v>
      </c>
      <c r="D677" s="5" t="s">
        <v>62</v>
      </c>
      <c r="E677" s="5" t="n">
        <v>8507457</v>
      </c>
      <c r="F677" s="5" t="n">
        <v>8507457</v>
      </c>
      <c r="G677" s="5" t="s">
        <v>147</v>
      </c>
      <c r="H677" s="6" t="n">
        <v>9191524</v>
      </c>
      <c r="J677" s="7" t="n">
        <v>8507457</v>
      </c>
      <c r="K677" s="7" t="n">
        <v>8507457</v>
      </c>
      <c r="L677" s="5" t="s">
        <v>84</v>
      </c>
      <c r="N677" s="8" t="s">
        <v>3158</v>
      </c>
      <c r="O677" s="5" t="s">
        <v>3159</v>
      </c>
      <c r="X677" s="5" t="s">
        <v>215</v>
      </c>
      <c r="Y677" s="5" t="s">
        <v>73</v>
      </c>
      <c r="Z677" s="5" t="s">
        <v>3160</v>
      </c>
      <c r="AE677" s="5" t="s">
        <v>3161</v>
      </c>
      <c r="AI677" s="9" t="n">
        <v>44835</v>
      </c>
      <c r="AL677" s="5" t="n">
        <v>9191524</v>
      </c>
      <c r="AM677" s="5" t="s">
        <v>182</v>
      </c>
      <c r="AN677" s="5" t="s">
        <v>404</v>
      </c>
      <c r="AQ677" s="5" t="s">
        <v>77</v>
      </c>
      <c r="AR677" s="5" t="s">
        <v>185</v>
      </c>
      <c r="AS677" s="5" t="s">
        <v>73</v>
      </c>
      <c r="AT677" s="5" t="s">
        <v>105</v>
      </c>
      <c r="AU677" s="5" t="s">
        <v>186</v>
      </c>
      <c r="AV677" s="10" t="s">
        <v>569</v>
      </c>
      <c r="AW677" s="25" t="s">
        <v>94</v>
      </c>
      <c r="AX677" s="10" t="str">
        <f aca="false" t="array" ref="AX677:AX677">IFERROR(INDEX('full database 2024'!ar:ar, MATCH(A677, 'full database 2024'!b:b, 0)), "")</f>
        <v/>
      </c>
      <c r="AZ677" s="5" t="s">
        <v>129</v>
      </c>
      <c r="BD677" s="9" t="n">
        <v>45744</v>
      </c>
      <c r="BE677" s="9" t="n">
        <v>45744</v>
      </c>
      <c r="BJ677" s="5" t="n">
        <v>2022</v>
      </c>
      <c r="BK677" s="5" t="s">
        <v>1070</v>
      </c>
    </row>
    <row r="678" customFormat="false" ht="16.5" hidden="false" customHeight="true" outlineLevel="0" collapsed="false">
      <c r="A678" s="10" t="s">
        <v>3162</v>
      </c>
      <c r="B678" s="5" t="s">
        <v>3163</v>
      </c>
      <c r="D678" s="5" t="s">
        <v>62</v>
      </c>
      <c r="J678" s="18"/>
      <c r="K678" s="18"/>
      <c r="L678" s="5" t="s">
        <v>84</v>
      </c>
      <c r="M678" s="5" t="s">
        <v>65</v>
      </c>
      <c r="N678" s="8" t="s">
        <v>3164</v>
      </c>
      <c r="T678" s="5" t="s">
        <v>3165</v>
      </c>
      <c r="X678" s="5" t="s">
        <v>151</v>
      </c>
      <c r="Y678" s="5" t="s">
        <v>73</v>
      </c>
      <c r="AI678" s="9" t="n">
        <v>45658</v>
      </c>
      <c r="AM678" s="5" t="s">
        <v>2210</v>
      </c>
      <c r="AN678" s="5"/>
      <c r="AQ678" s="5" t="s">
        <v>77</v>
      </c>
      <c r="AR678" s="5" t="s">
        <v>151</v>
      </c>
      <c r="AS678" s="5" t="s">
        <v>73</v>
      </c>
      <c r="AT678" s="5" t="s">
        <v>374</v>
      </c>
      <c r="AU678" s="10"/>
      <c r="AW678" s="5" t="s">
        <v>94</v>
      </c>
      <c r="AX678" s="5" t="s">
        <v>375</v>
      </c>
      <c r="AY678" s="5"/>
      <c r="AZ678" s="5" t="s">
        <v>857</v>
      </c>
      <c r="BD678" s="9" t="n">
        <v>45744</v>
      </c>
      <c r="BE678" s="9" t="n">
        <v>45747</v>
      </c>
      <c r="BJ678" s="5" t="n">
        <v>2025</v>
      </c>
    </row>
    <row r="679" customFormat="false" ht="16.5" hidden="false" customHeight="true" outlineLevel="0" collapsed="false">
      <c r="A679" s="5" t="s">
        <v>3166</v>
      </c>
      <c r="B679" s="5" t="s">
        <v>3167</v>
      </c>
      <c r="D679" s="5" t="s">
        <v>62</v>
      </c>
      <c r="E679" s="5" t="n">
        <v>3998924</v>
      </c>
      <c r="F679" s="5" t="n">
        <v>3998924</v>
      </c>
      <c r="G679" s="5" t="s">
        <v>212</v>
      </c>
      <c r="H679" s="6" t="n">
        <v>378933</v>
      </c>
      <c r="J679" s="7" t="n">
        <f aca="false">E679*0.091</f>
        <v>363902.084</v>
      </c>
      <c r="K679" s="7" t="n">
        <f aca="false">F679*0.091</f>
        <v>363902.084</v>
      </c>
      <c r="L679" s="5" t="s">
        <v>84</v>
      </c>
      <c r="M679" s="5" t="s">
        <v>65</v>
      </c>
      <c r="N679" s="8" t="s">
        <v>3168</v>
      </c>
      <c r="O679" s="5" t="s">
        <v>3169</v>
      </c>
      <c r="T679" s="5" t="s">
        <v>3170</v>
      </c>
      <c r="V679" s="5" t="s">
        <v>426</v>
      </c>
      <c r="X679" s="5" t="s">
        <v>215</v>
      </c>
      <c r="Y679" s="5" t="s">
        <v>73</v>
      </c>
      <c r="AI679" s="9" t="n">
        <v>45627</v>
      </c>
      <c r="AL679" s="5" t="n">
        <v>378933</v>
      </c>
      <c r="AM679" s="5" t="s">
        <v>217</v>
      </c>
      <c r="AN679" s="5"/>
      <c r="AQ679" s="5" t="s">
        <v>77</v>
      </c>
      <c r="AR679" s="5" t="s">
        <v>215</v>
      </c>
      <c r="AS679" s="5" t="s">
        <v>73</v>
      </c>
      <c r="AT679" s="5" t="s">
        <v>78</v>
      </c>
      <c r="AU679" s="10"/>
      <c r="AW679" s="5" t="s">
        <v>94</v>
      </c>
      <c r="AX679" s="5" t="s">
        <v>79</v>
      </c>
      <c r="AY679" s="5"/>
      <c r="AZ679" s="5" t="s">
        <v>129</v>
      </c>
      <c r="BD679" s="9" t="n">
        <v>45747</v>
      </c>
      <c r="BE679" s="9" t="n">
        <v>45750</v>
      </c>
      <c r="BJ679" s="5" t="n">
        <v>2024</v>
      </c>
      <c r="BK679" s="5" t="s">
        <v>2215</v>
      </c>
    </row>
    <row r="680" customFormat="false" ht="16.5" hidden="false" customHeight="true" outlineLevel="0" collapsed="false">
      <c r="A680" s="5" t="s">
        <v>3171</v>
      </c>
      <c r="B680" s="5" t="s">
        <v>3172</v>
      </c>
      <c r="D680" s="5" t="s">
        <v>62</v>
      </c>
      <c r="E680" s="5" t="n">
        <v>0</v>
      </c>
      <c r="F680" s="5" t="n">
        <v>0</v>
      </c>
      <c r="G680" s="5" t="s">
        <v>147</v>
      </c>
      <c r="H680" s="6" t="n">
        <v>0</v>
      </c>
      <c r="J680" s="7" t="n">
        <v>0</v>
      </c>
      <c r="K680" s="7" t="n">
        <v>0</v>
      </c>
      <c r="L680" s="5" t="s">
        <v>84</v>
      </c>
      <c r="M680" s="5" t="s">
        <v>65</v>
      </c>
      <c r="N680" s="8" t="s">
        <v>3173</v>
      </c>
      <c r="O680" s="5" t="s">
        <v>3174</v>
      </c>
      <c r="T680" s="5" t="s">
        <v>3175</v>
      </c>
      <c r="V680" s="5" t="s">
        <v>3065</v>
      </c>
      <c r="X680" s="5" t="s">
        <v>333</v>
      </c>
      <c r="Y680" s="5" t="s">
        <v>73</v>
      </c>
      <c r="AI680" s="9" t="n">
        <v>45611</v>
      </c>
      <c r="AL680" s="5" t="n">
        <v>0</v>
      </c>
      <c r="AM680" s="5" t="s">
        <v>459</v>
      </c>
      <c r="AN680" s="5"/>
      <c r="AQ680" s="5" t="s">
        <v>77</v>
      </c>
      <c r="AR680" s="5" t="s">
        <v>333</v>
      </c>
      <c r="AS680" s="5" t="s">
        <v>73</v>
      </c>
      <c r="AT680" s="5" t="s">
        <v>78</v>
      </c>
      <c r="AU680" s="10"/>
      <c r="AW680" s="5" t="s">
        <v>94</v>
      </c>
      <c r="AX680" s="5" t="s">
        <v>296</v>
      </c>
      <c r="AY680" s="5" t="s">
        <v>1865</v>
      </c>
      <c r="AZ680" s="5" t="s">
        <v>188</v>
      </c>
      <c r="BD680" s="9" t="n">
        <v>45747</v>
      </c>
      <c r="BE680" s="9" t="n">
        <v>45750</v>
      </c>
      <c r="BJ680" s="5" t="n">
        <v>2024</v>
      </c>
      <c r="BK680" s="5" t="s">
        <v>3176</v>
      </c>
    </row>
    <row r="681" customFormat="false" ht="16.5" hidden="false" customHeight="true" outlineLevel="0" collapsed="false">
      <c r="A681" s="5" t="s">
        <v>3177</v>
      </c>
      <c r="B681" s="5" t="s">
        <v>3178</v>
      </c>
      <c r="D681" s="5" t="s">
        <v>62</v>
      </c>
      <c r="E681" s="16" t="n">
        <v>206085</v>
      </c>
      <c r="F681" s="16" t="n">
        <v>206085</v>
      </c>
      <c r="G681" s="5" t="s">
        <v>132</v>
      </c>
      <c r="H681" s="6" t="n">
        <v>260598</v>
      </c>
      <c r="J681" s="7" t="n">
        <f aca="false">E681*1.19</f>
        <v>245241.15</v>
      </c>
      <c r="K681" s="7" t="n">
        <f aca="false">F681*1.19</f>
        <v>245241.15</v>
      </c>
      <c r="L681" s="5" t="s">
        <v>84</v>
      </c>
      <c r="M681" s="5" t="s">
        <v>65</v>
      </c>
      <c r="N681" s="8" t="s">
        <v>3179</v>
      </c>
      <c r="O681" s="5" t="s">
        <v>3180</v>
      </c>
      <c r="T681" s="5" t="s">
        <v>137</v>
      </c>
      <c r="V681" s="5" t="s">
        <v>931</v>
      </c>
      <c r="X681" s="5" t="s">
        <v>139</v>
      </c>
      <c r="Y681" s="5" t="s">
        <v>73</v>
      </c>
      <c r="AI681" s="9" t="n">
        <v>45597</v>
      </c>
      <c r="AL681" s="5" t="n">
        <v>260598</v>
      </c>
      <c r="AM681" s="5" t="s">
        <v>140</v>
      </c>
      <c r="AN681" s="5" t="s">
        <v>673</v>
      </c>
      <c r="AQ681" s="5" t="s">
        <v>77</v>
      </c>
      <c r="AR681" s="5" t="s">
        <v>143</v>
      </c>
      <c r="AS681" s="5" t="s">
        <v>73</v>
      </c>
      <c r="AT681" s="5" t="s">
        <v>78</v>
      </c>
      <c r="AU681" s="10"/>
      <c r="AW681" s="5" t="s">
        <v>94</v>
      </c>
      <c r="AX681" s="5" t="s">
        <v>79</v>
      </c>
      <c r="AY681" s="5"/>
      <c r="AZ681" s="5" t="s">
        <v>129</v>
      </c>
      <c r="BD681" s="9" t="n">
        <v>45747</v>
      </c>
      <c r="BE681" s="9" t="n">
        <v>45750</v>
      </c>
      <c r="BJ681" s="5" t="n">
        <v>2024</v>
      </c>
      <c r="BK681" s="5" t="s">
        <v>1219</v>
      </c>
    </row>
    <row r="682" customFormat="false" ht="16.5" hidden="false" customHeight="true" outlineLevel="0" collapsed="false">
      <c r="A682" s="5" t="s">
        <v>3181</v>
      </c>
      <c r="B682" s="5" t="s">
        <v>3182</v>
      </c>
      <c r="D682" s="5" t="s">
        <v>62</v>
      </c>
      <c r="E682" s="5" t="n">
        <v>214934</v>
      </c>
      <c r="F682" s="5" t="n">
        <v>214934</v>
      </c>
      <c r="G682" s="5" t="s">
        <v>147</v>
      </c>
      <c r="H682" s="6" t="n">
        <v>232655</v>
      </c>
      <c r="J682" s="7" t="n">
        <v>214934</v>
      </c>
      <c r="K682" s="7" t="n">
        <v>214934</v>
      </c>
      <c r="L682" s="5" t="s">
        <v>84</v>
      </c>
      <c r="M682" s="5" t="s">
        <v>65</v>
      </c>
      <c r="N682" s="8" t="s">
        <v>3183</v>
      </c>
      <c r="O682" s="5" t="s">
        <v>3184</v>
      </c>
      <c r="V682" s="5" t="s">
        <v>3185</v>
      </c>
      <c r="X682" s="5" t="s">
        <v>72</v>
      </c>
      <c r="Y682" s="5" t="s">
        <v>73</v>
      </c>
      <c r="AI682" s="9" t="n">
        <v>45597</v>
      </c>
      <c r="AL682" s="5" t="n">
        <v>232655</v>
      </c>
      <c r="AM682" s="5" t="s">
        <v>182</v>
      </c>
      <c r="AN682" s="24" t="s">
        <v>508</v>
      </c>
      <c r="AQ682" s="5" t="s">
        <v>77</v>
      </c>
      <c r="AR682" s="5" t="s">
        <v>185</v>
      </c>
      <c r="AS682" s="5" t="s">
        <v>73</v>
      </c>
      <c r="AT682" s="5" t="s">
        <v>78</v>
      </c>
      <c r="AU682" s="10"/>
      <c r="AW682" s="5" t="s">
        <v>94</v>
      </c>
      <c r="AX682" s="5" t="s">
        <v>79</v>
      </c>
      <c r="AY682" s="5"/>
      <c r="AZ682" s="5" t="s">
        <v>309</v>
      </c>
      <c r="BD682" s="9" t="n">
        <v>45747</v>
      </c>
      <c r="BE682" s="9" t="n">
        <v>45750</v>
      </c>
      <c r="BJ682" s="5" t="n">
        <v>2024</v>
      </c>
      <c r="BK682" s="5" t="s">
        <v>1219</v>
      </c>
    </row>
    <row r="683" customFormat="false" ht="16.5" hidden="false" customHeight="true" outlineLevel="0" collapsed="false">
      <c r="A683" s="5" t="s">
        <v>3186</v>
      </c>
      <c r="B683" s="5" t="s">
        <v>3187</v>
      </c>
      <c r="D683" s="5" t="s">
        <v>62</v>
      </c>
      <c r="E683" s="16" t="n">
        <v>50000</v>
      </c>
      <c r="F683" s="16" t="n">
        <v>50000</v>
      </c>
      <c r="G683" s="5" t="s">
        <v>132</v>
      </c>
      <c r="H683" s="6" t="n">
        <v>63224</v>
      </c>
      <c r="J683" s="7" t="n">
        <f aca="false">E683*1.19</f>
        <v>59500</v>
      </c>
      <c r="K683" s="7" t="n">
        <f aca="false">F683*1.19</f>
        <v>59500</v>
      </c>
      <c r="L683" s="5" t="s">
        <v>84</v>
      </c>
      <c r="N683" s="8" t="s">
        <v>3188</v>
      </c>
      <c r="O683" s="5" t="s">
        <v>3189</v>
      </c>
      <c r="T683" s="5" t="s">
        <v>3190</v>
      </c>
      <c r="V683" s="5" t="s">
        <v>3191</v>
      </c>
      <c r="X683" s="5" t="s">
        <v>139</v>
      </c>
      <c r="Y683" s="5" t="s">
        <v>73</v>
      </c>
      <c r="AI683" s="9" t="n">
        <v>45565</v>
      </c>
      <c r="AL683" s="5" t="n">
        <v>63224</v>
      </c>
      <c r="AM683" s="5" t="s">
        <v>140</v>
      </c>
      <c r="AN683" s="5" t="s">
        <v>699</v>
      </c>
      <c r="AQ683" s="5" t="s">
        <v>77</v>
      </c>
      <c r="AR683" s="5" t="s">
        <v>143</v>
      </c>
      <c r="AS683" s="5" t="s">
        <v>73</v>
      </c>
      <c r="AT683" s="5" t="s">
        <v>78</v>
      </c>
      <c r="AU683" s="10" t="s">
        <v>259</v>
      </c>
      <c r="AV683" s="10"/>
      <c r="AW683" s="5" t="s">
        <v>94</v>
      </c>
      <c r="AX683" s="5" t="s">
        <v>79</v>
      </c>
      <c r="AY683" s="5"/>
      <c r="AZ683" s="5" t="s">
        <v>129</v>
      </c>
      <c r="BD683" s="9" t="n">
        <v>45747</v>
      </c>
      <c r="BE683" s="9" t="n">
        <v>45747</v>
      </c>
      <c r="BJ683" s="5" t="n">
        <v>2024</v>
      </c>
      <c r="BK683" s="5" t="s">
        <v>2448</v>
      </c>
    </row>
    <row r="684" customFormat="false" ht="16.5" hidden="false" customHeight="true" outlineLevel="0" collapsed="false">
      <c r="A684" s="5" t="s">
        <v>3192</v>
      </c>
      <c r="B684" s="5" t="s">
        <v>3193</v>
      </c>
      <c r="D684" s="5" t="s">
        <v>62</v>
      </c>
      <c r="E684" s="5" t="n">
        <v>2442728</v>
      </c>
      <c r="F684" s="5" t="n">
        <v>2442728</v>
      </c>
      <c r="G684" s="5" t="s">
        <v>147</v>
      </c>
      <c r="H684" s="6" t="n">
        <v>2644228</v>
      </c>
      <c r="J684" s="7" t="n">
        <v>2442728</v>
      </c>
      <c r="K684" s="7" t="n">
        <v>2442728</v>
      </c>
      <c r="L684" s="5" t="s">
        <v>84</v>
      </c>
      <c r="N684" s="8" t="s">
        <v>3194</v>
      </c>
      <c r="O684" s="5" t="s">
        <v>3195</v>
      </c>
      <c r="V684" s="5" t="s">
        <v>3196</v>
      </c>
      <c r="X684" s="5" t="s">
        <v>3197</v>
      </c>
      <c r="Y684" s="5" t="s">
        <v>73</v>
      </c>
      <c r="AI684" s="9" t="n">
        <v>45536</v>
      </c>
      <c r="AL684" s="5" t="n">
        <v>2644228</v>
      </c>
      <c r="AM684" s="5" t="s">
        <v>182</v>
      </c>
      <c r="AN684" s="5" t="s">
        <v>446</v>
      </c>
      <c r="AQ684" s="5" t="s">
        <v>77</v>
      </c>
      <c r="AR684" s="5" t="s">
        <v>185</v>
      </c>
      <c r="AS684" s="5" t="s">
        <v>73</v>
      </c>
      <c r="AT684" s="5" t="s">
        <v>105</v>
      </c>
      <c r="AU684" s="5" t="s">
        <v>186</v>
      </c>
      <c r="AV684" s="10" t="s">
        <v>569</v>
      </c>
      <c r="AW684" s="25" t="s">
        <v>94</v>
      </c>
      <c r="AX684" s="5" t="s">
        <v>79</v>
      </c>
      <c r="AY684" s="5"/>
      <c r="AZ684" s="5" t="s">
        <v>107</v>
      </c>
      <c r="BD684" s="9" t="n">
        <v>45747</v>
      </c>
      <c r="BE684" s="9" t="n">
        <v>45747</v>
      </c>
      <c r="BJ684" s="5" t="n">
        <v>2024</v>
      </c>
      <c r="BK684" s="5" t="s">
        <v>3198</v>
      </c>
    </row>
    <row r="685" customFormat="false" ht="16.5" hidden="false" customHeight="true" outlineLevel="0" collapsed="false">
      <c r="A685" s="5" t="s">
        <v>3199</v>
      </c>
      <c r="B685" s="5" t="s">
        <v>3200</v>
      </c>
      <c r="D685" s="5" t="s">
        <v>62</v>
      </c>
      <c r="E685" s="5" t="n">
        <v>1499531</v>
      </c>
      <c r="F685" s="5" t="n">
        <v>1499531</v>
      </c>
      <c r="G685" s="5" t="s">
        <v>147</v>
      </c>
      <c r="H685" s="6" t="n">
        <v>1623226</v>
      </c>
      <c r="J685" s="7" t="n">
        <v>1499531</v>
      </c>
      <c r="K685" s="7" t="n">
        <v>1499531</v>
      </c>
      <c r="L685" s="5" t="s">
        <v>84</v>
      </c>
      <c r="N685" s="8" t="s">
        <v>3201</v>
      </c>
      <c r="O685" s="5" t="s">
        <v>3202</v>
      </c>
      <c r="X685" s="5" t="s">
        <v>2243</v>
      </c>
      <c r="Y685" s="5" t="s">
        <v>73</v>
      </c>
      <c r="Z685" s="5" t="s">
        <v>3203</v>
      </c>
      <c r="AE685" s="5" t="s">
        <v>3204</v>
      </c>
      <c r="AI685" s="9" t="n">
        <v>45536</v>
      </c>
      <c r="AL685" s="5" t="n">
        <v>1623226</v>
      </c>
      <c r="AM685" s="5" t="s">
        <v>182</v>
      </c>
      <c r="AN685" s="24" t="s">
        <v>2624</v>
      </c>
      <c r="AQ685" s="5" t="s">
        <v>77</v>
      </c>
      <c r="AR685" s="5" t="s">
        <v>185</v>
      </c>
      <c r="AS685" s="5" t="s">
        <v>73</v>
      </c>
      <c r="AT685" s="5" t="s">
        <v>78</v>
      </c>
      <c r="AU685" s="10"/>
      <c r="AW685" s="25" t="s">
        <v>201</v>
      </c>
      <c r="AX685" s="5" t="s">
        <v>79</v>
      </c>
      <c r="AY685" s="5"/>
      <c r="AZ685" s="5" t="s">
        <v>95</v>
      </c>
      <c r="BD685" s="9" t="n">
        <v>45747</v>
      </c>
      <c r="BE685" s="9" t="n">
        <v>45747</v>
      </c>
      <c r="BJ685" s="5" t="n">
        <v>2024</v>
      </c>
      <c r="BK685" s="5" t="s">
        <v>2339</v>
      </c>
    </row>
    <row r="686" customFormat="false" ht="16.5" hidden="false" customHeight="true" outlineLevel="0" collapsed="false">
      <c r="A686" s="5" t="s">
        <v>3205</v>
      </c>
      <c r="B686" s="5" t="s">
        <v>3206</v>
      </c>
      <c r="D686" s="5" t="s">
        <v>62</v>
      </c>
      <c r="E686" s="5" t="n">
        <v>1008950</v>
      </c>
      <c r="F686" s="5" t="n">
        <v>1008950</v>
      </c>
      <c r="G686" s="5" t="s">
        <v>147</v>
      </c>
      <c r="H686" s="6" t="n">
        <v>1092168</v>
      </c>
      <c r="J686" s="7" t="n">
        <v>1008950</v>
      </c>
      <c r="K686" s="7" t="n">
        <v>1008950</v>
      </c>
      <c r="L686" s="5" t="s">
        <v>84</v>
      </c>
      <c r="N686" s="8" t="s">
        <v>3207</v>
      </c>
      <c r="O686" s="5" t="s">
        <v>3208</v>
      </c>
      <c r="V686" s="5" t="s">
        <v>3209</v>
      </c>
      <c r="X686" s="5" t="s">
        <v>271</v>
      </c>
      <c r="Y686" s="5" t="s">
        <v>73</v>
      </c>
      <c r="Z686" s="5" t="s">
        <v>3210</v>
      </c>
      <c r="AE686" s="5" t="s">
        <v>3211</v>
      </c>
      <c r="AI686" s="9" t="n">
        <v>45536</v>
      </c>
      <c r="AL686" s="5" t="n">
        <v>1092168</v>
      </c>
      <c r="AM686" s="5" t="s">
        <v>182</v>
      </c>
      <c r="AN686" s="24" t="s">
        <v>2933</v>
      </c>
      <c r="AQ686" s="5" t="s">
        <v>77</v>
      </c>
      <c r="AR686" s="5" t="s">
        <v>185</v>
      </c>
      <c r="AS686" s="5" t="s">
        <v>73</v>
      </c>
      <c r="AT686" s="5" t="s">
        <v>71</v>
      </c>
      <c r="AU686" s="5" t="s">
        <v>120</v>
      </c>
      <c r="AV686" s="5"/>
      <c r="AW686" s="25" t="s">
        <v>94</v>
      </c>
      <c r="AX686" s="5" t="s">
        <v>79</v>
      </c>
      <c r="AY686" s="5"/>
      <c r="AZ686" s="5" t="s">
        <v>639</v>
      </c>
      <c r="BD686" s="9" t="n">
        <v>45747</v>
      </c>
      <c r="BE686" s="9" t="n">
        <v>45747</v>
      </c>
      <c r="BJ686" s="5" t="n">
        <v>2024</v>
      </c>
      <c r="BK686" s="5" t="s">
        <v>1283</v>
      </c>
    </row>
    <row r="687" customFormat="false" ht="16.5" hidden="false" customHeight="true" outlineLevel="0" collapsed="false">
      <c r="A687" s="5" t="s">
        <v>3212</v>
      </c>
      <c r="B687" s="5" t="s">
        <v>3213</v>
      </c>
      <c r="D687" s="5" t="s">
        <v>62</v>
      </c>
      <c r="E687" s="16" t="n">
        <v>630212</v>
      </c>
      <c r="F687" s="16" t="n">
        <v>630212</v>
      </c>
      <c r="G687" s="5" t="s">
        <v>132</v>
      </c>
      <c r="H687" s="6" t="n">
        <v>796930</v>
      </c>
      <c r="J687" s="7" t="n">
        <f aca="false">E687*1.19</f>
        <v>749952.28</v>
      </c>
      <c r="K687" s="7" t="n">
        <f aca="false">F687*1.19</f>
        <v>749952.28</v>
      </c>
      <c r="L687" s="5" t="s">
        <v>84</v>
      </c>
      <c r="N687" s="8" t="s">
        <v>3214</v>
      </c>
      <c r="O687" s="5" t="s">
        <v>3215</v>
      </c>
      <c r="T687" s="5" t="s">
        <v>3216</v>
      </c>
      <c r="V687" s="5" t="s">
        <v>688</v>
      </c>
      <c r="X687" s="5" t="s">
        <v>139</v>
      </c>
      <c r="Y687" s="5" t="s">
        <v>73</v>
      </c>
      <c r="AI687" s="9" t="n">
        <v>45535</v>
      </c>
      <c r="AL687" s="5" t="n">
        <v>796930</v>
      </c>
      <c r="AM687" s="5" t="s">
        <v>140</v>
      </c>
      <c r="AN687" s="5" t="s">
        <v>141</v>
      </c>
      <c r="AQ687" s="5" t="s">
        <v>77</v>
      </c>
      <c r="AR687" s="5" t="s">
        <v>143</v>
      </c>
      <c r="AS687" s="5" t="s">
        <v>73</v>
      </c>
      <c r="AT687" s="5" t="s">
        <v>78</v>
      </c>
      <c r="AU687" s="10"/>
      <c r="AW687" s="5" t="s">
        <v>94</v>
      </c>
      <c r="AX687" s="5" t="s">
        <v>79</v>
      </c>
      <c r="AY687" s="5"/>
      <c r="AZ687" s="5" t="s">
        <v>309</v>
      </c>
      <c r="BD687" s="9" t="n">
        <v>45747</v>
      </c>
      <c r="BE687" s="9" t="n">
        <v>45747</v>
      </c>
      <c r="BJ687" s="5" t="n">
        <v>2024</v>
      </c>
      <c r="BK687" s="5" t="s">
        <v>2332</v>
      </c>
    </row>
    <row r="688" customFormat="false" ht="16.5" hidden="false" customHeight="true" outlineLevel="0" collapsed="false">
      <c r="A688" s="5" t="s">
        <v>3217</v>
      </c>
      <c r="B688" s="5" t="s">
        <v>3218</v>
      </c>
      <c r="D688" s="5" t="s">
        <v>62</v>
      </c>
      <c r="E688" s="5" t="n">
        <v>2995440</v>
      </c>
      <c r="F688" s="5" t="n">
        <v>2995440</v>
      </c>
      <c r="G688" s="5" t="s">
        <v>63</v>
      </c>
      <c r="H688" s="6" t="n">
        <v>434625</v>
      </c>
      <c r="J688" s="7" t="n">
        <f aca="false">E688*0.13</f>
        <v>389407.2</v>
      </c>
      <c r="K688" s="7" t="n">
        <f aca="false">F688*0.13</f>
        <v>389407.2</v>
      </c>
      <c r="L688" s="5" t="s">
        <v>84</v>
      </c>
      <c r="O688" s="5" t="s">
        <v>3219</v>
      </c>
      <c r="T688" s="5" t="s">
        <v>3220</v>
      </c>
      <c r="V688" s="5" t="s">
        <v>2715</v>
      </c>
      <c r="X688" s="5" t="s">
        <v>72</v>
      </c>
      <c r="Y688" s="5" t="s">
        <v>73</v>
      </c>
      <c r="Z688" s="5" t="s">
        <v>3221</v>
      </c>
      <c r="AI688" s="9" t="n">
        <v>45505</v>
      </c>
      <c r="AL688" s="5" t="n">
        <v>434625</v>
      </c>
      <c r="AM688" s="5" t="s">
        <v>92</v>
      </c>
      <c r="AN688" s="5"/>
      <c r="AQ688" s="5" t="s">
        <v>93</v>
      </c>
      <c r="AR688" s="5" t="s">
        <v>72</v>
      </c>
      <c r="AS688" s="5" t="s">
        <v>73</v>
      </c>
      <c r="AT688" s="5" t="s">
        <v>78</v>
      </c>
      <c r="AU688" s="10"/>
      <c r="AW688" s="5" t="s">
        <v>94</v>
      </c>
      <c r="AX688" s="5" t="s">
        <v>296</v>
      </c>
      <c r="AY688" s="5" t="s">
        <v>297</v>
      </c>
      <c r="AZ688" s="5" t="s">
        <v>188</v>
      </c>
      <c r="BD688" s="9" t="n">
        <v>45747</v>
      </c>
      <c r="BE688" s="9" t="n">
        <v>45747</v>
      </c>
      <c r="BJ688" s="5" t="n">
        <v>2024</v>
      </c>
      <c r="BK688" s="5" t="s">
        <v>2584</v>
      </c>
    </row>
    <row r="689" customFormat="false" ht="16.5" hidden="false" customHeight="true" outlineLevel="0" collapsed="false">
      <c r="A689" s="5" t="s">
        <v>3222</v>
      </c>
      <c r="B689" s="5" t="s">
        <v>3223</v>
      </c>
      <c r="D689" s="5" t="s">
        <v>62</v>
      </c>
      <c r="E689" s="33" t="n">
        <v>7503689</v>
      </c>
      <c r="F689" s="33" t="n">
        <v>5931246.25</v>
      </c>
      <c r="G689" s="33" t="s">
        <v>147</v>
      </c>
      <c r="H689" s="33" t="n">
        <v>8156183.696</v>
      </c>
      <c r="J689" s="34" t="n">
        <v>7503689</v>
      </c>
      <c r="K689" s="34" t="n">
        <v>5931246.25</v>
      </c>
      <c r="L689" s="5" t="s">
        <v>84</v>
      </c>
      <c r="N689" s="8" t="s">
        <v>3224</v>
      </c>
      <c r="O689" s="5" t="s">
        <v>3225</v>
      </c>
      <c r="X689" s="5" t="s">
        <v>72</v>
      </c>
      <c r="Y689" s="5" t="s">
        <v>73</v>
      </c>
      <c r="Z689" s="5" t="s">
        <v>3226</v>
      </c>
      <c r="AE689" s="5" t="s">
        <v>3227</v>
      </c>
      <c r="AI689" s="9" t="n">
        <v>45444</v>
      </c>
      <c r="AL689" s="5" t="n">
        <v>6420509</v>
      </c>
      <c r="AM689" s="5" t="s">
        <v>182</v>
      </c>
      <c r="AN689" s="5" t="s">
        <v>404</v>
      </c>
      <c r="AQ689" s="5" t="s">
        <v>77</v>
      </c>
      <c r="AR689" s="5" t="s">
        <v>185</v>
      </c>
      <c r="AS689" s="5" t="s">
        <v>73</v>
      </c>
      <c r="AT689" s="5" t="s">
        <v>105</v>
      </c>
      <c r="AU689" s="5" t="s">
        <v>186</v>
      </c>
      <c r="AV689" s="5"/>
      <c r="AW689" s="25" t="s">
        <v>94</v>
      </c>
      <c r="AX689" s="5" t="s">
        <v>79</v>
      </c>
      <c r="AY689" s="5"/>
      <c r="AZ689" s="5" t="s">
        <v>448</v>
      </c>
      <c r="BD689" s="9" t="n">
        <v>45747</v>
      </c>
      <c r="BE689" s="9" t="n">
        <v>45747</v>
      </c>
      <c r="BJ689" s="5" t="n">
        <v>2024</v>
      </c>
      <c r="BK689" s="5" t="s">
        <v>3228</v>
      </c>
    </row>
    <row r="690" customFormat="false" ht="16.5" hidden="false" customHeight="true" outlineLevel="0" collapsed="false">
      <c r="A690" s="5" t="s">
        <v>3229</v>
      </c>
      <c r="B690" s="5" t="s">
        <v>3230</v>
      </c>
      <c r="D690" s="5" t="s">
        <v>62</v>
      </c>
      <c r="E690" s="5" t="n">
        <v>2996226</v>
      </c>
      <c r="F690" s="5" t="n">
        <v>2996226</v>
      </c>
      <c r="G690" s="5" t="s">
        <v>63</v>
      </c>
      <c r="H690" s="6" t="n">
        <v>434739</v>
      </c>
      <c r="J690" s="7" t="n">
        <f aca="false">E690*0.13</f>
        <v>389509.38</v>
      </c>
      <c r="K690" s="7" t="n">
        <f aca="false">F690*0.13</f>
        <v>389509.38</v>
      </c>
      <c r="L690" s="5" t="s">
        <v>84</v>
      </c>
      <c r="O690" s="5" t="s">
        <v>3231</v>
      </c>
      <c r="T690" s="5" t="s">
        <v>3232</v>
      </c>
      <c r="V690" s="5" t="s">
        <v>128</v>
      </c>
      <c r="X690" s="5" t="s">
        <v>72</v>
      </c>
      <c r="Y690" s="5" t="s">
        <v>73</v>
      </c>
      <c r="AI690" s="9" t="n">
        <v>45383</v>
      </c>
      <c r="AL690" s="5" t="n">
        <v>434739</v>
      </c>
      <c r="AM690" s="5" t="s">
        <v>92</v>
      </c>
      <c r="AN690" s="5"/>
      <c r="AQ690" s="5" t="s">
        <v>93</v>
      </c>
      <c r="AR690" s="5" t="s">
        <v>72</v>
      </c>
      <c r="AS690" s="5" t="s">
        <v>73</v>
      </c>
      <c r="AT690" s="5" t="s">
        <v>78</v>
      </c>
      <c r="AW690" s="5" t="s">
        <v>94</v>
      </c>
      <c r="AX690" s="10" t="str">
        <f aca="false" t="array" ref="AX690:AX690">IFERROR(INDEX('full database 2024'!ar:ar, MATCH(A690, 'full database 2024'!b:b, 0)), "")</f>
        <v/>
      </c>
      <c r="AZ690" s="5" t="s">
        <v>309</v>
      </c>
      <c r="BD690" s="9" t="n">
        <v>45747</v>
      </c>
      <c r="BE690" s="9" t="n">
        <v>45747</v>
      </c>
      <c r="BJ690" s="5" t="n">
        <v>2024</v>
      </c>
      <c r="BK690" s="5" t="s">
        <v>1345</v>
      </c>
    </row>
    <row r="691" customFormat="false" ht="16.5" hidden="false" customHeight="true" outlineLevel="0" collapsed="false">
      <c r="A691" s="5" t="s">
        <v>3233</v>
      </c>
      <c r="B691" s="5" t="s">
        <v>3234</v>
      </c>
      <c r="D691" s="5" t="s">
        <v>62</v>
      </c>
      <c r="E691" s="16" t="n">
        <v>938611</v>
      </c>
      <c r="F691" s="16" t="n">
        <v>938611</v>
      </c>
      <c r="G691" s="5" t="s">
        <v>132</v>
      </c>
      <c r="H691" s="6" t="n">
        <v>1186918</v>
      </c>
      <c r="J691" s="7" t="n">
        <f aca="false">E691*1.19</f>
        <v>1116947.09</v>
      </c>
      <c r="K691" s="7" t="n">
        <f aca="false">F691*1.19</f>
        <v>1116947.09</v>
      </c>
      <c r="L691" s="5" t="s">
        <v>84</v>
      </c>
      <c r="N691" s="8" t="s">
        <v>3235</v>
      </c>
      <c r="O691" s="5" t="s">
        <v>3236</v>
      </c>
      <c r="T691" s="5" t="s">
        <v>3237</v>
      </c>
      <c r="V691" s="5" t="s">
        <v>3238</v>
      </c>
      <c r="X691" s="5" t="s">
        <v>139</v>
      </c>
      <c r="Y691" s="5" t="s">
        <v>73</v>
      </c>
      <c r="AI691" s="9" t="n">
        <v>45352</v>
      </c>
      <c r="AL691" s="5" t="n">
        <v>1186918</v>
      </c>
      <c r="AM691" s="5" t="s">
        <v>3239</v>
      </c>
      <c r="AN691" s="5"/>
      <c r="AQ691" s="5" t="s">
        <v>93</v>
      </c>
      <c r="AR691" s="5" t="s">
        <v>143</v>
      </c>
      <c r="AS691" s="5" t="s">
        <v>73</v>
      </c>
      <c r="AT691" s="5" t="s">
        <v>78</v>
      </c>
      <c r="AU691" s="10"/>
      <c r="AW691" s="25" t="s">
        <v>94</v>
      </c>
      <c r="AX691" s="5" t="s">
        <v>375</v>
      </c>
      <c r="AY691" s="5"/>
      <c r="AZ691" s="5" t="s">
        <v>399</v>
      </c>
      <c r="BD691" s="9" t="n">
        <v>45747</v>
      </c>
      <c r="BE691" s="9" t="n">
        <v>45747</v>
      </c>
      <c r="BJ691" s="5" t="n">
        <v>2023</v>
      </c>
      <c r="BK691" s="11" t="n">
        <v>46390</v>
      </c>
    </row>
    <row r="692" customFormat="false" ht="16.5" hidden="false" customHeight="true" outlineLevel="0" collapsed="false">
      <c r="A692" s="5" t="s">
        <v>535</v>
      </c>
      <c r="B692" s="5" t="s">
        <v>3240</v>
      </c>
      <c r="D692" s="5" t="s">
        <v>62</v>
      </c>
      <c r="E692" s="16" t="n">
        <v>260676</v>
      </c>
      <c r="F692" s="16" t="n">
        <v>260676</v>
      </c>
      <c r="G692" s="5" t="s">
        <v>132</v>
      </c>
      <c r="H692" s="6" t="n">
        <v>329621</v>
      </c>
      <c r="J692" s="7" t="n">
        <f aca="false">E692*1.19</f>
        <v>310204.44</v>
      </c>
      <c r="K692" s="7" t="n">
        <f aca="false">F692*1.19</f>
        <v>310204.44</v>
      </c>
      <c r="L692" s="5" t="s">
        <v>84</v>
      </c>
      <c r="N692" s="8" t="s">
        <v>3241</v>
      </c>
      <c r="O692" s="5" t="s">
        <v>3242</v>
      </c>
      <c r="T692" s="5" t="s">
        <v>3243</v>
      </c>
      <c r="V692" s="5" t="s">
        <v>688</v>
      </c>
      <c r="X692" s="5" t="s">
        <v>139</v>
      </c>
      <c r="Y692" s="5" t="s">
        <v>73</v>
      </c>
      <c r="AI692" s="9" t="n">
        <v>45352</v>
      </c>
      <c r="AL692" s="5" t="n">
        <v>329621</v>
      </c>
      <c r="AM692" s="5" t="s">
        <v>140</v>
      </c>
      <c r="AN692" s="5" t="s">
        <v>673</v>
      </c>
      <c r="AQ692" s="5" t="s">
        <v>77</v>
      </c>
      <c r="AR692" s="5" t="s">
        <v>143</v>
      </c>
      <c r="AS692" s="5" t="s">
        <v>73</v>
      </c>
      <c r="AT692" s="5" t="s">
        <v>78</v>
      </c>
      <c r="AU692" s="10" t="s">
        <v>259</v>
      </c>
      <c r="AW692" s="5" t="s">
        <v>94</v>
      </c>
      <c r="AX692" s="10" t="str">
        <f aca="false" t="array" ref="AX692:AX692">IFERROR(INDEX('full database 2024'!ar:ar, MATCH(A692, 'full database 2024'!b:b, 0)), "")</f>
        <v/>
      </c>
      <c r="AZ692" s="5" t="s">
        <v>540</v>
      </c>
      <c r="BD692" s="9" t="n">
        <v>45747</v>
      </c>
      <c r="BE692" s="9" t="n">
        <v>45747</v>
      </c>
      <c r="BJ692" s="5" t="n">
        <v>2025</v>
      </c>
      <c r="BK692" s="5" t="s">
        <v>3244</v>
      </c>
    </row>
    <row r="693" customFormat="false" ht="16.5" hidden="false" customHeight="true" outlineLevel="0" collapsed="false">
      <c r="A693" s="5" t="s">
        <v>3245</v>
      </c>
      <c r="B693" s="5" t="s">
        <v>3246</v>
      </c>
      <c r="D693" s="5" t="s">
        <v>62</v>
      </c>
      <c r="E693" s="16" t="n">
        <v>125000</v>
      </c>
      <c r="F693" s="16" t="n">
        <v>100000</v>
      </c>
      <c r="G693" s="5" t="s">
        <v>132</v>
      </c>
      <c r="H693" s="6" t="n">
        <v>0</v>
      </c>
      <c r="J693" s="7" t="n">
        <f aca="false">E693*1.19</f>
        <v>148750</v>
      </c>
      <c r="K693" s="7" t="n">
        <f aca="false">F693*1.19</f>
        <v>119000</v>
      </c>
      <c r="L693" s="5" t="s">
        <v>84</v>
      </c>
      <c r="N693" s="8" t="s">
        <v>3247</v>
      </c>
      <c r="O693" s="5" t="s">
        <v>3248</v>
      </c>
      <c r="T693" s="5" t="s">
        <v>3249</v>
      </c>
      <c r="V693" s="5" t="s">
        <v>1139</v>
      </c>
      <c r="X693" s="5" t="s">
        <v>139</v>
      </c>
      <c r="Y693" s="5" t="s">
        <v>73</v>
      </c>
      <c r="Z693" s="5" t="s">
        <v>3250</v>
      </c>
      <c r="AI693" s="9" t="n">
        <v>45323</v>
      </c>
      <c r="AL693" s="5" t="n">
        <v>0</v>
      </c>
      <c r="AM693" s="5" t="s">
        <v>140</v>
      </c>
      <c r="AN693" s="25" t="s">
        <v>199</v>
      </c>
      <c r="AQ693" s="5" t="s">
        <v>77</v>
      </c>
      <c r="AR693" s="5" t="s">
        <v>143</v>
      </c>
      <c r="AS693" s="5" t="s">
        <v>73</v>
      </c>
      <c r="AT693" s="5" t="s">
        <v>105</v>
      </c>
      <c r="AU693" s="10" t="s">
        <v>186</v>
      </c>
      <c r="AV693" s="10"/>
      <c r="AW693" s="5" t="s">
        <v>201</v>
      </c>
      <c r="AX693" s="5" t="s">
        <v>375</v>
      </c>
      <c r="AY693" s="5"/>
      <c r="AZ693" s="5" t="s">
        <v>188</v>
      </c>
      <c r="BD693" s="9" t="n">
        <v>45747</v>
      </c>
      <c r="BE693" s="9" t="n">
        <v>45747</v>
      </c>
      <c r="BJ693" s="5" t="n">
        <v>2024</v>
      </c>
      <c r="BK693" s="5" t="s">
        <v>3251</v>
      </c>
    </row>
    <row r="694" customFormat="false" ht="16.5" hidden="false" customHeight="true" outlineLevel="0" collapsed="false">
      <c r="A694" s="5" t="s">
        <v>3252</v>
      </c>
      <c r="B694" s="5" t="s">
        <v>3253</v>
      </c>
      <c r="D694" s="5" t="s">
        <v>62</v>
      </c>
      <c r="E694" s="5" t="n">
        <v>3996364</v>
      </c>
      <c r="F694" s="5" t="n">
        <v>3996364</v>
      </c>
      <c r="G694" s="5" t="s">
        <v>212</v>
      </c>
      <c r="H694" s="6" t="n">
        <v>378687</v>
      </c>
      <c r="J694" s="7" t="n">
        <f aca="false">E694*0.091</f>
        <v>363669.124</v>
      </c>
      <c r="K694" s="7" t="n">
        <f aca="false">F694*0.091</f>
        <v>363669.124</v>
      </c>
      <c r="L694" s="5" t="s">
        <v>84</v>
      </c>
      <c r="N694" s="8" t="s">
        <v>3254</v>
      </c>
      <c r="O694" s="5" t="s">
        <v>3255</v>
      </c>
      <c r="T694" s="5" t="s">
        <v>3256</v>
      </c>
      <c r="V694" s="5" t="s">
        <v>426</v>
      </c>
      <c r="X694" s="5" t="s">
        <v>215</v>
      </c>
      <c r="Y694" s="5" t="s">
        <v>73</v>
      </c>
      <c r="AI694" s="9" t="n">
        <v>45292</v>
      </c>
      <c r="AL694" s="5" t="n">
        <v>378687</v>
      </c>
      <c r="AM694" s="5" t="s">
        <v>217</v>
      </c>
      <c r="AN694" s="5"/>
      <c r="AQ694" s="5" t="s">
        <v>77</v>
      </c>
      <c r="AR694" s="5" t="s">
        <v>215</v>
      </c>
      <c r="AS694" s="5" t="s">
        <v>73</v>
      </c>
      <c r="AT694" s="5" t="s">
        <v>78</v>
      </c>
      <c r="AU694" s="10"/>
      <c r="AW694" s="5" t="s">
        <v>94</v>
      </c>
      <c r="AX694" s="5" t="s">
        <v>79</v>
      </c>
      <c r="AY694" s="5"/>
      <c r="AZ694" s="5" t="s">
        <v>129</v>
      </c>
      <c r="BD694" s="9" t="n">
        <v>45747</v>
      </c>
      <c r="BE694" s="9" t="n">
        <v>45747</v>
      </c>
      <c r="BJ694" s="5" t="n">
        <v>2024</v>
      </c>
      <c r="BK694" s="5" t="s">
        <v>2575</v>
      </c>
    </row>
    <row r="695" customFormat="false" ht="16.5" hidden="false" customHeight="true" outlineLevel="0" collapsed="false">
      <c r="A695" s="5" t="s">
        <v>3257</v>
      </c>
      <c r="B695" s="5" t="s">
        <v>3258</v>
      </c>
      <c r="D695" s="5" t="s">
        <v>62</v>
      </c>
      <c r="E695" s="16" t="n">
        <v>125000</v>
      </c>
      <c r="F695" s="16" t="n">
        <v>100000</v>
      </c>
      <c r="G695" s="5" t="s">
        <v>132</v>
      </c>
      <c r="H695" s="6" t="n">
        <v>0</v>
      </c>
      <c r="J695" s="7" t="n">
        <f aca="false">E695*1.19</f>
        <v>148750</v>
      </c>
      <c r="K695" s="7" t="n">
        <f aca="false">F695*1.19</f>
        <v>119000</v>
      </c>
      <c r="L695" s="5" t="s">
        <v>84</v>
      </c>
      <c r="N695" s="8" t="s">
        <v>3259</v>
      </c>
      <c r="O695" s="5" t="s">
        <v>3260</v>
      </c>
      <c r="T695" s="5" t="s">
        <v>3261</v>
      </c>
      <c r="V695" s="5" t="s">
        <v>1139</v>
      </c>
      <c r="X695" s="5" t="s">
        <v>139</v>
      </c>
      <c r="Y695" s="5" t="s">
        <v>73</v>
      </c>
      <c r="Z695" s="5" t="s">
        <v>3250</v>
      </c>
      <c r="AI695" s="9" t="n">
        <v>44104</v>
      </c>
      <c r="AL695" s="5" t="n">
        <v>0</v>
      </c>
      <c r="AM695" s="5" t="s">
        <v>140</v>
      </c>
      <c r="AN695" s="5" t="s">
        <v>141</v>
      </c>
      <c r="AQ695" s="5" t="s">
        <v>77</v>
      </c>
      <c r="AR695" s="5" t="s">
        <v>143</v>
      </c>
      <c r="AS695" s="5" t="s">
        <v>73</v>
      </c>
      <c r="AT695" s="5" t="s">
        <v>374</v>
      </c>
      <c r="AU695" s="10"/>
      <c r="AW695" s="5" t="s">
        <v>201</v>
      </c>
      <c r="AX695" s="5" t="s">
        <v>375</v>
      </c>
      <c r="AY695" s="5"/>
      <c r="AZ695" s="5" t="s">
        <v>239</v>
      </c>
      <c r="BD695" s="9" t="n">
        <v>45747</v>
      </c>
      <c r="BE695" s="9" t="n">
        <v>45747</v>
      </c>
      <c r="BJ695" s="5" t="n">
        <v>2020</v>
      </c>
      <c r="BK695" s="5" t="s">
        <v>2565</v>
      </c>
    </row>
    <row r="696" customFormat="false" ht="16.5" hidden="false" customHeight="true" outlineLevel="0" collapsed="false">
      <c r="A696" s="5" t="s">
        <v>3262</v>
      </c>
      <c r="B696" s="5" t="s">
        <v>3263</v>
      </c>
      <c r="D696" s="5" t="s">
        <v>62</v>
      </c>
      <c r="E696" s="5" t="n">
        <v>458571</v>
      </c>
      <c r="F696" s="5" t="n">
        <v>458571</v>
      </c>
      <c r="G696" s="5" t="s">
        <v>732</v>
      </c>
      <c r="H696" s="6" t="n">
        <v>497430</v>
      </c>
      <c r="J696" s="7" t="n">
        <f aca="false">E696*1.07</f>
        <v>490670.97</v>
      </c>
      <c r="K696" s="7" t="n">
        <f aca="false">F696*1.07</f>
        <v>490670.97</v>
      </c>
      <c r="L696" s="5" t="s">
        <v>84</v>
      </c>
      <c r="N696" s="8" t="s">
        <v>3264</v>
      </c>
      <c r="O696" s="5" t="s">
        <v>3265</v>
      </c>
      <c r="T696" s="5" t="s">
        <v>3266</v>
      </c>
      <c r="V696" s="5" t="s">
        <v>3267</v>
      </c>
      <c r="Y696" s="5" t="s">
        <v>73</v>
      </c>
      <c r="AI696" s="9" t="n">
        <v>44075</v>
      </c>
      <c r="AL696" s="5" t="n">
        <v>497430</v>
      </c>
      <c r="AM696" s="5" t="s">
        <v>736</v>
      </c>
      <c r="AN696" s="5"/>
      <c r="AQ696" s="5" t="s">
        <v>77</v>
      </c>
      <c r="AR696" s="5" t="s">
        <v>737</v>
      </c>
      <c r="AS696" s="5" t="s">
        <v>73</v>
      </c>
      <c r="AT696" s="5" t="s">
        <v>78</v>
      </c>
      <c r="AU696" s="10"/>
      <c r="AW696" s="5" t="s">
        <v>94</v>
      </c>
      <c r="AX696" s="5" t="s">
        <v>296</v>
      </c>
      <c r="AY696" s="5" t="s">
        <v>297</v>
      </c>
      <c r="AZ696" s="5" t="s">
        <v>188</v>
      </c>
      <c r="BD696" s="9" t="n">
        <v>45747</v>
      </c>
      <c r="BE696" s="9" t="n">
        <v>45747</v>
      </c>
      <c r="BJ696" s="5" t="n">
        <v>2020</v>
      </c>
      <c r="BK696" s="11" t="n">
        <v>45294</v>
      </c>
    </row>
    <row r="697" customFormat="false" ht="16.5" hidden="false" customHeight="true" outlineLevel="0" collapsed="false">
      <c r="A697" s="5" t="s">
        <v>3268</v>
      </c>
      <c r="D697" s="5" t="s">
        <v>62</v>
      </c>
      <c r="E697" s="5" t="n">
        <v>3166724</v>
      </c>
      <c r="F697" s="5" t="n">
        <v>3166724</v>
      </c>
      <c r="G697" s="5" t="s">
        <v>63</v>
      </c>
      <c r="H697" s="6" t="n">
        <v>314570</v>
      </c>
      <c r="J697" s="7" t="n">
        <f aca="false">E697*0.13</f>
        <v>411674.12</v>
      </c>
      <c r="K697" s="7" t="n">
        <f aca="false">F697*0.13</f>
        <v>411674.12</v>
      </c>
      <c r="L697" s="5" t="s">
        <v>84</v>
      </c>
      <c r="T697" s="5" t="s">
        <v>3269</v>
      </c>
      <c r="V697" s="5" t="s">
        <v>3270</v>
      </c>
      <c r="X697" s="5" t="s">
        <v>72</v>
      </c>
      <c r="Y697" s="5" t="s">
        <v>73</v>
      </c>
      <c r="AI697" s="9" t="n">
        <v>45323</v>
      </c>
      <c r="AL697" s="5" t="n">
        <v>314570</v>
      </c>
      <c r="AM697" s="5" t="s">
        <v>3271</v>
      </c>
      <c r="AN697" s="5"/>
      <c r="AQ697" s="28" t="s">
        <v>77</v>
      </c>
      <c r="AR697" s="5" t="s">
        <v>72</v>
      </c>
      <c r="AS697" s="5" t="s">
        <v>73</v>
      </c>
      <c r="AT697" s="5" t="s">
        <v>78</v>
      </c>
      <c r="AU697" s="10"/>
      <c r="AW697" s="5" t="s">
        <v>94</v>
      </c>
      <c r="AX697" s="5" t="s">
        <v>79</v>
      </c>
      <c r="AY697" s="5"/>
      <c r="AZ697" s="5" t="s">
        <v>3272</v>
      </c>
      <c r="BD697" s="9" t="n">
        <v>45761</v>
      </c>
      <c r="BE697" s="9" t="n">
        <v>45761</v>
      </c>
      <c r="BJ697" s="5" t="n">
        <v>2024</v>
      </c>
    </row>
    <row r="698" customFormat="false" ht="16.5" hidden="false" customHeight="true" outlineLevel="0" collapsed="false">
      <c r="A698" s="5" t="s">
        <v>3273</v>
      </c>
      <c r="D698" s="5" t="s">
        <v>62</v>
      </c>
      <c r="E698" s="5" t="n">
        <v>3070425</v>
      </c>
      <c r="F698" s="5" t="n">
        <v>3070425</v>
      </c>
      <c r="G698" s="5" t="s">
        <v>63</v>
      </c>
      <c r="H698" s="6" t="n">
        <v>305004</v>
      </c>
      <c r="J698" s="7" t="n">
        <f aca="false">E698*0.13</f>
        <v>399155.25</v>
      </c>
      <c r="K698" s="7" t="n">
        <f aca="false">F698*0.13</f>
        <v>399155.25</v>
      </c>
      <c r="L698" s="5" t="s">
        <v>84</v>
      </c>
      <c r="T698" s="5" t="s">
        <v>3274</v>
      </c>
      <c r="V698" s="5" t="s">
        <v>3270</v>
      </c>
      <c r="X698" s="5" t="s">
        <v>72</v>
      </c>
      <c r="Y698" s="5" t="s">
        <v>73</v>
      </c>
      <c r="AI698" s="9" t="n">
        <v>45546</v>
      </c>
      <c r="AL698" s="5" t="n">
        <v>305004</v>
      </c>
      <c r="AM698" s="5" t="s">
        <v>3271</v>
      </c>
      <c r="AN698" s="5"/>
      <c r="AQ698" s="28" t="s">
        <v>77</v>
      </c>
      <c r="AR698" s="5" t="s">
        <v>72</v>
      </c>
      <c r="AS698" s="5" t="s">
        <v>73</v>
      </c>
      <c r="AT698" s="5" t="s">
        <v>78</v>
      </c>
      <c r="AU698" s="10"/>
      <c r="AW698" s="5" t="s">
        <v>94</v>
      </c>
      <c r="AX698" s="5" t="s">
        <v>79</v>
      </c>
      <c r="AY698" s="5"/>
      <c r="AZ698" s="5" t="s">
        <v>129</v>
      </c>
      <c r="BD698" s="9" t="n">
        <v>45761</v>
      </c>
      <c r="BE698" s="9" t="n">
        <v>45761</v>
      </c>
      <c r="BJ698" s="5" t="n">
        <v>2024</v>
      </c>
    </row>
    <row r="699" customFormat="false" ht="16.5" hidden="false" customHeight="true" outlineLevel="0" collapsed="false">
      <c r="A699" s="10" t="s">
        <v>3275</v>
      </c>
      <c r="B699" s="5" t="s">
        <v>3276</v>
      </c>
      <c r="D699" s="5" t="s">
        <v>62</v>
      </c>
      <c r="E699" s="29" t="n">
        <v>24300</v>
      </c>
      <c r="F699" s="29" t="n">
        <v>24300</v>
      </c>
      <c r="G699" s="29" t="s">
        <v>147</v>
      </c>
      <c r="H699" s="35" t="n">
        <v>26532</v>
      </c>
      <c r="I699" s="29" t="n">
        <v>26532</v>
      </c>
      <c r="J699" s="36" t="n">
        <v>24300</v>
      </c>
      <c r="K699" s="36" t="n">
        <v>24300</v>
      </c>
      <c r="L699" s="5" t="s">
        <v>84</v>
      </c>
      <c r="N699" s="8" t="s">
        <v>3277</v>
      </c>
      <c r="T699" s="5" t="s">
        <v>3278</v>
      </c>
      <c r="V699" s="5" t="s">
        <v>3279</v>
      </c>
      <c r="X699" s="5" t="s">
        <v>3280</v>
      </c>
      <c r="Y699" s="5" t="s">
        <v>73</v>
      </c>
      <c r="AI699" s="9" t="n">
        <v>45314</v>
      </c>
      <c r="AL699" s="5" t="n">
        <v>26532</v>
      </c>
      <c r="AM699" s="5" t="s">
        <v>3281</v>
      </c>
      <c r="AN699" s="5"/>
      <c r="AQ699" s="5" t="s">
        <v>102</v>
      </c>
      <c r="AR699" s="5" t="s">
        <v>3280</v>
      </c>
      <c r="AS699" s="5" t="s">
        <v>73</v>
      </c>
      <c r="AT699" s="5" t="s">
        <v>71</v>
      </c>
      <c r="AU699" s="10"/>
      <c r="AW699" s="5" t="s">
        <v>94</v>
      </c>
      <c r="AX699" s="5" t="s">
        <v>79</v>
      </c>
      <c r="AY699" s="5"/>
      <c r="AZ699" s="5" t="s">
        <v>639</v>
      </c>
      <c r="BD699" s="9" t="n">
        <v>45761</v>
      </c>
      <c r="BE699" s="9" t="n">
        <v>45761</v>
      </c>
      <c r="BJ699" s="5" t="n">
        <v>2024</v>
      </c>
    </row>
    <row r="700" customFormat="false" ht="16.5" hidden="false" customHeight="true" outlineLevel="0" collapsed="false">
      <c r="A700" s="10" t="s">
        <v>3282</v>
      </c>
      <c r="B700" s="5" t="s">
        <v>3283</v>
      </c>
      <c r="D700" s="5" t="s">
        <v>62</v>
      </c>
      <c r="J700" s="18"/>
      <c r="K700" s="18"/>
      <c r="L700" s="5" t="s">
        <v>84</v>
      </c>
      <c r="N700" s="8" t="s">
        <v>3284</v>
      </c>
      <c r="V700" s="5" t="s">
        <v>3285</v>
      </c>
      <c r="X700" s="5" t="s">
        <v>151</v>
      </c>
      <c r="Y700" s="5" t="s">
        <v>73</v>
      </c>
      <c r="AI700" s="9" t="n">
        <v>45446</v>
      </c>
      <c r="AM700" s="5" t="s">
        <v>153</v>
      </c>
      <c r="AN700" s="5"/>
      <c r="AQ700" s="5" t="s">
        <v>77</v>
      </c>
      <c r="AR700" s="5" t="s">
        <v>151</v>
      </c>
      <c r="AS700" s="5" t="s">
        <v>73</v>
      </c>
      <c r="AT700" s="5" t="s">
        <v>105</v>
      </c>
      <c r="AU700" s="5" t="s">
        <v>106</v>
      </c>
      <c r="AV700" s="5"/>
      <c r="AW700" s="5" t="s">
        <v>94</v>
      </c>
      <c r="AX700" s="5" t="s">
        <v>79</v>
      </c>
      <c r="AY700" s="5"/>
      <c r="AZ700" s="5" t="s">
        <v>95</v>
      </c>
      <c r="BD700" s="9" t="n">
        <v>45761</v>
      </c>
      <c r="BE700" s="9" t="n">
        <v>45761</v>
      </c>
      <c r="BJ700" s="5" t="n">
        <v>2024</v>
      </c>
    </row>
    <row r="701" customFormat="false" ht="16.5" hidden="false" customHeight="true" outlineLevel="0" collapsed="false">
      <c r="A701" s="10" t="s">
        <v>3286</v>
      </c>
      <c r="B701" s="5" t="s">
        <v>3287</v>
      </c>
      <c r="D701" s="5" t="s">
        <v>62</v>
      </c>
      <c r="E701" s="5" t="n">
        <v>3579000</v>
      </c>
      <c r="F701" s="5" t="n">
        <v>3579000</v>
      </c>
      <c r="G701" s="5" t="s">
        <v>110</v>
      </c>
      <c r="H701" s="6" t="n">
        <v>338498</v>
      </c>
      <c r="J701" s="18" t="n">
        <f aca="false">E701*0.087</f>
        <v>311373</v>
      </c>
      <c r="K701" s="18" t="n">
        <f aca="false">F701*0.087</f>
        <v>311373</v>
      </c>
      <c r="L701" s="5" t="s">
        <v>84</v>
      </c>
      <c r="N701" s="8" t="s">
        <v>3288</v>
      </c>
      <c r="P701" s="5"/>
      <c r="Q701" s="5"/>
      <c r="R701" s="5" t="s">
        <v>3289</v>
      </c>
      <c r="T701" s="5" t="s">
        <v>3290</v>
      </c>
      <c r="V701" s="5" t="s">
        <v>114</v>
      </c>
      <c r="X701" s="5" t="s">
        <v>115</v>
      </c>
      <c r="Y701" s="5" t="s">
        <v>73</v>
      </c>
      <c r="AI701" s="9" t="n">
        <v>45658</v>
      </c>
      <c r="AL701" s="5" t="n">
        <v>338498</v>
      </c>
      <c r="AM701" s="5" t="s">
        <v>173</v>
      </c>
      <c r="AN701" s="5"/>
      <c r="AQ701" s="5" t="s">
        <v>77</v>
      </c>
      <c r="AR701" s="5" t="s">
        <v>115</v>
      </c>
      <c r="AS701" s="5" t="s">
        <v>73</v>
      </c>
      <c r="AT701" s="5" t="s">
        <v>374</v>
      </c>
      <c r="AU701" s="10"/>
      <c r="AW701" s="5" t="s">
        <v>94</v>
      </c>
      <c r="AX701" s="5" t="s">
        <v>375</v>
      </c>
      <c r="AY701" s="5"/>
      <c r="AZ701" s="5" t="s">
        <v>534</v>
      </c>
      <c r="BD701" s="9" t="n">
        <v>45761</v>
      </c>
      <c r="BE701" s="9" t="n">
        <v>45761</v>
      </c>
      <c r="BJ701" s="5" t="n">
        <v>2025</v>
      </c>
    </row>
    <row r="702" customFormat="false" ht="16.5" hidden="false" customHeight="true" outlineLevel="0" collapsed="false">
      <c r="A702" s="5" t="s">
        <v>3291</v>
      </c>
      <c r="B702" s="5" t="s">
        <v>3292</v>
      </c>
      <c r="D702" s="5" t="s">
        <v>62</v>
      </c>
      <c r="E702" s="16" t="n">
        <v>49975</v>
      </c>
      <c r="F702" s="16" t="n">
        <v>49975</v>
      </c>
      <c r="G702" s="5" t="s">
        <v>132</v>
      </c>
      <c r="H702" s="6" t="n">
        <v>64968</v>
      </c>
      <c r="J702" s="7" t="n">
        <f aca="false">E702*1.19</f>
        <v>59470.25</v>
      </c>
      <c r="K702" s="7" t="n">
        <f aca="false">F702*1.19</f>
        <v>59470.25</v>
      </c>
      <c r="L702" s="5" t="s">
        <v>84</v>
      </c>
      <c r="N702" s="8" t="s">
        <v>3293</v>
      </c>
      <c r="T702" s="5" t="s">
        <v>3294</v>
      </c>
      <c r="V702" s="5" t="s">
        <v>3295</v>
      </c>
      <c r="X702" s="5" t="s">
        <v>139</v>
      </c>
      <c r="Y702" s="5" t="s">
        <v>73</v>
      </c>
      <c r="AI702" s="9" t="n">
        <v>45443</v>
      </c>
      <c r="AL702" s="5" t="n">
        <v>64968</v>
      </c>
      <c r="AM702" s="5" t="s">
        <v>140</v>
      </c>
      <c r="AN702" s="5" t="s">
        <v>1545</v>
      </c>
      <c r="AQ702" s="5" t="s">
        <v>77</v>
      </c>
      <c r="AR702" s="5" t="s">
        <v>143</v>
      </c>
      <c r="AS702" s="5" t="s">
        <v>73</v>
      </c>
      <c r="AT702" s="5" t="s">
        <v>105</v>
      </c>
      <c r="AU702" s="5" t="s">
        <v>106</v>
      </c>
      <c r="AV702" s="5"/>
      <c r="AW702" s="5" t="s">
        <v>94</v>
      </c>
      <c r="AX702" s="5" t="s">
        <v>3296</v>
      </c>
      <c r="AY702" s="5"/>
      <c r="AZ702" s="5" t="s">
        <v>540</v>
      </c>
      <c r="BD702" s="9" t="n">
        <v>45761</v>
      </c>
      <c r="BE702" s="9" t="n">
        <v>45779</v>
      </c>
      <c r="BJ702" s="5" t="n">
        <v>2024</v>
      </c>
    </row>
    <row r="703" customFormat="false" ht="16.5" hidden="false" customHeight="true" outlineLevel="0" collapsed="false">
      <c r="A703" s="5" t="s">
        <v>3297</v>
      </c>
      <c r="B703" s="5" t="s">
        <v>3298</v>
      </c>
      <c r="D703" s="5" t="s">
        <v>62</v>
      </c>
      <c r="E703" s="16" t="n">
        <v>125000</v>
      </c>
      <c r="F703" s="16" t="n">
        <v>100000</v>
      </c>
      <c r="G703" s="5" t="s">
        <v>132</v>
      </c>
      <c r="H703" s="6" t="n">
        <v>0</v>
      </c>
      <c r="J703" s="7" t="n">
        <f aca="false">E703*1.19</f>
        <v>148750</v>
      </c>
      <c r="K703" s="7" t="n">
        <f aca="false">F703*1.19</f>
        <v>119000</v>
      </c>
      <c r="L703" s="5" t="s">
        <v>84</v>
      </c>
      <c r="N703" s="8" t="s">
        <v>3299</v>
      </c>
      <c r="V703" s="5" t="s">
        <v>896</v>
      </c>
      <c r="X703" s="5" t="s">
        <v>139</v>
      </c>
      <c r="Y703" s="5" t="s">
        <v>73</v>
      </c>
      <c r="AI703" s="9" t="n">
        <v>45565</v>
      </c>
      <c r="AL703" s="5" t="n">
        <v>0</v>
      </c>
      <c r="AM703" s="5" t="s">
        <v>140</v>
      </c>
      <c r="AN703" s="5" t="s">
        <v>141</v>
      </c>
      <c r="AQ703" s="5" t="s">
        <v>77</v>
      </c>
      <c r="AR703" s="5" t="s">
        <v>143</v>
      </c>
      <c r="AS703" s="5" t="s">
        <v>73</v>
      </c>
      <c r="AT703" s="5" t="s">
        <v>105</v>
      </c>
      <c r="AU703" s="5" t="s">
        <v>106</v>
      </c>
      <c r="AV703" s="5"/>
      <c r="AW703" s="5" t="s">
        <v>201</v>
      </c>
      <c r="AX703" s="5" t="s">
        <v>79</v>
      </c>
      <c r="AY703" s="5"/>
      <c r="AZ703" s="5" t="s">
        <v>540</v>
      </c>
      <c r="BD703" s="9" t="n">
        <v>45761</v>
      </c>
      <c r="BE703" s="9" t="n">
        <v>45779</v>
      </c>
      <c r="BJ703" s="5" t="n">
        <v>2024</v>
      </c>
    </row>
    <row r="704" customFormat="false" ht="16.5" hidden="false" customHeight="true" outlineLevel="0" collapsed="false">
      <c r="A704" s="5" t="s">
        <v>3300</v>
      </c>
      <c r="B704" s="5" t="s">
        <v>3301</v>
      </c>
      <c r="D704" s="5" t="s">
        <v>62</v>
      </c>
      <c r="E704" s="5" t="n">
        <v>450000</v>
      </c>
      <c r="F704" s="5" t="n">
        <v>450000</v>
      </c>
      <c r="G704" s="5" t="s">
        <v>732</v>
      </c>
      <c r="H704" s="6" t="n">
        <v>508500</v>
      </c>
      <c r="J704" s="7" t="n">
        <f aca="false">E704*1.07</f>
        <v>481500</v>
      </c>
      <c r="K704" s="7" t="n">
        <f aca="false">F704*1.07</f>
        <v>481500</v>
      </c>
      <c r="L704" s="5" t="s">
        <v>84</v>
      </c>
      <c r="N704" s="8" t="s">
        <v>3302</v>
      </c>
      <c r="T704" s="5" t="s">
        <v>3303</v>
      </c>
      <c r="V704" s="5" t="s">
        <v>3304</v>
      </c>
      <c r="X704" s="5" t="s">
        <v>737</v>
      </c>
      <c r="Y704" s="5" t="s">
        <v>73</v>
      </c>
      <c r="AI704" s="9" t="n">
        <v>45566</v>
      </c>
      <c r="AL704" s="5" t="n">
        <v>508500</v>
      </c>
      <c r="AM704" s="5" t="s">
        <v>736</v>
      </c>
      <c r="AN704" s="5"/>
      <c r="AQ704" s="5" t="s">
        <v>77</v>
      </c>
      <c r="AR704" s="5" t="s">
        <v>737</v>
      </c>
      <c r="AS704" s="5" t="s">
        <v>73</v>
      </c>
      <c r="AT704" s="5" t="s">
        <v>78</v>
      </c>
      <c r="AU704" s="10"/>
      <c r="AW704" s="5" t="s">
        <v>94</v>
      </c>
      <c r="AX704" s="5" t="s">
        <v>79</v>
      </c>
      <c r="AY704" s="5"/>
      <c r="AZ704" s="5" t="s">
        <v>129</v>
      </c>
      <c r="BD704" s="9" t="n">
        <v>45761</v>
      </c>
      <c r="BE704" s="9" t="n">
        <v>45761</v>
      </c>
      <c r="BJ704" s="5" t="n">
        <v>2024</v>
      </c>
    </row>
    <row r="705" customFormat="false" ht="16.5" hidden="false" customHeight="true" outlineLevel="0" collapsed="false">
      <c r="A705" s="5" t="s">
        <v>3305</v>
      </c>
      <c r="D705" s="5" t="s">
        <v>62</v>
      </c>
      <c r="E705" s="5" t="n">
        <v>700000</v>
      </c>
      <c r="F705" s="5" t="n">
        <v>700000</v>
      </c>
      <c r="G705" s="5" t="s">
        <v>212</v>
      </c>
      <c r="H705" s="6" t="n">
        <v>63700</v>
      </c>
      <c r="J705" s="7" t="n">
        <f aca="false">E705*0.091</f>
        <v>63700</v>
      </c>
      <c r="K705" s="7" t="n">
        <f aca="false">F705*0.091</f>
        <v>63700</v>
      </c>
      <c r="L705" s="5" t="s">
        <v>84</v>
      </c>
      <c r="N705" s="8" t="s">
        <v>3306</v>
      </c>
      <c r="T705" s="5" t="s">
        <v>3307</v>
      </c>
      <c r="V705" s="5" t="s">
        <v>571</v>
      </c>
      <c r="X705" s="5" t="s">
        <v>215</v>
      </c>
      <c r="Y705" s="5" t="s">
        <v>73</v>
      </c>
      <c r="AI705" s="9" t="n">
        <v>45672</v>
      </c>
      <c r="AL705" s="5" t="n">
        <v>63700</v>
      </c>
      <c r="AM705" s="5" t="s">
        <v>489</v>
      </c>
      <c r="AQ705" s="5" t="s">
        <v>77</v>
      </c>
      <c r="AR705" s="5" t="s">
        <v>215</v>
      </c>
      <c r="AS705" s="5" t="s">
        <v>73</v>
      </c>
      <c r="AT705" s="5" t="s">
        <v>78</v>
      </c>
      <c r="AU705" s="10"/>
      <c r="AW705" s="5" t="s">
        <v>94</v>
      </c>
      <c r="AX705" s="5" t="s">
        <v>79</v>
      </c>
      <c r="AY705" s="5"/>
      <c r="AZ705" s="5" t="s">
        <v>399</v>
      </c>
      <c r="BD705" s="9" t="n">
        <v>45761</v>
      </c>
      <c r="BE705" s="9" t="n">
        <v>45761</v>
      </c>
      <c r="BJ705" s="5" t="n">
        <v>2005</v>
      </c>
    </row>
    <row r="706" customFormat="false" ht="16.5" hidden="false" customHeight="true" outlineLevel="0" collapsed="false">
      <c r="A706" s="5" t="s">
        <v>3308</v>
      </c>
      <c r="B706" s="5" t="s">
        <v>3309</v>
      </c>
      <c r="D706" s="5" t="s">
        <v>62</v>
      </c>
      <c r="E706" s="5" t="n">
        <v>697700</v>
      </c>
      <c r="F706" s="5" t="n">
        <v>697700</v>
      </c>
      <c r="G706" s="5" t="s">
        <v>212</v>
      </c>
      <c r="H706" s="6" t="n">
        <v>63491</v>
      </c>
      <c r="J706" s="7" t="n">
        <f aca="false">E706*0.091</f>
        <v>63490.7</v>
      </c>
      <c r="K706" s="7" t="n">
        <f aca="false">F706*0.091</f>
        <v>63490.7</v>
      </c>
      <c r="L706" s="5" t="s">
        <v>84</v>
      </c>
      <c r="N706" s="8" t="s">
        <v>3310</v>
      </c>
      <c r="T706" s="5" t="s">
        <v>3311</v>
      </c>
      <c r="V706" s="5" t="s">
        <v>3312</v>
      </c>
      <c r="X706" s="5" t="s">
        <v>215</v>
      </c>
      <c r="Y706" s="5" t="s">
        <v>73</v>
      </c>
      <c r="AI706" s="9" t="n">
        <v>45446</v>
      </c>
      <c r="AL706" s="5" t="n">
        <v>63491</v>
      </c>
      <c r="AM706" s="5" t="s">
        <v>489</v>
      </c>
      <c r="AN706" s="5"/>
      <c r="AQ706" s="5" t="s">
        <v>77</v>
      </c>
      <c r="AR706" s="5" t="s">
        <v>215</v>
      </c>
      <c r="AS706" s="5" t="s">
        <v>73</v>
      </c>
      <c r="AT706" s="5" t="s">
        <v>78</v>
      </c>
      <c r="AU706" s="10"/>
      <c r="AW706" s="5" t="s">
        <v>94</v>
      </c>
      <c r="AX706" s="5" t="s">
        <v>79</v>
      </c>
      <c r="AY706" s="5"/>
      <c r="AZ706" s="5" t="s">
        <v>399</v>
      </c>
      <c r="BD706" s="9" t="n">
        <v>45761</v>
      </c>
      <c r="BE706" s="9" t="n">
        <v>45761</v>
      </c>
      <c r="BJ706" s="5" t="n">
        <v>2024</v>
      </c>
    </row>
    <row r="707" customFormat="false" ht="16.5" hidden="false" customHeight="true" outlineLevel="0" collapsed="false">
      <c r="A707" s="5" t="s">
        <v>3313</v>
      </c>
      <c r="B707" s="5" t="s">
        <v>3314</v>
      </c>
      <c r="D707" s="5" t="s">
        <v>62</v>
      </c>
      <c r="E707" s="5" t="n">
        <v>666616</v>
      </c>
      <c r="F707" s="5" t="n">
        <v>666616</v>
      </c>
      <c r="G707" s="5" t="s">
        <v>212</v>
      </c>
      <c r="H707" s="6" t="n">
        <v>60662</v>
      </c>
      <c r="J707" s="7" t="n">
        <f aca="false">E707*0.091</f>
        <v>60662.056</v>
      </c>
      <c r="K707" s="7" t="n">
        <f aca="false">F707*0.091</f>
        <v>60662.056</v>
      </c>
      <c r="L707" s="5" t="s">
        <v>84</v>
      </c>
      <c r="N707" s="8" t="s">
        <v>3315</v>
      </c>
      <c r="T707" s="5" t="s">
        <v>3316</v>
      </c>
      <c r="V707" s="5" t="s">
        <v>3312</v>
      </c>
      <c r="X707" s="5" t="s">
        <v>215</v>
      </c>
      <c r="Y707" s="5" t="s">
        <v>73</v>
      </c>
      <c r="AI707" s="9" t="n">
        <v>45439</v>
      </c>
      <c r="AL707" s="5" t="n">
        <v>60662</v>
      </c>
      <c r="AM707" s="5" t="s">
        <v>489</v>
      </c>
      <c r="AN707" s="5"/>
      <c r="AQ707" s="5" t="s">
        <v>77</v>
      </c>
      <c r="AR707" s="5" t="s">
        <v>215</v>
      </c>
      <c r="AS707" s="5" t="s">
        <v>73</v>
      </c>
      <c r="AT707" s="5" t="s">
        <v>78</v>
      </c>
      <c r="AU707" s="10"/>
      <c r="AW707" s="5" t="s">
        <v>94</v>
      </c>
      <c r="AX707" s="5" t="s">
        <v>79</v>
      </c>
      <c r="AY707" s="5"/>
      <c r="AZ707" s="5" t="s">
        <v>399</v>
      </c>
      <c r="BD707" s="9" t="n">
        <v>45761</v>
      </c>
      <c r="BE707" s="9" t="n">
        <v>45761</v>
      </c>
      <c r="BJ707" s="5" t="n">
        <v>2024</v>
      </c>
    </row>
    <row r="708" customFormat="false" ht="16.5" hidden="false" customHeight="true" outlineLevel="0" collapsed="false">
      <c r="A708" s="5" t="s">
        <v>3317</v>
      </c>
      <c r="B708" s="5" t="s">
        <v>3318</v>
      </c>
      <c r="D708" s="5" t="s">
        <v>62</v>
      </c>
      <c r="E708" s="5" t="n">
        <v>2999900</v>
      </c>
      <c r="F708" s="5" t="n">
        <v>2999900</v>
      </c>
      <c r="G708" s="5" t="s">
        <v>212</v>
      </c>
      <c r="H708" s="6" t="n">
        <v>272991</v>
      </c>
      <c r="J708" s="7" t="n">
        <f aca="false">E708*0.091</f>
        <v>272990.9</v>
      </c>
      <c r="K708" s="7" t="n">
        <f aca="false">F708*0.091</f>
        <v>272990.9</v>
      </c>
      <c r="L708" s="5" t="s">
        <v>84</v>
      </c>
      <c r="N708" s="10" t="s">
        <v>3319</v>
      </c>
      <c r="O708" s="10" t="s">
        <v>3320</v>
      </c>
      <c r="T708" s="5" t="s">
        <v>3321</v>
      </c>
      <c r="V708" s="5" t="s">
        <v>441</v>
      </c>
      <c r="W708" s="29" t="s">
        <v>90</v>
      </c>
      <c r="X708" s="5" t="s">
        <v>215</v>
      </c>
      <c r="Y708" s="5" t="s">
        <v>73</v>
      </c>
      <c r="AI708" s="9" t="n">
        <v>45311</v>
      </c>
      <c r="AL708" s="5" t="n">
        <v>272991</v>
      </c>
      <c r="AM708" s="5" t="s">
        <v>217</v>
      </c>
      <c r="AQ708" s="5" t="s">
        <v>77</v>
      </c>
      <c r="AR708" s="5" t="s">
        <v>215</v>
      </c>
      <c r="AS708" s="5" t="s">
        <v>73</v>
      </c>
      <c r="AT708" s="5" t="s">
        <v>78</v>
      </c>
      <c r="AU708" s="10"/>
      <c r="AW708" s="5" t="s">
        <v>94</v>
      </c>
      <c r="AX708" s="5" t="s">
        <v>79</v>
      </c>
      <c r="AY708" s="5"/>
      <c r="AZ708" s="5" t="s">
        <v>129</v>
      </c>
      <c r="BD708" s="9" t="n">
        <v>45761</v>
      </c>
      <c r="BE708" s="9" t="n">
        <v>45761</v>
      </c>
      <c r="BJ708" s="10" t="n">
        <v>2024</v>
      </c>
      <c r="BK708" s="29" t="n">
        <v>2026</v>
      </c>
    </row>
    <row r="709" customFormat="false" ht="16.5" hidden="false" customHeight="true" outlineLevel="0" collapsed="false">
      <c r="A709" s="5" t="s">
        <v>3322</v>
      </c>
      <c r="B709" s="5" t="s">
        <v>3323</v>
      </c>
      <c r="D709" s="5" t="s">
        <v>62</v>
      </c>
      <c r="G709" s="5" t="s">
        <v>147</v>
      </c>
      <c r="J709" s="18"/>
      <c r="K709" s="18"/>
      <c r="L709" s="5" t="s">
        <v>84</v>
      </c>
      <c r="N709" s="8" t="s">
        <v>3324</v>
      </c>
      <c r="T709" s="5" t="s">
        <v>268</v>
      </c>
      <c r="V709" s="5" t="s">
        <v>3325</v>
      </c>
      <c r="X709" s="5" t="s">
        <v>271</v>
      </c>
      <c r="Y709" s="5" t="s">
        <v>73</v>
      </c>
      <c r="AI709" s="9" t="n">
        <v>45292</v>
      </c>
      <c r="AM709" s="5" t="s">
        <v>2362</v>
      </c>
      <c r="AN709" s="5"/>
      <c r="AQ709" s="5" t="s">
        <v>77</v>
      </c>
      <c r="AR709" s="5" t="s">
        <v>271</v>
      </c>
      <c r="AS709" s="5" t="s">
        <v>73</v>
      </c>
      <c r="AT709" s="5" t="s">
        <v>78</v>
      </c>
      <c r="AU709" s="10"/>
      <c r="AW709" s="5" t="s">
        <v>94</v>
      </c>
      <c r="AX709" s="5" t="s">
        <v>79</v>
      </c>
      <c r="AY709" s="5"/>
      <c r="AZ709" s="5" t="s">
        <v>129</v>
      </c>
      <c r="BD709" s="9" t="n">
        <v>45761</v>
      </c>
      <c r="BE709" s="9" t="n">
        <v>45761</v>
      </c>
      <c r="BJ709" s="5" t="n">
        <v>2024</v>
      </c>
    </row>
    <row r="710" customFormat="false" ht="16.5" hidden="false" customHeight="true" outlineLevel="0" collapsed="false">
      <c r="A710" s="10" t="s">
        <v>3326</v>
      </c>
      <c r="B710" s="5" t="s">
        <v>3327</v>
      </c>
      <c r="D710" s="5" t="s">
        <v>62</v>
      </c>
      <c r="G710" s="5" t="s">
        <v>147</v>
      </c>
      <c r="J710" s="18"/>
      <c r="K710" s="18"/>
      <c r="L710" s="5" t="s">
        <v>84</v>
      </c>
      <c r="T710" s="5" t="s">
        <v>3328</v>
      </c>
      <c r="V710" s="5" t="s">
        <v>2433</v>
      </c>
      <c r="X710" s="5" t="s">
        <v>271</v>
      </c>
      <c r="Y710" s="5" t="s">
        <v>73</v>
      </c>
      <c r="AM710" s="13" t="s">
        <v>2362</v>
      </c>
      <c r="AR710" s="5" t="s">
        <v>271</v>
      </c>
      <c r="AS710" s="5" t="s">
        <v>73</v>
      </c>
      <c r="AT710" s="5" t="s">
        <v>78</v>
      </c>
      <c r="AW710" s="5" t="s">
        <v>94</v>
      </c>
      <c r="AX710" s="5" t="s">
        <v>79</v>
      </c>
      <c r="AY710" s="5"/>
      <c r="AZ710" s="5" t="s">
        <v>129</v>
      </c>
      <c r="BD710" s="9" t="n">
        <v>45761</v>
      </c>
      <c r="BE710" s="9" t="n">
        <v>45761</v>
      </c>
    </row>
    <row r="711" customFormat="false" ht="16.5" hidden="false" customHeight="true" outlineLevel="0" collapsed="false">
      <c r="A711" s="5" t="s">
        <v>3329</v>
      </c>
      <c r="B711" s="5" t="s">
        <v>3330</v>
      </c>
      <c r="D711" s="5" t="s">
        <v>62</v>
      </c>
      <c r="G711" s="5" t="s">
        <v>147</v>
      </c>
      <c r="J711" s="18"/>
      <c r="K711" s="18"/>
      <c r="L711" s="5" t="s">
        <v>84</v>
      </c>
      <c r="N711" s="8" t="s">
        <v>3331</v>
      </c>
      <c r="T711" s="5" t="s">
        <v>3332</v>
      </c>
      <c r="V711" s="5" t="s">
        <v>2433</v>
      </c>
      <c r="X711" s="5" t="s">
        <v>271</v>
      </c>
      <c r="Y711" s="5" t="s">
        <v>73</v>
      </c>
      <c r="AI711" s="9" t="n">
        <v>45566</v>
      </c>
      <c r="AM711" s="5" t="s">
        <v>2362</v>
      </c>
      <c r="AN711" s="5"/>
      <c r="AQ711" s="5" t="s">
        <v>77</v>
      </c>
      <c r="AR711" s="5" t="s">
        <v>271</v>
      </c>
      <c r="AS711" s="5" t="s">
        <v>73</v>
      </c>
      <c r="AT711" s="5" t="s">
        <v>78</v>
      </c>
      <c r="AU711" s="10"/>
      <c r="AW711" s="5" t="s">
        <v>94</v>
      </c>
      <c r="AX711" s="5" t="s">
        <v>79</v>
      </c>
      <c r="AY711" s="5"/>
      <c r="AZ711" s="5" t="s">
        <v>309</v>
      </c>
      <c r="BD711" s="9" t="n">
        <v>45761</v>
      </c>
      <c r="BE711" s="9" t="n">
        <v>45761</v>
      </c>
      <c r="BJ711" s="5" t="n">
        <v>2024</v>
      </c>
    </row>
    <row r="712" customFormat="false" ht="16.5" hidden="false" customHeight="true" outlineLevel="0" collapsed="false">
      <c r="A712" s="5" t="s">
        <v>3333</v>
      </c>
      <c r="B712" s="5" t="s">
        <v>3334</v>
      </c>
      <c r="D712" s="5" t="s">
        <v>62</v>
      </c>
      <c r="G712" s="5" t="s">
        <v>147</v>
      </c>
      <c r="J712" s="18"/>
      <c r="K712" s="18"/>
      <c r="L712" s="5" t="s">
        <v>84</v>
      </c>
      <c r="N712" s="8" t="s">
        <v>3335</v>
      </c>
      <c r="T712" s="5" t="s">
        <v>2361</v>
      </c>
      <c r="V712" s="5" t="s">
        <v>2433</v>
      </c>
      <c r="X712" s="5" t="s">
        <v>271</v>
      </c>
      <c r="Y712" s="5" t="s">
        <v>73</v>
      </c>
      <c r="AI712" s="9" t="n">
        <v>45717</v>
      </c>
      <c r="AM712" s="13" t="s">
        <v>2362</v>
      </c>
      <c r="AR712" s="5" t="s">
        <v>271</v>
      </c>
      <c r="AS712" s="5" t="s">
        <v>73</v>
      </c>
      <c r="AT712" s="5" t="s">
        <v>78</v>
      </c>
      <c r="AU712" s="10" t="s">
        <v>259</v>
      </c>
      <c r="AV712" s="10"/>
      <c r="AW712" s="5" t="s">
        <v>94</v>
      </c>
      <c r="AX712" s="5" t="s">
        <v>79</v>
      </c>
      <c r="AY712" s="5"/>
      <c r="AZ712" s="5" t="s">
        <v>525</v>
      </c>
      <c r="BD712" s="9" t="n">
        <v>45761</v>
      </c>
      <c r="BE712" s="9" t="n">
        <v>45761</v>
      </c>
      <c r="BJ712" s="5" t="n">
        <v>2025</v>
      </c>
    </row>
    <row r="713" customFormat="false" ht="16.5" hidden="false" customHeight="true" outlineLevel="0" collapsed="false">
      <c r="A713" s="5" t="s">
        <v>3336</v>
      </c>
      <c r="B713" s="5" t="s">
        <v>3337</v>
      </c>
      <c r="D713" s="5" t="s">
        <v>62</v>
      </c>
      <c r="G713" s="5" t="s">
        <v>147</v>
      </c>
      <c r="J713" s="18"/>
      <c r="K713" s="18"/>
      <c r="L713" s="5" t="s">
        <v>84</v>
      </c>
      <c r="T713" s="5" t="s">
        <v>3338</v>
      </c>
      <c r="V713" s="5" t="s">
        <v>2433</v>
      </c>
      <c r="X713" s="5" t="s">
        <v>271</v>
      </c>
      <c r="Y713" s="5" t="s">
        <v>73</v>
      </c>
      <c r="AM713" s="13" t="s">
        <v>2362</v>
      </c>
      <c r="AR713" s="5" t="s">
        <v>271</v>
      </c>
      <c r="AS713" s="5" t="s">
        <v>73</v>
      </c>
      <c r="AT713" s="5" t="s">
        <v>78</v>
      </c>
      <c r="AU713" s="10" t="s">
        <v>259</v>
      </c>
      <c r="AV713" s="10"/>
      <c r="AW713" s="5" t="s">
        <v>94</v>
      </c>
      <c r="AX713" s="5" t="s">
        <v>375</v>
      </c>
      <c r="AY713" s="5"/>
      <c r="AZ713" s="5" t="s">
        <v>525</v>
      </c>
      <c r="BD713" s="9" t="n">
        <v>45761</v>
      </c>
      <c r="BE713" s="9" t="n">
        <v>45761</v>
      </c>
    </row>
    <row r="714" customFormat="false" ht="16.5" hidden="false" customHeight="true" outlineLevel="0" collapsed="false">
      <c r="A714" s="5" t="s">
        <v>3339</v>
      </c>
      <c r="B714" s="5" t="s">
        <v>3340</v>
      </c>
      <c r="D714" s="5" t="s">
        <v>62</v>
      </c>
      <c r="G714" s="5" t="s">
        <v>147</v>
      </c>
      <c r="J714" s="18"/>
      <c r="K714" s="18"/>
      <c r="L714" s="5" t="s">
        <v>84</v>
      </c>
      <c r="T714" s="5" t="s">
        <v>3341</v>
      </c>
      <c r="V714" s="5" t="s">
        <v>2433</v>
      </c>
      <c r="X714" s="5" t="s">
        <v>271</v>
      </c>
      <c r="Y714" s="5" t="s">
        <v>73</v>
      </c>
      <c r="AM714" s="13" t="s">
        <v>2362</v>
      </c>
      <c r="AR714" s="5" t="s">
        <v>271</v>
      </c>
      <c r="AS714" s="5" t="s">
        <v>73</v>
      </c>
      <c r="AT714" s="5" t="s">
        <v>374</v>
      </c>
      <c r="AU714" s="10"/>
      <c r="AW714" s="5" t="s">
        <v>94</v>
      </c>
      <c r="AX714" s="5" t="s">
        <v>375</v>
      </c>
      <c r="AY714" s="5"/>
      <c r="AZ714" s="5" t="s">
        <v>239</v>
      </c>
      <c r="BD714" s="9" t="n">
        <v>45761</v>
      </c>
      <c r="BE714" s="9" t="n">
        <v>45761</v>
      </c>
    </row>
    <row r="715" customFormat="false" ht="16.5" hidden="false" customHeight="true" outlineLevel="0" collapsed="false">
      <c r="A715" s="5" t="s">
        <v>3342</v>
      </c>
      <c r="B715" s="5" t="s">
        <v>3343</v>
      </c>
      <c r="D715" s="5" t="s">
        <v>62</v>
      </c>
      <c r="E715" s="5" t="n">
        <v>1375296</v>
      </c>
      <c r="F715" s="5" t="n">
        <v>1375296</v>
      </c>
      <c r="G715" s="5" t="s">
        <v>732</v>
      </c>
      <c r="H715" s="6" t="n">
        <v>1554084</v>
      </c>
      <c r="J715" s="7" t="n">
        <f aca="false">E715*1.07</f>
        <v>1471566.72</v>
      </c>
      <c r="K715" s="7" t="n">
        <f aca="false">F715*1.07</f>
        <v>1471566.72</v>
      </c>
      <c r="L715" s="5" t="s">
        <v>84</v>
      </c>
      <c r="N715" s="8" t="s">
        <v>3344</v>
      </c>
      <c r="T715" s="5" t="s">
        <v>3345</v>
      </c>
      <c r="V715" s="5" t="s">
        <v>3346</v>
      </c>
      <c r="X715" s="5" t="s">
        <v>737</v>
      </c>
      <c r="Y715" s="5" t="s">
        <v>73</v>
      </c>
      <c r="AI715" s="9" t="n">
        <v>45292</v>
      </c>
      <c r="AL715" s="5" t="n">
        <v>1554084</v>
      </c>
      <c r="AM715" s="5" t="s">
        <v>2709</v>
      </c>
      <c r="AN715" s="5"/>
      <c r="AQ715" s="5" t="s">
        <v>77</v>
      </c>
      <c r="AR715" s="5" t="s">
        <v>737</v>
      </c>
      <c r="AS715" s="5" t="s">
        <v>73</v>
      </c>
      <c r="AT715" s="5" t="s">
        <v>78</v>
      </c>
      <c r="AU715" s="10"/>
      <c r="AW715" s="25" t="s">
        <v>94</v>
      </c>
      <c r="AX715" s="5" t="s">
        <v>79</v>
      </c>
      <c r="AY715" s="5"/>
      <c r="AZ715" s="5" t="s">
        <v>287</v>
      </c>
      <c r="BD715" s="9" t="n">
        <v>45761</v>
      </c>
      <c r="BE715" s="9" t="n">
        <v>45761</v>
      </c>
      <c r="BJ715" s="5" t="n">
        <v>2024</v>
      </c>
    </row>
    <row r="716" customFormat="false" ht="16.5" hidden="false" customHeight="true" outlineLevel="0" collapsed="false">
      <c r="A716" s="5" t="s">
        <v>3347</v>
      </c>
      <c r="D716" s="5" t="s">
        <v>62</v>
      </c>
      <c r="G716" s="5" t="s">
        <v>147</v>
      </c>
      <c r="J716" s="18"/>
      <c r="K716" s="18"/>
      <c r="L716" s="5" t="s">
        <v>84</v>
      </c>
      <c r="X716" s="5" t="s">
        <v>180</v>
      </c>
      <c r="Y716" s="5" t="s">
        <v>73</v>
      </c>
      <c r="AI716" s="9" t="n">
        <v>45292</v>
      </c>
      <c r="AM716" s="5" t="s">
        <v>307</v>
      </c>
      <c r="AN716" s="5"/>
      <c r="AQ716" s="5" t="s">
        <v>77</v>
      </c>
      <c r="AR716" s="5" t="s">
        <v>180</v>
      </c>
      <c r="AS716" s="5" t="s">
        <v>73</v>
      </c>
      <c r="AT716" s="5" t="s">
        <v>78</v>
      </c>
      <c r="AU716" s="10"/>
      <c r="AW716" s="5" t="s">
        <v>94</v>
      </c>
      <c r="AX716" s="5" t="s">
        <v>79</v>
      </c>
      <c r="AY716" s="5"/>
      <c r="AZ716" s="5" t="s">
        <v>129</v>
      </c>
      <c r="BD716" s="9" t="n">
        <v>45761</v>
      </c>
      <c r="BE716" s="9" t="n">
        <v>45761</v>
      </c>
      <c r="BJ716" s="5" t="n">
        <v>2024</v>
      </c>
    </row>
    <row r="717" customFormat="false" ht="16.5" hidden="false" customHeight="true" outlineLevel="0" collapsed="false">
      <c r="A717" s="5" t="s">
        <v>3348</v>
      </c>
      <c r="D717" s="5" t="s">
        <v>62</v>
      </c>
      <c r="G717" s="5" t="s">
        <v>147</v>
      </c>
      <c r="J717" s="18"/>
      <c r="K717" s="18"/>
      <c r="L717" s="5" t="s">
        <v>84</v>
      </c>
      <c r="V717" s="5" t="s">
        <v>3349</v>
      </c>
      <c r="X717" s="5" t="s">
        <v>180</v>
      </c>
      <c r="Y717" s="5" t="s">
        <v>73</v>
      </c>
      <c r="AI717" s="9" t="n">
        <v>45323</v>
      </c>
      <c r="AM717" s="5" t="s">
        <v>307</v>
      </c>
      <c r="AN717" s="5"/>
      <c r="AQ717" s="5" t="s">
        <v>77</v>
      </c>
      <c r="AR717" s="5" t="s">
        <v>180</v>
      </c>
      <c r="AS717" s="5" t="s">
        <v>73</v>
      </c>
      <c r="AT717" s="5" t="s">
        <v>71</v>
      </c>
      <c r="AU717" s="10"/>
      <c r="AW717" s="5" t="s">
        <v>94</v>
      </c>
      <c r="AX717" s="5" t="s">
        <v>79</v>
      </c>
      <c r="AY717" s="5"/>
      <c r="AZ717" s="5" t="s">
        <v>309</v>
      </c>
      <c r="BD717" s="9" t="n">
        <v>45761</v>
      </c>
      <c r="BE717" s="9" t="n">
        <v>45761</v>
      </c>
      <c r="BJ717" s="5" t="n">
        <v>2024</v>
      </c>
    </row>
    <row r="718" customFormat="false" ht="16.5" hidden="false" customHeight="true" outlineLevel="0" collapsed="false">
      <c r="A718" s="5" t="s">
        <v>3350</v>
      </c>
      <c r="D718" s="5" t="s">
        <v>62</v>
      </c>
      <c r="G718" s="5" t="s">
        <v>147</v>
      </c>
      <c r="J718" s="18"/>
      <c r="K718" s="18"/>
      <c r="L718" s="5" t="s">
        <v>84</v>
      </c>
      <c r="X718" s="5" t="s">
        <v>180</v>
      </c>
      <c r="Y718" s="5" t="s">
        <v>73</v>
      </c>
      <c r="AI718" s="9" t="n">
        <v>45383</v>
      </c>
      <c r="AM718" s="5" t="s">
        <v>307</v>
      </c>
      <c r="AN718" s="5"/>
      <c r="AQ718" s="5" t="s">
        <v>77</v>
      </c>
      <c r="AR718" s="5" t="s">
        <v>180</v>
      </c>
      <c r="AS718" s="5" t="s">
        <v>73</v>
      </c>
      <c r="AT718" s="5" t="s">
        <v>78</v>
      </c>
      <c r="AU718" s="10"/>
      <c r="AW718" s="5" t="s">
        <v>94</v>
      </c>
      <c r="AX718" s="5" t="s">
        <v>79</v>
      </c>
      <c r="AY718" s="5"/>
      <c r="AZ718" s="5" t="s">
        <v>525</v>
      </c>
      <c r="BD718" s="9" t="n">
        <v>45761</v>
      </c>
      <c r="BE718" s="9" t="n">
        <v>45761</v>
      </c>
      <c r="BJ718" s="5" t="n">
        <v>2024</v>
      </c>
    </row>
    <row r="719" customFormat="false" ht="16.5" hidden="false" customHeight="true" outlineLevel="0" collapsed="false">
      <c r="A719" s="10" t="s">
        <v>3351</v>
      </c>
      <c r="B719" s="5" t="s">
        <v>3352</v>
      </c>
      <c r="D719" s="5" t="s">
        <v>62</v>
      </c>
      <c r="E719" s="5" t="n">
        <v>11999999</v>
      </c>
      <c r="F719" s="5" t="n">
        <v>11999999</v>
      </c>
      <c r="G719" s="5" t="s">
        <v>110</v>
      </c>
      <c r="H719" s="6" t="n">
        <v>1127788</v>
      </c>
      <c r="J719" s="18" t="n">
        <f aca="false">E719*0.087</f>
        <v>1043999.913</v>
      </c>
      <c r="K719" s="18" t="n">
        <f aca="false">F719*0.087</f>
        <v>1043999.913</v>
      </c>
      <c r="L719" s="5" t="s">
        <v>84</v>
      </c>
      <c r="M719" s="5" t="s">
        <v>65</v>
      </c>
      <c r="N719" s="8" t="s">
        <v>3353</v>
      </c>
      <c r="O719" s="15" t="s">
        <v>3354</v>
      </c>
      <c r="T719" s="5" t="s">
        <v>3355</v>
      </c>
      <c r="V719" s="5" t="s">
        <v>3356</v>
      </c>
      <c r="X719" s="5" t="s">
        <v>115</v>
      </c>
      <c r="Y719" s="5" t="s">
        <v>73</v>
      </c>
      <c r="AI719" s="9" t="n">
        <v>45658</v>
      </c>
      <c r="AL719" s="5" t="n">
        <v>1127788</v>
      </c>
      <c r="AM719" s="5" t="s">
        <v>173</v>
      </c>
      <c r="AN719" s="5"/>
      <c r="AQ719" s="5" t="s">
        <v>77</v>
      </c>
      <c r="AR719" s="5" t="s">
        <v>115</v>
      </c>
      <c r="AS719" s="5" t="s">
        <v>73</v>
      </c>
      <c r="AT719" s="5" t="s">
        <v>71</v>
      </c>
      <c r="AU719" s="10"/>
      <c r="AW719" s="25" t="s">
        <v>94</v>
      </c>
      <c r="AX719" s="5" t="s">
        <v>375</v>
      </c>
      <c r="AY719" s="5"/>
      <c r="AZ719" s="5" t="s">
        <v>399</v>
      </c>
      <c r="BD719" s="9" t="n">
        <v>45775</v>
      </c>
      <c r="BE719" s="9" t="n">
        <v>45775</v>
      </c>
      <c r="BJ719" s="5" t="n">
        <v>2025</v>
      </c>
      <c r="BK719" s="5" t="s">
        <v>3357</v>
      </c>
    </row>
    <row r="720" customFormat="false" ht="16.5" hidden="false" customHeight="true" outlineLevel="0" collapsed="false">
      <c r="A720" s="10" t="s">
        <v>3358</v>
      </c>
      <c r="B720" s="5" t="s">
        <v>3359</v>
      </c>
      <c r="D720" s="5" t="s">
        <v>62</v>
      </c>
      <c r="E720" s="16" t="n">
        <v>74255</v>
      </c>
      <c r="F720" s="16" t="n">
        <v>74255</v>
      </c>
      <c r="G720" s="5" t="s">
        <v>132</v>
      </c>
      <c r="H720" s="6" t="n">
        <v>91516</v>
      </c>
      <c r="J720" s="7" t="n">
        <f aca="false">E720*1.19</f>
        <v>88363.45</v>
      </c>
      <c r="K720" s="7" t="n">
        <f aca="false">F720*1.19</f>
        <v>88363.45</v>
      </c>
      <c r="L720" s="5" t="s">
        <v>84</v>
      </c>
      <c r="N720" s="8" t="s">
        <v>3360</v>
      </c>
      <c r="O720" s="5" t="s">
        <v>3361</v>
      </c>
      <c r="T720" s="5" t="s">
        <v>3362</v>
      </c>
      <c r="V720" s="5" t="s">
        <v>3363</v>
      </c>
      <c r="X720" s="5" t="s">
        <v>139</v>
      </c>
      <c r="Y720" s="5" t="s">
        <v>73</v>
      </c>
      <c r="AI720" s="9" t="n">
        <v>44562</v>
      </c>
      <c r="AL720" s="5" t="n">
        <v>91516</v>
      </c>
      <c r="AM720" s="5" t="s">
        <v>140</v>
      </c>
      <c r="AN720" s="5" t="s">
        <v>673</v>
      </c>
      <c r="AQ720" s="5" t="s">
        <v>77</v>
      </c>
      <c r="AR720" s="5" t="s">
        <v>143</v>
      </c>
      <c r="AS720" s="5" t="s">
        <v>73</v>
      </c>
      <c r="AT720" s="5" t="s">
        <v>78</v>
      </c>
      <c r="AU720" s="10"/>
      <c r="AW720" s="5" t="s">
        <v>94</v>
      </c>
      <c r="AX720" s="5" t="s">
        <v>375</v>
      </c>
      <c r="AY720" s="5"/>
      <c r="AZ720" s="5" t="s">
        <v>129</v>
      </c>
      <c r="BD720" s="9" t="n">
        <v>45779</v>
      </c>
      <c r="BE720" s="9" t="n">
        <v>45779</v>
      </c>
      <c r="BJ720" s="5" t="n">
        <v>2022</v>
      </c>
    </row>
    <row r="721" customFormat="false" ht="16.5" hidden="false" customHeight="true" outlineLevel="0" collapsed="false">
      <c r="A721" s="10" t="s">
        <v>3364</v>
      </c>
      <c r="B721" s="5" t="s">
        <v>3365</v>
      </c>
      <c r="D721" s="5" t="s">
        <v>62</v>
      </c>
      <c r="E721" s="5" t="n">
        <v>4227361</v>
      </c>
      <c r="F721" s="5" t="n">
        <v>4227361</v>
      </c>
      <c r="G721" s="5" t="s">
        <v>147</v>
      </c>
      <c r="H721" s="6" t="n">
        <v>4830647</v>
      </c>
      <c r="J721" s="7" t="n">
        <v>4227361</v>
      </c>
      <c r="K721" s="7" t="n">
        <v>4227361</v>
      </c>
      <c r="L721" s="5" t="s">
        <v>84</v>
      </c>
      <c r="N721" s="8" t="s">
        <v>3366</v>
      </c>
      <c r="O721" s="5" t="s">
        <v>3367</v>
      </c>
      <c r="V721" s="5" t="s">
        <v>3368</v>
      </c>
      <c r="X721" s="5" t="s">
        <v>333</v>
      </c>
      <c r="Y721" s="5" t="s">
        <v>73</v>
      </c>
      <c r="AI721" s="9" t="n">
        <v>42614</v>
      </c>
      <c r="AL721" s="5" t="n">
        <v>4830647</v>
      </c>
      <c r="AM721" s="5" t="s">
        <v>182</v>
      </c>
      <c r="AN721" s="24" t="s">
        <v>363</v>
      </c>
      <c r="AQ721" s="5" t="s">
        <v>77</v>
      </c>
      <c r="AR721" s="5" t="s">
        <v>185</v>
      </c>
      <c r="AS721" s="5" t="s">
        <v>73</v>
      </c>
      <c r="AT721" s="5" t="s">
        <v>78</v>
      </c>
      <c r="AW721" s="25" t="s">
        <v>94</v>
      </c>
      <c r="AX721" s="10" t="str">
        <f aca="false" t="array" ref="AX721:AX721">IFERROR(INDEX('full database 2024'!ar:ar, MATCH(A721, 'full database 2024'!b:b, 0)), "")</f>
        <v/>
      </c>
      <c r="AZ721" s="5" t="s">
        <v>129</v>
      </c>
      <c r="BD721" s="9" t="n">
        <v>45779</v>
      </c>
      <c r="BE721" s="9" t="n">
        <v>45779</v>
      </c>
      <c r="BJ721" s="5" t="n">
        <v>2016</v>
      </c>
      <c r="BK721" s="5" t="s">
        <v>3369</v>
      </c>
    </row>
    <row r="722" customFormat="false" ht="16.5" hidden="false" customHeight="true" outlineLevel="0" collapsed="false">
      <c r="A722" s="10" t="s">
        <v>3370</v>
      </c>
      <c r="B722" s="10" t="s">
        <v>3371</v>
      </c>
      <c r="C722" s="10" t="s">
        <v>3370</v>
      </c>
      <c r="D722" s="5" t="s">
        <v>3372</v>
      </c>
      <c r="E722" s="10" t="n">
        <v>0</v>
      </c>
      <c r="F722" s="10" t="n">
        <v>0</v>
      </c>
      <c r="G722" s="10" t="s">
        <v>147</v>
      </c>
      <c r="H722" s="10" t="n">
        <v>0</v>
      </c>
      <c r="J722" s="18" t="n">
        <v>0</v>
      </c>
      <c r="K722" s="18" t="n">
        <v>0</v>
      </c>
      <c r="L722" s="5" t="s">
        <v>84</v>
      </c>
      <c r="M722" s="5"/>
      <c r="N722" s="10" t="s">
        <v>3373</v>
      </c>
      <c r="O722" s="10" t="s">
        <v>3374</v>
      </c>
      <c r="S722" s="10" t="s">
        <v>3375</v>
      </c>
      <c r="W722" s="5"/>
      <c r="AI722" s="10" t="s">
        <v>3376</v>
      </c>
      <c r="AM722" s="5" t="s">
        <v>459</v>
      </c>
      <c r="AO722" s="10" t="s">
        <v>3377</v>
      </c>
      <c r="AQ722" s="5" t="s">
        <v>77</v>
      </c>
      <c r="AR722" s="5" t="s">
        <v>333</v>
      </c>
      <c r="AS722" s="5" t="s">
        <v>73</v>
      </c>
      <c r="AT722" s="5" t="s">
        <v>78</v>
      </c>
      <c r="AW722" s="5" t="s">
        <v>94</v>
      </c>
      <c r="AX722" s="5" t="s">
        <v>79</v>
      </c>
      <c r="AY722" s="5"/>
      <c r="AZ722" s="5" t="s">
        <v>188</v>
      </c>
      <c r="BJ722" s="10" t="n">
        <v>2024</v>
      </c>
      <c r="BK722" s="10" t="n">
        <v>2025</v>
      </c>
    </row>
    <row r="723" customFormat="false" ht="16.5" hidden="false" customHeight="true" outlineLevel="0" collapsed="false">
      <c r="A723" s="10" t="s">
        <v>3378</v>
      </c>
      <c r="B723" s="10" t="s">
        <v>3379</v>
      </c>
      <c r="C723" s="10" t="s">
        <v>3378</v>
      </c>
      <c r="D723" s="5" t="s">
        <v>3372</v>
      </c>
      <c r="E723" s="10" t="n">
        <v>2158800</v>
      </c>
      <c r="F723" s="10" t="n">
        <v>2158800</v>
      </c>
      <c r="G723" s="10" t="s">
        <v>147</v>
      </c>
      <c r="H723" s="10" t="n">
        <v>2330768</v>
      </c>
      <c r="J723" s="18" t="n">
        <v>2158800</v>
      </c>
      <c r="K723" s="18" t="n">
        <v>2158800</v>
      </c>
      <c r="L723" s="5" t="s">
        <v>84</v>
      </c>
      <c r="M723" s="5"/>
      <c r="N723" s="10" t="s">
        <v>3380</v>
      </c>
      <c r="O723" s="10" t="s">
        <v>3381</v>
      </c>
      <c r="S723" s="10" t="s">
        <v>3382</v>
      </c>
      <c r="W723" s="5"/>
      <c r="AI723" s="10" t="s">
        <v>3383</v>
      </c>
      <c r="AM723" s="10" t="s">
        <v>182</v>
      </c>
      <c r="AN723" s="5" t="s">
        <v>3384</v>
      </c>
      <c r="AQ723" s="5" t="s">
        <v>77</v>
      </c>
      <c r="AR723" s="5" t="s">
        <v>185</v>
      </c>
      <c r="AS723" s="5" t="s">
        <v>73</v>
      </c>
      <c r="AT723" s="5" t="s">
        <v>78</v>
      </c>
      <c r="AW723" s="25" t="s">
        <v>94</v>
      </c>
      <c r="AX723" s="28" t="s">
        <v>79</v>
      </c>
      <c r="AZ723" s="5" t="s">
        <v>129</v>
      </c>
      <c r="BJ723" s="10" t="n">
        <v>2021</v>
      </c>
      <c r="BK723" s="10" t="n">
        <v>2023</v>
      </c>
    </row>
    <row r="724" customFormat="false" ht="16.5" hidden="false" customHeight="true" outlineLevel="0" collapsed="false">
      <c r="A724" s="10" t="s">
        <v>3385</v>
      </c>
      <c r="B724" s="10" t="s">
        <v>3386</v>
      </c>
      <c r="C724" s="10" t="s">
        <v>3385</v>
      </c>
      <c r="D724" s="5" t="s">
        <v>3372</v>
      </c>
      <c r="E724" s="10" t="n">
        <v>291960</v>
      </c>
      <c r="F724" s="10" t="n">
        <v>291960</v>
      </c>
      <c r="G724" s="10" t="s">
        <v>732</v>
      </c>
      <c r="H724" s="10" t="n">
        <v>329292</v>
      </c>
      <c r="J724" s="7" t="n">
        <f aca="false">E724*1.07</f>
        <v>312397.2</v>
      </c>
      <c r="K724" s="7" t="n">
        <f aca="false">F724*1.07</f>
        <v>312397.2</v>
      </c>
      <c r="L724" s="5" t="s">
        <v>84</v>
      </c>
      <c r="M724" s="5"/>
      <c r="N724" s="10" t="s">
        <v>3387</v>
      </c>
      <c r="O724" s="10" t="s">
        <v>3388</v>
      </c>
      <c r="S724" s="10" t="s">
        <v>3389</v>
      </c>
      <c r="T724" s="10" t="s">
        <v>3390</v>
      </c>
      <c r="V724" s="10" t="s">
        <v>3391</v>
      </c>
      <c r="W724" s="5"/>
      <c r="X724" s="10" t="s">
        <v>737</v>
      </c>
      <c r="Z724" s="10" t="s">
        <v>2863</v>
      </c>
      <c r="AI724" s="10" t="s">
        <v>3392</v>
      </c>
      <c r="AM724" s="5" t="s">
        <v>2709</v>
      </c>
      <c r="AO724" s="10" t="s">
        <v>3393</v>
      </c>
      <c r="AQ724" s="5" t="s">
        <v>77</v>
      </c>
      <c r="AR724" s="5" t="s">
        <v>737</v>
      </c>
      <c r="AS724" s="5" t="s">
        <v>73</v>
      </c>
      <c r="AT724" s="5" t="s">
        <v>105</v>
      </c>
      <c r="AU724" s="5" t="s">
        <v>106</v>
      </c>
      <c r="AV724" s="10" t="s">
        <v>569</v>
      </c>
      <c r="AW724" s="5" t="s">
        <v>94</v>
      </c>
      <c r="AX724" s="5" t="s">
        <v>375</v>
      </c>
      <c r="AY724" s="5"/>
      <c r="AZ724" s="5" t="s">
        <v>525</v>
      </c>
      <c r="BJ724" s="10" t="n">
        <v>2023</v>
      </c>
      <c r="BK724" s="10" t="n">
        <v>2025</v>
      </c>
    </row>
    <row r="725" customFormat="false" ht="16.5" hidden="false" customHeight="true" outlineLevel="0" collapsed="false">
      <c r="A725" s="10" t="s">
        <v>3394</v>
      </c>
      <c r="B725" s="10" t="s">
        <v>3395</v>
      </c>
      <c r="C725" s="10" t="s">
        <v>3394</v>
      </c>
      <c r="D725" s="5" t="s">
        <v>3372</v>
      </c>
      <c r="E725" s="10" t="n">
        <v>526549</v>
      </c>
      <c r="F725" s="10" t="n">
        <v>526549</v>
      </c>
      <c r="G725" s="10" t="s">
        <v>147</v>
      </c>
      <c r="H725" s="10" t="n">
        <v>563280</v>
      </c>
      <c r="J725" s="18" t="n">
        <v>526549</v>
      </c>
      <c r="K725" s="18" t="n">
        <v>526549</v>
      </c>
      <c r="L725" s="5" t="s">
        <v>84</v>
      </c>
      <c r="M725" s="5"/>
      <c r="N725" s="10" t="s">
        <v>3396</v>
      </c>
      <c r="O725" s="10" t="s">
        <v>3397</v>
      </c>
      <c r="S725" s="10" t="s">
        <v>3398</v>
      </c>
      <c r="T725" s="10" t="s">
        <v>3399</v>
      </c>
      <c r="V725" s="10" t="s">
        <v>3400</v>
      </c>
      <c r="W725" s="5"/>
      <c r="X725" s="5"/>
      <c r="Z725" s="10" t="s">
        <v>3401</v>
      </c>
      <c r="AI725" s="10" t="s">
        <v>3402</v>
      </c>
      <c r="AM725" s="5" t="s">
        <v>307</v>
      </c>
      <c r="AQ725" s="5" t="s">
        <v>77</v>
      </c>
      <c r="AR725" s="5" t="s">
        <v>180</v>
      </c>
      <c r="AS725" s="5" t="s">
        <v>73</v>
      </c>
      <c r="AT725" s="5" t="s">
        <v>78</v>
      </c>
      <c r="AW725" s="5" t="s">
        <v>94</v>
      </c>
      <c r="AX725" s="5" t="s">
        <v>79</v>
      </c>
      <c r="AY725" s="5"/>
      <c r="AZ725" s="5" t="s">
        <v>525</v>
      </c>
      <c r="BJ725" s="10" t="n">
        <v>2022</v>
      </c>
      <c r="BK725" s="10" t="n">
        <v>2027</v>
      </c>
    </row>
    <row r="726" customFormat="false" ht="16.5" hidden="false" customHeight="true" outlineLevel="0" collapsed="false">
      <c r="A726" s="10" t="s">
        <v>3403</v>
      </c>
      <c r="B726" s="10" t="s">
        <v>3404</v>
      </c>
      <c r="C726" s="10" t="s">
        <v>3403</v>
      </c>
      <c r="D726" s="5" t="s">
        <v>3372</v>
      </c>
      <c r="E726" s="10" t="n">
        <v>2999700</v>
      </c>
      <c r="F726" s="10" t="n">
        <v>2999700</v>
      </c>
      <c r="G726" s="10" t="s">
        <v>212</v>
      </c>
      <c r="H726" s="10" t="n">
        <v>287520</v>
      </c>
      <c r="J726" s="7" t="n">
        <f aca="false">E726*0.091</f>
        <v>272972.7</v>
      </c>
      <c r="K726" s="7" t="n">
        <f aca="false">F726*0.091</f>
        <v>272972.7</v>
      </c>
      <c r="L726" s="5" t="s">
        <v>84</v>
      </c>
      <c r="M726" s="5"/>
      <c r="N726" s="10" t="s">
        <v>3405</v>
      </c>
      <c r="O726" s="10" t="s">
        <v>3406</v>
      </c>
      <c r="S726" s="10" t="s">
        <v>3407</v>
      </c>
      <c r="T726" s="10" t="s">
        <v>3408</v>
      </c>
      <c r="V726" s="10" t="s">
        <v>393</v>
      </c>
      <c r="W726" s="5"/>
      <c r="X726" s="5"/>
      <c r="Z726" s="10" t="s">
        <v>2631</v>
      </c>
      <c r="AI726" s="10" t="s">
        <v>3409</v>
      </c>
      <c r="AM726" s="5" t="s">
        <v>217</v>
      </c>
      <c r="AO726" s="10" t="s">
        <v>3410</v>
      </c>
      <c r="AQ726" s="5" t="s">
        <v>77</v>
      </c>
      <c r="AR726" s="5" t="s">
        <v>215</v>
      </c>
      <c r="AS726" s="5" t="s">
        <v>73</v>
      </c>
      <c r="AT726" s="5" t="s">
        <v>78</v>
      </c>
      <c r="AW726" s="5" t="s">
        <v>94</v>
      </c>
      <c r="AX726" s="5" t="s">
        <v>79</v>
      </c>
      <c r="AY726" s="5"/>
      <c r="AZ726" s="5" t="s">
        <v>525</v>
      </c>
      <c r="BJ726" s="10" t="n">
        <v>2022</v>
      </c>
      <c r="BK726" s="10" t="n">
        <v>2024</v>
      </c>
    </row>
    <row r="727" customFormat="false" ht="16.5" hidden="false" customHeight="true" outlineLevel="0" collapsed="false">
      <c r="A727" s="10" t="s">
        <v>3411</v>
      </c>
      <c r="B727" s="10" t="s">
        <v>3412</v>
      </c>
      <c r="C727" s="10" t="s">
        <v>3411</v>
      </c>
      <c r="D727" s="5" t="s">
        <v>3372</v>
      </c>
      <c r="E727" s="37" t="n">
        <v>378876</v>
      </c>
      <c r="F727" s="37" t="n">
        <v>378876</v>
      </c>
      <c r="G727" s="10" t="s">
        <v>132</v>
      </c>
      <c r="H727" s="10" t="n">
        <v>485837</v>
      </c>
      <c r="J727" s="7" t="n">
        <f aca="false">E727*1.19</f>
        <v>450862.44</v>
      </c>
      <c r="K727" s="7" t="n">
        <f aca="false">F727*1.19</f>
        <v>450862.44</v>
      </c>
      <c r="L727" s="5" t="s">
        <v>84</v>
      </c>
      <c r="M727" s="5"/>
      <c r="N727" s="10" t="s">
        <v>3413</v>
      </c>
      <c r="O727" s="10" t="s">
        <v>3414</v>
      </c>
      <c r="S727" s="10" t="s">
        <v>3415</v>
      </c>
      <c r="T727" s="10" t="s">
        <v>3416</v>
      </c>
      <c r="W727" s="5"/>
      <c r="X727" s="5" t="s">
        <v>139</v>
      </c>
      <c r="AI727" s="10" t="s">
        <v>3417</v>
      </c>
      <c r="AM727" s="5" t="s">
        <v>140</v>
      </c>
      <c r="AN727" s="5" t="s">
        <v>699</v>
      </c>
      <c r="AO727" s="10" t="s">
        <v>2822</v>
      </c>
      <c r="AQ727" s="5" t="s">
        <v>77</v>
      </c>
      <c r="AR727" s="5" t="s">
        <v>143</v>
      </c>
      <c r="AS727" s="5" t="s">
        <v>73</v>
      </c>
      <c r="AT727" s="5" t="s">
        <v>78</v>
      </c>
      <c r="AW727" s="5" t="s">
        <v>94</v>
      </c>
      <c r="AX727" s="5" t="s">
        <v>79</v>
      </c>
      <c r="AY727" s="5"/>
      <c r="AZ727" s="5" t="s">
        <v>309</v>
      </c>
      <c r="BJ727" s="10" t="n">
        <v>2020</v>
      </c>
      <c r="BK727" s="10" t="n">
        <v>2021</v>
      </c>
    </row>
    <row r="728" customFormat="false" ht="16.5" hidden="false" customHeight="true" outlineLevel="0" collapsed="false">
      <c r="A728" s="10" t="s">
        <v>3418</v>
      </c>
      <c r="B728" s="10" t="s">
        <v>3419</v>
      </c>
      <c r="C728" s="10" t="s">
        <v>3420</v>
      </c>
      <c r="D728" s="5" t="s">
        <v>3372</v>
      </c>
      <c r="E728" s="10" t="n">
        <v>944284</v>
      </c>
      <c r="F728" s="10" t="n">
        <v>944284</v>
      </c>
      <c r="G728" s="10" t="s">
        <v>147</v>
      </c>
      <c r="H728" s="10" t="n">
        <v>1116621</v>
      </c>
      <c r="J728" s="18" t="n">
        <v>944284</v>
      </c>
      <c r="K728" s="18" t="n">
        <v>944284</v>
      </c>
      <c r="L728" s="5" t="s">
        <v>84</v>
      </c>
      <c r="M728" s="5"/>
      <c r="O728" s="10" t="s">
        <v>3421</v>
      </c>
      <c r="S728" s="10" t="s">
        <v>3422</v>
      </c>
      <c r="V728" s="10" t="s">
        <v>3423</v>
      </c>
      <c r="W728" s="5"/>
      <c r="X728" s="5"/>
      <c r="Z728" s="10" t="s">
        <v>3424</v>
      </c>
      <c r="AI728" s="10" t="s">
        <v>3425</v>
      </c>
      <c r="AM728" s="10" t="s">
        <v>3426</v>
      </c>
      <c r="AO728" s="10" t="s">
        <v>3427</v>
      </c>
      <c r="AQ728" s="5" t="s">
        <v>77</v>
      </c>
      <c r="AR728" s="5" t="s">
        <v>568</v>
      </c>
      <c r="AS728" s="5" t="s">
        <v>73</v>
      </c>
      <c r="AT728" s="5" t="s">
        <v>78</v>
      </c>
      <c r="AW728" s="5" t="s">
        <v>94</v>
      </c>
      <c r="AX728" s="5" t="s">
        <v>296</v>
      </c>
      <c r="AY728" s="5" t="s">
        <v>297</v>
      </c>
      <c r="AZ728" s="5" t="s">
        <v>188</v>
      </c>
      <c r="BJ728" s="10" t="n">
        <v>2021</v>
      </c>
    </row>
    <row r="729" customFormat="false" ht="16.5" hidden="false" customHeight="true" outlineLevel="0" collapsed="false">
      <c r="A729" s="10" t="s">
        <v>3428</v>
      </c>
      <c r="B729" s="10" t="s">
        <v>3429</v>
      </c>
      <c r="C729" s="10" t="s">
        <v>3428</v>
      </c>
      <c r="D729" s="5" t="s">
        <v>3372</v>
      </c>
      <c r="E729" s="10" t="n">
        <v>247553</v>
      </c>
      <c r="F729" s="10" t="n">
        <v>247553</v>
      </c>
      <c r="G729" s="10" t="s">
        <v>147</v>
      </c>
      <c r="H729" s="10" t="n">
        <v>262720</v>
      </c>
      <c r="J729" s="18" t="n">
        <v>247553</v>
      </c>
      <c r="K729" s="18" t="n">
        <v>247553</v>
      </c>
      <c r="L729" s="5" t="s">
        <v>84</v>
      </c>
      <c r="M729" s="5"/>
      <c r="N729" s="10" t="s">
        <v>3430</v>
      </c>
      <c r="O729" s="10" t="s">
        <v>3431</v>
      </c>
      <c r="S729" s="10" t="s">
        <v>3432</v>
      </c>
      <c r="V729" s="10" t="s">
        <v>128</v>
      </c>
      <c r="W729" s="5"/>
      <c r="X729" s="5" t="s">
        <v>72</v>
      </c>
      <c r="Z729" s="10" t="s">
        <v>2574</v>
      </c>
      <c r="AI729" s="10" t="s">
        <v>3433</v>
      </c>
      <c r="AM729" s="10" t="s">
        <v>182</v>
      </c>
      <c r="AN729" s="24" t="s">
        <v>508</v>
      </c>
      <c r="AQ729" s="5" t="s">
        <v>77</v>
      </c>
      <c r="AR729" s="5" t="s">
        <v>185</v>
      </c>
      <c r="AS729" s="5" t="s">
        <v>73</v>
      </c>
      <c r="AT729" s="5" t="s">
        <v>105</v>
      </c>
      <c r="AU729" s="5" t="s">
        <v>106</v>
      </c>
      <c r="AV729" s="10" t="s">
        <v>569</v>
      </c>
      <c r="AW729" s="5" t="s">
        <v>201</v>
      </c>
      <c r="AX729" s="5" t="s">
        <v>79</v>
      </c>
      <c r="AY729" s="5"/>
      <c r="AZ729" s="5" t="s">
        <v>540</v>
      </c>
      <c r="BJ729" s="10" t="n">
        <v>2026</v>
      </c>
      <c r="BK729" s="10" t="n">
        <v>2028</v>
      </c>
    </row>
    <row r="730" customFormat="false" ht="16.5" hidden="false" customHeight="true" outlineLevel="0" collapsed="false">
      <c r="A730" s="10" t="s">
        <v>3434</v>
      </c>
      <c r="B730" s="10" t="s">
        <v>3435</v>
      </c>
      <c r="C730" s="10" t="s">
        <v>3434</v>
      </c>
      <c r="D730" s="5" t="s">
        <v>3372</v>
      </c>
      <c r="E730" s="10" t="n">
        <v>222500</v>
      </c>
      <c r="F730" s="10" t="n">
        <v>222500</v>
      </c>
      <c r="G730" s="10" t="s">
        <v>147</v>
      </c>
      <c r="H730" s="10" t="n">
        <v>240726</v>
      </c>
      <c r="J730" s="18" t="n">
        <v>222500</v>
      </c>
      <c r="K730" s="18" t="n">
        <v>222500</v>
      </c>
      <c r="L730" s="5" t="s">
        <v>84</v>
      </c>
      <c r="M730" s="5"/>
      <c r="N730" s="10" t="s">
        <v>3436</v>
      </c>
      <c r="O730" s="10" t="s">
        <v>3437</v>
      </c>
      <c r="S730" s="10" t="s">
        <v>3438</v>
      </c>
      <c r="V730" s="10" t="s">
        <v>3439</v>
      </c>
      <c r="W730" s="5"/>
      <c r="X730" s="5"/>
      <c r="Z730" s="10" t="s">
        <v>3440</v>
      </c>
      <c r="AI730" s="10" t="s">
        <v>3441</v>
      </c>
      <c r="AM730" s="10" t="s">
        <v>3442</v>
      </c>
      <c r="AO730" s="10" t="s">
        <v>3443</v>
      </c>
      <c r="AQ730" s="5" t="s">
        <v>77</v>
      </c>
      <c r="AR730" s="5" t="s">
        <v>257</v>
      </c>
      <c r="AS730" s="5" t="s">
        <v>73</v>
      </c>
      <c r="AT730" s="5" t="s">
        <v>78</v>
      </c>
      <c r="AW730" s="5" t="s">
        <v>94</v>
      </c>
      <c r="AX730" s="5" t="s">
        <v>79</v>
      </c>
      <c r="AY730" s="5"/>
      <c r="AZ730" s="5" t="s">
        <v>129</v>
      </c>
      <c r="BJ730" s="10" t="n">
        <v>2024</v>
      </c>
    </row>
    <row r="731" customFormat="false" ht="16.5" hidden="false" customHeight="true" outlineLevel="0" collapsed="false">
      <c r="A731" s="10" t="s">
        <v>3444</v>
      </c>
      <c r="B731" s="10" t="s">
        <v>3445</v>
      </c>
      <c r="C731" s="10" t="s">
        <v>3446</v>
      </c>
      <c r="D731" s="5" t="s">
        <v>3372</v>
      </c>
      <c r="E731" s="10" t="n">
        <v>147468</v>
      </c>
      <c r="F731" s="10" t="n">
        <v>147468</v>
      </c>
      <c r="G731" s="10" t="s">
        <v>147</v>
      </c>
      <c r="H731" s="10" t="n">
        <v>168093</v>
      </c>
      <c r="J731" s="18" t="n">
        <v>147468</v>
      </c>
      <c r="K731" s="18" t="n">
        <v>147468</v>
      </c>
      <c r="L731" s="5" t="s">
        <v>84</v>
      </c>
      <c r="M731" s="5"/>
      <c r="N731" s="10" t="s">
        <v>3436</v>
      </c>
      <c r="O731" s="10" t="s">
        <v>3447</v>
      </c>
      <c r="S731" s="10" t="s">
        <v>3448</v>
      </c>
      <c r="V731" s="10" t="s">
        <v>3449</v>
      </c>
      <c r="W731" s="5"/>
      <c r="X731" s="5"/>
      <c r="Z731" s="10" t="s">
        <v>3450</v>
      </c>
      <c r="AI731" s="10" t="s">
        <v>3451</v>
      </c>
      <c r="AM731" s="10" t="s">
        <v>3442</v>
      </c>
      <c r="AO731" s="10" t="s">
        <v>3452</v>
      </c>
      <c r="AQ731" s="5" t="s">
        <v>77</v>
      </c>
      <c r="AR731" s="5" t="s">
        <v>257</v>
      </c>
      <c r="AS731" s="5" t="s">
        <v>73</v>
      </c>
      <c r="AT731" s="5" t="s">
        <v>78</v>
      </c>
      <c r="AW731" s="5" t="s">
        <v>94</v>
      </c>
      <c r="AX731" s="5" t="s">
        <v>375</v>
      </c>
      <c r="AY731" s="5"/>
      <c r="AZ731" s="5" t="s">
        <v>129</v>
      </c>
      <c r="BJ731" s="10" t="n">
        <v>2020</v>
      </c>
    </row>
    <row r="732" customFormat="false" ht="16.5" hidden="false" customHeight="true" outlineLevel="0" collapsed="false">
      <c r="A732" s="10" t="s">
        <v>3453</v>
      </c>
      <c r="B732" s="10" t="s">
        <v>3454</v>
      </c>
      <c r="C732" s="10" t="s">
        <v>3453</v>
      </c>
      <c r="D732" s="5" t="s">
        <v>3372</v>
      </c>
      <c r="E732" s="10" t="n">
        <v>531835</v>
      </c>
      <c r="F732" s="10" t="n">
        <v>531835</v>
      </c>
      <c r="G732" s="10" t="s">
        <v>732</v>
      </c>
      <c r="H732" s="10" t="n">
        <v>585511</v>
      </c>
      <c r="J732" s="7" t="n">
        <f aca="false">E732*1.07</f>
        <v>569063.45</v>
      </c>
      <c r="K732" s="7" t="n">
        <f aca="false">F732*1.07</f>
        <v>569063.45</v>
      </c>
      <c r="L732" s="5" t="s">
        <v>84</v>
      </c>
      <c r="M732" s="5"/>
      <c r="N732" s="10" t="s">
        <v>3455</v>
      </c>
      <c r="O732" s="10" t="s">
        <v>3456</v>
      </c>
      <c r="S732" s="10" t="s">
        <v>3457</v>
      </c>
      <c r="T732" s="10" t="s">
        <v>3458</v>
      </c>
      <c r="W732" s="5"/>
      <c r="X732" s="5"/>
      <c r="AI732" s="10" t="s">
        <v>3459</v>
      </c>
      <c r="AM732" s="5" t="s">
        <v>2709</v>
      </c>
      <c r="AO732" s="10" t="s">
        <v>3460</v>
      </c>
      <c r="AQ732" s="5" t="s">
        <v>77</v>
      </c>
      <c r="AR732" s="5" t="s">
        <v>737</v>
      </c>
      <c r="AS732" s="5" t="s">
        <v>73</v>
      </c>
      <c r="AT732" s="5" t="s">
        <v>78</v>
      </c>
      <c r="AW732" s="5" t="s">
        <v>94</v>
      </c>
      <c r="AX732" s="5" t="s">
        <v>375</v>
      </c>
      <c r="AY732" s="5"/>
      <c r="AZ732" s="5" t="s">
        <v>188</v>
      </c>
      <c r="BJ732" s="10" t="n">
        <v>2021</v>
      </c>
      <c r="BK732" s="10" t="n">
        <v>2025</v>
      </c>
    </row>
    <row r="733" customFormat="false" ht="16.5" hidden="false" customHeight="true" outlineLevel="0" collapsed="false">
      <c r="A733" s="10" t="s">
        <v>3461</v>
      </c>
      <c r="B733" s="10" t="s">
        <v>3462</v>
      </c>
      <c r="C733" s="10" t="s">
        <v>3461</v>
      </c>
      <c r="D733" s="5" t="s">
        <v>3372</v>
      </c>
      <c r="E733" s="10" t="n">
        <v>2523999</v>
      </c>
      <c r="F733" s="10" t="n">
        <v>2523999</v>
      </c>
      <c r="G733" s="10" t="s">
        <v>110</v>
      </c>
      <c r="H733" s="10" t="n">
        <v>232103</v>
      </c>
      <c r="J733" s="18" t="n">
        <f aca="false">E733*0.087</f>
        <v>219587.913</v>
      </c>
      <c r="K733" s="18" t="n">
        <f aca="false">F733*0.087</f>
        <v>219587.913</v>
      </c>
      <c r="L733" s="5" t="s">
        <v>84</v>
      </c>
      <c r="M733" s="5"/>
      <c r="N733" s="10" t="s">
        <v>3463</v>
      </c>
      <c r="O733" s="10" t="s">
        <v>3464</v>
      </c>
      <c r="S733" s="10" t="s">
        <v>3465</v>
      </c>
      <c r="T733" s="10" t="s">
        <v>3466</v>
      </c>
      <c r="V733" s="10" t="s">
        <v>3467</v>
      </c>
      <c r="W733" s="5"/>
      <c r="X733" s="5"/>
      <c r="Z733" s="10" t="s">
        <v>3468</v>
      </c>
      <c r="AI733" s="10" t="s">
        <v>3469</v>
      </c>
      <c r="AM733" s="5" t="s">
        <v>173</v>
      </c>
      <c r="AO733" s="10" t="s">
        <v>3470</v>
      </c>
      <c r="AQ733" s="5" t="s">
        <v>77</v>
      </c>
      <c r="AR733" s="5" t="s">
        <v>115</v>
      </c>
      <c r="AS733" s="5" t="s">
        <v>73</v>
      </c>
      <c r="AT733" s="5" t="s">
        <v>78</v>
      </c>
      <c r="AW733" s="5" t="s">
        <v>94</v>
      </c>
      <c r="AX733" s="5" t="s">
        <v>375</v>
      </c>
      <c r="AY733" s="5"/>
      <c r="AZ733" s="5" t="s">
        <v>525</v>
      </c>
      <c r="BJ733" s="10" t="n">
        <v>2023</v>
      </c>
      <c r="BK733" s="10" t="n">
        <v>2027</v>
      </c>
    </row>
    <row r="734" customFormat="false" ht="16.5" hidden="false" customHeight="true" outlineLevel="0" collapsed="false">
      <c r="A734" s="10" t="s">
        <v>3471</v>
      </c>
      <c r="B734" s="10" t="s">
        <v>3472</v>
      </c>
      <c r="C734" s="10" t="s">
        <v>3473</v>
      </c>
      <c r="D734" s="5" t="s">
        <v>3372</v>
      </c>
      <c r="E734" s="10" t="n">
        <v>162380</v>
      </c>
      <c r="F734" s="10" t="n">
        <v>162380</v>
      </c>
      <c r="G734" s="10" t="s">
        <v>147</v>
      </c>
      <c r="H734" s="10" t="n">
        <v>192015</v>
      </c>
      <c r="J734" s="18" t="n">
        <v>162380</v>
      </c>
      <c r="K734" s="18" t="n">
        <v>162380</v>
      </c>
      <c r="L734" s="5" t="s">
        <v>84</v>
      </c>
      <c r="M734" s="5"/>
      <c r="N734" s="10" t="s">
        <v>3436</v>
      </c>
      <c r="O734" s="10" t="s">
        <v>3474</v>
      </c>
      <c r="S734" s="10" t="s">
        <v>3475</v>
      </c>
      <c r="V734" s="10" t="s">
        <v>3476</v>
      </c>
      <c r="W734" s="5"/>
      <c r="X734" s="5"/>
      <c r="Z734" s="10" t="s">
        <v>3477</v>
      </c>
      <c r="AI734" s="10" t="s">
        <v>3478</v>
      </c>
      <c r="AM734" s="10" t="s">
        <v>3442</v>
      </c>
      <c r="AO734" s="10" t="s">
        <v>3479</v>
      </c>
      <c r="AQ734" s="5" t="s">
        <v>77</v>
      </c>
      <c r="AR734" s="5" t="s">
        <v>257</v>
      </c>
      <c r="AS734" s="5" t="s">
        <v>73</v>
      </c>
      <c r="AT734" s="5" t="s">
        <v>78</v>
      </c>
      <c r="AU734" s="5" t="s">
        <v>186</v>
      </c>
      <c r="AV734" s="10" t="s">
        <v>569</v>
      </c>
      <c r="AW734" s="5" t="s">
        <v>94</v>
      </c>
      <c r="AX734" s="5" t="s">
        <v>79</v>
      </c>
      <c r="AY734" s="5"/>
      <c r="AZ734" s="5" t="s">
        <v>129</v>
      </c>
      <c r="BJ734" s="10" t="n">
        <v>2021</v>
      </c>
    </row>
    <row r="735" customFormat="false" ht="16.5" hidden="false" customHeight="true" outlineLevel="0" collapsed="false">
      <c r="A735" s="10" t="s">
        <v>3480</v>
      </c>
      <c r="B735" s="10" t="s">
        <v>3481</v>
      </c>
      <c r="C735" s="10" t="s">
        <v>3480</v>
      </c>
      <c r="D735" s="5" t="s">
        <v>3372</v>
      </c>
      <c r="E735" s="10" t="n">
        <v>11999973</v>
      </c>
      <c r="F735" s="10" t="n">
        <v>11999973</v>
      </c>
      <c r="G735" s="10" t="s">
        <v>110</v>
      </c>
      <c r="H735" s="10" t="n">
        <v>1178653</v>
      </c>
      <c r="J735" s="18" t="n">
        <f aca="false">E735*0.087</f>
        <v>1043997.651</v>
      </c>
      <c r="K735" s="18" t="n">
        <f aca="false">F735*0.087</f>
        <v>1043997.651</v>
      </c>
      <c r="L735" s="5" t="s">
        <v>84</v>
      </c>
      <c r="M735" s="5"/>
      <c r="N735" s="10" t="s">
        <v>3482</v>
      </c>
      <c r="O735" s="10" t="s">
        <v>3483</v>
      </c>
      <c r="S735" s="10" t="s">
        <v>3484</v>
      </c>
      <c r="T735" s="10" t="s">
        <v>3485</v>
      </c>
      <c r="V735" s="10" t="s">
        <v>114</v>
      </c>
      <c r="W735" s="5"/>
      <c r="X735" s="5"/>
      <c r="Z735" s="10" t="s">
        <v>2564</v>
      </c>
      <c r="AI735" s="10" t="s">
        <v>3478</v>
      </c>
      <c r="AM735" s="5" t="s">
        <v>173</v>
      </c>
      <c r="AO735" s="10" t="s">
        <v>3486</v>
      </c>
      <c r="AQ735" s="5" t="s">
        <v>77</v>
      </c>
      <c r="AR735" s="5" t="s">
        <v>115</v>
      </c>
      <c r="AS735" s="5" t="s">
        <v>73</v>
      </c>
      <c r="AT735" s="5" t="s">
        <v>78</v>
      </c>
      <c r="AW735" s="25" t="s">
        <v>94</v>
      </c>
      <c r="AX735" s="5" t="s">
        <v>375</v>
      </c>
      <c r="AY735" s="5"/>
      <c r="AZ735" s="5" t="s">
        <v>396</v>
      </c>
      <c r="BJ735" s="10" t="n">
        <v>2021</v>
      </c>
      <c r="BK735" s="10" t="n">
        <v>2026</v>
      </c>
    </row>
    <row r="736" customFormat="false" ht="16.5" hidden="false" customHeight="true" outlineLevel="0" collapsed="false">
      <c r="A736" s="10" t="s">
        <v>3487</v>
      </c>
      <c r="B736" s="10" t="s">
        <v>3488</v>
      </c>
      <c r="C736" s="10" t="s">
        <v>3489</v>
      </c>
      <c r="D736" s="5" t="s">
        <v>3372</v>
      </c>
      <c r="E736" s="10" t="n">
        <v>166750</v>
      </c>
      <c r="F736" s="10" t="n">
        <v>166750</v>
      </c>
      <c r="G736" s="10" t="s">
        <v>147</v>
      </c>
      <c r="H736" s="10" t="n">
        <v>197182</v>
      </c>
      <c r="J736" s="18" t="n">
        <v>166750</v>
      </c>
      <c r="K736" s="18" t="n">
        <v>166750</v>
      </c>
      <c r="L736" s="5" t="s">
        <v>84</v>
      </c>
      <c r="M736" s="5"/>
      <c r="N736" s="10" t="s">
        <v>3436</v>
      </c>
      <c r="O736" s="10" t="s">
        <v>3490</v>
      </c>
      <c r="S736" s="10" t="s">
        <v>3491</v>
      </c>
      <c r="V736" s="10" t="s">
        <v>3439</v>
      </c>
      <c r="W736" s="5"/>
      <c r="X736" s="5"/>
      <c r="Z736" s="10" t="s">
        <v>3440</v>
      </c>
      <c r="AI736" s="10" t="s">
        <v>3478</v>
      </c>
      <c r="AM736" s="10" t="s">
        <v>3442</v>
      </c>
      <c r="AO736" s="10" t="s">
        <v>3479</v>
      </c>
      <c r="AQ736" s="5" t="s">
        <v>77</v>
      </c>
      <c r="AR736" s="5" t="s">
        <v>257</v>
      </c>
      <c r="AS736" s="5" t="s">
        <v>73</v>
      </c>
      <c r="AT736" s="5" t="s">
        <v>78</v>
      </c>
      <c r="AW736" s="5" t="s">
        <v>94</v>
      </c>
      <c r="AX736" s="5" t="s">
        <v>79</v>
      </c>
      <c r="AY736" s="5"/>
      <c r="AZ736" s="5" t="s">
        <v>129</v>
      </c>
      <c r="BJ736" s="10" t="n">
        <v>2021</v>
      </c>
    </row>
    <row r="737" customFormat="false" ht="16.5" hidden="false" customHeight="true" outlineLevel="0" collapsed="false">
      <c r="A737" s="10" t="s">
        <v>3492</v>
      </c>
      <c r="B737" s="10" t="s">
        <v>3493</v>
      </c>
      <c r="C737" s="10" t="s">
        <v>3492</v>
      </c>
      <c r="D737" s="5" t="s">
        <v>3372</v>
      </c>
      <c r="E737" s="10" t="n">
        <v>319964</v>
      </c>
      <c r="F737" s="10" t="n">
        <v>319964</v>
      </c>
      <c r="G737" s="10" t="s">
        <v>732</v>
      </c>
      <c r="H737" s="10" t="n">
        <v>358439</v>
      </c>
      <c r="J737" s="7" t="n">
        <f aca="false">E737*1.07</f>
        <v>342361.48</v>
      </c>
      <c r="K737" s="7" t="n">
        <f aca="false">F737*1.07</f>
        <v>342361.48</v>
      </c>
      <c r="L737" s="5" t="s">
        <v>84</v>
      </c>
      <c r="M737" s="5"/>
      <c r="N737" s="10" t="s">
        <v>3494</v>
      </c>
      <c r="O737" s="10" t="s">
        <v>3495</v>
      </c>
      <c r="S737" s="10" t="s">
        <v>3496</v>
      </c>
      <c r="T737" s="10" t="s">
        <v>3497</v>
      </c>
      <c r="V737" s="10" t="s">
        <v>3391</v>
      </c>
      <c r="W737" s="5"/>
      <c r="X737" s="5"/>
      <c r="Z737" s="10" t="s">
        <v>2863</v>
      </c>
      <c r="AI737" s="10" t="s">
        <v>3498</v>
      </c>
      <c r="AM737" s="5" t="s">
        <v>2709</v>
      </c>
      <c r="AO737" s="10" t="s">
        <v>3499</v>
      </c>
      <c r="AQ737" s="5" t="s">
        <v>77</v>
      </c>
      <c r="AR737" s="5" t="s">
        <v>737</v>
      </c>
      <c r="AS737" s="5" t="s">
        <v>73</v>
      </c>
      <c r="AT737" s="5" t="s">
        <v>105</v>
      </c>
      <c r="AU737" s="5" t="s">
        <v>186</v>
      </c>
      <c r="AV737" s="10" t="s">
        <v>569</v>
      </c>
      <c r="AW737" s="5" t="s">
        <v>94</v>
      </c>
      <c r="AX737" s="5" t="s">
        <v>79</v>
      </c>
      <c r="AY737" s="5"/>
      <c r="AZ737" s="5" t="s">
        <v>129</v>
      </c>
      <c r="BJ737" s="10" t="n">
        <v>2022</v>
      </c>
      <c r="BK737" s="10" t="n">
        <v>2026</v>
      </c>
    </row>
    <row r="738" customFormat="false" ht="16.5" hidden="false" customHeight="true" outlineLevel="0" collapsed="false">
      <c r="A738" s="10" t="s">
        <v>3500</v>
      </c>
      <c r="B738" s="10" t="s">
        <v>3501</v>
      </c>
      <c r="C738" s="10" t="s">
        <v>3500</v>
      </c>
      <c r="D738" s="5" t="s">
        <v>3372</v>
      </c>
      <c r="E738" s="10" t="n">
        <v>4151564</v>
      </c>
      <c r="F738" s="10" t="n">
        <v>4151564</v>
      </c>
      <c r="G738" s="10" t="s">
        <v>110</v>
      </c>
      <c r="H738" s="10" t="n">
        <v>413984</v>
      </c>
      <c r="J738" s="18" t="n">
        <f aca="false">E738*0.087</f>
        <v>361186.068</v>
      </c>
      <c r="K738" s="18" t="n">
        <f aca="false">F738*0.087</f>
        <v>361186.068</v>
      </c>
      <c r="L738" s="5" t="s">
        <v>84</v>
      </c>
      <c r="M738" s="5"/>
      <c r="N738" s="10" t="s">
        <v>3502</v>
      </c>
      <c r="O738" s="10" t="s">
        <v>3503</v>
      </c>
      <c r="S738" s="10" t="s">
        <v>3504</v>
      </c>
      <c r="T738" s="10" t="s">
        <v>3505</v>
      </c>
      <c r="V738" s="10" t="s">
        <v>3506</v>
      </c>
      <c r="W738" s="5"/>
      <c r="X738" s="5"/>
      <c r="Z738" s="10" t="s">
        <v>2696</v>
      </c>
      <c r="AI738" s="10" t="s">
        <v>3478</v>
      </c>
      <c r="AM738" s="5" t="s">
        <v>173</v>
      </c>
      <c r="AO738" s="10" t="s">
        <v>3507</v>
      </c>
      <c r="AQ738" s="5" t="s">
        <v>77</v>
      </c>
      <c r="AR738" s="5" t="s">
        <v>115</v>
      </c>
      <c r="AS738" s="5" t="s">
        <v>73</v>
      </c>
      <c r="AT738" s="5" t="s">
        <v>78</v>
      </c>
      <c r="AW738" s="5" t="s">
        <v>94</v>
      </c>
      <c r="AX738" s="5" t="s">
        <v>79</v>
      </c>
      <c r="AY738" s="5"/>
      <c r="AZ738" s="5" t="s">
        <v>129</v>
      </c>
      <c r="BJ738" s="10" t="n">
        <v>2021</v>
      </c>
      <c r="BK738" s="10" t="n">
        <v>2025</v>
      </c>
    </row>
    <row r="739" customFormat="false" ht="16.5" hidden="false" customHeight="true" outlineLevel="0" collapsed="false">
      <c r="A739" s="10" t="s">
        <v>3508</v>
      </c>
      <c r="B739" s="10" t="s">
        <v>3509</v>
      </c>
      <c r="C739" s="10" t="s">
        <v>3508</v>
      </c>
      <c r="D739" s="5" t="s">
        <v>3372</v>
      </c>
      <c r="E739" s="10" t="n">
        <v>1499487</v>
      </c>
      <c r="F739" s="10" t="n">
        <v>1499487</v>
      </c>
      <c r="G739" s="10" t="s">
        <v>212</v>
      </c>
      <c r="H739" s="10" t="n">
        <v>174682</v>
      </c>
      <c r="J739" s="7" t="n">
        <f aca="false">E739*0.091</f>
        <v>136453.317</v>
      </c>
      <c r="K739" s="7" t="n">
        <f aca="false">F739*0.091</f>
        <v>136453.317</v>
      </c>
      <c r="L739" s="5" t="s">
        <v>84</v>
      </c>
      <c r="M739" s="5"/>
      <c r="N739" s="10" t="s">
        <v>3510</v>
      </c>
      <c r="O739" s="10" t="s">
        <v>3511</v>
      </c>
      <c r="S739" s="10" t="s">
        <v>3512</v>
      </c>
      <c r="T739" s="10" t="s">
        <v>3513</v>
      </c>
      <c r="V739" s="10" t="s">
        <v>214</v>
      </c>
      <c r="W739" s="5"/>
      <c r="X739" s="5"/>
      <c r="Z739" s="10" t="s">
        <v>2631</v>
      </c>
      <c r="AI739" s="10" t="s">
        <v>3514</v>
      </c>
      <c r="AM739" s="5" t="s">
        <v>217</v>
      </c>
      <c r="AO739" s="10" t="s">
        <v>3515</v>
      </c>
      <c r="AQ739" s="5" t="s">
        <v>77</v>
      </c>
      <c r="AR739" s="5" t="s">
        <v>215</v>
      </c>
      <c r="AS739" s="5" t="s">
        <v>73</v>
      </c>
      <c r="AT739" s="5" t="s">
        <v>78</v>
      </c>
      <c r="AW739" s="5" t="s">
        <v>94</v>
      </c>
      <c r="AX739" s="5" t="s">
        <v>79</v>
      </c>
      <c r="AY739" s="5"/>
      <c r="AZ739" s="5" t="s">
        <v>309</v>
      </c>
      <c r="BJ739" s="10" t="n">
        <v>2021</v>
      </c>
      <c r="BK739" s="10" t="n">
        <v>2021</v>
      </c>
    </row>
    <row r="740" customFormat="false" ht="16.5" hidden="false" customHeight="true" outlineLevel="0" collapsed="false">
      <c r="A740" s="10" t="s">
        <v>3516</v>
      </c>
      <c r="B740" s="10" t="s">
        <v>3517</v>
      </c>
      <c r="C740" s="10" t="s">
        <v>3516</v>
      </c>
      <c r="D740" s="5" t="s">
        <v>3372</v>
      </c>
      <c r="E740" s="37" t="n">
        <v>431540</v>
      </c>
      <c r="F740" s="37" t="n">
        <v>431540</v>
      </c>
      <c r="G740" s="10" t="s">
        <v>132</v>
      </c>
      <c r="H740" s="10" t="n">
        <v>536488</v>
      </c>
      <c r="J740" s="7" t="n">
        <f aca="false">E740*1.19</f>
        <v>513532.6</v>
      </c>
      <c r="K740" s="7" t="n">
        <f aca="false">F740*1.19</f>
        <v>513532.6</v>
      </c>
      <c r="L740" s="5" t="s">
        <v>84</v>
      </c>
      <c r="M740" s="5"/>
      <c r="N740" s="10" t="s">
        <v>3518</v>
      </c>
      <c r="O740" s="10" t="s">
        <v>3519</v>
      </c>
      <c r="S740" s="10" t="s">
        <v>3520</v>
      </c>
      <c r="T740" s="10" t="s">
        <v>3521</v>
      </c>
      <c r="V740" s="10" t="s">
        <v>3522</v>
      </c>
      <c r="W740" s="5"/>
      <c r="X740" s="5" t="s">
        <v>139</v>
      </c>
      <c r="Z740" s="10" t="s">
        <v>3523</v>
      </c>
      <c r="AI740" s="10" t="s">
        <v>3524</v>
      </c>
      <c r="AM740" s="5" t="s">
        <v>140</v>
      </c>
      <c r="AN740" s="5" t="s">
        <v>699</v>
      </c>
      <c r="AO740" s="10" t="s">
        <v>2822</v>
      </c>
      <c r="AQ740" s="5" t="s">
        <v>77</v>
      </c>
      <c r="AR740" s="5" t="s">
        <v>143</v>
      </c>
      <c r="AS740" s="5" t="s">
        <v>73</v>
      </c>
      <c r="AT740" s="5" t="s">
        <v>78</v>
      </c>
      <c r="AW740" s="5" t="s">
        <v>94</v>
      </c>
      <c r="AX740" s="5" t="s">
        <v>79</v>
      </c>
      <c r="AY740" s="5"/>
      <c r="AZ740" s="5" t="s">
        <v>129</v>
      </c>
      <c r="BJ740" s="10" t="n">
        <v>2023</v>
      </c>
      <c r="BK740" s="10" t="n">
        <v>2025</v>
      </c>
    </row>
    <row r="741" customFormat="false" ht="16.5" hidden="false" customHeight="true" outlineLevel="0" collapsed="false">
      <c r="A741" s="10" t="s">
        <v>3525</v>
      </c>
      <c r="B741" s="10" t="s">
        <v>3526</v>
      </c>
      <c r="C741" s="10" t="s">
        <v>3525</v>
      </c>
      <c r="D741" s="5" t="s">
        <v>3372</v>
      </c>
      <c r="E741" s="37" t="n">
        <v>1976496</v>
      </c>
      <c r="F741" s="37" t="n">
        <v>1976496</v>
      </c>
      <c r="G741" s="10" t="s">
        <v>132</v>
      </c>
      <c r="H741" s="10" t="n">
        <v>2525078</v>
      </c>
      <c r="J741" s="7" t="n">
        <f aca="false">E741*1.19</f>
        <v>2352030.24</v>
      </c>
      <c r="K741" s="7" t="n">
        <f aca="false">F741*1.19</f>
        <v>2352030.24</v>
      </c>
      <c r="L741" s="5" t="s">
        <v>84</v>
      </c>
      <c r="M741" s="5"/>
      <c r="N741" s="10" t="s">
        <v>3527</v>
      </c>
      <c r="O741" s="10" t="s">
        <v>3528</v>
      </c>
      <c r="S741" s="10" t="s">
        <v>3529</v>
      </c>
      <c r="T741" s="10" t="s">
        <v>3530</v>
      </c>
      <c r="V741" s="10" t="s">
        <v>1911</v>
      </c>
      <c r="W741" s="5"/>
      <c r="X741" s="5" t="s">
        <v>139</v>
      </c>
      <c r="Z741" s="10" t="s">
        <v>3531</v>
      </c>
      <c r="AI741" s="10" t="s">
        <v>3532</v>
      </c>
      <c r="AM741" s="5" t="s">
        <v>140</v>
      </c>
      <c r="AN741" s="5" t="s">
        <v>141</v>
      </c>
      <c r="AO741" s="10" t="s">
        <v>3533</v>
      </c>
      <c r="AQ741" s="5" t="s">
        <v>77</v>
      </c>
      <c r="AR741" s="5" t="s">
        <v>143</v>
      </c>
      <c r="AS741" s="5" t="s">
        <v>73</v>
      </c>
      <c r="AT741" s="5" t="s">
        <v>105</v>
      </c>
      <c r="AU741" s="5" t="s">
        <v>186</v>
      </c>
      <c r="AV741" s="10" t="s">
        <v>569</v>
      </c>
      <c r="AW741" s="25" t="s">
        <v>94</v>
      </c>
      <c r="AX741" s="5" t="s">
        <v>79</v>
      </c>
      <c r="AY741" s="5"/>
      <c r="AZ741" s="5" t="s">
        <v>540</v>
      </c>
      <c r="BJ741" s="10" t="n">
        <v>2024</v>
      </c>
      <c r="BK741" s="10" t="n">
        <v>2026</v>
      </c>
    </row>
    <row r="742" customFormat="false" ht="16.5" hidden="false" customHeight="true" outlineLevel="0" collapsed="false">
      <c r="A742" s="10" t="s">
        <v>3534</v>
      </c>
      <c r="B742" s="10" t="s">
        <v>3535</v>
      </c>
      <c r="C742" s="10" t="s">
        <v>3534</v>
      </c>
      <c r="D742" s="5" t="s">
        <v>3372</v>
      </c>
      <c r="E742" s="37" t="n">
        <v>793453</v>
      </c>
      <c r="F742" s="37" t="n">
        <v>793453</v>
      </c>
      <c r="G742" s="10" t="s">
        <v>132</v>
      </c>
      <c r="H742" s="10" t="n">
        <v>986425</v>
      </c>
      <c r="J742" s="7" t="n">
        <f aca="false">E742*1.19</f>
        <v>944209.07</v>
      </c>
      <c r="K742" s="7" t="n">
        <f aca="false">F742*1.19</f>
        <v>944209.07</v>
      </c>
      <c r="L742" s="5" t="s">
        <v>84</v>
      </c>
      <c r="M742" s="5"/>
      <c r="N742" s="10" t="s">
        <v>3536</v>
      </c>
      <c r="O742" s="10" t="s">
        <v>3537</v>
      </c>
      <c r="S742" s="10" t="s">
        <v>3538</v>
      </c>
      <c r="T742" s="10" t="s">
        <v>3539</v>
      </c>
      <c r="V742" s="10" t="s">
        <v>3540</v>
      </c>
      <c r="W742" s="5"/>
      <c r="X742" s="5" t="s">
        <v>139</v>
      </c>
      <c r="Z742" s="10" t="s">
        <v>3541</v>
      </c>
      <c r="AI742" s="10" t="s">
        <v>3542</v>
      </c>
      <c r="AM742" s="5" t="s">
        <v>140</v>
      </c>
      <c r="AN742" s="5" t="s">
        <v>2779</v>
      </c>
      <c r="AO742" s="10" t="s">
        <v>2822</v>
      </c>
      <c r="AQ742" s="5" t="s">
        <v>77</v>
      </c>
      <c r="AR742" s="5" t="s">
        <v>143</v>
      </c>
      <c r="AS742" s="5" t="s">
        <v>73</v>
      </c>
      <c r="AT742" s="5" t="s">
        <v>78</v>
      </c>
      <c r="AW742" s="5" t="s">
        <v>94</v>
      </c>
      <c r="AX742" s="5" t="s">
        <v>79</v>
      </c>
      <c r="AY742" s="5"/>
      <c r="AZ742" s="5" t="s">
        <v>129</v>
      </c>
      <c r="BJ742" s="10" t="n">
        <v>2023</v>
      </c>
      <c r="BK742" s="10" t="n">
        <v>2025</v>
      </c>
    </row>
    <row r="743" customFormat="false" ht="16.5" hidden="false" customHeight="true" outlineLevel="0" collapsed="false">
      <c r="A743" s="10" t="s">
        <v>3543</v>
      </c>
      <c r="B743" s="10" t="s">
        <v>3544</v>
      </c>
      <c r="C743" s="10" t="s">
        <v>3543</v>
      </c>
      <c r="D743" s="5" t="s">
        <v>3372</v>
      </c>
      <c r="E743" s="10" t="n">
        <v>3000000</v>
      </c>
      <c r="F743" s="10" t="n">
        <v>3000000</v>
      </c>
      <c r="G743" s="10" t="s">
        <v>212</v>
      </c>
      <c r="H743" s="10" t="n">
        <v>309508</v>
      </c>
      <c r="J743" s="7" t="n">
        <f aca="false">E743*0.091</f>
        <v>273000</v>
      </c>
      <c r="K743" s="7" t="n">
        <f aca="false">F743*0.091</f>
        <v>273000</v>
      </c>
      <c r="L743" s="5" t="s">
        <v>84</v>
      </c>
      <c r="M743" s="5"/>
      <c r="N743" s="10" t="s">
        <v>3545</v>
      </c>
      <c r="O743" s="10" t="s">
        <v>3546</v>
      </c>
      <c r="S743" s="10" t="s">
        <v>3547</v>
      </c>
      <c r="T743" s="10" t="s">
        <v>3548</v>
      </c>
      <c r="V743" s="10" t="s">
        <v>571</v>
      </c>
      <c r="W743" s="5"/>
      <c r="X743" s="5"/>
      <c r="Z743" s="10" t="s">
        <v>2583</v>
      </c>
      <c r="AI743" s="10" t="s">
        <v>3478</v>
      </c>
      <c r="AM743" s="5" t="s">
        <v>217</v>
      </c>
      <c r="AO743" s="10" t="s">
        <v>3549</v>
      </c>
      <c r="AQ743" s="5" t="s">
        <v>77</v>
      </c>
      <c r="AR743" s="5" t="s">
        <v>215</v>
      </c>
      <c r="AS743" s="5" t="s">
        <v>73</v>
      </c>
      <c r="AT743" s="5" t="s">
        <v>78</v>
      </c>
      <c r="AW743" s="5" t="s">
        <v>94</v>
      </c>
      <c r="AX743" s="5" t="s">
        <v>79</v>
      </c>
      <c r="AY743" s="5"/>
      <c r="AZ743" s="5" t="s">
        <v>129</v>
      </c>
      <c r="BJ743" s="10" t="n">
        <v>2021</v>
      </c>
      <c r="BK743" s="10" t="n">
        <v>2023</v>
      </c>
    </row>
    <row r="744" customFormat="false" ht="16.5" hidden="false" customHeight="true" outlineLevel="0" collapsed="false">
      <c r="A744" s="10" t="s">
        <v>3342</v>
      </c>
      <c r="B744" s="10" t="s">
        <v>3550</v>
      </c>
      <c r="C744" s="10" t="s">
        <v>3342</v>
      </c>
      <c r="D744" s="5" t="s">
        <v>3372</v>
      </c>
      <c r="E744" s="10" t="n">
        <v>1375296</v>
      </c>
      <c r="F744" s="10" t="n">
        <v>1375296</v>
      </c>
      <c r="G744" s="10" t="s">
        <v>732</v>
      </c>
      <c r="H744" s="10" t="n">
        <v>1544005</v>
      </c>
      <c r="J744" s="7" t="n">
        <f aca="false">E744*1.07</f>
        <v>1471566.72</v>
      </c>
      <c r="K744" s="7" t="n">
        <f aca="false">F744*1.07</f>
        <v>1471566.72</v>
      </c>
      <c r="L744" s="5" t="s">
        <v>84</v>
      </c>
      <c r="M744" s="5"/>
      <c r="N744" s="10" t="s">
        <v>3551</v>
      </c>
      <c r="O744" s="10" t="s">
        <v>3552</v>
      </c>
      <c r="S744" s="10" t="s">
        <v>3553</v>
      </c>
      <c r="T744" s="10" t="s">
        <v>3554</v>
      </c>
      <c r="V744" s="10" t="s">
        <v>3555</v>
      </c>
      <c r="W744" s="5"/>
      <c r="X744" s="5"/>
      <c r="Z744" s="10" t="s">
        <v>3556</v>
      </c>
      <c r="AI744" s="10" t="s">
        <v>3557</v>
      </c>
      <c r="AM744" s="5" t="s">
        <v>2709</v>
      </c>
      <c r="AO744" s="10" t="s">
        <v>3499</v>
      </c>
      <c r="AQ744" s="5" t="s">
        <v>77</v>
      </c>
      <c r="AR744" s="5" t="s">
        <v>737</v>
      </c>
      <c r="AS744" s="5" t="s">
        <v>73</v>
      </c>
      <c r="AT744" s="5" t="s">
        <v>78</v>
      </c>
      <c r="AW744" s="25" t="s">
        <v>94</v>
      </c>
      <c r="AX744" s="5" t="s">
        <v>79</v>
      </c>
      <c r="AY744" s="5"/>
      <c r="AZ744" s="5" t="s">
        <v>309</v>
      </c>
      <c r="BJ744" s="10" t="n">
        <v>2025</v>
      </c>
      <c r="BK744" s="10" t="n">
        <v>2029</v>
      </c>
    </row>
    <row r="745" customFormat="false" ht="16.5" hidden="false" customHeight="true" outlineLevel="0" collapsed="false">
      <c r="A745" s="10" t="s">
        <v>3558</v>
      </c>
      <c r="B745" s="10" t="s">
        <v>3559</v>
      </c>
      <c r="C745" s="10" t="s">
        <v>3558</v>
      </c>
      <c r="D745" s="5" t="s">
        <v>3372</v>
      </c>
      <c r="E745" s="10" t="n">
        <v>1719933</v>
      </c>
      <c r="F745" s="10" t="n">
        <v>1719933</v>
      </c>
      <c r="G745" s="10" t="s">
        <v>732</v>
      </c>
      <c r="H745" s="10" t="n">
        <v>1930925</v>
      </c>
      <c r="J745" s="7" t="n">
        <f aca="false">E745*1.07</f>
        <v>1840328.31</v>
      </c>
      <c r="K745" s="7" t="n">
        <f aca="false">F745*1.07</f>
        <v>1840328.31</v>
      </c>
      <c r="L745" s="5" t="s">
        <v>84</v>
      </c>
      <c r="M745" s="5"/>
      <c r="N745" s="10" t="s">
        <v>3560</v>
      </c>
      <c r="O745" s="10" t="s">
        <v>3561</v>
      </c>
      <c r="S745" s="10" t="s">
        <v>3562</v>
      </c>
      <c r="T745" s="10" t="s">
        <v>3563</v>
      </c>
      <c r="V745" s="10" t="s">
        <v>3391</v>
      </c>
      <c r="W745" s="5"/>
      <c r="X745" s="5"/>
      <c r="Z745" s="10" t="s">
        <v>2863</v>
      </c>
      <c r="AI745" s="10" t="s">
        <v>3564</v>
      </c>
      <c r="AM745" s="5" t="s">
        <v>2709</v>
      </c>
      <c r="AO745" s="10" t="s">
        <v>3565</v>
      </c>
      <c r="AQ745" s="5" t="s">
        <v>77</v>
      </c>
      <c r="AR745" s="5" t="s">
        <v>737</v>
      </c>
      <c r="AS745" s="5" t="s">
        <v>73</v>
      </c>
      <c r="AT745" s="5" t="s">
        <v>105</v>
      </c>
      <c r="AU745" s="5" t="s">
        <v>186</v>
      </c>
      <c r="AV745" s="10" t="s">
        <v>569</v>
      </c>
      <c r="AW745" s="25" t="s">
        <v>94</v>
      </c>
      <c r="AX745" s="5" t="s">
        <v>296</v>
      </c>
      <c r="AY745" s="5"/>
      <c r="AZ745" s="5" t="s">
        <v>188</v>
      </c>
      <c r="BJ745" s="10" t="n">
        <v>2025</v>
      </c>
      <c r="BK745" s="10" t="n">
        <v>2029</v>
      </c>
    </row>
    <row r="746" customFormat="false" ht="16.5" hidden="false" customHeight="true" outlineLevel="0" collapsed="false">
      <c r="A746" s="10" t="s">
        <v>3566</v>
      </c>
      <c r="B746" s="10" t="s">
        <v>3567</v>
      </c>
      <c r="C746" s="10" t="s">
        <v>3568</v>
      </c>
      <c r="D746" s="5" t="s">
        <v>3372</v>
      </c>
      <c r="E746" s="10" t="n">
        <v>199392</v>
      </c>
      <c r="F746" s="10" t="n">
        <v>199392</v>
      </c>
      <c r="G746" s="10" t="s">
        <v>147</v>
      </c>
      <c r="H746" s="10" t="n">
        <v>215725</v>
      </c>
      <c r="J746" s="18" t="n">
        <v>199392</v>
      </c>
      <c r="K746" s="18" t="n">
        <v>199392</v>
      </c>
      <c r="L746" s="5" t="s">
        <v>84</v>
      </c>
      <c r="M746" s="5"/>
      <c r="N746" s="10" t="s">
        <v>3436</v>
      </c>
      <c r="O746" s="10" t="s">
        <v>3569</v>
      </c>
      <c r="S746" s="10" t="s">
        <v>3570</v>
      </c>
      <c r="V746" s="10" t="s">
        <v>3571</v>
      </c>
      <c r="W746" s="5"/>
      <c r="X746" s="5"/>
      <c r="Z746" s="10" t="s">
        <v>3572</v>
      </c>
      <c r="AI746" s="10" t="s">
        <v>3441</v>
      </c>
      <c r="AM746" s="10" t="s">
        <v>3442</v>
      </c>
      <c r="AO746" s="10" t="s">
        <v>3573</v>
      </c>
      <c r="AQ746" s="5" t="s">
        <v>77</v>
      </c>
      <c r="AR746" s="5" t="s">
        <v>257</v>
      </c>
      <c r="AS746" s="5" t="s">
        <v>73</v>
      </c>
      <c r="AT746" s="5" t="s">
        <v>105</v>
      </c>
      <c r="AU746" s="5" t="s">
        <v>186</v>
      </c>
      <c r="AV746" s="10" t="s">
        <v>569</v>
      </c>
      <c r="AW746" s="5" t="s">
        <v>94</v>
      </c>
      <c r="AX746" s="5" t="s">
        <v>79</v>
      </c>
      <c r="AY746" s="5"/>
      <c r="AZ746" s="5" t="s">
        <v>129</v>
      </c>
      <c r="BJ746" s="10" t="n">
        <v>2024</v>
      </c>
    </row>
    <row r="747" customFormat="false" ht="16.5" hidden="false" customHeight="true" outlineLevel="0" collapsed="false">
      <c r="A747" s="10" t="s">
        <v>3574</v>
      </c>
      <c r="B747" s="5" t="s">
        <v>3575</v>
      </c>
      <c r="C747" s="10" t="s">
        <v>3574</v>
      </c>
      <c r="D747" s="5" t="s">
        <v>3372</v>
      </c>
      <c r="E747" s="10" t="n">
        <v>6588732</v>
      </c>
      <c r="F747" s="10" t="n">
        <v>6588732</v>
      </c>
      <c r="G747" s="10" t="s">
        <v>147</v>
      </c>
      <c r="H747" s="10" t="n">
        <v>7263143</v>
      </c>
      <c r="J747" s="18" t="n">
        <v>6588732</v>
      </c>
      <c r="K747" s="18" t="n">
        <v>6588732</v>
      </c>
      <c r="L747" s="5" t="s">
        <v>84</v>
      </c>
      <c r="M747" s="5"/>
      <c r="N747" s="10" t="s">
        <v>3576</v>
      </c>
      <c r="O747" s="10" t="s">
        <v>3577</v>
      </c>
      <c r="S747" s="10" t="s">
        <v>3578</v>
      </c>
      <c r="V747" s="10" t="s">
        <v>3579</v>
      </c>
      <c r="W747" s="5"/>
      <c r="X747" s="5" t="s">
        <v>568</v>
      </c>
      <c r="Z747" s="10" t="s">
        <v>3580</v>
      </c>
      <c r="AI747" s="10" t="s">
        <v>3581</v>
      </c>
      <c r="AM747" s="10" t="s">
        <v>182</v>
      </c>
      <c r="AN747" s="5" t="s">
        <v>3582</v>
      </c>
      <c r="AQ747" s="5" t="s">
        <v>77</v>
      </c>
      <c r="AR747" s="5" t="s">
        <v>185</v>
      </c>
      <c r="AS747" s="5" t="s">
        <v>73</v>
      </c>
      <c r="AT747" s="5" t="s">
        <v>105</v>
      </c>
      <c r="AU747" s="5" t="s">
        <v>106</v>
      </c>
      <c r="AV747" s="10" t="s">
        <v>569</v>
      </c>
      <c r="AW747" s="25" t="s">
        <v>94</v>
      </c>
      <c r="AX747" s="5" t="s">
        <v>79</v>
      </c>
      <c r="AY747" s="5"/>
      <c r="AZ747" s="5" t="s">
        <v>129</v>
      </c>
      <c r="BJ747" s="10" t="n">
        <v>2020</v>
      </c>
      <c r="BK747" s="10" t="n">
        <v>2025</v>
      </c>
    </row>
    <row r="748" customFormat="false" ht="16.5" hidden="false" customHeight="true" outlineLevel="0" collapsed="false">
      <c r="A748" s="10" t="s">
        <v>3583</v>
      </c>
      <c r="B748" s="10" t="s">
        <v>3584</v>
      </c>
      <c r="C748" s="10" t="s">
        <v>3583</v>
      </c>
      <c r="D748" s="5" t="s">
        <v>3372</v>
      </c>
      <c r="E748" s="10" t="n">
        <v>0</v>
      </c>
      <c r="F748" s="10" t="n">
        <v>0</v>
      </c>
      <c r="G748" s="10" t="s">
        <v>147</v>
      </c>
      <c r="H748" s="10" t="n">
        <v>0</v>
      </c>
      <c r="J748" s="18" t="n">
        <v>0</v>
      </c>
      <c r="K748" s="18" t="n">
        <v>0</v>
      </c>
      <c r="L748" s="5" t="s">
        <v>84</v>
      </c>
      <c r="M748" s="5"/>
      <c r="N748" s="10" t="s">
        <v>3585</v>
      </c>
      <c r="O748" s="10" t="s">
        <v>3586</v>
      </c>
      <c r="S748" s="10" t="s">
        <v>3587</v>
      </c>
      <c r="T748" s="10" t="s">
        <v>3588</v>
      </c>
      <c r="V748" s="10" t="s">
        <v>2482</v>
      </c>
      <c r="W748" s="5"/>
      <c r="X748" s="5"/>
      <c r="Z748" s="10" t="s">
        <v>3589</v>
      </c>
      <c r="AI748" s="10" t="s">
        <v>3441</v>
      </c>
      <c r="AM748" s="5" t="s">
        <v>459</v>
      </c>
      <c r="AO748" s="10" t="s">
        <v>3590</v>
      </c>
      <c r="AQ748" s="5" t="s">
        <v>77</v>
      </c>
      <c r="AR748" s="5" t="s">
        <v>333</v>
      </c>
      <c r="AS748" s="5" t="s">
        <v>73</v>
      </c>
      <c r="AT748" s="5" t="s">
        <v>105</v>
      </c>
      <c r="AU748" s="5" t="s">
        <v>106</v>
      </c>
      <c r="AV748" s="10" t="s">
        <v>569</v>
      </c>
      <c r="AW748" s="5" t="s">
        <v>94</v>
      </c>
      <c r="AX748" s="5" t="s">
        <v>79</v>
      </c>
      <c r="AY748" s="5"/>
      <c r="AZ748" s="5" t="s">
        <v>129</v>
      </c>
      <c r="BJ748" s="10" t="n">
        <v>2024</v>
      </c>
      <c r="BK748" s="10" t="n">
        <v>2024</v>
      </c>
    </row>
    <row r="749" customFormat="false" ht="16.5" hidden="false" customHeight="true" outlineLevel="0" collapsed="false">
      <c r="A749" s="10" t="s">
        <v>3591</v>
      </c>
      <c r="B749" s="10" t="s">
        <v>3592</v>
      </c>
      <c r="C749" s="10" t="s">
        <v>3591</v>
      </c>
      <c r="D749" s="5" t="s">
        <v>3372</v>
      </c>
      <c r="E749" s="10" t="n">
        <v>0</v>
      </c>
      <c r="H749" s="10" t="n">
        <v>0</v>
      </c>
      <c r="J749" s="18"/>
      <c r="K749" s="18"/>
      <c r="L749" s="5" t="s">
        <v>84</v>
      </c>
      <c r="M749" s="5"/>
      <c r="N749" s="10" t="s">
        <v>3593</v>
      </c>
      <c r="O749" s="10" t="s">
        <v>3594</v>
      </c>
      <c r="S749" s="10" t="s">
        <v>3595</v>
      </c>
      <c r="T749" s="10" t="s">
        <v>3596</v>
      </c>
      <c r="W749" s="5"/>
      <c r="X749" s="5"/>
      <c r="AI749" s="10" t="s">
        <v>3441</v>
      </c>
      <c r="AM749" s="10" t="s">
        <v>2352</v>
      </c>
      <c r="AQ749" s="5" t="s">
        <v>77</v>
      </c>
      <c r="AR749" s="5" t="s">
        <v>2221</v>
      </c>
      <c r="AS749" s="5" t="s">
        <v>73</v>
      </c>
      <c r="AT749" s="5" t="s">
        <v>105</v>
      </c>
      <c r="AU749" s="5" t="s">
        <v>106</v>
      </c>
      <c r="AV749" s="10" t="s">
        <v>569</v>
      </c>
      <c r="AW749" s="5" t="s">
        <v>94</v>
      </c>
      <c r="AX749" s="5" t="s">
        <v>79</v>
      </c>
      <c r="AY749" s="5"/>
      <c r="AZ749" s="5" t="s">
        <v>129</v>
      </c>
      <c r="BJ749" s="10" t="n">
        <v>2024</v>
      </c>
      <c r="BK749" s="10" t="n">
        <v>2025</v>
      </c>
    </row>
    <row r="750" customFormat="false" ht="16.5" hidden="false" customHeight="true" outlineLevel="0" collapsed="false">
      <c r="A750" s="10" t="s">
        <v>3597</v>
      </c>
      <c r="B750" s="10" t="s">
        <v>3598</v>
      </c>
      <c r="C750" s="10" t="s">
        <v>3599</v>
      </c>
      <c r="D750" s="5" t="s">
        <v>3372</v>
      </c>
      <c r="E750" s="10" t="n">
        <v>253000</v>
      </c>
      <c r="F750" s="10" t="n">
        <v>253000</v>
      </c>
      <c r="G750" s="10" t="s">
        <v>147</v>
      </c>
      <c r="H750" s="10" t="n">
        <v>299173</v>
      </c>
      <c r="J750" s="18" t="n">
        <v>253000</v>
      </c>
      <c r="K750" s="18" t="n">
        <v>253000</v>
      </c>
      <c r="L750" s="5" t="s">
        <v>84</v>
      </c>
      <c r="M750" s="5"/>
      <c r="N750" s="10" t="s">
        <v>3436</v>
      </c>
      <c r="O750" s="10" t="s">
        <v>3600</v>
      </c>
      <c r="S750" s="10" t="s">
        <v>3601</v>
      </c>
      <c r="V750" s="10" t="s">
        <v>3602</v>
      </c>
      <c r="W750" s="5"/>
      <c r="X750" s="5"/>
      <c r="Z750" s="10" t="s">
        <v>3603</v>
      </c>
      <c r="AI750" s="10" t="s">
        <v>3478</v>
      </c>
      <c r="AM750" s="10" t="s">
        <v>3442</v>
      </c>
      <c r="AO750" s="10" t="s">
        <v>3479</v>
      </c>
      <c r="AQ750" s="5" t="s">
        <v>77</v>
      </c>
      <c r="AR750" s="5" t="s">
        <v>257</v>
      </c>
      <c r="AS750" s="5" t="s">
        <v>73</v>
      </c>
      <c r="AT750" s="5" t="s">
        <v>78</v>
      </c>
      <c r="AW750" s="5" t="s">
        <v>94</v>
      </c>
      <c r="AX750" s="5" t="s">
        <v>79</v>
      </c>
      <c r="AY750" s="5"/>
      <c r="AZ750" s="5" t="s">
        <v>129</v>
      </c>
      <c r="BJ750" s="10" t="n">
        <v>2021</v>
      </c>
    </row>
    <row r="751" customFormat="false" ht="16.5" hidden="false" customHeight="true" outlineLevel="0" collapsed="false">
      <c r="A751" s="10" t="s">
        <v>3604</v>
      </c>
      <c r="B751" s="10" t="s">
        <v>3605</v>
      </c>
      <c r="C751" s="10" t="s">
        <v>3606</v>
      </c>
      <c r="D751" s="5" t="s">
        <v>3372</v>
      </c>
      <c r="E751" s="10" t="n">
        <v>49987</v>
      </c>
      <c r="F751" s="10" t="n">
        <v>49987</v>
      </c>
      <c r="G751" s="10" t="s">
        <v>147</v>
      </c>
      <c r="H751" s="10" t="n">
        <v>53976</v>
      </c>
      <c r="J751" s="18" t="n">
        <v>49987</v>
      </c>
      <c r="K751" s="18" t="n">
        <v>49987</v>
      </c>
      <c r="L751" s="5" t="s">
        <v>84</v>
      </c>
      <c r="M751" s="5"/>
      <c r="O751" s="10" t="s">
        <v>3607</v>
      </c>
      <c r="S751" s="10" t="s">
        <v>3608</v>
      </c>
      <c r="T751" s="10" t="s">
        <v>3609</v>
      </c>
      <c r="V751" s="10" t="s">
        <v>3610</v>
      </c>
      <c r="W751" s="5"/>
      <c r="X751" s="5"/>
      <c r="Z751" s="10" t="s">
        <v>3611</v>
      </c>
      <c r="AI751" s="10" t="s">
        <v>3612</v>
      </c>
      <c r="AM751" s="5" t="s">
        <v>1523</v>
      </c>
      <c r="AO751" s="10" t="s">
        <v>3613</v>
      </c>
      <c r="AQ751" s="5" t="s">
        <v>77</v>
      </c>
      <c r="AR751" s="5" t="s">
        <v>568</v>
      </c>
      <c r="AS751" s="5" t="s">
        <v>73</v>
      </c>
      <c r="AT751" s="5" t="s">
        <v>78</v>
      </c>
      <c r="AW751" s="5" t="s">
        <v>94</v>
      </c>
      <c r="AX751" s="5" t="s">
        <v>79</v>
      </c>
      <c r="AY751" s="5"/>
      <c r="AZ751" s="5" t="s">
        <v>129</v>
      </c>
      <c r="BJ751" s="10" t="n">
        <v>2023</v>
      </c>
      <c r="BK751" s="10" t="n">
        <v>2025</v>
      </c>
    </row>
    <row r="752" customFormat="false" ht="16.5" hidden="false" customHeight="true" outlineLevel="0" collapsed="false">
      <c r="A752" s="10" t="s">
        <v>3614</v>
      </c>
      <c r="B752" s="10" t="s">
        <v>3615</v>
      </c>
      <c r="C752" s="10" t="s">
        <v>3614</v>
      </c>
      <c r="D752" s="5" t="s">
        <v>3372</v>
      </c>
      <c r="E752" s="16" t="n">
        <v>125000</v>
      </c>
      <c r="F752" s="16" t="n">
        <v>100000</v>
      </c>
      <c r="G752" s="10" t="s">
        <v>132</v>
      </c>
      <c r="H752" s="10" t="n">
        <v>0</v>
      </c>
      <c r="J752" s="7" t="n">
        <f aca="false">E752*1.19</f>
        <v>148750</v>
      </c>
      <c r="K752" s="7" t="n">
        <f aca="false">F752*1.19</f>
        <v>119000</v>
      </c>
      <c r="L752" s="5" t="s">
        <v>84</v>
      </c>
      <c r="M752" s="5"/>
      <c r="N752" s="10" t="s">
        <v>3616</v>
      </c>
      <c r="O752" s="10" t="s">
        <v>3617</v>
      </c>
      <c r="S752" s="10" t="s">
        <v>3618</v>
      </c>
      <c r="T752" s="10" t="s">
        <v>3619</v>
      </c>
      <c r="V752" s="10" t="s">
        <v>3620</v>
      </c>
      <c r="W752" s="5"/>
      <c r="X752" s="5" t="s">
        <v>139</v>
      </c>
      <c r="Z752" s="10" t="s">
        <v>3621</v>
      </c>
      <c r="AI752" s="10" t="s">
        <v>3622</v>
      </c>
      <c r="AM752" s="5" t="s">
        <v>140</v>
      </c>
      <c r="AN752" s="5" t="s">
        <v>141</v>
      </c>
      <c r="AO752" s="10" t="s">
        <v>1760</v>
      </c>
      <c r="AQ752" s="5" t="s">
        <v>77</v>
      </c>
      <c r="AR752" s="5" t="s">
        <v>143</v>
      </c>
      <c r="AS752" s="5" t="s">
        <v>73</v>
      </c>
      <c r="AT752" s="5" t="s">
        <v>78</v>
      </c>
      <c r="AW752" s="5" t="s">
        <v>201</v>
      </c>
      <c r="AX752" s="5" t="s">
        <v>79</v>
      </c>
      <c r="AY752" s="5"/>
      <c r="AZ752" s="5" t="s">
        <v>129</v>
      </c>
      <c r="BJ752" s="10" t="n">
        <v>2022</v>
      </c>
      <c r="BK752" s="10" t="n">
        <v>2026</v>
      </c>
    </row>
    <row r="753" customFormat="false" ht="16.5" hidden="false" customHeight="true" outlineLevel="0" collapsed="false">
      <c r="A753" s="10" t="s">
        <v>3623</v>
      </c>
      <c r="B753" s="5" t="s">
        <v>3624</v>
      </c>
      <c r="C753" s="10" t="s">
        <v>3623</v>
      </c>
      <c r="D753" s="5" t="s">
        <v>3372</v>
      </c>
      <c r="E753" s="10" t="n">
        <v>846688</v>
      </c>
      <c r="F753" s="10" t="n">
        <v>846688</v>
      </c>
      <c r="G753" s="10" t="s">
        <v>147</v>
      </c>
      <c r="H753" s="10" t="n">
        <v>914133</v>
      </c>
      <c r="J753" s="18" t="n">
        <v>846688</v>
      </c>
      <c r="K753" s="18" t="n">
        <v>846688</v>
      </c>
      <c r="L753" s="5" t="s">
        <v>84</v>
      </c>
      <c r="M753" s="5"/>
      <c r="N753" s="10" t="s">
        <v>3625</v>
      </c>
      <c r="O753" s="10" t="s">
        <v>3626</v>
      </c>
      <c r="S753" s="10" t="s">
        <v>3627</v>
      </c>
      <c r="W753" s="5"/>
      <c r="X753" s="5"/>
      <c r="AI753" s="10" t="s">
        <v>3383</v>
      </c>
      <c r="AM753" s="10" t="s">
        <v>182</v>
      </c>
      <c r="AN753" s="5" t="s">
        <v>3384</v>
      </c>
      <c r="AQ753" s="5" t="s">
        <v>77</v>
      </c>
      <c r="AR753" s="5" t="s">
        <v>185</v>
      </c>
      <c r="AS753" s="5" t="s">
        <v>73</v>
      </c>
      <c r="AT753" s="5" t="s">
        <v>78</v>
      </c>
      <c r="AW753" s="5" t="s">
        <v>94</v>
      </c>
      <c r="AX753" s="5" t="s">
        <v>79</v>
      </c>
      <c r="AY753" s="5"/>
      <c r="AZ753" s="5" t="s">
        <v>129</v>
      </c>
      <c r="BJ753" s="10" t="n">
        <v>2021</v>
      </c>
      <c r="BK753" s="10" t="n">
        <v>2023</v>
      </c>
    </row>
    <row r="754" customFormat="false" ht="16.5" hidden="false" customHeight="true" outlineLevel="0" collapsed="false">
      <c r="A754" s="5" t="s">
        <v>3628</v>
      </c>
      <c r="B754" s="10" t="s">
        <v>3629</v>
      </c>
      <c r="C754" s="5" t="s">
        <v>3628</v>
      </c>
      <c r="D754" s="5" t="s">
        <v>3372</v>
      </c>
      <c r="E754" s="10" t="n">
        <v>70017760</v>
      </c>
      <c r="F754" s="10" t="n">
        <v>70017760</v>
      </c>
      <c r="G754" s="10" t="s">
        <v>110</v>
      </c>
      <c r="H754" s="10" t="n">
        <v>6982194</v>
      </c>
      <c r="J754" s="18" t="n">
        <f aca="false">E754*0.087</f>
        <v>6091545.12</v>
      </c>
      <c r="K754" s="18" t="n">
        <f aca="false">F754*0.087</f>
        <v>6091545.12</v>
      </c>
      <c r="L754" s="5" t="s">
        <v>84</v>
      </c>
      <c r="M754" s="5"/>
      <c r="N754" s="10" t="s">
        <v>3630</v>
      </c>
      <c r="O754" s="10" t="s">
        <v>3631</v>
      </c>
      <c r="S754" s="10" t="s">
        <v>3632</v>
      </c>
      <c r="T754" s="10" t="s">
        <v>3633</v>
      </c>
      <c r="V754" s="10" t="s">
        <v>114</v>
      </c>
      <c r="W754" s="5"/>
      <c r="X754" s="5"/>
      <c r="Z754" s="10" t="s">
        <v>2564</v>
      </c>
      <c r="AI754" s="10" t="s">
        <v>3478</v>
      </c>
      <c r="AM754" s="5" t="s">
        <v>173</v>
      </c>
      <c r="AO754" s="10" t="s">
        <v>3634</v>
      </c>
      <c r="AQ754" s="5" t="s">
        <v>77</v>
      </c>
      <c r="AR754" s="5" t="s">
        <v>115</v>
      </c>
      <c r="AS754" s="5" t="s">
        <v>73</v>
      </c>
      <c r="AT754" s="5" t="s">
        <v>78</v>
      </c>
      <c r="AW754" s="25" t="s">
        <v>94</v>
      </c>
      <c r="AX754" s="5" t="s">
        <v>79</v>
      </c>
      <c r="AY754" s="5"/>
      <c r="AZ754" s="5" t="s">
        <v>129</v>
      </c>
      <c r="BJ754" s="10" t="n">
        <v>2021</v>
      </c>
      <c r="BK754" s="10" t="n">
        <v>2025</v>
      </c>
    </row>
    <row r="755" customFormat="false" ht="16.5" hidden="false" customHeight="true" outlineLevel="0" collapsed="false">
      <c r="A755" s="10" t="s">
        <v>3635</v>
      </c>
      <c r="B755" s="5" t="s">
        <v>3636</v>
      </c>
      <c r="C755" s="10" t="s">
        <v>3635</v>
      </c>
      <c r="D755" s="5" t="s">
        <v>3372</v>
      </c>
      <c r="E755" s="10" t="n">
        <v>0</v>
      </c>
      <c r="H755" s="10" t="n">
        <v>0</v>
      </c>
      <c r="J755" s="18"/>
      <c r="K755" s="18"/>
      <c r="L755" s="5" t="s">
        <v>84</v>
      </c>
      <c r="M755" s="5"/>
      <c r="N755" s="10" t="s">
        <v>3637</v>
      </c>
      <c r="O755" s="10" t="s">
        <v>3638</v>
      </c>
      <c r="S755" s="10" t="s">
        <v>3639</v>
      </c>
      <c r="T755" s="10" t="s">
        <v>3640</v>
      </c>
      <c r="W755" s="5"/>
      <c r="X755" s="5"/>
      <c r="AI755" s="10" t="s">
        <v>3451</v>
      </c>
      <c r="AM755" s="10" t="s">
        <v>2352</v>
      </c>
      <c r="AQ755" s="5" t="s">
        <v>77</v>
      </c>
      <c r="AR755" s="5" t="s">
        <v>2221</v>
      </c>
      <c r="AS755" s="5" t="s">
        <v>73</v>
      </c>
      <c r="AT755" s="5" t="s">
        <v>78</v>
      </c>
      <c r="AW755" s="5" t="s">
        <v>94</v>
      </c>
      <c r="AX755" s="5" t="s">
        <v>296</v>
      </c>
      <c r="AY755" s="5"/>
      <c r="AZ755" s="5" t="s">
        <v>188</v>
      </c>
      <c r="BJ755" s="10" t="n">
        <v>2020</v>
      </c>
      <c r="BK755" s="10" t="n">
        <v>2023</v>
      </c>
    </row>
    <row r="756" customFormat="false" ht="16.5" hidden="false" customHeight="true" outlineLevel="0" collapsed="false">
      <c r="A756" s="10" t="s">
        <v>3641</v>
      </c>
      <c r="B756" s="10" t="s">
        <v>3642</v>
      </c>
      <c r="C756" s="10" t="s">
        <v>3643</v>
      </c>
      <c r="D756" s="5" t="s">
        <v>3372</v>
      </c>
      <c r="E756" s="10" t="n">
        <v>1498300</v>
      </c>
      <c r="F756" s="10" t="n">
        <v>1498300</v>
      </c>
      <c r="G756" s="10" t="s">
        <v>366</v>
      </c>
      <c r="H756" s="10" t="n">
        <v>366806</v>
      </c>
      <c r="J756" s="7" t="n">
        <f aca="false">E756*0.23</f>
        <v>344609</v>
      </c>
      <c r="K756" s="7" t="n">
        <f aca="false">F756*0.23</f>
        <v>344609</v>
      </c>
      <c r="L756" s="5" t="s">
        <v>84</v>
      </c>
      <c r="M756" s="5"/>
      <c r="N756" s="10" t="s">
        <v>3644</v>
      </c>
      <c r="O756" s="10" t="s">
        <v>3645</v>
      </c>
      <c r="S756" s="10" t="s">
        <v>3646</v>
      </c>
      <c r="T756" s="10" t="s">
        <v>3647</v>
      </c>
      <c r="V756" s="10" t="s">
        <v>3648</v>
      </c>
      <c r="W756" s="5"/>
      <c r="X756" s="5"/>
      <c r="Z756" s="10" t="s">
        <v>3649</v>
      </c>
      <c r="AI756" s="10" t="s">
        <v>3650</v>
      </c>
      <c r="AM756" s="10" t="s">
        <v>1208</v>
      </c>
      <c r="AO756" s="10" t="s">
        <v>3651</v>
      </c>
      <c r="AQ756" s="5" t="s">
        <v>77</v>
      </c>
      <c r="AR756" s="5" t="s">
        <v>371</v>
      </c>
      <c r="AS756" s="5" t="s">
        <v>73</v>
      </c>
      <c r="AT756" s="5" t="s">
        <v>78</v>
      </c>
      <c r="AW756" s="5" t="s">
        <v>94</v>
      </c>
      <c r="AX756" s="5" t="s">
        <v>79</v>
      </c>
      <c r="AY756" s="5"/>
      <c r="AZ756" s="5" t="s">
        <v>129</v>
      </c>
      <c r="BJ756" s="10" t="n">
        <v>2022</v>
      </c>
      <c r="BK756" s="10" t="n">
        <v>2025</v>
      </c>
    </row>
    <row r="757" customFormat="false" ht="16.5" hidden="false" customHeight="true" outlineLevel="0" collapsed="false">
      <c r="A757" s="10" t="s">
        <v>3652</v>
      </c>
      <c r="B757" s="5" t="s">
        <v>3653</v>
      </c>
      <c r="C757" s="10" t="s">
        <v>3652</v>
      </c>
      <c r="D757" s="5" t="s">
        <v>3372</v>
      </c>
      <c r="E757" s="10" t="n">
        <v>381845</v>
      </c>
      <c r="F757" s="10" t="n">
        <v>381845</v>
      </c>
      <c r="G757" s="10" t="s">
        <v>147</v>
      </c>
      <c r="H757" s="10" t="n">
        <v>401478</v>
      </c>
      <c r="J757" s="18" t="n">
        <v>381845</v>
      </c>
      <c r="K757" s="18" t="n">
        <v>381845</v>
      </c>
      <c r="L757" s="5" t="s">
        <v>84</v>
      </c>
      <c r="M757" s="5"/>
      <c r="N757" s="10" t="s">
        <v>3436</v>
      </c>
      <c r="O757" s="10" t="s">
        <v>3654</v>
      </c>
      <c r="S757" s="10" t="s">
        <v>3655</v>
      </c>
      <c r="W757" s="5"/>
      <c r="X757" s="5"/>
      <c r="AI757" s="10" t="s">
        <v>3409</v>
      </c>
      <c r="AM757" s="10" t="s">
        <v>3442</v>
      </c>
      <c r="AO757" s="10" t="s">
        <v>3656</v>
      </c>
      <c r="AQ757" s="5" t="s">
        <v>77</v>
      </c>
      <c r="AR757" s="5" t="s">
        <v>257</v>
      </c>
      <c r="AS757" s="5" t="s">
        <v>73</v>
      </c>
      <c r="AT757" s="5" t="s">
        <v>78</v>
      </c>
      <c r="AW757" s="5" t="s">
        <v>94</v>
      </c>
      <c r="AX757" s="5" t="s">
        <v>218</v>
      </c>
      <c r="AY757" s="5"/>
      <c r="AZ757" s="5" t="s">
        <v>396</v>
      </c>
      <c r="BJ757" s="10" t="n">
        <v>2022</v>
      </c>
    </row>
    <row r="758" customFormat="false" ht="16.5" hidden="false" customHeight="true" outlineLevel="0" collapsed="false">
      <c r="A758" s="10" t="s">
        <v>3657</v>
      </c>
      <c r="B758" s="10" t="s">
        <v>3658</v>
      </c>
      <c r="C758" s="10" t="s">
        <v>3657</v>
      </c>
      <c r="D758" s="5" t="s">
        <v>3372</v>
      </c>
      <c r="E758" s="10" t="n">
        <v>2998560</v>
      </c>
      <c r="F758" s="10" t="n">
        <v>2998560</v>
      </c>
      <c r="G758" s="10" t="s">
        <v>63</v>
      </c>
      <c r="H758" s="10" t="n">
        <v>429028</v>
      </c>
      <c r="J758" s="7" t="n">
        <f aca="false">E758*0.13</f>
        <v>389812.8</v>
      </c>
      <c r="K758" s="7" t="n">
        <f aca="false">F758*0.13</f>
        <v>389812.8</v>
      </c>
      <c r="L758" s="5" t="s">
        <v>84</v>
      </c>
      <c r="M758" s="5"/>
      <c r="O758" s="10" t="s">
        <v>3659</v>
      </c>
      <c r="S758" s="10" t="s">
        <v>3660</v>
      </c>
      <c r="T758" s="10" t="s">
        <v>1417</v>
      </c>
      <c r="V758" s="10" t="s">
        <v>128</v>
      </c>
      <c r="W758" s="5"/>
      <c r="X758" s="5"/>
      <c r="Z758" s="10" t="s">
        <v>2574</v>
      </c>
      <c r="AI758" s="10" t="s">
        <v>3441</v>
      </c>
      <c r="AM758" s="10" t="s">
        <v>92</v>
      </c>
      <c r="AO758" s="10" t="s">
        <v>3661</v>
      </c>
      <c r="AQ758" s="5" t="s">
        <v>93</v>
      </c>
      <c r="AR758" s="5" t="s">
        <v>72</v>
      </c>
      <c r="AS758" s="5" t="s">
        <v>73</v>
      </c>
      <c r="AT758" s="5" t="s">
        <v>105</v>
      </c>
      <c r="AU758" s="5" t="s">
        <v>106</v>
      </c>
      <c r="AV758" s="10" t="s">
        <v>569</v>
      </c>
      <c r="AW758" s="5" t="s">
        <v>94</v>
      </c>
      <c r="AX758" s="5" t="s">
        <v>79</v>
      </c>
      <c r="AY758" s="5"/>
      <c r="AZ758" s="5" t="s">
        <v>540</v>
      </c>
      <c r="BJ758" s="10" t="n">
        <v>2024</v>
      </c>
      <c r="BK758" s="10" t="n">
        <v>2026</v>
      </c>
    </row>
    <row r="759" customFormat="false" ht="16.5" hidden="false" customHeight="true" outlineLevel="0" collapsed="false">
      <c r="A759" s="10" t="s">
        <v>3662</v>
      </c>
      <c r="B759" s="10" t="s">
        <v>3663</v>
      </c>
      <c r="C759" s="10" t="s">
        <v>3662</v>
      </c>
      <c r="D759" s="5" t="s">
        <v>3372</v>
      </c>
      <c r="E759" s="10" t="n">
        <v>9995738</v>
      </c>
      <c r="F759" s="10" t="n">
        <v>9995738</v>
      </c>
      <c r="G759" s="10" t="s">
        <v>63</v>
      </c>
      <c r="H759" s="10" t="n">
        <v>1432349</v>
      </c>
      <c r="J759" s="7" t="n">
        <f aca="false">E759*0.13</f>
        <v>1299445.94</v>
      </c>
      <c r="K759" s="7" t="n">
        <f aca="false">F759*0.13</f>
        <v>1299445.94</v>
      </c>
      <c r="L759" s="5" t="s">
        <v>84</v>
      </c>
      <c r="M759" s="5"/>
      <c r="O759" s="10" t="s">
        <v>3664</v>
      </c>
      <c r="S759" s="10" t="s">
        <v>3665</v>
      </c>
      <c r="T759" s="10" t="s">
        <v>3666</v>
      </c>
      <c r="V759" s="10" t="s">
        <v>128</v>
      </c>
      <c r="W759" s="5"/>
      <c r="X759" s="5"/>
      <c r="Z759" s="10" t="s">
        <v>2574</v>
      </c>
      <c r="AI759" s="10" t="s">
        <v>3469</v>
      </c>
      <c r="AM759" s="10" t="s">
        <v>92</v>
      </c>
      <c r="AO759" s="10" t="s">
        <v>3667</v>
      </c>
      <c r="AQ759" s="5" t="s">
        <v>93</v>
      </c>
      <c r="AR759" s="5" t="s">
        <v>72</v>
      </c>
      <c r="AS759" s="5" t="s">
        <v>73</v>
      </c>
      <c r="AT759" s="5" t="s">
        <v>78</v>
      </c>
      <c r="AW759" s="25" t="s">
        <v>94</v>
      </c>
      <c r="AX759" s="5" t="s">
        <v>79</v>
      </c>
      <c r="AY759" s="5"/>
      <c r="AZ759" s="5" t="s">
        <v>309</v>
      </c>
      <c r="BJ759" s="10" t="n">
        <v>2023</v>
      </c>
      <c r="BK759" s="10" t="n">
        <v>2027</v>
      </c>
    </row>
    <row r="760" customFormat="false" ht="16.5" hidden="false" customHeight="true" outlineLevel="0" collapsed="false">
      <c r="A760" s="10" t="s">
        <v>3668</v>
      </c>
      <c r="B760" s="10" t="s">
        <v>3669</v>
      </c>
      <c r="C760" s="10" t="s">
        <v>3670</v>
      </c>
      <c r="D760" s="5" t="s">
        <v>3372</v>
      </c>
      <c r="E760" s="10" t="n">
        <v>225000</v>
      </c>
      <c r="F760" s="10" t="n">
        <v>225000</v>
      </c>
      <c r="G760" s="10" t="s">
        <v>147</v>
      </c>
      <c r="H760" s="10" t="n">
        <v>236568</v>
      </c>
      <c r="J760" s="18" t="n">
        <v>225000</v>
      </c>
      <c r="K760" s="18" t="n">
        <v>225000</v>
      </c>
      <c r="L760" s="5" t="s">
        <v>84</v>
      </c>
      <c r="M760" s="5"/>
      <c r="N760" s="10" t="s">
        <v>3436</v>
      </c>
      <c r="O760" s="10" t="s">
        <v>3671</v>
      </c>
      <c r="S760" s="10" t="s">
        <v>3672</v>
      </c>
      <c r="V760" s="10" t="s">
        <v>3673</v>
      </c>
      <c r="W760" s="5"/>
      <c r="X760" s="5"/>
      <c r="Z760" s="10" t="s">
        <v>3674</v>
      </c>
      <c r="AI760" s="10" t="s">
        <v>3409</v>
      </c>
      <c r="AM760" s="10" t="s">
        <v>3442</v>
      </c>
      <c r="AO760" s="10" t="s">
        <v>3452</v>
      </c>
      <c r="AQ760" s="5" t="s">
        <v>77</v>
      </c>
      <c r="AR760" s="5" t="s">
        <v>257</v>
      </c>
      <c r="AS760" s="5" t="s">
        <v>73</v>
      </c>
      <c r="AT760" s="5" t="s">
        <v>78</v>
      </c>
      <c r="AW760" s="5" t="s">
        <v>94</v>
      </c>
      <c r="AX760" s="5" t="s">
        <v>79</v>
      </c>
      <c r="AY760" s="5"/>
      <c r="AZ760" s="5" t="s">
        <v>129</v>
      </c>
      <c r="BJ760" s="10" t="n">
        <v>2022</v>
      </c>
    </row>
    <row r="761" customFormat="false" ht="16.5" hidden="false" customHeight="true" outlineLevel="0" collapsed="false">
      <c r="A761" s="10" t="s">
        <v>3675</v>
      </c>
      <c r="B761" s="10" t="s">
        <v>3676</v>
      </c>
      <c r="C761" s="10" t="s">
        <v>3677</v>
      </c>
      <c r="D761" s="5" t="s">
        <v>3372</v>
      </c>
      <c r="E761" s="10" t="n">
        <v>118750</v>
      </c>
      <c r="F761" s="10" t="n">
        <v>118750</v>
      </c>
      <c r="G761" s="10" t="s">
        <v>147</v>
      </c>
      <c r="H761" s="10" t="n">
        <v>128486</v>
      </c>
      <c r="J761" s="18" t="n">
        <v>118750</v>
      </c>
      <c r="K761" s="18" t="n">
        <v>118750</v>
      </c>
      <c r="L761" s="5" t="s">
        <v>84</v>
      </c>
      <c r="M761" s="5"/>
      <c r="N761" s="10" t="s">
        <v>3436</v>
      </c>
      <c r="O761" s="10" t="s">
        <v>3678</v>
      </c>
      <c r="S761" s="10" t="s">
        <v>3679</v>
      </c>
      <c r="V761" s="10" t="s">
        <v>3449</v>
      </c>
      <c r="W761" s="5"/>
      <c r="X761" s="5"/>
      <c r="Z761" s="10" t="s">
        <v>3450</v>
      </c>
      <c r="AI761" s="10" t="s">
        <v>3469</v>
      </c>
      <c r="AM761" s="10" t="s">
        <v>3442</v>
      </c>
      <c r="AO761" s="10" t="s">
        <v>3452</v>
      </c>
      <c r="AQ761" s="5" t="s">
        <v>77</v>
      </c>
      <c r="AR761" s="5" t="s">
        <v>257</v>
      </c>
      <c r="AS761" s="5" t="s">
        <v>73</v>
      </c>
      <c r="AT761" s="5" t="s">
        <v>78</v>
      </c>
      <c r="AU761" s="10" t="s">
        <v>259</v>
      </c>
      <c r="AV761" s="10"/>
      <c r="AW761" s="5" t="s">
        <v>94</v>
      </c>
      <c r="AX761" s="5" t="s">
        <v>375</v>
      </c>
      <c r="AY761" s="5"/>
      <c r="AZ761" s="5" t="s">
        <v>129</v>
      </c>
      <c r="BJ761" s="10" t="n">
        <v>2023</v>
      </c>
    </row>
    <row r="762" customFormat="false" ht="16.5" hidden="false" customHeight="true" outlineLevel="0" collapsed="false">
      <c r="A762" s="10" t="s">
        <v>3680</v>
      </c>
      <c r="B762" s="10" t="s">
        <v>3681</v>
      </c>
      <c r="C762" s="10" t="s">
        <v>3680</v>
      </c>
      <c r="D762" s="5" t="s">
        <v>3372</v>
      </c>
      <c r="E762" s="10" t="n">
        <v>2265196</v>
      </c>
      <c r="F762" s="10" t="n">
        <v>2265196</v>
      </c>
      <c r="G762" s="10" t="s">
        <v>63</v>
      </c>
      <c r="H762" s="10" t="n">
        <v>324227</v>
      </c>
      <c r="J762" s="7" t="n">
        <f aca="false">E762*0.13</f>
        <v>294475.48</v>
      </c>
      <c r="K762" s="7" t="n">
        <f aca="false">F762*0.13</f>
        <v>294475.48</v>
      </c>
      <c r="L762" s="5" t="s">
        <v>84</v>
      </c>
      <c r="M762" s="5"/>
      <c r="O762" s="10" t="s">
        <v>3682</v>
      </c>
      <c r="S762" s="10" t="s">
        <v>3683</v>
      </c>
      <c r="T762" s="10" t="s">
        <v>3684</v>
      </c>
      <c r="V762" s="10" t="s">
        <v>128</v>
      </c>
      <c r="W762" s="5"/>
      <c r="X762" s="5"/>
      <c r="Z762" s="10" t="s">
        <v>2574</v>
      </c>
      <c r="AI762" s="10" t="s">
        <v>3441</v>
      </c>
      <c r="AM762" s="10" t="s">
        <v>92</v>
      </c>
      <c r="AO762" s="10" t="s">
        <v>3661</v>
      </c>
      <c r="AQ762" s="5" t="s">
        <v>93</v>
      </c>
      <c r="AR762" s="5" t="s">
        <v>72</v>
      </c>
      <c r="AS762" s="5" t="s">
        <v>73</v>
      </c>
      <c r="AT762" s="5" t="s">
        <v>78</v>
      </c>
      <c r="AW762" s="5" t="s">
        <v>94</v>
      </c>
      <c r="AX762" s="5" t="s">
        <v>79</v>
      </c>
      <c r="AY762" s="5"/>
      <c r="AZ762" s="5" t="s">
        <v>309</v>
      </c>
      <c r="BJ762" s="10" t="n">
        <v>2024</v>
      </c>
      <c r="BK762" s="10" t="n">
        <v>2026</v>
      </c>
    </row>
    <row r="763" customFormat="false" ht="16.5" hidden="false" customHeight="true" outlineLevel="0" collapsed="false">
      <c r="A763" s="10" t="s">
        <v>3685</v>
      </c>
      <c r="B763" s="10" t="s">
        <v>3686</v>
      </c>
      <c r="C763" s="10" t="s">
        <v>3685</v>
      </c>
      <c r="D763" s="5" t="s">
        <v>3372</v>
      </c>
      <c r="E763" s="10" t="n">
        <v>0</v>
      </c>
      <c r="F763" s="10" t="n">
        <v>0</v>
      </c>
      <c r="G763" s="10" t="s">
        <v>147</v>
      </c>
      <c r="H763" s="10" t="n">
        <v>0</v>
      </c>
      <c r="J763" s="18" t="n">
        <v>0</v>
      </c>
      <c r="K763" s="18" t="n">
        <v>0</v>
      </c>
      <c r="L763" s="5" t="s">
        <v>84</v>
      </c>
      <c r="M763" s="5"/>
      <c r="N763" s="10" t="s">
        <v>3687</v>
      </c>
      <c r="O763" s="10" t="s">
        <v>3688</v>
      </c>
      <c r="S763" s="10" t="s">
        <v>3689</v>
      </c>
      <c r="W763" s="5"/>
      <c r="X763" s="5"/>
      <c r="AI763" s="10" t="s">
        <v>3690</v>
      </c>
      <c r="AM763" s="5" t="s">
        <v>459</v>
      </c>
      <c r="AO763" s="10" t="s">
        <v>3691</v>
      </c>
      <c r="AQ763" s="5" t="s">
        <v>77</v>
      </c>
      <c r="AR763" s="5" t="s">
        <v>333</v>
      </c>
      <c r="AS763" s="5" t="s">
        <v>73</v>
      </c>
      <c r="AT763" s="5" t="s">
        <v>78</v>
      </c>
      <c r="AW763" s="5" t="s">
        <v>94</v>
      </c>
      <c r="AX763" s="5" t="s">
        <v>79</v>
      </c>
      <c r="AY763" s="5"/>
      <c r="AZ763" s="5" t="s">
        <v>129</v>
      </c>
      <c r="BJ763" s="10" t="n">
        <v>2020</v>
      </c>
      <c r="BK763" s="10" t="n">
        <v>2021</v>
      </c>
    </row>
    <row r="764" customFormat="false" ht="16.5" hidden="false" customHeight="true" outlineLevel="0" collapsed="false">
      <c r="A764" s="10" t="s">
        <v>3692</v>
      </c>
      <c r="B764" s="10" t="s">
        <v>3693</v>
      </c>
      <c r="C764" s="10" t="s">
        <v>3692</v>
      </c>
      <c r="D764" s="5" t="s">
        <v>3372</v>
      </c>
      <c r="E764" s="10" t="n">
        <v>2771344</v>
      </c>
      <c r="F764" s="10" t="n">
        <v>2771344</v>
      </c>
      <c r="G764" s="10" t="s">
        <v>147</v>
      </c>
      <c r="H764" s="10" t="n">
        <v>3032585</v>
      </c>
      <c r="J764" s="18" t="n">
        <v>2771344</v>
      </c>
      <c r="K764" s="18" t="n">
        <v>2771344</v>
      </c>
      <c r="L764" s="5" t="s">
        <v>84</v>
      </c>
      <c r="M764" s="5"/>
      <c r="N764" s="10" t="s">
        <v>3694</v>
      </c>
      <c r="O764" s="10" t="s">
        <v>3695</v>
      </c>
      <c r="S764" s="10" t="s">
        <v>3696</v>
      </c>
      <c r="W764" s="5"/>
      <c r="X764" s="5"/>
      <c r="AI764" s="10" t="s">
        <v>3697</v>
      </c>
      <c r="AM764" s="10" t="s">
        <v>182</v>
      </c>
      <c r="AN764" s="24" t="s">
        <v>363</v>
      </c>
      <c r="AQ764" s="5" t="s">
        <v>77</v>
      </c>
      <c r="AR764" s="5" t="s">
        <v>185</v>
      </c>
      <c r="AS764" s="5" t="s">
        <v>73</v>
      </c>
      <c r="AT764" s="5" t="s">
        <v>78</v>
      </c>
      <c r="AW764" s="25" t="s">
        <v>94</v>
      </c>
      <c r="AX764" s="5" t="s">
        <v>79</v>
      </c>
      <c r="AY764" s="5"/>
      <c r="AZ764" s="5" t="s">
        <v>129</v>
      </c>
      <c r="BJ764" s="10" t="n">
        <v>2021</v>
      </c>
      <c r="BK764" s="10" t="n">
        <v>2024</v>
      </c>
    </row>
    <row r="765" customFormat="false" ht="16.5" hidden="false" customHeight="true" outlineLevel="0" collapsed="false">
      <c r="A765" s="10" t="s">
        <v>3698</v>
      </c>
      <c r="B765" s="10" t="s">
        <v>3699</v>
      </c>
      <c r="C765" s="10" t="s">
        <v>3698</v>
      </c>
      <c r="D765" s="5" t="s">
        <v>3372</v>
      </c>
      <c r="E765" s="10" t="n">
        <v>4549989</v>
      </c>
      <c r="F765" s="10" t="n">
        <v>4549989</v>
      </c>
      <c r="G765" s="10" t="s">
        <v>110</v>
      </c>
      <c r="H765" s="10" t="n">
        <v>453716</v>
      </c>
      <c r="J765" s="18" t="n">
        <f aca="false">E765*0.087</f>
        <v>395849.043</v>
      </c>
      <c r="K765" s="18" t="n">
        <f aca="false">F765*0.087</f>
        <v>395849.043</v>
      </c>
      <c r="L765" s="5" t="s">
        <v>84</v>
      </c>
      <c r="M765" s="5"/>
      <c r="N765" s="10" t="s">
        <v>3700</v>
      </c>
      <c r="O765" s="10" t="s">
        <v>3701</v>
      </c>
      <c r="S765" s="10" t="s">
        <v>3702</v>
      </c>
      <c r="T765" s="10" t="s">
        <v>3703</v>
      </c>
      <c r="V765" s="10" t="s">
        <v>114</v>
      </c>
      <c r="W765" s="5"/>
      <c r="X765" s="5"/>
      <c r="Z765" s="10" t="s">
        <v>2564</v>
      </c>
      <c r="AI765" s="10" t="s">
        <v>3478</v>
      </c>
      <c r="AM765" s="5" t="s">
        <v>173</v>
      </c>
      <c r="AO765" s="10" t="s">
        <v>3704</v>
      </c>
      <c r="AQ765" s="5" t="s">
        <v>77</v>
      </c>
      <c r="AR765" s="5" t="s">
        <v>115</v>
      </c>
      <c r="AS765" s="5" t="s">
        <v>73</v>
      </c>
      <c r="AT765" s="5" t="s">
        <v>78</v>
      </c>
      <c r="AW765" s="5" t="s">
        <v>94</v>
      </c>
      <c r="AX765" s="5" t="s">
        <v>79</v>
      </c>
      <c r="AY765" s="5"/>
      <c r="AZ765" s="5" t="s">
        <v>129</v>
      </c>
      <c r="BJ765" s="10" t="n">
        <v>2021</v>
      </c>
      <c r="BK765" s="10" t="n">
        <v>2025</v>
      </c>
    </row>
    <row r="766" customFormat="false" ht="16.5" hidden="false" customHeight="true" outlineLevel="0" collapsed="false">
      <c r="A766" s="10" t="s">
        <v>3705</v>
      </c>
      <c r="B766" s="10" t="s">
        <v>3706</v>
      </c>
      <c r="C766" s="10" t="s">
        <v>3707</v>
      </c>
      <c r="D766" s="5" t="s">
        <v>3372</v>
      </c>
      <c r="E766" s="10" t="n">
        <v>111250</v>
      </c>
      <c r="F766" s="10" t="n">
        <v>111250</v>
      </c>
      <c r="G766" s="10" t="s">
        <v>147</v>
      </c>
      <c r="H766" s="10" t="n">
        <v>116970</v>
      </c>
      <c r="J766" s="18" t="n">
        <v>111250</v>
      </c>
      <c r="K766" s="18" t="n">
        <v>111250</v>
      </c>
      <c r="L766" s="5" t="s">
        <v>84</v>
      </c>
      <c r="M766" s="5"/>
      <c r="N766" s="10" t="s">
        <v>3436</v>
      </c>
      <c r="O766" s="10" t="s">
        <v>3708</v>
      </c>
      <c r="S766" s="10" t="s">
        <v>3709</v>
      </c>
      <c r="V766" s="10" t="s">
        <v>3710</v>
      </c>
      <c r="W766" s="5"/>
      <c r="X766" s="5"/>
      <c r="Z766" s="10" t="s">
        <v>3711</v>
      </c>
      <c r="AI766" s="10" t="s">
        <v>3409</v>
      </c>
      <c r="AM766" s="10" t="s">
        <v>3442</v>
      </c>
      <c r="AO766" s="10" t="s">
        <v>3452</v>
      </c>
      <c r="AQ766" s="5" t="s">
        <v>77</v>
      </c>
      <c r="AR766" s="5" t="s">
        <v>257</v>
      </c>
      <c r="AS766" s="5" t="s">
        <v>73</v>
      </c>
      <c r="AT766" s="5" t="s">
        <v>105</v>
      </c>
      <c r="AU766" s="5" t="s">
        <v>186</v>
      </c>
      <c r="AV766" s="10" t="s">
        <v>569</v>
      </c>
      <c r="AW766" s="5" t="s">
        <v>94</v>
      </c>
      <c r="AX766" s="5" t="s">
        <v>79</v>
      </c>
      <c r="AY766" s="5"/>
      <c r="AZ766" s="5" t="s">
        <v>107</v>
      </c>
      <c r="BJ766" s="10" t="n">
        <v>2022</v>
      </c>
    </row>
    <row r="767" customFormat="false" ht="16.5" hidden="false" customHeight="true" outlineLevel="0" collapsed="false">
      <c r="A767" s="10" t="s">
        <v>3712</v>
      </c>
      <c r="B767" s="10" t="s">
        <v>3713</v>
      </c>
      <c r="C767" s="10" t="s">
        <v>3714</v>
      </c>
      <c r="D767" s="5" t="s">
        <v>3372</v>
      </c>
      <c r="E767" s="10" t="n">
        <v>82951</v>
      </c>
      <c r="F767" s="10" t="n">
        <v>82951</v>
      </c>
      <c r="G767" s="10" t="s">
        <v>147</v>
      </c>
      <c r="H767" s="10" t="n">
        <v>94552</v>
      </c>
      <c r="J767" s="18" t="n">
        <v>82951</v>
      </c>
      <c r="K767" s="18" t="n">
        <v>82951</v>
      </c>
      <c r="L767" s="5" t="s">
        <v>84</v>
      </c>
      <c r="M767" s="5"/>
      <c r="N767" s="10" t="s">
        <v>3436</v>
      </c>
      <c r="O767" s="10" t="s">
        <v>3715</v>
      </c>
      <c r="S767" s="10" t="s">
        <v>3716</v>
      </c>
      <c r="V767" s="10" t="s">
        <v>3717</v>
      </c>
      <c r="W767" s="5"/>
      <c r="X767" s="5"/>
      <c r="Z767" s="10" t="s">
        <v>3718</v>
      </c>
      <c r="AI767" s="10" t="s">
        <v>3451</v>
      </c>
      <c r="AM767" s="10" t="s">
        <v>3442</v>
      </c>
      <c r="AO767" s="10" t="s">
        <v>3452</v>
      </c>
      <c r="AQ767" s="5" t="s">
        <v>77</v>
      </c>
      <c r="AR767" s="5" t="s">
        <v>257</v>
      </c>
      <c r="AS767" s="5" t="s">
        <v>73</v>
      </c>
      <c r="AT767" s="5" t="s">
        <v>78</v>
      </c>
      <c r="AW767" s="5" t="s">
        <v>94</v>
      </c>
      <c r="AX767" s="5" t="s">
        <v>79</v>
      </c>
      <c r="AY767" s="5"/>
      <c r="AZ767" s="5" t="s">
        <v>525</v>
      </c>
      <c r="BJ767" s="10" t="n">
        <v>2020</v>
      </c>
    </row>
    <row r="768" customFormat="false" ht="16.5" hidden="false" customHeight="true" outlineLevel="0" collapsed="false">
      <c r="A768" s="10" t="s">
        <v>3719</v>
      </c>
      <c r="B768" s="5" t="s">
        <v>3720</v>
      </c>
      <c r="C768" s="10" t="s">
        <v>3719</v>
      </c>
      <c r="D768" s="5" t="s">
        <v>3372</v>
      </c>
      <c r="E768" s="10" t="n">
        <v>379037</v>
      </c>
      <c r="F768" s="10" t="n">
        <v>379037</v>
      </c>
      <c r="G768" s="10" t="s">
        <v>110</v>
      </c>
      <c r="H768" s="10" t="n">
        <v>37787</v>
      </c>
      <c r="J768" s="18" t="n">
        <f aca="false">E768*0.087</f>
        <v>32976.219</v>
      </c>
      <c r="K768" s="18" t="n">
        <f aca="false">F768*0.087</f>
        <v>32976.219</v>
      </c>
      <c r="L768" s="5" t="s">
        <v>84</v>
      </c>
      <c r="M768" s="5"/>
      <c r="N768" s="10" t="s">
        <v>3721</v>
      </c>
      <c r="O768" s="10" t="s">
        <v>3722</v>
      </c>
      <c r="S768" s="10" t="s">
        <v>3723</v>
      </c>
      <c r="T768" s="10" t="s">
        <v>3724</v>
      </c>
      <c r="V768" s="10" t="s">
        <v>114</v>
      </c>
      <c r="W768" s="5"/>
      <c r="X768" s="5"/>
      <c r="Z768" s="10" t="s">
        <v>2564</v>
      </c>
      <c r="AI768" s="10" t="s">
        <v>3478</v>
      </c>
      <c r="AM768" s="5" t="s">
        <v>173</v>
      </c>
      <c r="AO768" s="10" t="s">
        <v>3470</v>
      </c>
      <c r="AQ768" s="5" t="s">
        <v>77</v>
      </c>
      <c r="AR768" s="5" t="s">
        <v>115</v>
      </c>
      <c r="AS768" s="5" t="s">
        <v>73</v>
      </c>
      <c r="AT768" s="5" t="s">
        <v>78</v>
      </c>
      <c r="AW768" s="5" t="s">
        <v>94</v>
      </c>
      <c r="AX768" s="5" t="s">
        <v>79</v>
      </c>
      <c r="AY768" s="5"/>
      <c r="AZ768" s="5" t="s">
        <v>525</v>
      </c>
      <c r="BJ768" s="10" t="n">
        <v>2021</v>
      </c>
      <c r="BK768" s="10" t="n">
        <v>2025</v>
      </c>
    </row>
    <row r="769" customFormat="false" ht="16.5" hidden="false" customHeight="true" outlineLevel="0" collapsed="false">
      <c r="A769" s="10" t="s">
        <v>3725</v>
      </c>
      <c r="B769" s="10" t="s">
        <v>3726</v>
      </c>
      <c r="C769" s="10" t="s">
        <v>3725</v>
      </c>
      <c r="D769" s="5" t="s">
        <v>3372</v>
      </c>
      <c r="E769" s="10" t="n">
        <v>499999</v>
      </c>
      <c r="F769" s="10" t="n">
        <v>499999</v>
      </c>
      <c r="G769" s="10" t="s">
        <v>110</v>
      </c>
      <c r="H769" s="10" t="n">
        <v>55060</v>
      </c>
      <c r="J769" s="18" t="n">
        <f aca="false">E769*0.087</f>
        <v>43499.913</v>
      </c>
      <c r="K769" s="18" t="n">
        <f aca="false">F769*0.087</f>
        <v>43499.913</v>
      </c>
      <c r="L769" s="5" t="s">
        <v>84</v>
      </c>
      <c r="M769" s="5"/>
      <c r="N769" s="10" t="s">
        <v>3727</v>
      </c>
      <c r="O769" s="10" t="s">
        <v>3728</v>
      </c>
      <c r="S769" s="10" t="s">
        <v>3729</v>
      </c>
      <c r="T769" s="10" t="s">
        <v>3730</v>
      </c>
      <c r="W769" s="5"/>
      <c r="X769" s="5"/>
      <c r="AI769" s="10" t="s">
        <v>3478</v>
      </c>
      <c r="AM769" s="5" t="s">
        <v>173</v>
      </c>
      <c r="AO769" s="10" t="s">
        <v>3731</v>
      </c>
      <c r="AQ769" s="5" t="s">
        <v>77</v>
      </c>
      <c r="AR769" s="5" t="s">
        <v>115</v>
      </c>
      <c r="AS769" s="5" t="s">
        <v>73</v>
      </c>
      <c r="AT769" s="5" t="s">
        <v>105</v>
      </c>
      <c r="AU769" s="5" t="s">
        <v>186</v>
      </c>
      <c r="AV769" s="10" t="s">
        <v>569</v>
      </c>
      <c r="AW769" s="5" t="s">
        <v>94</v>
      </c>
      <c r="AX769" s="5" t="s">
        <v>79</v>
      </c>
      <c r="AY769" s="5"/>
      <c r="AZ769" s="5" t="s">
        <v>129</v>
      </c>
      <c r="BJ769" s="10" t="n">
        <v>2021</v>
      </c>
      <c r="BK769" s="10" t="n">
        <v>2022</v>
      </c>
    </row>
    <row r="770" customFormat="false" ht="16.5" hidden="false" customHeight="true" outlineLevel="0" collapsed="false">
      <c r="A770" s="10" t="s">
        <v>3732</v>
      </c>
      <c r="B770" s="10" t="s">
        <v>3733</v>
      </c>
      <c r="C770" s="10" t="s">
        <v>3732</v>
      </c>
      <c r="D770" s="5" t="s">
        <v>3372</v>
      </c>
      <c r="E770" s="10" t="n">
        <v>47942320</v>
      </c>
      <c r="F770" s="10" t="n">
        <v>47942320</v>
      </c>
      <c r="G770" s="10" t="s">
        <v>212</v>
      </c>
      <c r="H770" s="10" t="n">
        <v>4856910</v>
      </c>
      <c r="J770" s="7" t="n">
        <f aca="false">E770*0.091</f>
        <v>4362751.12</v>
      </c>
      <c r="K770" s="7" t="n">
        <f aca="false">F770*0.091</f>
        <v>4362751.12</v>
      </c>
      <c r="L770" s="5" t="s">
        <v>84</v>
      </c>
      <c r="M770" s="5"/>
      <c r="N770" s="10" t="s">
        <v>3734</v>
      </c>
      <c r="O770" s="10" t="s">
        <v>3735</v>
      </c>
      <c r="S770" s="10" t="s">
        <v>3736</v>
      </c>
      <c r="T770" s="10" t="s">
        <v>3132</v>
      </c>
      <c r="V770" s="10" t="s">
        <v>3133</v>
      </c>
      <c r="W770" s="5"/>
      <c r="X770" s="5"/>
      <c r="Z770" s="10" t="s">
        <v>3737</v>
      </c>
      <c r="AI770" s="10" t="s">
        <v>3738</v>
      </c>
      <c r="AM770" s="5" t="s">
        <v>217</v>
      </c>
      <c r="AO770" s="10" t="s">
        <v>3739</v>
      </c>
      <c r="AQ770" s="5" t="s">
        <v>77</v>
      </c>
      <c r="AR770" s="5" t="s">
        <v>215</v>
      </c>
      <c r="AS770" s="5" t="s">
        <v>73</v>
      </c>
      <c r="AT770" s="5" t="s">
        <v>78</v>
      </c>
      <c r="AU770" s="5" t="s">
        <v>259</v>
      </c>
      <c r="AV770" s="5"/>
      <c r="AW770" s="25" t="s">
        <v>94</v>
      </c>
      <c r="AX770" s="5" t="s">
        <v>79</v>
      </c>
      <c r="AY770" s="5"/>
      <c r="AZ770" s="5" t="s">
        <v>399</v>
      </c>
      <c r="BJ770" s="10" t="n">
        <v>2020</v>
      </c>
      <c r="BK770" s="10" t="n">
        <v>2024</v>
      </c>
    </row>
    <row r="771" customFormat="false" ht="16.5" hidden="false" customHeight="true" outlineLevel="0" collapsed="false">
      <c r="A771" s="10" t="s">
        <v>3740</v>
      </c>
      <c r="B771" s="10" t="s">
        <v>3741</v>
      </c>
      <c r="C771" s="10" t="s">
        <v>3740</v>
      </c>
      <c r="D771" s="5" t="s">
        <v>3372</v>
      </c>
      <c r="E771" s="10" t="n">
        <v>5874965</v>
      </c>
      <c r="F771" s="10" t="n">
        <v>5874965</v>
      </c>
      <c r="G771" s="10" t="s">
        <v>212</v>
      </c>
      <c r="H771" s="10" t="n">
        <v>556025</v>
      </c>
      <c r="J771" s="7" t="n">
        <f aca="false">E771*0.091</f>
        <v>534621.815</v>
      </c>
      <c r="K771" s="7" t="n">
        <f aca="false">F771*0.091</f>
        <v>534621.815</v>
      </c>
      <c r="L771" s="5" t="s">
        <v>84</v>
      </c>
      <c r="M771" s="5"/>
      <c r="N771" s="10" t="s">
        <v>3742</v>
      </c>
      <c r="O771" s="10" t="s">
        <v>3743</v>
      </c>
      <c r="S771" s="10" t="s">
        <v>3744</v>
      </c>
      <c r="T771" s="10" t="s">
        <v>3745</v>
      </c>
      <c r="V771" s="10" t="s">
        <v>214</v>
      </c>
      <c r="W771" s="5"/>
      <c r="X771" s="5"/>
      <c r="Z771" s="10" t="s">
        <v>2631</v>
      </c>
      <c r="AI771" s="10" t="s">
        <v>3746</v>
      </c>
      <c r="AM771" s="5" t="s">
        <v>217</v>
      </c>
      <c r="AO771" s="10" t="s">
        <v>3747</v>
      </c>
      <c r="AQ771" s="5" t="s">
        <v>77</v>
      </c>
      <c r="AR771" s="5" t="s">
        <v>215</v>
      </c>
      <c r="AS771" s="5" t="s">
        <v>73</v>
      </c>
      <c r="AT771" s="5" t="s">
        <v>78</v>
      </c>
      <c r="AW771" s="5" t="s">
        <v>94</v>
      </c>
      <c r="AX771" s="5" t="s">
        <v>375</v>
      </c>
      <c r="AY771" s="5"/>
      <c r="AZ771" s="5" t="s">
        <v>399</v>
      </c>
      <c r="BJ771" s="10" t="n">
        <v>2025</v>
      </c>
      <c r="BK771" s="10" t="n">
        <v>2028</v>
      </c>
    </row>
    <row r="772" customFormat="false" ht="16.5" hidden="false" customHeight="true" outlineLevel="0" collapsed="false">
      <c r="A772" s="10" t="s">
        <v>3748</v>
      </c>
      <c r="B772" s="10" t="s">
        <v>3749</v>
      </c>
      <c r="C772" s="10" t="s">
        <v>3748</v>
      </c>
      <c r="D772" s="5" t="s">
        <v>3372</v>
      </c>
      <c r="E772" s="10" t="n">
        <v>771372</v>
      </c>
      <c r="F772" s="10" t="n">
        <v>771372</v>
      </c>
      <c r="G772" s="10" t="s">
        <v>147</v>
      </c>
      <c r="H772" s="10" t="n">
        <v>862741</v>
      </c>
      <c r="J772" s="18" t="n">
        <v>771372</v>
      </c>
      <c r="K772" s="18" t="n">
        <v>771372</v>
      </c>
      <c r="L772" s="5" t="s">
        <v>84</v>
      </c>
      <c r="M772" s="5"/>
      <c r="N772" s="10" t="s">
        <v>3750</v>
      </c>
      <c r="O772" s="10" t="s">
        <v>3751</v>
      </c>
      <c r="S772" s="10" t="s">
        <v>3752</v>
      </c>
      <c r="T772" s="10" t="s">
        <v>3753</v>
      </c>
      <c r="W772" s="5"/>
      <c r="X772" s="5"/>
      <c r="AI772" s="10" t="s">
        <v>3754</v>
      </c>
      <c r="AM772" s="10" t="s">
        <v>3755</v>
      </c>
      <c r="AQ772" s="5" t="s">
        <v>77</v>
      </c>
      <c r="AR772" s="5" t="s">
        <v>3280</v>
      </c>
      <c r="AS772" s="5" t="s">
        <v>73</v>
      </c>
      <c r="AT772" s="5" t="s">
        <v>78</v>
      </c>
      <c r="AW772" s="5" t="s">
        <v>94</v>
      </c>
      <c r="AX772" s="5" t="s">
        <v>79</v>
      </c>
      <c r="AY772" s="5"/>
      <c r="AZ772" s="5" t="s">
        <v>129</v>
      </c>
      <c r="BJ772" s="10" t="n">
        <v>2020</v>
      </c>
      <c r="BK772" s="10" t="n">
        <v>2023</v>
      </c>
    </row>
    <row r="773" customFormat="false" ht="16.5" hidden="false" customHeight="true" outlineLevel="0" collapsed="false">
      <c r="A773" s="10" t="s">
        <v>3756</v>
      </c>
      <c r="B773" s="10" t="s">
        <v>3757</v>
      </c>
      <c r="C773" s="10" t="s">
        <v>3756</v>
      </c>
      <c r="D773" s="5" t="s">
        <v>3372</v>
      </c>
      <c r="E773" s="10" t="n">
        <v>0</v>
      </c>
      <c r="F773" s="10" t="n">
        <v>0</v>
      </c>
      <c r="G773" s="10" t="s">
        <v>147</v>
      </c>
      <c r="H773" s="10" t="n">
        <v>0</v>
      </c>
      <c r="J773" s="18" t="n">
        <v>0</v>
      </c>
      <c r="K773" s="18" t="n">
        <v>0</v>
      </c>
      <c r="L773" s="5" t="s">
        <v>84</v>
      </c>
      <c r="M773" s="5"/>
      <c r="N773" s="10" t="s">
        <v>3758</v>
      </c>
      <c r="O773" s="10" t="s">
        <v>3759</v>
      </c>
      <c r="S773" s="10" t="s">
        <v>3760</v>
      </c>
      <c r="W773" s="5"/>
      <c r="X773" s="5"/>
      <c r="AI773" s="10" t="s">
        <v>3557</v>
      </c>
      <c r="AM773" s="5" t="s">
        <v>459</v>
      </c>
      <c r="AO773" s="10" t="s">
        <v>3761</v>
      </c>
      <c r="AQ773" s="5" t="s">
        <v>77</v>
      </c>
      <c r="AR773" s="5" t="s">
        <v>333</v>
      </c>
      <c r="AS773" s="5" t="s">
        <v>73</v>
      </c>
      <c r="AT773" s="5" t="s">
        <v>78</v>
      </c>
      <c r="AW773" s="5" t="s">
        <v>94</v>
      </c>
      <c r="AX773" s="5" t="s">
        <v>79</v>
      </c>
      <c r="AY773" s="5"/>
      <c r="AZ773" s="5" t="s">
        <v>399</v>
      </c>
      <c r="BJ773" s="10" t="n">
        <v>2025</v>
      </c>
      <c r="BK773" s="10" t="n">
        <v>2027</v>
      </c>
    </row>
    <row r="774" customFormat="false" ht="16.5" hidden="false" customHeight="true" outlineLevel="0" collapsed="false">
      <c r="A774" s="10" t="s">
        <v>1693</v>
      </c>
      <c r="C774" s="10" t="s">
        <v>1693</v>
      </c>
      <c r="D774" s="5" t="s">
        <v>3372</v>
      </c>
      <c r="E774" s="37" t="n">
        <v>76494</v>
      </c>
      <c r="F774" s="37" t="n">
        <v>76494</v>
      </c>
      <c r="G774" s="10" t="s">
        <v>132</v>
      </c>
      <c r="H774" s="10" t="n">
        <v>99401</v>
      </c>
      <c r="J774" s="7" t="n">
        <f aca="false">E774*1.19</f>
        <v>91027.86</v>
      </c>
      <c r="K774" s="7" t="n">
        <f aca="false">F774*1.19</f>
        <v>91027.86</v>
      </c>
      <c r="L774" s="5" t="s">
        <v>84</v>
      </c>
      <c r="M774" s="5"/>
      <c r="N774" s="10" t="s">
        <v>3762</v>
      </c>
      <c r="O774" s="10" t="s">
        <v>3763</v>
      </c>
      <c r="S774" s="10" t="s">
        <v>3764</v>
      </c>
      <c r="T774" s="10" t="s">
        <v>3765</v>
      </c>
      <c r="V774" s="10" t="s">
        <v>931</v>
      </c>
      <c r="W774" s="5"/>
      <c r="X774" s="5" t="s">
        <v>139</v>
      </c>
      <c r="Z774" s="10" t="s">
        <v>2914</v>
      </c>
      <c r="AI774" s="10" t="s">
        <v>3766</v>
      </c>
      <c r="AM774" s="5" t="s">
        <v>140</v>
      </c>
      <c r="AN774" s="5" t="s">
        <v>699</v>
      </c>
      <c r="AQ774" s="5" t="s">
        <v>77</v>
      </c>
      <c r="AR774" s="5" t="s">
        <v>143</v>
      </c>
      <c r="AS774" s="5" t="s">
        <v>73</v>
      </c>
      <c r="AT774" s="5" t="s">
        <v>78</v>
      </c>
      <c r="AW774" s="5" t="s">
        <v>94</v>
      </c>
      <c r="AX774" s="5" t="s">
        <v>495</v>
      </c>
      <c r="AY774" s="5"/>
      <c r="AZ774" s="5" t="s">
        <v>188</v>
      </c>
      <c r="BJ774" s="10" t="n">
        <v>2020</v>
      </c>
      <c r="BK774" s="10" t="n">
        <v>2023</v>
      </c>
    </row>
    <row r="775" customFormat="false" ht="16.5" hidden="false" customHeight="true" outlineLevel="0" collapsed="false">
      <c r="A775" s="10" t="s">
        <v>3767</v>
      </c>
      <c r="B775" s="5" t="s">
        <v>3768</v>
      </c>
      <c r="C775" s="10" t="s">
        <v>3767</v>
      </c>
      <c r="D775" s="5" t="s">
        <v>3372</v>
      </c>
      <c r="E775" s="10" t="n">
        <v>0</v>
      </c>
      <c r="H775" s="10" t="n">
        <v>0</v>
      </c>
      <c r="J775" s="18"/>
      <c r="K775" s="18"/>
      <c r="L775" s="5" t="s">
        <v>84</v>
      </c>
      <c r="M775" s="5"/>
      <c r="N775" s="10" t="s">
        <v>3769</v>
      </c>
      <c r="O775" s="10" t="s">
        <v>3770</v>
      </c>
      <c r="S775" s="10" t="s">
        <v>3771</v>
      </c>
      <c r="T775" s="10" t="s">
        <v>3772</v>
      </c>
      <c r="V775" s="10" t="s">
        <v>3773</v>
      </c>
      <c r="W775" s="5"/>
      <c r="X775" s="5"/>
      <c r="Z775" s="10" t="s">
        <v>3774</v>
      </c>
      <c r="AI775" s="10" t="s">
        <v>3441</v>
      </c>
      <c r="AM775" s="10" t="s">
        <v>2352</v>
      </c>
      <c r="AQ775" s="5" t="s">
        <v>77</v>
      </c>
      <c r="AR775" s="5" t="s">
        <v>2221</v>
      </c>
      <c r="AS775" s="5" t="s">
        <v>73</v>
      </c>
      <c r="AT775" s="5" t="s">
        <v>105</v>
      </c>
      <c r="AU775" s="5" t="s">
        <v>186</v>
      </c>
      <c r="AV775" s="10" t="s">
        <v>569</v>
      </c>
      <c r="AW775" s="5" t="s">
        <v>94</v>
      </c>
      <c r="AX775" s="5" t="s">
        <v>79</v>
      </c>
      <c r="AY775" s="5"/>
      <c r="AZ775" s="5" t="s">
        <v>540</v>
      </c>
      <c r="BF775" s="5" t="s">
        <v>3768</v>
      </c>
      <c r="BJ775" s="10" t="n">
        <v>2024</v>
      </c>
      <c r="BK775" s="10" t="n">
        <v>2025</v>
      </c>
    </row>
    <row r="776" customFormat="false" ht="16.5" hidden="false" customHeight="true" outlineLevel="0" collapsed="false">
      <c r="A776" s="10" t="s">
        <v>3775</v>
      </c>
      <c r="B776" s="5" t="s">
        <v>3776</v>
      </c>
      <c r="C776" s="10" t="s">
        <v>3775</v>
      </c>
      <c r="D776" s="5" t="s">
        <v>3372</v>
      </c>
      <c r="E776" s="10" t="n">
        <v>0</v>
      </c>
      <c r="H776" s="10" t="n">
        <v>0</v>
      </c>
      <c r="J776" s="18"/>
      <c r="K776" s="18"/>
      <c r="L776" s="5" t="s">
        <v>84</v>
      </c>
      <c r="M776" s="5"/>
      <c r="N776" s="10" t="s">
        <v>3777</v>
      </c>
      <c r="O776" s="10" t="s">
        <v>3778</v>
      </c>
      <c r="S776" s="10" t="s">
        <v>3779</v>
      </c>
      <c r="T776" s="10" t="s">
        <v>3780</v>
      </c>
      <c r="V776" s="10" t="s">
        <v>3781</v>
      </c>
      <c r="W776" s="5"/>
      <c r="X776" s="5"/>
      <c r="Z776" s="10" t="s">
        <v>3782</v>
      </c>
      <c r="AI776" s="10" t="s">
        <v>3746</v>
      </c>
      <c r="AM776" s="10" t="s">
        <v>2352</v>
      </c>
      <c r="AQ776" s="5" t="s">
        <v>77</v>
      </c>
      <c r="AR776" s="5" t="s">
        <v>2221</v>
      </c>
      <c r="AS776" s="5" t="s">
        <v>73</v>
      </c>
      <c r="AT776" s="5" t="s">
        <v>78</v>
      </c>
      <c r="AW776" s="5" t="s">
        <v>94</v>
      </c>
      <c r="AX776" s="5" t="s">
        <v>79</v>
      </c>
      <c r="AY776" s="5"/>
      <c r="AZ776" s="5" t="s">
        <v>129</v>
      </c>
      <c r="BF776" s="5" t="s">
        <v>3776</v>
      </c>
      <c r="BJ776" s="10" t="n">
        <v>2025</v>
      </c>
      <c r="BK776" s="10" t="n">
        <v>2026</v>
      </c>
    </row>
    <row r="777" customFormat="false" ht="16.5" hidden="false" customHeight="true" outlineLevel="0" collapsed="false">
      <c r="A777" s="10" t="s">
        <v>3783</v>
      </c>
      <c r="B777" s="10" t="s">
        <v>3784</v>
      </c>
      <c r="C777" s="10" t="s">
        <v>3783</v>
      </c>
      <c r="D777" s="5" t="s">
        <v>3372</v>
      </c>
      <c r="E777" s="10" t="n">
        <v>152700</v>
      </c>
      <c r="F777" s="10" t="n">
        <v>152700</v>
      </c>
      <c r="G777" s="10" t="s">
        <v>147</v>
      </c>
      <c r="H777" s="10" t="n">
        <v>175678</v>
      </c>
      <c r="J777" s="18" t="n">
        <v>152700</v>
      </c>
      <c r="K777" s="18" t="n">
        <v>152700</v>
      </c>
      <c r="L777" s="5" t="s">
        <v>84</v>
      </c>
      <c r="M777" s="5"/>
      <c r="N777" s="10" t="s">
        <v>3785</v>
      </c>
      <c r="O777" s="10" t="s">
        <v>3786</v>
      </c>
      <c r="S777" s="10" t="s">
        <v>3787</v>
      </c>
      <c r="T777" s="10" t="s">
        <v>3788</v>
      </c>
      <c r="W777" s="5"/>
      <c r="X777" s="5"/>
      <c r="AI777" s="10" t="s">
        <v>3754</v>
      </c>
      <c r="AM777" s="10" t="s">
        <v>3755</v>
      </c>
      <c r="AQ777" s="5" t="s">
        <v>77</v>
      </c>
      <c r="AR777" s="5" t="s">
        <v>3280</v>
      </c>
      <c r="AS777" s="5" t="s">
        <v>73</v>
      </c>
      <c r="AT777" s="5" t="s">
        <v>78</v>
      </c>
      <c r="AU777" s="5" t="s">
        <v>259</v>
      </c>
      <c r="AV777" s="5"/>
      <c r="AW777" s="5" t="s">
        <v>94</v>
      </c>
      <c r="AX777" s="5" t="s">
        <v>79</v>
      </c>
      <c r="AY777" s="5"/>
      <c r="AZ777" s="5" t="s">
        <v>129</v>
      </c>
      <c r="BF777" s="10" t="s">
        <v>3784</v>
      </c>
      <c r="BJ777" s="10" t="n">
        <v>2020</v>
      </c>
      <c r="BK777" s="10" t="n">
        <v>2021</v>
      </c>
    </row>
    <row r="778" customFormat="false" ht="16.5" hidden="false" customHeight="true" outlineLevel="0" collapsed="false">
      <c r="A778" s="10" t="s">
        <v>3789</v>
      </c>
      <c r="B778" s="10" t="s">
        <v>3790</v>
      </c>
      <c r="C778" s="10" t="s">
        <v>3789</v>
      </c>
      <c r="D778" s="5" t="s">
        <v>3372</v>
      </c>
      <c r="E778" s="16" t="n">
        <v>125000</v>
      </c>
      <c r="F778" s="16" t="n">
        <v>100000</v>
      </c>
      <c r="G778" s="10" t="s">
        <v>132</v>
      </c>
      <c r="H778" s="10" t="n">
        <v>0</v>
      </c>
      <c r="J778" s="7" t="n">
        <f aca="false">E778*1.19</f>
        <v>148750</v>
      </c>
      <c r="K778" s="7" t="n">
        <f aca="false">F778*1.19</f>
        <v>119000</v>
      </c>
      <c r="L778" s="5" t="s">
        <v>84</v>
      </c>
      <c r="M778" s="5"/>
      <c r="N778" s="10" t="s">
        <v>3791</v>
      </c>
      <c r="O778" s="10" t="s">
        <v>3792</v>
      </c>
      <c r="S778" s="10" t="s">
        <v>3793</v>
      </c>
      <c r="T778" s="10" t="s">
        <v>3794</v>
      </c>
      <c r="V778" s="10" t="s">
        <v>688</v>
      </c>
      <c r="W778" s="5"/>
      <c r="X778" s="5" t="s">
        <v>139</v>
      </c>
      <c r="Z778" s="10" t="s">
        <v>3005</v>
      </c>
      <c r="AI778" s="10" t="s">
        <v>3795</v>
      </c>
      <c r="AM778" s="5" t="s">
        <v>140</v>
      </c>
      <c r="AN778" s="5" t="s">
        <v>141</v>
      </c>
      <c r="AO778" s="10" t="s">
        <v>1760</v>
      </c>
      <c r="AQ778" s="5" t="s">
        <v>77</v>
      </c>
      <c r="AR778" s="5" t="s">
        <v>143</v>
      </c>
      <c r="AS778" s="5" t="s">
        <v>73</v>
      </c>
      <c r="AT778" s="5" t="s">
        <v>78</v>
      </c>
      <c r="AW778" s="5" t="s">
        <v>201</v>
      </c>
      <c r="AX778" s="5" t="s">
        <v>79</v>
      </c>
      <c r="AY778" s="5"/>
      <c r="AZ778" s="5" t="s">
        <v>129</v>
      </c>
      <c r="BF778" s="10" t="s">
        <v>3790</v>
      </c>
      <c r="BJ778" s="10" t="n">
        <v>2024</v>
      </c>
      <c r="BK778" s="10" t="n">
        <v>2028</v>
      </c>
    </row>
    <row r="779" customFormat="false" ht="16.5" hidden="false" customHeight="true" outlineLevel="0" collapsed="false">
      <c r="A779" s="10" t="s">
        <v>3796</v>
      </c>
      <c r="B779" s="10" t="s">
        <v>3797</v>
      </c>
      <c r="C779" s="10" t="s">
        <v>3796</v>
      </c>
      <c r="D779" s="5" t="s">
        <v>3372</v>
      </c>
      <c r="E779" s="10" t="n">
        <v>444851</v>
      </c>
      <c r="F779" s="10" t="n">
        <v>444851</v>
      </c>
      <c r="G779" s="10" t="s">
        <v>147</v>
      </c>
      <c r="H779" s="10" t="n">
        <v>476622</v>
      </c>
      <c r="J779" s="18" t="n">
        <v>444851</v>
      </c>
      <c r="K779" s="18" t="n">
        <v>444851</v>
      </c>
      <c r="L779" s="5" t="s">
        <v>84</v>
      </c>
      <c r="M779" s="5"/>
      <c r="N779" s="10" t="s">
        <v>3798</v>
      </c>
      <c r="O779" s="10" t="s">
        <v>3799</v>
      </c>
      <c r="S779" s="10" t="s">
        <v>3800</v>
      </c>
      <c r="T779" s="10" t="s">
        <v>3801</v>
      </c>
      <c r="V779" s="10" t="s">
        <v>3802</v>
      </c>
      <c r="W779" s="5"/>
      <c r="X779" s="5"/>
      <c r="Z779" s="10" t="s">
        <v>3803</v>
      </c>
      <c r="AI779" s="10" t="s">
        <v>3804</v>
      </c>
      <c r="AM779" s="5" t="s">
        <v>307</v>
      </c>
      <c r="AQ779" s="5" t="s">
        <v>77</v>
      </c>
      <c r="AR779" s="5" t="s">
        <v>180</v>
      </c>
      <c r="AS779" s="5" t="s">
        <v>73</v>
      </c>
      <c r="AT779" s="5" t="s">
        <v>78</v>
      </c>
      <c r="AW779" s="5" t="s">
        <v>94</v>
      </c>
      <c r="AX779" s="5" t="s">
        <v>79</v>
      </c>
      <c r="AY779" s="5"/>
      <c r="AZ779" s="5" t="s">
        <v>309</v>
      </c>
      <c r="BF779" s="10" t="s">
        <v>3797</v>
      </c>
      <c r="BJ779" s="10" t="n">
        <v>2022</v>
      </c>
      <c r="BK779" s="10" t="n">
        <v>2026</v>
      </c>
    </row>
    <row r="780" customFormat="false" ht="16.5" hidden="false" customHeight="true" outlineLevel="0" collapsed="false">
      <c r="A780" s="10" t="s">
        <v>3805</v>
      </c>
      <c r="B780" s="10" t="s">
        <v>3806</v>
      </c>
      <c r="C780" s="10" t="s">
        <v>3805</v>
      </c>
      <c r="D780" s="5" t="s">
        <v>3372</v>
      </c>
      <c r="E780" s="10" t="n">
        <v>2400000</v>
      </c>
      <c r="F780" s="10" t="n">
        <v>2400000</v>
      </c>
      <c r="G780" s="10" t="s">
        <v>63</v>
      </c>
      <c r="H780" s="10" t="n">
        <v>354244</v>
      </c>
      <c r="J780" s="7" t="n">
        <f aca="false">E780*0.13</f>
        <v>312000</v>
      </c>
      <c r="K780" s="7" t="n">
        <f aca="false">F780*0.13</f>
        <v>312000</v>
      </c>
      <c r="L780" s="5" t="s">
        <v>84</v>
      </c>
      <c r="M780" s="5"/>
      <c r="O780" s="10" t="s">
        <v>3807</v>
      </c>
      <c r="S780" s="10" t="s">
        <v>3808</v>
      </c>
      <c r="T780" s="10" t="s">
        <v>3809</v>
      </c>
      <c r="V780" s="10" t="s">
        <v>89</v>
      </c>
      <c r="W780" s="5"/>
      <c r="X780" s="5"/>
      <c r="Z780" s="10" t="s">
        <v>3810</v>
      </c>
      <c r="AI780" s="10" t="s">
        <v>3514</v>
      </c>
      <c r="AM780" s="10" t="s">
        <v>92</v>
      </c>
      <c r="AO780" s="10" t="s">
        <v>3661</v>
      </c>
      <c r="AQ780" s="5" t="s">
        <v>93</v>
      </c>
      <c r="AR780" s="5" t="s">
        <v>72</v>
      </c>
      <c r="AS780" s="5" t="s">
        <v>73</v>
      </c>
      <c r="AT780" s="5" t="s">
        <v>78</v>
      </c>
      <c r="AW780" s="5" t="s">
        <v>94</v>
      </c>
      <c r="AX780" s="5" t="s">
        <v>79</v>
      </c>
      <c r="AY780" s="5"/>
      <c r="AZ780" s="5" t="s">
        <v>188</v>
      </c>
      <c r="BF780" s="10" t="s">
        <v>3806</v>
      </c>
      <c r="BJ780" s="10" t="n">
        <v>2021</v>
      </c>
      <c r="BK780" s="10" t="n">
        <v>2023</v>
      </c>
    </row>
    <row r="781" customFormat="false" ht="16.5" hidden="false" customHeight="true" outlineLevel="0" collapsed="false">
      <c r="A781" s="10" t="s">
        <v>3811</v>
      </c>
      <c r="B781" s="10" t="s">
        <v>3812</v>
      </c>
      <c r="C781" s="10" t="s">
        <v>3813</v>
      </c>
      <c r="D781" s="5" t="s">
        <v>3372</v>
      </c>
      <c r="E781" s="10" t="n">
        <v>237500</v>
      </c>
      <c r="F781" s="10" t="n">
        <v>237500</v>
      </c>
      <c r="G781" s="10" t="s">
        <v>147</v>
      </c>
      <c r="H781" s="10" t="n">
        <v>249711</v>
      </c>
      <c r="J781" s="18" t="n">
        <v>237500</v>
      </c>
      <c r="K781" s="18" t="n">
        <v>237500</v>
      </c>
      <c r="L781" s="5" t="s">
        <v>84</v>
      </c>
      <c r="M781" s="5"/>
      <c r="N781" s="10" t="s">
        <v>3436</v>
      </c>
      <c r="O781" s="10" t="s">
        <v>3814</v>
      </c>
      <c r="S781" s="10" t="s">
        <v>3815</v>
      </c>
      <c r="V781" s="10" t="s">
        <v>3439</v>
      </c>
      <c r="W781" s="5"/>
      <c r="X781" s="5"/>
      <c r="Z781" s="10" t="s">
        <v>3440</v>
      </c>
      <c r="AI781" s="10" t="s">
        <v>3409</v>
      </c>
      <c r="AM781" s="10" t="s">
        <v>3442</v>
      </c>
      <c r="AO781" s="10" t="s">
        <v>3452</v>
      </c>
      <c r="AQ781" s="5" t="s">
        <v>77</v>
      </c>
      <c r="AR781" s="5" t="s">
        <v>257</v>
      </c>
      <c r="AS781" s="5" t="s">
        <v>73</v>
      </c>
      <c r="AT781" s="5" t="s">
        <v>78</v>
      </c>
      <c r="AW781" s="5" t="s">
        <v>94</v>
      </c>
      <c r="AX781" s="5" t="s">
        <v>79</v>
      </c>
      <c r="AY781" s="5"/>
      <c r="AZ781" s="5" t="s">
        <v>129</v>
      </c>
      <c r="BF781" s="10" t="s">
        <v>3816</v>
      </c>
      <c r="BJ781" s="10" t="n">
        <v>2022</v>
      </c>
    </row>
    <row r="782" customFormat="false" ht="16.5" hidden="false" customHeight="true" outlineLevel="0" collapsed="false">
      <c r="A782" s="10" t="s">
        <v>3817</v>
      </c>
      <c r="B782" s="10" t="s">
        <v>3818</v>
      </c>
      <c r="C782" s="10" t="s">
        <v>3817</v>
      </c>
      <c r="D782" s="5" t="s">
        <v>3372</v>
      </c>
      <c r="E782" s="37" t="n">
        <v>437538</v>
      </c>
      <c r="F782" s="37" t="n">
        <v>437538</v>
      </c>
      <c r="G782" s="10" t="s">
        <v>132</v>
      </c>
      <c r="H782" s="10" t="n">
        <v>601459</v>
      </c>
      <c r="J782" s="7" t="n">
        <f aca="false">E782*1.19</f>
        <v>520670.22</v>
      </c>
      <c r="K782" s="7" t="n">
        <f aca="false">F782*1.19</f>
        <v>520670.22</v>
      </c>
      <c r="L782" s="5" t="s">
        <v>84</v>
      </c>
      <c r="M782" s="5"/>
      <c r="N782" s="10" t="s">
        <v>3819</v>
      </c>
      <c r="O782" s="10" t="s">
        <v>3820</v>
      </c>
      <c r="S782" s="10" t="s">
        <v>3821</v>
      </c>
      <c r="T782" s="10" t="s">
        <v>3822</v>
      </c>
      <c r="V782" s="10" t="s">
        <v>1911</v>
      </c>
      <c r="W782" s="5"/>
      <c r="X782" s="5" t="s">
        <v>139</v>
      </c>
      <c r="Z782" s="10" t="s">
        <v>3531</v>
      </c>
      <c r="AI782" s="10" t="s">
        <v>3823</v>
      </c>
      <c r="AM782" s="5" t="s">
        <v>140</v>
      </c>
      <c r="AN782" s="25" t="s">
        <v>1539</v>
      </c>
      <c r="AO782" s="10" t="s">
        <v>3533</v>
      </c>
      <c r="AQ782" s="5" t="s">
        <v>77</v>
      </c>
      <c r="AR782" s="5" t="s">
        <v>143</v>
      </c>
      <c r="AS782" s="5" t="s">
        <v>73</v>
      </c>
      <c r="AT782" s="5" t="s">
        <v>78</v>
      </c>
      <c r="AW782" s="5" t="s">
        <v>94</v>
      </c>
      <c r="AX782" s="5" t="s">
        <v>375</v>
      </c>
      <c r="AY782" s="5"/>
      <c r="AZ782" s="5" t="s">
        <v>399</v>
      </c>
      <c r="BF782" s="10" t="s">
        <v>3818</v>
      </c>
      <c r="BJ782" s="10" t="n">
        <v>2021</v>
      </c>
      <c r="BK782" s="10" t="n">
        <v>2024</v>
      </c>
    </row>
    <row r="783" customFormat="false" ht="16.5" hidden="false" customHeight="true" outlineLevel="0" collapsed="false">
      <c r="A783" s="10" t="s">
        <v>3824</v>
      </c>
      <c r="B783" s="5" t="s">
        <v>3825</v>
      </c>
      <c r="C783" s="10" t="s">
        <v>3824</v>
      </c>
      <c r="D783" s="5" t="s">
        <v>3372</v>
      </c>
      <c r="E783" s="10" t="n">
        <v>248059</v>
      </c>
      <c r="F783" s="10" t="n">
        <v>248059</v>
      </c>
      <c r="G783" s="10" t="s">
        <v>732</v>
      </c>
      <c r="H783" s="10" t="n">
        <v>272403</v>
      </c>
      <c r="J783" s="7" t="n">
        <f aca="false">E783*1.07</f>
        <v>265423.13</v>
      </c>
      <c r="K783" s="7" t="n">
        <f aca="false">F783*1.07</f>
        <v>265423.13</v>
      </c>
      <c r="L783" s="5" t="s">
        <v>84</v>
      </c>
      <c r="M783" s="5"/>
      <c r="N783" s="10" t="s">
        <v>3826</v>
      </c>
      <c r="O783" s="10" t="s">
        <v>3827</v>
      </c>
      <c r="S783" s="10" t="s">
        <v>3828</v>
      </c>
      <c r="T783" s="10" t="s">
        <v>3829</v>
      </c>
      <c r="V783" s="10" t="s">
        <v>3830</v>
      </c>
      <c r="W783" s="5"/>
      <c r="X783" s="5"/>
      <c r="Z783" s="10" t="s">
        <v>3831</v>
      </c>
      <c r="AI783" s="10" t="s">
        <v>3383</v>
      </c>
      <c r="AM783" s="5" t="s">
        <v>2709</v>
      </c>
      <c r="AO783" s="10" t="s">
        <v>3832</v>
      </c>
      <c r="AQ783" s="5" t="s">
        <v>77</v>
      </c>
      <c r="AR783" s="5" t="s">
        <v>737</v>
      </c>
      <c r="AS783" s="5" t="s">
        <v>73</v>
      </c>
      <c r="AT783" s="5" t="s">
        <v>78</v>
      </c>
      <c r="AW783" s="5" t="s">
        <v>94</v>
      </c>
      <c r="AX783" s="5" t="s">
        <v>375</v>
      </c>
      <c r="AY783" s="5"/>
      <c r="AZ783" s="5" t="s">
        <v>399</v>
      </c>
      <c r="BF783" s="5" t="s">
        <v>3825</v>
      </c>
      <c r="BJ783" s="10" t="n">
        <v>2021</v>
      </c>
      <c r="BK783" s="10" t="n">
        <v>2024</v>
      </c>
    </row>
    <row r="784" customFormat="false" ht="16.5" hidden="false" customHeight="true" outlineLevel="0" collapsed="false">
      <c r="A784" s="10" t="s">
        <v>3833</v>
      </c>
      <c r="B784" s="5" t="s">
        <v>3834</v>
      </c>
      <c r="C784" s="10" t="s">
        <v>3833</v>
      </c>
      <c r="D784" s="5" t="s">
        <v>3372</v>
      </c>
      <c r="E784" s="10" t="n">
        <v>0</v>
      </c>
      <c r="F784" s="10" t="n">
        <v>0</v>
      </c>
      <c r="G784" s="10" t="s">
        <v>147</v>
      </c>
      <c r="H784" s="10" t="n">
        <v>0</v>
      </c>
      <c r="J784" s="18" t="n">
        <v>0</v>
      </c>
      <c r="K784" s="18" t="n">
        <v>0</v>
      </c>
      <c r="L784" s="5" t="s">
        <v>84</v>
      </c>
      <c r="M784" s="5"/>
      <c r="N784" s="10" t="s">
        <v>3835</v>
      </c>
      <c r="O784" s="10" t="s">
        <v>3836</v>
      </c>
      <c r="S784" s="10" t="s">
        <v>3837</v>
      </c>
      <c r="W784" s="5"/>
      <c r="X784" s="5"/>
      <c r="AI784" s="10" t="s">
        <v>3376</v>
      </c>
      <c r="AM784" s="5" t="s">
        <v>459</v>
      </c>
      <c r="AO784" s="10" t="s">
        <v>3377</v>
      </c>
      <c r="AQ784" s="5" t="s">
        <v>77</v>
      </c>
      <c r="AR784" s="5" t="s">
        <v>333</v>
      </c>
      <c r="AS784" s="5" t="s">
        <v>73</v>
      </c>
      <c r="AT784" s="5" t="s">
        <v>78</v>
      </c>
      <c r="AW784" s="5" t="s">
        <v>94</v>
      </c>
      <c r="AX784" s="5" t="s">
        <v>218</v>
      </c>
      <c r="AY784" s="5"/>
      <c r="AZ784" s="5" t="s">
        <v>188</v>
      </c>
      <c r="BF784" s="5" t="s">
        <v>3834</v>
      </c>
      <c r="BJ784" s="10" t="n">
        <v>2024</v>
      </c>
      <c r="BK784" s="10" t="n">
        <v>2025</v>
      </c>
    </row>
    <row r="785" customFormat="false" ht="16.5" hidden="false" customHeight="true" outlineLevel="0" collapsed="false">
      <c r="A785" s="10" t="s">
        <v>3838</v>
      </c>
      <c r="B785" s="10" t="s">
        <v>3839</v>
      </c>
      <c r="C785" s="10" t="s">
        <v>3838</v>
      </c>
      <c r="D785" s="5" t="s">
        <v>3372</v>
      </c>
      <c r="E785" s="10" t="n">
        <v>285264</v>
      </c>
      <c r="F785" s="10" t="n">
        <v>285264</v>
      </c>
      <c r="G785" s="10" t="s">
        <v>147</v>
      </c>
      <c r="H785" s="10" t="n">
        <v>305090</v>
      </c>
      <c r="J785" s="18" t="n">
        <v>285264</v>
      </c>
      <c r="K785" s="18" t="n">
        <v>285264</v>
      </c>
      <c r="L785" s="5" t="s">
        <v>84</v>
      </c>
      <c r="M785" s="5"/>
      <c r="N785" s="10" t="s">
        <v>3840</v>
      </c>
      <c r="O785" s="10" t="s">
        <v>3841</v>
      </c>
      <c r="S785" s="10" t="s">
        <v>3842</v>
      </c>
      <c r="T785" s="10" t="s">
        <v>3843</v>
      </c>
      <c r="V785" s="10" t="s">
        <v>3844</v>
      </c>
      <c r="W785" s="5"/>
      <c r="X785" s="5"/>
      <c r="Z785" s="10" t="s">
        <v>3845</v>
      </c>
      <c r="AI785" s="10" t="s">
        <v>3846</v>
      </c>
      <c r="AM785" s="10" t="s">
        <v>3847</v>
      </c>
      <c r="AO785" s="10" t="s">
        <v>3848</v>
      </c>
      <c r="AQ785" s="5" t="s">
        <v>77</v>
      </c>
      <c r="AR785" s="5" t="s">
        <v>553</v>
      </c>
      <c r="AS785" s="5" t="s">
        <v>73</v>
      </c>
      <c r="AT785" s="5" t="s">
        <v>78</v>
      </c>
      <c r="AW785" s="5" t="s">
        <v>94</v>
      </c>
      <c r="AX785" s="5" t="s">
        <v>79</v>
      </c>
      <c r="AY785" s="5"/>
      <c r="AZ785" s="5" t="s">
        <v>748</v>
      </c>
      <c r="BF785" s="10" t="s">
        <v>3839</v>
      </c>
      <c r="BJ785" s="10" t="n">
        <v>2022</v>
      </c>
      <c r="BK785" s="10" t="n">
        <v>2026</v>
      </c>
    </row>
    <row r="786" customFormat="false" ht="16.5" hidden="false" customHeight="true" outlineLevel="0" collapsed="false">
      <c r="A786" s="10" t="s">
        <v>3849</v>
      </c>
      <c r="B786" s="10" t="s">
        <v>3850</v>
      </c>
      <c r="C786" s="10" t="s">
        <v>3851</v>
      </c>
      <c r="D786" s="5" t="s">
        <v>3372</v>
      </c>
      <c r="E786" s="10" t="n">
        <v>0</v>
      </c>
      <c r="H786" s="10" t="n">
        <v>0</v>
      </c>
      <c r="J786" s="18"/>
      <c r="K786" s="18"/>
      <c r="L786" s="5" t="s">
        <v>84</v>
      </c>
      <c r="M786" s="5"/>
      <c r="N786" s="10" t="s">
        <v>3852</v>
      </c>
      <c r="O786" s="10" t="s">
        <v>3853</v>
      </c>
      <c r="V786" s="10" t="s">
        <v>3854</v>
      </c>
      <c r="W786" s="5"/>
      <c r="X786" s="5"/>
      <c r="Z786" s="10" t="s">
        <v>3855</v>
      </c>
      <c r="AI786" s="10" t="s">
        <v>3754</v>
      </c>
      <c r="AM786" s="5" t="s">
        <v>554</v>
      </c>
      <c r="AO786" s="10" t="s">
        <v>3856</v>
      </c>
      <c r="AQ786" s="5" t="s">
        <v>77</v>
      </c>
      <c r="AR786" s="5" t="s">
        <v>553</v>
      </c>
      <c r="AS786" s="5" t="s">
        <v>73</v>
      </c>
      <c r="AT786" s="5" t="s">
        <v>105</v>
      </c>
      <c r="AU786" s="5" t="s">
        <v>186</v>
      </c>
      <c r="AV786" s="10" t="s">
        <v>569</v>
      </c>
      <c r="AW786" s="5" t="s">
        <v>201</v>
      </c>
      <c r="AX786" s="5" t="s">
        <v>79</v>
      </c>
      <c r="AY786" s="5"/>
      <c r="AZ786" s="5" t="s">
        <v>540</v>
      </c>
      <c r="BF786" s="5" t="s">
        <v>3857</v>
      </c>
      <c r="BJ786" s="10" t="n">
        <v>2020</v>
      </c>
      <c r="BK786" s="10" t="n">
        <v>2022</v>
      </c>
    </row>
    <row r="787" customFormat="false" ht="16.5" hidden="false" customHeight="true" outlineLevel="0" collapsed="false">
      <c r="A787" s="10" t="s">
        <v>3858</v>
      </c>
      <c r="B787" s="10" t="s">
        <v>3859</v>
      </c>
      <c r="C787" s="10" t="s">
        <v>3858</v>
      </c>
      <c r="D787" s="5" t="s">
        <v>3372</v>
      </c>
      <c r="E787" s="10" t="n">
        <v>187572</v>
      </c>
      <c r="F787" s="10" t="n">
        <v>187572</v>
      </c>
      <c r="G787" s="10" t="s">
        <v>147</v>
      </c>
      <c r="H787" s="10" t="n">
        <v>217675</v>
      </c>
      <c r="J787" s="18" t="n">
        <v>187572</v>
      </c>
      <c r="K787" s="18" t="n">
        <v>187572</v>
      </c>
      <c r="L787" s="5" t="s">
        <v>84</v>
      </c>
      <c r="M787" s="5"/>
      <c r="N787" s="10" t="s">
        <v>3860</v>
      </c>
      <c r="O787" s="10" t="s">
        <v>3861</v>
      </c>
      <c r="V787" s="10" t="s">
        <v>2482</v>
      </c>
      <c r="W787" s="5"/>
      <c r="X787" s="5" t="s">
        <v>333</v>
      </c>
      <c r="Z787" s="10" t="s">
        <v>3589</v>
      </c>
      <c r="AI787" s="10" t="s">
        <v>3862</v>
      </c>
      <c r="AM787" s="10" t="s">
        <v>182</v>
      </c>
      <c r="AN787" s="5" t="s">
        <v>508</v>
      </c>
      <c r="AQ787" s="5" t="s">
        <v>77</v>
      </c>
      <c r="AR787" s="5" t="s">
        <v>185</v>
      </c>
      <c r="AS787" s="5" t="s">
        <v>73</v>
      </c>
      <c r="AT787" s="5" t="s">
        <v>105</v>
      </c>
      <c r="AU787" s="5" t="s">
        <v>106</v>
      </c>
      <c r="AV787" s="10" t="s">
        <v>569</v>
      </c>
      <c r="AW787" s="5" t="s">
        <v>201</v>
      </c>
      <c r="AX787" s="5" t="s">
        <v>79</v>
      </c>
      <c r="AY787" s="5"/>
      <c r="AZ787" s="5" t="s">
        <v>129</v>
      </c>
      <c r="BF787" s="10" t="s">
        <v>3859</v>
      </c>
      <c r="BJ787" s="10" t="n">
        <v>2020</v>
      </c>
      <c r="BK787" s="10" t="n">
        <v>2022</v>
      </c>
    </row>
    <row r="788" customFormat="false" ht="16.5" hidden="false" customHeight="true" outlineLevel="0" collapsed="false">
      <c r="A788" s="10" t="s">
        <v>3863</v>
      </c>
      <c r="B788" s="5" t="s">
        <v>3864</v>
      </c>
      <c r="C788" s="10" t="s">
        <v>3863</v>
      </c>
      <c r="D788" s="5" t="s">
        <v>3372</v>
      </c>
      <c r="E788" s="10" t="n">
        <v>0</v>
      </c>
      <c r="H788" s="10" t="n">
        <v>0</v>
      </c>
      <c r="J788" s="18"/>
      <c r="K788" s="18"/>
      <c r="L788" s="5" t="s">
        <v>84</v>
      </c>
      <c r="M788" s="5"/>
      <c r="N788" s="10" t="s">
        <v>3865</v>
      </c>
      <c r="O788" s="10" t="s">
        <v>3866</v>
      </c>
      <c r="T788" s="10" t="s">
        <v>3867</v>
      </c>
      <c r="V788" s="10" t="s">
        <v>3781</v>
      </c>
      <c r="W788" s="5"/>
      <c r="X788" s="5"/>
      <c r="Z788" s="10" t="s">
        <v>3782</v>
      </c>
      <c r="AI788" s="10" t="s">
        <v>3409</v>
      </c>
      <c r="AM788" s="10" t="s">
        <v>2352</v>
      </c>
      <c r="AQ788" s="5" t="s">
        <v>77</v>
      </c>
      <c r="AR788" s="5" t="s">
        <v>2221</v>
      </c>
      <c r="AS788" s="5" t="s">
        <v>73</v>
      </c>
      <c r="AT788" s="5" t="s">
        <v>78</v>
      </c>
      <c r="AW788" s="5" t="s">
        <v>94</v>
      </c>
      <c r="AX788" s="5" t="s">
        <v>79</v>
      </c>
      <c r="AY788" s="5"/>
      <c r="AZ788" s="5" t="s">
        <v>129</v>
      </c>
      <c r="BF788" s="5" t="s">
        <v>3864</v>
      </c>
      <c r="BJ788" s="10" t="n">
        <v>2022</v>
      </c>
      <c r="BK788" s="10" t="n">
        <v>2023</v>
      </c>
    </row>
    <row r="789" customFormat="false" ht="16.5" hidden="false" customHeight="true" outlineLevel="0" collapsed="false">
      <c r="A789" s="10" t="s">
        <v>3868</v>
      </c>
      <c r="B789" s="10" t="s">
        <v>3869</v>
      </c>
      <c r="C789" s="10" t="s">
        <v>3868</v>
      </c>
      <c r="D789" s="5" t="s">
        <v>3372</v>
      </c>
      <c r="E789" s="10" t="n">
        <v>2240171</v>
      </c>
      <c r="F789" s="10" t="n">
        <v>2240171</v>
      </c>
      <c r="G789" s="10" t="s">
        <v>212</v>
      </c>
      <c r="H789" s="10" t="n">
        <v>212000</v>
      </c>
      <c r="J789" s="7" t="n">
        <f aca="false">E789*0.091</f>
        <v>203855.561</v>
      </c>
      <c r="K789" s="7" t="n">
        <f aca="false">F789*0.091</f>
        <v>203855.561</v>
      </c>
      <c r="L789" s="5" t="s">
        <v>84</v>
      </c>
      <c r="M789" s="5"/>
      <c r="N789" s="10" t="s">
        <v>3870</v>
      </c>
      <c r="O789" s="10" t="s">
        <v>3871</v>
      </c>
      <c r="T789" s="10" t="s">
        <v>3872</v>
      </c>
      <c r="W789" s="5"/>
      <c r="X789" s="5"/>
      <c r="AI789" s="10" t="s">
        <v>3873</v>
      </c>
      <c r="AM789" s="10" t="s">
        <v>2703</v>
      </c>
      <c r="AO789" s="10" t="s">
        <v>3747</v>
      </c>
      <c r="AQ789" s="5" t="s">
        <v>77</v>
      </c>
      <c r="AR789" s="5" t="s">
        <v>215</v>
      </c>
      <c r="AS789" s="5" t="s">
        <v>73</v>
      </c>
      <c r="AT789" s="5" t="s">
        <v>78</v>
      </c>
      <c r="AW789" s="5" t="s">
        <v>94</v>
      </c>
      <c r="AX789" s="5" t="s">
        <v>495</v>
      </c>
      <c r="AY789" s="5"/>
      <c r="AZ789" s="5" t="s">
        <v>129</v>
      </c>
      <c r="BF789" s="10" t="s">
        <v>3869</v>
      </c>
      <c r="BJ789" s="10" t="n">
        <v>2024</v>
      </c>
      <c r="BK789" s="10" t="n">
        <v>2026</v>
      </c>
    </row>
    <row r="790" customFormat="false" ht="16.5" hidden="false" customHeight="true" outlineLevel="0" collapsed="false">
      <c r="A790" s="10" t="s">
        <v>3874</v>
      </c>
      <c r="B790" s="10" t="s">
        <v>3875</v>
      </c>
      <c r="C790" s="10" t="s">
        <v>3874</v>
      </c>
      <c r="D790" s="5" t="s">
        <v>3372</v>
      </c>
      <c r="E790" s="10" t="n">
        <v>247553</v>
      </c>
      <c r="F790" s="10" t="n">
        <v>247553</v>
      </c>
      <c r="G790" s="10" t="s">
        <v>147</v>
      </c>
      <c r="H790" s="10" t="n">
        <v>262721</v>
      </c>
      <c r="J790" s="18" t="n">
        <v>247553</v>
      </c>
      <c r="K790" s="18" t="n">
        <v>247553</v>
      </c>
      <c r="L790" s="5" t="s">
        <v>84</v>
      </c>
      <c r="M790" s="5"/>
      <c r="N790" s="10" t="s">
        <v>3876</v>
      </c>
      <c r="O790" s="10" t="s">
        <v>3877</v>
      </c>
      <c r="V790" s="10" t="s">
        <v>89</v>
      </c>
      <c r="W790" s="5"/>
      <c r="X790" s="5" t="s">
        <v>72</v>
      </c>
      <c r="Z790" s="10" t="s">
        <v>3810</v>
      </c>
      <c r="AI790" s="10" t="s">
        <v>3878</v>
      </c>
      <c r="AM790" s="10" t="s">
        <v>182</v>
      </c>
      <c r="AN790" s="5" t="s">
        <v>508</v>
      </c>
      <c r="AQ790" s="5" t="s">
        <v>77</v>
      </c>
      <c r="AR790" s="5" t="s">
        <v>185</v>
      </c>
      <c r="AS790" s="5" t="s">
        <v>73</v>
      </c>
      <c r="AT790" s="5" t="s">
        <v>78</v>
      </c>
      <c r="AW790" s="5" t="s">
        <v>201</v>
      </c>
      <c r="AX790" s="5" t="s">
        <v>375</v>
      </c>
      <c r="AY790" s="5"/>
      <c r="AZ790" s="5" t="s">
        <v>525</v>
      </c>
      <c r="BF790" s="10" t="s">
        <v>3875</v>
      </c>
      <c r="BJ790" s="10" t="n">
        <v>2025</v>
      </c>
      <c r="BK790" s="10" t="n">
        <v>2027</v>
      </c>
    </row>
    <row r="791" customFormat="false" ht="16.5" hidden="false" customHeight="true" outlineLevel="0" collapsed="false">
      <c r="A791" s="10" t="s">
        <v>3879</v>
      </c>
      <c r="B791" s="10" t="s">
        <v>3880</v>
      </c>
      <c r="C791" s="10" t="s">
        <v>3879</v>
      </c>
      <c r="D791" s="5" t="s">
        <v>3372</v>
      </c>
      <c r="E791" s="10" t="n">
        <v>11999996</v>
      </c>
      <c r="F791" s="10" t="n">
        <v>11999996</v>
      </c>
      <c r="G791" s="10" t="s">
        <v>110</v>
      </c>
      <c r="H791" s="10" t="n">
        <v>1088718</v>
      </c>
      <c r="J791" s="18" t="n">
        <f aca="false">E791*0.087</f>
        <v>1043999.652</v>
      </c>
      <c r="K791" s="18" t="n">
        <f aca="false">F791*0.087</f>
        <v>1043999.652</v>
      </c>
      <c r="L791" s="5" t="s">
        <v>84</v>
      </c>
      <c r="M791" s="5"/>
      <c r="N791" s="10" t="s">
        <v>3881</v>
      </c>
      <c r="O791" s="10" t="s">
        <v>3882</v>
      </c>
      <c r="T791" s="10" t="s">
        <v>3290</v>
      </c>
      <c r="V791" s="10" t="s">
        <v>114</v>
      </c>
      <c r="W791" s="5"/>
      <c r="X791" s="5"/>
      <c r="Z791" s="10" t="s">
        <v>2564</v>
      </c>
      <c r="AI791" s="10" t="s">
        <v>3746</v>
      </c>
      <c r="AM791" s="5" t="s">
        <v>173</v>
      </c>
      <c r="AO791" s="10" t="s">
        <v>3883</v>
      </c>
      <c r="AQ791" s="5" t="s">
        <v>77</v>
      </c>
      <c r="AR791" s="5" t="s">
        <v>115</v>
      </c>
      <c r="AS791" s="5" t="s">
        <v>73</v>
      </c>
      <c r="AT791" s="5" t="s">
        <v>78</v>
      </c>
      <c r="AW791" s="25" t="s">
        <v>94</v>
      </c>
      <c r="AX791" s="5" t="s">
        <v>375</v>
      </c>
      <c r="AY791" s="5"/>
      <c r="AZ791" s="5" t="s">
        <v>534</v>
      </c>
      <c r="BF791" s="10" t="s">
        <v>3880</v>
      </c>
      <c r="BJ791" s="10" t="n">
        <v>2025</v>
      </c>
      <c r="BK791" s="10" t="n">
        <v>2027</v>
      </c>
    </row>
    <row r="792" customFormat="false" ht="16.5" hidden="false" customHeight="true" outlineLevel="0" collapsed="false">
      <c r="A792" s="10" t="s">
        <v>3884</v>
      </c>
      <c r="B792" s="10" t="s">
        <v>3885</v>
      </c>
      <c r="C792" s="10" t="s">
        <v>3884</v>
      </c>
      <c r="D792" s="5" t="s">
        <v>3372</v>
      </c>
      <c r="E792" s="37" t="n">
        <v>173199</v>
      </c>
      <c r="F792" s="37" t="n">
        <v>173199</v>
      </c>
      <c r="G792" s="10" t="s">
        <v>132</v>
      </c>
      <c r="H792" s="10" t="n">
        <v>238080</v>
      </c>
      <c r="J792" s="7" t="n">
        <f aca="false">E792*1.19</f>
        <v>206106.81</v>
      </c>
      <c r="K792" s="7" t="n">
        <f aca="false">F792*1.19</f>
        <v>206106.81</v>
      </c>
      <c r="L792" s="5" t="s">
        <v>84</v>
      </c>
      <c r="M792" s="5"/>
      <c r="N792" s="10" t="s">
        <v>3886</v>
      </c>
      <c r="O792" s="10" t="s">
        <v>3887</v>
      </c>
      <c r="T792" s="10" t="s">
        <v>3888</v>
      </c>
      <c r="V792" s="10" t="s">
        <v>3889</v>
      </c>
      <c r="W792" s="5"/>
      <c r="X792" s="5" t="s">
        <v>139</v>
      </c>
      <c r="Z792" s="10" t="s">
        <v>3890</v>
      </c>
      <c r="AI792" s="10" t="s">
        <v>3891</v>
      </c>
      <c r="AM792" s="5" t="s">
        <v>140</v>
      </c>
      <c r="AN792" s="5" t="s">
        <v>771</v>
      </c>
      <c r="AO792" s="10" t="s">
        <v>3533</v>
      </c>
      <c r="AQ792" s="5" t="s">
        <v>77</v>
      </c>
      <c r="AR792" s="5" t="s">
        <v>143</v>
      </c>
      <c r="AS792" s="5" t="s">
        <v>73</v>
      </c>
      <c r="AT792" s="5" t="s">
        <v>78</v>
      </c>
      <c r="AW792" s="5" t="s">
        <v>94</v>
      </c>
      <c r="AX792" s="5" t="s">
        <v>79</v>
      </c>
      <c r="AY792" s="5"/>
      <c r="AZ792" s="5" t="s">
        <v>525</v>
      </c>
      <c r="BF792" s="10" t="s">
        <v>3885</v>
      </c>
      <c r="BJ792" s="10" t="n">
        <v>2021</v>
      </c>
      <c r="BK792" s="10" t="n">
        <v>2025</v>
      </c>
    </row>
    <row r="793" customFormat="false" ht="16.5" hidden="false" customHeight="true" outlineLevel="0" collapsed="false">
      <c r="A793" s="10" t="s">
        <v>3892</v>
      </c>
      <c r="B793" s="10" t="s">
        <v>3893</v>
      </c>
      <c r="C793" s="10" t="s">
        <v>3892</v>
      </c>
      <c r="D793" s="5" t="s">
        <v>3372</v>
      </c>
      <c r="E793" s="10" t="n">
        <v>2780000</v>
      </c>
      <c r="F793" s="10" t="n">
        <v>2780000</v>
      </c>
      <c r="G793" s="10" t="s">
        <v>212</v>
      </c>
      <c r="H793" s="10" t="n">
        <v>263338</v>
      </c>
      <c r="J793" s="7" t="n">
        <f aca="false">E793*0.091</f>
        <v>252980</v>
      </c>
      <c r="K793" s="7" t="n">
        <f aca="false">F793*0.091</f>
        <v>252980</v>
      </c>
      <c r="L793" s="5" t="s">
        <v>84</v>
      </c>
      <c r="M793" s="5"/>
      <c r="N793" s="10" t="s">
        <v>3894</v>
      </c>
      <c r="O793" s="10" t="s">
        <v>3895</v>
      </c>
      <c r="T793" s="10" t="s">
        <v>3896</v>
      </c>
      <c r="W793" s="5"/>
      <c r="X793" s="5"/>
      <c r="AI793" s="10" t="s">
        <v>3897</v>
      </c>
      <c r="AM793" s="10" t="s">
        <v>2703</v>
      </c>
      <c r="AO793" s="10" t="s">
        <v>3898</v>
      </c>
      <c r="AQ793" s="5" t="s">
        <v>77</v>
      </c>
      <c r="AR793" s="5" t="s">
        <v>215</v>
      </c>
      <c r="AS793" s="5" t="s">
        <v>73</v>
      </c>
      <c r="AT793" s="5" t="s">
        <v>78</v>
      </c>
      <c r="AW793" s="5" t="s">
        <v>94</v>
      </c>
      <c r="AX793" s="5" t="s">
        <v>79</v>
      </c>
      <c r="AY793" s="5"/>
      <c r="AZ793" s="5" t="s">
        <v>129</v>
      </c>
      <c r="BF793" s="10" t="s">
        <v>3893</v>
      </c>
      <c r="BJ793" s="10" t="n">
        <v>2022</v>
      </c>
      <c r="BK793" s="10" t="n">
        <v>2024</v>
      </c>
    </row>
    <row r="794" customFormat="false" ht="16.5" hidden="false" customHeight="true" outlineLevel="0" collapsed="false">
      <c r="A794" s="10" t="s">
        <v>3899</v>
      </c>
      <c r="B794" s="10" t="s">
        <v>3900</v>
      </c>
      <c r="C794" s="10" t="s">
        <v>3899</v>
      </c>
      <c r="D794" s="5" t="s">
        <v>3372</v>
      </c>
      <c r="E794" s="37" t="n">
        <v>49987</v>
      </c>
      <c r="F794" s="37" t="n">
        <v>49987</v>
      </c>
      <c r="G794" s="10" t="s">
        <v>132</v>
      </c>
      <c r="H794" s="10" t="n">
        <v>62142</v>
      </c>
      <c r="J794" s="7" t="n">
        <f aca="false">E794*1.19</f>
        <v>59484.53</v>
      </c>
      <c r="K794" s="7" t="n">
        <f aca="false">F794*1.19</f>
        <v>59484.53</v>
      </c>
      <c r="L794" s="5" t="s">
        <v>84</v>
      </c>
      <c r="M794" s="5"/>
      <c r="N794" s="10" t="s">
        <v>3901</v>
      </c>
      <c r="O794" s="10" t="s">
        <v>3902</v>
      </c>
      <c r="T794" s="10" t="s">
        <v>3903</v>
      </c>
      <c r="W794" s="5"/>
      <c r="X794" s="5" t="s">
        <v>139</v>
      </c>
      <c r="AI794" s="10" t="s">
        <v>3904</v>
      </c>
      <c r="AM794" s="5" t="s">
        <v>140</v>
      </c>
      <c r="AN794" s="5" t="s">
        <v>699</v>
      </c>
      <c r="AO794" s="10" t="s">
        <v>3905</v>
      </c>
      <c r="AQ794" s="5" t="s">
        <v>77</v>
      </c>
      <c r="AR794" s="5" t="s">
        <v>143</v>
      </c>
      <c r="AS794" s="5" t="s">
        <v>73</v>
      </c>
      <c r="AT794" s="5" t="s">
        <v>105</v>
      </c>
      <c r="AU794" s="5" t="s">
        <v>186</v>
      </c>
      <c r="AV794" s="5"/>
      <c r="AW794" s="5" t="s">
        <v>94</v>
      </c>
      <c r="AX794" s="5" t="s">
        <v>296</v>
      </c>
      <c r="AY794" s="5" t="s">
        <v>297</v>
      </c>
      <c r="AZ794" s="5" t="s">
        <v>107</v>
      </c>
      <c r="BF794" s="10" t="s">
        <v>3900</v>
      </c>
      <c r="BJ794" s="10" t="n">
        <v>2023</v>
      </c>
      <c r="BK794" s="10" t="n">
        <v>2023</v>
      </c>
    </row>
    <row r="795" customFormat="false" ht="16.5" hidden="false" customHeight="true" outlineLevel="0" collapsed="false">
      <c r="A795" s="10" t="s">
        <v>3906</v>
      </c>
      <c r="B795" s="10" t="s">
        <v>3907</v>
      </c>
      <c r="C795" s="10" t="s">
        <v>3906</v>
      </c>
      <c r="D795" s="5" t="s">
        <v>3372</v>
      </c>
      <c r="E795" s="10" t="n">
        <v>2402579</v>
      </c>
      <c r="F795" s="10" t="n">
        <v>2402579</v>
      </c>
      <c r="G795" s="10" t="s">
        <v>63</v>
      </c>
      <c r="H795" s="10" t="n">
        <v>346170</v>
      </c>
      <c r="J795" s="7" t="n">
        <f aca="false">E795*0.13</f>
        <v>312335.27</v>
      </c>
      <c r="K795" s="7" t="n">
        <f aca="false">F795*0.13</f>
        <v>312335.27</v>
      </c>
      <c r="L795" s="5" t="s">
        <v>84</v>
      </c>
      <c r="M795" s="5"/>
      <c r="O795" s="10" t="s">
        <v>3908</v>
      </c>
      <c r="T795" s="10" t="s">
        <v>3909</v>
      </c>
      <c r="V795" s="10" t="s">
        <v>89</v>
      </c>
      <c r="W795" s="5"/>
      <c r="X795" s="5"/>
      <c r="Z795" s="10" t="s">
        <v>3810</v>
      </c>
      <c r="AI795" s="10" t="s">
        <v>3469</v>
      </c>
      <c r="AM795" s="10" t="s">
        <v>92</v>
      </c>
      <c r="AO795" s="10" t="s">
        <v>3910</v>
      </c>
      <c r="AQ795" s="5" t="s">
        <v>93</v>
      </c>
      <c r="AR795" s="5" t="s">
        <v>72</v>
      </c>
      <c r="AS795" s="5" t="s">
        <v>73</v>
      </c>
      <c r="AT795" s="5" t="s">
        <v>78</v>
      </c>
      <c r="AW795" s="5" t="s">
        <v>94</v>
      </c>
      <c r="AX795" s="5" t="s">
        <v>495</v>
      </c>
      <c r="AY795" s="5"/>
      <c r="AZ795" s="5" t="s">
        <v>129</v>
      </c>
      <c r="BF795" s="10" t="s">
        <v>3907</v>
      </c>
      <c r="BJ795" s="10" t="n">
        <v>2023</v>
      </c>
      <c r="BK795" s="10" t="n">
        <v>2025</v>
      </c>
    </row>
    <row r="796" customFormat="false" ht="16.5" hidden="false" customHeight="true" outlineLevel="0" collapsed="false">
      <c r="A796" s="10" t="s">
        <v>3911</v>
      </c>
      <c r="B796" s="10" t="s">
        <v>3912</v>
      </c>
      <c r="C796" s="5" t="s">
        <v>3913</v>
      </c>
      <c r="D796" s="5" t="s">
        <v>3372</v>
      </c>
      <c r="E796" s="10" t="n">
        <v>121126</v>
      </c>
      <c r="F796" s="10" t="n">
        <v>121126</v>
      </c>
      <c r="G796" s="10" t="s">
        <v>147</v>
      </c>
      <c r="H796" s="10" t="n">
        <v>127353</v>
      </c>
      <c r="J796" s="18" t="n">
        <v>121126</v>
      </c>
      <c r="K796" s="18" t="n">
        <v>121126</v>
      </c>
      <c r="L796" s="5" t="s">
        <v>84</v>
      </c>
      <c r="M796" s="5"/>
      <c r="N796" s="10" t="s">
        <v>3436</v>
      </c>
      <c r="O796" s="10" t="s">
        <v>3914</v>
      </c>
      <c r="V796" s="10" t="s">
        <v>3915</v>
      </c>
      <c r="W796" s="5"/>
      <c r="X796" s="5"/>
      <c r="Z796" s="10" t="s">
        <v>3916</v>
      </c>
      <c r="AI796" s="10" t="s">
        <v>3409</v>
      </c>
      <c r="AM796" s="10" t="s">
        <v>3442</v>
      </c>
      <c r="AO796" s="10" t="s">
        <v>3573</v>
      </c>
      <c r="AQ796" s="5" t="s">
        <v>77</v>
      </c>
      <c r="AR796" s="5" t="s">
        <v>257</v>
      </c>
      <c r="AS796" s="5" t="s">
        <v>73</v>
      </c>
      <c r="AT796" s="5" t="s">
        <v>78</v>
      </c>
      <c r="AW796" s="5" t="s">
        <v>94</v>
      </c>
      <c r="AX796" s="5" t="s">
        <v>375</v>
      </c>
      <c r="AY796" s="5"/>
      <c r="AZ796" s="5" t="s">
        <v>129</v>
      </c>
      <c r="BF796" s="5" t="s">
        <v>3917</v>
      </c>
      <c r="BJ796" s="10" t="n">
        <v>2022</v>
      </c>
    </row>
    <row r="797" customFormat="false" ht="16.5" hidden="false" customHeight="true" outlineLevel="0" collapsed="false">
      <c r="A797" s="10" t="s">
        <v>3918</v>
      </c>
      <c r="B797" s="10" t="s">
        <v>3919</v>
      </c>
      <c r="C797" s="10" t="s">
        <v>3918</v>
      </c>
      <c r="D797" s="5" t="s">
        <v>3372</v>
      </c>
      <c r="E797" s="16" t="n">
        <v>125000</v>
      </c>
      <c r="F797" s="16" t="n">
        <v>100000</v>
      </c>
      <c r="G797" s="10" t="s">
        <v>132</v>
      </c>
      <c r="H797" s="10" t="n">
        <v>0</v>
      </c>
      <c r="J797" s="7" t="n">
        <f aca="false">E797*1.19</f>
        <v>148750</v>
      </c>
      <c r="K797" s="7" t="n">
        <f aca="false">F797*1.19</f>
        <v>119000</v>
      </c>
      <c r="L797" s="5" t="s">
        <v>84</v>
      </c>
      <c r="M797" s="5"/>
      <c r="N797" s="10" t="s">
        <v>3920</v>
      </c>
      <c r="O797" s="10" t="s">
        <v>3921</v>
      </c>
      <c r="T797" s="10" t="s">
        <v>3922</v>
      </c>
      <c r="V797" s="10" t="s">
        <v>1200</v>
      </c>
      <c r="W797" s="5"/>
      <c r="X797" s="5" t="s">
        <v>139</v>
      </c>
      <c r="Z797" s="10" t="s">
        <v>3923</v>
      </c>
      <c r="AI797" s="10" t="s">
        <v>3924</v>
      </c>
      <c r="AM797" s="5" t="s">
        <v>140</v>
      </c>
      <c r="AN797" s="5" t="s">
        <v>141</v>
      </c>
      <c r="AO797" s="10" t="s">
        <v>1760</v>
      </c>
      <c r="AQ797" s="5" t="s">
        <v>77</v>
      </c>
      <c r="AR797" s="5" t="s">
        <v>143</v>
      </c>
      <c r="AS797" s="5" t="s">
        <v>73</v>
      </c>
      <c r="AT797" s="5" t="s">
        <v>78</v>
      </c>
      <c r="AW797" s="5" t="s">
        <v>201</v>
      </c>
      <c r="AX797" s="5" t="s">
        <v>79</v>
      </c>
      <c r="AY797" s="5"/>
      <c r="AZ797" s="5" t="s">
        <v>525</v>
      </c>
      <c r="BF797" s="10" t="s">
        <v>3919</v>
      </c>
      <c r="BJ797" s="10" t="n">
        <v>2023</v>
      </c>
      <c r="BK797" s="10" t="n">
        <v>2027</v>
      </c>
    </row>
    <row r="798" customFormat="false" ht="16.5" hidden="false" customHeight="true" outlineLevel="0" collapsed="false">
      <c r="A798" s="10" t="s">
        <v>3925</v>
      </c>
      <c r="B798" s="10" t="s">
        <v>3926</v>
      </c>
      <c r="C798" s="10" t="s">
        <v>3925</v>
      </c>
      <c r="D798" s="5" t="s">
        <v>3372</v>
      </c>
      <c r="E798" s="10" t="n">
        <v>215534</v>
      </c>
      <c r="F798" s="10" t="n">
        <v>215534</v>
      </c>
      <c r="G798" s="10" t="s">
        <v>147</v>
      </c>
      <c r="H798" s="10" t="n">
        <v>231898</v>
      </c>
      <c r="J798" s="18" t="n">
        <v>215534</v>
      </c>
      <c r="K798" s="18" t="n">
        <v>215534</v>
      </c>
      <c r="L798" s="5" t="s">
        <v>84</v>
      </c>
      <c r="M798" s="5"/>
      <c r="N798" s="10" t="s">
        <v>3927</v>
      </c>
      <c r="O798" s="10" t="s">
        <v>3928</v>
      </c>
      <c r="V798" s="10" t="s">
        <v>3929</v>
      </c>
      <c r="W798" s="5"/>
      <c r="X798" s="5" t="s">
        <v>352</v>
      </c>
      <c r="Z798" s="10" t="s">
        <v>3930</v>
      </c>
      <c r="AI798" s="10" t="s">
        <v>3392</v>
      </c>
      <c r="AM798" s="10" t="s">
        <v>182</v>
      </c>
      <c r="AN798" s="5" t="s">
        <v>508</v>
      </c>
      <c r="AQ798" s="5" t="s">
        <v>77</v>
      </c>
      <c r="AR798" s="5" t="s">
        <v>185</v>
      </c>
      <c r="AS798" s="5" t="s">
        <v>73</v>
      </c>
      <c r="AT798" s="5" t="s">
        <v>78</v>
      </c>
      <c r="AW798" s="5" t="s">
        <v>201</v>
      </c>
      <c r="AX798" s="5" t="s">
        <v>79</v>
      </c>
      <c r="AY798" s="5"/>
      <c r="AZ798" s="5" t="s">
        <v>129</v>
      </c>
      <c r="BF798" s="10" t="s">
        <v>3926</v>
      </c>
      <c r="BJ798" s="10" t="n">
        <v>2023</v>
      </c>
      <c r="BK798" s="10" t="n">
        <v>2025</v>
      </c>
    </row>
    <row r="799" customFormat="false" ht="16.5" hidden="false" customHeight="true" outlineLevel="0" collapsed="false">
      <c r="A799" s="10" t="s">
        <v>3931</v>
      </c>
      <c r="B799" s="10" t="s">
        <v>3932</v>
      </c>
      <c r="C799" s="10" t="s">
        <v>3931</v>
      </c>
      <c r="D799" s="5" t="s">
        <v>3372</v>
      </c>
      <c r="E799" s="10" t="n">
        <v>5297783</v>
      </c>
      <c r="F799" s="10" t="n">
        <v>5297783</v>
      </c>
      <c r="G799" s="10" t="s">
        <v>212</v>
      </c>
      <c r="H799" s="10" t="n">
        <v>500584</v>
      </c>
      <c r="J799" s="7" t="n">
        <f aca="false">E799*0.091</f>
        <v>482098.253</v>
      </c>
      <c r="K799" s="7" t="n">
        <f aca="false">F799*0.091</f>
        <v>482098.253</v>
      </c>
      <c r="L799" s="5" t="s">
        <v>84</v>
      </c>
      <c r="M799" s="5"/>
      <c r="N799" s="10" t="s">
        <v>3933</v>
      </c>
      <c r="O799" s="10" t="s">
        <v>3934</v>
      </c>
      <c r="W799" s="5"/>
      <c r="X799" s="5"/>
      <c r="AI799" s="10" t="s">
        <v>3935</v>
      </c>
      <c r="AM799" s="10" t="s">
        <v>3936</v>
      </c>
      <c r="AO799" s="10" t="s">
        <v>3937</v>
      </c>
      <c r="AQ799" s="5" t="s">
        <v>77</v>
      </c>
      <c r="AR799" s="5" t="s">
        <v>215</v>
      </c>
      <c r="AS799" s="5" t="s">
        <v>73</v>
      </c>
      <c r="AT799" s="5" t="s">
        <v>78</v>
      </c>
      <c r="AU799" s="5" t="s">
        <v>259</v>
      </c>
      <c r="AV799" s="5"/>
      <c r="AW799" s="5" t="s">
        <v>94</v>
      </c>
      <c r="AX799" s="5" t="s">
        <v>296</v>
      </c>
      <c r="AY799" s="5" t="s">
        <v>447</v>
      </c>
      <c r="AZ799" s="5" t="s">
        <v>129</v>
      </c>
      <c r="BF799" s="10" t="s">
        <v>3932</v>
      </c>
      <c r="BJ799" s="10" t="n">
        <v>2023</v>
      </c>
      <c r="BK799" s="10" t="n">
        <v>2025</v>
      </c>
    </row>
    <row r="800" customFormat="false" ht="16.5" hidden="false" customHeight="true" outlineLevel="0" collapsed="false">
      <c r="A800" s="10" t="s">
        <v>3938</v>
      </c>
      <c r="B800" s="10" t="s">
        <v>3939</v>
      </c>
      <c r="C800" s="10" t="s">
        <v>3940</v>
      </c>
      <c r="D800" s="5" t="s">
        <v>3372</v>
      </c>
      <c r="E800" s="10" t="n">
        <v>234740</v>
      </c>
      <c r="F800" s="10" t="n">
        <v>234740</v>
      </c>
      <c r="G800" s="10" t="s">
        <v>147</v>
      </c>
      <c r="H800" s="10" t="n">
        <v>277581</v>
      </c>
      <c r="J800" s="18" t="n">
        <v>234740</v>
      </c>
      <c r="K800" s="18" t="n">
        <v>234740</v>
      </c>
      <c r="L800" s="5" t="s">
        <v>84</v>
      </c>
      <c r="M800" s="5"/>
      <c r="N800" s="10" t="s">
        <v>3436</v>
      </c>
      <c r="O800" s="10" t="s">
        <v>3941</v>
      </c>
      <c r="V800" s="10" t="s">
        <v>3942</v>
      </c>
      <c r="W800" s="5"/>
      <c r="X800" s="5"/>
      <c r="Z800" s="10" t="s">
        <v>3943</v>
      </c>
      <c r="AI800" s="10" t="s">
        <v>3478</v>
      </c>
      <c r="AM800" s="10" t="s">
        <v>3442</v>
      </c>
      <c r="AO800" s="10" t="s">
        <v>3452</v>
      </c>
      <c r="AQ800" s="5" t="s">
        <v>77</v>
      </c>
      <c r="AR800" s="5" t="s">
        <v>257</v>
      </c>
      <c r="AS800" s="5" t="s">
        <v>73</v>
      </c>
      <c r="AT800" s="5" t="s">
        <v>78</v>
      </c>
      <c r="AW800" s="5" t="s">
        <v>94</v>
      </c>
      <c r="AX800" s="5" t="s">
        <v>1433</v>
      </c>
      <c r="AY800" s="5" t="s">
        <v>447</v>
      </c>
      <c r="AZ800" s="5" t="s">
        <v>188</v>
      </c>
      <c r="BF800" s="5" t="s">
        <v>3944</v>
      </c>
      <c r="BJ800" s="10" t="n">
        <v>2021</v>
      </c>
    </row>
    <row r="801" customFormat="false" ht="16.5" hidden="false" customHeight="true" outlineLevel="0" collapsed="false">
      <c r="A801" s="10" t="s">
        <v>3945</v>
      </c>
      <c r="B801" s="10" t="s">
        <v>3946</v>
      </c>
      <c r="C801" s="10" t="s">
        <v>3947</v>
      </c>
      <c r="D801" s="5" t="s">
        <v>3372</v>
      </c>
      <c r="E801" s="10" t="n">
        <v>0</v>
      </c>
      <c r="F801" s="10" t="n">
        <v>0</v>
      </c>
      <c r="G801" s="10" t="s">
        <v>147</v>
      </c>
      <c r="H801" s="10" t="n">
        <v>0</v>
      </c>
      <c r="J801" s="18" t="n">
        <v>0</v>
      </c>
      <c r="K801" s="18" t="n">
        <v>0</v>
      </c>
      <c r="L801" s="5" t="s">
        <v>84</v>
      </c>
      <c r="M801" s="5"/>
      <c r="N801" s="10" t="s">
        <v>3948</v>
      </c>
      <c r="O801" s="10" t="s">
        <v>3949</v>
      </c>
      <c r="W801" s="5"/>
      <c r="X801" s="5"/>
      <c r="AI801" s="10" t="s">
        <v>3564</v>
      </c>
      <c r="AM801" s="5" t="s">
        <v>459</v>
      </c>
      <c r="AO801" s="10" t="s">
        <v>3950</v>
      </c>
      <c r="AQ801" s="5" t="s">
        <v>77</v>
      </c>
      <c r="AR801" s="5" t="s">
        <v>333</v>
      </c>
      <c r="AS801" s="5" t="s">
        <v>73</v>
      </c>
      <c r="AT801" s="5" t="s">
        <v>78</v>
      </c>
      <c r="AW801" s="5" t="s">
        <v>94</v>
      </c>
      <c r="AX801" s="5" t="s">
        <v>3951</v>
      </c>
      <c r="AY801" s="5"/>
      <c r="AZ801" s="5" t="s">
        <v>399</v>
      </c>
      <c r="BF801" s="10" t="s">
        <v>3946</v>
      </c>
      <c r="BJ801" s="10" t="n">
        <v>2025</v>
      </c>
      <c r="BK801" s="10" t="n">
        <v>2026</v>
      </c>
    </row>
    <row r="802" customFormat="false" ht="16.5" hidden="false" customHeight="true" outlineLevel="0" collapsed="false">
      <c r="A802" s="10" t="s">
        <v>3952</v>
      </c>
      <c r="B802" s="5" t="s">
        <v>3953</v>
      </c>
      <c r="C802" s="10" t="s">
        <v>3952</v>
      </c>
      <c r="D802" s="5" t="s">
        <v>3372</v>
      </c>
      <c r="E802" s="10" t="n">
        <v>5060547</v>
      </c>
      <c r="F802" s="10" t="n">
        <v>5060547</v>
      </c>
      <c r="G802" s="10" t="s">
        <v>147</v>
      </c>
      <c r="H802" s="10" t="n">
        <v>5423046</v>
      </c>
      <c r="J802" s="18" t="n">
        <v>5060547</v>
      </c>
      <c r="K802" s="18" t="n">
        <v>5060547</v>
      </c>
      <c r="L802" s="5" t="s">
        <v>84</v>
      </c>
      <c r="M802" s="5"/>
      <c r="N802" s="10" t="s">
        <v>3954</v>
      </c>
      <c r="O802" s="10" t="s">
        <v>3955</v>
      </c>
      <c r="V802" s="10" t="s">
        <v>3956</v>
      </c>
      <c r="W802" s="5"/>
      <c r="X802" s="5" t="s">
        <v>568</v>
      </c>
      <c r="Z802" s="10" t="s">
        <v>3957</v>
      </c>
      <c r="AI802" s="10" t="s">
        <v>3469</v>
      </c>
      <c r="AM802" s="10" t="s">
        <v>182</v>
      </c>
      <c r="AN802" s="5" t="s">
        <v>3958</v>
      </c>
      <c r="AQ802" s="5" t="s">
        <v>77</v>
      </c>
      <c r="AR802" s="5" t="s">
        <v>185</v>
      </c>
      <c r="AS802" s="5" t="s">
        <v>73</v>
      </c>
      <c r="AT802" s="5" t="s">
        <v>78</v>
      </c>
      <c r="AU802" s="5" t="s">
        <v>259</v>
      </c>
      <c r="AV802" s="5"/>
      <c r="AW802" s="25" t="s">
        <v>94</v>
      </c>
      <c r="AX802" s="5" t="s">
        <v>79</v>
      </c>
      <c r="AY802" s="5"/>
      <c r="AZ802" s="5" t="s">
        <v>309</v>
      </c>
      <c r="BF802" s="5" t="s">
        <v>3953</v>
      </c>
      <c r="BJ802" s="10" t="n">
        <v>2023</v>
      </c>
      <c r="BK802" s="10" t="n">
        <v>2026</v>
      </c>
    </row>
    <row r="803" customFormat="false" ht="16.5" hidden="false" customHeight="true" outlineLevel="0" collapsed="false">
      <c r="A803" s="10" t="s">
        <v>3959</v>
      </c>
      <c r="B803" s="10" t="s">
        <v>3960</v>
      </c>
      <c r="C803" s="10" t="s">
        <v>3961</v>
      </c>
      <c r="D803" s="5" t="s">
        <v>3372</v>
      </c>
      <c r="E803" s="10" t="n">
        <v>110000</v>
      </c>
      <c r="F803" s="10" t="n">
        <v>110000</v>
      </c>
      <c r="G803" s="10" t="s">
        <v>147</v>
      </c>
      <c r="H803" s="10" t="n">
        <v>115655</v>
      </c>
      <c r="J803" s="18" t="n">
        <v>110000</v>
      </c>
      <c r="K803" s="18" t="n">
        <v>110000</v>
      </c>
      <c r="L803" s="5" t="s">
        <v>84</v>
      </c>
      <c r="M803" s="5"/>
      <c r="N803" s="10" t="s">
        <v>3436</v>
      </c>
      <c r="O803" s="10" t="s">
        <v>3962</v>
      </c>
      <c r="V803" s="10" t="s">
        <v>3963</v>
      </c>
      <c r="W803" s="5"/>
      <c r="X803" s="5"/>
      <c r="Z803" s="10" t="s">
        <v>3964</v>
      </c>
      <c r="AI803" s="10" t="s">
        <v>3409</v>
      </c>
      <c r="AM803" s="10" t="s">
        <v>3442</v>
      </c>
      <c r="AO803" s="10" t="s">
        <v>3452</v>
      </c>
      <c r="AQ803" s="5" t="s">
        <v>77</v>
      </c>
      <c r="AR803" s="5" t="s">
        <v>257</v>
      </c>
      <c r="AS803" s="5" t="s">
        <v>73</v>
      </c>
      <c r="AT803" s="5" t="s">
        <v>78</v>
      </c>
      <c r="AW803" s="5" t="s">
        <v>94</v>
      </c>
      <c r="AX803" s="5" t="s">
        <v>79</v>
      </c>
      <c r="AY803" s="5"/>
      <c r="AZ803" s="5" t="s">
        <v>129</v>
      </c>
      <c r="BF803" s="5" t="s">
        <v>3965</v>
      </c>
      <c r="BJ803" s="10" t="n">
        <v>2022</v>
      </c>
    </row>
    <row r="804" customFormat="false" ht="16.5" hidden="false" customHeight="true" outlineLevel="0" collapsed="false">
      <c r="A804" s="10" t="s">
        <v>3966</v>
      </c>
      <c r="B804" s="10" t="s">
        <v>3967</v>
      </c>
      <c r="C804" s="10" t="s">
        <v>3966</v>
      </c>
      <c r="D804" s="5" t="s">
        <v>3372</v>
      </c>
      <c r="E804" s="10" t="n">
        <v>0</v>
      </c>
      <c r="H804" s="10" t="n">
        <v>0</v>
      </c>
      <c r="J804" s="18"/>
      <c r="K804" s="18"/>
      <c r="L804" s="5" t="s">
        <v>84</v>
      </c>
      <c r="M804" s="5"/>
      <c r="N804" s="10" t="s">
        <v>3968</v>
      </c>
      <c r="O804" s="10" t="s">
        <v>3969</v>
      </c>
      <c r="T804" s="10" t="s">
        <v>3970</v>
      </c>
      <c r="V804" s="10" t="s">
        <v>3971</v>
      </c>
      <c r="W804" s="5"/>
      <c r="X804" s="5"/>
      <c r="Z804" s="10" t="s">
        <v>3972</v>
      </c>
      <c r="AI804" s="10" t="s">
        <v>3746</v>
      </c>
      <c r="AM804" s="10" t="s">
        <v>2352</v>
      </c>
      <c r="AQ804" s="5" t="s">
        <v>77</v>
      </c>
      <c r="AR804" s="5" t="s">
        <v>2221</v>
      </c>
      <c r="AS804" s="5" t="s">
        <v>73</v>
      </c>
      <c r="AT804" s="5" t="s">
        <v>78</v>
      </c>
      <c r="AW804" s="5" t="s">
        <v>94</v>
      </c>
      <c r="AX804" s="5" t="s">
        <v>375</v>
      </c>
      <c r="AY804" s="5"/>
      <c r="AZ804" s="5" t="s">
        <v>188</v>
      </c>
      <c r="BF804" s="10" t="s">
        <v>3967</v>
      </c>
      <c r="BJ804" s="10" t="n">
        <v>2025</v>
      </c>
      <c r="BK804" s="10" t="n">
        <v>2026</v>
      </c>
    </row>
    <row r="805" customFormat="false" ht="16.5" hidden="false" customHeight="true" outlineLevel="0" collapsed="false">
      <c r="A805" s="10" t="s">
        <v>3973</v>
      </c>
      <c r="B805" s="10" t="s">
        <v>3974</v>
      </c>
      <c r="C805" s="10" t="s">
        <v>3973</v>
      </c>
      <c r="D805" s="5" t="s">
        <v>3372</v>
      </c>
      <c r="E805" s="10" t="n">
        <v>1100000</v>
      </c>
      <c r="G805" s="10" t="s">
        <v>63</v>
      </c>
      <c r="H805" s="10" t="n">
        <v>157382</v>
      </c>
      <c r="J805" s="7" t="n">
        <f aca="false">E805*0.13</f>
        <v>143000</v>
      </c>
      <c r="K805" s="7" t="n">
        <f aca="false">F805*0.13</f>
        <v>0</v>
      </c>
      <c r="L805" s="5" t="s">
        <v>84</v>
      </c>
      <c r="M805" s="5"/>
      <c r="O805" s="10" t="s">
        <v>3975</v>
      </c>
      <c r="V805" s="10" t="s">
        <v>89</v>
      </c>
      <c r="W805" s="5"/>
      <c r="X805" s="5"/>
      <c r="Z805" s="10" t="s">
        <v>3810</v>
      </c>
      <c r="AI805" s="10" t="s">
        <v>3441</v>
      </c>
      <c r="AM805" s="10" t="s">
        <v>3976</v>
      </c>
      <c r="AO805" s="10" t="s">
        <v>3977</v>
      </c>
      <c r="AQ805" s="28" t="s">
        <v>77</v>
      </c>
      <c r="AR805" s="5" t="s">
        <v>72</v>
      </c>
      <c r="AS805" s="5" t="s">
        <v>73</v>
      </c>
      <c r="AT805" s="5" t="s">
        <v>78</v>
      </c>
      <c r="AW805" s="5" t="s">
        <v>94</v>
      </c>
      <c r="AX805" s="5" t="s">
        <v>495</v>
      </c>
      <c r="AY805" s="5"/>
      <c r="AZ805" s="5" t="s">
        <v>129</v>
      </c>
      <c r="BF805" s="10" t="s">
        <v>3978</v>
      </c>
      <c r="BJ805" s="10" t="n">
        <v>2024</v>
      </c>
      <c r="BK805" s="10" t="n">
        <v>2026</v>
      </c>
    </row>
    <row r="806" customFormat="false" ht="16.5" hidden="false" customHeight="true" outlineLevel="0" collapsed="false">
      <c r="A806" s="10" t="s">
        <v>3979</v>
      </c>
      <c r="B806" s="10" t="s">
        <v>3980</v>
      </c>
      <c r="C806" s="10" t="s">
        <v>3979</v>
      </c>
      <c r="D806" s="5" t="s">
        <v>3372</v>
      </c>
      <c r="E806" s="10" t="n">
        <v>395000</v>
      </c>
      <c r="F806" s="10" t="n">
        <v>395000</v>
      </c>
      <c r="G806" s="10" t="s">
        <v>212</v>
      </c>
      <c r="H806" s="10" t="n">
        <v>43896</v>
      </c>
      <c r="J806" s="7" t="n">
        <f aca="false">E806*0.091</f>
        <v>35945</v>
      </c>
      <c r="K806" s="7" t="n">
        <f aca="false">F806*0.091</f>
        <v>35945</v>
      </c>
      <c r="L806" s="5" t="s">
        <v>84</v>
      </c>
      <c r="M806" s="5"/>
      <c r="N806" s="10" t="s">
        <v>3981</v>
      </c>
      <c r="O806" s="10" t="s">
        <v>3982</v>
      </c>
      <c r="T806" s="10" t="s">
        <v>3170</v>
      </c>
      <c r="V806" s="10" t="s">
        <v>426</v>
      </c>
      <c r="W806" s="5"/>
      <c r="X806" s="5"/>
      <c r="Z806" s="10" t="s">
        <v>2598</v>
      </c>
      <c r="AI806" s="10" t="s">
        <v>3581</v>
      </c>
      <c r="AM806" s="10" t="s">
        <v>2703</v>
      </c>
      <c r="AO806" s="10" t="s">
        <v>3983</v>
      </c>
      <c r="AQ806" s="5" t="s">
        <v>77</v>
      </c>
      <c r="AR806" s="5" t="s">
        <v>215</v>
      </c>
      <c r="AS806" s="5" t="s">
        <v>73</v>
      </c>
      <c r="AT806" s="5" t="s">
        <v>78</v>
      </c>
      <c r="AW806" s="5" t="s">
        <v>94</v>
      </c>
      <c r="AX806" s="5" t="s">
        <v>375</v>
      </c>
      <c r="AY806" s="5"/>
      <c r="AZ806" s="5" t="s">
        <v>396</v>
      </c>
      <c r="BF806" s="10" t="s">
        <v>3980</v>
      </c>
      <c r="BJ806" s="10" t="n">
        <v>2020</v>
      </c>
      <c r="BK806" s="10" t="n">
        <v>2022</v>
      </c>
    </row>
    <row r="807" customFormat="false" ht="16.5" hidden="false" customHeight="true" outlineLevel="0" collapsed="false">
      <c r="A807" s="10" t="s">
        <v>3984</v>
      </c>
      <c r="B807" s="10" t="s">
        <v>3985</v>
      </c>
      <c r="C807" s="10" t="s">
        <v>3984</v>
      </c>
      <c r="D807" s="5" t="s">
        <v>3372</v>
      </c>
      <c r="E807" s="10" t="n">
        <v>0</v>
      </c>
      <c r="F807" s="10" t="n">
        <v>0</v>
      </c>
      <c r="G807" s="10" t="s">
        <v>147</v>
      </c>
      <c r="H807" s="10" t="n">
        <v>0</v>
      </c>
      <c r="J807" s="18" t="n">
        <v>0</v>
      </c>
      <c r="K807" s="18" t="n">
        <v>0</v>
      </c>
      <c r="L807" s="5" t="s">
        <v>84</v>
      </c>
      <c r="M807" s="5"/>
      <c r="O807" s="10" t="s">
        <v>3986</v>
      </c>
      <c r="T807" s="10" t="s">
        <v>3987</v>
      </c>
      <c r="W807" s="5"/>
      <c r="X807" s="5"/>
      <c r="AI807" s="10" t="s">
        <v>3988</v>
      </c>
      <c r="AM807" s="5" t="s">
        <v>459</v>
      </c>
      <c r="AQ807" s="5" t="s">
        <v>77</v>
      </c>
      <c r="AR807" s="5" t="s">
        <v>333</v>
      </c>
      <c r="AS807" s="5" t="s">
        <v>73</v>
      </c>
      <c r="AT807" s="5" t="s">
        <v>78</v>
      </c>
      <c r="AW807" s="5" t="s">
        <v>94</v>
      </c>
      <c r="AX807" s="5" t="s">
        <v>79</v>
      </c>
      <c r="AY807" s="5"/>
      <c r="AZ807" s="5" t="s">
        <v>129</v>
      </c>
      <c r="BF807" s="10" t="s">
        <v>3985</v>
      </c>
      <c r="BJ807" s="10" t="n">
        <v>2022</v>
      </c>
      <c r="BK807" s="10" t="n">
        <v>2028</v>
      </c>
    </row>
    <row r="808" customFormat="false" ht="16.5" hidden="false" customHeight="true" outlineLevel="0" collapsed="false">
      <c r="A808" s="10" t="s">
        <v>3989</v>
      </c>
      <c r="C808" s="10" t="s">
        <v>3989</v>
      </c>
      <c r="D808" s="5" t="s">
        <v>3372</v>
      </c>
      <c r="E808" s="10" t="n">
        <v>0</v>
      </c>
      <c r="H808" s="10" t="n">
        <v>0</v>
      </c>
      <c r="J808" s="18"/>
      <c r="K808" s="18"/>
      <c r="L808" s="5" t="s">
        <v>84</v>
      </c>
      <c r="M808" s="5"/>
      <c r="O808" s="10" t="s">
        <v>3990</v>
      </c>
      <c r="T808" s="10" t="s">
        <v>3991</v>
      </c>
      <c r="V808" s="10" t="s">
        <v>3992</v>
      </c>
      <c r="W808" s="5"/>
      <c r="X808" s="5"/>
      <c r="Z808" s="10" t="s">
        <v>3993</v>
      </c>
      <c r="AI808" s="10" t="s">
        <v>3478</v>
      </c>
      <c r="AM808" s="5" t="s">
        <v>1523</v>
      </c>
      <c r="AQ808" s="5" t="s">
        <v>77</v>
      </c>
      <c r="AR808" s="5" t="s">
        <v>568</v>
      </c>
      <c r="AS808" s="5" t="s">
        <v>73</v>
      </c>
      <c r="AT808" s="5" t="s">
        <v>105</v>
      </c>
      <c r="AU808" s="5" t="s">
        <v>106</v>
      </c>
      <c r="AV808" s="10" t="s">
        <v>569</v>
      </c>
      <c r="AW808" s="5" t="s">
        <v>94</v>
      </c>
      <c r="AX808" s="5" t="s">
        <v>79</v>
      </c>
      <c r="AY808" s="5"/>
      <c r="AZ808" s="5" t="s">
        <v>129</v>
      </c>
      <c r="BJ808" s="10" t="n">
        <v>2021</v>
      </c>
      <c r="BK808" s="10" t="n">
        <v>2024</v>
      </c>
    </row>
    <row r="809" customFormat="false" ht="16.5" hidden="false" customHeight="true" outlineLevel="0" collapsed="false">
      <c r="A809" s="10" t="s">
        <v>3994</v>
      </c>
      <c r="B809" s="10" t="s">
        <v>3995</v>
      </c>
      <c r="C809" s="10" t="s">
        <v>3996</v>
      </c>
      <c r="D809" s="5" t="s">
        <v>3372</v>
      </c>
      <c r="E809" s="10" t="n">
        <v>87500</v>
      </c>
      <c r="F809" s="10" t="n">
        <v>87500</v>
      </c>
      <c r="G809" s="10" t="s">
        <v>147</v>
      </c>
      <c r="H809" s="10" t="n">
        <v>91998</v>
      </c>
      <c r="J809" s="18" t="n">
        <v>87500</v>
      </c>
      <c r="K809" s="18" t="n">
        <v>87500</v>
      </c>
      <c r="L809" s="5" t="s">
        <v>84</v>
      </c>
      <c r="M809" s="5"/>
      <c r="N809" s="10" t="s">
        <v>3436</v>
      </c>
      <c r="O809" s="10" t="s">
        <v>3997</v>
      </c>
      <c r="V809" s="10" t="s">
        <v>3998</v>
      </c>
      <c r="W809" s="5"/>
      <c r="X809" s="5"/>
      <c r="Z809" s="10" t="s">
        <v>3999</v>
      </c>
      <c r="AI809" s="10" t="s">
        <v>3409</v>
      </c>
      <c r="AM809" s="10" t="s">
        <v>3442</v>
      </c>
      <c r="AO809" s="10" t="s">
        <v>3452</v>
      </c>
      <c r="AQ809" s="5" t="s">
        <v>77</v>
      </c>
      <c r="AR809" s="5" t="s">
        <v>257</v>
      </c>
      <c r="AS809" s="5" t="s">
        <v>73</v>
      </c>
      <c r="AT809" s="5" t="s">
        <v>78</v>
      </c>
      <c r="AW809" s="5" t="s">
        <v>94</v>
      </c>
      <c r="AX809" s="5" t="s">
        <v>375</v>
      </c>
      <c r="AY809" s="5"/>
      <c r="AZ809" s="5" t="s">
        <v>129</v>
      </c>
      <c r="BF809" s="5" t="s">
        <v>4000</v>
      </c>
      <c r="BJ809" s="10" t="n">
        <v>2022</v>
      </c>
    </row>
    <row r="810" customFormat="false" ht="16.5" hidden="false" customHeight="true" outlineLevel="0" collapsed="false">
      <c r="A810" s="10" t="s">
        <v>4001</v>
      </c>
      <c r="B810" s="10" t="s">
        <v>4002</v>
      </c>
      <c r="C810" s="10" t="s">
        <v>4001</v>
      </c>
      <c r="D810" s="5" t="s">
        <v>3372</v>
      </c>
      <c r="E810" s="10" t="n">
        <v>2450000</v>
      </c>
      <c r="F810" s="10" t="n">
        <v>2450000</v>
      </c>
      <c r="G810" s="10" t="s">
        <v>147</v>
      </c>
      <c r="H810" s="10" t="n">
        <v>2641489</v>
      </c>
      <c r="J810" s="18" t="n">
        <v>2450000</v>
      </c>
      <c r="K810" s="18" t="n">
        <v>2450000</v>
      </c>
      <c r="L810" s="5" t="s">
        <v>84</v>
      </c>
      <c r="M810" s="5"/>
      <c r="N810" s="10" t="s">
        <v>4003</v>
      </c>
      <c r="O810" s="10" t="s">
        <v>4004</v>
      </c>
      <c r="W810" s="5"/>
      <c r="X810" s="5"/>
      <c r="AI810" s="10" t="s">
        <v>3542</v>
      </c>
      <c r="AM810" s="10" t="s">
        <v>182</v>
      </c>
      <c r="AN810" s="5" t="s">
        <v>446</v>
      </c>
      <c r="AQ810" s="5" t="s">
        <v>77</v>
      </c>
      <c r="AR810" s="5" t="s">
        <v>185</v>
      </c>
      <c r="AS810" s="5" t="s">
        <v>73</v>
      </c>
      <c r="AT810" s="5" t="s">
        <v>78</v>
      </c>
      <c r="AW810" s="25" t="s">
        <v>94</v>
      </c>
      <c r="AX810" s="5" t="s">
        <v>79</v>
      </c>
      <c r="AY810" s="5"/>
      <c r="AZ810" s="5" t="s">
        <v>129</v>
      </c>
      <c r="BF810" s="10" t="s">
        <v>4002</v>
      </c>
      <c r="BJ810" s="10" t="n">
        <v>2023</v>
      </c>
      <c r="BK810" s="10" t="n">
        <v>2025</v>
      </c>
    </row>
    <row r="811" customFormat="false" ht="16.5" hidden="false" customHeight="true" outlineLevel="0" collapsed="false">
      <c r="A811" s="10" t="s">
        <v>4005</v>
      </c>
      <c r="B811" s="10" t="s">
        <v>4006</v>
      </c>
      <c r="C811" s="10" t="s">
        <v>4005</v>
      </c>
      <c r="D811" s="5" t="s">
        <v>3372</v>
      </c>
      <c r="E811" s="10" t="n">
        <v>1966611</v>
      </c>
      <c r="F811" s="10" t="n">
        <v>1966611</v>
      </c>
      <c r="G811" s="10" t="s">
        <v>212</v>
      </c>
      <c r="H811" s="10" t="n">
        <v>215763</v>
      </c>
      <c r="J811" s="7" t="n">
        <f aca="false">E811*0.091</f>
        <v>178961.601</v>
      </c>
      <c r="K811" s="7" t="n">
        <f aca="false">F811*0.091</f>
        <v>178961.601</v>
      </c>
      <c r="L811" s="5" t="s">
        <v>84</v>
      </c>
      <c r="M811" s="5"/>
      <c r="N811" s="10" t="s">
        <v>4007</v>
      </c>
      <c r="O811" s="10" t="s">
        <v>4008</v>
      </c>
      <c r="T811" s="10" t="s">
        <v>4009</v>
      </c>
      <c r="V811" s="10" t="s">
        <v>4010</v>
      </c>
      <c r="W811" s="5"/>
      <c r="X811" s="5"/>
      <c r="Z811" s="10" t="s">
        <v>2583</v>
      </c>
      <c r="AI811" s="10" t="s">
        <v>4011</v>
      </c>
      <c r="AM811" s="10" t="s">
        <v>2703</v>
      </c>
      <c r="AO811" s="10" t="s">
        <v>4012</v>
      </c>
      <c r="AQ811" s="5" t="s">
        <v>77</v>
      </c>
      <c r="AR811" s="5" t="s">
        <v>215</v>
      </c>
      <c r="AS811" s="5" t="s">
        <v>73</v>
      </c>
      <c r="AT811" s="5" t="s">
        <v>105</v>
      </c>
      <c r="AU811" s="5" t="s">
        <v>106</v>
      </c>
      <c r="AV811" s="5"/>
      <c r="AW811" s="5" t="s">
        <v>94</v>
      </c>
      <c r="AX811" s="5" t="s">
        <v>296</v>
      </c>
      <c r="AY811" s="5" t="s">
        <v>297</v>
      </c>
      <c r="AZ811" s="5" t="s">
        <v>121</v>
      </c>
      <c r="BF811" s="10" t="s">
        <v>4006</v>
      </c>
      <c r="BJ811" s="10" t="n">
        <v>2020</v>
      </c>
      <c r="BK811" s="10" t="n">
        <v>2021</v>
      </c>
    </row>
    <row r="812" customFormat="false" ht="16.5" hidden="false" customHeight="true" outlineLevel="0" collapsed="false">
      <c r="A812" s="10" t="s">
        <v>4013</v>
      </c>
      <c r="B812" s="5" t="s">
        <v>4014</v>
      </c>
      <c r="C812" s="10" t="s">
        <v>4013</v>
      </c>
      <c r="D812" s="5" t="s">
        <v>3372</v>
      </c>
      <c r="E812" s="10" t="n">
        <v>643115</v>
      </c>
      <c r="F812" s="10" t="n">
        <v>643115</v>
      </c>
      <c r="G812" s="10" t="s">
        <v>110</v>
      </c>
      <c r="H812" s="10" t="n">
        <v>64120</v>
      </c>
      <c r="J812" s="18" t="n">
        <f aca="false">E812*0.087</f>
        <v>55951.005</v>
      </c>
      <c r="K812" s="18" t="n">
        <f aca="false">F812*0.087</f>
        <v>55951.005</v>
      </c>
      <c r="L812" s="5" t="s">
        <v>84</v>
      </c>
      <c r="M812" s="5"/>
      <c r="N812" s="10" t="s">
        <v>4015</v>
      </c>
      <c r="O812" s="10" t="s">
        <v>4016</v>
      </c>
      <c r="T812" s="10" t="s">
        <v>4017</v>
      </c>
      <c r="V812" s="10" t="s">
        <v>3467</v>
      </c>
      <c r="W812" s="5"/>
      <c r="X812" s="5"/>
      <c r="Z812" s="10" t="s">
        <v>3468</v>
      </c>
      <c r="AI812" s="10" t="s">
        <v>3478</v>
      </c>
      <c r="AM812" s="5" t="s">
        <v>173</v>
      </c>
      <c r="AO812" s="10" t="s">
        <v>3470</v>
      </c>
      <c r="AQ812" s="5" t="s">
        <v>77</v>
      </c>
      <c r="AR812" s="5" t="s">
        <v>115</v>
      </c>
      <c r="AS812" s="5" t="s">
        <v>73</v>
      </c>
      <c r="AT812" s="5" t="s">
        <v>78</v>
      </c>
      <c r="AW812" s="5" t="s">
        <v>94</v>
      </c>
      <c r="AX812" s="5" t="s">
        <v>79</v>
      </c>
      <c r="AY812" s="5"/>
      <c r="AZ812" s="5" t="s">
        <v>309</v>
      </c>
      <c r="BF812" s="5" t="s">
        <v>4014</v>
      </c>
      <c r="BJ812" s="10" t="n">
        <v>2021</v>
      </c>
      <c r="BK812" s="10" t="n">
        <v>2025</v>
      </c>
    </row>
    <row r="813" customFormat="false" ht="16.5" hidden="false" customHeight="true" outlineLevel="0" collapsed="false">
      <c r="A813" s="10" t="s">
        <v>4018</v>
      </c>
      <c r="B813" s="10" t="s">
        <v>4019</v>
      </c>
      <c r="C813" s="10" t="s">
        <v>4018</v>
      </c>
      <c r="D813" s="5" t="s">
        <v>3372</v>
      </c>
      <c r="E813" s="10" t="n">
        <v>4535098</v>
      </c>
      <c r="F813" s="10" t="n">
        <v>4535098</v>
      </c>
      <c r="G813" s="10" t="s">
        <v>147</v>
      </c>
      <c r="H813" s="10" t="n">
        <v>4844356</v>
      </c>
      <c r="J813" s="18" t="n">
        <v>4535098</v>
      </c>
      <c r="K813" s="18" t="n">
        <v>4535098</v>
      </c>
      <c r="L813" s="5" t="s">
        <v>84</v>
      </c>
      <c r="M813" s="5"/>
      <c r="N813" s="10" t="s">
        <v>4020</v>
      </c>
      <c r="O813" s="10" t="s">
        <v>4021</v>
      </c>
      <c r="V813" s="10" t="s">
        <v>4022</v>
      </c>
      <c r="W813" s="5"/>
      <c r="X813" s="5" t="s">
        <v>257</v>
      </c>
      <c r="Z813" s="10" t="s">
        <v>4023</v>
      </c>
      <c r="AI813" s="10" t="s">
        <v>3935</v>
      </c>
      <c r="AM813" s="10" t="s">
        <v>182</v>
      </c>
      <c r="AN813" s="5" t="s">
        <v>404</v>
      </c>
      <c r="AQ813" s="5" t="s">
        <v>77</v>
      </c>
      <c r="AR813" s="5" t="s">
        <v>185</v>
      </c>
      <c r="AS813" s="5" t="s">
        <v>73</v>
      </c>
      <c r="AT813" s="5" t="s">
        <v>105</v>
      </c>
      <c r="AU813" s="10" t="s">
        <v>186</v>
      </c>
      <c r="AV813" s="10"/>
      <c r="AW813" s="25" t="s">
        <v>94</v>
      </c>
      <c r="AX813" s="5" t="s">
        <v>79</v>
      </c>
      <c r="AY813" s="5"/>
      <c r="AZ813" s="5" t="s">
        <v>129</v>
      </c>
      <c r="BF813" s="10" t="s">
        <v>4019</v>
      </c>
      <c r="BJ813" s="10" t="n">
        <v>2023</v>
      </c>
      <c r="BK813" s="10" t="n">
        <v>2027</v>
      </c>
    </row>
    <row r="814" customFormat="false" ht="16.5" hidden="false" customHeight="true" outlineLevel="0" collapsed="false">
      <c r="A814" s="10" t="s">
        <v>4024</v>
      </c>
      <c r="B814" s="10" t="s">
        <v>4025</v>
      </c>
      <c r="C814" s="10" t="s">
        <v>4026</v>
      </c>
      <c r="D814" s="5" t="s">
        <v>3372</v>
      </c>
      <c r="E814" s="10" t="n">
        <v>248050</v>
      </c>
      <c r="F814" s="10" t="n">
        <v>248050</v>
      </c>
      <c r="G814" s="10" t="s">
        <v>147</v>
      </c>
      <c r="H814" s="10" t="n">
        <v>293320</v>
      </c>
      <c r="J814" s="18" t="n">
        <v>248050</v>
      </c>
      <c r="K814" s="18" t="n">
        <v>248050</v>
      </c>
      <c r="L814" s="5" t="s">
        <v>84</v>
      </c>
      <c r="M814" s="5"/>
      <c r="N814" s="10" t="s">
        <v>3436</v>
      </c>
      <c r="O814" s="10" t="s">
        <v>4027</v>
      </c>
      <c r="V814" s="10" t="s">
        <v>3439</v>
      </c>
      <c r="W814" s="5"/>
      <c r="X814" s="5"/>
      <c r="Z814" s="10" t="s">
        <v>3440</v>
      </c>
      <c r="AI814" s="10" t="s">
        <v>3478</v>
      </c>
      <c r="AM814" s="10" t="s">
        <v>3442</v>
      </c>
      <c r="AO814" s="10" t="s">
        <v>3452</v>
      </c>
      <c r="AQ814" s="5" t="s">
        <v>77</v>
      </c>
      <c r="AR814" s="5" t="s">
        <v>257</v>
      </c>
      <c r="AS814" s="5" t="s">
        <v>73</v>
      </c>
      <c r="AT814" s="5" t="s">
        <v>105</v>
      </c>
      <c r="AU814" s="5" t="s">
        <v>106</v>
      </c>
      <c r="AV814" s="10" t="s">
        <v>569</v>
      </c>
      <c r="AW814" s="5" t="s">
        <v>94</v>
      </c>
      <c r="AX814" s="5" t="s">
        <v>79</v>
      </c>
      <c r="AY814" s="5"/>
      <c r="AZ814" s="5" t="s">
        <v>540</v>
      </c>
      <c r="BF814" s="10" t="s">
        <v>4028</v>
      </c>
      <c r="BJ814" s="10" t="n">
        <v>2021</v>
      </c>
    </row>
    <row r="815" customFormat="false" ht="16.5" hidden="false" customHeight="true" outlineLevel="0" collapsed="false">
      <c r="A815" s="10" t="s">
        <v>4029</v>
      </c>
      <c r="B815" s="10" t="s">
        <v>4030</v>
      </c>
      <c r="C815" s="10" t="s">
        <v>4029</v>
      </c>
      <c r="D815" s="5" t="s">
        <v>3372</v>
      </c>
      <c r="E815" s="37" t="n">
        <v>24910</v>
      </c>
      <c r="F815" s="37" t="n">
        <v>24910</v>
      </c>
      <c r="G815" s="10" t="s">
        <v>132</v>
      </c>
      <c r="H815" s="10" t="n">
        <v>34233</v>
      </c>
      <c r="J815" s="7" t="n">
        <f aca="false">E815*1.19</f>
        <v>29642.9</v>
      </c>
      <c r="K815" s="7" t="n">
        <f aca="false">F815*1.19</f>
        <v>29642.9</v>
      </c>
      <c r="L815" s="5" t="s">
        <v>84</v>
      </c>
      <c r="M815" s="5"/>
      <c r="N815" s="10" t="s">
        <v>4031</v>
      </c>
      <c r="O815" s="10" t="s">
        <v>4032</v>
      </c>
      <c r="T815" s="10" t="s">
        <v>4033</v>
      </c>
      <c r="V815" s="10" t="s">
        <v>4034</v>
      </c>
      <c r="W815" s="5"/>
      <c r="X815" s="5" t="s">
        <v>4035</v>
      </c>
      <c r="Z815" s="10" t="s">
        <v>3831</v>
      </c>
      <c r="AI815" s="10" t="s">
        <v>4036</v>
      </c>
      <c r="AM815" s="10" t="s">
        <v>4037</v>
      </c>
      <c r="AQ815" s="5" t="s">
        <v>77</v>
      </c>
      <c r="AR815" s="5" t="s">
        <v>143</v>
      </c>
      <c r="AS815" s="5" t="s">
        <v>73</v>
      </c>
      <c r="AT815" s="5" t="s">
        <v>78</v>
      </c>
      <c r="AW815" s="5" t="s">
        <v>94</v>
      </c>
      <c r="AX815" s="5" t="s">
        <v>79</v>
      </c>
      <c r="AY815" s="5"/>
      <c r="AZ815" s="5" t="s">
        <v>129</v>
      </c>
      <c r="BF815" s="10" t="s">
        <v>4030</v>
      </c>
      <c r="BJ815" s="10" t="n">
        <v>2021</v>
      </c>
      <c r="BK815" s="10" t="n">
        <v>2023</v>
      </c>
    </row>
    <row r="816" customFormat="false" ht="16.5" hidden="false" customHeight="true" outlineLevel="0" collapsed="false">
      <c r="A816" s="10" t="s">
        <v>4038</v>
      </c>
      <c r="B816" s="10" t="s">
        <v>4039</v>
      </c>
      <c r="C816" s="10" t="s">
        <v>4038</v>
      </c>
      <c r="D816" s="5" t="s">
        <v>3372</v>
      </c>
      <c r="E816" s="10" t="n">
        <v>9338219</v>
      </c>
      <c r="F816" s="10" t="n">
        <v>9338219</v>
      </c>
      <c r="G816" s="10" t="s">
        <v>212</v>
      </c>
      <c r="H816" s="10" t="n">
        <v>883380</v>
      </c>
      <c r="J816" s="7" t="n">
        <f aca="false">E816*0.091</f>
        <v>849777.929</v>
      </c>
      <c r="K816" s="7" t="n">
        <f aca="false">F816*0.091</f>
        <v>849777.929</v>
      </c>
      <c r="L816" s="5" t="s">
        <v>84</v>
      </c>
      <c r="M816" s="5"/>
      <c r="N816" s="10" t="s">
        <v>4040</v>
      </c>
      <c r="O816" s="10" t="s">
        <v>4041</v>
      </c>
      <c r="V816" s="10" t="s">
        <v>426</v>
      </c>
      <c r="W816" s="5"/>
      <c r="X816" s="5"/>
      <c r="Z816" s="10" t="s">
        <v>2598</v>
      </c>
      <c r="AI816" s="10" t="s">
        <v>4042</v>
      </c>
      <c r="AM816" s="10" t="s">
        <v>3936</v>
      </c>
      <c r="AO816" s="10" t="s">
        <v>3937</v>
      </c>
      <c r="AQ816" s="5" t="s">
        <v>77</v>
      </c>
      <c r="AR816" s="5" t="s">
        <v>215</v>
      </c>
      <c r="AS816" s="5" t="s">
        <v>73</v>
      </c>
      <c r="AT816" s="5" t="s">
        <v>78</v>
      </c>
      <c r="AW816" s="5" t="s">
        <v>94</v>
      </c>
      <c r="AX816" s="5" t="s">
        <v>79</v>
      </c>
      <c r="AY816" s="5"/>
      <c r="AZ816" s="5" t="s">
        <v>129</v>
      </c>
      <c r="BF816" s="10" t="s">
        <v>4039</v>
      </c>
      <c r="BJ816" s="10" t="n">
        <v>2023</v>
      </c>
      <c r="BK816" s="10" t="n">
        <v>2026</v>
      </c>
    </row>
    <row r="817" customFormat="false" ht="16.5" hidden="false" customHeight="true" outlineLevel="0" collapsed="false">
      <c r="A817" s="10" t="s">
        <v>4043</v>
      </c>
      <c r="B817" s="10" t="s">
        <v>4044</v>
      </c>
      <c r="C817" s="10" t="s">
        <v>4043</v>
      </c>
      <c r="D817" s="5" t="s">
        <v>3372</v>
      </c>
      <c r="E817" s="37" t="n">
        <v>286882</v>
      </c>
      <c r="F817" s="37" t="n">
        <v>286882</v>
      </c>
      <c r="G817" s="10" t="s">
        <v>132</v>
      </c>
      <c r="H817" s="10" t="n">
        <v>356650</v>
      </c>
      <c r="J817" s="7" t="n">
        <f aca="false">E817*1.19</f>
        <v>341389.58</v>
      </c>
      <c r="K817" s="7" t="n">
        <f aca="false">F817*1.19</f>
        <v>341389.58</v>
      </c>
      <c r="L817" s="5" t="s">
        <v>84</v>
      </c>
      <c r="M817" s="5"/>
      <c r="N817" s="10" t="s">
        <v>4045</v>
      </c>
      <c r="O817" s="10" t="s">
        <v>4046</v>
      </c>
      <c r="T817" s="10" t="s">
        <v>4047</v>
      </c>
      <c r="V817" s="10" t="s">
        <v>4048</v>
      </c>
      <c r="W817" s="5"/>
      <c r="X817" s="5" t="s">
        <v>139</v>
      </c>
      <c r="Z817" s="10" t="s">
        <v>4049</v>
      </c>
      <c r="AI817" s="10" t="s">
        <v>3524</v>
      </c>
      <c r="AM817" s="5" t="s">
        <v>140</v>
      </c>
      <c r="AN817" s="5" t="s">
        <v>699</v>
      </c>
      <c r="AO817" s="10" t="s">
        <v>2822</v>
      </c>
      <c r="AQ817" s="5" t="s">
        <v>77</v>
      </c>
      <c r="AR817" s="5" t="s">
        <v>143</v>
      </c>
      <c r="AS817" s="5" t="s">
        <v>73</v>
      </c>
      <c r="AT817" s="5" t="s">
        <v>78</v>
      </c>
      <c r="AW817" s="5" t="s">
        <v>94</v>
      </c>
      <c r="AX817" s="5" t="s">
        <v>79</v>
      </c>
      <c r="AY817" s="5"/>
      <c r="AZ817" s="5" t="s">
        <v>188</v>
      </c>
      <c r="BF817" s="10" t="s">
        <v>4044</v>
      </c>
      <c r="BJ817" s="10" t="n">
        <v>2023</v>
      </c>
      <c r="BK817" s="10" t="n">
        <v>2025</v>
      </c>
    </row>
    <row r="818" customFormat="false" ht="16.5" hidden="false" customHeight="true" outlineLevel="0" collapsed="false">
      <c r="A818" s="10" t="s">
        <v>4050</v>
      </c>
      <c r="B818" s="10" t="s">
        <v>4051</v>
      </c>
      <c r="C818" s="10" t="s">
        <v>4052</v>
      </c>
      <c r="D818" s="5" t="s">
        <v>3372</v>
      </c>
      <c r="E818" s="10" t="n">
        <v>202070</v>
      </c>
      <c r="F818" s="10" t="n">
        <v>202070</v>
      </c>
      <c r="G818" s="10" t="s">
        <v>147</v>
      </c>
      <c r="H818" s="10" t="n">
        <v>238948</v>
      </c>
      <c r="J818" s="18" t="n">
        <v>202070</v>
      </c>
      <c r="K818" s="18" t="n">
        <v>202070</v>
      </c>
      <c r="L818" s="5" t="s">
        <v>84</v>
      </c>
      <c r="M818" s="5"/>
      <c r="N818" s="10" t="s">
        <v>3436</v>
      </c>
      <c r="O818" s="10" t="s">
        <v>4053</v>
      </c>
      <c r="V818" s="10" t="s">
        <v>3439</v>
      </c>
      <c r="W818" s="5"/>
      <c r="X818" s="5"/>
      <c r="Z818" s="10" t="s">
        <v>3440</v>
      </c>
      <c r="AI818" s="10" t="s">
        <v>3478</v>
      </c>
      <c r="AM818" s="10" t="s">
        <v>3442</v>
      </c>
      <c r="AO818" s="10" t="s">
        <v>3452</v>
      </c>
      <c r="AQ818" s="5" t="s">
        <v>77</v>
      </c>
      <c r="AR818" s="5" t="s">
        <v>257</v>
      </c>
      <c r="AS818" s="5" t="s">
        <v>73</v>
      </c>
      <c r="AT818" s="5" t="s">
        <v>78</v>
      </c>
      <c r="AU818" s="10" t="s">
        <v>259</v>
      </c>
      <c r="AV818" s="10"/>
      <c r="AW818" s="5" t="s">
        <v>94</v>
      </c>
      <c r="AX818" s="5" t="s">
        <v>375</v>
      </c>
      <c r="AY818" s="5"/>
      <c r="AZ818" s="5" t="s">
        <v>188</v>
      </c>
      <c r="BF818" s="5" t="s">
        <v>4054</v>
      </c>
      <c r="BJ818" s="10" t="n">
        <v>2021</v>
      </c>
    </row>
    <row r="819" customFormat="false" ht="16.5" hidden="false" customHeight="true" outlineLevel="0" collapsed="false">
      <c r="A819" s="10" t="s">
        <v>4055</v>
      </c>
      <c r="B819" s="10" t="s">
        <v>4056</v>
      </c>
      <c r="C819" s="10" t="s">
        <v>4055</v>
      </c>
      <c r="D819" s="5" t="s">
        <v>3372</v>
      </c>
      <c r="E819" s="10" t="n">
        <v>5676744</v>
      </c>
      <c r="F819" s="10" t="n">
        <v>5676744</v>
      </c>
      <c r="G819" s="10" t="s">
        <v>147</v>
      </c>
      <c r="H819" s="10" t="n">
        <v>6161761</v>
      </c>
      <c r="J819" s="18" t="n">
        <v>5676744</v>
      </c>
      <c r="K819" s="18" t="n">
        <v>5676744</v>
      </c>
      <c r="L819" s="5" t="s">
        <v>84</v>
      </c>
      <c r="M819" s="5"/>
      <c r="N819" s="10" t="s">
        <v>4057</v>
      </c>
      <c r="O819" s="10" t="s">
        <v>4058</v>
      </c>
      <c r="V819" s="10" t="s">
        <v>4059</v>
      </c>
      <c r="W819" s="5"/>
      <c r="X819" s="5" t="s">
        <v>333</v>
      </c>
      <c r="Z819" s="10" t="s">
        <v>4060</v>
      </c>
      <c r="AI819" s="10" t="s">
        <v>3697</v>
      </c>
      <c r="AM819" s="10" t="s">
        <v>182</v>
      </c>
      <c r="AN819" s="5" t="s">
        <v>3582</v>
      </c>
      <c r="AQ819" s="5" t="s">
        <v>77</v>
      </c>
      <c r="AR819" s="5" t="s">
        <v>185</v>
      </c>
      <c r="AS819" s="5" t="s">
        <v>73</v>
      </c>
      <c r="AT819" s="5" t="s">
        <v>105</v>
      </c>
      <c r="AU819" s="5" t="s">
        <v>186</v>
      </c>
      <c r="AV819" s="10" t="s">
        <v>569</v>
      </c>
      <c r="AW819" s="25" t="s">
        <v>94</v>
      </c>
      <c r="AX819" s="5" t="s">
        <v>79</v>
      </c>
      <c r="AY819" s="5"/>
      <c r="AZ819" s="5" t="s">
        <v>107</v>
      </c>
      <c r="BF819" s="10" t="s">
        <v>4056</v>
      </c>
      <c r="BJ819" s="10" t="n">
        <v>2021</v>
      </c>
      <c r="BK819" s="10" t="n">
        <v>2025</v>
      </c>
    </row>
    <row r="820" customFormat="false" ht="16.5" hidden="false" customHeight="true" outlineLevel="0" collapsed="false">
      <c r="A820" s="10" t="s">
        <v>4061</v>
      </c>
      <c r="B820" s="10" t="s">
        <v>4062</v>
      </c>
      <c r="C820" s="10" t="s">
        <v>4061</v>
      </c>
      <c r="D820" s="5" t="s">
        <v>3372</v>
      </c>
      <c r="E820" s="10" t="n">
        <v>9999140</v>
      </c>
      <c r="F820" s="10" t="n">
        <v>9999140</v>
      </c>
      <c r="G820" s="10" t="s">
        <v>63</v>
      </c>
      <c r="H820" s="10" t="n">
        <v>1452369</v>
      </c>
      <c r="J820" s="7" t="n">
        <f aca="false">E820*0.13</f>
        <v>1299888.2</v>
      </c>
      <c r="K820" s="7" t="n">
        <f aca="false">F820*0.13</f>
        <v>1299888.2</v>
      </c>
      <c r="L820" s="5" t="s">
        <v>84</v>
      </c>
      <c r="M820" s="5"/>
      <c r="O820" s="10" t="s">
        <v>4063</v>
      </c>
      <c r="T820" s="10" t="s">
        <v>4064</v>
      </c>
      <c r="V820" s="10" t="s">
        <v>128</v>
      </c>
      <c r="W820" s="5"/>
      <c r="X820" s="5"/>
      <c r="Z820" s="10" t="s">
        <v>2574</v>
      </c>
      <c r="AI820" s="10" t="s">
        <v>3478</v>
      </c>
      <c r="AM820" s="10" t="s">
        <v>92</v>
      </c>
      <c r="AO820" s="10" t="s">
        <v>3667</v>
      </c>
      <c r="AQ820" s="5" t="s">
        <v>93</v>
      </c>
      <c r="AR820" s="5" t="s">
        <v>72</v>
      </c>
      <c r="AS820" s="5" t="s">
        <v>73</v>
      </c>
      <c r="AT820" s="5" t="s">
        <v>105</v>
      </c>
      <c r="AU820" s="5" t="s">
        <v>106</v>
      </c>
      <c r="AV820" s="10" t="s">
        <v>569</v>
      </c>
      <c r="AW820" s="25" t="s">
        <v>94</v>
      </c>
      <c r="AX820" s="5" t="s">
        <v>79</v>
      </c>
      <c r="AY820" s="5"/>
      <c r="AZ820" s="5" t="s">
        <v>540</v>
      </c>
      <c r="BF820" s="10" t="s">
        <v>4062</v>
      </c>
      <c r="BJ820" s="10" t="n">
        <v>2021</v>
      </c>
      <c r="BK820" s="10" t="n">
        <v>2027</v>
      </c>
    </row>
    <row r="821" customFormat="false" ht="16.5" hidden="false" customHeight="true" outlineLevel="0" collapsed="false">
      <c r="A821" s="10" t="s">
        <v>4065</v>
      </c>
      <c r="B821" s="10" t="s">
        <v>4066</v>
      </c>
      <c r="C821" s="10" t="s">
        <v>4065</v>
      </c>
      <c r="D821" s="5" t="s">
        <v>3372</v>
      </c>
      <c r="E821" s="37" t="n">
        <v>193375</v>
      </c>
      <c r="F821" s="37" t="n">
        <v>193375</v>
      </c>
      <c r="G821" s="10" t="s">
        <v>132</v>
      </c>
      <c r="H821" s="10" t="n">
        <v>240397</v>
      </c>
      <c r="J821" s="7" t="n">
        <f aca="false">E821*1.19</f>
        <v>230116.25</v>
      </c>
      <c r="K821" s="7" t="n">
        <f aca="false">F821*1.19</f>
        <v>230116.25</v>
      </c>
      <c r="L821" s="5" t="s">
        <v>84</v>
      </c>
      <c r="M821" s="5"/>
      <c r="N821" s="10" t="s">
        <v>4067</v>
      </c>
      <c r="O821" s="10" t="s">
        <v>4068</v>
      </c>
      <c r="T821" s="10" t="s">
        <v>4069</v>
      </c>
      <c r="V821" s="10" t="s">
        <v>1139</v>
      </c>
      <c r="W821" s="5"/>
      <c r="X821" s="5" t="s">
        <v>139</v>
      </c>
      <c r="Z821" s="10" t="s">
        <v>3250</v>
      </c>
      <c r="AI821" s="10" t="s">
        <v>3469</v>
      </c>
      <c r="AM821" s="5" t="s">
        <v>140</v>
      </c>
      <c r="AN821" s="10" t="s">
        <v>1823</v>
      </c>
      <c r="AO821" s="10" t="s">
        <v>3533</v>
      </c>
      <c r="AQ821" s="5" t="s">
        <v>77</v>
      </c>
      <c r="AR821" s="5" t="s">
        <v>143</v>
      </c>
      <c r="AS821" s="5" t="s">
        <v>73</v>
      </c>
      <c r="AT821" s="5" t="s">
        <v>78</v>
      </c>
      <c r="AW821" s="5" t="s">
        <v>94</v>
      </c>
      <c r="AX821" s="5" t="s">
        <v>79</v>
      </c>
      <c r="AY821" s="5"/>
      <c r="AZ821" s="5" t="s">
        <v>525</v>
      </c>
      <c r="BF821" s="10" t="s">
        <v>4066</v>
      </c>
      <c r="BJ821" s="10" t="n">
        <v>2023</v>
      </c>
      <c r="BK821" s="10" t="n">
        <v>2025</v>
      </c>
    </row>
    <row r="822" customFormat="false" ht="16.5" hidden="false" customHeight="true" outlineLevel="0" collapsed="false">
      <c r="A822" s="10" t="s">
        <v>4070</v>
      </c>
      <c r="B822" s="10" t="s">
        <v>4071</v>
      </c>
      <c r="C822" s="10" t="s">
        <v>4072</v>
      </c>
      <c r="D822" s="5" t="s">
        <v>3372</v>
      </c>
      <c r="E822" s="10" t="n">
        <v>0</v>
      </c>
      <c r="H822" s="10" t="n">
        <v>0</v>
      </c>
      <c r="J822" s="18"/>
      <c r="K822" s="18"/>
      <c r="L822" s="5" t="s">
        <v>84</v>
      </c>
      <c r="M822" s="5"/>
      <c r="N822" s="10" t="s">
        <v>4073</v>
      </c>
      <c r="O822" s="10" t="s">
        <v>4074</v>
      </c>
      <c r="V822" s="10" t="s">
        <v>552</v>
      </c>
      <c r="W822" s="5"/>
      <c r="X822" s="5"/>
      <c r="Z822" s="10" t="s">
        <v>4075</v>
      </c>
      <c r="AI822" s="10" t="s">
        <v>3478</v>
      </c>
      <c r="AM822" s="5" t="s">
        <v>554</v>
      </c>
      <c r="AO822" s="10" t="s">
        <v>4076</v>
      </c>
      <c r="AQ822" s="5" t="s">
        <v>77</v>
      </c>
      <c r="AR822" s="5" t="s">
        <v>553</v>
      </c>
      <c r="AS822" s="5" t="s">
        <v>73</v>
      </c>
      <c r="AT822" s="5" t="s">
        <v>78</v>
      </c>
      <c r="AW822" s="5" t="s">
        <v>94</v>
      </c>
      <c r="AX822" s="5" t="s">
        <v>375</v>
      </c>
      <c r="AY822" s="5"/>
      <c r="AZ822" s="5" t="s">
        <v>188</v>
      </c>
      <c r="BF822" s="5" t="s">
        <v>4077</v>
      </c>
      <c r="BJ822" s="10" t="n">
        <v>2021</v>
      </c>
      <c r="BK822" s="10" t="n">
        <v>2021</v>
      </c>
    </row>
    <row r="823" customFormat="false" ht="16.5" hidden="false" customHeight="true" outlineLevel="0" collapsed="false">
      <c r="A823" s="10" t="s">
        <v>4078</v>
      </c>
      <c r="B823" s="10" t="s">
        <v>4079</v>
      </c>
      <c r="C823" s="10" t="s">
        <v>4078</v>
      </c>
      <c r="D823" s="5" t="s">
        <v>3372</v>
      </c>
      <c r="E823" s="10" t="n">
        <v>0</v>
      </c>
      <c r="H823" s="10" t="n">
        <v>0</v>
      </c>
      <c r="J823" s="18"/>
      <c r="K823" s="18"/>
      <c r="L823" s="5" t="s">
        <v>84</v>
      </c>
      <c r="M823" s="5"/>
      <c r="N823" s="10" t="s">
        <v>4080</v>
      </c>
      <c r="O823" s="10" t="s">
        <v>4081</v>
      </c>
      <c r="T823" s="10" t="s">
        <v>4082</v>
      </c>
      <c r="V823" s="10" t="s">
        <v>4083</v>
      </c>
      <c r="W823" s="5"/>
      <c r="X823" s="5"/>
      <c r="Z823" s="10" t="s">
        <v>4084</v>
      </c>
      <c r="AI823" s="10" t="s">
        <v>3469</v>
      </c>
      <c r="AM823" s="5" t="s">
        <v>2210</v>
      </c>
      <c r="AO823" s="10" t="s">
        <v>4085</v>
      </c>
      <c r="AQ823" s="5" t="s">
        <v>77</v>
      </c>
      <c r="AR823" s="5" t="s">
        <v>151</v>
      </c>
      <c r="AS823" s="5" t="s">
        <v>73</v>
      </c>
      <c r="AT823" s="5" t="s">
        <v>78</v>
      </c>
      <c r="AW823" s="5" t="s">
        <v>94</v>
      </c>
      <c r="AX823" s="5" t="s">
        <v>79</v>
      </c>
      <c r="AY823" s="5"/>
      <c r="AZ823" s="5" t="s">
        <v>309</v>
      </c>
      <c r="BF823" s="10" t="s">
        <v>4079</v>
      </c>
      <c r="BJ823" s="10" t="n">
        <v>2023</v>
      </c>
    </row>
    <row r="824" customFormat="false" ht="16.5" hidden="false" customHeight="true" outlineLevel="0" collapsed="false">
      <c r="A824" s="10" t="s">
        <v>4086</v>
      </c>
      <c r="B824" s="10" t="s">
        <v>4087</v>
      </c>
      <c r="C824" s="10" t="s">
        <v>4086</v>
      </c>
      <c r="D824" s="5" t="s">
        <v>3372</v>
      </c>
      <c r="E824" s="16" t="n">
        <v>125000</v>
      </c>
      <c r="F824" s="16" t="n">
        <v>100000</v>
      </c>
      <c r="G824" s="10" t="s">
        <v>132</v>
      </c>
      <c r="H824" s="10" t="n">
        <v>0</v>
      </c>
      <c r="J824" s="7" t="n">
        <f aca="false">E824*1.19</f>
        <v>148750</v>
      </c>
      <c r="K824" s="7" t="n">
        <f aca="false">F824*1.19</f>
        <v>119000</v>
      </c>
      <c r="L824" s="5" t="s">
        <v>84</v>
      </c>
      <c r="M824" s="5"/>
      <c r="N824" s="10" t="s">
        <v>4088</v>
      </c>
      <c r="O824" s="10" t="s">
        <v>4089</v>
      </c>
      <c r="T824" s="10" t="s">
        <v>4090</v>
      </c>
      <c r="V824" s="10" t="s">
        <v>931</v>
      </c>
      <c r="W824" s="5"/>
      <c r="X824" s="5" t="s">
        <v>139</v>
      </c>
      <c r="Y824" s="5" t="s">
        <v>73</v>
      </c>
      <c r="Z824" s="10" t="s">
        <v>2914</v>
      </c>
      <c r="AI824" s="10" t="s">
        <v>3795</v>
      </c>
      <c r="AM824" s="5" t="s">
        <v>140</v>
      </c>
      <c r="AN824" s="25" t="s">
        <v>1539</v>
      </c>
      <c r="AQ824" s="5" t="s">
        <v>77</v>
      </c>
      <c r="AR824" s="5" t="s">
        <v>143</v>
      </c>
      <c r="AS824" s="5" t="s">
        <v>73</v>
      </c>
      <c r="AT824" s="5" t="s">
        <v>71</v>
      </c>
      <c r="AW824" s="5" t="s">
        <v>201</v>
      </c>
      <c r="AX824" s="5" t="s">
        <v>79</v>
      </c>
      <c r="AY824" s="5"/>
      <c r="AZ824" s="5" t="s">
        <v>287</v>
      </c>
      <c r="BD824" s="9" t="n">
        <v>45761</v>
      </c>
      <c r="BE824" s="9" t="n">
        <v>45779</v>
      </c>
      <c r="BF824" s="10" t="s">
        <v>4087</v>
      </c>
      <c r="BJ824" s="10" t="n">
        <v>2024</v>
      </c>
      <c r="BK824" s="10" t="n">
        <v>2028</v>
      </c>
    </row>
    <row r="825" customFormat="false" ht="16.5" hidden="false" customHeight="true" outlineLevel="0" collapsed="false">
      <c r="A825" s="10" t="s">
        <v>4091</v>
      </c>
      <c r="B825" s="10" t="s">
        <v>4092</v>
      </c>
      <c r="C825" s="10" t="s">
        <v>4091</v>
      </c>
      <c r="D825" s="5" t="s">
        <v>3372</v>
      </c>
      <c r="E825" s="10" t="n">
        <v>6964800</v>
      </c>
      <c r="F825" s="10" t="n">
        <v>6964800</v>
      </c>
      <c r="G825" s="10" t="s">
        <v>885</v>
      </c>
      <c r="H825" s="10" t="n">
        <v>295760</v>
      </c>
      <c r="J825" s="7" t="n">
        <f aca="false">E825*0.04</f>
        <v>278592</v>
      </c>
      <c r="K825" s="7" t="n">
        <f aca="false">F825*0.04</f>
        <v>278592</v>
      </c>
      <c r="L825" s="5" t="s">
        <v>84</v>
      </c>
      <c r="M825" s="5"/>
      <c r="N825" s="10" t="s">
        <v>4093</v>
      </c>
      <c r="O825" s="10" t="s">
        <v>4094</v>
      </c>
      <c r="T825" s="10" t="s">
        <v>4095</v>
      </c>
      <c r="V825" s="10" t="s">
        <v>4096</v>
      </c>
      <c r="W825" s="5"/>
      <c r="X825" s="5" t="s">
        <v>888</v>
      </c>
      <c r="Z825" s="10" t="s">
        <v>4097</v>
      </c>
      <c r="AI825" s="10" t="s">
        <v>4098</v>
      </c>
      <c r="AM825" s="5" t="s">
        <v>4099</v>
      </c>
      <c r="AQ825" s="5" t="s">
        <v>77</v>
      </c>
      <c r="AR825" s="5" t="s">
        <v>890</v>
      </c>
      <c r="AS825" s="5" t="s">
        <v>73</v>
      </c>
      <c r="AT825" s="5" t="s">
        <v>78</v>
      </c>
      <c r="AW825" s="5" t="s">
        <v>94</v>
      </c>
      <c r="AX825" s="5" t="s">
        <v>79</v>
      </c>
      <c r="AY825" s="5"/>
      <c r="AZ825" s="5" t="s">
        <v>188</v>
      </c>
      <c r="BF825" s="10" t="s">
        <v>4100</v>
      </c>
      <c r="BJ825" s="10" t="n">
        <v>2024</v>
      </c>
      <c r="BK825" s="10" t="n">
        <v>2027</v>
      </c>
    </row>
    <row r="826" customFormat="false" ht="16.5" hidden="false" customHeight="true" outlineLevel="0" collapsed="false">
      <c r="A826" s="10" t="s">
        <v>4101</v>
      </c>
      <c r="B826" s="10" t="s">
        <v>4102</v>
      </c>
      <c r="C826" s="10" t="s">
        <v>4101</v>
      </c>
      <c r="D826" s="5" t="s">
        <v>3372</v>
      </c>
      <c r="E826" s="10" t="n">
        <v>40000</v>
      </c>
      <c r="F826" s="10" t="n">
        <v>40000</v>
      </c>
      <c r="G826" s="10" t="s">
        <v>147</v>
      </c>
      <c r="H826" s="10" t="n">
        <v>45594</v>
      </c>
      <c r="J826" s="18" t="n">
        <v>40000</v>
      </c>
      <c r="K826" s="18" t="n">
        <v>40000</v>
      </c>
      <c r="L826" s="5" t="s">
        <v>84</v>
      </c>
      <c r="M826" s="5"/>
      <c r="N826" s="10" t="s">
        <v>4103</v>
      </c>
      <c r="O826" s="10" t="s">
        <v>4104</v>
      </c>
      <c r="T826" s="10" t="s">
        <v>4105</v>
      </c>
      <c r="W826" s="5"/>
      <c r="X826" s="5"/>
      <c r="AI826" s="10" t="s">
        <v>4106</v>
      </c>
      <c r="AM826" s="5" t="s">
        <v>459</v>
      </c>
      <c r="AO826" s="10" t="s">
        <v>4107</v>
      </c>
      <c r="AQ826" s="5" t="s">
        <v>77</v>
      </c>
      <c r="AR826" s="5" t="s">
        <v>333</v>
      </c>
      <c r="AS826" s="5" t="s">
        <v>73</v>
      </c>
      <c r="AT826" s="5" t="s">
        <v>78</v>
      </c>
      <c r="AW826" s="5" t="s">
        <v>94</v>
      </c>
      <c r="AX826" s="5" t="s">
        <v>296</v>
      </c>
      <c r="AY826" s="5"/>
      <c r="AZ826" s="5" t="s">
        <v>188</v>
      </c>
      <c r="BF826" s="10" t="s">
        <v>4102</v>
      </c>
      <c r="BJ826" s="10" t="n">
        <v>2020</v>
      </c>
    </row>
    <row r="827" customFormat="false" ht="16.5" hidden="false" customHeight="true" outlineLevel="0" collapsed="false">
      <c r="A827" s="10" t="s">
        <v>4108</v>
      </c>
      <c r="B827" s="10" t="s">
        <v>4109</v>
      </c>
      <c r="C827" s="10" t="s">
        <v>4108</v>
      </c>
      <c r="D827" s="5" t="s">
        <v>3372</v>
      </c>
      <c r="E827" s="10" t="n">
        <v>336000</v>
      </c>
      <c r="F827" s="10" t="n">
        <v>336000</v>
      </c>
      <c r="G827" s="10" t="s">
        <v>147</v>
      </c>
      <c r="H827" s="10" t="n">
        <v>377175</v>
      </c>
      <c r="J827" s="18" t="n">
        <v>336000</v>
      </c>
      <c r="K827" s="18" t="n">
        <v>336000</v>
      </c>
      <c r="L827" s="5" t="s">
        <v>84</v>
      </c>
      <c r="M827" s="5"/>
      <c r="N827" s="10" t="s">
        <v>4110</v>
      </c>
      <c r="O827" s="10" t="s">
        <v>4111</v>
      </c>
      <c r="V827" s="10" t="s">
        <v>4112</v>
      </c>
      <c r="W827" s="5"/>
      <c r="X827" s="5"/>
      <c r="Z827" s="10" t="s">
        <v>4113</v>
      </c>
      <c r="AI827" s="10" t="s">
        <v>4114</v>
      </c>
      <c r="AM827" s="10" t="s">
        <v>161</v>
      </c>
      <c r="AO827" s="10" t="s">
        <v>4115</v>
      </c>
      <c r="AQ827" s="5" t="s">
        <v>77</v>
      </c>
      <c r="AR827" s="5" t="s">
        <v>160</v>
      </c>
      <c r="AS827" s="5" t="s">
        <v>73</v>
      </c>
      <c r="AT827" s="5" t="s">
        <v>78</v>
      </c>
      <c r="AW827" s="5" t="s">
        <v>94</v>
      </c>
      <c r="AX827" s="5" t="s">
        <v>375</v>
      </c>
      <c r="AY827" s="5"/>
      <c r="AZ827" s="5" t="s">
        <v>399</v>
      </c>
      <c r="BF827" s="5" t="s">
        <v>4116</v>
      </c>
      <c r="BJ827" s="10" t="n">
        <v>2020</v>
      </c>
      <c r="BK827" s="10" t="n">
        <v>2022</v>
      </c>
    </row>
    <row r="828" customFormat="false" ht="16.5" hidden="false" customHeight="true" outlineLevel="0" collapsed="false">
      <c r="A828" s="10" t="s">
        <v>4117</v>
      </c>
      <c r="B828" s="10" t="s">
        <v>4118</v>
      </c>
      <c r="C828" s="10" t="s">
        <v>4119</v>
      </c>
      <c r="D828" s="5" t="s">
        <v>3372</v>
      </c>
      <c r="E828" s="10" t="n">
        <v>49834</v>
      </c>
      <c r="F828" s="10" t="n">
        <v>49834</v>
      </c>
      <c r="G828" s="10" t="s">
        <v>147</v>
      </c>
      <c r="H828" s="10" t="n">
        <v>53909</v>
      </c>
      <c r="J828" s="18" t="n">
        <v>49834</v>
      </c>
      <c r="K828" s="18" t="n">
        <v>49834</v>
      </c>
      <c r="L828" s="5" t="s">
        <v>84</v>
      </c>
      <c r="M828" s="5"/>
      <c r="O828" s="10" t="s">
        <v>4120</v>
      </c>
      <c r="T828" s="10" t="s">
        <v>4121</v>
      </c>
      <c r="V828" s="10" t="s">
        <v>4122</v>
      </c>
      <c r="W828" s="5"/>
      <c r="X828" s="5"/>
      <c r="Z828" s="10" t="s">
        <v>4123</v>
      </c>
      <c r="AI828" s="10" t="s">
        <v>3542</v>
      </c>
      <c r="AM828" s="5" t="s">
        <v>1523</v>
      </c>
      <c r="AO828" s="10" t="s">
        <v>3613</v>
      </c>
      <c r="AQ828" s="5" t="s">
        <v>77</v>
      </c>
      <c r="AR828" s="5" t="s">
        <v>568</v>
      </c>
      <c r="AS828" s="5" t="s">
        <v>73</v>
      </c>
      <c r="AT828" s="5" t="s">
        <v>105</v>
      </c>
      <c r="AU828" s="5" t="s">
        <v>186</v>
      </c>
      <c r="AV828" s="5"/>
      <c r="AW828" s="5" t="s">
        <v>94</v>
      </c>
      <c r="AX828" s="5" t="s">
        <v>4124</v>
      </c>
      <c r="AY828" s="5"/>
      <c r="AZ828" s="5" t="s">
        <v>107</v>
      </c>
      <c r="BF828" s="10" t="s">
        <v>4125</v>
      </c>
      <c r="BJ828" s="10" t="n">
        <v>2023</v>
      </c>
      <c r="BK828" s="10" t="n">
        <v>2024</v>
      </c>
    </row>
    <row r="829" customFormat="false" ht="16.5" hidden="false" customHeight="true" outlineLevel="0" collapsed="false">
      <c r="A829" s="10" t="s">
        <v>4126</v>
      </c>
      <c r="B829" s="10" t="s">
        <v>4127</v>
      </c>
      <c r="C829" s="10" t="s">
        <v>4126</v>
      </c>
      <c r="D829" s="5" t="s">
        <v>3372</v>
      </c>
      <c r="E829" s="10" t="n">
        <v>2316994</v>
      </c>
      <c r="F829" s="10" t="n">
        <v>2316994</v>
      </c>
      <c r="G829" s="10" t="s">
        <v>110</v>
      </c>
      <c r="H829" s="10" t="n">
        <v>211510</v>
      </c>
      <c r="J829" s="18" t="n">
        <f aca="false">E829*0.087</f>
        <v>201578.478</v>
      </c>
      <c r="K829" s="18" t="n">
        <f aca="false">F829*0.087</f>
        <v>201578.478</v>
      </c>
      <c r="L829" s="5" t="s">
        <v>84</v>
      </c>
      <c r="M829" s="5"/>
      <c r="N829" s="10" t="s">
        <v>4128</v>
      </c>
      <c r="O829" s="10" t="s">
        <v>4129</v>
      </c>
      <c r="T829" s="10" t="s">
        <v>4130</v>
      </c>
      <c r="V829" s="10" t="s">
        <v>4131</v>
      </c>
      <c r="W829" s="5"/>
      <c r="X829" s="5"/>
      <c r="Z829" s="10" t="s">
        <v>2696</v>
      </c>
      <c r="AI829" s="10" t="s">
        <v>3441</v>
      </c>
      <c r="AM829" s="5" t="s">
        <v>173</v>
      </c>
      <c r="AO829" s="10" t="s">
        <v>3486</v>
      </c>
      <c r="AQ829" s="5" t="s">
        <v>77</v>
      </c>
      <c r="AR829" s="5" t="s">
        <v>115</v>
      </c>
      <c r="AS829" s="5" t="s">
        <v>73</v>
      </c>
      <c r="AT829" s="5" t="s">
        <v>78</v>
      </c>
      <c r="AW829" s="5" t="s">
        <v>94</v>
      </c>
      <c r="AX829" s="5" t="s">
        <v>375</v>
      </c>
      <c r="AY829" s="5"/>
      <c r="AZ829" s="5" t="s">
        <v>399</v>
      </c>
      <c r="BF829" s="10" t="s">
        <v>4127</v>
      </c>
      <c r="BJ829" s="10" t="n">
        <v>2024</v>
      </c>
      <c r="BK829" s="10" t="n">
        <v>2027</v>
      </c>
    </row>
    <row r="830" customFormat="false" ht="16.5" hidden="false" customHeight="true" outlineLevel="0" collapsed="false">
      <c r="A830" s="10" t="s">
        <v>4132</v>
      </c>
      <c r="B830" s="10" t="s">
        <v>4133</v>
      </c>
      <c r="C830" s="10" t="s">
        <v>4132</v>
      </c>
      <c r="D830" s="5" t="s">
        <v>3372</v>
      </c>
      <c r="E830" s="10" t="n">
        <v>2355741</v>
      </c>
      <c r="F830" s="10" t="n">
        <v>2355741</v>
      </c>
      <c r="G830" s="10" t="s">
        <v>147</v>
      </c>
      <c r="H830" s="10" t="n">
        <v>2512325</v>
      </c>
      <c r="J830" s="18" t="n">
        <v>2355741</v>
      </c>
      <c r="K830" s="18" t="n">
        <v>2355741</v>
      </c>
      <c r="L830" s="5" t="s">
        <v>84</v>
      </c>
      <c r="M830" s="5"/>
      <c r="N830" s="10" t="s">
        <v>4134</v>
      </c>
      <c r="O830" s="10" t="s">
        <v>4135</v>
      </c>
      <c r="V830" s="10" t="s">
        <v>3439</v>
      </c>
      <c r="W830" s="5"/>
      <c r="X830" s="5" t="s">
        <v>257</v>
      </c>
      <c r="Z830" s="10" t="s">
        <v>3440</v>
      </c>
      <c r="AI830" s="10" t="s">
        <v>4136</v>
      </c>
      <c r="AM830" s="10" t="s">
        <v>182</v>
      </c>
      <c r="AN830" s="5" t="s">
        <v>4137</v>
      </c>
      <c r="AQ830" s="5" t="s">
        <v>77</v>
      </c>
      <c r="AR830" s="5" t="s">
        <v>185</v>
      </c>
      <c r="AS830" s="5" t="s">
        <v>73</v>
      </c>
      <c r="AT830" s="5" t="s">
        <v>78</v>
      </c>
      <c r="AW830" s="25" t="s">
        <v>94</v>
      </c>
      <c r="AX830" s="5" t="s">
        <v>79</v>
      </c>
      <c r="AY830" s="5"/>
      <c r="AZ830" s="5" t="s">
        <v>525</v>
      </c>
      <c r="BF830" s="10" t="s">
        <v>4133</v>
      </c>
      <c r="BJ830" s="10" t="n">
        <v>2023</v>
      </c>
      <c r="BK830" s="10" t="n">
        <v>2028</v>
      </c>
    </row>
    <row r="831" customFormat="false" ht="16.5" hidden="false" customHeight="true" outlineLevel="0" collapsed="false">
      <c r="A831" s="10" t="s">
        <v>4138</v>
      </c>
      <c r="B831" s="10" t="s">
        <v>4139</v>
      </c>
      <c r="C831" s="10" t="s">
        <v>4138</v>
      </c>
      <c r="D831" s="5" t="s">
        <v>3372</v>
      </c>
      <c r="E831" s="16" t="n">
        <v>125000</v>
      </c>
      <c r="F831" s="16" t="n">
        <v>100000</v>
      </c>
      <c r="G831" s="10" t="s">
        <v>132</v>
      </c>
      <c r="H831" s="10" t="n">
        <v>0</v>
      </c>
      <c r="J831" s="7" t="n">
        <f aca="false">E831*1.19</f>
        <v>148750</v>
      </c>
      <c r="K831" s="7" t="n">
        <f aca="false">F831*1.19</f>
        <v>119000</v>
      </c>
      <c r="L831" s="5" t="s">
        <v>84</v>
      </c>
      <c r="M831" s="5"/>
      <c r="N831" s="10" t="s">
        <v>4140</v>
      </c>
      <c r="O831" s="10" t="s">
        <v>4141</v>
      </c>
      <c r="T831" s="10" t="s">
        <v>4142</v>
      </c>
      <c r="V831" s="10" t="s">
        <v>1139</v>
      </c>
      <c r="W831" s="5"/>
      <c r="X831" s="5" t="s">
        <v>139</v>
      </c>
      <c r="Z831" s="10" t="s">
        <v>3250</v>
      </c>
      <c r="AI831" s="10" t="s">
        <v>3795</v>
      </c>
      <c r="AM831" s="5" t="s">
        <v>140</v>
      </c>
      <c r="AN831" s="25" t="s">
        <v>199</v>
      </c>
      <c r="AO831" s="10" t="s">
        <v>1760</v>
      </c>
      <c r="AQ831" s="5" t="s">
        <v>77</v>
      </c>
      <c r="AR831" s="5" t="s">
        <v>143</v>
      </c>
      <c r="AS831" s="5" t="s">
        <v>73</v>
      </c>
      <c r="AT831" s="5" t="s">
        <v>105</v>
      </c>
      <c r="AU831" s="5" t="s">
        <v>186</v>
      </c>
      <c r="AV831" s="5"/>
      <c r="AW831" s="5" t="s">
        <v>201</v>
      </c>
      <c r="AX831" s="5" t="s">
        <v>79</v>
      </c>
      <c r="AY831" s="5"/>
      <c r="AZ831" s="5" t="s">
        <v>525</v>
      </c>
      <c r="BF831" s="10" t="s">
        <v>4139</v>
      </c>
      <c r="BJ831" s="10" t="n">
        <v>2024</v>
      </c>
      <c r="BK831" s="10" t="n">
        <v>2028</v>
      </c>
    </row>
    <row r="832" customFormat="false" ht="16.5" hidden="false" customHeight="true" outlineLevel="0" collapsed="false">
      <c r="A832" s="10" t="s">
        <v>4143</v>
      </c>
      <c r="B832" s="10" t="s">
        <v>4144</v>
      </c>
      <c r="C832" s="10" t="s">
        <v>4143</v>
      </c>
      <c r="D832" s="5" t="s">
        <v>3372</v>
      </c>
      <c r="E832" s="16" t="n">
        <v>125000</v>
      </c>
      <c r="F832" s="16" t="n">
        <v>100000</v>
      </c>
      <c r="G832" s="10" t="s">
        <v>132</v>
      </c>
      <c r="H832" s="10" t="n">
        <v>0</v>
      </c>
      <c r="J832" s="7" t="n">
        <f aca="false">E832*1.19</f>
        <v>148750</v>
      </c>
      <c r="K832" s="7" t="n">
        <f aca="false">F832*1.19</f>
        <v>119000</v>
      </c>
      <c r="L832" s="5" t="s">
        <v>84</v>
      </c>
      <c r="M832" s="5"/>
      <c r="O832" s="10" t="s">
        <v>4145</v>
      </c>
      <c r="T832" s="10" t="s">
        <v>4146</v>
      </c>
      <c r="V832" s="10" t="s">
        <v>896</v>
      </c>
      <c r="W832" s="5"/>
      <c r="X832" s="5" t="s">
        <v>139</v>
      </c>
      <c r="Z832" s="10" t="s">
        <v>4147</v>
      </c>
      <c r="AI832" s="10" t="s">
        <v>4148</v>
      </c>
      <c r="AM832" s="10" t="s">
        <v>3239</v>
      </c>
      <c r="AO832" s="10" t="s">
        <v>4149</v>
      </c>
      <c r="AQ832" s="5" t="s">
        <v>93</v>
      </c>
      <c r="AR832" s="5" t="s">
        <v>143</v>
      </c>
      <c r="AS832" s="5" t="s">
        <v>73</v>
      </c>
      <c r="AT832" s="5" t="s">
        <v>78</v>
      </c>
      <c r="AW832" s="5" t="s">
        <v>201</v>
      </c>
      <c r="AX832" s="5" t="s">
        <v>79</v>
      </c>
      <c r="AY832" s="5"/>
      <c r="AZ832" s="5" t="s">
        <v>309</v>
      </c>
      <c r="BF832" s="10" t="s">
        <v>4144</v>
      </c>
      <c r="BJ832" s="10" t="n">
        <v>2022</v>
      </c>
      <c r="BK832" s="10" t="n">
        <v>2025</v>
      </c>
    </row>
    <row r="833" customFormat="false" ht="16.5" hidden="false" customHeight="true" outlineLevel="0" collapsed="false">
      <c r="A833" s="10" t="s">
        <v>4150</v>
      </c>
      <c r="B833" s="10" t="s">
        <v>4151</v>
      </c>
      <c r="C833" s="10" t="s">
        <v>4150</v>
      </c>
      <c r="D833" s="5" t="s">
        <v>3372</v>
      </c>
      <c r="E833" s="10" t="n">
        <v>398000</v>
      </c>
      <c r="F833" s="10" t="n">
        <v>398000</v>
      </c>
      <c r="G833" s="10" t="s">
        <v>212</v>
      </c>
      <c r="H833" s="10" t="n">
        <v>39318</v>
      </c>
      <c r="J833" s="7" t="n">
        <f aca="false">E833*0.091</f>
        <v>36218</v>
      </c>
      <c r="K833" s="7" t="n">
        <f aca="false">F833*0.091</f>
        <v>36218</v>
      </c>
      <c r="L833" s="5" t="s">
        <v>84</v>
      </c>
      <c r="M833" s="5"/>
      <c r="N833" s="10" t="s">
        <v>4152</v>
      </c>
      <c r="O833" s="10" t="s">
        <v>4153</v>
      </c>
      <c r="T833" s="10" t="s">
        <v>4154</v>
      </c>
      <c r="V833" s="10" t="s">
        <v>432</v>
      </c>
      <c r="W833" s="5"/>
      <c r="X833" s="5"/>
      <c r="Z833" s="10" t="s">
        <v>2631</v>
      </c>
      <c r="AI833" s="10" t="s">
        <v>4155</v>
      </c>
      <c r="AM833" s="10" t="s">
        <v>2703</v>
      </c>
      <c r="AO833" s="10" t="s">
        <v>4156</v>
      </c>
      <c r="AQ833" s="5" t="s">
        <v>77</v>
      </c>
      <c r="AR833" s="5" t="s">
        <v>215</v>
      </c>
      <c r="AS833" s="5" t="s">
        <v>73</v>
      </c>
      <c r="AT833" s="5" t="s">
        <v>105</v>
      </c>
      <c r="AW833" s="5" t="s">
        <v>94</v>
      </c>
      <c r="AX833" s="5" t="s">
        <v>4157</v>
      </c>
      <c r="AY833" s="5"/>
      <c r="AZ833" s="5" t="s">
        <v>107</v>
      </c>
      <c r="BF833" s="10" t="s">
        <v>4151</v>
      </c>
      <c r="BJ833" s="10" t="n">
        <v>2022</v>
      </c>
      <c r="BK833" s="10" t="n">
        <v>2022</v>
      </c>
    </row>
    <row r="834" customFormat="false" ht="16.5" hidden="false" customHeight="true" outlineLevel="0" collapsed="false">
      <c r="A834" s="10" t="s">
        <v>4158</v>
      </c>
      <c r="B834" s="10" t="s">
        <v>4159</v>
      </c>
      <c r="C834" s="10" t="s">
        <v>4158</v>
      </c>
      <c r="D834" s="5" t="s">
        <v>3372</v>
      </c>
      <c r="E834" s="10" t="n">
        <v>194075</v>
      </c>
      <c r="F834" s="10" t="n">
        <v>194075</v>
      </c>
      <c r="G834" s="10" t="s">
        <v>147</v>
      </c>
      <c r="H834" s="10" t="n">
        <v>205963</v>
      </c>
      <c r="J834" s="18" t="n">
        <v>194075</v>
      </c>
      <c r="K834" s="18" t="n">
        <v>194075</v>
      </c>
      <c r="L834" s="5" t="s">
        <v>84</v>
      </c>
      <c r="M834" s="5"/>
      <c r="N834" s="10" t="s">
        <v>4160</v>
      </c>
      <c r="O834" s="10" t="s">
        <v>4161</v>
      </c>
      <c r="V834" s="10" t="s">
        <v>4162</v>
      </c>
      <c r="W834" s="5"/>
      <c r="X834" s="5" t="s">
        <v>257</v>
      </c>
      <c r="Z834" s="10" t="s">
        <v>4163</v>
      </c>
      <c r="AI834" s="10" t="s">
        <v>4164</v>
      </c>
      <c r="AM834" s="10" t="s">
        <v>182</v>
      </c>
      <c r="AN834" s="5" t="s">
        <v>508</v>
      </c>
      <c r="AQ834" s="5" t="s">
        <v>77</v>
      </c>
      <c r="AR834" s="5" t="s">
        <v>185</v>
      </c>
      <c r="AS834" s="5" t="s">
        <v>73</v>
      </c>
      <c r="AT834" s="5" t="s">
        <v>78</v>
      </c>
      <c r="AW834" s="5" t="s">
        <v>201</v>
      </c>
      <c r="AX834" s="5" t="s">
        <v>79</v>
      </c>
      <c r="AY834" s="5"/>
      <c r="AZ834" s="5" t="s">
        <v>129</v>
      </c>
      <c r="BF834" s="10" t="s">
        <v>4159</v>
      </c>
      <c r="BJ834" s="10" t="n">
        <v>2026</v>
      </c>
      <c r="BK834" s="10" t="n">
        <v>2028</v>
      </c>
    </row>
    <row r="835" customFormat="false" ht="16.5" hidden="false" customHeight="true" outlineLevel="0" collapsed="false">
      <c r="A835" s="10" t="s">
        <v>4165</v>
      </c>
      <c r="B835" s="10" t="s">
        <v>4166</v>
      </c>
      <c r="C835" s="10" t="s">
        <v>4167</v>
      </c>
      <c r="D835" s="5" t="s">
        <v>3372</v>
      </c>
      <c r="E835" s="10" t="n">
        <v>747250</v>
      </c>
      <c r="F835" s="10" t="n">
        <v>747250</v>
      </c>
      <c r="G835" s="10" t="s">
        <v>366</v>
      </c>
      <c r="H835" s="10" t="n">
        <v>186186</v>
      </c>
      <c r="J835" s="7" t="n">
        <f aca="false">E835*0.23</f>
        <v>171867.5</v>
      </c>
      <c r="K835" s="7" t="n">
        <f aca="false">F835*0.23</f>
        <v>171867.5</v>
      </c>
      <c r="L835" s="5" t="s">
        <v>84</v>
      </c>
      <c r="M835" s="5"/>
      <c r="N835" s="10" t="s">
        <v>4168</v>
      </c>
      <c r="O835" s="10" t="s">
        <v>4169</v>
      </c>
      <c r="T835" s="10" t="s">
        <v>4170</v>
      </c>
      <c r="V835" s="10" t="s">
        <v>3648</v>
      </c>
      <c r="W835" s="5"/>
      <c r="X835" s="5"/>
      <c r="Z835" s="10" t="s">
        <v>3649</v>
      </c>
      <c r="AI835" s="10" t="s">
        <v>4171</v>
      </c>
      <c r="AM835" s="10" t="s">
        <v>1208</v>
      </c>
      <c r="AO835" s="10" t="s">
        <v>4172</v>
      </c>
      <c r="AQ835" s="5" t="s">
        <v>77</v>
      </c>
      <c r="AR835" s="5" t="s">
        <v>371</v>
      </c>
      <c r="AS835" s="5" t="s">
        <v>73</v>
      </c>
      <c r="AT835" s="5" t="s">
        <v>105</v>
      </c>
      <c r="AU835" s="5" t="s">
        <v>106</v>
      </c>
      <c r="AV835" s="5"/>
      <c r="AW835" s="5" t="s">
        <v>94</v>
      </c>
      <c r="AX835" s="5" t="s">
        <v>79</v>
      </c>
      <c r="AY835" s="5"/>
      <c r="AZ835" s="5" t="s">
        <v>129</v>
      </c>
      <c r="BF835" s="5" t="s">
        <v>4173</v>
      </c>
      <c r="BJ835" s="10" t="n">
        <v>2023</v>
      </c>
      <c r="BK835" s="10" t="n">
        <v>2026</v>
      </c>
    </row>
    <row r="836" customFormat="false" ht="16.5" hidden="false" customHeight="true" outlineLevel="0" collapsed="false">
      <c r="A836" s="10" t="s">
        <v>4174</v>
      </c>
      <c r="B836" s="10" t="s">
        <v>4175</v>
      </c>
      <c r="C836" s="10" t="s">
        <v>4174</v>
      </c>
      <c r="D836" s="5" t="s">
        <v>3372</v>
      </c>
      <c r="E836" s="10" t="n">
        <v>1848121</v>
      </c>
      <c r="F836" s="10" t="n">
        <v>1848121</v>
      </c>
      <c r="G836" s="10" t="s">
        <v>732</v>
      </c>
      <c r="H836" s="10" t="n">
        <v>2064600</v>
      </c>
      <c r="J836" s="7" t="n">
        <f aca="false">E836*1.07</f>
        <v>1977489.47</v>
      </c>
      <c r="K836" s="7" t="n">
        <f aca="false">F836*1.07</f>
        <v>1977489.47</v>
      </c>
      <c r="L836" s="5" t="s">
        <v>84</v>
      </c>
      <c r="M836" s="5"/>
      <c r="N836" s="10" t="s">
        <v>4176</v>
      </c>
      <c r="O836" s="10" t="s">
        <v>4177</v>
      </c>
      <c r="W836" s="5"/>
      <c r="X836" s="5"/>
      <c r="AI836" s="10" t="s">
        <v>3988</v>
      </c>
      <c r="AM836" s="10" t="s">
        <v>945</v>
      </c>
      <c r="AQ836" s="5" t="s">
        <v>77</v>
      </c>
      <c r="AR836" s="5" t="s">
        <v>737</v>
      </c>
      <c r="AS836" s="5" t="s">
        <v>73</v>
      </c>
      <c r="AT836" s="5" t="s">
        <v>78</v>
      </c>
      <c r="AU836" s="10" t="s">
        <v>259</v>
      </c>
      <c r="AV836" s="10"/>
      <c r="AW836" s="25" t="s">
        <v>94</v>
      </c>
      <c r="AX836" s="5" t="s">
        <v>79</v>
      </c>
      <c r="AY836" s="5"/>
      <c r="AZ836" s="5" t="s">
        <v>129</v>
      </c>
      <c r="BF836" s="10" t="s">
        <v>4175</v>
      </c>
      <c r="BJ836" s="10" t="n">
        <v>2022</v>
      </c>
      <c r="BK836" s="10" t="n">
        <v>2026</v>
      </c>
    </row>
    <row r="837" customFormat="false" ht="16.5" hidden="false" customHeight="true" outlineLevel="0" collapsed="false">
      <c r="A837" s="10" t="s">
        <v>4174</v>
      </c>
      <c r="B837" s="10" t="s">
        <v>4175</v>
      </c>
      <c r="C837" s="10" t="s">
        <v>4174</v>
      </c>
      <c r="D837" s="5" t="s">
        <v>3372</v>
      </c>
      <c r="E837" s="10" t="n">
        <v>130554</v>
      </c>
      <c r="F837" s="10" t="n">
        <v>130554</v>
      </c>
      <c r="G837" s="10" t="s">
        <v>732</v>
      </c>
      <c r="H837" s="10" t="n">
        <v>145833</v>
      </c>
      <c r="J837" s="7" t="n">
        <f aca="false">E837*1.07</f>
        <v>139692.78</v>
      </c>
      <c r="K837" s="7" t="n">
        <f aca="false">F837*1.07</f>
        <v>139692.78</v>
      </c>
      <c r="L837" s="5" t="s">
        <v>84</v>
      </c>
      <c r="M837" s="5"/>
      <c r="N837" s="10" t="s">
        <v>4178</v>
      </c>
      <c r="O837" s="10" t="s">
        <v>4179</v>
      </c>
      <c r="W837" s="5"/>
      <c r="X837" s="5"/>
      <c r="AI837" s="10" t="s">
        <v>3988</v>
      </c>
      <c r="AM837" s="10" t="s">
        <v>945</v>
      </c>
      <c r="AQ837" s="5" t="s">
        <v>77</v>
      </c>
      <c r="AR837" s="5" t="s">
        <v>737</v>
      </c>
      <c r="AS837" s="5" t="s">
        <v>73</v>
      </c>
      <c r="AT837" s="5" t="s">
        <v>78</v>
      </c>
      <c r="AU837" s="10" t="s">
        <v>259</v>
      </c>
      <c r="AV837" s="10"/>
      <c r="AW837" s="25" t="s">
        <v>94</v>
      </c>
      <c r="AX837" s="5" t="s">
        <v>79</v>
      </c>
      <c r="AY837" s="5"/>
      <c r="AZ837" s="5" t="s">
        <v>129</v>
      </c>
      <c r="BF837" s="10" t="s">
        <v>4175</v>
      </c>
      <c r="BJ837" s="10" t="n">
        <v>2022</v>
      </c>
      <c r="BK837" s="10" t="n">
        <v>2026</v>
      </c>
    </row>
    <row r="838" customFormat="false" ht="16.5" hidden="false" customHeight="true" outlineLevel="0" collapsed="false">
      <c r="A838" s="10" t="s">
        <v>4180</v>
      </c>
      <c r="C838" s="10" t="s">
        <v>4181</v>
      </c>
      <c r="D838" s="5" t="s">
        <v>3372</v>
      </c>
      <c r="E838" s="10" t="n">
        <v>111758</v>
      </c>
      <c r="F838" s="10" t="n">
        <v>111758</v>
      </c>
      <c r="G838" s="10" t="s">
        <v>147</v>
      </c>
      <c r="H838" s="10" t="n">
        <v>117504</v>
      </c>
      <c r="J838" s="18" t="n">
        <v>111758</v>
      </c>
      <c r="K838" s="18" t="n">
        <v>111758</v>
      </c>
      <c r="L838" s="5" t="s">
        <v>84</v>
      </c>
      <c r="M838" s="5"/>
      <c r="N838" s="10" t="s">
        <v>3436</v>
      </c>
      <c r="O838" s="10" t="s">
        <v>4182</v>
      </c>
      <c r="V838" s="10" t="s">
        <v>3439</v>
      </c>
      <c r="W838" s="5"/>
      <c r="X838" s="5"/>
      <c r="Z838" s="10" t="s">
        <v>3440</v>
      </c>
      <c r="AI838" s="10" t="s">
        <v>3409</v>
      </c>
      <c r="AM838" s="10" t="s">
        <v>3442</v>
      </c>
      <c r="AO838" s="10" t="s">
        <v>4183</v>
      </c>
      <c r="AQ838" s="5" t="s">
        <v>77</v>
      </c>
      <c r="AR838" s="5" t="s">
        <v>257</v>
      </c>
      <c r="AS838" s="5" t="s">
        <v>73</v>
      </c>
      <c r="AT838" s="5" t="s">
        <v>78</v>
      </c>
      <c r="AW838" s="5" t="s">
        <v>94</v>
      </c>
      <c r="AX838" s="5" t="s">
        <v>79</v>
      </c>
      <c r="AY838" s="5"/>
      <c r="AZ838" s="5" t="s">
        <v>396</v>
      </c>
      <c r="BJ838" s="10" t="n">
        <v>2022</v>
      </c>
    </row>
    <row r="839" customFormat="false" ht="16.5" hidden="false" customHeight="true" outlineLevel="0" collapsed="false">
      <c r="A839" s="10" t="s">
        <v>4184</v>
      </c>
      <c r="B839" s="10" t="s">
        <v>4185</v>
      </c>
      <c r="C839" s="10" t="s">
        <v>4184</v>
      </c>
      <c r="D839" s="5" t="s">
        <v>3372</v>
      </c>
      <c r="E839" s="10" t="n">
        <v>36000</v>
      </c>
      <c r="F839" s="10" t="n">
        <v>36000</v>
      </c>
      <c r="G839" s="10" t="s">
        <v>147</v>
      </c>
      <c r="H839" s="10" t="n">
        <v>40239</v>
      </c>
      <c r="J839" s="18" t="n">
        <v>36000</v>
      </c>
      <c r="K839" s="18" t="n">
        <v>36000</v>
      </c>
      <c r="L839" s="5" t="s">
        <v>84</v>
      </c>
      <c r="M839" s="5"/>
      <c r="N839" s="10" t="s">
        <v>4186</v>
      </c>
      <c r="O839" s="10" t="s">
        <v>4187</v>
      </c>
      <c r="V839" s="10" t="s">
        <v>4188</v>
      </c>
      <c r="W839" s="5"/>
      <c r="X839" s="5"/>
      <c r="Z839" s="10" t="s">
        <v>4189</v>
      </c>
      <c r="AI839" s="10" t="s">
        <v>4190</v>
      </c>
      <c r="AM839" s="10" t="s">
        <v>161</v>
      </c>
      <c r="AO839" s="10" t="s">
        <v>4191</v>
      </c>
      <c r="AQ839" s="5" t="s">
        <v>77</v>
      </c>
      <c r="AR839" s="5" t="s">
        <v>160</v>
      </c>
      <c r="AS839" s="5" t="s">
        <v>73</v>
      </c>
      <c r="AT839" s="5" t="s">
        <v>78</v>
      </c>
      <c r="AW839" s="5" t="s">
        <v>94</v>
      </c>
      <c r="AX839" s="5" t="s">
        <v>79</v>
      </c>
      <c r="AY839" s="5"/>
      <c r="AZ839" s="5" t="s">
        <v>129</v>
      </c>
      <c r="BF839" s="10" t="s">
        <v>4192</v>
      </c>
      <c r="BJ839" s="10" t="n">
        <v>2021</v>
      </c>
      <c r="BK839" s="10" t="n">
        <v>2022</v>
      </c>
    </row>
    <row r="840" customFormat="false" ht="16.5" hidden="false" customHeight="true" outlineLevel="0" collapsed="false">
      <c r="A840" s="10" t="s">
        <v>4193</v>
      </c>
      <c r="B840" s="10" t="s">
        <v>4194</v>
      </c>
      <c r="C840" s="10" t="s">
        <v>4193</v>
      </c>
      <c r="D840" s="5" t="s">
        <v>3372</v>
      </c>
      <c r="E840" s="10" t="n">
        <v>0</v>
      </c>
      <c r="H840" s="10" t="n">
        <v>0</v>
      </c>
      <c r="J840" s="18"/>
      <c r="K840" s="18"/>
      <c r="L840" s="5" t="s">
        <v>84</v>
      </c>
      <c r="M840" s="5"/>
      <c r="N840" s="10" t="s">
        <v>4195</v>
      </c>
      <c r="O840" s="10" t="s">
        <v>4196</v>
      </c>
      <c r="T840" s="10" t="s">
        <v>4197</v>
      </c>
      <c r="W840" s="5"/>
      <c r="X840" s="5"/>
      <c r="AI840" s="10" t="s">
        <v>3441</v>
      </c>
      <c r="AM840" s="10" t="s">
        <v>2352</v>
      </c>
      <c r="AQ840" s="5" t="s">
        <v>77</v>
      </c>
      <c r="AR840" s="5" t="s">
        <v>2221</v>
      </c>
      <c r="AS840" s="5" t="s">
        <v>73</v>
      </c>
      <c r="AT840" s="5" t="s">
        <v>78</v>
      </c>
      <c r="AW840" s="5" t="s">
        <v>94</v>
      </c>
      <c r="AX840" s="5" t="s">
        <v>79</v>
      </c>
      <c r="AY840" s="5"/>
      <c r="AZ840" s="5" t="s">
        <v>309</v>
      </c>
      <c r="BF840" s="10" t="s">
        <v>4194</v>
      </c>
      <c r="BJ840" s="10" t="n">
        <v>2024</v>
      </c>
      <c r="BK840" s="10" t="n">
        <v>2026</v>
      </c>
    </row>
    <row r="841" customFormat="false" ht="16.5" hidden="false" customHeight="true" outlineLevel="0" collapsed="false">
      <c r="A841" s="10" t="s">
        <v>4198</v>
      </c>
      <c r="B841" s="10" t="s">
        <v>4199</v>
      </c>
      <c r="C841" s="10" t="s">
        <v>4198</v>
      </c>
      <c r="D841" s="5" t="s">
        <v>3372</v>
      </c>
      <c r="E841" s="10" t="n">
        <v>14827976</v>
      </c>
      <c r="F841" s="10" t="n">
        <v>14827976</v>
      </c>
      <c r="G841" s="10" t="s">
        <v>110</v>
      </c>
      <c r="H841" s="10" t="n">
        <v>1494598</v>
      </c>
      <c r="J841" s="18" t="n">
        <f aca="false">E841*0.087</f>
        <v>1290033.912</v>
      </c>
      <c r="K841" s="18" t="n">
        <f aca="false">F841*0.087</f>
        <v>1290033.912</v>
      </c>
      <c r="L841" s="5" t="s">
        <v>84</v>
      </c>
      <c r="M841" s="5"/>
      <c r="N841" s="10" t="s">
        <v>4200</v>
      </c>
      <c r="O841" s="10" t="s">
        <v>4201</v>
      </c>
      <c r="T841" s="10" t="s">
        <v>4130</v>
      </c>
      <c r="V841" s="10" t="s">
        <v>4131</v>
      </c>
      <c r="W841" s="5"/>
      <c r="X841" s="5"/>
      <c r="Z841" s="10" t="s">
        <v>2696</v>
      </c>
      <c r="AI841" s="10" t="s">
        <v>3451</v>
      </c>
      <c r="AM841" s="5" t="s">
        <v>173</v>
      </c>
      <c r="AO841" s="10" t="s">
        <v>4202</v>
      </c>
      <c r="AQ841" s="5" t="s">
        <v>77</v>
      </c>
      <c r="AR841" s="5" t="s">
        <v>115</v>
      </c>
      <c r="AS841" s="5" t="s">
        <v>73</v>
      </c>
      <c r="AT841" s="5" t="s">
        <v>78</v>
      </c>
      <c r="AW841" s="25" t="s">
        <v>94</v>
      </c>
      <c r="AX841" s="5" t="s">
        <v>375</v>
      </c>
      <c r="AY841" s="5"/>
      <c r="AZ841" s="5" t="s">
        <v>399</v>
      </c>
      <c r="BF841" s="10" t="s">
        <v>4199</v>
      </c>
      <c r="BJ841" s="10" t="n">
        <v>2020</v>
      </c>
      <c r="BK841" s="10" t="n">
        <v>2025</v>
      </c>
    </row>
    <row r="842" customFormat="false" ht="16.5" hidden="false" customHeight="true" outlineLevel="0" collapsed="false">
      <c r="A842" s="10" t="s">
        <v>4203</v>
      </c>
      <c r="B842" s="5" t="s">
        <v>4204</v>
      </c>
      <c r="C842" s="10" t="s">
        <v>4203</v>
      </c>
      <c r="D842" s="5" t="s">
        <v>3372</v>
      </c>
      <c r="E842" s="10" t="n">
        <v>4499428</v>
      </c>
      <c r="F842" s="10" t="n">
        <v>4499428</v>
      </c>
      <c r="G842" s="10" t="s">
        <v>147</v>
      </c>
      <c r="H842" s="10" t="n">
        <v>4780422</v>
      </c>
      <c r="J842" s="18" t="n">
        <v>4499428</v>
      </c>
      <c r="K842" s="18" t="n">
        <v>4499428</v>
      </c>
      <c r="L842" s="5" t="s">
        <v>84</v>
      </c>
      <c r="M842" s="5"/>
      <c r="N842" s="10" t="s">
        <v>4205</v>
      </c>
      <c r="O842" s="10" t="s">
        <v>4206</v>
      </c>
      <c r="V842" s="10" t="s">
        <v>4207</v>
      </c>
      <c r="W842" s="5"/>
      <c r="X842" s="5" t="s">
        <v>215</v>
      </c>
      <c r="Z842" s="10" t="s">
        <v>4208</v>
      </c>
      <c r="AI842" s="10" t="s">
        <v>4209</v>
      </c>
      <c r="AM842" s="10" t="s">
        <v>182</v>
      </c>
      <c r="AN842" s="5" t="s">
        <v>404</v>
      </c>
      <c r="AQ842" s="5" t="s">
        <v>77</v>
      </c>
      <c r="AR842" s="5" t="s">
        <v>185</v>
      </c>
      <c r="AS842" s="5" t="s">
        <v>73</v>
      </c>
      <c r="AT842" s="5" t="s">
        <v>105</v>
      </c>
      <c r="AW842" s="25" t="s">
        <v>94</v>
      </c>
      <c r="AX842" s="5" t="s">
        <v>79</v>
      </c>
      <c r="AY842" s="5"/>
      <c r="AZ842" s="5" t="s">
        <v>287</v>
      </c>
      <c r="BF842" s="5" t="s">
        <v>4204</v>
      </c>
      <c r="BJ842" s="10" t="n">
        <v>2024</v>
      </c>
      <c r="BK842" s="10" t="n">
        <v>2027</v>
      </c>
    </row>
    <row r="843" customFormat="false" ht="16.5" hidden="false" customHeight="true" outlineLevel="0" collapsed="false">
      <c r="A843" s="10" t="s">
        <v>4210</v>
      </c>
      <c r="B843" s="10" t="s">
        <v>4211</v>
      </c>
      <c r="C843" s="10" t="s">
        <v>4212</v>
      </c>
      <c r="D843" s="5" t="s">
        <v>3372</v>
      </c>
      <c r="E843" s="10" t="n">
        <v>356766</v>
      </c>
      <c r="F843" s="10" t="n">
        <v>356766</v>
      </c>
      <c r="G843" s="10" t="s">
        <v>147</v>
      </c>
      <c r="H843" s="10" t="n">
        <v>421877</v>
      </c>
      <c r="J843" s="18" t="n">
        <v>356766</v>
      </c>
      <c r="K843" s="18" t="n">
        <v>356766</v>
      </c>
      <c r="L843" s="5" t="s">
        <v>84</v>
      </c>
      <c r="M843" s="5"/>
      <c r="N843" s="10" t="s">
        <v>3436</v>
      </c>
      <c r="O843" s="10" t="s">
        <v>4213</v>
      </c>
      <c r="W843" s="5"/>
      <c r="X843" s="5"/>
      <c r="AI843" s="10" t="s">
        <v>3478</v>
      </c>
      <c r="AM843" s="10" t="s">
        <v>3442</v>
      </c>
      <c r="AO843" s="10" t="s">
        <v>3656</v>
      </c>
      <c r="AQ843" s="5" t="s">
        <v>77</v>
      </c>
      <c r="AR843" s="5" t="s">
        <v>257</v>
      </c>
      <c r="AS843" s="5" t="s">
        <v>73</v>
      </c>
      <c r="AT843" s="5" t="s">
        <v>78</v>
      </c>
      <c r="AW843" s="5" t="s">
        <v>94</v>
      </c>
      <c r="AX843" s="5" t="s">
        <v>218</v>
      </c>
      <c r="AY843" s="5"/>
      <c r="AZ843" s="5" t="s">
        <v>396</v>
      </c>
      <c r="BF843" s="5" t="s">
        <v>4214</v>
      </c>
      <c r="BJ843" s="10" t="n">
        <v>2021</v>
      </c>
    </row>
    <row r="844" customFormat="false" ht="16.5" hidden="false" customHeight="true" outlineLevel="0" collapsed="false">
      <c r="A844" s="10" t="s">
        <v>4215</v>
      </c>
      <c r="B844" s="10" t="s">
        <v>4216</v>
      </c>
      <c r="C844" s="10" t="s">
        <v>4217</v>
      </c>
      <c r="D844" s="5" t="s">
        <v>3372</v>
      </c>
      <c r="E844" s="10" t="n">
        <v>112500</v>
      </c>
      <c r="F844" s="10" t="n">
        <v>112500</v>
      </c>
      <c r="G844" s="10" t="s">
        <v>147</v>
      </c>
      <c r="H844" s="10" t="n">
        <v>121723</v>
      </c>
      <c r="J844" s="18" t="n">
        <v>112500</v>
      </c>
      <c r="K844" s="18" t="n">
        <v>112500</v>
      </c>
      <c r="L844" s="5" t="s">
        <v>84</v>
      </c>
      <c r="M844" s="5"/>
      <c r="N844" s="10" t="s">
        <v>3436</v>
      </c>
      <c r="O844" s="10" t="s">
        <v>4218</v>
      </c>
      <c r="V844" s="10" t="s">
        <v>4219</v>
      </c>
      <c r="W844" s="5"/>
      <c r="X844" s="5"/>
      <c r="Z844" s="10" t="s">
        <v>3718</v>
      </c>
      <c r="AI844" s="10" t="s">
        <v>3469</v>
      </c>
      <c r="AM844" s="10" t="s">
        <v>3442</v>
      </c>
      <c r="AO844" s="10" t="s">
        <v>3452</v>
      </c>
      <c r="AQ844" s="5" t="s">
        <v>77</v>
      </c>
      <c r="AR844" s="5" t="s">
        <v>257</v>
      </c>
      <c r="AS844" s="5" t="s">
        <v>73</v>
      </c>
      <c r="AT844" s="5" t="s">
        <v>78</v>
      </c>
      <c r="AW844" s="5" t="s">
        <v>94</v>
      </c>
      <c r="AX844" s="5" t="s">
        <v>79</v>
      </c>
      <c r="AY844" s="5"/>
      <c r="AZ844" s="5" t="s">
        <v>525</v>
      </c>
      <c r="BF844" s="5" t="s">
        <v>4220</v>
      </c>
      <c r="BJ844" s="10" t="n">
        <v>2023</v>
      </c>
    </row>
    <row r="845" customFormat="false" ht="16.5" hidden="false" customHeight="true" outlineLevel="0" collapsed="false">
      <c r="A845" s="10" t="s">
        <v>4221</v>
      </c>
      <c r="B845" s="10" t="s">
        <v>4222</v>
      </c>
      <c r="C845" s="10" t="s">
        <v>4223</v>
      </c>
      <c r="D845" s="5" t="s">
        <v>3372</v>
      </c>
      <c r="E845" s="10" t="n">
        <v>4000</v>
      </c>
      <c r="F845" s="10" t="n">
        <v>4000</v>
      </c>
      <c r="G845" s="10" t="s">
        <v>147</v>
      </c>
      <c r="H845" s="10" t="n">
        <v>4260</v>
      </c>
      <c r="J845" s="18" t="n">
        <v>4000</v>
      </c>
      <c r="K845" s="18" t="n">
        <v>4000</v>
      </c>
      <c r="L845" s="5" t="s">
        <v>84</v>
      </c>
      <c r="M845" s="5"/>
      <c r="O845" s="10" t="s">
        <v>4224</v>
      </c>
      <c r="T845" s="10" t="s">
        <v>4225</v>
      </c>
      <c r="V845" s="10" t="s">
        <v>4226</v>
      </c>
      <c r="W845" s="5"/>
      <c r="X845" s="5"/>
      <c r="Z845" s="10" t="s">
        <v>4227</v>
      </c>
      <c r="AI845" s="10" t="s">
        <v>3409</v>
      </c>
      <c r="AM845" s="5" t="s">
        <v>1523</v>
      </c>
      <c r="AO845" s="10" t="s">
        <v>4228</v>
      </c>
      <c r="AQ845" s="5" t="s">
        <v>77</v>
      </c>
      <c r="AR845" s="5" t="s">
        <v>568</v>
      </c>
      <c r="AS845" s="5" t="s">
        <v>73</v>
      </c>
      <c r="AT845" s="5" t="s">
        <v>78</v>
      </c>
      <c r="AW845" s="5" t="s">
        <v>94</v>
      </c>
      <c r="AX845" s="5" t="s">
        <v>375</v>
      </c>
      <c r="AY845" s="5"/>
      <c r="AZ845" s="5" t="s">
        <v>399</v>
      </c>
      <c r="BF845" s="10" t="s">
        <v>4229</v>
      </c>
      <c r="BJ845" s="10" t="n">
        <v>2022</v>
      </c>
      <c r="BK845" s="10" t="n">
        <v>2023</v>
      </c>
    </row>
    <row r="846" customFormat="false" ht="16.5" hidden="false" customHeight="true" outlineLevel="0" collapsed="false">
      <c r="A846" s="10" t="s">
        <v>4230</v>
      </c>
      <c r="B846" s="10" t="s">
        <v>4231</v>
      </c>
      <c r="C846" s="10" t="s">
        <v>4230</v>
      </c>
      <c r="D846" s="5" t="s">
        <v>3372</v>
      </c>
      <c r="E846" s="10" t="n">
        <v>183750</v>
      </c>
      <c r="F846" s="10" t="n">
        <v>183750</v>
      </c>
      <c r="G846" s="10" t="s">
        <v>147</v>
      </c>
      <c r="H846" s="10" t="n">
        <v>198802</v>
      </c>
      <c r="J846" s="18" t="n">
        <v>183750</v>
      </c>
      <c r="K846" s="18" t="n">
        <v>183750</v>
      </c>
      <c r="L846" s="5" t="s">
        <v>84</v>
      </c>
      <c r="M846" s="5"/>
      <c r="N846" s="10" t="s">
        <v>3436</v>
      </c>
      <c r="O846" s="10" t="s">
        <v>4232</v>
      </c>
      <c r="V846" s="10" t="s">
        <v>4233</v>
      </c>
      <c r="W846" s="5"/>
      <c r="X846" s="5"/>
      <c r="Z846" s="10" t="s">
        <v>4234</v>
      </c>
      <c r="AI846" s="10" t="s">
        <v>3441</v>
      </c>
      <c r="AM846" s="10" t="s">
        <v>3442</v>
      </c>
      <c r="AO846" s="10" t="s">
        <v>3443</v>
      </c>
      <c r="AQ846" s="5" t="s">
        <v>77</v>
      </c>
      <c r="AR846" s="5" t="s">
        <v>257</v>
      </c>
      <c r="AS846" s="5" t="s">
        <v>73</v>
      </c>
      <c r="AT846" s="5" t="s">
        <v>105</v>
      </c>
      <c r="AU846" s="5" t="s">
        <v>106</v>
      </c>
      <c r="AV846" s="10" t="s">
        <v>569</v>
      </c>
      <c r="AW846" s="5" t="s">
        <v>94</v>
      </c>
      <c r="AX846" s="5" t="s">
        <v>79</v>
      </c>
      <c r="AY846" s="5"/>
      <c r="AZ846" s="5" t="s">
        <v>129</v>
      </c>
      <c r="BF846" s="10" t="s">
        <v>4235</v>
      </c>
      <c r="BJ846" s="10" t="n">
        <v>2024</v>
      </c>
    </row>
    <row r="847" customFormat="false" ht="16.5" hidden="false" customHeight="true" outlineLevel="0" collapsed="false">
      <c r="A847" s="10" t="s">
        <v>4236</v>
      </c>
      <c r="C847" s="10" t="s">
        <v>4236</v>
      </c>
      <c r="D847" s="5" t="s">
        <v>3372</v>
      </c>
      <c r="E847" s="10" t="n">
        <v>2879086</v>
      </c>
      <c r="F847" s="10" t="n">
        <v>2879086</v>
      </c>
      <c r="G847" s="10" t="s">
        <v>63</v>
      </c>
      <c r="H847" s="10" t="n">
        <v>406800</v>
      </c>
      <c r="J847" s="7" t="n">
        <f aca="false">E847*0.13</f>
        <v>374281.18</v>
      </c>
      <c r="K847" s="7" t="n">
        <f aca="false">F847*0.13</f>
        <v>374281.18</v>
      </c>
      <c r="L847" s="5" t="s">
        <v>84</v>
      </c>
      <c r="M847" s="5"/>
      <c r="N847" s="10" t="s">
        <v>4237</v>
      </c>
      <c r="O847" s="10" t="s">
        <v>4238</v>
      </c>
      <c r="T847" s="10" t="s">
        <v>4239</v>
      </c>
      <c r="V847" s="10" t="s">
        <v>128</v>
      </c>
      <c r="W847" s="5"/>
      <c r="X847" s="5"/>
      <c r="Z847" s="10" t="s">
        <v>2574</v>
      </c>
      <c r="AI847" s="10" t="s">
        <v>4240</v>
      </c>
      <c r="AM847" s="5" t="s">
        <v>2767</v>
      </c>
      <c r="AO847" s="10" t="s">
        <v>4241</v>
      </c>
      <c r="AQ847" s="5" t="s">
        <v>77</v>
      </c>
      <c r="AR847" s="5" t="s">
        <v>72</v>
      </c>
      <c r="AS847" s="5" t="s">
        <v>73</v>
      </c>
      <c r="AT847" s="5" t="s">
        <v>105</v>
      </c>
      <c r="AW847" s="5" t="s">
        <v>94</v>
      </c>
      <c r="AX847" s="5" t="s">
        <v>79</v>
      </c>
      <c r="AY847" s="5"/>
      <c r="AZ847" s="5" t="s">
        <v>309</v>
      </c>
      <c r="BJ847" s="10" t="n">
        <v>2022</v>
      </c>
    </row>
    <row r="848" customFormat="false" ht="16.5" hidden="false" customHeight="true" outlineLevel="0" collapsed="false">
      <c r="A848" s="10" t="s">
        <v>4242</v>
      </c>
      <c r="B848" s="10" t="s">
        <v>4243</v>
      </c>
      <c r="C848" s="10" t="s">
        <v>4244</v>
      </c>
      <c r="D848" s="5" t="s">
        <v>3372</v>
      </c>
      <c r="E848" s="10" t="n">
        <v>199307</v>
      </c>
      <c r="F848" s="10" t="n">
        <v>199307</v>
      </c>
      <c r="G848" s="10" t="s">
        <v>147</v>
      </c>
      <c r="H848" s="10" t="n">
        <v>235681</v>
      </c>
      <c r="J848" s="18" t="n">
        <v>199307</v>
      </c>
      <c r="K848" s="18" t="n">
        <v>199307</v>
      </c>
      <c r="L848" s="5" t="s">
        <v>84</v>
      </c>
      <c r="M848" s="5"/>
      <c r="N848" s="10" t="s">
        <v>3436</v>
      </c>
      <c r="O848" s="10" t="s">
        <v>4245</v>
      </c>
      <c r="W848" s="5"/>
      <c r="X848" s="5"/>
      <c r="AI848" s="10" t="s">
        <v>3478</v>
      </c>
      <c r="AM848" s="10" t="s">
        <v>3442</v>
      </c>
      <c r="AO848" s="10" t="s">
        <v>3656</v>
      </c>
      <c r="AQ848" s="5" t="s">
        <v>77</v>
      </c>
      <c r="AR848" s="5" t="s">
        <v>257</v>
      </c>
      <c r="AS848" s="5" t="s">
        <v>73</v>
      </c>
      <c r="AT848" s="5" t="s">
        <v>71</v>
      </c>
      <c r="AW848" s="5" t="s">
        <v>94</v>
      </c>
      <c r="AX848" s="5" t="s">
        <v>375</v>
      </c>
      <c r="AY848" s="5"/>
      <c r="AZ848" s="5" t="s">
        <v>525</v>
      </c>
      <c r="BF848" s="5" t="s">
        <v>4246</v>
      </c>
      <c r="BJ848" s="10" t="n">
        <v>2021</v>
      </c>
    </row>
    <row r="849" customFormat="false" ht="16.5" hidden="false" customHeight="true" outlineLevel="0" collapsed="false">
      <c r="A849" s="10" t="s">
        <v>4247</v>
      </c>
      <c r="B849" s="5" t="s">
        <v>4248</v>
      </c>
      <c r="C849" s="10" t="s">
        <v>4247</v>
      </c>
      <c r="D849" s="5" t="s">
        <v>3372</v>
      </c>
      <c r="E849" s="37" t="n">
        <v>813712</v>
      </c>
      <c r="F849" s="37" t="n">
        <v>813712</v>
      </c>
      <c r="G849" s="10" t="s">
        <v>132</v>
      </c>
      <c r="H849" s="10" t="n">
        <v>1029410</v>
      </c>
      <c r="J849" s="7" t="n">
        <f aca="false">E849*1.19</f>
        <v>968317.28</v>
      </c>
      <c r="K849" s="7" t="n">
        <f aca="false">F849*1.19</f>
        <v>968317.28</v>
      </c>
      <c r="L849" s="5" t="s">
        <v>84</v>
      </c>
      <c r="M849" s="5"/>
      <c r="N849" s="10" t="s">
        <v>4249</v>
      </c>
      <c r="O849" s="10" t="s">
        <v>4250</v>
      </c>
      <c r="T849" s="10" t="s">
        <v>4251</v>
      </c>
      <c r="V849" s="10" t="s">
        <v>1684</v>
      </c>
      <c r="W849" s="5"/>
      <c r="X849" s="5" t="s">
        <v>139</v>
      </c>
      <c r="Z849" s="10" t="s">
        <v>4252</v>
      </c>
      <c r="AI849" s="10" t="s">
        <v>4253</v>
      </c>
      <c r="AM849" s="10" t="s">
        <v>4254</v>
      </c>
      <c r="AO849" s="10" t="s">
        <v>4255</v>
      </c>
      <c r="AQ849" s="5" t="s">
        <v>77</v>
      </c>
      <c r="AR849" s="5" t="s">
        <v>143</v>
      </c>
      <c r="AS849" s="5" t="s">
        <v>73</v>
      </c>
      <c r="AT849" s="5" t="s">
        <v>78</v>
      </c>
      <c r="AW849" s="5" t="s">
        <v>94</v>
      </c>
      <c r="AX849" s="5" t="s">
        <v>79</v>
      </c>
      <c r="AY849" s="5"/>
      <c r="AZ849" s="5" t="s">
        <v>525</v>
      </c>
      <c r="BF849" s="5" t="s">
        <v>4248</v>
      </c>
      <c r="BJ849" s="10" t="n">
        <v>2024</v>
      </c>
      <c r="BK849" s="10" t="n">
        <v>2027</v>
      </c>
    </row>
    <row r="850" customFormat="false" ht="16.5" hidden="false" customHeight="true" outlineLevel="0" collapsed="false">
      <c r="A850" s="10" t="s">
        <v>4256</v>
      </c>
      <c r="B850" s="10" t="s">
        <v>4257</v>
      </c>
      <c r="C850" s="10" t="s">
        <v>4256</v>
      </c>
      <c r="D850" s="5" t="s">
        <v>3372</v>
      </c>
      <c r="E850" s="10" t="n">
        <v>0</v>
      </c>
      <c r="H850" s="10" t="n">
        <v>0</v>
      </c>
      <c r="J850" s="18"/>
      <c r="K850" s="18"/>
      <c r="L850" s="5" t="s">
        <v>84</v>
      </c>
      <c r="M850" s="5"/>
      <c r="N850" s="10" t="s">
        <v>4258</v>
      </c>
      <c r="O850" s="10" t="s">
        <v>4259</v>
      </c>
      <c r="T850" s="10" t="s">
        <v>4260</v>
      </c>
      <c r="V850" s="10" t="s">
        <v>4261</v>
      </c>
      <c r="W850" s="5"/>
      <c r="X850" s="5"/>
      <c r="Z850" s="10" t="s">
        <v>4262</v>
      </c>
      <c r="AI850" s="10" t="s">
        <v>3469</v>
      </c>
      <c r="AM850" s="10" t="s">
        <v>2352</v>
      </c>
      <c r="AQ850" s="5" t="s">
        <v>77</v>
      </c>
      <c r="AR850" s="5" t="s">
        <v>2221</v>
      </c>
      <c r="AS850" s="5" t="s">
        <v>73</v>
      </c>
      <c r="AT850" s="5" t="s">
        <v>78</v>
      </c>
      <c r="AW850" s="5" t="s">
        <v>94</v>
      </c>
      <c r="AX850" s="5" t="s">
        <v>79</v>
      </c>
      <c r="AY850" s="5"/>
      <c r="AZ850" s="5" t="s">
        <v>129</v>
      </c>
      <c r="BF850" s="10" t="s">
        <v>4257</v>
      </c>
      <c r="BJ850" s="10" t="n">
        <v>2023</v>
      </c>
      <c r="BK850" s="10" t="n">
        <v>2024</v>
      </c>
    </row>
    <row r="851" customFormat="false" ht="16.5" hidden="false" customHeight="true" outlineLevel="0" collapsed="false">
      <c r="A851" s="10" t="s">
        <v>4263</v>
      </c>
      <c r="B851" s="10" t="s">
        <v>4264</v>
      </c>
      <c r="C851" s="10" t="s">
        <v>4263</v>
      </c>
      <c r="D851" s="5" t="s">
        <v>3372</v>
      </c>
      <c r="E851" s="10" t="n">
        <v>3669800</v>
      </c>
      <c r="F851" s="10" t="n">
        <v>3669800</v>
      </c>
      <c r="G851" s="10" t="s">
        <v>212</v>
      </c>
      <c r="H851" s="10" t="n">
        <v>399659</v>
      </c>
      <c r="J851" s="7" t="n">
        <f aca="false">E851*0.091</f>
        <v>333951.8</v>
      </c>
      <c r="K851" s="7" t="n">
        <f aca="false">F851*0.091</f>
        <v>333951.8</v>
      </c>
      <c r="L851" s="5" t="s">
        <v>84</v>
      </c>
      <c r="M851" s="5"/>
      <c r="N851" s="10" t="s">
        <v>4265</v>
      </c>
      <c r="O851" s="10" t="s">
        <v>4266</v>
      </c>
      <c r="V851" s="10" t="s">
        <v>393</v>
      </c>
      <c r="W851" s="5"/>
      <c r="X851" s="5"/>
      <c r="Z851" s="10" t="s">
        <v>2631</v>
      </c>
      <c r="AI851" s="10" t="s">
        <v>3738</v>
      </c>
      <c r="AM851" s="10" t="s">
        <v>3936</v>
      </c>
      <c r="AO851" s="10" t="s">
        <v>3937</v>
      </c>
      <c r="AQ851" s="5" t="s">
        <v>77</v>
      </c>
      <c r="AR851" s="5" t="s">
        <v>215</v>
      </c>
      <c r="AS851" s="5" t="s">
        <v>73</v>
      </c>
      <c r="AT851" s="5" t="s">
        <v>105</v>
      </c>
      <c r="AU851" s="5" t="s">
        <v>106</v>
      </c>
      <c r="AV851" s="5"/>
      <c r="AW851" s="5" t="s">
        <v>94</v>
      </c>
      <c r="AX851" s="5" t="s">
        <v>296</v>
      </c>
      <c r="AY851" s="5" t="s">
        <v>297</v>
      </c>
      <c r="AZ851" s="5" t="s">
        <v>129</v>
      </c>
      <c r="BF851" s="10" t="s">
        <v>4264</v>
      </c>
      <c r="BJ851" s="10" t="n">
        <v>2020</v>
      </c>
      <c r="BK851" s="10" t="n">
        <v>2022</v>
      </c>
    </row>
    <row r="852" customFormat="false" ht="16.5" hidden="false" customHeight="true" outlineLevel="0" collapsed="false">
      <c r="A852" s="10" t="s">
        <v>4267</v>
      </c>
      <c r="B852" s="10" t="s">
        <v>4268</v>
      </c>
      <c r="C852" s="10" t="s">
        <v>4269</v>
      </c>
      <c r="D852" s="5" t="s">
        <v>3372</v>
      </c>
      <c r="E852" s="10" t="n">
        <v>105369</v>
      </c>
      <c r="F852" s="10" t="n">
        <v>105369</v>
      </c>
      <c r="G852" s="10" t="s">
        <v>147</v>
      </c>
      <c r="H852" s="10" t="n">
        <v>112208</v>
      </c>
      <c r="J852" s="18" t="n">
        <v>105369</v>
      </c>
      <c r="K852" s="18" t="n">
        <v>105369</v>
      </c>
      <c r="L852" s="5" t="s">
        <v>84</v>
      </c>
      <c r="M852" s="5"/>
      <c r="N852" s="10" t="s">
        <v>4270</v>
      </c>
      <c r="O852" s="10" t="s">
        <v>4271</v>
      </c>
      <c r="W852" s="5"/>
      <c r="X852" s="5"/>
      <c r="AI852" s="10" t="s">
        <v>4272</v>
      </c>
      <c r="AM852" s="5" t="s">
        <v>153</v>
      </c>
      <c r="AO852" s="10" t="s">
        <v>4273</v>
      </c>
      <c r="AQ852" s="5" t="s">
        <v>77</v>
      </c>
      <c r="AR852" s="5" t="s">
        <v>151</v>
      </c>
      <c r="AS852" s="5" t="s">
        <v>73</v>
      </c>
      <c r="AT852" s="5" t="s">
        <v>78</v>
      </c>
      <c r="AW852" s="5" t="s">
        <v>94</v>
      </c>
      <c r="AX852" s="5" t="s">
        <v>296</v>
      </c>
      <c r="AY852" s="5" t="s">
        <v>297</v>
      </c>
      <c r="AZ852" s="5" t="s">
        <v>188</v>
      </c>
      <c r="BJ852" s="10" t="n">
        <v>2024</v>
      </c>
      <c r="BK852" s="10" t="n">
        <v>2027</v>
      </c>
    </row>
    <row r="853" customFormat="false" ht="16.5" hidden="false" customHeight="true" outlineLevel="0" collapsed="false">
      <c r="A853" s="10" t="s">
        <v>4274</v>
      </c>
      <c r="B853" s="10" t="s">
        <v>4268</v>
      </c>
      <c r="C853" s="10" t="s">
        <v>4275</v>
      </c>
      <c r="D853" s="5" t="s">
        <v>3372</v>
      </c>
      <c r="E853" s="10" t="n">
        <v>640670</v>
      </c>
      <c r="F853" s="10" t="n">
        <v>640670</v>
      </c>
      <c r="G853" s="10" t="s">
        <v>147</v>
      </c>
      <c r="H853" s="10" t="n">
        <v>682341</v>
      </c>
      <c r="J853" s="18" t="n">
        <v>640670</v>
      </c>
      <c r="K853" s="18" t="n">
        <v>640670</v>
      </c>
      <c r="L853" s="5" t="s">
        <v>84</v>
      </c>
      <c r="M853" s="5"/>
      <c r="N853" s="10" t="s">
        <v>4276</v>
      </c>
      <c r="O853" s="10" t="s">
        <v>4277</v>
      </c>
      <c r="V853" s="10" t="s">
        <v>1287</v>
      </c>
      <c r="W853" s="5"/>
      <c r="X853" s="5"/>
      <c r="Z853" s="10" t="s">
        <v>4278</v>
      </c>
      <c r="AI853" s="10" t="s">
        <v>4272</v>
      </c>
      <c r="AM853" s="5" t="s">
        <v>153</v>
      </c>
      <c r="AO853" s="10" t="s">
        <v>4273</v>
      </c>
      <c r="AQ853" s="5" t="s">
        <v>77</v>
      </c>
      <c r="AR853" s="5" t="s">
        <v>151</v>
      </c>
      <c r="AS853" s="5" t="s">
        <v>73</v>
      </c>
      <c r="AT853" s="5" t="s">
        <v>78</v>
      </c>
      <c r="AW853" s="5" t="s">
        <v>94</v>
      </c>
      <c r="AX853" s="5" t="s">
        <v>296</v>
      </c>
      <c r="AY853" s="5" t="s">
        <v>297</v>
      </c>
      <c r="AZ853" s="5" t="s">
        <v>188</v>
      </c>
      <c r="BJ853" s="10" t="n">
        <v>2024</v>
      </c>
      <c r="BK853" s="10" t="n">
        <v>2027</v>
      </c>
    </row>
    <row r="854" customFormat="false" ht="16.5" hidden="false" customHeight="true" outlineLevel="0" collapsed="false">
      <c r="A854" s="10" t="s">
        <v>4279</v>
      </c>
      <c r="B854" s="10" t="s">
        <v>4268</v>
      </c>
      <c r="C854" s="10" t="s">
        <v>4280</v>
      </c>
      <c r="D854" s="5" t="s">
        <v>3372</v>
      </c>
      <c r="E854" s="10" t="n">
        <v>262437</v>
      </c>
      <c r="F854" s="10" t="n">
        <v>262437</v>
      </c>
      <c r="G854" s="10" t="s">
        <v>147</v>
      </c>
      <c r="H854" s="10" t="n">
        <v>279502</v>
      </c>
      <c r="J854" s="18" t="n">
        <v>262437</v>
      </c>
      <c r="K854" s="18" t="n">
        <v>262437</v>
      </c>
      <c r="L854" s="5" t="s">
        <v>84</v>
      </c>
      <c r="M854" s="5"/>
      <c r="N854" s="10" t="s">
        <v>4281</v>
      </c>
      <c r="O854" s="10" t="s">
        <v>4282</v>
      </c>
      <c r="W854" s="5"/>
      <c r="X854" s="5"/>
      <c r="AI854" s="10" t="s">
        <v>4272</v>
      </c>
      <c r="AM854" s="5" t="s">
        <v>153</v>
      </c>
      <c r="AO854" s="10" t="s">
        <v>4273</v>
      </c>
      <c r="AQ854" s="5" t="s">
        <v>77</v>
      </c>
      <c r="AR854" s="5" t="s">
        <v>151</v>
      </c>
      <c r="AS854" s="5" t="s">
        <v>73</v>
      </c>
      <c r="AT854" s="5" t="s">
        <v>78</v>
      </c>
      <c r="AW854" s="5" t="s">
        <v>94</v>
      </c>
      <c r="AX854" s="5" t="s">
        <v>296</v>
      </c>
      <c r="AY854" s="5" t="s">
        <v>297</v>
      </c>
      <c r="AZ854" s="5" t="s">
        <v>188</v>
      </c>
      <c r="BJ854" s="10" t="n">
        <v>2024</v>
      </c>
      <c r="BK854" s="10" t="n">
        <v>2027</v>
      </c>
    </row>
    <row r="855" customFormat="false" ht="16.5" hidden="false" customHeight="true" outlineLevel="0" collapsed="false">
      <c r="A855" s="10" t="s">
        <v>4283</v>
      </c>
      <c r="B855" s="10" t="s">
        <v>4284</v>
      </c>
      <c r="C855" s="10" t="s">
        <v>4285</v>
      </c>
      <c r="D855" s="5" t="s">
        <v>3372</v>
      </c>
      <c r="E855" s="10" t="n">
        <v>750000</v>
      </c>
      <c r="F855" s="10" t="n">
        <v>750000</v>
      </c>
      <c r="G855" s="10" t="s">
        <v>147</v>
      </c>
      <c r="H855" s="10" t="n">
        <v>798036</v>
      </c>
      <c r="J855" s="18" t="n">
        <v>750000</v>
      </c>
      <c r="K855" s="18" t="n">
        <v>750000</v>
      </c>
      <c r="L855" s="5" t="s">
        <v>84</v>
      </c>
      <c r="M855" s="5"/>
      <c r="N855" s="10" t="s">
        <v>4286</v>
      </c>
      <c r="O855" s="10" t="s">
        <v>4287</v>
      </c>
      <c r="V855" s="10" t="s">
        <v>923</v>
      </c>
      <c r="W855" s="5"/>
      <c r="X855" s="5"/>
      <c r="Z855" s="10" t="s">
        <v>4288</v>
      </c>
      <c r="AI855" s="10" t="s">
        <v>3376</v>
      </c>
      <c r="AM855" s="5" t="s">
        <v>924</v>
      </c>
      <c r="AO855" s="10" t="s">
        <v>4289</v>
      </c>
      <c r="AQ855" s="5" t="s">
        <v>77</v>
      </c>
      <c r="AR855" s="5" t="s">
        <v>151</v>
      </c>
      <c r="AS855" s="5" t="s">
        <v>73</v>
      </c>
      <c r="AT855" s="5" t="s">
        <v>78</v>
      </c>
      <c r="AW855" s="5" t="s">
        <v>94</v>
      </c>
      <c r="AX855" s="5" t="s">
        <v>375</v>
      </c>
      <c r="AY855" s="5"/>
      <c r="AZ855" s="5" t="s">
        <v>188</v>
      </c>
      <c r="BJ855" s="10" t="n">
        <v>2024</v>
      </c>
      <c r="BK855" s="10" t="n">
        <v>2027</v>
      </c>
    </row>
    <row r="856" customFormat="false" ht="16.5" hidden="false" customHeight="true" outlineLevel="0" collapsed="false">
      <c r="A856" s="10" t="s">
        <v>4290</v>
      </c>
      <c r="B856" s="10" t="s">
        <v>4291</v>
      </c>
      <c r="C856" s="10" t="s">
        <v>4290</v>
      </c>
      <c r="D856" s="5" t="s">
        <v>3372</v>
      </c>
      <c r="E856" s="10" t="n">
        <v>9981000</v>
      </c>
      <c r="F856" s="10" t="n">
        <v>9981000</v>
      </c>
      <c r="G856" s="10" t="s">
        <v>63</v>
      </c>
      <c r="H856" s="10" t="n">
        <v>1439855</v>
      </c>
      <c r="J856" s="7" t="n">
        <f aca="false">E856*0.13</f>
        <v>1297530</v>
      </c>
      <c r="K856" s="7" t="n">
        <f aca="false">F856*0.13</f>
        <v>1297530</v>
      </c>
      <c r="L856" s="5" t="s">
        <v>84</v>
      </c>
      <c r="M856" s="5"/>
      <c r="O856" s="10" t="s">
        <v>4292</v>
      </c>
      <c r="T856" s="10" t="s">
        <v>4293</v>
      </c>
      <c r="V856" s="10" t="s">
        <v>3467</v>
      </c>
      <c r="W856" s="5"/>
      <c r="X856" s="5"/>
      <c r="Z856" s="10" t="s">
        <v>3468</v>
      </c>
      <c r="AI856" s="10" t="s">
        <v>4294</v>
      </c>
      <c r="AM856" s="10" t="s">
        <v>92</v>
      </c>
      <c r="AO856" s="10" t="s">
        <v>3667</v>
      </c>
      <c r="AQ856" s="5" t="s">
        <v>93</v>
      </c>
      <c r="AR856" s="5" t="s">
        <v>72</v>
      </c>
      <c r="AS856" s="5" t="s">
        <v>73</v>
      </c>
      <c r="AT856" s="5" t="s">
        <v>105</v>
      </c>
      <c r="AU856" s="5" t="s">
        <v>106</v>
      </c>
      <c r="AV856" s="5"/>
      <c r="AW856" s="25" t="s">
        <v>94</v>
      </c>
      <c r="AX856" s="5" t="s">
        <v>79</v>
      </c>
      <c r="AY856" s="5"/>
      <c r="AZ856" s="5" t="s">
        <v>540</v>
      </c>
      <c r="BF856" s="10" t="s">
        <v>4291</v>
      </c>
      <c r="BJ856" s="10" t="n">
        <v>2021</v>
      </c>
      <c r="BK856" s="10" t="n">
        <v>2026</v>
      </c>
    </row>
    <row r="857" customFormat="false" ht="16.5" hidden="false" customHeight="true" outlineLevel="0" collapsed="false">
      <c r="A857" s="10" t="s">
        <v>4295</v>
      </c>
      <c r="B857" s="5" t="s">
        <v>4296</v>
      </c>
      <c r="C857" s="10" t="s">
        <v>4295</v>
      </c>
      <c r="D857" s="5" t="s">
        <v>3372</v>
      </c>
      <c r="E857" s="10" t="n">
        <v>112141</v>
      </c>
      <c r="F857" s="10" t="n">
        <v>112141</v>
      </c>
      <c r="G857" s="10" t="s">
        <v>732</v>
      </c>
      <c r="H857" s="10" t="n">
        <v>120020</v>
      </c>
      <c r="J857" s="7" t="n">
        <f aca="false">E857*1.07</f>
        <v>119990.87</v>
      </c>
      <c r="K857" s="7" t="n">
        <f aca="false">F857*1.07</f>
        <v>119990.87</v>
      </c>
      <c r="L857" s="5" t="s">
        <v>84</v>
      </c>
      <c r="M857" s="5"/>
      <c r="N857" s="10" t="s">
        <v>4297</v>
      </c>
      <c r="O857" s="10" t="s">
        <v>4298</v>
      </c>
      <c r="T857" s="10" t="s">
        <v>4299</v>
      </c>
      <c r="W857" s="5"/>
      <c r="X857" s="5"/>
      <c r="AI857" s="10" t="s">
        <v>4300</v>
      </c>
      <c r="AM857" s="5" t="s">
        <v>2709</v>
      </c>
      <c r="AO857" s="10" t="s">
        <v>4301</v>
      </c>
      <c r="AQ857" s="5" t="s">
        <v>77</v>
      </c>
      <c r="AR857" s="5" t="s">
        <v>737</v>
      </c>
      <c r="AS857" s="5" t="s">
        <v>73</v>
      </c>
      <c r="AT857" s="5" t="s">
        <v>105</v>
      </c>
      <c r="AU857" s="5" t="s">
        <v>106</v>
      </c>
      <c r="AV857" s="5"/>
      <c r="AW857" s="5" t="s">
        <v>94</v>
      </c>
      <c r="AX857" s="5" t="s">
        <v>296</v>
      </c>
      <c r="AY857" s="5"/>
      <c r="AZ857" s="5" t="s">
        <v>107</v>
      </c>
      <c r="BF857" s="5" t="s">
        <v>4296</v>
      </c>
      <c r="BJ857" s="10" t="n">
        <v>2022</v>
      </c>
      <c r="BK857" s="10" t="n">
        <v>2023</v>
      </c>
    </row>
    <row r="858" customFormat="false" ht="16.5" hidden="false" customHeight="true" outlineLevel="0" collapsed="false">
      <c r="A858" s="10" t="s">
        <v>4302</v>
      </c>
      <c r="B858" s="10" t="s">
        <v>4303</v>
      </c>
      <c r="C858" s="10" t="s">
        <v>4304</v>
      </c>
      <c r="D858" s="5" t="s">
        <v>3372</v>
      </c>
      <c r="E858" s="10" t="n">
        <v>82951</v>
      </c>
      <c r="F858" s="10" t="n">
        <v>82951</v>
      </c>
      <c r="G858" s="10" t="s">
        <v>147</v>
      </c>
      <c r="H858" s="10" t="n">
        <v>94552</v>
      </c>
      <c r="J858" s="18" t="n">
        <v>82951</v>
      </c>
      <c r="K858" s="18" t="n">
        <v>82951</v>
      </c>
      <c r="L858" s="5" t="s">
        <v>84</v>
      </c>
      <c r="M858" s="5"/>
      <c r="N858" s="10" t="s">
        <v>3436</v>
      </c>
      <c r="O858" s="10" t="s">
        <v>4305</v>
      </c>
      <c r="W858" s="5"/>
      <c r="X858" s="5"/>
      <c r="AI858" s="10" t="s">
        <v>3451</v>
      </c>
      <c r="AM858" s="10" t="s">
        <v>3442</v>
      </c>
      <c r="AO858" s="10" t="s">
        <v>3452</v>
      </c>
      <c r="AQ858" s="5" t="s">
        <v>77</v>
      </c>
      <c r="AR858" s="5" t="s">
        <v>257</v>
      </c>
      <c r="AS858" s="5" t="s">
        <v>73</v>
      </c>
      <c r="AT858" s="5" t="s">
        <v>78</v>
      </c>
      <c r="AW858" s="5" t="s">
        <v>94</v>
      </c>
      <c r="AX858" s="5" t="s">
        <v>375</v>
      </c>
      <c r="AY858" s="5"/>
      <c r="AZ858" s="5" t="s">
        <v>129</v>
      </c>
      <c r="BF858" s="5" t="s">
        <v>4306</v>
      </c>
      <c r="BJ858" s="10" t="n">
        <v>2020</v>
      </c>
    </row>
    <row r="859" customFormat="false" ht="16.5" hidden="false" customHeight="true" outlineLevel="0" collapsed="false">
      <c r="A859" s="10" t="s">
        <v>4307</v>
      </c>
      <c r="B859" s="5" t="s">
        <v>4308</v>
      </c>
      <c r="C859" s="10" t="s">
        <v>4307</v>
      </c>
      <c r="D859" s="5" t="s">
        <v>3372</v>
      </c>
      <c r="E859" s="10" t="n">
        <v>500000</v>
      </c>
      <c r="F859" s="10" t="n">
        <v>500000</v>
      </c>
      <c r="G859" s="10" t="s">
        <v>212</v>
      </c>
      <c r="H859" s="10" t="n">
        <v>52378</v>
      </c>
      <c r="J859" s="7" t="n">
        <f aca="false">E859*0.091</f>
        <v>45500</v>
      </c>
      <c r="K859" s="7" t="n">
        <f aca="false">F859*0.091</f>
        <v>45500</v>
      </c>
      <c r="L859" s="5" t="s">
        <v>84</v>
      </c>
      <c r="M859" s="5"/>
      <c r="N859" s="10" t="s">
        <v>4309</v>
      </c>
      <c r="O859" s="10" t="s">
        <v>4310</v>
      </c>
      <c r="T859" s="10" t="s">
        <v>2701</v>
      </c>
      <c r="W859" s="5"/>
      <c r="X859" s="5"/>
      <c r="AI859" s="10" t="s">
        <v>4311</v>
      </c>
      <c r="AM859" s="10" t="s">
        <v>2703</v>
      </c>
      <c r="AO859" s="10" t="s">
        <v>3983</v>
      </c>
      <c r="AQ859" s="5" t="s">
        <v>77</v>
      </c>
      <c r="AR859" s="5" t="s">
        <v>215</v>
      </c>
      <c r="AS859" s="5" t="s">
        <v>73</v>
      </c>
      <c r="AT859" s="5" t="s">
        <v>78</v>
      </c>
      <c r="AW859" s="5" t="s">
        <v>94</v>
      </c>
      <c r="AX859" s="5" t="s">
        <v>79</v>
      </c>
      <c r="AY859" s="5"/>
      <c r="AZ859" s="5" t="s">
        <v>396</v>
      </c>
      <c r="BF859" s="5" t="s">
        <v>4308</v>
      </c>
      <c r="BJ859" s="10" t="n">
        <v>2021</v>
      </c>
      <c r="BK859" s="10" t="n">
        <v>2022</v>
      </c>
    </row>
    <row r="860" customFormat="false" ht="16.5" hidden="false" customHeight="true" outlineLevel="0" collapsed="false">
      <c r="A860" s="10" t="s">
        <v>4312</v>
      </c>
      <c r="B860" s="10" t="s">
        <v>4313</v>
      </c>
      <c r="C860" s="10" t="s">
        <v>4314</v>
      </c>
      <c r="D860" s="5" t="s">
        <v>3372</v>
      </c>
      <c r="E860" s="10" t="n">
        <v>1955470</v>
      </c>
      <c r="F860" s="10" t="n">
        <v>1955470</v>
      </c>
      <c r="G860" s="10" t="s">
        <v>366</v>
      </c>
      <c r="H860" s="10" t="n">
        <v>490188</v>
      </c>
      <c r="J860" s="7" t="n">
        <f aca="false">E860*0.23</f>
        <v>449758.1</v>
      </c>
      <c r="K860" s="7" t="n">
        <f aca="false">F860*0.23</f>
        <v>449758.1</v>
      </c>
      <c r="L860" s="5" t="s">
        <v>84</v>
      </c>
      <c r="M860" s="5"/>
      <c r="N860" s="10" t="s">
        <v>4315</v>
      </c>
      <c r="O860" s="10" t="s">
        <v>4316</v>
      </c>
      <c r="T860" s="10" t="s">
        <v>4317</v>
      </c>
      <c r="V860" s="10" t="s">
        <v>4318</v>
      </c>
      <c r="W860" s="5"/>
      <c r="X860" s="5"/>
      <c r="Z860" s="10" t="s">
        <v>4319</v>
      </c>
      <c r="AI860" s="10" t="s">
        <v>4320</v>
      </c>
      <c r="AM860" s="10" t="s">
        <v>1208</v>
      </c>
      <c r="AO860" s="10" t="s">
        <v>4321</v>
      </c>
      <c r="AQ860" s="5" t="s">
        <v>77</v>
      </c>
      <c r="AR860" s="5" t="s">
        <v>371</v>
      </c>
      <c r="AS860" s="5" t="s">
        <v>73</v>
      </c>
      <c r="AT860" s="5" t="s">
        <v>78</v>
      </c>
      <c r="AW860" s="5" t="s">
        <v>94</v>
      </c>
      <c r="AX860" s="5" t="s">
        <v>4322</v>
      </c>
      <c r="AY860" s="5" t="s">
        <v>501</v>
      </c>
      <c r="AZ860" s="5" t="s">
        <v>188</v>
      </c>
      <c r="BF860" s="5" t="s">
        <v>4323</v>
      </c>
      <c r="BJ860" s="10" t="n">
        <v>2023</v>
      </c>
      <c r="BK860" s="10" t="n">
        <v>2027</v>
      </c>
    </row>
    <row r="861" customFormat="false" ht="16.5" hidden="false" customHeight="true" outlineLevel="0" collapsed="false">
      <c r="A861" s="10" t="s">
        <v>4324</v>
      </c>
      <c r="B861" s="10" t="s">
        <v>4325</v>
      </c>
      <c r="C861" s="10" t="s">
        <v>4324</v>
      </c>
      <c r="D861" s="5" t="s">
        <v>3372</v>
      </c>
      <c r="E861" s="10" t="n">
        <v>13909015</v>
      </c>
      <c r="F861" s="10" t="n">
        <v>13909015</v>
      </c>
      <c r="G861" s="10" t="s">
        <v>147</v>
      </c>
      <c r="H861" s="10" t="n">
        <v>14913606</v>
      </c>
      <c r="J861" s="18" t="n">
        <v>13909015</v>
      </c>
      <c r="K861" s="18" t="n">
        <v>13909015</v>
      </c>
      <c r="L861" s="5" t="s">
        <v>84</v>
      </c>
      <c r="M861" s="5"/>
      <c r="N861" s="10" t="s">
        <v>4326</v>
      </c>
      <c r="O861" s="10" t="s">
        <v>4327</v>
      </c>
      <c r="V861" s="10" t="s">
        <v>4328</v>
      </c>
      <c r="W861" s="5"/>
      <c r="X861" s="5" t="s">
        <v>151</v>
      </c>
      <c r="Z861" s="10" t="s">
        <v>4329</v>
      </c>
      <c r="AI861" s="10" t="s">
        <v>4330</v>
      </c>
      <c r="AM861" s="10" t="s">
        <v>182</v>
      </c>
      <c r="AN861" s="5" t="s">
        <v>404</v>
      </c>
      <c r="AQ861" s="5" t="s">
        <v>77</v>
      </c>
      <c r="AR861" s="5" t="s">
        <v>185</v>
      </c>
      <c r="AS861" s="5" t="s">
        <v>73</v>
      </c>
      <c r="AT861" s="5" t="s">
        <v>105</v>
      </c>
      <c r="AU861" s="5" t="s">
        <v>186</v>
      </c>
      <c r="AV861" s="5"/>
      <c r="AW861" s="25" t="s">
        <v>94</v>
      </c>
      <c r="AX861" s="5" t="s">
        <v>79</v>
      </c>
      <c r="AY861" s="5"/>
      <c r="AZ861" s="5" t="s">
        <v>129</v>
      </c>
      <c r="BF861" s="10" t="s">
        <v>4325</v>
      </c>
      <c r="BJ861" s="10" t="n">
        <v>2023</v>
      </c>
      <c r="BK861" s="10" t="n">
        <v>2026</v>
      </c>
    </row>
    <row r="862" customFormat="false" ht="16.5" hidden="false" customHeight="true" outlineLevel="0" collapsed="false">
      <c r="A862" s="10" t="s">
        <v>4331</v>
      </c>
      <c r="B862" s="10" t="s">
        <v>4332</v>
      </c>
      <c r="C862" s="10" t="s">
        <v>4333</v>
      </c>
      <c r="D862" s="5" t="s">
        <v>3372</v>
      </c>
      <c r="E862" s="10" t="n">
        <v>185000</v>
      </c>
      <c r="F862" s="10" t="n">
        <v>185000</v>
      </c>
      <c r="G862" s="10" t="s">
        <v>147</v>
      </c>
      <c r="H862" s="10" t="n">
        <v>200167</v>
      </c>
      <c r="J862" s="18" t="n">
        <v>185000</v>
      </c>
      <c r="K862" s="18" t="n">
        <v>185000</v>
      </c>
      <c r="L862" s="5" t="s">
        <v>84</v>
      </c>
      <c r="M862" s="5"/>
      <c r="N862" s="10" t="s">
        <v>3436</v>
      </c>
      <c r="O862" s="10" t="s">
        <v>4334</v>
      </c>
      <c r="V862" s="10" t="s">
        <v>4335</v>
      </c>
      <c r="W862" s="5"/>
      <c r="X862" s="5"/>
      <c r="Z862" s="10" t="s">
        <v>4336</v>
      </c>
      <c r="AI862" s="10" t="s">
        <v>3469</v>
      </c>
      <c r="AM862" s="10" t="s">
        <v>3442</v>
      </c>
      <c r="AO862" s="10" t="s">
        <v>3452</v>
      </c>
      <c r="AQ862" s="5" t="s">
        <v>77</v>
      </c>
      <c r="AR862" s="5" t="s">
        <v>257</v>
      </c>
      <c r="AS862" s="5" t="s">
        <v>73</v>
      </c>
      <c r="AT862" s="5" t="s">
        <v>78</v>
      </c>
      <c r="AW862" s="5" t="s">
        <v>94</v>
      </c>
      <c r="AX862" s="5" t="s">
        <v>375</v>
      </c>
      <c r="AY862" s="5"/>
      <c r="AZ862" s="5" t="s">
        <v>129</v>
      </c>
      <c r="BF862" s="10" t="s">
        <v>4337</v>
      </c>
      <c r="BJ862" s="10" t="n">
        <v>2023</v>
      </c>
    </row>
    <row r="863" customFormat="false" ht="16.5" hidden="false" customHeight="true" outlineLevel="0" collapsed="false">
      <c r="A863" s="5" t="s">
        <v>4338</v>
      </c>
      <c r="B863" s="10" t="s">
        <v>4339</v>
      </c>
      <c r="C863" s="5" t="s">
        <v>4338</v>
      </c>
      <c r="D863" s="5" t="s">
        <v>3372</v>
      </c>
      <c r="E863" s="10" t="n">
        <v>0</v>
      </c>
      <c r="F863" s="10" t="n">
        <v>0</v>
      </c>
      <c r="G863" s="10" t="s">
        <v>147</v>
      </c>
      <c r="H863" s="10" t="n">
        <v>0</v>
      </c>
      <c r="J863" s="18" t="n">
        <v>0</v>
      </c>
      <c r="K863" s="18" t="n">
        <v>0</v>
      </c>
      <c r="L863" s="5" t="s">
        <v>84</v>
      </c>
      <c r="M863" s="5"/>
      <c r="N863" s="10" t="s">
        <v>4340</v>
      </c>
      <c r="O863" s="10" t="s">
        <v>4341</v>
      </c>
      <c r="T863" s="10" t="s">
        <v>4342</v>
      </c>
      <c r="V863" s="10" t="s">
        <v>4343</v>
      </c>
      <c r="W863" s="5"/>
      <c r="X863" s="5"/>
      <c r="Z863" s="10" t="s">
        <v>4344</v>
      </c>
      <c r="AI863" s="10" t="s">
        <v>3746</v>
      </c>
      <c r="AM863" s="5" t="s">
        <v>459</v>
      </c>
      <c r="AO863" s="10" t="s">
        <v>4345</v>
      </c>
      <c r="AQ863" s="5" t="s">
        <v>77</v>
      </c>
      <c r="AR863" s="5" t="s">
        <v>333</v>
      </c>
      <c r="AS863" s="5" t="s">
        <v>73</v>
      </c>
      <c r="AT863" s="5" t="s">
        <v>78</v>
      </c>
      <c r="AW863" s="5" t="s">
        <v>94</v>
      </c>
      <c r="AX863" s="5" t="s">
        <v>79</v>
      </c>
      <c r="AY863" s="5"/>
      <c r="AZ863" s="5" t="s">
        <v>639</v>
      </c>
      <c r="BF863" s="10" t="s">
        <v>4339</v>
      </c>
      <c r="BJ863" s="10" t="n">
        <v>2025</v>
      </c>
      <c r="BK863" s="10" t="n">
        <v>2025</v>
      </c>
    </row>
    <row r="864" customFormat="false" ht="16.5" hidden="false" customHeight="true" outlineLevel="0" collapsed="false">
      <c r="A864" s="10" t="s">
        <v>4346</v>
      </c>
      <c r="C864" s="10" t="s">
        <v>4346</v>
      </c>
      <c r="D864" s="5" t="s">
        <v>3372</v>
      </c>
      <c r="E864" s="10" t="n">
        <v>236350</v>
      </c>
      <c r="F864" s="10" t="n">
        <v>236350</v>
      </c>
      <c r="G864" s="10" t="s">
        <v>147</v>
      </c>
      <c r="H864" s="10" t="n">
        <v>279485</v>
      </c>
      <c r="J864" s="18" t="n">
        <v>236350</v>
      </c>
      <c r="K864" s="18" t="n">
        <v>236350</v>
      </c>
      <c r="L864" s="5" t="s">
        <v>84</v>
      </c>
      <c r="M864" s="5"/>
      <c r="N864" s="10" t="s">
        <v>3436</v>
      </c>
      <c r="O864" s="10" t="s">
        <v>4347</v>
      </c>
      <c r="V864" s="10" t="s">
        <v>4233</v>
      </c>
      <c r="W864" s="5"/>
      <c r="X864" s="5"/>
      <c r="Z864" s="10" t="s">
        <v>4234</v>
      </c>
      <c r="AI864" s="10" t="s">
        <v>3478</v>
      </c>
      <c r="AM864" s="10" t="s">
        <v>3442</v>
      </c>
      <c r="AO864" s="10" t="s">
        <v>4348</v>
      </c>
      <c r="AQ864" s="5" t="s">
        <v>77</v>
      </c>
      <c r="AR864" s="5" t="s">
        <v>257</v>
      </c>
      <c r="AS864" s="5" t="s">
        <v>73</v>
      </c>
      <c r="AT864" s="5" t="s">
        <v>78</v>
      </c>
      <c r="AW864" s="5" t="s">
        <v>94</v>
      </c>
      <c r="AX864" s="5" t="s">
        <v>79</v>
      </c>
      <c r="AY864" s="5"/>
      <c r="AZ864" s="5" t="s">
        <v>129</v>
      </c>
      <c r="BJ864" s="10" t="n">
        <v>2021</v>
      </c>
    </row>
    <row r="865" customFormat="false" ht="16.5" hidden="false" customHeight="true" outlineLevel="0" collapsed="false">
      <c r="A865" s="10" t="s">
        <v>4349</v>
      </c>
      <c r="B865" s="10" t="s">
        <v>2185</v>
      </c>
      <c r="C865" s="10" t="s">
        <v>4349</v>
      </c>
      <c r="D865" s="5" t="s">
        <v>3372</v>
      </c>
      <c r="E865" s="10" t="n">
        <v>300000</v>
      </c>
      <c r="F865" s="10" t="n">
        <v>300000</v>
      </c>
      <c r="G865" s="10" t="s">
        <v>147</v>
      </c>
      <c r="H865" s="10" t="n">
        <v>325713</v>
      </c>
      <c r="J865" s="18" t="n">
        <v>300000</v>
      </c>
      <c r="K865" s="18" t="n">
        <v>300000</v>
      </c>
      <c r="L865" s="5" t="s">
        <v>84</v>
      </c>
      <c r="M865" s="5"/>
      <c r="N865" s="10" t="s">
        <v>4350</v>
      </c>
      <c r="O865" s="10" t="s">
        <v>4351</v>
      </c>
      <c r="T865" s="10" t="s">
        <v>4352</v>
      </c>
      <c r="V865" s="10" t="s">
        <v>2187</v>
      </c>
      <c r="W865" s="5"/>
      <c r="X865" s="5"/>
      <c r="Z865" s="10" t="s">
        <v>4353</v>
      </c>
      <c r="AI865" s="10" t="s">
        <v>4354</v>
      </c>
      <c r="AM865" s="5" t="s">
        <v>4355</v>
      </c>
      <c r="AO865" s="10" t="s">
        <v>4356</v>
      </c>
      <c r="AQ865" s="5" t="s">
        <v>77</v>
      </c>
      <c r="AR865" s="5" t="s">
        <v>160</v>
      </c>
      <c r="AS865" s="5" t="s">
        <v>73</v>
      </c>
      <c r="AT865" s="5" t="s">
        <v>78</v>
      </c>
      <c r="AW865" s="5" t="s">
        <v>94</v>
      </c>
      <c r="AX865" s="5" t="s">
        <v>79</v>
      </c>
      <c r="AY865" s="5"/>
      <c r="AZ865" s="5" t="s">
        <v>525</v>
      </c>
      <c r="BF865" s="10" t="s">
        <v>2185</v>
      </c>
      <c r="BJ865" s="10" t="n">
        <v>2021</v>
      </c>
      <c r="BK865" s="10" t="n">
        <v>2025</v>
      </c>
    </row>
    <row r="866" customFormat="false" ht="16.5" hidden="false" customHeight="true" outlineLevel="0" collapsed="false">
      <c r="A866" s="10" t="s">
        <v>4349</v>
      </c>
      <c r="B866" s="10" t="s">
        <v>2185</v>
      </c>
      <c r="C866" s="10" t="s">
        <v>4349</v>
      </c>
      <c r="D866" s="5" t="s">
        <v>3372</v>
      </c>
      <c r="E866" s="10" t="n">
        <v>399814</v>
      </c>
      <c r="F866" s="10" t="n">
        <v>399814</v>
      </c>
      <c r="G866" s="10" t="s">
        <v>147</v>
      </c>
      <c r="H866" s="10" t="n">
        <v>434083</v>
      </c>
      <c r="J866" s="18" t="n">
        <v>399814</v>
      </c>
      <c r="K866" s="18" t="n">
        <v>399814</v>
      </c>
      <c r="L866" s="5" t="s">
        <v>84</v>
      </c>
      <c r="M866" s="5"/>
      <c r="N866" s="10" t="s">
        <v>4357</v>
      </c>
      <c r="O866" s="10" t="s">
        <v>4358</v>
      </c>
      <c r="T866" s="10" t="s">
        <v>616</v>
      </c>
      <c r="V866" s="10" t="s">
        <v>4188</v>
      </c>
      <c r="W866" s="5"/>
      <c r="X866" s="5"/>
      <c r="Z866" s="10" t="s">
        <v>4189</v>
      </c>
      <c r="AI866" s="10" t="s">
        <v>4354</v>
      </c>
      <c r="AM866" s="5" t="s">
        <v>4355</v>
      </c>
      <c r="AO866" s="10" t="s">
        <v>4356</v>
      </c>
      <c r="AQ866" s="5" t="s">
        <v>77</v>
      </c>
      <c r="AR866" s="5" t="s">
        <v>160</v>
      </c>
      <c r="AS866" s="5" t="s">
        <v>73</v>
      </c>
      <c r="AT866" s="5" t="s">
        <v>78</v>
      </c>
      <c r="AW866" s="5" t="s">
        <v>94</v>
      </c>
      <c r="AX866" s="5" t="s">
        <v>79</v>
      </c>
      <c r="AY866" s="5"/>
      <c r="AZ866" s="5" t="s">
        <v>525</v>
      </c>
      <c r="BF866" s="10" t="s">
        <v>2185</v>
      </c>
      <c r="BJ866" s="10" t="n">
        <v>2021</v>
      </c>
      <c r="BK866" s="10" t="n">
        <v>2025</v>
      </c>
    </row>
    <row r="867" customFormat="false" ht="16.5" hidden="false" customHeight="true" outlineLevel="0" collapsed="false">
      <c r="A867" s="10" t="s">
        <v>4359</v>
      </c>
      <c r="B867" s="10" t="s">
        <v>4360</v>
      </c>
      <c r="C867" s="10" t="s">
        <v>4359</v>
      </c>
      <c r="D867" s="5" t="s">
        <v>3372</v>
      </c>
      <c r="E867" s="10" t="n">
        <v>4496000</v>
      </c>
      <c r="F867" s="10" t="n">
        <v>4496000</v>
      </c>
      <c r="G867" s="10" t="s">
        <v>212</v>
      </c>
      <c r="H867" s="10" t="n">
        <v>424926</v>
      </c>
      <c r="J867" s="7" t="n">
        <f aca="false">E867*0.091</f>
        <v>409136</v>
      </c>
      <c r="K867" s="7" t="n">
        <f aca="false">F867*0.091</f>
        <v>409136</v>
      </c>
      <c r="L867" s="5" t="s">
        <v>84</v>
      </c>
      <c r="M867" s="5"/>
      <c r="N867" s="10" t="s">
        <v>4361</v>
      </c>
      <c r="O867" s="10" t="s">
        <v>4362</v>
      </c>
      <c r="T867" s="10" t="s">
        <v>4363</v>
      </c>
      <c r="V867" s="10" t="s">
        <v>426</v>
      </c>
      <c r="W867" s="5"/>
      <c r="X867" s="5"/>
      <c r="Z867" s="10" t="s">
        <v>2598</v>
      </c>
      <c r="AI867" s="10" t="s">
        <v>3469</v>
      </c>
      <c r="AM867" s="10" t="s">
        <v>563</v>
      </c>
      <c r="AO867" s="10" t="s">
        <v>4364</v>
      </c>
      <c r="AQ867" s="5" t="s">
        <v>77</v>
      </c>
      <c r="AR867" s="5" t="s">
        <v>215</v>
      </c>
      <c r="AS867" s="5" t="s">
        <v>73</v>
      </c>
      <c r="AT867" s="5" t="s">
        <v>78</v>
      </c>
      <c r="AW867" s="5" t="s">
        <v>94</v>
      </c>
      <c r="AX867" s="5" t="s">
        <v>79</v>
      </c>
      <c r="AY867" s="5"/>
      <c r="AZ867" s="5" t="s">
        <v>309</v>
      </c>
      <c r="BF867" s="10" t="s">
        <v>4360</v>
      </c>
      <c r="BJ867" s="10" t="n">
        <v>2023</v>
      </c>
      <c r="BK867" s="10" t="n">
        <v>2026</v>
      </c>
    </row>
    <row r="868" customFormat="false" ht="16.5" hidden="false" customHeight="true" outlineLevel="0" collapsed="false">
      <c r="A868" s="10" t="s">
        <v>4365</v>
      </c>
      <c r="C868" s="10" t="s">
        <v>4365</v>
      </c>
      <c r="D868" s="5" t="s">
        <v>3372</v>
      </c>
      <c r="E868" s="10" t="n">
        <v>2877662</v>
      </c>
      <c r="F868" s="10" t="n">
        <v>2877662</v>
      </c>
      <c r="G868" s="10" t="s">
        <v>63</v>
      </c>
      <c r="H868" s="10" t="n">
        <v>457491</v>
      </c>
      <c r="J868" s="7" t="n">
        <f aca="false">E868*0.13</f>
        <v>374096.06</v>
      </c>
      <c r="K868" s="7" t="n">
        <f aca="false">F868*0.13</f>
        <v>374096.06</v>
      </c>
      <c r="L868" s="5" t="s">
        <v>84</v>
      </c>
      <c r="M868" s="5"/>
      <c r="N868" s="10" t="s">
        <v>4366</v>
      </c>
      <c r="O868" s="10" t="s">
        <v>4367</v>
      </c>
      <c r="T868" s="10" t="s">
        <v>4368</v>
      </c>
      <c r="V868" s="10" t="s">
        <v>128</v>
      </c>
      <c r="W868" s="5"/>
      <c r="X868" s="5"/>
      <c r="Z868" s="10" t="s">
        <v>2574</v>
      </c>
      <c r="AI868" s="10" t="s">
        <v>4369</v>
      </c>
      <c r="AM868" s="5" t="s">
        <v>2767</v>
      </c>
      <c r="AO868" s="10" t="s">
        <v>4241</v>
      </c>
      <c r="AQ868" s="5" t="s">
        <v>77</v>
      </c>
      <c r="AR868" s="5" t="s">
        <v>72</v>
      </c>
      <c r="AS868" s="5" t="s">
        <v>73</v>
      </c>
      <c r="AT868" s="5" t="s">
        <v>78</v>
      </c>
      <c r="AW868" s="5" t="s">
        <v>94</v>
      </c>
      <c r="AX868" s="5" t="s">
        <v>79</v>
      </c>
      <c r="AY868" s="5"/>
      <c r="AZ868" s="5" t="s">
        <v>525</v>
      </c>
      <c r="BJ868" s="10" t="n">
        <v>2021</v>
      </c>
    </row>
    <row r="869" customFormat="false" ht="16.5" hidden="false" customHeight="true" outlineLevel="0" collapsed="false">
      <c r="A869" s="10" t="s">
        <v>4370</v>
      </c>
      <c r="B869" s="10" t="s">
        <v>4371</v>
      </c>
      <c r="C869" s="10" t="s">
        <v>4372</v>
      </c>
      <c r="D869" s="5" t="s">
        <v>3372</v>
      </c>
      <c r="E869" s="10" t="n">
        <v>237500</v>
      </c>
      <c r="F869" s="10" t="n">
        <v>237500</v>
      </c>
      <c r="G869" s="10" t="s">
        <v>147</v>
      </c>
      <c r="H869" s="10" t="n">
        <v>249711</v>
      </c>
      <c r="J869" s="18" t="n">
        <v>237500</v>
      </c>
      <c r="K869" s="18" t="n">
        <v>237500</v>
      </c>
      <c r="L869" s="5" t="s">
        <v>84</v>
      </c>
      <c r="M869" s="5"/>
      <c r="N869" s="10" t="s">
        <v>3436</v>
      </c>
      <c r="O869" s="10" t="s">
        <v>4373</v>
      </c>
      <c r="V869" s="10" t="s">
        <v>4374</v>
      </c>
      <c r="W869" s="5"/>
      <c r="X869" s="5"/>
      <c r="Z869" s="10" t="s">
        <v>3440</v>
      </c>
      <c r="AI869" s="10" t="s">
        <v>3409</v>
      </c>
      <c r="AM869" s="10" t="s">
        <v>3442</v>
      </c>
      <c r="AO869" s="10" t="s">
        <v>3452</v>
      </c>
      <c r="AQ869" s="5" t="s">
        <v>77</v>
      </c>
      <c r="AR869" s="5" t="s">
        <v>257</v>
      </c>
      <c r="AS869" s="5" t="s">
        <v>73</v>
      </c>
      <c r="AT869" s="5" t="s">
        <v>78</v>
      </c>
      <c r="AW869" s="5" t="s">
        <v>94</v>
      </c>
      <c r="AX869" s="5" t="s">
        <v>79</v>
      </c>
      <c r="AY869" s="5"/>
      <c r="AZ869" s="5" t="s">
        <v>309</v>
      </c>
      <c r="BF869" s="10" t="s">
        <v>4375</v>
      </c>
      <c r="BJ869" s="10" t="n">
        <v>2022</v>
      </c>
    </row>
    <row r="870" customFormat="false" ht="16.5" hidden="false" customHeight="true" outlineLevel="0" collapsed="false">
      <c r="A870" s="10" t="s">
        <v>4376</v>
      </c>
      <c r="B870" s="5" t="s">
        <v>4377</v>
      </c>
      <c r="C870" s="10" t="s">
        <v>4376</v>
      </c>
      <c r="D870" s="5" t="s">
        <v>3372</v>
      </c>
      <c r="E870" s="10" t="n">
        <v>0</v>
      </c>
      <c r="H870" s="10" t="n">
        <v>0</v>
      </c>
      <c r="J870" s="18"/>
      <c r="K870" s="18"/>
      <c r="L870" s="5" t="s">
        <v>84</v>
      </c>
      <c r="M870" s="5"/>
      <c r="N870" s="10" t="s">
        <v>4378</v>
      </c>
      <c r="O870" s="10" t="s">
        <v>4379</v>
      </c>
      <c r="T870" s="10" t="s">
        <v>4380</v>
      </c>
      <c r="V870" s="10" t="s">
        <v>4381</v>
      </c>
      <c r="W870" s="5"/>
      <c r="X870" s="5"/>
      <c r="Z870" s="10" t="s">
        <v>3774</v>
      </c>
      <c r="AI870" s="10" t="s">
        <v>4382</v>
      </c>
      <c r="AM870" s="10" t="s">
        <v>2352</v>
      </c>
      <c r="AQ870" s="5" t="s">
        <v>77</v>
      </c>
      <c r="AR870" s="5" t="s">
        <v>2221</v>
      </c>
      <c r="AS870" s="5" t="s">
        <v>73</v>
      </c>
      <c r="AT870" s="5" t="s">
        <v>105</v>
      </c>
      <c r="AU870" s="5" t="s">
        <v>106</v>
      </c>
      <c r="AV870" s="5"/>
      <c r="AW870" s="5" t="s">
        <v>94</v>
      </c>
      <c r="AX870" s="5" t="s">
        <v>79</v>
      </c>
      <c r="AY870" s="5"/>
      <c r="AZ870" s="5" t="s">
        <v>639</v>
      </c>
      <c r="BF870" s="5" t="s">
        <v>4377</v>
      </c>
      <c r="BJ870" s="10" t="n">
        <v>2020</v>
      </c>
      <c r="BK870" s="10" t="n">
        <v>2023</v>
      </c>
    </row>
    <row r="871" customFormat="false" ht="16.5" hidden="false" customHeight="true" outlineLevel="0" collapsed="false">
      <c r="A871" s="10" t="s">
        <v>4383</v>
      </c>
      <c r="B871" s="10" t="s">
        <v>4384</v>
      </c>
      <c r="C871" s="10" t="s">
        <v>4383</v>
      </c>
      <c r="D871" s="5" t="s">
        <v>3372</v>
      </c>
      <c r="E871" s="10" t="n">
        <v>0</v>
      </c>
      <c r="F871" s="10" t="n">
        <v>0</v>
      </c>
      <c r="G871" s="10" t="s">
        <v>147</v>
      </c>
      <c r="H871" s="10" t="n">
        <v>0</v>
      </c>
      <c r="J871" s="18" t="n">
        <v>0</v>
      </c>
      <c r="K871" s="18" t="n">
        <v>0</v>
      </c>
      <c r="L871" s="5" t="s">
        <v>84</v>
      </c>
      <c r="M871" s="5"/>
      <c r="N871" s="10" t="s">
        <v>4385</v>
      </c>
      <c r="O871" s="10" t="s">
        <v>4386</v>
      </c>
      <c r="T871" s="10" t="s">
        <v>4387</v>
      </c>
      <c r="V871" s="10" t="s">
        <v>4343</v>
      </c>
      <c r="W871" s="5"/>
      <c r="X871" s="5"/>
      <c r="Z871" s="10" t="s">
        <v>4344</v>
      </c>
      <c r="AI871" s="10" t="s">
        <v>4388</v>
      </c>
      <c r="AM871" s="5" t="s">
        <v>459</v>
      </c>
      <c r="AQ871" s="5" t="s">
        <v>77</v>
      </c>
      <c r="AR871" s="5" t="s">
        <v>333</v>
      </c>
      <c r="AS871" s="5" t="s">
        <v>73</v>
      </c>
      <c r="AT871" s="5" t="s">
        <v>105</v>
      </c>
      <c r="AU871" s="5" t="s">
        <v>106</v>
      </c>
      <c r="AV871" s="5"/>
      <c r="AW871" s="5" t="s">
        <v>94</v>
      </c>
      <c r="AX871" s="5" t="s">
        <v>79</v>
      </c>
      <c r="AY871" s="5"/>
      <c r="AZ871" s="5" t="s">
        <v>540</v>
      </c>
      <c r="BF871" s="10" t="s">
        <v>4384</v>
      </c>
      <c r="BJ871" s="10" t="n">
        <v>2023</v>
      </c>
      <c r="BK871" s="10" t="n">
        <v>2028</v>
      </c>
    </row>
    <row r="872" customFormat="false" ht="16.5" hidden="false" customHeight="true" outlineLevel="0" collapsed="false">
      <c r="A872" s="10" t="s">
        <v>4389</v>
      </c>
      <c r="B872" s="10" t="s">
        <v>4390</v>
      </c>
      <c r="C872" s="10" t="s">
        <v>4389</v>
      </c>
      <c r="D872" s="5" t="s">
        <v>3372</v>
      </c>
      <c r="E872" s="10" t="n">
        <v>8542500</v>
      </c>
      <c r="F872" s="10" t="n">
        <v>8542500</v>
      </c>
      <c r="G872" s="10" t="s">
        <v>885</v>
      </c>
      <c r="H872" s="10" t="n">
        <v>362761</v>
      </c>
      <c r="J872" s="7" t="n">
        <f aca="false">E872*0.04</f>
        <v>341700</v>
      </c>
      <c r="K872" s="7" t="n">
        <f aca="false">F872*0.04</f>
        <v>341700</v>
      </c>
      <c r="L872" s="5" t="s">
        <v>84</v>
      </c>
      <c r="M872" s="5"/>
      <c r="N872" s="10" t="s">
        <v>4391</v>
      </c>
      <c r="O872" s="10" t="s">
        <v>4392</v>
      </c>
      <c r="T872" s="10" t="s">
        <v>4393</v>
      </c>
      <c r="V872" s="10" t="s">
        <v>4394</v>
      </c>
      <c r="W872" s="5"/>
      <c r="X872" s="5" t="s">
        <v>888</v>
      </c>
      <c r="Z872" s="10" t="s">
        <v>4097</v>
      </c>
      <c r="AI872" s="10" t="s">
        <v>4098</v>
      </c>
      <c r="AM872" s="5" t="s">
        <v>4099</v>
      </c>
      <c r="AQ872" s="5" t="s">
        <v>77</v>
      </c>
      <c r="AR872" s="5" t="s">
        <v>890</v>
      </c>
      <c r="AS872" s="5" t="s">
        <v>73</v>
      </c>
      <c r="AT872" s="5" t="s">
        <v>78</v>
      </c>
      <c r="AW872" s="5" t="s">
        <v>94</v>
      </c>
      <c r="AX872" s="5" t="s">
        <v>79</v>
      </c>
      <c r="AY872" s="5"/>
      <c r="AZ872" s="5" t="s">
        <v>188</v>
      </c>
      <c r="BF872" s="10" t="s">
        <v>4395</v>
      </c>
      <c r="BJ872" s="10" t="n">
        <v>2024</v>
      </c>
      <c r="BK872" s="10" t="n">
        <v>2027</v>
      </c>
    </row>
    <row r="873" customFormat="false" ht="16.5" hidden="false" customHeight="true" outlineLevel="0" collapsed="false">
      <c r="A873" s="10" t="s">
        <v>4396</v>
      </c>
      <c r="B873" s="10" t="s">
        <v>4397</v>
      </c>
      <c r="C873" s="10" t="s">
        <v>4396</v>
      </c>
      <c r="D873" s="5" t="s">
        <v>3372</v>
      </c>
      <c r="E873" s="10" t="n">
        <v>300000</v>
      </c>
      <c r="F873" s="10" t="n">
        <v>300000</v>
      </c>
      <c r="G873" s="10" t="s">
        <v>212</v>
      </c>
      <c r="H873" s="10" t="n">
        <v>28375</v>
      </c>
      <c r="J873" s="7" t="n">
        <f aca="false">E873*0.091</f>
        <v>27300</v>
      </c>
      <c r="K873" s="7" t="n">
        <f aca="false">F873*0.091</f>
        <v>27300</v>
      </c>
      <c r="L873" s="5" t="s">
        <v>84</v>
      </c>
      <c r="M873" s="5"/>
      <c r="N873" s="10" t="s">
        <v>4398</v>
      </c>
      <c r="O873" s="10" t="s">
        <v>4399</v>
      </c>
      <c r="T873" s="10" t="s">
        <v>4400</v>
      </c>
      <c r="W873" s="5"/>
      <c r="X873" s="5"/>
      <c r="AI873" s="10" t="s">
        <v>4401</v>
      </c>
      <c r="AM873" s="10" t="s">
        <v>2703</v>
      </c>
      <c r="AO873" s="10" t="s">
        <v>3747</v>
      </c>
      <c r="AQ873" s="5" t="s">
        <v>77</v>
      </c>
      <c r="AR873" s="5" t="s">
        <v>215</v>
      </c>
      <c r="AS873" s="5" t="s">
        <v>73</v>
      </c>
      <c r="AT873" s="5" t="s">
        <v>105</v>
      </c>
      <c r="AU873" s="5" t="s">
        <v>106</v>
      </c>
      <c r="AV873" s="5"/>
      <c r="AW873" s="5" t="s">
        <v>94</v>
      </c>
      <c r="AX873" s="5" t="s">
        <v>79</v>
      </c>
      <c r="AY873" s="5"/>
      <c r="AZ873" s="5" t="s">
        <v>540</v>
      </c>
      <c r="BF873" s="10" t="s">
        <v>4397</v>
      </c>
      <c r="BJ873" s="10" t="n">
        <v>2024</v>
      </c>
      <c r="BK873" s="10" t="n">
        <v>2025</v>
      </c>
    </row>
    <row r="874" customFormat="false" ht="16.5" hidden="false" customHeight="true" outlineLevel="0" collapsed="false">
      <c r="A874" s="10" t="s">
        <v>4402</v>
      </c>
      <c r="B874" s="10" t="s">
        <v>4403</v>
      </c>
      <c r="C874" s="10" t="s">
        <v>4402</v>
      </c>
      <c r="D874" s="5" t="s">
        <v>3372</v>
      </c>
      <c r="E874" s="10" t="n">
        <v>47996020</v>
      </c>
      <c r="F874" s="10" t="n">
        <v>47996020</v>
      </c>
      <c r="G874" s="10" t="s">
        <v>212</v>
      </c>
      <c r="H874" s="10" t="n">
        <v>4862351</v>
      </c>
      <c r="J874" s="7" t="n">
        <f aca="false">E874*0.091</f>
        <v>4367637.82</v>
      </c>
      <c r="K874" s="7" t="n">
        <f aca="false">F874*0.091</f>
        <v>4367637.82</v>
      </c>
      <c r="L874" s="5" t="s">
        <v>84</v>
      </c>
      <c r="M874" s="5"/>
      <c r="N874" s="10" t="s">
        <v>4404</v>
      </c>
      <c r="O874" s="10" t="s">
        <v>4405</v>
      </c>
      <c r="T874" s="10" t="s">
        <v>4406</v>
      </c>
      <c r="V874" s="10" t="s">
        <v>432</v>
      </c>
      <c r="W874" s="5"/>
      <c r="X874" s="5"/>
      <c r="Z874" s="10" t="s">
        <v>2631</v>
      </c>
      <c r="AI874" s="10" t="s">
        <v>3738</v>
      </c>
      <c r="AM874" s="5" t="s">
        <v>217</v>
      </c>
      <c r="AO874" s="10" t="s">
        <v>4407</v>
      </c>
      <c r="AQ874" s="5" t="s">
        <v>77</v>
      </c>
      <c r="AR874" s="5" t="s">
        <v>215</v>
      </c>
      <c r="AS874" s="5" t="s">
        <v>73</v>
      </c>
      <c r="AT874" s="5" t="s">
        <v>78</v>
      </c>
      <c r="AW874" s="25" t="s">
        <v>94</v>
      </c>
      <c r="AX874" s="5" t="s">
        <v>79</v>
      </c>
      <c r="AY874" s="5"/>
      <c r="AZ874" s="5" t="s">
        <v>95</v>
      </c>
      <c r="BF874" s="10" t="s">
        <v>4403</v>
      </c>
      <c r="BJ874" s="10" t="n">
        <v>2020</v>
      </c>
      <c r="BK874" s="10" t="n">
        <v>2024</v>
      </c>
    </row>
    <row r="875" customFormat="false" ht="16.5" hidden="false" customHeight="true" outlineLevel="0" collapsed="false">
      <c r="A875" s="10" t="s">
        <v>4408</v>
      </c>
      <c r="B875" s="10" t="s">
        <v>4409</v>
      </c>
      <c r="C875" s="10" t="s">
        <v>4410</v>
      </c>
      <c r="D875" s="5" t="s">
        <v>3372</v>
      </c>
      <c r="E875" s="10" t="n">
        <v>49968</v>
      </c>
      <c r="F875" s="10" t="n">
        <v>49968</v>
      </c>
      <c r="G875" s="10" t="s">
        <v>147</v>
      </c>
      <c r="H875" s="10" t="n">
        <v>53025</v>
      </c>
      <c r="J875" s="18" t="n">
        <v>49968</v>
      </c>
      <c r="K875" s="18" t="n">
        <v>49968</v>
      </c>
      <c r="L875" s="5" t="s">
        <v>84</v>
      </c>
      <c r="M875" s="5"/>
      <c r="O875" s="10" t="s">
        <v>4411</v>
      </c>
      <c r="T875" s="10" t="s">
        <v>4412</v>
      </c>
      <c r="V875" s="10" t="s">
        <v>4413</v>
      </c>
      <c r="W875" s="5"/>
      <c r="X875" s="5"/>
      <c r="Z875" s="10" t="s">
        <v>4414</v>
      </c>
      <c r="AI875" s="10" t="s">
        <v>3564</v>
      </c>
      <c r="AM875" s="5" t="s">
        <v>1523</v>
      </c>
      <c r="AO875" s="10" t="s">
        <v>4415</v>
      </c>
      <c r="AQ875" s="5" t="s">
        <v>77</v>
      </c>
      <c r="AR875" s="5" t="s">
        <v>568</v>
      </c>
      <c r="AS875" s="5" t="s">
        <v>73</v>
      </c>
      <c r="AT875" s="5" t="s">
        <v>105</v>
      </c>
      <c r="AU875" s="5" t="s">
        <v>186</v>
      </c>
      <c r="AV875" s="10" t="s">
        <v>569</v>
      </c>
      <c r="AW875" s="5" t="s">
        <v>94</v>
      </c>
      <c r="AX875" s="5" t="s">
        <v>79</v>
      </c>
      <c r="AY875" s="5"/>
      <c r="AZ875" s="5" t="s">
        <v>121</v>
      </c>
      <c r="BF875" s="10" t="s">
        <v>4416</v>
      </c>
      <c r="BJ875" s="10" t="n">
        <v>2025</v>
      </c>
      <c r="BK875" s="10" t="n">
        <v>2026</v>
      </c>
    </row>
    <row r="876" customFormat="false" ht="16.5" hidden="false" customHeight="true" outlineLevel="0" collapsed="false">
      <c r="A876" s="10" t="s">
        <v>4417</v>
      </c>
      <c r="B876" s="10" t="s">
        <v>4418</v>
      </c>
      <c r="C876" s="10" t="s">
        <v>4417</v>
      </c>
      <c r="D876" s="5" t="s">
        <v>3372</v>
      </c>
      <c r="E876" s="10" t="n">
        <v>5302150</v>
      </c>
      <c r="F876" s="10" t="n">
        <v>5302150</v>
      </c>
      <c r="G876" s="10" t="s">
        <v>147</v>
      </c>
      <c r="H876" s="10" t="n">
        <v>5666621</v>
      </c>
      <c r="J876" s="18" t="n">
        <v>5302150</v>
      </c>
      <c r="K876" s="18" t="n">
        <v>5302150</v>
      </c>
      <c r="L876" s="5" t="s">
        <v>84</v>
      </c>
      <c r="M876" s="5"/>
      <c r="N876" s="10" t="s">
        <v>4419</v>
      </c>
      <c r="O876" s="10" t="s">
        <v>4420</v>
      </c>
      <c r="W876" s="5"/>
      <c r="X876" s="5"/>
      <c r="AI876" s="10" t="s">
        <v>4421</v>
      </c>
      <c r="AM876" s="10" t="s">
        <v>182</v>
      </c>
      <c r="AN876" s="5" t="s">
        <v>4422</v>
      </c>
      <c r="AQ876" s="5" t="s">
        <v>77</v>
      </c>
      <c r="AR876" s="5" t="s">
        <v>185</v>
      </c>
      <c r="AS876" s="5" t="s">
        <v>73</v>
      </c>
      <c r="AT876" s="5" t="s">
        <v>78</v>
      </c>
      <c r="AW876" s="25" t="s">
        <v>94</v>
      </c>
      <c r="AX876" s="5" t="s">
        <v>79</v>
      </c>
      <c r="AY876" s="5"/>
      <c r="AZ876" s="5" t="s">
        <v>129</v>
      </c>
      <c r="BF876" s="10" t="s">
        <v>4418</v>
      </c>
      <c r="BJ876" s="10" t="n">
        <v>2022</v>
      </c>
      <c r="BK876" s="10" t="n">
        <v>2027</v>
      </c>
    </row>
    <row r="877" customFormat="false" ht="16.5" hidden="false" customHeight="true" outlineLevel="0" collapsed="false">
      <c r="A877" s="10" t="s">
        <v>4423</v>
      </c>
      <c r="B877" s="10" t="s">
        <v>4424</v>
      </c>
      <c r="C877" s="10" t="s">
        <v>4423</v>
      </c>
      <c r="D877" s="5" t="s">
        <v>3372</v>
      </c>
      <c r="E877" s="37" t="n">
        <v>621103</v>
      </c>
      <c r="F877" s="37" t="n">
        <v>621103</v>
      </c>
      <c r="G877" s="10" t="s">
        <v>132</v>
      </c>
      <c r="H877" s="10" t="n">
        <v>793474</v>
      </c>
      <c r="J877" s="7" t="n">
        <f aca="false">E877*1.19</f>
        <v>739112.57</v>
      </c>
      <c r="K877" s="7" t="n">
        <f aca="false">F877*1.19</f>
        <v>739112.57</v>
      </c>
      <c r="L877" s="5" t="s">
        <v>84</v>
      </c>
      <c r="M877" s="5"/>
      <c r="N877" s="10" t="s">
        <v>4425</v>
      </c>
      <c r="O877" s="10" t="s">
        <v>4426</v>
      </c>
      <c r="T877" s="10" t="s">
        <v>2806</v>
      </c>
      <c r="W877" s="5"/>
      <c r="X877" s="5" t="s">
        <v>139</v>
      </c>
      <c r="AI877" s="10" t="s">
        <v>4427</v>
      </c>
      <c r="AM877" s="5" t="s">
        <v>140</v>
      </c>
      <c r="AN877" s="5" t="s">
        <v>699</v>
      </c>
      <c r="AO877" s="10" t="s">
        <v>2822</v>
      </c>
      <c r="AQ877" s="5" t="s">
        <v>77</v>
      </c>
      <c r="AR877" s="5" t="s">
        <v>143</v>
      </c>
      <c r="AS877" s="5" t="s">
        <v>73</v>
      </c>
      <c r="AT877" s="5" t="s">
        <v>78</v>
      </c>
      <c r="AW877" s="5" t="s">
        <v>94</v>
      </c>
      <c r="AX877" s="5" t="s">
        <v>375</v>
      </c>
      <c r="AY877" s="5"/>
      <c r="AZ877" s="5" t="s">
        <v>188</v>
      </c>
      <c r="BF877" s="10" t="s">
        <v>4424</v>
      </c>
      <c r="BJ877" s="10" t="n">
        <v>2024</v>
      </c>
      <c r="BK877" s="10" t="n">
        <v>2027</v>
      </c>
    </row>
    <row r="878" customFormat="false" ht="16.5" hidden="false" customHeight="true" outlineLevel="0" collapsed="false">
      <c r="A878" s="10" t="s">
        <v>4428</v>
      </c>
      <c r="B878" s="10" t="s">
        <v>4429</v>
      </c>
      <c r="C878" s="10" t="s">
        <v>4430</v>
      </c>
      <c r="D878" s="5" t="s">
        <v>3372</v>
      </c>
      <c r="E878" s="10" t="n">
        <v>250000</v>
      </c>
      <c r="F878" s="10" t="n">
        <v>250000</v>
      </c>
      <c r="G878" s="10" t="s">
        <v>147</v>
      </c>
      <c r="H878" s="10" t="n">
        <v>262854</v>
      </c>
      <c r="J878" s="18" t="n">
        <v>250000</v>
      </c>
      <c r="K878" s="18" t="n">
        <v>250000</v>
      </c>
      <c r="L878" s="5" t="s">
        <v>84</v>
      </c>
      <c r="M878" s="5"/>
      <c r="N878" s="10" t="s">
        <v>3436</v>
      </c>
      <c r="O878" s="10" t="s">
        <v>4431</v>
      </c>
      <c r="V878" s="10" t="s">
        <v>3449</v>
      </c>
      <c r="W878" s="5"/>
      <c r="X878" s="5"/>
      <c r="Z878" s="10" t="s">
        <v>3450</v>
      </c>
      <c r="AI878" s="10" t="s">
        <v>3409</v>
      </c>
      <c r="AM878" s="10" t="s">
        <v>3442</v>
      </c>
      <c r="AO878" s="10" t="s">
        <v>3452</v>
      </c>
      <c r="AQ878" s="5" t="s">
        <v>77</v>
      </c>
      <c r="AR878" s="5" t="s">
        <v>257</v>
      </c>
      <c r="AS878" s="5" t="s">
        <v>73</v>
      </c>
      <c r="AT878" s="5" t="s">
        <v>105</v>
      </c>
      <c r="AU878" s="5" t="s">
        <v>186</v>
      </c>
      <c r="AV878" s="5"/>
      <c r="AW878" s="5" t="s">
        <v>94</v>
      </c>
      <c r="AX878" s="5" t="s">
        <v>375</v>
      </c>
      <c r="AY878" s="5"/>
      <c r="AZ878" s="5" t="s">
        <v>639</v>
      </c>
      <c r="BF878" s="10" t="s">
        <v>4432</v>
      </c>
      <c r="BJ878" s="10" t="n">
        <v>2022</v>
      </c>
    </row>
    <row r="879" customFormat="false" ht="16.5" hidden="false" customHeight="true" outlineLevel="0" collapsed="false">
      <c r="A879" s="10" t="s">
        <v>4433</v>
      </c>
      <c r="B879" s="5" t="s">
        <v>4434</v>
      </c>
      <c r="C879" s="10" t="s">
        <v>4433</v>
      </c>
      <c r="D879" s="5" t="s">
        <v>3372</v>
      </c>
      <c r="E879" s="10" t="n">
        <v>0</v>
      </c>
      <c r="F879" s="10" t="n">
        <v>0</v>
      </c>
      <c r="G879" s="10" t="s">
        <v>147</v>
      </c>
      <c r="H879" s="10" t="n">
        <v>0</v>
      </c>
      <c r="J879" s="18" t="n">
        <v>0</v>
      </c>
      <c r="K879" s="18" t="n">
        <v>0</v>
      </c>
      <c r="L879" s="5" t="s">
        <v>84</v>
      </c>
      <c r="M879" s="5"/>
      <c r="N879" s="10" t="s">
        <v>4435</v>
      </c>
      <c r="O879" s="10" t="s">
        <v>4436</v>
      </c>
      <c r="T879" s="10" t="s">
        <v>4437</v>
      </c>
      <c r="W879" s="5"/>
      <c r="X879" s="5"/>
      <c r="AI879" s="10" t="s">
        <v>4382</v>
      </c>
      <c r="AM879" s="5" t="s">
        <v>459</v>
      </c>
      <c r="AO879" s="10" t="s">
        <v>4438</v>
      </c>
      <c r="AQ879" s="5" t="s">
        <v>77</v>
      </c>
      <c r="AR879" s="5" t="s">
        <v>333</v>
      </c>
      <c r="AS879" s="5" t="s">
        <v>73</v>
      </c>
      <c r="AT879" s="5" t="s">
        <v>78</v>
      </c>
      <c r="AW879" s="5" t="s">
        <v>94</v>
      </c>
      <c r="AX879" s="5" t="s">
        <v>296</v>
      </c>
      <c r="AY879" s="5"/>
      <c r="AZ879" s="5" t="s">
        <v>188</v>
      </c>
      <c r="BF879" s="5" t="s">
        <v>4434</v>
      </c>
      <c r="BJ879" s="10" t="n">
        <v>2020</v>
      </c>
      <c r="BK879" s="10" t="n">
        <v>2024</v>
      </c>
    </row>
    <row r="880" customFormat="false" ht="16.5" hidden="false" customHeight="true" outlineLevel="0" collapsed="false">
      <c r="A880" s="10" t="s">
        <v>4439</v>
      </c>
      <c r="B880" s="10" t="s">
        <v>4440</v>
      </c>
      <c r="C880" s="10" t="s">
        <v>4441</v>
      </c>
      <c r="D880" s="5" t="s">
        <v>3372</v>
      </c>
      <c r="E880" s="10" t="n">
        <v>0</v>
      </c>
      <c r="H880" s="10" t="n">
        <v>0</v>
      </c>
      <c r="J880" s="18"/>
      <c r="K880" s="18"/>
      <c r="L880" s="5" t="s">
        <v>84</v>
      </c>
      <c r="M880" s="5"/>
      <c r="O880" s="10" t="s">
        <v>4442</v>
      </c>
      <c r="T880" s="10" t="s">
        <v>4443</v>
      </c>
      <c r="W880" s="5"/>
      <c r="X880" s="5"/>
      <c r="AI880" s="10" t="s">
        <v>3451</v>
      </c>
      <c r="AM880" s="10" t="s">
        <v>2220</v>
      </c>
      <c r="AQ880" s="5" t="s">
        <v>77</v>
      </c>
      <c r="AR880" s="5" t="s">
        <v>2221</v>
      </c>
      <c r="AS880" s="5" t="s">
        <v>73</v>
      </c>
      <c r="AT880" s="5" t="s">
        <v>78</v>
      </c>
      <c r="AW880" s="5" t="s">
        <v>94</v>
      </c>
      <c r="AX880" s="5" t="s">
        <v>79</v>
      </c>
      <c r="AY880" s="5"/>
      <c r="AZ880" s="5" t="s">
        <v>309</v>
      </c>
      <c r="BF880" s="5" t="s">
        <v>4444</v>
      </c>
      <c r="BJ880" s="10" t="n">
        <v>2020</v>
      </c>
      <c r="BK880" s="10" t="n">
        <v>2020</v>
      </c>
    </row>
    <row r="881" customFormat="false" ht="16.5" hidden="false" customHeight="true" outlineLevel="0" collapsed="false">
      <c r="A881" s="10" t="s">
        <v>4445</v>
      </c>
      <c r="B881" s="10" t="s">
        <v>4446</v>
      </c>
      <c r="C881" s="10" t="s">
        <v>4445</v>
      </c>
      <c r="D881" s="5" t="s">
        <v>3372</v>
      </c>
      <c r="E881" s="10" t="n">
        <v>1538258</v>
      </c>
      <c r="F881" s="10" t="n">
        <v>1538258</v>
      </c>
      <c r="G881" s="10" t="s">
        <v>147</v>
      </c>
      <c r="H881" s="10" t="n">
        <v>1649671</v>
      </c>
      <c r="J881" s="18" t="n">
        <v>1538258</v>
      </c>
      <c r="K881" s="18" t="n">
        <v>1538258</v>
      </c>
      <c r="L881" s="5" t="s">
        <v>84</v>
      </c>
      <c r="M881" s="5"/>
      <c r="N881" s="10" t="s">
        <v>4447</v>
      </c>
      <c r="O881" s="10" t="s">
        <v>4448</v>
      </c>
      <c r="T881" s="10" t="s">
        <v>4449</v>
      </c>
      <c r="V881" s="10" t="s">
        <v>4112</v>
      </c>
      <c r="W881" s="5"/>
      <c r="X881" s="5"/>
      <c r="Z881" s="10" t="s">
        <v>4113</v>
      </c>
      <c r="AI881" s="10" t="s">
        <v>4450</v>
      </c>
      <c r="AM881" s="5" t="s">
        <v>4355</v>
      </c>
      <c r="AO881" s="10" t="s">
        <v>4451</v>
      </c>
      <c r="AQ881" s="5" t="s">
        <v>77</v>
      </c>
      <c r="AR881" s="5" t="s">
        <v>160</v>
      </c>
      <c r="AS881" s="5" t="s">
        <v>73</v>
      </c>
      <c r="AT881" s="5" t="s">
        <v>78</v>
      </c>
      <c r="AW881" s="25" t="s">
        <v>94</v>
      </c>
      <c r="AX881" s="5" t="s">
        <v>79</v>
      </c>
      <c r="AY881" s="5"/>
      <c r="AZ881" s="5" t="s">
        <v>309</v>
      </c>
      <c r="BF881" s="10" t="s">
        <v>4446</v>
      </c>
      <c r="BJ881" s="10" t="n">
        <v>2022</v>
      </c>
      <c r="BK881" s="10" t="n">
        <v>2025</v>
      </c>
    </row>
    <row r="882" customFormat="false" ht="16.5" hidden="false" customHeight="true" outlineLevel="0" collapsed="false">
      <c r="A882" s="10" t="s">
        <v>4445</v>
      </c>
      <c r="B882" s="10" t="s">
        <v>4446</v>
      </c>
      <c r="C882" s="10" t="s">
        <v>4445</v>
      </c>
      <c r="D882" s="5" t="s">
        <v>3372</v>
      </c>
      <c r="E882" s="10" t="n">
        <v>299942</v>
      </c>
      <c r="F882" s="10" t="n">
        <v>299942</v>
      </c>
      <c r="G882" s="10" t="s">
        <v>147</v>
      </c>
      <c r="H882" s="10" t="n">
        <v>321652</v>
      </c>
      <c r="J882" s="18" t="n">
        <v>299942</v>
      </c>
      <c r="K882" s="18" t="n">
        <v>299942</v>
      </c>
      <c r="L882" s="5" t="s">
        <v>84</v>
      </c>
      <c r="M882" s="5"/>
      <c r="N882" s="10" t="s">
        <v>4452</v>
      </c>
      <c r="O882" s="10" t="s">
        <v>4453</v>
      </c>
      <c r="T882" s="10" t="s">
        <v>4454</v>
      </c>
      <c r="V882" s="10" t="s">
        <v>4455</v>
      </c>
      <c r="W882" s="5"/>
      <c r="X882" s="5"/>
      <c r="Z882" s="10" t="s">
        <v>4113</v>
      </c>
      <c r="AI882" s="10" t="s">
        <v>4450</v>
      </c>
      <c r="AM882" s="5" t="s">
        <v>4355</v>
      </c>
      <c r="AO882" s="10" t="s">
        <v>4451</v>
      </c>
      <c r="AQ882" s="5" t="s">
        <v>77</v>
      </c>
      <c r="AR882" s="5" t="s">
        <v>160</v>
      </c>
      <c r="AS882" s="5" t="s">
        <v>73</v>
      </c>
      <c r="AT882" s="5" t="s">
        <v>78</v>
      </c>
      <c r="AW882" s="5" t="s">
        <v>94</v>
      </c>
      <c r="AX882" s="5" t="s">
        <v>79</v>
      </c>
      <c r="AY882" s="5"/>
      <c r="AZ882" s="5" t="s">
        <v>309</v>
      </c>
      <c r="BF882" s="10" t="s">
        <v>4446</v>
      </c>
      <c r="BJ882" s="10" t="n">
        <v>2022</v>
      </c>
      <c r="BK882" s="10" t="n">
        <v>2025</v>
      </c>
    </row>
    <row r="883" customFormat="false" ht="16.5" hidden="false" customHeight="true" outlineLevel="0" collapsed="false">
      <c r="A883" s="10" t="s">
        <v>4456</v>
      </c>
      <c r="B883" s="10" t="s">
        <v>4457</v>
      </c>
      <c r="C883" s="10" t="s">
        <v>4456</v>
      </c>
      <c r="D883" s="5" t="s">
        <v>3372</v>
      </c>
      <c r="E883" s="10" t="n">
        <v>1499791</v>
      </c>
      <c r="F883" s="10" t="n">
        <v>1499791</v>
      </c>
      <c r="G883" s="10" t="s">
        <v>147</v>
      </c>
      <c r="H883" s="10" t="n">
        <v>1602619</v>
      </c>
      <c r="J883" s="18" t="n">
        <v>1499791</v>
      </c>
      <c r="K883" s="18" t="n">
        <v>1499791</v>
      </c>
      <c r="L883" s="5" t="s">
        <v>84</v>
      </c>
      <c r="M883" s="5"/>
      <c r="N883" s="10" t="s">
        <v>4458</v>
      </c>
      <c r="O883" s="10" t="s">
        <v>4459</v>
      </c>
      <c r="V883" s="10" t="s">
        <v>4460</v>
      </c>
      <c r="W883" s="5"/>
      <c r="X883" s="5" t="s">
        <v>568</v>
      </c>
      <c r="Z883" s="10" t="s">
        <v>3611</v>
      </c>
      <c r="AI883" s="10" t="s">
        <v>4461</v>
      </c>
      <c r="AM883" s="28" t="s">
        <v>182</v>
      </c>
      <c r="AN883" s="5" t="s">
        <v>4137</v>
      </c>
      <c r="AQ883" s="5" t="s">
        <v>77</v>
      </c>
      <c r="AR883" s="5" t="s">
        <v>185</v>
      </c>
      <c r="AS883" s="5" t="s">
        <v>73</v>
      </c>
      <c r="AT883" s="5" t="s">
        <v>78</v>
      </c>
      <c r="AW883" s="25" t="s">
        <v>94</v>
      </c>
      <c r="AX883" s="5" t="s">
        <v>79</v>
      </c>
      <c r="AY883" s="5"/>
      <c r="AZ883" s="5" t="s">
        <v>188</v>
      </c>
      <c r="BF883" s="10" t="s">
        <v>4457</v>
      </c>
      <c r="BJ883" s="10" t="n">
        <v>2022</v>
      </c>
      <c r="BK883" s="10" t="n">
        <v>2027</v>
      </c>
    </row>
    <row r="884" customFormat="false" ht="16.5" hidden="false" customHeight="true" outlineLevel="0" collapsed="false">
      <c r="A884" s="10" t="s">
        <v>4462</v>
      </c>
      <c r="B884" s="5" t="s">
        <v>4463</v>
      </c>
      <c r="C884" s="10" t="s">
        <v>4464</v>
      </c>
      <c r="D884" s="5" t="s">
        <v>3372</v>
      </c>
      <c r="E884" s="10" t="n">
        <v>337090</v>
      </c>
      <c r="F884" s="10" t="n">
        <v>337090</v>
      </c>
      <c r="G884" s="10" t="s">
        <v>147</v>
      </c>
      <c r="H884" s="10" t="n">
        <v>378372</v>
      </c>
      <c r="J884" s="18" t="n">
        <v>337090</v>
      </c>
      <c r="K884" s="18" t="n">
        <v>337090</v>
      </c>
      <c r="L884" s="5" t="s">
        <v>84</v>
      </c>
      <c r="M884" s="5"/>
      <c r="N884" s="10" t="s">
        <v>4465</v>
      </c>
      <c r="O884" s="10" t="s">
        <v>4466</v>
      </c>
      <c r="V884" s="10" t="s">
        <v>1641</v>
      </c>
      <c r="W884" s="5"/>
      <c r="X884" s="5"/>
      <c r="Z884" s="10" t="s">
        <v>4467</v>
      </c>
      <c r="AI884" s="10" t="s">
        <v>4468</v>
      </c>
      <c r="AM884" s="5" t="s">
        <v>821</v>
      </c>
      <c r="AO884" s="10" t="s">
        <v>4273</v>
      </c>
      <c r="AQ884" s="5" t="s">
        <v>77</v>
      </c>
      <c r="AR884" s="5" t="s">
        <v>151</v>
      </c>
      <c r="AS884" s="5" t="s">
        <v>73</v>
      </c>
      <c r="AT884" s="5" t="s">
        <v>78</v>
      </c>
      <c r="AW884" s="5" t="s">
        <v>94</v>
      </c>
      <c r="AX884" s="5" t="s">
        <v>79</v>
      </c>
      <c r="AY884" s="5"/>
      <c r="AZ884" s="5" t="s">
        <v>309</v>
      </c>
      <c r="BJ884" s="10" t="n">
        <v>2020</v>
      </c>
      <c r="BK884" s="10" t="n">
        <v>2023</v>
      </c>
    </row>
    <row r="885" customFormat="false" ht="16.5" hidden="false" customHeight="true" outlineLevel="0" collapsed="false">
      <c r="A885" s="10" t="s">
        <v>4445</v>
      </c>
      <c r="B885" s="10" t="s">
        <v>4446</v>
      </c>
      <c r="C885" s="10" t="s">
        <v>4445</v>
      </c>
      <c r="D885" s="5" t="s">
        <v>3372</v>
      </c>
      <c r="E885" s="10" t="n">
        <v>578326</v>
      </c>
      <c r="F885" s="10" t="n">
        <v>578326</v>
      </c>
      <c r="G885" s="10" t="s">
        <v>147</v>
      </c>
      <c r="H885" s="10" t="n">
        <v>620209</v>
      </c>
      <c r="J885" s="18" t="n">
        <v>578326</v>
      </c>
      <c r="K885" s="18" t="n">
        <v>578326</v>
      </c>
      <c r="L885" s="5" t="s">
        <v>84</v>
      </c>
      <c r="M885" s="5"/>
      <c r="N885" s="10" t="s">
        <v>4469</v>
      </c>
      <c r="O885" s="10" t="s">
        <v>4470</v>
      </c>
      <c r="T885" s="10" t="s">
        <v>4471</v>
      </c>
      <c r="V885" s="10" t="s">
        <v>4472</v>
      </c>
      <c r="W885" s="5"/>
      <c r="X885" s="5"/>
      <c r="Z885" s="10" t="s">
        <v>4113</v>
      </c>
      <c r="AI885" s="10" t="s">
        <v>4450</v>
      </c>
      <c r="AM885" s="5" t="s">
        <v>4355</v>
      </c>
      <c r="AO885" s="10" t="s">
        <v>4451</v>
      </c>
      <c r="AQ885" s="5" t="s">
        <v>77</v>
      </c>
      <c r="AR885" s="5" t="s">
        <v>160</v>
      </c>
      <c r="AS885" s="5" t="s">
        <v>73</v>
      </c>
      <c r="AT885" s="5" t="s">
        <v>78</v>
      </c>
      <c r="AW885" s="5" t="s">
        <v>94</v>
      </c>
      <c r="AX885" s="5" t="s">
        <v>79</v>
      </c>
      <c r="AY885" s="5"/>
      <c r="AZ885" s="5" t="s">
        <v>309</v>
      </c>
      <c r="BF885" s="10" t="s">
        <v>4446</v>
      </c>
      <c r="BJ885" s="10" t="n">
        <v>2022</v>
      </c>
      <c r="BK885" s="10" t="n">
        <v>2025</v>
      </c>
    </row>
    <row r="886" customFormat="false" ht="16.5" hidden="false" customHeight="true" outlineLevel="0" collapsed="false">
      <c r="A886" s="10" t="s">
        <v>4473</v>
      </c>
      <c r="B886" s="5" t="s">
        <v>4474</v>
      </c>
      <c r="C886" s="10" t="s">
        <v>4473</v>
      </c>
      <c r="D886" s="5" t="s">
        <v>3372</v>
      </c>
      <c r="E886" s="10" t="n">
        <v>760000</v>
      </c>
      <c r="F886" s="10" t="n">
        <v>760000</v>
      </c>
      <c r="G886" s="10" t="s">
        <v>63</v>
      </c>
      <c r="H886" s="10" t="n">
        <v>110249</v>
      </c>
      <c r="J886" s="7" t="n">
        <f aca="false">E886*0.13</f>
        <v>98800</v>
      </c>
      <c r="K886" s="7" t="n">
        <f aca="false">F886*0.13</f>
        <v>98800</v>
      </c>
      <c r="L886" s="5" t="s">
        <v>84</v>
      </c>
      <c r="M886" s="5"/>
      <c r="O886" s="10" t="s">
        <v>4475</v>
      </c>
      <c r="W886" s="5"/>
      <c r="X886" s="5"/>
      <c r="AI886" s="10" t="s">
        <v>3469</v>
      </c>
      <c r="AM886" s="10" t="s">
        <v>3976</v>
      </c>
      <c r="AO886" s="10" t="s">
        <v>4476</v>
      </c>
      <c r="AQ886" s="28" t="s">
        <v>77</v>
      </c>
      <c r="AR886" s="5" t="s">
        <v>72</v>
      </c>
      <c r="AS886" s="5" t="s">
        <v>73</v>
      </c>
      <c r="AT886" s="5" t="s">
        <v>374</v>
      </c>
      <c r="AW886" s="5" t="s">
        <v>94</v>
      </c>
      <c r="AX886" s="5" t="s">
        <v>375</v>
      </c>
      <c r="AY886" s="5"/>
      <c r="AZ886" s="5" t="s">
        <v>121</v>
      </c>
      <c r="BF886" s="5" t="s">
        <v>4474</v>
      </c>
      <c r="BJ886" s="10" t="n">
        <v>2023</v>
      </c>
      <c r="BK886" s="10" t="n">
        <v>2024</v>
      </c>
    </row>
    <row r="887" customFormat="false" ht="16.5" hidden="false" customHeight="true" outlineLevel="0" collapsed="false">
      <c r="A887" s="10" t="s">
        <v>4477</v>
      </c>
      <c r="B887" s="10" t="s">
        <v>4478</v>
      </c>
      <c r="C887" s="10" t="s">
        <v>4477</v>
      </c>
      <c r="D887" s="5" t="s">
        <v>3372</v>
      </c>
      <c r="E887" s="10" t="n">
        <v>1593900</v>
      </c>
      <c r="F887" s="10" t="n">
        <v>1593900</v>
      </c>
      <c r="G887" s="10" t="s">
        <v>63</v>
      </c>
      <c r="H887" s="10" t="n">
        <v>229695</v>
      </c>
      <c r="J887" s="7" t="n">
        <f aca="false">E887*0.13</f>
        <v>207207</v>
      </c>
      <c r="K887" s="7" t="n">
        <f aca="false">F887*0.13</f>
        <v>207207</v>
      </c>
      <c r="L887" s="5" t="s">
        <v>84</v>
      </c>
      <c r="M887" s="5"/>
      <c r="O887" s="10" t="s">
        <v>4479</v>
      </c>
      <c r="T887" s="10" t="s">
        <v>4480</v>
      </c>
      <c r="V887" s="10" t="s">
        <v>393</v>
      </c>
      <c r="W887" s="5"/>
      <c r="X887" s="5"/>
      <c r="Z887" s="10" t="s">
        <v>2631</v>
      </c>
      <c r="AI887" s="10" t="s">
        <v>4481</v>
      </c>
      <c r="AM887" s="10" t="s">
        <v>92</v>
      </c>
      <c r="AO887" s="10" t="s">
        <v>3910</v>
      </c>
      <c r="AQ887" s="5" t="s">
        <v>93</v>
      </c>
      <c r="AR887" s="5" t="s">
        <v>72</v>
      </c>
      <c r="AS887" s="5" t="s">
        <v>73</v>
      </c>
      <c r="AT887" s="5" t="s">
        <v>105</v>
      </c>
      <c r="AU887" s="5" t="s">
        <v>106</v>
      </c>
      <c r="AV887" s="5"/>
      <c r="AW887" s="5" t="s">
        <v>94</v>
      </c>
      <c r="AX887" s="5" t="s">
        <v>79</v>
      </c>
      <c r="AY887" s="5"/>
      <c r="AZ887" s="5" t="s">
        <v>129</v>
      </c>
      <c r="BF887" s="10" t="s">
        <v>4478</v>
      </c>
      <c r="BJ887" s="10" t="n">
        <v>2023</v>
      </c>
      <c r="BK887" s="10" t="n">
        <v>2025</v>
      </c>
    </row>
    <row r="888" customFormat="false" ht="16.5" hidden="false" customHeight="true" outlineLevel="0" collapsed="false">
      <c r="A888" s="10" t="s">
        <v>4482</v>
      </c>
      <c r="B888" s="10" t="s">
        <v>4483</v>
      </c>
      <c r="C888" s="5" t="s">
        <v>4484</v>
      </c>
      <c r="D888" s="5" t="s">
        <v>3372</v>
      </c>
      <c r="E888" s="10" t="n">
        <v>199296</v>
      </c>
      <c r="F888" s="10" t="n">
        <v>199296</v>
      </c>
      <c r="G888" s="10" t="s">
        <v>147</v>
      </c>
      <c r="H888" s="10" t="n">
        <v>215621</v>
      </c>
      <c r="J888" s="18" t="n">
        <v>199296</v>
      </c>
      <c r="K888" s="18" t="n">
        <v>199296</v>
      </c>
      <c r="L888" s="5" t="s">
        <v>84</v>
      </c>
      <c r="M888" s="5"/>
      <c r="N888" s="10" t="s">
        <v>3436</v>
      </c>
      <c r="O888" s="10" t="s">
        <v>4485</v>
      </c>
      <c r="V888" s="10" t="s">
        <v>4233</v>
      </c>
      <c r="W888" s="5"/>
      <c r="X888" s="5"/>
      <c r="Z888" s="10" t="s">
        <v>4234</v>
      </c>
      <c r="AI888" s="10" t="s">
        <v>3441</v>
      </c>
      <c r="AM888" s="10" t="s">
        <v>3442</v>
      </c>
      <c r="AO888" s="10" t="s">
        <v>3573</v>
      </c>
      <c r="AQ888" s="5" t="s">
        <v>77</v>
      </c>
      <c r="AR888" s="5" t="s">
        <v>257</v>
      </c>
      <c r="AS888" s="5" t="s">
        <v>73</v>
      </c>
      <c r="AT888" s="5" t="s">
        <v>78</v>
      </c>
      <c r="AU888" s="5" t="s">
        <v>259</v>
      </c>
      <c r="AV888" s="5"/>
      <c r="AW888" s="5" t="s">
        <v>94</v>
      </c>
      <c r="AX888" s="5" t="s">
        <v>296</v>
      </c>
      <c r="AY888" s="5" t="s">
        <v>501</v>
      </c>
      <c r="AZ888" s="5" t="s">
        <v>188</v>
      </c>
      <c r="BF888" s="5" t="s">
        <v>4486</v>
      </c>
      <c r="BJ888" s="10" t="n">
        <v>2024</v>
      </c>
    </row>
    <row r="889" customFormat="false" ht="16.5" hidden="false" customHeight="true" outlineLevel="0" collapsed="false">
      <c r="A889" s="10" t="s">
        <v>4487</v>
      </c>
      <c r="B889" s="10" t="s">
        <v>4488</v>
      </c>
      <c r="C889" s="10" t="s">
        <v>4489</v>
      </c>
      <c r="D889" s="5" t="s">
        <v>3372</v>
      </c>
      <c r="E889" s="10" t="n">
        <v>156250</v>
      </c>
      <c r="F889" s="10" t="n">
        <v>156250</v>
      </c>
      <c r="G889" s="10" t="s">
        <v>147</v>
      </c>
      <c r="H889" s="10" t="n">
        <v>164283</v>
      </c>
      <c r="J889" s="18" t="n">
        <v>156250</v>
      </c>
      <c r="K889" s="18" t="n">
        <v>156250</v>
      </c>
      <c r="L889" s="5" t="s">
        <v>84</v>
      </c>
      <c r="M889" s="5"/>
      <c r="N889" s="10" t="s">
        <v>3436</v>
      </c>
      <c r="O889" s="10" t="s">
        <v>4490</v>
      </c>
      <c r="V889" s="10" t="s">
        <v>4491</v>
      </c>
      <c r="W889" s="5"/>
      <c r="X889" s="5"/>
      <c r="Z889" s="10" t="s">
        <v>4234</v>
      </c>
      <c r="AI889" s="10" t="s">
        <v>3409</v>
      </c>
      <c r="AM889" s="10" t="s">
        <v>3442</v>
      </c>
      <c r="AO889" s="10" t="s">
        <v>3452</v>
      </c>
      <c r="AQ889" s="5" t="s">
        <v>77</v>
      </c>
      <c r="AR889" s="5" t="s">
        <v>257</v>
      </c>
      <c r="AS889" s="5" t="s">
        <v>73</v>
      </c>
      <c r="AT889" s="5" t="s">
        <v>78</v>
      </c>
      <c r="AW889" s="5" t="s">
        <v>94</v>
      </c>
      <c r="AX889" s="5" t="s">
        <v>79</v>
      </c>
      <c r="AY889" s="5"/>
      <c r="AZ889" s="5" t="s">
        <v>129</v>
      </c>
      <c r="BF889" s="5" t="s">
        <v>4492</v>
      </c>
      <c r="BJ889" s="10" t="n">
        <v>2022</v>
      </c>
    </row>
    <row r="890" customFormat="false" ht="16.5" hidden="false" customHeight="true" outlineLevel="0" collapsed="false">
      <c r="A890" s="10" t="s">
        <v>4493</v>
      </c>
      <c r="B890" s="10" t="s">
        <v>4488</v>
      </c>
      <c r="C890" s="10" t="s">
        <v>4494</v>
      </c>
      <c r="D890" s="5" t="s">
        <v>3372</v>
      </c>
      <c r="E890" s="10" t="n">
        <v>237500</v>
      </c>
      <c r="F890" s="10" t="n">
        <v>237500</v>
      </c>
      <c r="G890" s="10" t="s">
        <v>147</v>
      </c>
      <c r="H890" s="10" t="n">
        <v>249711</v>
      </c>
      <c r="J890" s="18" t="n">
        <v>237500</v>
      </c>
      <c r="K890" s="18" t="n">
        <v>237500</v>
      </c>
      <c r="L890" s="5" t="s">
        <v>84</v>
      </c>
      <c r="M890" s="5"/>
      <c r="N890" s="10" t="s">
        <v>3436</v>
      </c>
      <c r="O890" s="10" t="s">
        <v>4495</v>
      </c>
      <c r="V890" s="10" t="s">
        <v>3439</v>
      </c>
      <c r="W890" s="5"/>
      <c r="X890" s="5"/>
      <c r="Z890" s="10" t="s">
        <v>3440</v>
      </c>
      <c r="AI890" s="10" t="s">
        <v>3409</v>
      </c>
      <c r="AM890" s="10" t="s">
        <v>3442</v>
      </c>
      <c r="AO890" s="10" t="s">
        <v>3452</v>
      </c>
      <c r="AQ890" s="5" t="s">
        <v>77</v>
      </c>
      <c r="AR890" s="5" t="s">
        <v>257</v>
      </c>
      <c r="AS890" s="5" t="s">
        <v>73</v>
      </c>
      <c r="AT890" s="5" t="s">
        <v>78</v>
      </c>
      <c r="AW890" s="5" t="s">
        <v>94</v>
      </c>
      <c r="AX890" s="5" t="s">
        <v>79</v>
      </c>
      <c r="AY890" s="5"/>
      <c r="AZ890" s="5" t="s">
        <v>129</v>
      </c>
      <c r="BF890" s="5" t="s">
        <v>4492</v>
      </c>
      <c r="BJ890" s="10" t="n">
        <v>2022</v>
      </c>
    </row>
    <row r="891" customFormat="false" ht="16.5" hidden="false" customHeight="true" outlineLevel="0" collapsed="false">
      <c r="A891" s="10" t="s">
        <v>4496</v>
      </c>
      <c r="C891" s="10" t="s">
        <v>4497</v>
      </c>
      <c r="D891" s="5" t="s">
        <v>3372</v>
      </c>
      <c r="E891" s="10" t="n">
        <v>268723</v>
      </c>
      <c r="F891" s="10" t="n">
        <v>268723</v>
      </c>
      <c r="G891" s="10" t="s">
        <v>147</v>
      </c>
      <c r="H891" s="10" t="n">
        <v>287782</v>
      </c>
      <c r="J891" s="18" t="n">
        <v>268723</v>
      </c>
      <c r="K891" s="18" t="n">
        <v>268723</v>
      </c>
      <c r="L891" s="5" t="s">
        <v>84</v>
      </c>
      <c r="M891" s="5"/>
      <c r="N891" s="10" t="s">
        <v>4498</v>
      </c>
      <c r="O891" s="10" t="s">
        <v>4499</v>
      </c>
      <c r="V891" s="10" t="s">
        <v>923</v>
      </c>
      <c r="W891" s="5"/>
      <c r="X891" s="5"/>
      <c r="Z891" s="10" t="s">
        <v>4288</v>
      </c>
      <c r="AI891" s="10" t="s">
        <v>4421</v>
      </c>
      <c r="AM891" s="5" t="s">
        <v>924</v>
      </c>
      <c r="AO891" s="10" t="s">
        <v>4500</v>
      </c>
      <c r="AQ891" s="5" t="s">
        <v>77</v>
      </c>
      <c r="AR891" s="5" t="s">
        <v>151</v>
      </c>
      <c r="AS891" s="5" t="s">
        <v>73</v>
      </c>
      <c r="AT891" s="5" t="s">
        <v>78</v>
      </c>
      <c r="AW891" s="5" t="s">
        <v>94</v>
      </c>
      <c r="AX891" s="5" t="s">
        <v>79</v>
      </c>
      <c r="AY891" s="5"/>
      <c r="AZ891" s="5" t="s">
        <v>129</v>
      </c>
      <c r="BJ891" s="10" t="n">
        <v>2022</v>
      </c>
      <c r="BK891" s="10" t="n">
        <v>2026</v>
      </c>
    </row>
    <row r="892" customFormat="false" ht="16.5" hidden="false" customHeight="true" outlineLevel="0" collapsed="false">
      <c r="A892" s="10" t="s">
        <v>4501</v>
      </c>
      <c r="B892" s="5" t="s">
        <v>4502</v>
      </c>
      <c r="C892" s="10" t="s">
        <v>4503</v>
      </c>
      <c r="D892" s="5" t="s">
        <v>3372</v>
      </c>
      <c r="E892" s="10" t="n">
        <v>275000</v>
      </c>
      <c r="F892" s="10" t="n">
        <v>275000</v>
      </c>
      <c r="G892" s="10" t="s">
        <v>147</v>
      </c>
      <c r="H892" s="10" t="n">
        <v>296121</v>
      </c>
      <c r="J892" s="18" t="n">
        <v>275000</v>
      </c>
      <c r="K892" s="18" t="n">
        <v>275000</v>
      </c>
      <c r="L892" s="5" t="s">
        <v>84</v>
      </c>
      <c r="M892" s="5"/>
      <c r="N892" s="10" t="s">
        <v>4504</v>
      </c>
      <c r="O892" s="10" t="s">
        <v>4505</v>
      </c>
      <c r="V892" s="10" t="s">
        <v>923</v>
      </c>
      <c r="W892" s="5"/>
      <c r="X892" s="5"/>
      <c r="Z892" s="10" t="s">
        <v>4288</v>
      </c>
      <c r="AI892" s="10" t="s">
        <v>4506</v>
      </c>
      <c r="AM892" s="5" t="s">
        <v>924</v>
      </c>
      <c r="AO892" s="10" t="s">
        <v>4500</v>
      </c>
      <c r="AQ892" s="5" t="s">
        <v>77</v>
      </c>
      <c r="AR892" s="5" t="s">
        <v>151</v>
      </c>
      <c r="AS892" s="5" t="s">
        <v>73</v>
      </c>
      <c r="AT892" s="5" t="s">
        <v>78</v>
      </c>
      <c r="AW892" s="5" t="s">
        <v>94</v>
      </c>
      <c r="AX892" s="5" t="s">
        <v>79</v>
      </c>
      <c r="AY892" s="5"/>
      <c r="AZ892" s="5" t="s">
        <v>129</v>
      </c>
      <c r="BJ892" s="10" t="n">
        <v>2023</v>
      </c>
      <c r="BK892" s="10" t="n">
        <v>2025</v>
      </c>
    </row>
    <row r="893" customFormat="false" ht="16.5" hidden="false" customHeight="true" outlineLevel="0" collapsed="false">
      <c r="A893" s="10" t="s">
        <v>4507</v>
      </c>
      <c r="B893" s="10" t="s">
        <v>4508</v>
      </c>
      <c r="C893" s="10" t="s">
        <v>4507</v>
      </c>
      <c r="D893" s="5" t="s">
        <v>3372</v>
      </c>
      <c r="E893" s="10" t="n">
        <v>3391800</v>
      </c>
      <c r="F893" s="10" t="n">
        <v>3391800</v>
      </c>
      <c r="G893" s="10" t="s">
        <v>212</v>
      </c>
      <c r="H893" s="10" t="n">
        <v>320814</v>
      </c>
      <c r="J893" s="7" t="n">
        <f aca="false">E893*0.091</f>
        <v>308653.8</v>
      </c>
      <c r="K893" s="7" t="n">
        <f aca="false">F893*0.091</f>
        <v>308653.8</v>
      </c>
      <c r="L893" s="5" t="s">
        <v>84</v>
      </c>
      <c r="M893" s="5"/>
      <c r="N893" s="10" t="s">
        <v>4509</v>
      </c>
      <c r="O893" s="10" t="s">
        <v>4510</v>
      </c>
      <c r="T893" s="10" t="s">
        <v>4511</v>
      </c>
      <c r="V893" s="10" t="s">
        <v>426</v>
      </c>
      <c r="W893" s="5"/>
      <c r="X893" s="5"/>
      <c r="Z893" s="10" t="s">
        <v>2598</v>
      </c>
      <c r="AI893" s="10" t="s">
        <v>4512</v>
      </c>
      <c r="AM893" s="5" t="s">
        <v>217</v>
      </c>
      <c r="AO893" s="10" t="s">
        <v>4513</v>
      </c>
      <c r="AQ893" s="5" t="s">
        <v>77</v>
      </c>
      <c r="AR893" s="5" t="s">
        <v>215</v>
      </c>
      <c r="AS893" s="5" t="s">
        <v>73</v>
      </c>
      <c r="AT893" s="5" t="s">
        <v>105</v>
      </c>
      <c r="AU893" s="5" t="s">
        <v>106</v>
      </c>
      <c r="AV893" s="5"/>
      <c r="AW893" s="5" t="s">
        <v>94</v>
      </c>
      <c r="AX893" s="5" t="s">
        <v>375</v>
      </c>
      <c r="AY893" s="5"/>
      <c r="AZ893" s="5" t="s">
        <v>540</v>
      </c>
      <c r="BF893" s="10" t="s">
        <v>4508</v>
      </c>
      <c r="BJ893" s="10" t="n">
        <v>2022</v>
      </c>
      <c r="BK893" s="10" t="n">
        <v>2025</v>
      </c>
    </row>
    <row r="894" customFormat="false" ht="16.5" hidden="false" customHeight="true" outlineLevel="0" collapsed="false">
      <c r="A894" s="10" t="s">
        <v>4514</v>
      </c>
      <c r="B894" s="5" t="s">
        <v>4515</v>
      </c>
      <c r="C894" s="10" t="s">
        <v>4516</v>
      </c>
      <c r="D894" s="5" t="s">
        <v>3372</v>
      </c>
      <c r="E894" s="10" t="n">
        <v>236419</v>
      </c>
      <c r="F894" s="10" t="n">
        <v>236419</v>
      </c>
      <c r="G894" s="10" t="s">
        <v>147</v>
      </c>
      <c r="H894" s="10" t="n">
        <v>252740</v>
      </c>
      <c r="J894" s="18" t="n">
        <v>236419</v>
      </c>
      <c r="K894" s="18" t="n">
        <v>236419</v>
      </c>
      <c r="L894" s="5" t="s">
        <v>84</v>
      </c>
      <c r="M894" s="5"/>
      <c r="N894" s="10" t="s">
        <v>4517</v>
      </c>
      <c r="O894" s="10" t="s">
        <v>4518</v>
      </c>
      <c r="V894" s="10" t="s">
        <v>923</v>
      </c>
      <c r="W894" s="5"/>
      <c r="X894" s="5"/>
      <c r="Z894" s="10" t="s">
        <v>4288</v>
      </c>
      <c r="AI894" s="10" t="s">
        <v>4519</v>
      </c>
      <c r="AM894" s="5" t="s">
        <v>924</v>
      </c>
      <c r="AO894" s="10" t="s">
        <v>4289</v>
      </c>
      <c r="AQ894" s="5" t="s">
        <v>77</v>
      </c>
      <c r="AR894" s="5" t="s">
        <v>151</v>
      </c>
      <c r="AS894" s="5" t="s">
        <v>73</v>
      </c>
      <c r="AT894" s="5" t="s">
        <v>78</v>
      </c>
      <c r="AW894" s="5" t="s">
        <v>94</v>
      </c>
      <c r="AX894" s="5" t="s">
        <v>79</v>
      </c>
      <c r="AY894" s="5"/>
      <c r="AZ894" s="5" t="s">
        <v>129</v>
      </c>
      <c r="BJ894" s="10" t="n">
        <v>2024</v>
      </c>
      <c r="BK894" s="10" t="n">
        <v>2026</v>
      </c>
    </row>
    <row r="895" customFormat="false" ht="16.5" hidden="false" customHeight="true" outlineLevel="0" collapsed="false">
      <c r="A895" s="10" t="s">
        <v>4520</v>
      </c>
      <c r="B895" s="10" t="s">
        <v>4521</v>
      </c>
      <c r="C895" s="10" t="s">
        <v>4520</v>
      </c>
      <c r="D895" s="5" t="s">
        <v>3372</v>
      </c>
      <c r="E895" s="10" t="n">
        <v>3221991</v>
      </c>
      <c r="F895" s="10" t="n">
        <v>3221991</v>
      </c>
      <c r="G895" s="10" t="s">
        <v>110</v>
      </c>
      <c r="H895" s="10" t="n">
        <v>298947</v>
      </c>
      <c r="J895" s="18" t="n">
        <f aca="false">E895*0.087</f>
        <v>280313.217</v>
      </c>
      <c r="K895" s="18" t="n">
        <f aca="false">F895*0.087</f>
        <v>280313.217</v>
      </c>
      <c r="L895" s="5" t="s">
        <v>84</v>
      </c>
      <c r="M895" s="5"/>
      <c r="N895" s="10" t="s">
        <v>4522</v>
      </c>
      <c r="O895" s="10" t="s">
        <v>4523</v>
      </c>
      <c r="T895" s="10" t="s">
        <v>4524</v>
      </c>
      <c r="W895" s="5"/>
      <c r="X895" s="5"/>
      <c r="AI895" s="10" t="s">
        <v>3469</v>
      </c>
      <c r="AM895" s="5" t="s">
        <v>173</v>
      </c>
      <c r="AO895" s="10" t="s">
        <v>3486</v>
      </c>
      <c r="AQ895" s="5" t="s">
        <v>77</v>
      </c>
      <c r="AR895" s="5" t="s">
        <v>115</v>
      </c>
      <c r="AS895" s="5" t="s">
        <v>73</v>
      </c>
      <c r="AT895" s="5" t="s">
        <v>71</v>
      </c>
      <c r="AW895" s="5" t="s">
        <v>94</v>
      </c>
      <c r="AX895" s="5" t="s">
        <v>375</v>
      </c>
      <c r="AY895" s="5"/>
      <c r="AZ895" s="5" t="s">
        <v>540</v>
      </c>
      <c r="BF895" s="10" t="s">
        <v>4521</v>
      </c>
      <c r="BJ895" s="10" t="n">
        <v>2023</v>
      </c>
      <c r="BK895" s="10" t="n">
        <v>2025</v>
      </c>
    </row>
    <row r="896" customFormat="false" ht="16.5" hidden="false" customHeight="true" outlineLevel="0" collapsed="false">
      <c r="A896" s="10" t="s">
        <v>4525</v>
      </c>
      <c r="B896" s="10" t="s">
        <v>4526</v>
      </c>
      <c r="C896" s="10" t="s">
        <v>4527</v>
      </c>
      <c r="D896" s="5" t="s">
        <v>3372</v>
      </c>
      <c r="E896" s="10" t="n">
        <v>162500</v>
      </c>
      <c r="F896" s="10" t="n">
        <v>162500</v>
      </c>
      <c r="G896" s="10" t="s">
        <v>147</v>
      </c>
      <c r="H896" s="10" t="n">
        <v>170855</v>
      </c>
      <c r="J896" s="18" t="n">
        <v>162500</v>
      </c>
      <c r="K896" s="18" t="n">
        <v>162500</v>
      </c>
      <c r="L896" s="5" t="s">
        <v>84</v>
      </c>
      <c r="M896" s="5"/>
      <c r="N896" s="10" t="s">
        <v>3436</v>
      </c>
      <c r="O896" s="10" t="s">
        <v>4528</v>
      </c>
      <c r="V896" s="10" t="s">
        <v>4529</v>
      </c>
      <c r="W896" s="5"/>
      <c r="X896" s="5"/>
      <c r="Z896" s="10" t="s">
        <v>4530</v>
      </c>
      <c r="AI896" s="10" t="s">
        <v>3409</v>
      </c>
      <c r="AM896" s="10" t="s">
        <v>3442</v>
      </c>
      <c r="AO896" s="10" t="s">
        <v>3452</v>
      </c>
      <c r="AQ896" s="5" t="s">
        <v>77</v>
      </c>
      <c r="AR896" s="5" t="s">
        <v>257</v>
      </c>
      <c r="AS896" s="5" t="s">
        <v>73</v>
      </c>
      <c r="AT896" s="5" t="s">
        <v>78</v>
      </c>
      <c r="AW896" s="5" t="s">
        <v>94</v>
      </c>
      <c r="AX896" s="5" t="s">
        <v>375</v>
      </c>
      <c r="AY896" s="5"/>
      <c r="AZ896" s="5" t="s">
        <v>396</v>
      </c>
      <c r="BF896" s="5" t="s">
        <v>4531</v>
      </c>
      <c r="BJ896" s="10" t="n">
        <v>2022</v>
      </c>
    </row>
    <row r="897" customFormat="false" ht="16.5" hidden="false" customHeight="true" outlineLevel="0" collapsed="false">
      <c r="A897" s="10" t="s">
        <v>4532</v>
      </c>
      <c r="B897" s="10" t="s">
        <v>4533</v>
      </c>
      <c r="C897" s="10" t="s">
        <v>4532</v>
      </c>
      <c r="D897" s="5" t="s">
        <v>3372</v>
      </c>
      <c r="E897" s="10" t="n">
        <v>0</v>
      </c>
      <c r="H897" s="10" t="n">
        <v>0</v>
      </c>
      <c r="J897" s="18"/>
      <c r="K897" s="18"/>
      <c r="L897" s="5" t="s">
        <v>84</v>
      </c>
      <c r="M897" s="5"/>
      <c r="N897" s="10" t="s">
        <v>4534</v>
      </c>
      <c r="O897" s="10" t="s">
        <v>4535</v>
      </c>
      <c r="T897" s="10" t="s">
        <v>4536</v>
      </c>
      <c r="V897" s="10" t="s">
        <v>4537</v>
      </c>
      <c r="W897" s="5"/>
      <c r="X897" s="5"/>
      <c r="Z897" s="10" t="s">
        <v>4538</v>
      </c>
      <c r="AI897" s="10" t="s">
        <v>3441</v>
      </c>
      <c r="AM897" s="5" t="s">
        <v>2210</v>
      </c>
      <c r="AO897" s="10" t="s">
        <v>4539</v>
      </c>
      <c r="AQ897" s="5" t="s">
        <v>77</v>
      </c>
      <c r="AR897" s="5" t="s">
        <v>151</v>
      </c>
      <c r="AS897" s="5" t="s">
        <v>73</v>
      </c>
      <c r="AT897" s="5" t="s">
        <v>105</v>
      </c>
      <c r="AU897" s="5" t="s">
        <v>106</v>
      </c>
      <c r="AV897" s="5"/>
      <c r="AW897" s="5" t="s">
        <v>94</v>
      </c>
      <c r="AX897" s="5" t="s">
        <v>79</v>
      </c>
      <c r="AY897" s="5"/>
      <c r="AZ897" s="5" t="s">
        <v>540</v>
      </c>
      <c r="BF897" s="10" t="s">
        <v>4533</v>
      </c>
      <c r="BJ897" s="10" t="n">
        <v>2024</v>
      </c>
    </row>
    <row r="898" customFormat="false" ht="16.5" hidden="false" customHeight="true" outlineLevel="0" collapsed="false">
      <c r="A898" s="10" t="s">
        <v>4540</v>
      </c>
      <c r="B898" s="5" t="s">
        <v>4541</v>
      </c>
      <c r="C898" s="10" t="s">
        <v>4540</v>
      </c>
      <c r="D898" s="5" t="s">
        <v>3372</v>
      </c>
      <c r="E898" s="10" t="n">
        <v>0</v>
      </c>
      <c r="H898" s="10" t="n">
        <v>0</v>
      </c>
      <c r="J898" s="18"/>
      <c r="K898" s="18"/>
      <c r="L898" s="5" t="s">
        <v>84</v>
      </c>
      <c r="M898" s="5"/>
      <c r="N898" s="10" t="s">
        <v>4542</v>
      </c>
      <c r="O898" s="10" t="s">
        <v>4543</v>
      </c>
      <c r="T898" s="10" t="s">
        <v>4544</v>
      </c>
      <c r="V898" s="10" t="s">
        <v>4381</v>
      </c>
      <c r="W898" s="5"/>
      <c r="X898" s="5"/>
      <c r="Z898" s="10" t="s">
        <v>3774</v>
      </c>
      <c r="AI898" s="10" t="s">
        <v>3469</v>
      </c>
      <c r="AM898" s="10" t="s">
        <v>2352</v>
      </c>
      <c r="AQ898" s="5" t="s">
        <v>77</v>
      </c>
      <c r="AR898" s="5" t="s">
        <v>2221</v>
      </c>
      <c r="AS898" s="5" t="s">
        <v>73</v>
      </c>
      <c r="AT898" s="5" t="s">
        <v>105</v>
      </c>
      <c r="AU898" s="5" t="s">
        <v>106</v>
      </c>
      <c r="AV898" s="5"/>
      <c r="AW898" s="5" t="s">
        <v>94</v>
      </c>
      <c r="AX898" s="5" t="s">
        <v>79</v>
      </c>
      <c r="AY898" s="5"/>
      <c r="AZ898" s="5" t="s">
        <v>399</v>
      </c>
      <c r="BF898" s="5" t="s">
        <v>4541</v>
      </c>
      <c r="BJ898" s="10" t="n">
        <v>2023</v>
      </c>
      <c r="BK898" s="10" t="n">
        <v>2025</v>
      </c>
    </row>
    <row r="899" customFormat="false" ht="16.5" hidden="false" customHeight="true" outlineLevel="0" collapsed="false">
      <c r="A899" s="10" t="s">
        <v>4545</v>
      </c>
      <c r="B899" s="10" t="s">
        <v>4546</v>
      </c>
      <c r="C899" s="10" t="s">
        <v>4547</v>
      </c>
      <c r="D899" s="5" t="s">
        <v>3372</v>
      </c>
      <c r="E899" s="10" t="n">
        <v>450360</v>
      </c>
      <c r="F899" s="10" t="n">
        <v>450360</v>
      </c>
      <c r="G899" s="10" t="s">
        <v>147</v>
      </c>
      <c r="H899" s="10" t="n">
        <v>532553</v>
      </c>
      <c r="J899" s="18" t="n">
        <v>450360</v>
      </c>
      <c r="K899" s="18" t="n">
        <v>450360</v>
      </c>
      <c r="L899" s="5" t="s">
        <v>84</v>
      </c>
      <c r="M899" s="5"/>
      <c r="N899" s="10" t="s">
        <v>3436</v>
      </c>
      <c r="O899" s="10" t="s">
        <v>4548</v>
      </c>
      <c r="V899" s="10" t="s">
        <v>3673</v>
      </c>
      <c r="W899" s="5"/>
      <c r="X899" s="5"/>
      <c r="Z899" s="10" t="s">
        <v>3674</v>
      </c>
      <c r="AI899" s="10" t="s">
        <v>3478</v>
      </c>
      <c r="AM899" s="10" t="s">
        <v>3442</v>
      </c>
      <c r="AO899" s="10" t="s">
        <v>4549</v>
      </c>
      <c r="AQ899" s="5" t="s">
        <v>77</v>
      </c>
      <c r="AR899" s="5" t="s">
        <v>257</v>
      </c>
      <c r="AS899" s="5" t="s">
        <v>73</v>
      </c>
      <c r="AT899" s="5" t="s">
        <v>78</v>
      </c>
      <c r="AW899" s="5" t="s">
        <v>4550</v>
      </c>
      <c r="AX899" s="5" t="s">
        <v>79</v>
      </c>
      <c r="AY899" s="5"/>
      <c r="AZ899" s="5" t="s">
        <v>396</v>
      </c>
      <c r="BF899" s="5" t="s">
        <v>4551</v>
      </c>
      <c r="BJ899" s="10" t="n">
        <v>2021</v>
      </c>
    </row>
    <row r="900" customFormat="false" ht="16.5" hidden="false" customHeight="true" outlineLevel="0" collapsed="false">
      <c r="A900" s="10" t="s">
        <v>4552</v>
      </c>
      <c r="B900" s="10" t="s">
        <v>4553</v>
      </c>
      <c r="C900" s="10" t="s">
        <v>4554</v>
      </c>
      <c r="D900" s="5" t="s">
        <v>3372</v>
      </c>
      <c r="E900" s="10" t="n">
        <v>140000</v>
      </c>
      <c r="F900" s="10" t="n">
        <v>140000</v>
      </c>
      <c r="G900" s="10" t="s">
        <v>366</v>
      </c>
      <c r="H900" s="10" t="n">
        <v>34297</v>
      </c>
      <c r="J900" s="7" t="n">
        <f aca="false">E900*0.23</f>
        <v>32200</v>
      </c>
      <c r="K900" s="7" t="n">
        <f aca="false">F900*0.23</f>
        <v>32200</v>
      </c>
      <c r="L900" s="5" t="s">
        <v>84</v>
      </c>
      <c r="M900" s="5"/>
      <c r="N900" s="10" t="s">
        <v>4555</v>
      </c>
      <c r="O900" s="10" t="s">
        <v>4556</v>
      </c>
      <c r="T900" s="10" t="s">
        <v>4557</v>
      </c>
      <c r="V900" s="10" t="s">
        <v>3648</v>
      </c>
      <c r="W900" s="5"/>
      <c r="X900" s="5"/>
      <c r="Z900" s="10" t="s">
        <v>3649</v>
      </c>
      <c r="AI900" s="10" t="s">
        <v>4558</v>
      </c>
      <c r="AM900" s="10" t="s">
        <v>1208</v>
      </c>
      <c r="AO900" s="10" t="s">
        <v>4559</v>
      </c>
      <c r="AQ900" s="5" t="s">
        <v>77</v>
      </c>
      <c r="AR900" s="5" t="s">
        <v>371</v>
      </c>
      <c r="AS900" s="5" t="s">
        <v>73</v>
      </c>
      <c r="AT900" s="5" t="s">
        <v>105</v>
      </c>
      <c r="AU900" s="5" t="s">
        <v>106</v>
      </c>
      <c r="AV900" s="5"/>
      <c r="AW900" s="5" t="s">
        <v>94</v>
      </c>
      <c r="AX900" s="5" t="s">
        <v>79</v>
      </c>
      <c r="AY900" s="5"/>
      <c r="AZ900" s="5" t="s">
        <v>107</v>
      </c>
      <c r="BF900" s="5" t="s">
        <v>4560</v>
      </c>
      <c r="BJ900" s="10" t="n">
        <v>2023</v>
      </c>
      <c r="BK900" s="10" t="n">
        <v>2025</v>
      </c>
    </row>
    <row r="901" customFormat="false" ht="16.5" hidden="false" customHeight="true" outlineLevel="0" collapsed="false">
      <c r="A901" s="10" t="s">
        <v>4561</v>
      </c>
      <c r="B901" s="10" t="s">
        <v>4562</v>
      </c>
      <c r="C901" s="10" t="s">
        <v>4563</v>
      </c>
      <c r="D901" s="5" t="s">
        <v>3372</v>
      </c>
      <c r="E901" s="10" t="n">
        <v>94035</v>
      </c>
      <c r="F901" s="10" t="n">
        <v>94035</v>
      </c>
      <c r="G901" s="10" t="s">
        <v>147</v>
      </c>
      <c r="H901" s="10" t="n">
        <v>98869</v>
      </c>
      <c r="J901" s="18" t="n">
        <v>94035</v>
      </c>
      <c r="K901" s="18" t="n">
        <v>94035</v>
      </c>
      <c r="L901" s="5" t="s">
        <v>84</v>
      </c>
      <c r="M901" s="5"/>
      <c r="N901" s="10" t="s">
        <v>3436</v>
      </c>
      <c r="O901" s="10" t="s">
        <v>4564</v>
      </c>
      <c r="W901" s="5"/>
      <c r="X901" s="5"/>
      <c r="AI901" s="10" t="s">
        <v>3409</v>
      </c>
      <c r="AM901" s="10" t="s">
        <v>3442</v>
      </c>
      <c r="AO901" s="10" t="s">
        <v>3656</v>
      </c>
      <c r="AQ901" s="5" t="s">
        <v>77</v>
      </c>
      <c r="AR901" s="5" t="s">
        <v>257</v>
      </c>
      <c r="AS901" s="5" t="s">
        <v>73</v>
      </c>
      <c r="AT901" s="5" t="s">
        <v>374</v>
      </c>
      <c r="AW901" s="5" t="s">
        <v>94</v>
      </c>
      <c r="AX901" s="5" t="s">
        <v>375</v>
      </c>
      <c r="AY901" s="5"/>
      <c r="AZ901" s="5" t="s">
        <v>534</v>
      </c>
      <c r="BF901" s="10" t="s">
        <v>4565</v>
      </c>
      <c r="BJ901" s="10" t="n">
        <v>2022</v>
      </c>
    </row>
    <row r="902" customFormat="false" ht="16.5" hidden="false" customHeight="true" outlineLevel="0" collapsed="false">
      <c r="A902" s="10" t="s">
        <v>4566</v>
      </c>
      <c r="B902" s="10" t="s">
        <v>4567</v>
      </c>
      <c r="C902" s="10" t="s">
        <v>4568</v>
      </c>
      <c r="D902" s="5" t="s">
        <v>3372</v>
      </c>
      <c r="E902" s="10" t="n">
        <v>200000</v>
      </c>
      <c r="F902" s="10" t="n">
        <v>200000</v>
      </c>
      <c r="G902" s="10" t="s">
        <v>147</v>
      </c>
      <c r="H902" s="10" t="n">
        <v>210283</v>
      </c>
      <c r="J902" s="18" t="n">
        <v>200000</v>
      </c>
      <c r="K902" s="18" t="n">
        <v>200000</v>
      </c>
      <c r="L902" s="5" t="s">
        <v>84</v>
      </c>
      <c r="M902" s="5"/>
      <c r="N902" s="10" t="s">
        <v>3436</v>
      </c>
      <c r="O902" s="10" t="s">
        <v>4569</v>
      </c>
      <c r="V902" s="10" t="s">
        <v>3439</v>
      </c>
      <c r="W902" s="5"/>
      <c r="X902" s="5"/>
      <c r="Z902" s="10" t="s">
        <v>3440</v>
      </c>
      <c r="AI902" s="10" t="s">
        <v>3409</v>
      </c>
      <c r="AM902" s="10" t="s">
        <v>3442</v>
      </c>
      <c r="AO902" s="10" t="s">
        <v>3452</v>
      </c>
      <c r="AQ902" s="5" t="s">
        <v>77</v>
      </c>
      <c r="AR902" s="5" t="s">
        <v>257</v>
      </c>
      <c r="AS902" s="5" t="s">
        <v>73</v>
      </c>
      <c r="AT902" s="5" t="s">
        <v>78</v>
      </c>
      <c r="AU902" s="10" t="s">
        <v>259</v>
      </c>
      <c r="AV902" s="10"/>
      <c r="AW902" s="5" t="s">
        <v>94</v>
      </c>
      <c r="AX902" s="5" t="s">
        <v>79</v>
      </c>
      <c r="AY902" s="5"/>
      <c r="AZ902" s="5" t="s">
        <v>129</v>
      </c>
      <c r="BF902" s="10" t="s">
        <v>4570</v>
      </c>
      <c r="BJ902" s="10" t="n">
        <v>2022</v>
      </c>
    </row>
    <row r="903" customFormat="false" ht="16.5" hidden="false" customHeight="true" outlineLevel="0" collapsed="false">
      <c r="A903" s="10" t="s">
        <v>4571</v>
      </c>
      <c r="B903" s="10" t="s">
        <v>4572</v>
      </c>
      <c r="C903" s="10" t="s">
        <v>4571</v>
      </c>
      <c r="D903" s="5" t="s">
        <v>3372</v>
      </c>
      <c r="E903" s="16" t="n">
        <v>125000</v>
      </c>
      <c r="F903" s="16" t="n">
        <v>100000</v>
      </c>
      <c r="G903" s="10" t="s">
        <v>132</v>
      </c>
      <c r="H903" s="10" t="n">
        <v>0</v>
      </c>
      <c r="J903" s="7" t="n">
        <f aca="false">E903*1.19</f>
        <v>148750</v>
      </c>
      <c r="K903" s="7" t="n">
        <f aca="false">F903*1.19</f>
        <v>119000</v>
      </c>
      <c r="L903" s="5" t="s">
        <v>84</v>
      </c>
      <c r="M903" s="5"/>
      <c r="N903" s="10" t="s">
        <v>4573</v>
      </c>
      <c r="O903" s="10" t="s">
        <v>4574</v>
      </c>
      <c r="T903" s="10" t="s">
        <v>4575</v>
      </c>
      <c r="V903" s="10" t="s">
        <v>1727</v>
      </c>
      <c r="W903" s="5"/>
      <c r="X903" s="5" t="s">
        <v>139</v>
      </c>
      <c r="Z903" s="10" t="s">
        <v>2997</v>
      </c>
      <c r="AI903" s="10" t="s">
        <v>4576</v>
      </c>
      <c r="AM903" s="5" t="s">
        <v>140</v>
      </c>
      <c r="AN903" s="25" t="s">
        <v>199</v>
      </c>
      <c r="AO903" s="10" t="s">
        <v>1760</v>
      </c>
      <c r="AQ903" s="5" t="s">
        <v>77</v>
      </c>
      <c r="AR903" s="5" t="s">
        <v>143</v>
      </c>
      <c r="AS903" s="5" t="s">
        <v>73</v>
      </c>
      <c r="AT903" s="5" t="s">
        <v>105</v>
      </c>
      <c r="AU903" s="5" t="s">
        <v>186</v>
      </c>
      <c r="AV903" s="5"/>
      <c r="AW903" s="5" t="s">
        <v>201</v>
      </c>
      <c r="AX903" s="5" t="s">
        <v>79</v>
      </c>
      <c r="AY903" s="5"/>
      <c r="AZ903" s="5" t="s">
        <v>129</v>
      </c>
      <c r="BF903" s="10" t="s">
        <v>4572</v>
      </c>
      <c r="BJ903" s="10" t="n">
        <v>2020</v>
      </c>
      <c r="BK903" s="10" t="n">
        <v>2024</v>
      </c>
    </row>
    <row r="904" customFormat="false" ht="16.5" hidden="false" customHeight="true" outlineLevel="0" collapsed="false">
      <c r="A904" s="10" t="s">
        <v>4577</v>
      </c>
      <c r="B904" s="10" t="s">
        <v>4578</v>
      </c>
      <c r="C904" s="10" t="s">
        <v>4579</v>
      </c>
      <c r="D904" s="5" t="s">
        <v>3372</v>
      </c>
      <c r="E904" s="10" t="n">
        <v>344124</v>
      </c>
      <c r="F904" s="10" t="n">
        <v>344124</v>
      </c>
      <c r="G904" s="10" t="s">
        <v>147</v>
      </c>
      <c r="H904" s="10" t="n">
        <v>392253</v>
      </c>
      <c r="J904" s="18" t="n">
        <v>344124</v>
      </c>
      <c r="K904" s="18" t="n">
        <v>344124</v>
      </c>
      <c r="L904" s="5" t="s">
        <v>84</v>
      </c>
      <c r="M904" s="5"/>
      <c r="N904" s="10" t="s">
        <v>3436</v>
      </c>
      <c r="O904" s="10" t="s">
        <v>4580</v>
      </c>
      <c r="V904" s="10" t="s">
        <v>3439</v>
      </c>
      <c r="W904" s="5"/>
      <c r="X904" s="5"/>
      <c r="Z904" s="10" t="s">
        <v>3440</v>
      </c>
      <c r="AI904" s="10" t="s">
        <v>3451</v>
      </c>
      <c r="AM904" s="10" t="s">
        <v>3442</v>
      </c>
      <c r="AO904" s="10" t="s">
        <v>3452</v>
      </c>
      <c r="AQ904" s="5" t="s">
        <v>77</v>
      </c>
      <c r="AR904" s="5" t="s">
        <v>257</v>
      </c>
      <c r="AS904" s="5" t="s">
        <v>73</v>
      </c>
      <c r="AT904" s="5" t="s">
        <v>78</v>
      </c>
      <c r="AW904" s="5" t="s">
        <v>94</v>
      </c>
      <c r="AX904" s="5" t="s">
        <v>79</v>
      </c>
      <c r="AY904" s="5"/>
      <c r="AZ904" s="5" t="s">
        <v>129</v>
      </c>
      <c r="BF904" s="5" t="s">
        <v>4581</v>
      </c>
      <c r="BJ904" s="10" t="n">
        <v>2020</v>
      </c>
    </row>
    <row r="905" customFormat="false" ht="16.5" hidden="false" customHeight="true" outlineLevel="0" collapsed="false">
      <c r="A905" s="10" t="s">
        <v>4582</v>
      </c>
      <c r="B905" s="10" t="s">
        <v>4583</v>
      </c>
      <c r="C905" s="10" t="s">
        <v>4584</v>
      </c>
      <c r="D905" s="5" t="s">
        <v>3372</v>
      </c>
      <c r="E905" s="10" t="n">
        <v>206250</v>
      </c>
      <c r="F905" s="10" t="n">
        <v>206250</v>
      </c>
      <c r="G905" s="10" t="s">
        <v>147</v>
      </c>
      <c r="H905" s="10" t="n">
        <v>223160</v>
      </c>
      <c r="J905" s="18" t="n">
        <v>206250</v>
      </c>
      <c r="K905" s="18" t="n">
        <v>206250</v>
      </c>
      <c r="L905" s="5" t="s">
        <v>84</v>
      </c>
      <c r="M905" s="5"/>
      <c r="N905" s="10" t="s">
        <v>3436</v>
      </c>
      <c r="O905" s="10" t="s">
        <v>4585</v>
      </c>
      <c r="V905" s="10" t="s">
        <v>4586</v>
      </c>
      <c r="W905" s="5"/>
      <c r="X905" s="5"/>
      <c r="Z905" s="10" t="s">
        <v>4587</v>
      </c>
      <c r="AI905" s="10" t="s">
        <v>3469</v>
      </c>
      <c r="AM905" s="10" t="s">
        <v>3442</v>
      </c>
      <c r="AO905" s="10" t="s">
        <v>3452</v>
      </c>
      <c r="AQ905" s="5" t="s">
        <v>77</v>
      </c>
      <c r="AR905" s="5" t="s">
        <v>257</v>
      </c>
      <c r="AS905" s="5" t="s">
        <v>73</v>
      </c>
      <c r="AT905" s="5" t="s">
        <v>105</v>
      </c>
      <c r="AU905" s="5" t="s">
        <v>106</v>
      </c>
      <c r="AV905" s="5"/>
      <c r="AW905" s="5" t="s">
        <v>94</v>
      </c>
      <c r="AX905" s="5" t="s">
        <v>79</v>
      </c>
      <c r="AY905" s="5"/>
      <c r="AZ905" s="5" t="s">
        <v>540</v>
      </c>
      <c r="BF905" s="5" t="s">
        <v>4588</v>
      </c>
      <c r="BJ905" s="10" t="n">
        <v>2023</v>
      </c>
    </row>
    <row r="906" customFormat="false" ht="16.5" hidden="false" customHeight="true" outlineLevel="0" collapsed="false">
      <c r="A906" s="10" t="s">
        <v>4589</v>
      </c>
      <c r="B906" s="10" t="s">
        <v>4590</v>
      </c>
      <c r="C906" s="10" t="s">
        <v>4589</v>
      </c>
      <c r="D906" s="5" t="s">
        <v>3372</v>
      </c>
      <c r="E906" s="10" t="n">
        <v>5670152</v>
      </c>
      <c r="F906" s="10" t="n">
        <v>5670152</v>
      </c>
      <c r="G906" s="10" t="s">
        <v>147</v>
      </c>
      <c r="H906" s="10" t="n">
        <v>6071639</v>
      </c>
      <c r="J906" s="18" t="n">
        <v>5670152</v>
      </c>
      <c r="K906" s="18" t="n">
        <v>5670152</v>
      </c>
      <c r="L906" s="5" t="s">
        <v>84</v>
      </c>
      <c r="M906" s="5"/>
      <c r="N906" s="10" t="s">
        <v>4591</v>
      </c>
      <c r="O906" s="10" t="s">
        <v>4592</v>
      </c>
      <c r="V906" s="10" t="s">
        <v>4593</v>
      </c>
      <c r="W906" s="5"/>
      <c r="X906" s="5" t="s">
        <v>257</v>
      </c>
      <c r="Z906" s="10" t="s">
        <v>4594</v>
      </c>
      <c r="AI906" s="10" t="s">
        <v>3988</v>
      </c>
      <c r="AM906" s="10" t="s">
        <v>182</v>
      </c>
      <c r="AN906" s="5" t="s">
        <v>404</v>
      </c>
      <c r="AQ906" s="5" t="s">
        <v>77</v>
      </c>
      <c r="AR906" s="5" t="s">
        <v>185</v>
      </c>
      <c r="AS906" s="5" t="s">
        <v>73</v>
      </c>
      <c r="AT906" s="5" t="s">
        <v>105</v>
      </c>
      <c r="AU906" s="5" t="s">
        <v>106</v>
      </c>
      <c r="AV906" s="5"/>
      <c r="AW906" s="25" t="s">
        <v>94</v>
      </c>
      <c r="AX906" s="5" t="s">
        <v>79</v>
      </c>
      <c r="AY906" s="5"/>
      <c r="AZ906" s="5" t="s">
        <v>107</v>
      </c>
      <c r="BF906" s="10" t="s">
        <v>4590</v>
      </c>
      <c r="BJ906" s="10" t="n">
        <v>2022</v>
      </c>
      <c r="BK906" s="10" t="n">
        <v>2026</v>
      </c>
    </row>
    <row r="907" customFormat="false" ht="16.5" hidden="false" customHeight="true" outlineLevel="0" collapsed="false">
      <c r="A907" s="10" t="s">
        <v>4595</v>
      </c>
      <c r="B907" s="10" t="s">
        <v>4596</v>
      </c>
      <c r="C907" s="10" t="s">
        <v>4597</v>
      </c>
      <c r="D907" s="5" t="s">
        <v>3372</v>
      </c>
      <c r="E907" s="10" t="n">
        <v>0</v>
      </c>
      <c r="H907" s="10" t="n">
        <v>0</v>
      </c>
      <c r="J907" s="18"/>
      <c r="K907" s="18"/>
      <c r="L907" s="5" t="s">
        <v>84</v>
      </c>
      <c r="M907" s="5"/>
      <c r="O907" s="10" t="s">
        <v>4598</v>
      </c>
      <c r="T907" s="10" t="s">
        <v>4599</v>
      </c>
      <c r="W907" s="5"/>
      <c r="X907" s="5"/>
      <c r="AI907" s="10" t="s">
        <v>4600</v>
      </c>
      <c r="AM907" s="10" t="s">
        <v>2202</v>
      </c>
      <c r="AQ907" s="5" t="s">
        <v>77</v>
      </c>
      <c r="AR907" s="5" t="s">
        <v>385</v>
      </c>
      <c r="AS907" s="5" t="s">
        <v>73</v>
      </c>
      <c r="AT907" s="5" t="s">
        <v>78</v>
      </c>
      <c r="AW907" s="5" t="s">
        <v>94</v>
      </c>
      <c r="AX907" s="5" t="s">
        <v>79</v>
      </c>
      <c r="AY907" s="5"/>
      <c r="AZ907" s="5" t="s">
        <v>129</v>
      </c>
      <c r="BF907" s="10" t="s">
        <v>4601</v>
      </c>
      <c r="BJ907" s="10" t="n">
        <v>2020</v>
      </c>
    </row>
    <row r="908" customFormat="false" ht="16.5" hidden="false" customHeight="true" outlineLevel="0" collapsed="false">
      <c r="A908" s="10" t="s">
        <v>4602</v>
      </c>
      <c r="B908" s="10" t="s">
        <v>4603</v>
      </c>
      <c r="C908" s="10" t="s">
        <v>4602</v>
      </c>
      <c r="D908" s="5" t="s">
        <v>3372</v>
      </c>
      <c r="E908" s="10" t="n">
        <v>199964</v>
      </c>
      <c r="F908" s="10" t="n">
        <v>199964</v>
      </c>
      <c r="G908" s="10" t="s">
        <v>147</v>
      </c>
      <c r="H908" s="10" t="n">
        <v>236458</v>
      </c>
      <c r="J908" s="18" t="n">
        <v>199964</v>
      </c>
      <c r="K908" s="18" t="n">
        <v>199964</v>
      </c>
      <c r="L908" s="5" t="s">
        <v>84</v>
      </c>
      <c r="M908" s="5"/>
      <c r="N908" s="10" t="s">
        <v>3436</v>
      </c>
      <c r="O908" s="10" t="s">
        <v>4604</v>
      </c>
      <c r="V908" s="10" t="s">
        <v>4605</v>
      </c>
      <c r="W908" s="5"/>
      <c r="X908" s="5"/>
      <c r="Z908" s="10" t="s">
        <v>4606</v>
      </c>
      <c r="AI908" s="10" t="s">
        <v>3478</v>
      </c>
      <c r="AM908" s="10" t="s">
        <v>3442</v>
      </c>
      <c r="AO908" s="10" t="s">
        <v>3443</v>
      </c>
      <c r="AQ908" s="5" t="s">
        <v>77</v>
      </c>
      <c r="AR908" s="5" t="s">
        <v>257</v>
      </c>
      <c r="AS908" s="5" t="s">
        <v>73</v>
      </c>
      <c r="AT908" s="5" t="s">
        <v>105</v>
      </c>
      <c r="AW908" s="5" t="s">
        <v>94</v>
      </c>
      <c r="AX908" s="5" t="s">
        <v>79</v>
      </c>
      <c r="AY908" s="5"/>
      <c r="AZ908" s="5" t="s">
        <v>540</v>
      </c>
      <c r="BF908" s="10" t="s">
        <v>4607</v>
      </c>
      <c r="BJ908" s="10" t="n">
        <v>2021</v>
      </c>
    </row>
    <row r="909" customFormat="false" ht="16.5" hidden="false" customHeight="true" outlineLevel="0" collapsed="false">
      <c r="A909" s="10" t="s">
        <v>4608</v>
      </c>
      <c r="B909" s="10" t="s">
        <v>4609</v>
      </c>
      <c r="C909" s="10" t="s">
        <v>4610</v>
      </c>
      <c r="D909" s="5" t="s">
        <v>3372</v>
      </c>
      <c r="E909" s="10" t="n">
        <v>212500</v>
      </c>
      <c r="F909" s="10" t="n">
        <v>212500</v>
      </c>
      <c r="G909" s="10" t="s">
        <v>147</v>
      </c>
      <c r="H909" s="10" t="n">
        <v>223425</v>
      </c>
      <c r="J909" s="18" t="n">
        <v>212500</v>
      </c>
      <c r="K909" s="18" t="n">
        <v>212500</v>
      </c>
      <c r="L909" s="5" t="s">
        <v>84</v>
      </c>
      <c r="M909" s="5"/>
      <c r="N909" s="10" t="s">
        <v>3436</v>
      </c>
      <c r="O909" s="10" t="s">
        <v>4611</v>
      </c>
      <c r="V909" s="10" t="s">
        <v>4612</v>
      </c>
      <c r="W909" s="5"/>
      <c r="X909" s="5"/>
      <c r="Z909" s="10" t="s">
        <v>4613</v>
      </c>
      <c r="AI909" s="10" t="s">
        <v>3409</v>
      </c>
      <c r="AM909" s="10" t="s">
        <v>3442</v>
      </c>
      <c r="AO909" s="10" t="s">
        <v>3452</v>
      </c>
      <c r="AQ909" s="5" t="s">
        <v>77</v>
      </c>
      <c r="AR909" s="5" t="s">
        <v>257</v>
      </c>
      <c r="AS909" s="5" t="s">
        <v>73</v>
      </c>
      <c r="AT909" s="5" t="s">
        <v>105</v>
      </c>
      <c r="AW909" s="5" t="s">
        <v>94</v>
      </c>
      <c r="AX909" s="5" t="s">
        <v>79</v>
      </c>
      <c r="AY909" s="5"/>
      <c r="AZ909" s="5" t="s">
        <v>107</v>
      </c>
      <c r="BF909" s="5" t="s">
        <v>4614</v>
      </c>
      <c r="BJ909" s="10" t="n">
        <v>2022</v>
      </c>
    </row>
    <row r="910" customFormat="false" ht="16.5" hidden="false" customHeight="true" outlineLevel="0" collapsed="false">
      <c r="A910" s="10" t="s">
        <v>4615</v>
      </c>
      <c r="B910" s="10" t="s">
        <v>4616</v>
      </c>
      <c r="C910" s="10" t="s">
        <v>4617</v>
      </c>
      <c r="D910" s="5" t="s">
        <v>3372</v>
      </c>
      <c r="E910" s="10" t="n">
        <v>197502</v>
      </c>
      <c r="F910" s="10" t="n">
        <v>197502</v>
      </c>
      <c r="G910" s="10" t="s">
        <v>147</v>
      </c>
      <c r="H910" s="10" t="n">
        <v>225125</v>
      </c>
      <c r="J910" s="18" t="n">
        <v>197502</v>
      </c>
      <c r="K910" s="18" t="n">
        <v>197502</v>
      </c>
      <c r="L910" s="5" t="s">
        <v>84</v>
      </c>
      <c r="M910" s="5"/>
      <c r="N910" s="10" t="s">
        <v>3436</v>
      </c>
      <c r="O910" s="10" t="s">
        <v>4618</v>
      </c>
      <c r="V910" s="10" t="s">
        <v>4619</v>
      </c>
      <c r="W910" s="5"/>
      <c r="X910" s="5"/>
      <c r="Z910" s="10" t="s">
        <v>4620</v>
      </c>
      <c r="AI910" s="10" t="s">
        <v>3451</v>
      </c>
      <c r="AM910" s="10" t="s">
        <v>3442</v>
      </c>
      <c r="AO910" s="10" t="s">
        <v>3452</v>
      </c>
      <c r="AQ910" s="5" t="s">
        <v>77</v>
      </c>
      <c r="AR910" s="5" t="s">
        <v>257</v>
      </c>
      <c r="AS910" s="5" t="s">
        <v>73</v>
      </c>
      <c r="AT910" s="5" t="s">
        <v>78</v>
      </c>
      <c r="AW910" s="5" t="s">
        <v>94</v>
      </c>
      <c r="AX910" s="5" t="s">
        <v>79</v>
      </c>
      <c r="AY910" s="5"/>
      <c r="AZ910" s="5" t="s">
        <v>129</v>
      </c>
      <c r="BF910" s="5" t="s">
        <v>4621</v>
      </c>
      <c r="BJ910" s="10" t="n">
        <v>2020</v>
      </c>
    </row>
    <row r="911" customFormat="false" ht="16.5" hidden="false" customHeight="true" outlineLevel="0" collapsed="false">
      <c r="A911" s="10" t="s">
        <v>4622</v>
      </c>
      <c r="B911" s="10" t="s">
        <v>4623</v>
      </c>
      <c r="C911" s="10" t="s">
        <v>4624</v>
      </c>
      <c r="D911" s="5" t="s">
        <v>3372</v>
      </c>
      <c r="E911" s="10" t="n">
        <v>541680</v>
      </c>
      <c r="F911" s="10" t="n">
        <v>541680</v>
      </c>
      <c r="G911" s="10" t="s">
        <v>366</v>
      </c>
      <c r="H911" s="10" t="n">
        <v>131424</v>
      </c>
      <c r="J911" s="7" t="n">
        <f aca="false">E911*0.23</f>
        <v>124586.4</v>
      </c>
      <c r="K911" s="7" t="n">
        <f aca="false">F911*0.23</f>
        <v>124586.4</v>
      </c>
      <c r="L911" s="5" t="s">
        <v>84</v>
      </c>
      <c r="M911" s="5"/>
      <c r="N911" s="10" t="s">
        <v>4625</v>
      </c>
      <c r="O911" s="10" t="s">
        <v>4626</v>
      </c>
      <c r="T911" s="10" t="s">
        <v>4627</v>
      </c>
      <c r="V911" s="10" t="s">
        <v>4628</v>
      </c>
      <c r="W911" s="5"/>
      <c r="X911" s="5"/>
      <c r="Z911" s="10" t="s">
        <v>4629</v>
      </c>
      <c r="AI911" s="10" t="s">
        <v>4630</v>
      </c>
      <c r="AM911" s="10" t="s">
        <v>1208</v>
      </c>
      <c r="AO911" s="10" t="s">
        <v>4631</v>
      </c>
      <c r="AQ911" s="5" t="s">
        <v>77</v>
      </c>
      <c r="AR911" s="5" t="s">
        <v>371</v>
      </c>
      <c r="AS911" s="5" t="s">
        <v>73</v>
      </c>
      <c r="AT911" s="5" t="s">
        <v>78</v>
      </c>
      <c r="AW911" s="5" t="s">
        <v>94</v>
      </c>
      <c r="AX911" s="5" t="s">
        <v>79</v>
      </c>
      <c r="AY911" s="5"/>
      <c r="AZ911" s="5" t="s">
        <v>129</v>
      </c>
      <c r="BF911" s="5" t="s">
        <v>4632</v>
      </c>
      <c r="BJ911" s="10" t="n">
        <v>2021</v>
      </c>
      <c r="BK911" s="10" t="n">
        <v>2025</v>
      </c>
    </row>
    <row r="912" customFormat="false" ht="16.5" hidden="false" customHeight="true" outlineLevel="0" collapsed="false">
      <c r="A912" s="10" t="s">
        <v>4633</v>
      </c>
      <c r="B912" s="10" t="s">
        <v>4634</v>
      </c>
      <c r="C912" s="10" t="s">
        <v>4635</v>
      </c>
      <c r="D912" s="5" t="s">
        <v>3372</v>
      </c>
      <c r="E912" s="10" t="n">
        <v>177752</v>
      </c>
      <c r="F912" s="10" t="n">
        <v>177752</v>
      </c>
      <c r="G912" s="10" t="s">
        <v>147</v>
      </c>
      <c r="H912" s="10" t="n">
        <v>202612</v>
      </c>
      <c r="J912" s="18" t="n">
        <v>177752</v>
      </c>
      <c r="K912" s="18" t="n">
        <v>177752</v>
      </c>
      <c r="L912" s="5" t="s">
        <v>84</v>
      </c>
      <c r="M912" s="5"/>
      <c r="N912" s="10" t="s">
        <v>3436</v>
      </c>
      <c r="O912" s="10" t="s">
        <v>4636</v>
      </c>
      <c r="V912" s="10" t="s">
        <v>4637</v>
      </c>
      <c r="W912" s="5"/>
      <c r="X912" s="5"/>
      <c r="Z912" s="10" t="s">
        <v>4638</v>
      </c>
      <c r="AI912" s="10" t="s">
        <v>3451</v>
      </c>
      <c r="AM912" s="10" t="s">
        <v>3442</v>
      </c>
      <c r="AO912" s="10" t="s">
        <v>3452</v>
      </c>
      <c r="AQ912" s="5" t="s">
        <v>77</v>
      </c>
      <c r="AR912" s="5" t="s">
        <v>257</v>
      </c>
      <c r="AS912" s="5" t="s">
        <v>73</v>
      </c>
      <c r="AT912" s="5" t="s">
        <v>105</v>
      </c>
      <c r="AW912" s="5" t="s">
        <v>94</v>
      </c>
      <c r="AX912" s="5" t="s">
        <v>79</v>
      </c>
      <c r="AY912" s="5"/>
      <c r="AZ912" s="5" t="s">
        <v>540</v>
      </c>
      <c r="BF912" s="10" t="s">
        <v>4639</v>
      </c>
      <c r="BJ912" s="10" t="n">
        <v>2020</v>
      </c>
    </row>
    <row r="913" customFormat="false" ht="16.5" hidden="false" customHeight="true" outlineLevel="0" collapsed="false">
      <c r="A913" s="28" t="s">
        <v>4640</v>
      </c>
      <c r="B913" s="28" t="s">
        <v>4641</v>
      </c>
      <c r="C913" s="28" t="s">
        <v>4640</v>
      </c>
      <c r="D913" s="5" t="s">
        <v>3372</v>
      </c>
      <c r="E913" s="16" t="n">
        <v>125000</v>
      </c>
      <c r="F913" s="16" t="n">
        <v>100000</v>
      </c>
      <c r="G913" s="28" t="s">
        <v>132</v>
      </c>
      <c r="H913" s="38" t="n">
        <v>0</v>
      </c>
      <c r="I913" s="28"/>
      <c r="J913" s="7" t="n">
        <f aca="false">E913*1.19</f>
        <v>148750</v>
      </c>
      <c r="K913" s="7" t="n">
        <f aca="false">F913*1.19</f>
        <v>119000</v>
      </c>
      <c r="L913" s="5" t="s">
        <v>84</v>
      </c>
      <c r="M913" s="5"/>
      <c r="N913" s="10" t="s">
        <v>4642</v>
      </c>
      <c r="O913" s="28" t="s">
        <v>4643</v>
      </c>
      <c r="P913" s="28"/>
      <c r="Q913" s="28"/>
      <c r="R913" s="28"/>
      <c r="S913" s="28"/>
      <c r="T913" s="28" t="s">
        <v>4644</v>
      </c>
      <c r="V913" s="28" t="s">
        <v>2193</v>
      </c>
      <c r="W913" s="5"/>
      <c r="X913" s="5" t="s">
        <v>139</v>
      </c>
      <c r="Z913" s="28" t="s">
        <v>2997</v>
      </c>
      <c r="AA913" s="28"/>
      <c r="AB913" s="28"/>
      <c r="AC913" s="28"/>
      <c r="AD913" s="28"/>
      <c r="AE913" s="28"/>
      <c r="AF913" s="28"/>
      <c r="AG913" s="28"/>
      <c r="AH913" s="28"/>
      <c r="AI913" s="28" t="s">
        <v>4645</v>
      </c>
      <c r="AJ913" s="28"/>
      <c r="AK913" s="28"/>
      <c r="AL913" s="28"/>
      <c r="AM913" s="5" t="s">
        <v>140</v>
      </c>
      <c r="AN913" s="28" t="s">
        <v>2121</v>
      </c>
      <c r="AO913" s="28" t="s">
        <v>1760</v>
      </c>
      <c r="AP913" s="28"/>
      <c r="AQ913" s="5" t="s">
        <v>77</v>
      </c>
      <c r="AR913" s="28" t="s">
        <v>143</v>
      </c>
      <c r="AS913" s="5" t="s">
        <v>73</v>
      </c>
      <c r="AT913" s="5" t="s">
        <v>374</v>
      </c>
      <c r="AU913" s="28"/>
      <c r="AV913" s="28"/>
      <c r="AW913" s="5" t="s">
        <v>201</v>
      </c>
      <c r="AX913" s="28" t="s">
        <v>375</v>
      </c>
      <c r="AY913" s="28"/>
      <c r="AZ913" s="5" t="s">
        <v>287</v>
      </c>
      <c r="BF913" s="28" t="s">
        <v>4641</v>
      </c>
      <c r="BH913" s="28"/>
      <c r="BI913" s="28"/>
      <c r="BJ913" s="38" t="n">
        <v>2022</v>
      </c>
      <c r="BK913" s="38" t="n">
        <v>2026</v>
      </c>
    </row>
    <row r="914" customFormat="false" ht="16.5" hidden="false" customHeight="true" outlineLevel="0" collapsed="false">
      <c r="A914" s="28" t="s">
        <v>4646</v>
      </c>
      <c r="B914" s="28" t="s">
        <v>4647</v>
      </c>
      <c r="C914" s="28" t="s">
        <v>4646</v>
      </c>
      <c r="D914" s="5" t="s">
        <v>3372</v>
      </c>
      <c r="E914" s="39" t="n">
        <v>243119</v>
      </c>
      <c r="F914" s="39" t="n">
        <v>243119</v>
      </c>
      <c r="G914" s="28" t="s">
        <v>132</v>
      </c>
      <c r="H914" s="38" t="n">
        <v>310592</v>
      </c>
      <c r="I914" s="28"/>
      <c r="J914" s="7" t="n">
        <f aca="false">E914*1.19</f>
        <v>289311.61</v>
      </c>
      <c r="K914" s="7" t="n">
        <f aca="false">F914*1.19</f>
        <v>289311.61</v>
      </c>
      <c r="L914" s="5" t="s">
        <v>84</v>
      </c>
      <c r="M914" s="5"/>
      <c r="N914" s="10" t="s">
        <v>4648</v>
      </c>
      <c r="O914" s="28" t="s">
        <v>4649</v>
      </c>
      <c r="P914" s="28"/>
      <c r="Q914" s="28"/>
      <c r="R914" s="28"/>
      <c r="S914" s="28"/>
      <c r="T914" s="28" t="s">
        <v>4650</v>
      </c>
      <c r="V914" s="28"/>
      <c r="W914" s="5"/>
      <c r="X914" s="5" t="s">
        <v>139</v>
      </c>
      <c r="Z914" s="28"/>
      <c r="AA914" s="28"/>
      <c r="AB914" s="28"/>
      <c r="AC914" s="28"/>
      <c r="AD914" s="28"/>
      <c r="AE914" s="28"/>
      <c r="AF914" s="28"/>
      <c r="AG914" s="28"/>
      <c r="AH914" s="28"/>
      <c r="AI914" s="28" t="s">
        <v>4651</v>
      </c>
      <c r="AJ914" s="28"/>
      <c r="AK914" s="28"/>
      <c r="AL914" s="28"/>
      <c r="AM914" s="5" t="s">
        <v>140</v>
      </c>
      <c r="AN914" s="5" t="s">
        <v>699</v>
      </c>
      <c r="AO914" s="28" t="s">
        <v>2822</v>
      </c>
      <c r="AP914" s="28"/>
      <c r="AQ914" s="5" t="s">
        <v>77</v>
      </c>
      <c r="AR914" s="28" t="s">
        <v>143</v>
      </c>
      <c r="AS914" s="5" t="s">
        <v>73</v>
      </c>
      <c r="AT914" s="5" t="s">
        <v>374</v>
      </c>
      <c r="AU914" s="28"/>
      <c r="AV914" s="28"/>
      <c r="AW914" s="5" t="s">
        <v>94</v>
      </c>
      <c r="AX914" s="28" t="s">
        <v>375</v>
      </c>
      <c r="AY914" s="28"/>
      <c r="AZ914" s="5" t="s">
        <v>121</v>
      </c>
      <c r="BF914" s="28" t="s">
        <v>4647</v>
      </c>
      <c r="BH914" s="28"/>
      <c r="BI914" s="28"/>
      <c r="BJ914" s="38" t="n">
        <v>2024</v>
      </c>
      <c r="BK914" s="38" t="n">
        <v>2025</v>
      </c>
    </row>
    <row r="915" customFormat="false" ht="16.5" hidden="false" customHeight="true" outlineLevel="0" collapsed="false">
      <c r="A915" s="28" t="s">
        <v>4652</v>
      </c>
      <c r="B915" s="28" t="s">
        <v>4653</v>
      </c>
      <c r="C915" s="28" t="s">
        <v>4652</v>
      </c>
      <c r="D915" s="5" t="s">
        <v>3372</v>
      </c>
      <c r="E915" s="38" t="n">
        <v>14140</v>
      </c>
      <c r="F915" s="38" t="n">
        <v>14140</v>
      </c>
      <c r="G915" s="28" t="s">
        <v>212</v>
      </c>
      <c r="H915" s="38" t="n">
        <v>1396</v>
      </c>
      <c r="I915" s="28"/>
      <c r="J915" s="7" t="n">
        <f aca="false">E915*0.091</f>
        <v>1286.74</v>
      </c>
      <c r="K915" s="7" t="n">
        <f aca="false">F915*0.091</f>
        <v>1286.74</v>
      </c>
      <c r="L915" s="5" t="s">
        <v>84</v>
      </c>
      <c r="M915" s="5"/>
      <c r="N915" s="10" t="s">
        <v>4654</v>
      </c>
      <c r="O915" s="28" t="s">
        <v>4655</v>
      </c>
      <c r="P915" s="28"/>
      <c r="Q915" s="28"/>
      <c r="R915" s="28"/>
      <c r="S915" s="28"/>
      <c r="T915" s="28" t="s">
        <v>4656</v>
      </c>
      <c r="V915" s="28" t="s">
        <v>432</v>
      </c>
      <c r="W915" s="5"/>
      <c r="X915" s="5"/>
      <c r="Z915" s="28" t="s">
        <v>2631</v>
      </c>
      <c r="AA915" s="28"/>
      <c r="AB915" s="28"/>
      <c r="AC915" s="28"/>
      <c r="AD915" s="28"/>
      <c r="AE915" s="28"/>
      <c r="AF915" s="28"/>
      <c r="AG915" s="28"/>
      <c r="AH915" s="28"/>
      <c r="AI915" s="28" t="s">
        <v>4657</v>
      </c>
      <c r="AJ915" s="28"/>
      <c r="AK915" s="28"/>
      <c r="AL915" s="28"/>
      <c r="AM915" s="28" t="s">
        <v>2703</v>
      </c>
      <c r="AO915" s="28" t="s">
        <v>4658</v>
      </c>
      <c r="AP915" s="28"/>
      <c r="AQ915" s="5" t="s">
        <v>77</v>
      </c>
      <c r="AR915" s="28" t="s">
        <v>215</v>
      </c>
      <c r="AS915" s="5" t="s">
        <v>73</v>
      </c>
      <c r="AT915" s="5" t="s">
        <v>374</v>
      </c>
      <c r="AU915" s="28"/>
      <c r="AV915" s="28"/>
      <c r="AW915" s="5" t="s">
        <v>969</v>
      </c>
      <c r="AX915" s="28" t="s">
        <v>79</v>
      </c>
      <c r="AY915" s="28"/>
      <c r="AZ915" s="10"/>
      <c r="BF915" s="28" t="s">
        <v>4653</v>
      </c>
      <c r="BH915" s="28"/>
      <c r="BI915" s="28"/>
      <c r="BJ915" s="38" t="n">
        <v>2022</v>
      </c>
      <c r="BK915" s="38" t="n">
        <v>2022</v>
      </c>
    </row>
    <row r="916" customFormat="false" ht="16.5" hidden="false" customHeight="true" outlineLevel="0" collapsed="false">
      <c r="A916" s="28" t="s">
        <v>4659</v>
      </c>
      <c r="B916" s="28" t="s">
        <v>4660</v>
      </c>
      <c r="C916" s="28" t="s">
        <v>4659</v>
      </c>
      <c r="D916" s="5" t="s">
        <v>3372</v>
      </c>
      <c r="E916" s="39" t="n">
        <v>242532</v>
      </c>
      <c r="F916" s="39" t="n">
        <v>242532</v>
      </c>
      <c r="G916" s="28" t="s">
        <v>132</v>
      </c>
      <c r="H916" s="38" t="n">
        <v>309845</v>
      </c>
      <c r="I916" s="28"/>
      <c r="J916" s="7" t="n">
        <f aca="false">E916*1.19</f>
        <v>288613.08</v>
      </c>
      <c r="K916" s="7" t="n">
        <f aca="false">F916*1.19</f>
        <v>288613.08</v>
      </c>
      <c r="L916" s="5" t="s">
        <v>84</v>
      </c>
      <c r="M916" s="5"/>
      <c r="N916" s="10" t="s">
        <v>4661</v>
      </c>
      <c r="O916" s="28" t="s">
        <v>4662</v>
      </c>
      <c r="P916" s="28"/>
      <c r="Q916" s="28"/>
      <c r="R916" s="28"/>
      <c r="S916" s="28"/>
      <c r="T916" s="28" t="s">
        <v>671</v>
      </c>
      <c r="V916" s="28"/>
      <c r="W916" s="5"/>
      <c r="X916" s="5" t="s">
        <v>139</v>
      </c>
      <c r="Z916" s="28"/>
      <c r="AA916" s="28"/>
      <c r="AB916" s="28"/>
      <c r="AC916" s="28"/>
      <c r="AD916" s="28"/>
      <c r="AE916" s="28"/>
      <c r="AF916" s="28"/>
      <c r="AG916" s="28"/>
      <c r="AH916" s="28"/>
      <c r="AI916" s="28" t="s">
        <v>4651</v>
      </c>
      <c r="AJ916" s="28"/>
      <c r="AK916" s="28"/>
      <c r="AL916" s="28"/>
      <c r="AM916" s="5" t="s">
        <v>140</v>
      </c>
      <c r="AN916" s="5" t="s">
        <v>699</v>
      </c>
      <c r="AO916" s="28" t="s">
        <v>2822</v>
      </c>
      <c r="AP916" s="28"/>
      <c r="AQ916" s="5" t="s">
        <v>77</v>
      </c>
      <c r="AR916" s="28" t="s">
        <v>143</v>
      </c>
      <c r="AS916" s="5" t="s">
        <v>73</v>
      </c>
      <c r="AT916" s="5" t="s">
        <v>374</v>
      </c>
      <c r="AU916" s="28"/>
      <c r="AV916" s="28"/>
      <c r="AW916" s="5" t="s">
        <v>94</v>
      </c>
      <c r="AX916" s="28" t="s">
        <v>375</v>
      </c>
      <c r="AY916" s="28"/>
      <c r="AZ916" s="5" t="s">
        <v>534</v>
      </c>
      <c r="BF916" s="28" t="s">
        <v>4660</v>
      </c>
      <c r="BH916" s="28"/>
      <c r="BI916" s="28"/>
      <c r="BJ916" s="38" t="n">
        <v>2024</v>
      </c>
      <c r="BK916" s="38" t="n">
        <v>2025</v>
      </c>
    </row>
    <row r="917" customFormat="false" ht="16.5" hidden="false" customHeight="true" outlineLevel="0" collapsed="false">
      <c r="A917" s="28" t="s">
        <v>4663</v>
      </c>
      <c r="B917" s="28"/>
      <c r="C917" s="28" t="s">
        <v>4663</v>
      </c>
      <c r="D917" s="5" t="s">
        <v>3372</v>
      </c>
      <c r="E917" s="38" t="n">
        <v>0</v>
      </c>
      <c r="F917" s="28"/>
      <c r="G917" s="28"/>
      <c r="H917" s="38" t="n">
        <v>0</v>
      </c>
      <c r="I917" s="28"/>
      <c r="J917" s="40"/>
      <c r="K917" s="40"/>
      <c r="L917" s="5" t="s">
        <v>84</v>
      </c>
      <c r="M917" s="5"/>
      <c r="O917" s="28" t="s">
        <v>4664</v>
      </c>
      <c r="P917" s="28"/>
      <c r="Q917" s="28"/>
      <c r="R917" s="28"/>
      <c r="S917" s="28"/>
      <c r="T917" s="28" t="s">
        <v>4665</v>
      </c>
      <c r="V917" s="28" t="s">
        <v>4226</v>
      </c>
      <c r="W917" s="5"/>
      <c r="X917" s="5"/>
      <c r="Z917" s="28" t="s">
        <v>4227</v>
      </c>
      <c r="AA917" s="28"/>
      <c r="AB917" s="28"/>
      <c r="AC917" s="28"/>
      <c r="AD917" s="28"/>
      <c r="AE917" s="28"/>
      <c r="AF917" s="28"/>
      <c r="AG917" s="28"/>
      <c r="AH917" s="28"/>
      <c r="AI917" s="28" t="s">
        <v>4042</v>
      </c>
      <c r="AJ917" s="28"/>
      <c r="AK917" s="28"/>
      <c r="AL917" s="28"/>
      <c r="AM917" s="5" t="s">
        <v>1523</v>
      </c>
      <c r="AO917" s="28"/>
      <c r="AP917" s="28"/>
      <c r="AQ917" s="5" t="s">
        <v>77</v>
      </c>
      <c r="AR917" s="28" t="s">
        <v>568</v>
      </c>
      <c r="AS917" s="5" t="s">
        <v>73</v>
      </c>
      <c r="AT917" s="5" t="s">
        <v>374</v>
      </c>
      <c r="AU917" s="28"/>
      <c r="AV917" s="28"/>
      <c r="AW917" s="5" t="s">
        <v>94</v>
      </c>
      <c r="AX917" s="28" t="s">
        <v>218</v>
      </c>
      <c r="AY917" s="28"/>
      <c r="AZ917" s="5" t="s">
        <v>121</v>
      </c>
      <c r="BF917" s="28"/>
      <c r="BH917" s="28"/>
      <c r="BI917" s="28"/>
      <c r="BJ917" s="38" t="n">
        <v>2023</v>
      </c>
      <c r="BK917" s="38" t="n">
        <v>2027</v>
      </c>
    </row>
    <row r="918" customFormat="false" ht="16.5" hidden="false" customHeight="true" outlineLevel="0" collapsed="false">
      <c r="A918" s="28" t="s">
        <v>4666</v>
      </c>
      <c r="B918" s="28" t="s">
        <v>4667</v>
      </c>
      <c r="C918" s="28" t="s">
        <v>4666</v>
      </c>
      <c r="D918" s="5" t="s">
        <v>3372</v>
      </c>
      <c r="E918" s="38" t="n">
        <v>1000000</v>
      </c>
      <c r="F918" s="38" t="n">
        <v>1000000</v>
      </c>
      <c r="G918" s="28" t="s">
        <v>212</v>
      </c>
      <c r="H918" s="38" t="n">
        <v>94633</v>
      </c>
      <c r="I918" s="28"/>
      <c r="J918" s="7" t="n">
        <f aca="false">E918*0.091</f>
        <v>91000</v>
      </c>
      <c r="K918" s="7" t="n">
        <f aca="false">F918*0.091</f>
        <v>91000</v>
      </c>
      <c r="L918" s="5" t="s">
        <v>84</v>
      </c>
      <c r="M918" s="5"/>
      <c r="N918" s="10" t="s">
        <v>4668</v>
      </c>
      <c r="O918" s="28" t="s">
        <v>4669</v>
      </c>
      <c r="P918" s="28"/>
      <c r="Q918" s="28"/>
      <c r="R918" s="28"/>
      <c r="S918" s="28"/>
      <c r="T918" s="28" t="s">
        <v>4670</v>
      </c>
      <c r="V918" s="28"/>
      <c r="W918" s="5"/>
      <c r="X918" s="5"/>
      <c r="Z918" s="28"/>
      <c r="AA918" s="28"/>
      <c r="AB918" s="28"/>
      <c r="AC918" s="28"/>
      <c r="AD918" s="28"/>
      <c r="AE918" s="28"/>
      <c r="AF918" s="28"/>
      <c r="AG918" s="28"/>
      <c r="AH918" s="28"/>
      <c r="AI918" s="28" t="s">
        <v>4671</v>
      </c>
      <c r="AJ918" s="28"/>
      <c r="AK918" s="28"/>
      <c r="AL918" s="28"/>
      <c r="AM918" s="28" t="s">
        <v>2703</v>
      </c>
      <c r="AO918" s="28" t="s">
        <v>3747</v>
      </c>
      <c r="AP918" s="28"/>
      <c r="AQ918" s="5" t="s">
        <v>77</v>
      </c>
      <c r="AR918" s="28" t="s">
        <v>215</v>
      </c>
      <c r="AS918" s="5" t="s">
        <v>73</v>
      </c>
      <c r="AT918" s="5" t="s">
        <v>374</v>
      </c>
      <c r="AU918" s="28"/>
      <c r="AV918" s="28"/>
      <c r="AW918" s="5" t="s">
        <v>94</v>
      </c>
      <c r="AX918" s="28" t="s">
        <v>375</v>
      </c>
      <c r="AY918" s="28"/>
      <c r="AZ918" s="5" t="s">
        <v>121</v>
      </c>
      <c r="BF918" s="28" t="s">
        <v>4667</v>
      </c>
      <c r="BH918" s="28"/>
      <c r="BI918" s="28"/>
      <c r="BJ918" s="38" t="n">
        <v>2024</v>
      </c>
      <c r="BK918" s="38" t="n">
        <v>2026</v>
      </c>
    </row>
    <row r="919" customFormat="false" ht="16.5" hidden="false" customHeight="true" outlineLevel="0" collapsed="false">
      <c r="A919" s="28" t="s">
        <v>4672</v>
      </c>
      <c r="B919" s="28" t="s">
        <v>1680</v>
      </c>
      <c r="C919" s="28" t="s">
        <v>4672</v>
      </c>
      <c r="D919" s="5" t="s">
        <v>3372</v>
      </c>
      <c r="E919" s="39" t="n">
        <v>149871</v>
      </c>
      <c r="F919" s="39" t="n">
        <v>149871</v>
      </c>
      <c r="G919" s="28" t="s">
        <v>132</v>
      </c>
      <c r="H919" s="38" t="n">
        <v>191459</v>
      </c>
      <c r="I919" s="28"/>
      <c r="J919" s="7" t="n">
        <f aca="false">E919*1.19</f>
        <v>178346.49</v>
      </c>
      <c r="K919" s="7" t="n">
        <f aca="false">F919*1.19</f>
        <v>178346.49</v>
      </c>
      <c r="L919" s="5" t="s">
        <v>84</v>
      </c>
      <c r="M919" s="5"/>
      <c r="N919" s="10" t="s">
        <v>4673</v>
      </c>
      <c r="O919" s="28" t="s">
        <v>4674</v>
      </c>
      <c r="P919" s="28"/>
      <c r="Q919" s="28"/>
      <c r="R919" s="28"/>
      <c r="S919" s="28"/>
      <c r="T919" s="28" t="s">
        <v>4675</v>
      </c>
      <c r="V919" s="28" t="s">
        <v>1684</v>
      </c>
      <c r="W919" s="5"/>
      <c r="X919" s="5" t="s">
        <v>139</v>
      </c>
      <c r="Z919" s="28" t="s">
        <v>4252</v>
      </c>
      <c r="AA919" s="28"/>
      <c r="AB919" s="28"/>
      <c r="AC919" s="28"/>
      <c r="AD919" s="28"/>
      <c r="AE919" s="28"/>
      <c r="AF919" s="28"/>
      <c r="AG919" s="28"/>
      <c r="AH919" s="28"/>
      <c r="AI919" s="28" t="s">
        <v>4209</v>
      </c>
      <c r="AJ919" s="28"/>
      <c r="AK919" s="28"/>
      <c r="AL919" s="28"/>
      <c r="AM919" s="5" t="s">
        <v>140</v>
      </c>
      <c r="AN919" s="5" t="s">
        <v>699</v>
      </c>
      <c r="AO919" s="28" t="s">
        <v>4676</v>
      </c>
      <c r="AP919" s="28"/>
      <c r="AQ919" s="5" t="s">
        <v>77</v>
      </c>
      <c r="AR919" s="28" t="s">
        <v>143</v>
      </c>
      <c r="AS919" s="5" t="s">
        <v>73</v>
      </c>
      <c r="AT919" s="5" t="s">
        <v>374</v>
      </c>
      <c r="AU919" s="28"/>
      <c r="AV919" s="28"/>
      <c r="AW919" s="5" t="s">
        <v>94</v>
      </c>
      <c r="AX919" s="28" t="s">
        <v>375</v>
      </c>
      <c r="AY919" s="28"/>
      <c r="AZ919" s="5" t="s">
        <v>239</v>
      </c>
      <c r="BF919" s="28" t="s">
        <v>1680</v>
      </c>
      <c r="BH919" s="28"/>
      <c r="BI919" s="28"/>
      <c r="BJ919" s="38" t="n">
        <v>2024</v>
      </c>
      <c r="BK919" s="38" t="n">
        <v>2026</v>
      </c>
    </row>
    <row r="920" customFormat="false" ht="16.5" hidden="false" customHeight="true" outlineLevel="0" collapsed="false">
      <c r="A920" s="28" t="s">
        <v>4677</v>
      </c>
      <c r="B920" s="28" t="s">
        <v>4678</v>
      </c>
      <c r="C920" s="28" t="s">
        <v>4677</v>
      </c>
      <c r="D920" s="5" t="s">
        <v>3372</v>
      </c>
      <c r="E920" s="38" t="n">
        <v>700000</v>
      </c>
      <c r="F920" s="38" t="n">
        <v>700000</v>
      </c>
      <c r="G920" s="28" t="s">
        <v>212</v>
      </c>
      <c r="H920" s="38" t="n">
        <v>66184</v>
      </c>
      <c r="I920" s="28"/>
      <c r="J920" s="7" t="n">
        <f aca="false">E920*0.091</f>
        <v>63700</v>
      </c>
      <c r="K920" s="7" t="n">
        <f aca="false">F920*0.091</f>
        <v>63700</v>
      </c>
      <c r="L920" s="5" t="s">
        <v>84</v>
      </c>
      <c r="M920" s="5"/>
      <c r="N920" s="10" t="s">
        <v>4679</v>
      </c>
      <c r="O920" s="28" t="s">
        <v>4680</v>
      </c>
      <c r="P920" s="28"/>
      <c r="Q920" s="28"/>
      <c r="R920" s="28"/>
      <c r="S920" s="28"/>
      <c r="T920" s="28" t="s">
        <v>4681</v>
      </c>
      <c r="V920" s="28"/>
      <c r="W920" s="5"/>
      <c r="X920" s="5"/>
      <c r="Z920" s="28"/>
      <c r="AA920" s="28"/>
      <c r="AB920" s="28"/>
      <c r="AC920" s="28"/>
      <c r="AD920" s="28"/>
      <c r="AE920" s="28"/>
      <c r="AF920" s="28"/>
      <c r="AG920" s="28"/>
      <c r="AH920" s="28"/>
      <c r="AI920" s="28" t="s">
        <v>4682</v>
      </c>
      <c r="AJ920" s="28"/>
      <c r="AK920" s="28"/>
      <c r="AL920" s="28"/>
      <c r="AM920" s="28" t="s">
        <v>2703</v>
      </c>
      <c r="AO920" s="28" t="s">
        <v>3747</v>
      </c>
      <c r="AP920" s="28"/>
      <c r="AQ920" s="5" t="s">
        <v>77</v>
      </c>
      <c r="AR920" s="28" t="s">
        <v>215</v>
      </c>
      <c r="AS920" s="5" t="s">
        <v>73</v>
      </c>
      <c r="AT920" s="5" t="s">
        <v>374</v>
      </c>
      <c r="AU920" s="28"/>
      <c r="AV920" s="28"/>
      <c r="AW920" s="5" t="s">
        <v>94</v>
      </c>
      <c r="AX920" s="28" t="s">
        <v>375</v>
      </c>
      <c r="AY920" s="28"/>
      <c r="AZ920" s="5" t="s">
        <v>399</v>
      </c>
      <c r="BF920" s="28" t="s">
        <v>4678</v>
      </c>
      <c r="BH920" s="28"/>
      <c r="BI920" s="28"/>
      <c r="BJ920" s="38" t="n">
        <v>2024</v>
      </c>
      <c r="BK920" s="38" t="n">
        <v>2025</v>
      </c>
    </row>
    <row r="921" customFormat="false" ht="16.5" hidden="false" customHeight="true" outlineLevel="0" collapsed="false">
      <c r="A921" s="28" t="s">
        <v>4683</v>
      </c>
      <c r="B921" s="28" t="s">
        <v>4684</v>
      </c>
      <c r="C921" s="28" t="s">
        <v>4683</v>
      </c>
      <c r="D921" s="5" t="s">
        <v>3372</v>
      </c>
      <c r="E921" s="39" t="n">
        <v>234608</v>
      </c>
      <c r="F921" s="39" t="n">
        <v>234608</v>
      </c>
      <c r="G921" s="28" t="s">
        <v>132</v>
      </c>
      <c r="H921" s="38" t="n">
        <v>322504</v>
      </c>
      <c r="I921" s="28"/>
      <c r="J921" s="7" t="n">
        <f aca="false">E921*1.19</f>
        <v>279183.52</v>
      </c>
      <c r="K921" s="7" t="n">
        <f aca="false">F921*1.19</f>
        <v>279183.52</v>
      </c>
      <c r="L921" s="5" t="s">
        <v>84</v>
      </c>
      <c r="M921" s="5"/>
      <c r="N921" s="10" t="s">
        <v>4685</v>
      </c>
      <c r="O921" s="28" t="s">
        <v>4686</v>
      </c>
      <c r="P921" s="28"/>
      <c r="Q921" s="28"/>
      <c r="R921" s="28"/>
      <c r="S921" s="28"/>
      <c r="T921" s="28" t="s">
        <v>1010</v>
      </c>
      <c r="V921" s="28"/>
      <c r="W921" s="5"/>
      <c r="X921" s="5" t="s">
        <v>139</v>
      </c>
      <c r="Z921" s="28"/>
      <c r="AA921" s="28"/>
      <c r="AB921" s="28"/>
      <c r="AC921" s="28"/>
      <c r="AD921" s="28"/>
      <c r="AE921" s="28"/>
      <c r="AF921" s="28"/>
      <c r="AG921" s="28"/>
      <c r="AH921" s="28"/>
      <c r="AI921" s="28" t="s">
        <v>4687</v>
      </c>
      <c r="AJ921" s="28"/>
      <c r="AK921" s="28"/>
      <c r="AL921" s="28"/>
      <c r="AM921" s="5" t="s">
        <v>140</v>
      </c>
      <c r="AN921" s="5" t="s">
        <v>699</v>
      </c>
      <c r="AO921" s="28" t="s">
        <v>2822</v>
      </c>
      <c r="AP921" s="28"/>
      <c r="AQ921" s="5" t="s">
        <v>77</v>
      </c>
      <c r="AR921" s="28" t="s">
        <v>143</v>
      </c>
      <c r="AS921" s="5" t="s">
        <v>73</v>
      </c>
      <c r="AT921" s="5" t="s">
        <v>374</v>
      </c>
      <c r="AU921" s="28"/>
      <c r="AV921" s="28"/>
      <c r="AW921" s="5" t="s">
        <v>94</v>
      </c>
      <c r="AX921" s="28" t="s">
        <v>218</v>
      </c>
      <c r="AY921" s="28"/>
      <c r="AZ921" s="5" t="s">
        <v>239</v>
      </c>
      <c r="BF921" s="28" t="s">
        <v>4684</v>
      </c>
      <c r="BH921" s="28"/>
      <c r="BI921" s="28"/>
      <c r="BJ921" s="38" t="n">
        <v>2021</v>
      </c>
      <c r="BK921" s="38" t="n">
        <v>2023</v>
      </c>
    </row>
    <row r="922" customFormat="false" ht="16.5" hidden="false" customHeight="true" outlineLevel="0" collapsed="false">
      <c r="A922" s="28" t="s">
        <v>4688</v>
      </c>
      <c r="B922" s="28" t="s">
        <v>2900</v>
      </c>
      <c r="C922" s="28" t="s">
        <v>4688</v>
      </c>
      <c r="D922" s="5" t="s">
        <v>3372</v>
      </c>
      <c r="E922" s="39" t="n">
        <v>117901</v>
      </c>
      <c r="F922" s="39" t="n">
        <v>117901</v>
      </c>
      <c r="G922" s="28" t="s">
        <v>132</v>
      </c>
      <c r="H922" s="38" t="n">
        <v>150606</v>
      </c>
      <c r="I922" s="28"/>
      <c r="J922" s="7" t="n">
        <f aca="false">E922*1.19</f>
        <v>140302.19</v>
      </c>
      <c r="K922" s="7" t="n">
        <f aca="false">F922*1.19</f>
        <v>140302.19</v>
      </c>
      <c r="L922" s="5" t="s">
        <v>84</v>
      </c>
      <c r="M922" s="5"/>
      <c r="N922" s="10" t="s">
        <v>4689</v>
      </c>
      <c r="O922" s="28" t="s">
        <v>4690</v>
      </c>
      <c r="P922" s="28"/>
      <c r="Q922" s="28"/>
      <c r="R922" s="28"/>
      <c r="S922" s="28"/>
      <c r="T922" s="28" t="s">
        <v>195</v>
      </c>
      <c r="V922" s="28" t="s">
        <v>197</v>
      </c>
      <c r="W922" s="5"/>
      <c r="X922" s="5" t="s">
        <v>139</v>
      </c>
      <c r="Z922" s="28" t="s">
        <v>4691</v>
      </c>
      <c r="AA922" s="28"/>
      <c r="AB922" s="28"/>
      <c r="AC922" s="28"/>
      <c r="AD922" s="28"/>
      <c r="AE922" s="28"/>
      <c r="AF922" s="28"/>
      <c r="AG922" s="28"/>
      <c r="AH922" s="28"/>
      <c r="AI922" s="28" t="s">
        <v>4692</v>
      </c>
      <c r="AJ922" s="28"/>
      <c r="AK922" s="28"/>
      <c r="AL922" s="28"/>
      <c r="AM922" s="5" t="s">
        <v>140</v>
      </c>
      <c r="AN922" s="5" t="s">
        <v>141</v>
      </c>
      <c r="AO922" s="28" t="s">
        <v>4693</v>
      </c>
      <c r="AP922" s="28"/>
      <c r="AQ922" s="5" t="s">
        <v>77</v>
      </c>
      <c r="AR922" s="28" t="s">
        <v>143</v>
      </c>
      <c r="AS922" s="5" t="s">
        <v>73</v>
      </c>
      <c r="AT922" s="5" t="s">
        <v>374</v>
      </c>
      <c r="AU922" s="28"/>
      <c r="AV922" s="28"/>
      <c r="AW922" s="5" t="s">
        <v>201</v>
      </c>
      <c r="AX922" s="28" t="s">
        <v>375</v>
      </c>
      <c r="AY922" s="28"/>
      <c r="AZ922" s="5" t="s">
        <v>534</v>
      </c>
      <c r="BF922" s="28" t="s">
        <v>2900</v>
      </c>
      <c r="BH922" s="28"/>
      <c r="BI922" s="28"/>
      <c r="BJ922" s="38" t="n">
        <v>2024</v>
      </c>
      <c r="BK922" s="38" t="n">
        <v>2028</v>
      </c>
    </row>
    <row r="923" customFormat="false" ht="16.5" hidden="false" customHeight="true" outlineLevel="0" collapsed="false">
      <c r="A923" s="28" t="s">
        <v>4694</v>
      </c>
      <c r="B923" s="28"/>
      <c r="C923" s="28" t="s">
        <v>4694</v>
      </c>
      <c r="D923" s="5" t="s">
        <v>3372</v>
      </c>
      <c r="E923" s="38" t="n">
        <v>17623746</v>
      </c>
      <c r="F923" s="38" t="n">
        <v>17623746</v>
      </c>
      <c r="G923" s="28" t="s">
        <v>63</v>
      </c>
      <c r="H923" s="38" t="n">
        <v>2524586</v>
      </c>
      <c r="I923" s="28"/>
      <c r="J923" s="7" t="n">
        <f aca="false">E923*0.13</f>
        <v>2291086.98</v>
      </c>
      <c r="K923" s="7" t="n">
        <f aca="false">F923*0.13</f>
        <v>2291086.98</v>
      </c>
      <c r="L923" s="5" t="s">
        <v>84</v>
      </c>
      <c r="M923" s="5"/>
      <c r="O923" s="28" t="s">
        <v>4695</v>
      </c>
      <c r="P923" s="28"/>
      <c r="Q923" s="28"/>
      <c r="R923" s="28"/>
      <c r="S923" s="28"/>
      <c r="T923" s="28" t="s">
        <v>236</v>
      </c>
      <c r="V923" s="28" t="s">
        <v>89</v>
      </c>
      <c r="W923" s="5"/>
      <c r="X923" s="5"/>
      <c r="Z923" s="28" t="s">
        <v>3810</v>
      </c>
      <c r="AA923" s="28"/>
      <c r="AB923" s="28"/>
      <c r="AC923" s="28"/>
      <c r="AD923" s="28"/>
      <c r="AE923" s="28"/>
      <c r="AF923" s="28"/>
      <c r="AG923" s="28"/>
      <c r="AH923" s="28"/>
      <c r="AI923" s="28" t="s">
        <v>4696</v>
      </c>
      <c r="AJ923" s="28"/>
      <c r="AK923" s="28"/>
      <c r="AL923" s="28"/>
      <c r="AM923" s="28" t="s">
        <v>92</v>
      </c>
      <c r="AO923" s="28" t="s">
        <v>4697</v>
      </c>
      <c r="AP923" s="28"/>
      <c r="AQ923" s="5" t="s">
        <v>93</v>
      </c>
      <c r="AR923" s="28" t="s">
        <v>72</v>
      </c>
      <c r="AS923" s="5" t="s">
        <v>73</v>
      </c>
      <c r="AT923" s="5" t="s">
        <v>374</v>
      </c>
      <c r="AU923" s="28"/>
      <c r="AV923" s="28"/>
      <c r="AW923" s="25" t="s">
        <v>94</v>
      </c>
      <c r="AX923" s="28" t="s">
        <v>1433</v>
      </c>
      <c r="AY923" s="28" t="s">
        <v>447</v>
      </c>
      <c r="AZ923" s="5" t="s">
        <v>239</v>
      </c>
      <c r="BF923" s="28"/>
      <c r="BH923" s="28"/>
      <c r="BI923" s="28"/>
      <c r="BJ923" s="38" t="n">
        <v>2023</v>
      </c>
      <c r="BK923" s="38" t="n">
        <v>2027</v>
      </c>
    </row>
    <row r="924" customFormat="false" ht="16.5" hidden="false" customHeight="true" outlineLevel="0" collapsed="false">
      <c r="A924" s="28" t="s">
        <v>4698</v>
      </c>
      <c r="B924" s="28" t="s">
        <v>4699</v>
      </c>
      <c r="C924" s="28" t="s">
        <v>4698</v>
      </c>
      <c r="D924" s="5" t="s">
        <v>3372</v>
      </c>
      <c r="E924" s="39" t="n">
        <v>1048273</v>
      </c>
      <c r="F924" s="39" t="n">
        <v>1048273</v>
      </c>
      <c r="G924" s="28" t="s">
        <v>132</v>
      </c>
      <c r="H924" s="38" t="n">
        <v>1339218</v>
      </c>
      <c r="I924" s="28"/>
      <c r="J924" s="7" t="n">
        <f aca="false">E924*1.19</f>
        <v>1247444.87</v>
      </c>
      <c r="K924" s="7" t="n">
        <f aca="false">F924*1.19</f>
        <v>1247444.87</v>
      </c>
      <c r="L924" s="5" t="s">
        <v>84</v>
      </c>
      <c r="M924" s="5"/>
      <c r="N924" s="10" t="s">
        <v>4700</v>
      </c>
      <c r="O924" s="28" t="s">
        <v>4701</v>
      </c>
      <c r="P924" s="28"/>
      <c r="Q924" s="28"/>
      <c r="R924" s="28"/>
      <c r="S924" s="28"/>
      <c r="T924" s="28" t="s">
        <v>4702</v>
      </c>
      <c r="V924" s="28" t="s">
        <v>4703</v>
      </c>
      <c r="W924" s="5"/>
      <c r="X924" s="5" t="s">
        <v>139</v>
      </c>
      <c r="Z924" s="28" t="s">
        <v>4704</v>
      </c>
      <c r="AA924" s="28"/>
      <c r="AB924" s="28"/>
      <c r="AC924" s="28"/>
      <c r="AD924" s="28"/>
      <c r="AE924" s="28"/>
      <c r="AF924" s="28"/>
      <c r="AG924" s="28"/>
      <c r="AH924" s="28"/>
      <c r="AI924" s="28" t="s">
        <v>4705</v>
      </c>
      <c r="AJ924" s="28"/>
      <c r="AK924" s="28"/>
      <c r="AL924" s="28"/>
      <c r="AM924" s="5" t="s">
        <v>140</v>
      </c>
      <c r="AN924" s="25" t="s">
        <v>199</v>
      </c>
      <c r="AO924" s="28" t="s">
        <v>3533</v>
      </c>
      <c r="AP924" s="28"/>
      <c r="AQ924" s="5" t="s">
        <v>77</v>
      </c>
      <c r="AR924" s="28" t="s">
        <v>143</v>
      </c>
      <c r="AS924" s="5" t="s">
        <v>73</v>
      </c>
      <c r="AT924" s="5" t="s">
        <v>374</v>
      </c>
      <c r="AU924" s="28"/>
      <c r="AV924" s="28"/>
      <c r="AW924" s="25" t="s">
        <v>94</v>
      </c>
      <c r="AX924" s="28" t="s">
        <v>375</v>
      </c>
      <c r="AY924" s="28"/>
      <c r="AZ924" s="5" t="s">
        <v>857</v>
      </c>
      <c r="BF924" s="28" t="s">
        <v>4699</v>
      </c>
      <c r="BH924" s="28"/>
      <c r="BI924" s="28"/>
      <c r="BJ924" s="38" t="n">
        <v>2024</v>
      </c>
      <c r="BK924" s="38" t="n">
        <v>2027</v>
      </c>
    </row>
    <row r="925" customFormat="false" ht="16.5" hidden="false" customHeight="true" outlineLevel="0" collapsed="false">
      <c r="A925" s="28" t="s">
        <v>4706</v>
      </c>
      <c r="B925" s="28" t="s">
        <v>4707</v>
      </c>
      <c r="C925" s="28" t="s">
        <v>4706</v>
      </c>
      <c r="D925" s="5" t="s">
        <v>3372</v>
      </c>
      <c r="E925" s="39" t="n">
        <v>49958</v>
      </c>
      <c r="F925" s="39" t="n">
        <v>49958</v>
      </c>
      <c r="G925" s="28" t="s">
        <v>132</v>
      </c>
      <c r="H925" s="38" t="n">
        <v>62106</v>
      </c>
      <c r="I925" s="28"/>
      <c r="J925" s="7" t="n">
        <f aca="false">E925*1.19</f>
        <v>59450.02</v>
      </c>
      <c r="K925" s="7" t="n">
        <f aca="false">F925*1.19</f>
        <v>59450.02</v>
      </c>
      <c r="L925" s="5" t="s">
        <v>84</v>
      </c>
      <c r="M925" s="5"/>
      <c r="N925" s="10" t="s">
        <v>4708</v>
      </c>
      <c r="O925" s="28" t="s">
        <v>4709</v>
      </c>
      <c r="P925" s="28"/>
      <c r="Q925" s="28"/>
      <c r="R925" s="28"/>
      <c r="S925" s="28"/>
      <c r="T925" s="28" t="s">
        <v>4710</v>
      </c>
      <c r="V925" s="28"/>
      <c r="W925" s="5"/>
      <c r="X925" s="5" t="s">
        <v>139</v>
      </c>
      <c r="Z925" s="28"/>
      <c r="AA925" s="28"/>
      <c r="AB925" s="28"/>
      <c r="AC925" s="28"/>
      <c r="AD925" s="28"/>
      <c r="AE925" s="28"/>
      <c r="AF925" s="28"/>
      <c r="AG925" s="28"/>
      <c r="AH925" s="28"/>
      <c r="AI925" s="28" t="s">
        <v>3904</v>
      </c>
      <c r="AJ925" s="28"/>
      <c r="AK925" s="28"/>
      <c r="AL925" s="28"/>
      <c r="AM925" s="5" t="s">
        <v>140</v>
      </c>
      <c r="AN925" s="5" t="s">
        <v>699</v>
      </c>
      <c r="AO925" s="28" t="s">
        <v>3905</v>
      </c>
      <c r="AP925" s="28"/>
      <c r="AQ925" s="5" t="s">
        <v>77</v>
      </c>
      <c r="AR925" s="28" t="s">
        <v>143</v>
      </c>
      <c r="AS925" s="5" t="s">
        <v>73</v>
      </c>
      <c r="AT925" s="5" t="s">
        <v>374</v>
      </c>
      <c r="AU925" s="28"/>
      <c r="AV925" s="28"/>
      <c r="AW925" s="5" t="s">
        <v>94</v>
      </c>
      <c r="AX925" s="28" t="s">
        <v>79</v>
      </c>
      <c r="AY925" s="28"/>
      <c r="AZ925" s="5" t="s">
        <v>121</v>
      </c>
      <c r="BF925" s="28" t="s">
        <v>4707</v>
      </c>
      <c r="BH925" s="28"/>
      <c r="BI925" s="28"/>
      <c r="BJ925" s="38" t="n">
        <v>2023</v>
      </c>
      <c r="BK925" s="38" t="n">
        <v>2023</v>
      </c>
    </row>
    <row r="926" customFormat="false" ht="16.5" hidden="false" customHeight="true" outlineLevel="0" collapsed="false">
      <c r="A926" s="28" t="s">
        <v>4711</v>
      </c>
      <c r="B926" s="28"/>
      <c r="C926" s="28" t="s">
        <v>4712</v>
      </c>
      <c r="D926" s="5" t="s">
        <v>3372</v>
      </c>
      <c r="E926" s="38" t="n">
        <v>993262</v>
      </c>
      <c r="F926" s="38" t="n">
        <v>993262</v>
      </c>
      <c r="G926" s="28" t="s">
        <v>63</v>
      </c>
      <c r="H926" s="38" t="n">
        <v>144089</v>
      </c>
      <c r="I926" s="28"/>
      <c r="J926" s="7" t="n">
        <f aca="false">E926*0.13</f>
        <v>129124.06</v>
      </c>
      <c r="K926" s="7" t="n">
        <f aca="false">F926*0.13</f>
        <v>129124.06</v>
      </c>
      <c r="L926" s="5" t="s">
        <v>84</v>
      </c>
      <c r="M926" s="5"/>
      <c r="O926" s="28" t="s">
        <v>4713</v>
      </c>
      <c r="P926" s="28"/>
      <c r="Q926" s="28"/>
      <c r="R926" s="28"/>
      <c r="S926" s="28"/>
      <c r="T926" s="28"/>
      <c r="V926" s="28"/>
      <c r="W926" s="5"/>
      <c r="X926" s="5"/>
      <c r="Z926" s="28"/>
      <c r="AA926" s="28"/>
      <c r="AB926" s="28"/>
      <c r="AC926" s="28"/>
      <c r="AD926" s="28"/>
      <c r="AE926" s="28"/>
      <c r="AF926" s="28"/>
      <c r="AG926" s="28"/>
      <c r="AH926" s="28"/>
      <c r="AI926" s="28" t="s">
        <v>3469</v>
      </c>
      <c r="AJ926" s="28"/>
      <c r="AK926" s="28"/>
      <c r="AL926" s="28"/>
      <c r="AM926" s="28" t="s">
        <v>3976</v>
      </c>
      <c r="AO926" s="28" t="s">
        <v>4714</v>
      </c>
      <c r="AP926" s="28"/>
      <c r="AQ926" s="28" t="s">
        <v>77</v>
      </c>
      <c r="AR926" s="28" t="s">
        <v>72</v>
      </c>
      <c r="AS926" s="5" t="s">
        <v>73</v>
      </c>
      <c r="AT926" s="5" t="s">
        <v>374</v>
      </c>
      <c r="AU926" s="28"/>
      <c r="AV926" s="28"/>
      <c r="AW926" s="5" t="s">
        <v>94</v>
      </c>
      <c r="AX926" s="28" t="s">
        <v>375</v>
      </c>
      <c r="AY926" s="28"/>
      <c r="AZ926" s="5" t="s">
        <v>534</v>
      </c>
      <c r="BF926" s="28"/>
      <c r="BH926" s="28"/>
      <c r="BI926" s="28"/>
      <c r="BJ926" s="38" t="n">
        <v>2023</v>
      </c>
      <c r="BK926" s="38" t="n">
        <v>2024</v>
      </c>
    </row>
    <row r="927" customFormat="false" ht="16.5" hidden="false" customHeight="true" outlineLevel="0" collapsed="false">
      <c r="A927" s="28" t="s">
        <v>4715</v>
      </c>
      <c r="B927" s="28"/>
      <c r="C927" s="28" t="s">
        <v>4716</v>
      </c>
      <c r="D927" s="5" t="s">
        <v>3372</v>
      </c>
      <c r="E927" s="38" t="n">
        <v>75810</v>
      </c>
      <c r="F927" s="38" t="n">
        <v>75810</v>
      </c>
      <c r="G927" s="28" t="s">
        <v>147</v>
      </c>
      <c r="H927" s="38" t="n">
        <v>79707</v>
      </c>
      <c r="I927" s="28"/>
      <c r="J927" s="41" t="n">
        <v>75810</v>
      </c>
      <c r="K927" s="41" t="n">
        <v>75810</v>
      </c>
      <c r="L927" s="5" t="s">
        <v>84</v>
      </c>
      <c r="M927" s="5"/>
      <c r="N927" s="10" t="s">
        <v>3436</v>
      </c>
      <c r="O927" s="28" t="s">
        <v>4717</v>
      </c>
      <c r="P927" s="28"/>
      <c r="Q927" s="28"/>
      <c r="R927" s="28"/>
      <c r="S927" s="28"/>
      <c r="T927" s="28"/>
      <c r="V927" s="28"/>
      <c r="W927" s="5"/>
      <c r="X927" s="5"/>
      <c r="Z927" s="28"/>
      <c r="AA927" s="28"/>
      <c r="AB927" s="28"/>
      <c r="AC927" s="28"/>
      <c r="AD927" s="28"/>
      <c r="AE927" s="28"/>
      <c r="AF927" s="28"/>
      <c r="AG927" s="28"/>
      <c r="AH927" s="28"/>
      <c r="AI927" s="28" t="s">
        <v>3409</v>
      </c>
      <c r="AJ927" s="28"/>
      <c r="AK927" s="28"/>
      <c r="AL927" s="28"/>
      <c r="AM927" s="28" t="s">
        <v>3442</v>
      </c>
      <c r="AO927" s="28" t="s">
        <v>4718</v>
      </c>
      <c r="AP927" s="28"/>
      <c r="AQ927" s="5" t="s">
        <v>77</v>
      </c>
      <c r="AR927" s="28" t="s">
        <v>257</v>
      </c>
      <c r="AS927" s="5" t="s">
        <v>73</v>
      </c>
      <c r="AT927" s="5" t="s">
        <v>374</v>
      </c>
      <c r="AU927" s="28"/>
      <c r="AV927" s="28"/>
      <c r="AW927" s="5" t="s">
        <v>94</v>
      </c>
      <c r="AX927" s="28" t="s">
        <v>375</v>
      </c>
      <c r="AY927" s="28"/>
      <c r="AZ927" s="5" t="s">
        <v>121</v>
      </c>
      <c r="BF927" s="28"/>
      <c r="BH927" s="28"/>
      <c r="BI927" s="28"/>
      <c r="BJ927" s="38" t="n">
        <v>2022</v>
      </c>
      <c r="BK927" s="28"/>
    </row>
    <row r="928" customFormat="false" ht="16.5" hidden="false" customHeight="true" outlineLevel="0" collapsed="false">
      <c r="A928" s="28" t="s">
        <v>4719</v>
      </c>
      <c r="B928" s="28"/>
      <c r="C928" s="28" t="s">
        <v>4720</v>
      </c>
      <c r="D928" s="5" t="s">
        <v>3372</v>
      </c>
      <c r="E928" s="38" t="n">
        <v>71700</v>
      </c>
      <c r="F928" s="38" t="n">
        <v>71700</v>
      </c>
      <c r="G928" s="28" t="s">
        <v>147</v>
      </c>
      <c r="H928" s="38" t="n">
        <v>84785</v>
      </c>
      <c r="I928" s="28"/>
      <c r="J928" s="41" t="n">
        <v>71700</v>
      </c>
      <c r="K928" s="41" t="n">
        <v>71700</v>
      </c>
      <c r="L928" s="5" t="s">
        <v>84</v>
      </c>
      <c r="M928" s="5"/>
      <c r="N928" s="10" t="s">
        <v>3436</v>
      </c>
      <c r="O928" s="28" t="s">
        <v>4721</v>
      </c>
      <c r="P928" s="28"/>
      <c r="Q928" s="28"/>
      <c r="R928" s="28"/>
      <c r="S928" s="28"/>
      <c r="T928" s="28"/>
      <c r="V928" s="28"/>
      <c r="W928" s="5"/>
      <c r="X928" s="5"/>
      <c r="Z928" s="28"/>
      <c r="AA928" s="28"/>
      <c r="AB928" s="28"/>
      <c r="AC928" s="28"/>
      <c r="AD928" s="28"/>
      <c r="AE928" s="28"/>
      <c r="AF928" s="28"/>
      <c r="AG928" s="28"/>
      <c r="AH928" s="28"/>
      <c r="AI928" s="28" t="s">
        <v>3478</v>
      </c>
      <c r="AJ928" s="28"/>
      <c r="AK928" s="28"/>
      <c r="AL928" s="28"/>
      <c r="AM928" s="28" t="s">
        <v>3442</v>
      </c>
      <c r="AO928" s="28" t="s">
        <v>4718</v>
      </c>
      <c r="AP928" s="28"/>
      <c r="AQ928" s="5" t="s">
        <v>77</v>
      </c>
      <c r="AR928" s="28" t="s">
        <v>257</v>
      </c>
      <c r="AS928" s="5" t="s">
        <v>73</v>
      </c>
      <c r="AT928" s="5" t="s">
        <v>374</v>
      </c>
      <c r="AU928" s="28"/>
      <c r="AV928" s="28"/>
      <c r="AW928" s="5" t="s">
        <v>94</v>
      </c>
      <c r="AX928" s="28" t="s">
        <v>375</v>
      </c>
      <c r="AY928" s="28"/>
      <c r="AZ928" s="5" t="s">
        <v>857</v>
      </c>
      <c r="BF928" s="28"/>
      <c r="BH928" s="28"/>
      <c r="BI928" s="28"/>
      <c r="BJ928" s="38" t="n">
        <v>2021</v>
      </c>
      <c r="BK928" s="28"/>
    </row>
    <row r="929" customFormat="false" ht="16.5" hidden="false" customHeight="true" outlineLevel="0" collapsed="false">
      <c r="A929" s="28" t="s">
        <v>4722</v>
      </c>
      <c r="B929" s="28"/>
      <c r="C929" s="28" t="s">
        <v>4723</v>
      </c>
      <c r="D929" s="5" t="s">
        <v>3372</v>
      </c>
      <c r="E929" s="38" t="n">
        <v>71820</v>
      </c>
      <c r="F929" s="38" t="n">
        <v>71820</v>
      </c>
      <c r="G929" s="28" t="s">
        <v>147</v>
      </c>
      <c r="H929" s="38" t="n">
        <v>77708</v>
      </c>
      <c r="I929" s="28"/>
      <c r="J929" s="41" t="n">
        <v>71820</v>
      </c>
      <c r="K929" s="41" t="n">
        <v>71820</v>
      </c>
      <c r="L929" s="5" t="s">
        <v>84</v>
      </c>
      <c r="M929" s="5"/>
      <c r="N929" s="10" t="s">
        <v>3436</v>
      </c>
      <c r="O929" s="28" t="s">
        <v>4724</v>
      </c>
      <c r="P929" s="28"/>
      <c r="Q929" s="28"/>
      <c r="R929" s="28"/>
      <c r="S929" s="28"/>
      <c r="T929" s="28"/>
      <c r="V929" s="28"/>
      <c r="W929" s="5"/>
      <c r="X929" s="5"/>
      <c r="Z929" s="28"/>
      <c r="AA929" s="28"/>
      <c r="AB929" s="28"/>
      <c r="AC929" s="28"/>
      <c r="AD929" s="28"/>
      <c r="AE929" s="28"/>
      <c r="AF929" s="28"/>
      <c r="AG929" s="28"/>
      <c r="AH929" s="28"/>
      <c r="AI929" s="28" t="s">
        <v>3469</v>
      </c>
      <c r="AJ929" s="28"/>
      <c r="AK929" s="28"/>
      <c r="AL929" s="28"/>
      <c r="AM929" s="28" t="s">
        <v>3442</v>
      </c>
      <c r="AO929" s="28" t="s">
        <v>4718</v>
      </c>
      <c r="AP929" s="28"/>
      <c r="AQ929" s="5" t="s">
        <v>77</v>
      </c>
      <c r="AR929" s="28" t="s">
        <v>257</v>
      </c>
      <c r="AS929" s="5" t="s">
        <v>73</v>
      </c>
      <c r="AT929" s="5" t="s">
        <v>374</v>
      </c>
      <c r="AU929" s="28"/>
      <c r="AV929" s="28"/>
      <c r="AW929" s="5" t="s">
        <v>94</v>
      </c>
      <c r="AX929" s="28" t="s">
        <v>375</v>
      </c>
      <c r="AY929" s="28"/>
      <c r="AZ929" s="5" t="s">
        <v>857</v>
      </c>
      <c r="BF929" s="28"/>
      <c r="BH929" s="28"/>
      <c r="BI929" s="28"/>
      <c r="BJ929" s="38" t="n">
        <v>2023</v>
      </c>
      <c r="BK929" s="28"/>
    </row>
    <row r="930" customFormat="false" ht="16.5" hidden="false" customHeight="true" outlineLevel="0" collapsed="false">
      <c r="A930" s="28" t="s">
        <v>4725</v>
      </c>
      <c r="B930" s="28" t="s">
        <v>4726</v>
      </c>
      <c r="C930" s="28" t="s">
        <v>4725</v>
      </c>
      <c r="D930" s="5" t="s">
        <v>3372</v>
      </c>
      <c r="E930" s="38" t="n">
        <v>150000</v>
      </c>
      <c r="F930" s="38" t="n">
        <v>150000</v>
      </c>
      <c r="G930" s="28" t="s">
        <v>147</v>
      </c>
      <c r="H930" s="38" t="n">
        <v>159990</v>
      </c>
      <c r="I930" s="28"/>
      <c r="J930" s="41" t="n">
        <v>150000</v>
      </c>
      <c r="K930" s="41" t="n">
        <v>150000</v>
      </c>
      <c r="L930" s="5" t="s">
        <v>84</v>
      </c>
      <c r="M930" s="5"/>
      <c r="N930" s="10" t="s">
        <v>4727</v>
      </c>
      <c r="O930" s="28" t="s">
        <v>4728</v>
      </c>
      <c r="P930" s="28"/>
      <c r="Q930" s="28"/>
      <c r="R930" s="28"/>
      <c r="S930" s="28"/>
      <c r="T930" s="28"/>
      <c r="V930" s="28" t="s">
        <v>4729</v>
      </c>
      <c r="W930" s="5"/>
      <c r="X930" s="5" t="s">
        <v>975</v>
      </c>
      <c r="Z930" s="28" t="s">
        <v>4730</v>
      </c>
      <c r="AA930" s="28"/>
      <c r="AB930" s="28"/>
      <c r="AC930" s="28"/>
      <c r="AD930" s="28"/>
      <c r="AE930" s="28"/>
      <c r="AF930" s="28"/>
      <c r="AG930" s="28"/>
      <c r="AH930" s="28"/>
      <c r="AI930" s="28" t="s">
        <v>4731</v>
      </c>
      <c r="AJ930" s="28"/>
      <c r="AK930" s="28"/>
      <c r="AL930" s="28"/>
      <c r="AM930" s="28" t="s">
        <v>182</v>
      </c>
      <c r="AN930" s="5" t="s">
        <v>4137</v>
      </c>
      <c r="AO930" s="28"/>
      <c r="AP930" s="28"/>
      <c r="AQ930" s="5" t="s">
        <v>77</v>
      </c>
      <c r="AR930" s="28" t="s">
        <v>185</v>
      </c>
      <c r="AS930" s="5" t="s">
        <v>73</v>
      </c>
      <c r="AT930" s="5" t="s">
        <v>374</v>
      </c>
      <c r="AU930" s="28"/>
      <c r="AV930" s="28"/>
      <c r="AW930" s="5" t="s">
        <v>94</v>
      </c>
      <c r="AX930" s="28" t="s">
        <v>375</v>
      </c>
      <c r="AY930" s="28"/>
      <c r="AZ930" s="5" t="s">
        <v>239</v>
      </c>
      <c r="BF930" s="28" t="s">
        <v>4726</v>
      </c>
      <c r="BH930" s="28"/>
      <c r="BI930" s="28"/>
      <c r="BJ930" s="38" t="n">
        <v>2022</v>
      </c>
      <c r="BK930" s="38" t="n">
        <v>2023</v>
      </c>
    </row>
    <row r="931" customFormat="false" ht="16.5" hidden="false" customHeight="true" outlineLevel="0" collapsed="false">
      <c r="A931" s="28" t="s">
        <v>4732</v>
      </c>
      <c r="B931" s="28"/>
      <c r="C931" s="28" t="s">
        <v>4733</v>
      </c>
      <c r="D931" s="5" t="s">
        <v>3372</v>
      </c>
      <c r="E931" s="38" t="n">
        <v>82695</v>
      </c>
      <c r="F931" s="38" t="n">
        <v>82695</v>
      </c>
      <c r="G931" s="28" t="s">
        <v>147</v>
      </c>
      <c r="H931" s="38" t="n">
        <v>89475</v>
      </c>
      <c r="I931" s="28"/>
      <c r="J931" s="41" t="n">
        <v>82695</v>
      </c>
      <c r="K931" s="41" t="n">
        <v>82695</v>
      </c>
      <c r="L931" s="5" t="s">
        <v>84</v>
      </c>
      <c r="M931" s="5"/>
      <c r="N931" s="10" t="s">
        <v>3436</v>
      </c>
      <c r="O931" s="28" t="s">
        <v>4734</v>
      </c>
      <c r="P931" s="28"/>
      <c r="Q931" s="28"/>
      <c r="R931" s="28"/>
      <c r="S931" s="28"/>
      <c r="T931" s="28"/>
      <c r="V931" s="28"/>
      <c r="W931" s="5"/>
      <c r="X931" s="5"/>
      <c r="Z931" s="28"/>
      <c r="AA931" s="28"/>
      <c r="AB931" s="28"/>
      <c r="AC931" s="28"/>
      <c r="AD931" s="28"/>
      <c r="AE931" s="28"/>
      <c r="AF931" s="28"/>
      <c r="AG931" s="28"/>
      <c r="AH931" s="28"/>
      <c r="AI931" s="28" t="s">
        <v>3469</v>
      </c>
      <c r="AJ931" s="28"/>
      <c r="AK931" s="28"/>
      <c r="AL931" s="28"/>
      <c r="AM931" s="28" t="s">
        <v>3442</v>
      </c>
      <c r="AO931" s="28" t="s">
        <v>4718</v>
      </c>
      <c r="AP931" s="28"/>
      <c r="AQ931" s="5" t="s">
        <v>77</v>
      </c>
      <c r="AR931" s="28" t="s">
        <v>257</v>
      </c>
      <c r="AS931" s="5" t="s">
        <v>73</v>
      </c>
      <c r="AT931" s="5" t="s">
        <v>374</v>
      </c>
      <c r="AU931" s="28"/>
      <c r="AV931" s="28"/>
      <c r="AW931" s="5" t="s">
        <v>94</v>
      </c>
      <c r="AX931" s="28" t="s">
        <v>375</v>
      </c>
      <c r="AY931" s="28"/>
      <c r="AZ931" s="5" t="s">
        <v>534</v>
      </c>
      <c r="BF931" s="28"/>
      <c r="BH931" s="28"/>
      <c r="BI931" s="28"/>
      <c r="BJ931" s="38" t="n">
        <v>2023</v>
      </c>
      <c r="BK931" s="28"/>
    </row>
    <row r="932" customFormat="false" ht="16.5" hidden="false" customHeight="true" outlineLevel="0" collapsed="false">
      <c r="A932" s="28" t="s">
        <v>4735</v>
      </c>
      <c r="B932" s="28"/>
      <c r="C932" s="28" t="s">
        <v>4736</v>
      </c>
      <c r="D932" s="5" t="s">
        <v>3372</v>
      </c>
      <c r="E932" s="38" t="n">
        <v>65000</v>
      </c>
      <c r="F932" s="38" t="n">
        <v>65000</v>
      </c>
      <c r="G932" s="28" t="s">
        <v>147</v>
      </c>
      <c r="H932" s="38" t="n">
        <v>76160</v>
      </c>
      <c r="I932" s="28"/>
      <c r="J932" s="41" t="n">
        <v>65000</v>
      </c>
      <c r="K932" s="41" t="n">
        <v>65000</v>
      </c>
      <c r="L932" s="5" t="s">
        <v>84</v>
      </c>
      <c r="M932" s="5"/>
      <c r="N932" s="10" t="s">
        <v>4737</v>
      </c>
      <c r="O932" s="28" t="s">
        <v>4738</v>
      </c>
      <c r="P932" s="28"/>
      <c r="Q932" s="28"/>
      <c r="R932" s="28"/>
      <c r="S932" s="28"/>
      <c r="T932" s="28"/>
      <c r="V932" s="28" t="s">
        <v>1088</v>
      </c>
      <c r="W932" s="5"/>
      <c r="X932" s="5"/>
      <c r="Z932" s="28" t="s">
        <v>4739</v>
      </c>
      <c r="AA932" s="28"/>
      <c r="AB932" s="28"/>
      <c r="AC932" s="28"/>
      <c r="AD932" s="28"/>
      <c r="AE932" s="28"/>
      <c r="AF932" s="28"/>
      <c r="AG932" s="28"/>
      <c r="AH932" s="28"/>
      <c r="AI932" s="28" t="s">
        <v>4740</v>
      </c>
      <c r="AJ932" s="28"/>
      <c r="AK932" s="28"/>
      <c r="AL932" s="28"/>
      <c r="AM932" s="5" t="s">
        <v>821</v>
      </c>
      <c r="AO932" s="28" t="s">
        <v>4273</v>
      </c>
      <c r="AP932" s="28"/>
      <c r="AQ932" s="5" t="s">
        <v>77</v>
      </c>
      <c r="AR932" s="28" t="s">
        <v>151</v>
      </c>
      <c r="AS932" s="5" t="s">
        <v>73</v>
      </c>
      <c r="AT932" s="5" t="s">
        <v>374</v>
      </c>
      <c r="AU932" s="28"/>
      <c r="AV932" s="28"/>
      <c r="AW932" s="5" t="s">
        <v>94</v>
      </c>
      <c r="AX932" s="28" t="s">
        <v>375</v>
      </c>
      <c r="AY932" s="28"/>
      <c r="AZ932" s="5" t="s">
        <v>121</v>
      </c>
      <c r="BF932" s="28"/>
      <c r="BH932" s="28"/>
      <c r="BI932" s="28"/>
      <c r="BJ932" s="38" t="n">
        <v>2020</v>
      </c>
      <c r="BK932" s="38" t="n">
        <v>2021</v>
      </c>
    </row>
    <row r="933" customFormat="false" ht="16.5" hidden="false" customHeight="true" outlineLevel="0" collapsed="false">
      <c r="A933" s="28" t="s">
        <v>4741</v>
      </c>
      <c r="B933" s="28" t="s">
        <v>4742</v>
      </c>
      <c r="C933" s="28" t="s">
        <v>4741</v>
      </c>
      <c r="D933" s="5" t="s">
        <v>3372</v>
      </c>
      <c r="E933" s="38" t="n">
        <v>30000</v>
      </c>
      <c r="F933" s="38" t="n">
        <v>30000</v>
      </c>
      <c r="G933" s="28" t="s">
        <v>147</v>
      </c>
      <c r="H933" s="38" t="n">
        <v>32084</v>
      </c>
      <c r="I933" s="28"/>
      <c r="J933" s="41" t="n">
        <v>30000</v>
      </c>
      <c r="K933" s="41" t="n">
        <v>30000</v>
      </c>
      <c r="L933" s="5" t="s">
        <v>84</v>
      </c>
      <c r="M933" s="5"/>
      <c r="N933" s="10" t="s">
        <v>4743</v>
      </c>
      <c r="O933" s="28" t="s">
        <v>4744</v>
      </c>
      <c r="P933" s="28"/>
      <c r="Q933" s="28"/>
      <c r="R933" s="28"/>
      <c r="S933" s="28"/>
      <c r="T933" s="28"/>
      <c r="V933" s="28" t="s">
        <v>4745</v>
      </c>
      <c r="W933" s="5"/>
      <c r="X933" s="5" t="s">
        <v>385</v>
      </c>
      <c r="Z933" s="28" t="s">
        <v>4746</v>
      </c>
      <c r="AA933" s="28"/>
      <c r="AB933" s="28"/>
      <c r="AC933" s="28"/>
      <c r="AD933" s="28"/>
      <c r="AE933" s="28"/>
      <c r="AF933" s="28"/>
      <c r="AG933" s="28"/>
      <c r="AH933" s="28"/>
      <c r="AI933" s="28" t="s">
        <v>4136</v>
      </c>
      <c r="AJ933" s="28"/>
      <c r="AK933" s="28"/>
      <c r="AL933" s="28"/>
      <c r="AM933" s="28" t="s">
        <v>182</v>
      </c>
      <c r="AN933" s="28" t="s">
        <v>4747</v>
      </c>
      <c r="AP933" s="28"/>
      <c r="AQ933" s="5" t="s">
        <v>77</v>
      </c>
      <c r="AR933" s="28" t="s">
        <v>185</v>
      </c>
      <c r="AS933" s="5" t="s">
        <v>73</v>
      </c>
      <c r="AT933" s="5" t="s">
        <v>374</v>
      </c>
      <c r="AU933" s="28"/>
      <c r="AV933" s="28"/>
      <c r="AW933" s="5" t="s">
        <v>201</v>
      </c>
      <c r="AX933" s="28" t="s">
        <v>375</v>
      </c>
      <c r="AY933" s="28"/>
      <c r="AZ933" s="5" t="s">
        <v>748</v>
      </c>
      <c r="BF933" s="28" t="s">
        <v>4742</v>
      </c>
      <c r="BH933" s="28"/>
      <c r="BI933" s="28"/>
      <c r="BJ933" s="38" t="n">
        <v>2023</v>
      </c>
      <c r="BK933" s="38" t="n">
        <v>2026</v>
      </c>
    </row>
    <row r="934" customFormat="false" ht="16.5" hidden="false" customHeight="true" outlineLevel="0" collapsed="false">
      <c r="A934" s="28" t="s">
        <v>4748</v>
      </c>
      <c r="B934" s="28" t="s">
        <v>4749</v>
      </c>
      <c r="C934" s="28" t="s">
        <v>4748</v>
      </c>
      <c r="D934" s="5" t="s">
        <v>3372</v>
      </c>
      <c r="E934" s="38" t="n">
        <v>0</v>
      </c>
      <c r="F934" s="28"/>
      <c r="G934" s="28"/>
      <c r="H934" s="38" t="n">
        <v>0</v>
      </c>
      <c r="I934" s="28"/>
      <c r="J934" s="40"/>
      <c r="K934" s="40"/>
      <c r="L934" s="5" t="s">
        <v>84</v>
      </c>
      <c r="M934" s="5"/>
      <c r="N934" s="10" t="s">
        <v>4750</v>
      </c>
      <c r="O934" s="28" t="s">
        <v>4751</v>
      </c>
      <c r="P934" s="28"/>
      <c r="Q934" s="28"/>
      <c r="R934" s="28"/>
      <c r="S934" s="28"/>
      <c r="T934" s="28" t="s">
        <v>2420</v>
      </c>
      <c r="V934" s="28" t="s">
        <v>2462</v>
      </c>
      <c r="W934" s="5"/>
      <c r="X934" s="5"/>
      <c r="Z934" s="28" t="s">
        <v>2983</v>
      </c>
      <c r="AA934" s="28"/>
      <c r="AB934" s="28"/>
      <c r="AC934" s="28"/>
      <c r="AD934" s="28"/>
      <c r="AE934" s="28"/>
      <c r="AF934" s="28"/>
      <c r="AG934" s="28"/>
      <c r="AH934" s="28"/>
      <c r="AI934" s="28" t="s">
        <v>4752</v>
      </c>
      <c r="AJ934" s="28"/>
      <c r="AK934" s="28"/>
      <c r="AL934" s="28"/>
      <c r="AM934" s="28" t="s">
        <v>2984</v>
      </c>
      <c r="AO934" s="28"/>
      <c r="AP934" s="28"/>
      <c r="AQ934" s="5" t="s">
        <v>77</v>
      </c>
      <c r="AR934" s="28" t="s">
        <v>271</v>
      </c>
      <c r="AS934" s="5" t="s">
        <v>73</v>
      </c>
      <c r="AT934" s="5" t="s">
        <v>374</v>
      </c>
      <c r="AU934" s="28"/>
      <c r="AV934" s="28"/>
      <c r="AW934" s="5" t="s">
        <v>94</v>
      </c>
      <c r="AX934" s="28" t="s">
        <v>375</v>
      </c>
      <c r="AY934" s="28"/>
      <c r="AZ934" s="5" t="s">
        <v>239</v>
      </c>
      <c r="BF934" s="28" t="s">
        <v>4749</v>
      </c>
      <c r="BH934" s="28"/>
      <c r="BI934" s="28"/>
      <c r="BJ934" s="38" t="n">
        <v>2021</v>
      </c>
      <c r="BK934" s="38" t="n">
        <v>2025</v>
      </c>
    </row>
    <row r="935" customFormat="false" ht="16.5" hidden="false" customHeight="true" outlineLevel="0" collapsed="false">
      <c r="A935" s="28" t="s">
        <v>4753</v>
      </c>
      <c r="B935" s="28" t="s">
        <v>4754</v>
      </c>
      <c r="C935" s="28" t="s">
        <v>4753</v>
      </c>
      <c r="D935" s="5" t="s">
        <v>3372</v>
      </c>
      <c r="E935" s="38" t="n">
        <v>150000</v>
      </c>
      <c r="F935" s="38" t="n">
        <v>150000</v>
      </c>
      <c r="G935" s="28" t="s">
        <v>147</v>
      </c>
      <c r="H935" s="38" t="n">
        <v>160500</v>
      </c>
      <c r="I935" s="28"/>
      <c r="J935" s="41" t="n">
        <v>150000</v>
      </c>
      <c r="K935" s="41" t="n">
        <v>150000</v>
      </c>
      <c r="L935" s="5" t="s">
        <v>84</v>
      </c>
      <c r="M935" s="5"/>
      <c r="N935" s="10" t="s">
        <v>4755</v>
      </c>
      <c r="O935" s="28" t="s">
        <v>4756</v>
      </c>
      <c r="P935" s="28"/>
      <c r="Q935" s="28"/>
      <c r="R935" s="28"/>
      <c r="S935" s="28"/>
      <c r="T935" s="28"/>
      <c r="V935" s="28" t="s">
        <v>4757</v>
      </c>
      <c r="W935" s="5"/>
      <c r="X935" s="5" t="s">
        <v>975</v>
      </c>
      <c r="Z935" s="28" t="s">
        <v>4758</v>
      </c>
      <c r="AA935" s="28"/>
      <c r="AB935" s="28"/>
      <c r="AC935" s="28"/>
      <c r="AD935" s="28"/>
      <c r="AE935" s="28"/>
      <c r="AF935" s="28"/>
      <c r="AG935" s="28"/>
      <c r="AH935" s="28"/>
      <c r="AI935" s="28" t="s">
        <v>4759</v>
      </c>
      <c r="AJ935" s="28"/>
      <c r="AK935" s="28"/>
      <c r="AL935" s="28"/>
      <c r="AM935" s="28" t="s">
        <v>182</v>
      </c>
      <c r="AN935" s="5" t="s">
        <v>4137</v>
      </c>
      <c r="AO935" s="28"/>
      <c r="AP935" s="28"/>
      <c r="AQ935" s="5" t="s">
        <v>77</v>
      </c>
      <c r="AR935" s="5" t="s">
        <v>185</v>
      </c>
      <c r="AS935" s="5" t="s">
        <v>73</v>
      </c>
      <c r="AT935" s="5" t="s">
        <v>374</v>
      </c>
      <c r="AU935" s="28"/>
      <c r="AV935" s="28"/>
      <c r="AW935" s="5" t="s">
        <v>94</v>
      </c>
      <c r="AX935" s="28" t="s">
        <v>375</v>
      </c>
      <c r="AY935" s="28"/>
      <c r="AZ935" s="5" t="s">
        <v>396</v>
      </c>
      <c r="BF935" s="28" t="s">
        <v>4754</v>
      </c>
      <c r="BH935" s="28"/>
      <c r="BI935" s="28"/>
      <c r="BJ935" s="38" t="n">
        <v>2022</v>
      </c>
      <c r="BK935" s="38" t="n">
        <v>2023</v>
      </c>
    </row>
    <row r="936" customFormat="false" ht="16.5" hidden="false" customHeight="true" outlineLevel="0" collapsed="false">
      <c r="A936" s="28" t="s">
        <v>4760</v>
      </c>
      <c r="B936" s="28"/>
      <c r="C936" s="28" t="s">
        <v>4760</v>
      </c>
      <c r="D936" s="5" t="s">
        <v>3372</v>
      </c>
      <c r="E936" s="38" t="n">
        <v>0</v>
      </c>
      <c r="F936" s="28"/>
      <c r="G936" s="28"/>
      <c r="H936" s="38" t="n">
        <v>0</v>
      </c>
      <c r="I936" s="28"/>
      <c r="J936" s="40"/>
      <c r="K936" s="40"/>
      <c r="L936" s="5" t="s">
        <v>84</v>
      </c>
      <c r="M936" s="5"/>
      <c r="O936" s="28" t="s">
        <v>4761</v>
      </c>
      <c r="P936" s="28"/>
      <c r="Q936" s="28"/>
      <c r="R936" s="28"/>
      <c r="S936" s="28"/>
      <c r="T936" s="28" t="s">
        <v>4762</v>
      </c>
      <c r="V936" s="28" t="s">
        <v>4226</v>
      </c>
      <c r="W936" s="5"/>
      <c r="X936" s="5"/>
      <c r="Z936" s="28" t="s">
        <v>4227</v>
      </c>
      <c r="AA936" s="28"/>
      <c r="AB936" s="28"/>
      <c r="AC936" s="28"/>
      <c r="AD936" s="28"/>
      <c r="AE936" s="28"/>
      <c r="AF936" s="28"/>
      <c r="AG936" s="28"/>
      <c r="AH936" s="28"/>
      <c r="AI936" s="28" t="s">
        <v>4512</v>
      </c>
      <c r="AJ936" s="28"/>
      <c r="AK936" s="28"/>
      <c r="AL936" s="28"/>
      <c r="AM936" s="5" t="s">
        <v>1523</v>
      </c>
      <c r="AO936" s="28"/>
      <c r="AP936" s="28"/>
      <c r="AQ936" s="5" t="s">
        <v>77</v>
      </c>
      <c r="AR936" s="28" t="s">
        <v>568</v>
      </c>
      <c r="AS936" s="5" t="s">
        <v>73</v>
      </c>
      <c r="AT936" s="5" t="s">
        <v>374</v>
      </c>
      <c r="AU936" s="28"/>
      <c r="AV936" s="28"/>
      <c r="AW936" s="5" t="s">
        <v>94</v>
      </c>
      <c r="AX936" s="28" t="s">
        <v>218</v>
      </c>
      <c r="AY936" s="28"/>
      <c r="AZ936" s="5" t="s">
        <v>239</v>
      </c>
      <c r="BF936" s="28"/>
      <c r="BH936" s="28"/>
      <c r="BI936" s="28"/>
      <c r="BJ936" s="38" t="n">
        <v>2022</v>
      </c>
      <c r="BK936" s="38" t="n">
        <v>2026</v>
      </c>
    </row>
    <row r="937" customFormat="false" ht="16.5" hidden="false" customHeight="true" outlineLevel="0" collapsed="false">
      <c r="A937" s="28" t="s">
        <v>4763</v>
      </c>
      <c r="B937" s="28" t="s">
        <v>4764</v>
      </c>
      <c r="C937" s="28" t="s">
        <v>4763</v>
      </c>
      <c r="D937" s="5" t="s">
        <v>3372</v>
      </c>
      <c r="E937" s="39" t="n">
        <v>214923</v>
      </c>
      <c r="F937" s="39" t="n">
        <v>214923</v>
      </c>
      <c r="G937" s="28" t="s">
        <v>132</v>
      </c>
      <c r="H937" s="38" t="n">
        <v>274571</v>
      </c>
      <c r="I937" s="28"/>
      <c r="J937" s="7" t="n">
        <f aca="false">E937*1.19</f>
        <v>255758.37</v>
      </c>
      <c r="K937" s="7" t="n">
        <f aca="false">F937*1.19</f>
        <v>255758.37</v>
      </c>
      <c r="L937" s="5" t="s">
        <v>84</v>
      </c>
      <c r="M937" s="5"/>
      <c r="N937" s="10" t="s">
        <v>4765</v>
      </c>
      <c r="O937" s="28" t="s">
        <v>4766</v>
      </c>
      <c r="P937" s="28"/>
      <c r="Q937" s="28"/>
      <c r="R937" s="28"/>
      <c r="S937" s="28"/>
      <c r="T937" s="28" t="s">
        <v>1100</v>
      </c>
      <c r="V937" s="28" t="s">
        <v>4767</v>
      </c>
      <c r="W937" s="5"/>
      <c r="X937" s="5" t="s">
        <v>139</v>
      </c>
      <c r="Z937" s="28" t="s">
        <v>4768</v>
      </c>
      <c r="AA937" s="28"/>
      <c r="AB937" s="28"/>
      <c r="AC937" s="28"/>
      <c r="AD937" s="28"/>
      <c r="AE937" s="28"/>
      <c r="AF937" s="28"/>
      <c r="AG937" s="28"/>
      <c r="AH937" s="28"/>
      <c r="AI937" s="28" t="s">
        <v>4651</v>
      </c>
      <c r="AJ937" s="28"/>
      <c r="AK937" s="28"/>
      <c r="AL937" s="28"/>
      <c r="AM937" s="5" t="s">
        <v>140</v>
      </c>
      <c r="AN937" s="5" t="s">
        <v>699</v>
      </c>
      <c r="AO937" s="28" t="s">
        <v>2822</v>
      </c>
      <c r="AP937" s="28"/>
      <c r="AQ937" s="5" t="s">
        <v>77</v>
      </c>
      <c r="AR937" s="28" t="s">
        <v>143</v>
      </c>
      <c r="AS937" s="5" t="s">
        <v>73</v>
      </c>
      <c r="AT937" s="5" t="s">
        <v>374</v>
      </c>
      <c r="AU937" s="28"/>
      <c r="AV937" s="28"/>
      <c r="AW937" s="5" t="s">
        <v>94</v>
      </c>
      <c r="AX937" s="28" t="s">
        <v>375</v>
      </c>
      <c r="AY937" s="28"/>
      <c r="AZ937" s="5" t="s">
        <v>534</v>
      </c>
      <c r="BF937" s="28" t="s">
        <v>4764</v>
      </c>
      <c r="BH937" s="28"/>
      <c r="BI937" s="28"/>
      <c r="BJ937" s="38" t="n">
        <v>2024</v>
      </c>
      <c r="BK937" s="38" t="n">
        <v>2025</v>
      </c>
    </row>
    <row r="938" customFormat="false" ht="16.5" hidden="false" customHeight="true" outlineLevel="0" collapsed="false">
      <c r="A938" s="28" t="s">
        <v>4769</v>
      </c>
      <c r="B938" s="28" t="s">
        <v>4770</v>
      </c>
      <c r="C938" s="28" t="s">
        <v>4769</v>
      </c>
      <c r="D938" s="5" t="s">
        <v>3372</v>
      </c>
      <c r="E938" s="38" t="n">
        <v>2076770</v>
      </c>
      <c r="F938" s="38" t="n">
        <v>2076770</v>
      </c>
      <c r="G938" s="28" t="s">
        <v>147</v>
      </c>
      <c r="H938" s="38" t="n">
        <v>2233939</v>
      </c>
      <c r="I938" s="28"/>
      <c r="J938" s="41" t="n">
        <v>2076770</v>
      </c>
      <c r="K938" s="41" t="n">
        <v>2076770</v>
      </c>
      <c r="L938" s="5" t="s">
        <v>84</v>
      </c>
      <c r="M938" s="5"/>
      <c r="N938" s="10" t="s">
        <v>4771</v>
      </c>
      <c r="O938" s="28" t="s">
        <v>4772</v>
      </c>
      <c r="P938" s="28"/>
      <c r="Q938" s="28"/>
      <c r="R938" s="28"/>
      <c r="S938" s="28"/>
      <c r="T938" s="28" t="s">
        <v>4773</v>
      </c>
      <c r="V938" s="28" t="s">
        <v>4774</v>
      </c>
      <c r="W938" s="5"/>
      <c r="X938" s="5" t="s">
        <v>352</v>
      </c>
      <c r="Z938" s="28" t="s">
        <v>4775</v>
      </c>
      <c r="AA938" s="28"/>
      <c r="AB938" s="28"/>
      <c r="AC938" s="28"/>
      <c r="AD938" s="28"/>
      <c r="AE938" s="28"/>
      <c r="AF938" s="28"/>
      <c r="AG938" s="28"/>
      <c r="AH938" s="28"/>
      <c r="AI938" s="28" t="s">
        <v>4294</v>
      </c>
      <c r="AJ938" s="28"/>
      <c r="AK938" s="28"/>
      <c r="AL938" s="28"/>
      <c r="AM938" s="28" t="s">
        <v>182</v>
      </c>
      <c r="AN938" s="5" t="s">
        <v>4137</v>
      </c>
      <c r="AO938" s="28"/>
      <c r="AP938" s="28"/>
      <c r="AQ938" s="5" t="s">
        <v>77</v>
      </c>
      <c r="AR938" s="28" t="s">
        <v>185</v>
      </c>
      <c r="AS938" s="5" t="s">
        <v>73</v>
      </c>
      <c r="AT938" s="5" t="s">
        <v>374</v>
      </c>
      <c r="AU938" s="28"/>
      <c r="AV938" s="28"/>
      <c r="AW938" s="25" t="s">
        <v>94</v>
      </c>
      <c r="AX938" s="28" t="s">
        <v>375</v>
      </c>
      <c r="AY938" s="28"/>
      <c r="AZ938" s="5" t="s">
        <v>239</v>
      </c>
      <c r="BF938" s="28" t="s">
        <v>4770</v>
      </c>
      <c r="BH938" s="28"/>
      <c r="BI938" s="28"/>
      <c r="BJ938" s="38" t="n">
        <v>2021</v>
      </c>
      <c r="BK938" s="38" t="n">
        <v>2026</v>
      </c>
    </row>
    <row r="939" customFormat="false" ht="16.5" hidden="false" customHeight="true" outlineLevel="0" collapsed="false">
      <c r="A939" s="28" t="s">
        <v>4776</v>
      </c>
      <c r="B939" s="28" t="s">
        <v>4777</v>
      </c>
      <c r="C939" s="28" t="s">
        <v>4776</v>
      </c>
      <c r="D939" s="5" t="s">
        <v>3372</v>
      </c>
      <c r="E939" s="38" t="n">
        <v>1596898</v>
      </c>
      <c r="F939" s="38" t="n">
        <v>1596898</v>
      </c>
      <c r="G939" s="28" t="s">
        <v>147</v>
      </c>
      <c r="H939" s="38" t="n">
        <v>1679004</v>
      </c>
      <c r="I939" s="28"/>
      <c r="J939" s="41" t="n">
        <v>1596898</v>
      </c>
      <c r="K939" s="41" t="n">
        <v>1596898</v>
      </c>
      <c r="L939" s="5" t="s">
        <v>84</v>
      </c>
      <c r="M939" s="5"/>
      <c r="N939" s="10" t="s">
        <v>4778</v>
      </c>
      <c r="O939" s="28" t="s">
        <v>4779</v>
      </c>
      <c r="P939" s="28"/>
      <c r="Q939" s="28"/>
      <c r="R939" s="28"/>
      <c r="S939" s="28"/>
      <c r="T939" s="28" t="s">
        <v>4780</v>
      </c>
      <c r="V939" s="28"/>
      <c r="W939" s="5"/>
      <c r="X939" s="5"/>
      <c r="Z939" s="28"/>
      <c r="AA939" s="28"/>
      <c r="AB939" s="28"/>
      <c r="AC939" s="28"/>
      <c r="AD939" s="28"/>
      <c r="AE939" s="28"/>
      <c r="AF939" s="28"/>
      <c r="AG939" s="28"/>
      <c r="AH939" s="28"/>
      <c r="AI939" s="28" t="s">
        <v>3988</v>
      </c>
      <c r="AJ939" s="28"/>
      <c r="AK939" s="28"/>
      <c r="AL939" s="28"/>
      <c r="AM939" s="5" t="s">
        <v>459</v>
      </c>
      <c r="AO939" s="28" t="s">
        <v>4781</v>
      </c>
      <c r="AP939" s="28"/>
      <c r="AQ939" s="5" t="s">
        <v>77</v>
      </c>
      <c r="AR939" s="28" t="s">
        <v>333</v>
      </c>
      <c r="AS939" s="5" t="s">
        <v>73</v>
      </c>
      <c r="AT939" s="5" t="s">
        <v>71</v>
      </c>
      <c r="AU939" s="10" t="s">
        <v>120</v>
      </c>
      <c r="AW939" s="25" t="s">
        <v>94</v>
      </c>
      <c r="AX939" s="28" t="s">
        <v>296</v>
      </c>
      <c r="AY939" s="28" t="s">
        <v>447</v>
      </c>
      <c r="AZ939" s="5" t="s">
        <v>121</v>
      </c>
      <c r="BF939" s="28" t="s">
        <v>4777</v>
      </c>
      <c r="BH939" s="28"/>
      <c r="BI939" s="28"/>
      <c r="BJ939" s="38" t="n">
        <v>2022</v>
      </c>
      <c r="BK939" s="28"/>
    </row>
    <row r="940" customFormat="false" ht="16.5" hidden="false" customHeight="true" outlineLevel="0" collapsed="false">
      <c r="A940" s="28" t="s">
        <v>4782</v>
      </c>
      <c r="B940" s="28" t="s">
        <v>4783</v>
      </c>
      <c r="C940" s="28" t="s">
        <v>4782</v>
      </c>
      <c r="D940" s="5" t="s">
        <v>3372</v>
      </c>
      <c r="E940" s="38" t="n">
        <v>230616</v>
      </c>
      <c r="F940" s="38" t="n">
        <v>230616</v>
      </c>
      <c r="G940" s="28" t="s">
        <v>732</v>
      </c>
      <c r="H940" s="38" t="n">
        <v>260104</v>
      </c>
      <c r="I940" s="28"/>
      <c r="J940" s="7" t="n">
        <f aca="false">E940*1.07</f>
        <v>246759.12</v>
      </c>
      <c r="K940" s="7" t="n">
        <f aca="false">F940*1.07</f>
        <v>246759.12</v>
      </c>
      <c r="L940" s="5" t="s">
        <v>84</v>
      </c>
      <c r="M940" s="5"/>
      <c r="N940" s="10" t="s">
        <v>4784</v>
      </c>
      <c r="O940" s="28" t="s">
        <v>4785</v>
      </c>
      <c r="P940" s="28"/>
      <c r="Q940" s="28"/>
      <c r="R940" s="28"/>
      <c r="S940" s="28"/>
      <c r="T940" s="28" t="s">
        <v>4786</v>
      </c>
      <c r="V940" s="28" t="s">
        <v>3391</v>
      </c>
      <c r="W940" s="5"/>
      <c r="X940" s="5"/>
      <c r="Z940" s="28" t="s">
        <v>2863</v>
      </c>
      <c r="AA940" s="28"/>
      <c r="AB940" s="28"/>
      <c r="AC940" s="28"/>
      <c r="AD940" s="28"/>
      <c r="AE940" s="28"/>
      <c r="AF940" s="28"/>
      <c r="AG940" s="28"/>
      <c r="AH940" s="28"/>
      <c r="AI940" s="28" t="s">
        <v>4506</v>
      </c>
      <c r="AJ940" s="28"/>
      <c r="AK940" s="28"/>
      <c r="AL940" s="28"/>
      <c r="AM940" s="5" t="s">
        <v>2709</v>
      </c>
      <c r="AO940" s="28" t="s">
        <v>4301</v>
      </c>
      <c r="AP940" s="28"/>
      <c r="AQ940" s="5" t="s">
        <v>77</v>
      </c>
      <c r="AR940" s="28" t="s">
        <v>737</v>
      </c>
      <c r="AS940" s="5" t="s">
        <v>73</v>
      </c>
      <c r="AT940" s="5" t="s">
        <v>374</v>
      </c>
      <c r="AU940" s="28"/>
      <c r="AV940" s="28"/>
      <c r="AW940" s="5" t="s">
        <v>94</v>
      </c>
      <c r="AX940" s="28" t="s">
        <v>375</v>
      </c>
      <c r="AY940" s="28"/>
      <c r="AZ940" s="5" t="s">
        <v>857</v>
      </c>
      <c r="BF940" s="28" t="s">
        <v>4783</v>
      </c>
      <c r="BH940" s="28"/>
      <c r="BI940" s="28"/>
      <c r="BJ940" s="38" t="n">
        <v>2023</v>
      </c>
      <c r="BK940" s="38" t="n">
        <v>2024</v>
      </c>
    </row>
    <row r="941" customFormat="false" ht="16.5" hidden="false" customHeight="true" outlineLevel="0" collapsed="false">
      <c r="A941" s="28" t="s">
        <v>4787</v>
      </c>
      <c r="B941" s="28" t="s">
        <v>4788</v>
      </c>
      <c r="C941" s="28" t="s">
        <v>4787</v>
      </c>
      <c r="D941" s="5" t="s">
        <v>3372</v>
      </c>
      <c r="E941" s="38" t="n">
        <v>8743820</v>
      </c>
      <c r="F941" s="38" t="n">
        <v>8743820</v>
      </c>
      <c r="G941" s="28" t="s">
        <v>885</v>
      </c>
      <c r="H941" s="38" t="n">
        <v>371890</v>
      </c>
      <c r="I941" s="28"/>
      <c r="J941" s="7" t="n">
        <f aca="false">E941*0.04</f>
        <v>349752.8</v>
      </c>
      <c r="K941" s="7" t="n">
        <f aca="false">F941*0.04</f>
        <v>349752.8</v>
      </c>
      <c r="L941" s="5" t="s">
        <v>84</v>
      </c>
      <c r="M941" s="5"/>
      <c r="N941" s="10" t="s">
        <v>4789</v>
      </c>
      <c r="O941" s="28" t="s">
        <v>4790</v>
      </c>
      <c r="P941" s="28"/>
      <c r="Q941" s="28"/>
      <c r="R941" s="28"/>
      <c r="S941" s="28"/>
      <c r="T941" s="28" t="s">
        <v>4791</v>
      </c>
      <c r="V941" s="28" t="s">
        <v>4792</v>
      </c>
      <c r="W941" s="5"/>
      <c r="X941" s="5" t="s">
        <v>888</v>
      </c>
      <c r="Z941" s="28" t="s">
        <v>4793</v>
      </c>
      <c r="AA941" s="28"/>
      <c r="AB941" s="28"/>
      <c r="AC941" s="28"/>
      <c r="AD941" s="28"/>
      <c r="AE941" s="28"/>
      <c r="AF941" s="28"/>
      <c r="AG941" s="28"/>
      <c r="AH941" s="28"/>
      <c r="AI941" s="28" t="s">
        <v>4794</v>
      </c>
      <c r="AJ941" s="28"/>
      <c r="AK941" s="28"/>
      <c r="AL941" s="28"/>
      <c r="AM941" s="28" t="s">
        <v>4795</v>
      </c>
      <c r="AO941" s="28"/>
      <c r="AP941" s="28"/>
      <c r="AQ941" s="5" t="s">
        <v>77</v>
      </c>
      <c r="AR941" s="28" t="s">
        <v>890</v>
      </c>
      <c r="AS941" s="5" t="s">
        <v>73</v>
      </c>
      <c r="AT941" s="5" t="s">
        <v>374</v>
      </c>
      <c r="AU941" s="28"/>
      <c r="AV941" s="28"/>
      <c r="AW941" s="5" t="s">
        <v>94</v>
      </c>
      <c r="AX941" s="28" t="s">
        <v>375</v>
      </c>
      <c r="AY941" s="28"/>
      <c r="AZ941" s="5" t="s">
        <v>534</v>
      </c>
      <c r="BF941" s="28" t="s">
        <v>4796</v>
      </c>
      <c r="BH941" s="28"/>
      <c r="BI941" s="28"/>
      <c r="BJ941" s="38" t="n">
        <v>2024</v>
      </c>
      <c r="BK941" s="38" t="n">
        <v>2026</v>
      </c>
    </row>
    <row r="942" customFormat="false" ht="16.5" hidden="false" customHeight="true" outlineLevel="0" collapsed="false">
      <c r="A942" s="28" t="s">
        <v>4797</v>
      </c>
      <c r="B942" s="28"/>
      <c r="C942" s="28" t="s">
        <v>4797</v>
      </c>
      <c r="D942" s="5" t="s">
        <v>3372</v>
      </c>
      <c r="E942" s="28" t="n">
        <f aca="false">31000*4</f>
        <v>124000</v>
      </c>
      <c r="F942" s="28" t="n">
        <f aca="false">31000*4</f>
        <v>124000</v>
      </c>
      <c r="G942" s="28" t="s">
        <v>147</v>
      </c>
      <c r="J942" s="40" t="n">
        <f aca="false">31000*4</f>
        <v>124000</v>
      </c>
      <c r="K942" s="40" t="n">
        <f aca="false">31000*4</f>
        <v>124000</v>
      </c>
      <c r="L942" s="5" t="s">
        <v>84</v>
      </c>
      <c r="M942" s="5"/>
      <c r="N942" s="8" t="s">
        <v>4798</v>
      </c>
      <c r="O942" s="28" t="s">
        <v>4799</v>
      </c>
      <c r="P942" s="28"/>
      <c r="Q942" s="28"/>
      <c r="R942" s="28"/>
      <c r="S942" s="28"/>
      <c r="T942" s="28" t="s">
        <v>4800</v>
      </c>
      <c r="V942" s="28" t="s">
        <v>361</v>
      </c>
      <c r="W942" s="5"/>
      <c r="X942" s="5"/>
      <c r="Z942" s="28" t="s">
        <v>4801</v>
      </c>
      <c r="AA942" s="28"/>
      <c r="AB942" s="28"/>
      <c r="AC942" s="28"/>
      <c r="AD942" s="28"/>
      <c r="AE942" s="28"/>
      <c r="AF942" s="28"/>
      <c r="AG942" s="28"/>
      <c r="AH942" s="28"/>
      <c r="AI942" s="28" t="s">
        <v>3469</v>
      </c>
      <c r="AJ942" s="28"/>
      <c r="AK942" s="28"/>
      <c r="AL942" s="28"/>
      <c r="AM942" s="28" t="s">
        <v>4802</v>
      </c>
      <c r="AO942" s="28" t="s">
        <v>4803</v>
      </c>
      <c r="AP942" s="28"/>
      <c r="AQ942" s="5" t="s">
        <v>77</v>
      </c>
      <c r="AR942" s="28" t="s">
        <v>352</v>
      </c>
      <c r="AS942" s="5" t="s">
        <v>73</v>
      </c>
      <c r="AT942" s="5" t="s">
        <v>78</v>
      </c>
      <c r="AU942" s="28" t="s">
        <v>259</v>
      </c>
      <c r="AV942" s="28"/>
      <c r="AW942" s="5" t="s">
        <v>94</v>
      </c>
      <c r="AX942" s="28" t="s">
        <v>296</v>
      </c>
      <c r="AY942" s="5" t="s">
        <v>501</v>
      </c>
      <c r="AZ942" s="5" t="s">
        <v>188</v>
      </c>
      <c r="BF942" s="28"/>
      <c r="BH942" s="28"/>
      <c r="BI942" s="28"/>
      <c r="BJ942" s="38" t="n">
        <v>2023</v>
      </c>
      <c r="BK942" s="28"/>
    </row>
    <row r="943" customFormat="false" ht="16.5" hidden="false" customHeight="true" outlineLevel="0" collapsed="false">
      <c r="A943" s="28" t="s">
        <v>4804</v>
      </c>
      <c r="B943" s="28" t="s">
        <v>4805</v>
      </c>
      <c r="C943" s="28" t="s">
        <v>4804</v>
      </c>
      <c r="D943" s="5" t="s">
        <v>3372</v>
      </c>
      <c r="E943" s="38" t="n">
        <v>230774</v>
      </c>
      <c r="F943" s="38" t="n">
        <v>230774</v>
      </c>
      <c r="G943" s="28" t="s">
        <v>147</v>
      </c>
      <c r="H943" s="38" t="n">
        <v>247694</v>
      </c>
      <c r="I943" s="28"/>
      <c r="J943" s="41" t="n">
        <v>230774</v>
      </c>
      <c r="K943" s="41" t="n">
        <v>230774</v>
      </c>
      <c r="L943" s="5" t="s">
        <v>84</v>
      </c>
      <c r="M943" s="5"/>
      <c r="N943" s="10" t="s">
        <v>4806</v>
      </c>
      <c r="O943" s="28" t="s">
        <v>4807</v>
      </c>
      <c r="P943" s="28"/>
      <c r="Q943" s="28"/>
      <c r="R943" s="28"/>
      <c r="S943" s="28"/>
      <c r="T943" s="28"/>
      <c r="V943" s="28" t="s">
        <v>4808</v>
      </c>
      <c r="W943" s="5"/>
      <c r="X943" s="5" t="s">
        <v>72</v>
      </c>
      <c r="Z943" s="28" t="s">
        <v>4809</v>
      </c>
      <c r="AA943" s="28"/>
      <c r="AB943" s="28"/>
      <c r="AC943" s="28"/>
      <c r="AD943" s="28"/>
      <c r="AE943" s="28"/>
      <c r="AF943" s="28"/>
      <c r="AG943" s="28"/>
      <c r="AH943" s="28"/>
      <c r="AI943" s="28" t="s">
        <v>4810</v>
      </c>
      <c r="AJ943" s="28"/>
      <c r="AK943" s="28"/>
      <c r="AL943" s="28"/>
      <c r="AM943" s="28" t="s">
        <v>182</v>
      </c>
      <c r="AN943" s="5" t="s">
        <v>508</v>
      </c>
      <c r="AO943" s="28"/>
      <c r="AP943" s="28"/>
      <c r="AQ943" s="5" t="s">
        <v>77</v>
      </c>
      <c r="AR943" s="28" t="s">
        <v>185</v>
      </c>
      <c r="AS943" s="5" t="s">
        <v>73</v>
      </c>
      <c r="AT943" s="5" t="s">
        <v>78</v>
      </c>
      <c r="AU943" s="28"/>
      <c r="AV943" s="28"/>
      <c r="AW943" s="5" t="s">
        <v>201</v>
      </c>
      <c r="AX943" s="28" t="s">
        <v>296</v>
      </c>
      <c r="AY943" s="28" t="s">
        <v>447</v>
      </c>
      <c r="AZ943" s="5" t="s">
        <v>188</v>
      </c>
      <c r="BF943" s="28" t="s">
        <v>4805</v>
      </c>
      <c r="BH943" s="28"/>
      <c r="BI943" s="28"/>
      <c r="BJ943" s="38" t="n">
        <v>2023</v>
      </c>
      <c r="BK943" s="38" t="n">
        <v>2025</v>
      </c>
    </row>
    <row r="944" customFormat="false" ht="16.5" hidden="false" customHeight="true" outlineLevel="0" collapsed="false">
      <c r="A944" s="28" t="s">
        <v>4811</v>
      </c>
      <c r="B944" s="28" t="s">
        <v>4812</v>
      </c>
      <c r="C944" s="28" t="s">
        <v>4811</v>
      </c>
      <c r="D944" s="5" t="s">
        <v>3372</v>
      </c>
      <c r="E944" s="38" t="n">
        <v>0</v>
      </c>
      <c r="F944" s="28"/>
      <c r="G944" s="28"/>
      <c r="H944" s="38" t="n">
        <v>0</v>
      </c>
      <c r="I944" s="28"/>
      <c r="J944" s="40"/>
      <c r="K944" s="40"/>
      <c r="L944" s="5" t="s">
        <v>84</v>
      </c>
      <c r="M944" s="5"/>
      <c r="N944" s="10" t="s">
        <v>4813</v>
      </c>
      <c r="O944" s="28" t="s">
        <v>4814</v>
      </c>
      <c r="P944" s="28"/>
      <c r="Q944" s="28"/>
      <c r="R944" s="28"/>
      <c r="S944" s="28"/>
      <c r="T944" s="28" t="s">
        <v>4815</v>
      </c>
      <c r="V944" s="28" t="s">
        <v>4816</v>
      </c>
      <c r="W944" s="5"/>
      <c r="X944" s="5"/>
      <c r="Z944" s="28" t="s">
        <v>4817</v>
      </c>
      <c r="AA944" s="28"/>
      <c r="AB944" s="28"/>
      <c r="AC944" s="28"/>
      <c r="AD944" s="28"/>
      <c r="AE944" s="28"/>
      <c r="AF944" s="28"/>
      <c r="AG944" s="28"/>
      <c r="AH944" s="28"/>
      <c r="AI944" s="28" t="s">
        <v>3746</v>
      </c>
      <c r="AJ944" s="28"/>
      <c r="AK944" s="28"/>
      <c r="AL944" s="28"/>
      <c r="AM944" s="28" t="s">
        <v>2352</v>
      </c>
      <c r="AO944" s="28"/>
      <c r="AP944" s="28"/>
      <c r="AQ944" s="5" t="s">
        <v>77</v>
      </c>
      <c r="AR944" s="28" t="s">
        <v>2221</v>
      </c>
      <c r="AS944" s="5" t="s">
        <v>73</v>
      </c>
      <c r="AT944" s="5" t="s">
        <v>78</v>
      </c>
      <c r="AU944" s="28"/>
      <c r="AV944" s="28"/>
      <c r="AW944" s="5" t="s">
        <v>94</v>
      </c>
      <c r="AX944" s="28" t="s">
        <v>296</v>
      </c>
      <c r="AY944" s="28" t="s">
        <v>447</v>
      </c>
      <c r="AZ944" s="5" t="s">
        <v>188</v>
      </c>
      <c r="BF944" s="28" t="s">
        <v>4812</v>
      </c>
      <c r="BH944" s="28"/>
      <c r="BI944" s="28"/>
      <c r="BJ944" s="38" t="n">
        <v>2025</v>
      </c>
      <c r="BK944" s="38" t="n">
        <v>2026</v>
      </c>
    </row>
    <row r="945" customFormat="false" ht="16.5" hidden="false" customHeight="true" outlineLevel="0" collapsed="false">
      <c r="A945" s="28" t="s">
        <v>4818</v>
      </c>
      <c r="B945" s="28" t="s">
        <v>4819</v>
      </c>
      <c r="C945" s="28" t="s">
        <v>4820</v>
      </c>
      <c r="D945" s="5" t="s">
        <v>3372</v>
      </c>
      <c r="E945" s="38" t="n">
        <v>521914</v>
      </c>
      <c r="F945" s="38" t="n">
        <v>521914</v>
      </c>
      <c r="G945" s="28" t="s">
        <v>147</v>
      </c>
      <c r="H945" s="38" t="n">
        <v>556066</v>
      </c>
      <c r="I945" s="28"/>
      <c r="J945" s="41" t="n">
        <v>521914</v>
      </c>
      <c r="K945" s="41" t="n">
        <v>521914</v>
      </c>
      <c r="L945" s="5" t="s">
        <v>84</v>
      </c>
      <c r="M945" s="5"/>
      <c r="N945" s="10" t="s">
        <v>4821</v>
      </c>
      <c r="O945" s="28" t="s">
        <v>4822</v>
      </c>
      <c r="P945" s="28"/>
      <c r="Q945" s="28"/>
      <c r="R945" s="28"/>
      <c r="S945" s="28"/>
      <c r="T945" s="28"/>
      <c r="V945" s="28" t="s">
        <v>923</v>
      </c>
      <c r="W945" s="5"/>
      <c r="X945" s="5"/>
      <c r="Z945" s="28" t="s">
        <v>4288</v>
      </c>
      <c r="AA945" s="28"/>
      <c r="AB945" s="28"/>
      <c r="AC945" s="28"/>
      <c r="AD945" s="28"/>
      <c r="AE945" s="28"/>
      <c r="AF945" s="28"/>
      <c r="AG945" s="28"/>
      <c r="AH945" s="28"/>
      <c r="AI945" s="28" t="s">
        <v>4401</v>
      </c>
      <c r="AJ945" s="28"/>
      <c r="AK945" s="28"/>
      <c r="AL945" s="28"/>
      <c r="AM945" s="5" t="s">
        <v>924</v>
      </c>
      <c r="AO945" s="28" t="s">
        <v>4289</v>
      </c>
      <c r="AP945" s="28"/>
      <c r="AQ945" s="5" t="s">
        <v>77</v>
      </c>
      <c r="AR945" s="28" t="s">
        <v>151</v>
      </c>
      <c r="AS945" s="5" t="s">
        <v>73</v>
      </c>
      <c r="AT945" s="5" t="s">
        <v>78</v>
      </c>
      <c r="AU945" s="28"/>
      <c r="AV945" s="28"/>
      <c r="AW945" s="5" t="s">
        <v>94</v>
      </c>
      <c r="AX945" s="28" t="s">
        <v>296</v>
      </c>
      <c r="AY945" s="28" t="s">
        <v>447</v>
      </c>
      <c r="AZ945" s="5" t="s">
        <v>188</v>
      </c>
      <c r="BF945" s="28"/>
      <c r="BH945" s="28"/>
      <c r="BI945" s="28"/>
      <c r="BJ945" s="38" t="n">
        <v>2024</v>
      </c>
      <c r="BK945" s="38" t="n">
        <v>2026</v>
      </c>
    </row>
    <row r="946" customFormat="false" ht="16.5" hidden="false" customHeight="true" outlineLevel="0" collapsed="false">
      <c r="A946" s="28" t="s">
        <v>4823</v>
      </c>
      <c r="B946" s="28" t="s">
        <v>4824</v>
      </c>
      <c r="C946" s="28" t="s">
        <v>4823</v>
      </c>
      <c r="D946" s="5" t="s">
        <v>3372</v>
      </c>
      <c r="E946" s="38" t="n">
        <v>6030881</v>
      </c>
      <c r="F946" s="38" t="n">
        <v>6030881</v>
      </c>
      <c r="G946" s="28" t="s">
        <v>885</v>
      </c>
      <c r="H946" s="38" t="n">
        <v>257315</v>
      </c>
      <c r="I946" s="28"/>
      <c r="J946" s="7" t="n">
        <f aca="false">E946*0.04</f>
        <v>241235.24</v>
      </c>
      <c r="K946" s="7" t="n">
        <f aca="false">F946*0.04</f>
        <v>241235.24</v>
      </c>
      <c r="L946" s="5" t="s">
        <v>84</v>
      </c>
      <c r="M946" s="5"/>
      <c r="N946" s="10" t="s">
        <v>4825</v>
      </c>
      <c r="O946" s="28" t="s">
        <v>4826</v>
      </c>
      <c r="P946" s="28"/>
      <c r="Q946" s="28"/>
      <c r="R946" s="28"/>
      <c r="S946" s="28"/>
      <c r="T946" s="28" t="s">
        <v>4827</v>
      </c>
      <c r="V946" s="28"/>
      <c r="W946" s="5"/>
      <c r="X946" s="5"/>
      <c r="Z946" s="28"/>
      <c r="AA946" s="28"/>
      <c r="AB946" s="28"/>
      <c r="AC946" s="28"/>
      <c r="AD946" s="28"/>
      <c r="AE946" s="28"/>
      <c r="AF946" s="28"/>
      <c r="AG946" s="28"/>
      <c r="AH946" s="28"/>
      <c r="AI946" s="28" t="s">
        <v>3441</v>
      </c>
      <c r="AJ946" s="28"/>
      <c r="AK946" s="28"/>
      <c r="AL946" s="28"/>
      <c r="AM946" s="28" t="s">
        <v>4795</v>
      </c>
      <c r="AO946" s="28"/>
      <c r="AP946" s="28"/>
      <c r="AQ946" s="5" t="s">
        <v>77</v>
      </c>
      <c r="AR946" s="10" t="s">
        <v>890</v>
      </c>
      <c r="AS946" s="5" t="s">
        <v>73</v>
      </c>
      <c r="AT946" s="5" t="s">
        <v>78</v>
      </c>
      <c r="AU946" s="28" t="s">
        <v>259</v>
      </c>
      <c r="AV946" s="28"/>
      <c r="AW946" s="5" t="s">
        <v>94</v>
      </c>
      <c r="AX946" s="28" t="s">
        <v>296</v>
      </c>
      <c r="AY946" s="28" t="s">
        <v>447</v>
      </c>
      <c r="AZ946" s="5" t="s">
        <v>188</v>
      </c>
      <c r="BF946" s="28" t="s">
        <v>4828</v>
      </c>
      <c r="BH946" s="28"/>
      <c r="BI946" s="28"/>
      <c r="BJ946" s="38" t="n">
        <v>2024</v>
      </c>
      <c r="BK946" s="38" t="n">
        <v>2025</v>
      </c>
    </row>
    <row r="947" customFormat="false" ht="16.5" hidden="false" customHeight="true" outlineLevel="0" collapsed="false">
      <c r="A947" s="28" t="s">
        <v>4829</v>
      </c>
      <c r="B947" s="28" t="s">
        <v>4830</v>
      </c>
      <c r="C947" s="28" t="s">
        <v>4829</v>
      </c>
      <c r="D947" s="5" t="s">
        <v>3372</v>
      </c>
      <c r="E947" s="38" t="n">
        <v>300000</v>
      </c>
      <c r="F947" s="38" t="n">
        <v>300000</v>
      </c>
      <c r="G947" s="28" t="s">
        <v>212</v>
      </c>
      <c r="H947" s="38" t="n">
        <v>34346</v>
      </c>
      <c r="I947" s="28"/>
      <c r="J947" s="7" t="n">
        <f aca="false">E947*0.091</f>
        <v>27300</v>
      </c>
      <c r="K947" s="7" t="n">
        <f aca="false">F947*0.091</f>
        <v>27300</v>
      </c>
      <c r="L947" s="5" t="s">
        <v>84</v>
      </c>
      <c r="M947" s="5"/>
      <c r="N947" s="10" t="s">
        <v>4831</v>
      </c>
      <c r="O947" s="28" t="s">
        <v>4832</v>
      </c>
      <c r="P947" s="28"/>
      <c r="Q947" s="28"/>
      <c r="R947" s="28"/>
      <c r="S947" s="28"/>
      <c r="T947" s="28" t="s">
        <v>4833</v>
      </c>
      <c r="V947" s="28"/>
      <c r="W947" s="5"/>
      <c r="X947" s="5"/>
      <c r="Z947" s="28"/>
      <c r="AA947" s="28"/>
      <c r="AB947" s="28"/>
      <c r="AC947" s="28"/>
      <c r="AD947" s="28"/>
      <c r="AE947" s="28"/>
      <c r="AF947" s="28"/>
      <c r="AG947" s="28"/>
      <c r="AH947" s="28"/>
      <c r="AI947" s="28" t="s">
        <v>4834</v>
      </c>
      <c r="AJ947" s="28"/>
      <c r="AK947" s="28"/>
      <c r="AL947" s="28"/>
      <c r="AM947" s="28" t="s">
        <v>2703</v>
      </c>
      <c r="AO947" s="28" t="s">
        <v>4835</v>
      </c>
      <c r="AP947" s="28"/>
      <c r="AQ947" s="5" t="s">
        <v>77</v>
      </c>
      <c r="AR947" s="28" t="s">
        <v>215</v>
      </c>
      <c r="AS947" s="5" t="s">
        <v>73</v>
      </c>
      <c r="AT947" s="5" t="s">
        <v>78</v>
      </c>
      <c r="AU947" s="28"/>
      <c r="AV947" s="28"/>
      <c r="AW947" s="5" t="s">
        <v>94</v>
      </c>
      <c r="AX947" s="28" t="s">
        <v>296</v>
      </c>
      <c r="AY947" s="28" t="s">
        <v>297</v>
      </c>
      <c r="AZ947" s="5" t="s">
        <v>129</v>
      </c>
      <c r="BF947" s="28" t="s">
        <v>4830</v>
      </c>
      <c r="BH947" s="28"/>
      <c r="BI947" s="28"/>
      <c r="BJ947" s="38" t="n">
        <v>2021</v>
      </c>
      <c r="BK947" s="38" t="n">
        <v>2022</v>
      </c>
    </row>
    <row r="948" customFormat="false" ht="16.5" hidden="false" customHeight="true" outlineLevel="0" collapsed="false">
      <c r="A948" s="28" t="s">
        <v>4836</v>
      </c>
      <c r="B948" s="28" t="s">
        <v>4837</v>
      </c>
      <c r="C948" s="28" t="s">
        <v>4838</v>
      </c>
      <c r="D948" s="5" t="s">
        <v>3372</v>
      </c>
      <c r="E948" s="38" t="n">
        <v>284193</v>
      </c>
      <c r="F948" s="38" t="n">
        <v>284193</v>
      </c>
      <c r="G948" s="28" t="s">
        <v>147</v>
      </c>
      <c r="H948" s="38" t="n">
        <v>304061</v>
      </c>
      <c r="I948" s="28"/>
      <c r="J948" s="41" t="n">
        <v>284193</v>
      </c>
      <c r="K948" s="41" t="n">
        <v>284193</v>
      </c>
      <c r="L948" s="5" t="s">
        <v>84</v>
      </c>
      <c r="M948" s="5"/>
      <c r="N948" s="10" t="s">
        <v>4839</v>
      </c>
      <c r="O948" s="28" t="s">
        <v>4840</v>
      </c>
      <c r="P948" s="28"/>
      <c r="Q948" s="28"/>
      <c r="R948" s="28"/>
      <c r="S948" s="28"/>
      <c r="T948" s="28"/>
      <c r="V948" s="28"/>
      <c r="W948" s="5"/>
      <c r="X948" s="5"/>
      <c r="Z948" s="28"/>
      <c r="AA948" s="28"/>
      <c r="AB948" s="28"/>
      <c r="AC948" s="28"/>
      <c r="AD948" s="28"/>
      <c r="AE948" s="28"/>
      <c r="AF948" s="28"/>
      <c r="AG948" s="28"/>
      <c r="AH948" s="28"/>
      <c r="AI948" s="28" t="s">
        <v>4427</v>
      </c>
      <c r="AJ948" s="28"/>
      <c r="AK948" s="28"/>
      <c r="AL948" s="28"/>
      <c r="AM948" s="5" t="s">
        <v>924</v>
      </c>
      <c r="AO948" s="28" t="s">
        <v>4289</v>
      </c>
      <c r="AP948" s="28"/>
      <c r="AQ948" s="5" t="s">
        <v>77</v>
      </c>
      <c r="AR948" s="28" t="s">
        <v>151</v>
      </c>
      <c r="AS948" s="5" t="s">
        <v>73</v>
      </c>
      <c r="AT948" s="5" t="s">
        <v>78</v>
      </c>
      <c r="AU948" s="28"/>
      <c r="AV948" s="28"/>
      <c r="AW948" s="5" t="s">
        <v>94</v>
      </c>
      <c r="AX948" s="28" t="s">
        <v>296</v>
      </c>
      <c r="AY948" s="28" t="s">
        <v>297</v>
      </c>
      <c r="AZ948" s="5" t="s">
        <v>188</v>
      </c>
      <c r="BF948" s="28"/>
      <c r="BH948" s="28"/>
      <c r="BI948" s="28"/>
      <c r="BJ948" s="38" t="n">
        <v>2024</v>
      </c>
      <c r="BK948" s="38" t="n">
        <v>2026</v>
      </c>
    </row>
    <row r="949" customFormat="false" ht="16.5" hidden="false" customHeight="true" outlineLevel="0" collapsed="false">
      <c r="A949" s="28" t="s">
        <v>4841</v>
      </c>
      <c r="B949" s="28" t="s">
        <v>4842</v>
      </c>
      <c r="C949" s="28" t="s">
        <v>4843</v>
      </c>
      <c r="D949" s="5" t="s">
        <v>3372</v>
      </c>
      <c r="E949" s="38" t="n">
        <v>524723</v>
      </c>
      <c r="F949" s="38" t="n">
        <v>524723</v>
      </c>
      <c r="G949" s="28" t="s">
        <v>147</v>
      </c>
      <c r="H949" s="38" t="n">
        <v>560497</v>
      </c>
      <c r="I949" s="28"/>
      <c r="J949" s="41" t="n">
        <v>524723</v>
      </c>
      <c r="K949" s="41" t="n">
        <v>524723</v>
      </c>
      <c r="L949" s="5" t="s">
        <v>84</v>
      </c>
      <c r="M949" s="5"/>
      <c r="N949" s="10" t="s">
        <v>4844</v>
      </c>
      <c r="O949" s="28" t="s">
        <v>4845</v>
      </c>
      <c r="P949" s="28"/>
      <c r="Q949" s="28"/>
      <c r="R949" s="28"/>
      <c r="S949" s="28"/>
      <c r="T949" s="28"/>
      <c r="V949" s="28" t="s">
        <v>923</v>
      </c>
      <c r="W949" s="5"/>
      <c r="X949" s="5"/>
      <c r="Z949" s="28" t="s">
        <v>4288</v>
      </c>
      <c r="AA949" s="28"/>
      <c r="AB949" s="28"/>
      <c r="AC949" s="28"/>
      <c r="AD949" s="28"/>
      <c r="AE949" s="28"/>
      <c r="AF949" s="28"/>
      <c r="AG949" s="28"/>
      <c r="AH949" s="28"/>
      <c r="AI949" s="28" t="s">
        <v>4427</v>
      </c>
      <c r="AJ949" s="28"/>
      <c r="AK949" s="28"/>
      <c r="AL949" s="28"/>
      <c r="AM949" s="5" t="s">
        <v>924</v>
      </c>
      <c r="AO949" s="28" t="s">
        <v>4273</v>
      </c>
      <c r="AP949" s="28"/>
      <c r="AQ949" s="5" t="s">
        <v>77</v>
      </c>
      <c r="AR949" s="28" t="s">
        <v>151</v>
      </c>
      <c r="AS949" s="5" t="s">
        <v>73</v>
      </c>
      <c r="AT949" s="5" t="s">
        <v>78</v>
      </c>
      <c r="AU949" s="28" t="s">
        <v>259</v>
      </c>
      <c r="AV949" s="28"/>
      <c r="AW949" s="5" t="s">
        <v>94</v>
      </c>
      <c r="AX949" s="28" t="s">
        <v>296</v>
      </c>
      <c r="AY949" s="28" t="s">
        <v>297</v>
      </c>
      <c r="AZ949" s="5" t="s">
        <v>188</v>
      </c>
      <c r="BF949" s="28"/>
      <c r="BH949" s="28"/>
      <c r="BI949" s="28"/>
      <c r="BJ949" s="38" t="n">
        <v>2024</v>
      </c>
      <c r="BK949" s="38" t="n">
        <v>2026</v>
      </c>
    </row>
    <row r="950" customFormat="false" ht="16.5" hidden="false" customHeight="true" outlineLevel="0" collapsed="false">
      <c r="A950" s="28" t="s">
        <v>4846</v>
      </c>
      <c r="B950" s="28" t="s">
        <v>4847</v>
      </c>
      <c r="C950" s="28" t="s">
        <v>4848</v>
      </c>
      <c r="D950" s="5" t="s">
        <v>3372</v>
      </c>
      <c r="E950" s="38" t="n">
        <v>75748</v>
      </c>
      <c r="F950" s="38" t="n">
        <v>75748</v>
      </c>
      <c r="G950" s="28" t="s">
        <v>147</v>
      </c>
      <c r="H950" s="38" t="n">
        <v>81628</v>
      </c>
      <c r="I950" s="28"/>
      <c r="J950" s="41" t="n">
        <v>75748</v>
      </c>
      <c r="K950" s="41" t="n">
        <v>75748</v>
      </c>
      <c r="L950" s="5" t="s">
        <v>84</v>
      </c>
      <c r="M950" s="5"/>
      <c r="N950" s="10" t="s">
        <v>4849</v>
      </c>
      <c r="O950" s="28" t="s">
        <v>4850</v>
      </c>
      <c r="P950" s="28"/>
      <c r="Q950" s="28"/>
      <c r="R950" s="28"/>
      <c r="S950" s="28"/>
      <c r="T950" s="28"/>
      <c r="V950" s="28"/>
      <c r="W950" s="5"/>
      <c r="X950" s="5"/>
      <c r="Z950" s="28"/>
      <c r="AA950" s="28"/>
      <c r="AB950" s="28"/>
      <c r="AC950" s="28"/>
      <c r="AD950" s="28"/>
      <c r="AE950" s="28"/>
      <c r="AF950" s="28"/>
      <c r="AG950" s="28"/>
      <c r="AH950" s="28"/>
      <c r="AI950" s="28" t="s">
        <v>3498</v>
      </c>
      <c r="AJ950" s="28"/>
      <c r="AK950" s="28"/>
      <c r="AL950" s="28"/>
      <c r="AM950" s="5" t="s">
        <v>821</v>
      </c>
      <c r="AO950" s="28" t="s">
        <v>4289</v>
      </c>
      <c r="AP950" s="28"/>
      <c r="AQ950" s="5" t="s">
        <v>77</v>
      </c>
      <c r="AR950" s="28" t="s">
        <v>151</v>
      </c>
      <c r="AS950" s="5" t="s">
        <v>73</v>
      </c>
      <c r="AT950" s="5" t="s">
        <v>78</v>
      </c>
      <c r="AU950" s="28"/>
      <c r="AV950" s="28"/>
      <c r="AW950" s="5" t="s">
        <v>94</v>
      </c>
      <c r="AX950" s="28" t="s">
        <v>296</v>
      </c>
      <c r="AY950" s="28" t="s">
        <v>297</v>
      </c>
      <c r="AZ950" s="5" t="s">
        <v>188</v>
      </c>
      <c r="BF950" s="28"/>
      <c r="BH950" s="28"/>
      <c r="BI950" s="28"/>
      <c r="BJ950" s="38" t="n">
        <v>2022</v>
      </c>
      <c r="BK950" s="38" t="n">
        <v>2025</v>
      </c>
    </row>
    <row r="951" customFormat="false" ht="16.5" hidden="false" customHeight="true" outlineLevel="0" collapsed="false">
      <c r="A951" s="28" t="s">
        <v>4851</v>
      </c>
      <c r="B951" s="28" t="s">
        <v>4852</v>
      </c>
      <c r="C951" s="28" t="s">
        <v>4853</v>
      </c>
      <c r="D951" s="5" t="s">
        <v>3372</v>
      </c>
      <c r="E951" s="38" t="n">
        <v>818022</v>
      </c>
      <c r="F951" s="38" t="n">
        <v>818022</v>
      </c>
      <c r="G951" s="28" t="s">
        <v>147</v>
      </c>
      <c r="H951" s="38" t="n">
        <v>877093</v>
      </c>
      <c r="I951" s="28"/>
      <c r="J951" s="41" t="n">
        <v>818022</v>
      </c>
      <c r="K951" s="41" t="n">
        <v>818022</v>
      </c>
      <c r="L951" s="5" t="s">
        <v>84</v>
      </c>
      <c r="M951" s="5"/>
      <c r="N951" s="10" t="s">
        <v>4854</v>
      </c>
      <c r="O951" s="28" t="s">
        <v>4855</v>
      </c>
      <c r="S951" s="28"/>
      <c r="T951" s="28"/>
      <c r="V951" s="28" t="s">
        <v>4856</v>
      </c>
      <c r="W951" s="5"/>
      <c r="X951" s="5"/>
      <c r="Z951" s="28" t="s">
        <v>4857</v>
      </c>
      <c r="AA951" s="28"/>
      <c r="AB951" s="28"/>
      <c r="AC951" s="28"/>
      <c r="AD951" s="28"/>
      <c r="AE951" s="28"/>
      <c r="AF951" s="28"/>
      <c r="AG951" s="28"/>
      <c r="AH951" s="28"/>
      <c r="AI951" s="28" t="s">
        <v>4330</v>
      </c>
      <c r="AJ951" s="28"/>
      <c r="AK951" s="28"/>
      <c r="AL951" s="28"/>
      <c r="AM951" s="5" t="s">
        <v>821</v>
      </c>
      <c r="AO951" s="28" t="s">
        <v>4273</v>
      </c>
      <c r="AP951" s="28"/>
      <c r="AQ951" s="5" t="s">
        <v>77</v>
      </c>
      <c r="AR951" s="28" t="s">
        <v>151</v>
      </c>
      <c r="AS951" s="5" t="s">
        <v>73</v>
      </c>
      <c r="AT951" s="5" t="s">
        <v>78</v>
      </c>
      <c r="AU951" s="28"/>
      <c r="AV951" s="28"/>
      <c r="AW951" s="5" t="s">
        <v>94</v>
      </c>
      <c r="AX951" s="28" t="s">
        <v>296</v>
      </c>
      <c r="AY951" s="28" t="s">
        <v>447</v>
      </c>
      <c r="AZ951" s="5" t="s">
        <v>129</v>
      </c>
      <c r="BF951" s="28"/>
      <c r="BH951" s="28"/>
      <c r="BI951" s="28"/>
      <c r="BJ951" s="38" t="n">
        <v>2023</v>
      </c>
      <c r="BK951" s="38" t="n">
        <v>2026</v>
      </c>
    </row>
    <row r="952" customFormat="false" ht="16.5" hidden="false" customHeight="true" outlineLevel="0" collapsed="false">
      <c r="A952" s="28" t="s">
        <v>4858</v>
      </c>
      <c r="B952" s="28" t="s">
        <v>4859</v>
      </c>
      <c r="C952" s="28" t="s">
        <v>4860</v>
      </c>
      <c r="D952" s="5" t="s">
        <v>3372</v>
      </c>
      <c r="E952" s="38" t="n">
        <v>186679</v>
      </c>
      <c r="F952" s="38" t="n">
        <v>186679</v>
      </c>
      <c r="G952" s="28" t="s">
        <v>147</v>
      </c>
      <c r="H952" s="38" t="n">
        <v>199824</v>
      </c>
      <c r="I952" s="28"/>
      <c r="J952" s="41" t="n">
        <v>186679</v>
      </c>
      <c r="K952" s="41" t="n">
        <v>186679</v>
      </c>
      <c r="L952" s="5" t="s">
        <v>84</v>
      </c>
      <c r="M952" s="5"/>
      <c r="N952" s="10" t="s">
        <v>4861</v>
      </c>
      <c r="O952" s="28" t="s">
        <v>4862</v>
      </c>
      <c r="P952" s="28"/>
      <c r="Q952" s="28"/>
      <c r="R952" s="28"/>
      <c r="S952" s="28"/>
      <c r="T952" s="28"/>
      <c r="V952" s="28" t="s">
        <v>1287</v>
      </c>
      <c r="W952" s="5"/>
      <c r="X952" s="5" t="s">
        <v>151</v>
      </c>
      <c r="Y952" s="5" t="s">
        <v>73</v>
      </c>
      <c r="Z952" s="28" t="s">
        <v>4278</v>
      </c>
      <c r="AA952" s="28"/>
      <c r="AB952" s="28"/>
      <c r="AC952" s="28"/>
      <c r="AD952" s="28"/>
      <c r="AE952" s="28"/>
      <c r="AF952" s="28"/>
      <c r="AG952" s="28"/>
      <c r="AH952" s="28"/>
      <c r="AI952" s="28" t="s">
        <v>3935</v>
      </c>
      <c r="AJ952" s="28"/>
      <c r="AK952" s="28"/>
      <c r="AL952" s="28"/>
      <c r="AM952" s="5" t="s">
        <v>821</v>
      </c>
      <c r="AO952" s="28" t="s">
        <v>4289</v>
      </c>
      <c r="AP952" s="28"/>
      <c r="AQ952" s="5" t="s">
        <v>77</v>
      </c>
      <c r="AR952" s="28" t="s">
        <v>151</v>
      </c>
      <c r="AS952" s="5" t="s">
        <v>73</v>
      </c>
      <c r="AT952" s="5" t="s">
        <v>78</v>
      </c>
      <c r="AU952" s="28"/>
      <c r="AV952" s="28"/>
      <c r="AW952" s="5" t="s">
        <v>94</v>
      </c>
      <c r="AX952" s="28" t="s">
        <v>495</v>
      </c>
      <c r="AY952" s="28"/>
      <c r="AZ952" s="5" t="s">
        <v>188</v>
      </c>
      <c r="BF952" s="28"/>
      <c r="BH952" s="28"/>
      <c r="BI952" s="28"/>
      <c r="BJ952" s="38" t="n">
        <v>2023</v>
      </c>
      <c r="BK952" s="38" t="n">
        <v>2026</v>
      </c>
    </row>
    <row r="953" customFormat="false" ht="16.5" hidden="false" customHeight="true" outlineLevel="0" collapsed="false">
      <c r="A953" s="28" t="s">
        <v>4858</v>
      </c>
      <c r="B953" s="28" t="s">
        <v>4859</v>
      </c>
      <c r="C953" s="28" t="s">
        <v>4860</v>
      </c>
      <c r="D953" s="5" t="s">
        <v>3372</v>
      </c>
      <c r="E953" s="38" t="n">
        <v>190386</v>
      </c>
      <c r="F953" s="38" t="n">
        <v>190386</v>
      </c>
      <c r="G953" s="28" t="s">
        <v>147</v>
      </c>
      <c r="H953" s="38" t="n">
        <v>203795</v>
      </c>
      <c r="I953" s="28"/>
      <c r="J953" s="41" t="n">
        <v>190386</v>
      </c>
      <c r="K953" s="41" t="n">
        <v>190386</v>
      </c>
      <c r="L953" s="5" t="s">
        <v>84</v>
      </c>
      <c r="M953" s="5"/>
      <c r="N953" s="10" t="s">
        <v>4863</v>
      </c>
      <c r="O953" s="28" t="s">
        <v>4864</v>
      </c>
      <c r="P953" s="28"/>
      <c r="Q953" s="28"/>
      <c r="R953" s="28"/>
      <c r="S953" s="28"/>
      <c r="T953" s="28"/>
      <c r="V953" s="28" t="s">
        <v>2382</v>
      </c>
      <c r="W953" s="5"/>
      <c r="X953" s="5" t="s">
        <v>151</v>
      </c>
      <c r="Y953" s="5" t="s">
        <v>73</v>
      </c>
      <c r="Z953" s="28" t="s">
        <v>4739</v>
      </c>
      <c r="AA953" s="28"/>
      <c r="AB953" s="28"/>
      <c r="AC953" s="28"/>
      <c r="AD953" s="28"/>
      <c r="AE953" s="28"/>
      <c r="AF953" s="28"/>
      <c r="AG953" s="28"/>
      <c r="AH953" s="28"/>
      <c r="AI953" s="28" t="s">
        <v>3935</v>
      </c>
      <c r="AJ953" s="28"/>
      <c r="AK953" s="28"/>
      <c r="AL953" s="28"/>
      <c r="AM953" s="5" t="s">
        <v>821</v>
      </c>
      <c r="AO953" s="28" t="s">
        <v>4289</v>
      </c>
      <c r="AP953" s="28"/>
      <c r="AQ953" s="5" t="s">
        <v>77</v>
      </c>
      <c r="AR953" s="28" t="s">
        <v>151</v>
      </c>
      <c r="AS953" s="5" t="s">
        <v>73</v>
      </c>
      <c r="AT953" s="5" t="s">
        <v>78</v>
      </c>
      <c r="AU953" s="28"/>
      <c r="AV953" s="28"/>
      <c r="AW953" s="5" t="s">
        <v>94</v>
      </c>
      <c r="AX953" s="28" t="s">
        <v>495</v>
      </c>
      <c r="AY953" s="28"/>
      <c r="AZ953" s="5" t="s">
        <v>188</v>
      </c>
      <c r="BF953" s="28"/>
      <c r="BH953" s="28"/>
      <c r="BI953" s="28"/>
      <c r="BJ953" s="38" t="n">
        <v>2023</v>
      </c>
      <c r="BK953" s="38" t="n">
        <v>2026</v>
      </c>
    </row>
    <row r="954" customFormat="false" ht="16.5" hidden="false" customHeight="true" outlineLevel="0" collapsed="false">
      <c r="A954" s="28" t="s">
        <v>4858</v>
      </c>
      <c r="B954" s="28" t="s">
        <v>4859</v>
      </c>
      <c r="C954" s="28" t="s">
        <v>4860</v>
      </c>
      <c r="D954" s="5" t="s">
        <v>3372</v>
      </c>
      <c r="E954" s="38" t="n">
        <v>389253</v>
      </c>
      <c r="F954" s="38" t="n">
        <v>389253</v>
      </c>
      <c r="G954" s="28" t="s">
        <v>147</v>
      </c>
      <c r="H954" s="38" t="n">
        <v>416679</v>
      </c>
      <c r="I954" s="28"/>
      <c r="J954" s="41" t="n">
        <v>389253</v>
      </c>
      <c r="K954" s="41" t="n">
        <v>389253</v>
      </c>
      <c r="L954" s="5" t="s">
        <v>84</v>
      </c>
      <c r="M954" s="5"/>
      <c r="N954" s="10" t="s">
        <v>4865</v>
      </c>
      <c r="O954" s="28" t="s">
        <v>4866</v>
      </c>
      <c r="P954" s="28"/>
      <c r="Q954" s="28"/>
      <c r="R954" s="28"/>
      <c r="S954" s="28"/>
      <c r="T954" s="28"/>
      <c r="V954" s="42" t="s">
        <v>4867</v>
      </c>
      <c r="W954" s="5"/>
      <c r="X954" s="5" t="s">
        <v>553</v>
      </c>
      <c r="Y954" s="5" t="s">
        <v>73</v>
      </c>
      <c r="Z954" s="28"/>
      <c r="AA954" s="28"/>
      <c r="AB954" s="28"/>
      <c r="AC954" s="28"/>
      <c r="AD954" s="28"/>
      <c r="AE954" s="28"/>
      <c r="AF954" s="28"/>
      <c r="AG954" s="28"/>
      <c r="AH954" s="28"/>
      <c r="AI954" s="28" t="s">
        <v>3935</v>
      </c>
      <c r="AJ954" s="28"/>
      <c r="AK954" s="28"/>
      <c r="AL954" s="28"/>
      <c r="AM954" s="5" t="s">
        <v>821</v>
      </c>
      <c r="AO954" s="28" t="s">
        <v>4289</v>
      </c>
      <c r="AP954" s="28"/>
      <c r="AQ954" s="5" t="s">
        <v>77</v>
      </c>
      <c r="AR954" s="28" t="s">
        <v>151</v>
      </c>
      <c r="AS954" s="5" t="s">
        <v>73</v>
      </c>
      <c r="AT954" s="5" t="s">
        <v>78</v>
      </c>
      <c r="AU954" s="28"/>
      <c r="AV954" s="28"/>
      <c r="AW954" s="5" t="s">
        <v>94</v>
      </c>
      <c r="AX954" s="28" t="s">
        <v>495</v>
      </c>
      <c r="AY954" s="28"/>
      <c r="AZ954" s="5" t="s">
        <v>188</v>
      </c>
      <c r="BF954" s="28"/>
      <c r="BH954" s="28"/>
      <c r="BI954" s="28"/>
      <c r="BJ954" s="38" t="n">
        <v>2023</v>
      </c>
      <c r="BK954" s="38" t="n">
        <v>2026</v>
      </c>
    </row>
    <row r="955" customFormat="false" ht="16.5" hidden="false" customHeight="true" outlineLevel="0" collapsed="false">
      <c r="A955" s="28" t="s">
        <v>4868</v>
      </c>
      <c r="B955" s="28" t="s">
        <v>4869</v>
      </c>
      <c r="C955" s="28" t="s">
        <v>4868</v>
      </c>
      <c r="D955" s="5" t="s">
        <v>3372</v>
      </c>
      <c r="E955" s="38" t="n">
        <v>469558</v>
      </c>
      <c r="F955" s="38" t="n">
        <v>469558</v>
      </c>
      <c r="G955" s="28" t="s">
        <v>732</v>
      </c>
      <c r="H955" s="38" t="n">
        <v>528327</v>
      </c>
      <c r="I955" s="28"/>
      <c r="J955" s="7" t="n">
        <f aca="false">E955*1.07</f>
        <v>502427.06</v>
      </c>
      <c r="K955" s="7" t="n">
        <f aca="false">F955*1.07</f>
        <v>502427.06</v>
      </c>
      <c r="L955" s="5" t="s">
        <v>84</v>
      </c>
      <c r="M955" s="5"/>
      <c r="N955" s="10" t="s">
        <v>4870</v>
      </c>
      <c r="O955" s="28" t="s">
        <v>4871</v>
      </c>
      <c r="P955" s="28"/>
      <c r="Q955" s="28"/>
      <c r="R955" s="28"/>
      <c r="S955" s="28"/>
      <c r="T955" s="28"/>
      <c r="V955" s="28"/>
      <c r="W955" s="5"/>
      <c r="X955" s="5"/>
      <c r="Z955" s="28"/>
      <c r="AA955" s="28"/>
      <c r="AB955" s="28"/>
      <c r="AC955" s="28"/>
      <c r="AD955" s="28"/>
      <c r="AE955" s="28"/>
      <c r="AF955" s="28"/>
      <c r="AG955" s="28"/>
      <c r="AH955" s="28"/>
      <c r="AI955" s="28" t="s">
        <v>4872</v>
      </c>
      <c r="AJ955" s="28"/>
      <c r="AK955" s="28"/>
      <c r="AL955" s="28"/>
      <c r="AM955" s="28" t="s">
        <v>736</v>
      </c>
      <c r="AO955" s="28"/>
      <c r="AP955" s="28"/>
      <c r="AQ955" s="5" t="s">
        <v>77</v>
      </c>
      <c r="AR955" s="28" t="s">
        <v>737</v>
      </c>
      <c r="AS955" s="5" t="s">
        <v>73</v>
      </c>
      <c r="AT955" s="5" t="s">
        <v>78</v>
      </c>
      <c r="AU955" s="28"/>
      <c r="AV955" s="28"/>
      <c r="AW955" s="5" t="s">
        <v>94</v>
      </c>
      <c r="AX955" s="28" t="s">
        <v>1433</v>
      </c>
      <c r="AY955" s="28"/>
      <c r="AZ955" s="5" t="s">
        <v>129</v>
      </c>
      <c r="BF955" s="28" t="s">
        <v>4869</v>
      </c>
      <c r="BH955" s="28"/>
      <c r="BI955" s="28"/>
      <c r="BJ955" s="38" t="n">
        <v>2023</v>
      </c>
      <c r="BK955" s="38" t="n">
        <v>2025</v>
      </c>
    </row>
    <row r="956" customFormat="false" ht="16.5" hidden="false" customHeight="true" outlineLevel="0" collapsed="false">
      <c r="A956" s="28" t="s">
        <v>4873</v>
      </c>
      <c r="B956" s="28" t="s">
        <v>4874</v>
      </c>
      <c r="C956" s="28" t="s">
        <v>4873</v>
      </c>
      <c r="D956" s="5" t="s">
        <v>3372</v>
      </c>
      <c r="E956" s="38" t="n">
        <v>1883160</v>
      </c>
      <c r="F956" s="38" t="n">
        <v>1883160</v>
      </c>
      <c r="G956" s="28" t="s">
        <v>212</v>
      </c>
      <c r="H956" s="38" t="n">
        <v>179470</v>
      </c>
      <c r="I956" s="28"/>
      <c r="J956" s="7" t="n">
        <f aca="false">E956*0.091</f>
        <v>171367.56</v>
      </c>
      <c r="K956" s="7" t="n">
        <f aca="false">F956*0.091</f>
        <v>171367.56</v>
      </c>
      <c r="L956" s="5" t="s">
        <v>84</v>
      </c>
      <c r="M956" s="5"/>
      <c r="N956" s="10" t="s">
        <v>4875</v>
      </c>
      <c r="O956" s="28" t="s">
        <v>4876</v>
      </c>
      <c r="P956" s="28"/>
      <c r="Q956" s="28"/>
      <c r="R956" s="28"/>
      <c r="S956" s="28"/>
      <c r="T956" s="28"/>
      <c r="V956" s="28"/>
      <c r="W956" s="5"/>
      <c r="X956" s="5"/>
      <c r="Z956" s="28"/>
      <c r="AA956" s="28"/>
      <c r="AB956" s="28"/>
      <c r="AC956" s="28"/>
      <c r="AD956" s="28"/>
      <c r="AE956" s="28"/>
      <c r="AF956" s="28"/>
      <c r="AG956" s="28"/>
      <c r="AH956" s="28"/>
      <c r="AI956" s="28" t="s">
        <v>4421</v>
      </c>
      <c r="AJ956" s="28"/>
      <c r="AK956" s="28"/>
      <c r="AL956" s="28"/>
      <c r="AM956" s="28" t="s">
        <v>3936</v>
      </c>
      <c r="AO956" s="28" t="s">
        <v>3937</v>
      </c>
      <c r="AP956" s="28"/>
      <c r="AQ956" s="5" t="s">
        <v>77</v>
      </c>
      <c r="AR956" s="28" t="s">
        <v>215</v>
      </c>
      <c r="AS956" s="5" t="s">
        <v>73</v>
      </c>
      <c r="AT956" s="5" t="s">
        <v>78</v>
      </c>
      <c r="AU956" s="28"/>
      <c r="AV956" s="28"/>
      <c r="AW956" s="5" t="s">
        <v>94</v>
      </c>
      <c r="AX956" s="28" t="s">
        <v>296</v>
      </c>
      <c r="AY956" s="28"/>
      <c r="AZ956" s="5" t="s">
        <v>188</v>
      </c>
      <c r="BF956" s="28" t="s">
        <v>4874</v>
      </c>
      <c r="BH956" s="28"/>
      <c r="BI956" s="28"/>
      <c r="BJ956" s="38" t="n">
        <v>2022</v>
      </c>
      <c r="BK956" s="38" t="n">
        <v>2024</v>
      </c>
    </row>
    <row r="957" customFormat="false" ht="16.5" hidden="false" customHeight="true" outlineLevel="0" collapsed="false">
      <c r="A957" s="28" t="s">
        <v>4877</v>
      </c>
      <c r="B957" s="28" t="s">
        <v>4878</v>
      </c>
      <c r="C957" s="28" t="s">
        <v>4879</v>
      </c>
      <c r="D957" s="5" t="s">
        <v>3372</v>
      </c>
      <c r="E957" s="38" t="n">
        <v>174980</v>
      </c>
      <c r="F957" s="38" t="n">
        <v>174980</v>
      </c>
      <c r="G957" s="28" t="s">
        <v>147</v>
      </c>
      <c r="H957" s="38" t="n">
        <v>187708</v>
      </c>
      <c r="I957" s="28"/>
      <c r="J957" s="41" t="n">
        <v>174980</v>
      </c>
      <c r="K957" s="41" t="n">
        <v>174980</v>
      </c>
      <c r="L957" s="5" t="s">
        <v>84</v>
      </c>
      <c r="M957" s="5"/>
      <c r="N957" s="10" t="s">
        <v>4880</v>
      </c>
      <c r="O957" s="28" t="s">
        <v>4881</v>
      </c>
      <c r="P957" s="28"/>
      <c r="Q957" s="28"/>
      <c r="R957" s="28"/>
      <c r="S957" s="28"/>
      <c r="T957" s="28"/>
      <c r="V957" s="28" t="s">
        <v>4882</v>
      </c>
      <c r="W957" s="5"/>
      <c r="X957" s="5"/>
      <c r="Z957" s="28" t="s">
        <v>4883</v>
      </c>
      <c r="AA957" s="28"/>
      <c r="AB957" s="28"/>
      <c r="AC957" s="28"/>
      <c r="AD957" s="28"/>
      <c r="AE957" s="28"/>
      <c r="AF957" s="28"/>
      <c r="AG957" s="28"/>
      <c r="AH957" s="28"/>
      <c r="AI957" s="28" t="s">
        <v>4427</v>
      </c>
      <c r="AJ957" s="28"/>
      <c r="AK957" s="28"/>
      <c r="AL957" s="28"/>
      <c r="AM957" s="5" t="s">
        <v>1223</v>
      </c>
      <c r="AO957" s="28"/>
      <c r="AP957" s="28"/>
      <c r="AQ957" s="5" t="s">
        <v>77</v>
      </c>
      <c r="AR957" s="28" t="s">
        <v>151</v>
      </c>
      <c r="AS957" s="5" t="s">
        <v>73</v>
      </c>
      <c r="AT957" s="5" t="s">
        <v>78</v>
      </c>
      <c r="AU957" s="28"/>
      <c r="AV957" s="28"/>
      <c r="AW957" s="5" t="s">
        <v>94</v>
      </c>
      <c r="AX957" s="28" t="s">
        <v>296</v>
      </c>
      <c r="AY957" s="28" t="s">
        <v>447</v>
      </c>
      <c r="AZ957" s="5" t="s">
        <v>129</v>
      </c>
      <c r="BF957" s="28" t="s">
        <v>4884</v>
      </c>
      <c r="BH957" s="28"/>
      <c r="BI957" s="28"/>
      <c r="BJ957" s="38" t="n">
        <v>2024</v>
      </c>
      <c r="BK957" s="38" t="n">
        <v>2025</v>
      </c>
    </row>
    <row r="958" customFormat="false" ht="16.5" hidden="false" customHeight="true" outlineLevel="0" collapsed="false">
      <c r="A958" s="28" t="s">
        <v>4885</v>
      </c>
      <c r="B958" s="28" t="s">
        <v>4886</v>
      </c>
      <c r="C958" s="28" t="s">
        <v>4885</v>
      </c>
      <c r="D958" s="5" t="s">
        <v>3372</v>
      </c>
      <c r="E958" s="16" t="n">
        <v>125000</v>
      </c>
      <c r="F958" s="16" t="n">
        <v>100000</v>
      </c>
      <c r="G958" s="28" t="s">
        <v>132</v>
      </c>
      <c r="H958" s="38" t="n">
        <v>0</v>
      </c>
      <c r="I958" s="28"/>
      <c r="J958" s="7" t="n">
        <f aca="false">E958*1.19</f>
        <v>148750</v>
      </c>
      <c r="K958" s="7" t="n">
        <f aca="false">F958*1.19</f>
        <v>119000</v>
      </c>
      <c r="L958" s="5" t="s">
        <v>84</v>
      </c>
      <c r="M958" s="5"/>
      <c r="N958" s="10" t="s">
        <v>4887</v>
      </c>
      <c r="O958" s="28" t="s">
        <v>4888</v>
      </c>
      <c r="P958" s="28"/>
      <c r="Q958" s="28"/>
      <c r="R958" s="28"/>
      <c r="S958" s="28"/>
      <c r="T958" s="28" t="s">
        <v>4889</v>
      </c>
      <c r="V958" s="28" t="s">
        <v>1200</v>
      </c>
      <c r="W958" s="5"/>
      <c r="X958" s="5" t="s">
        <v>139</v>
      </c>
      <c r="Z958" s="28" t="s">
        <v>3923</v>
      </c>
      <c r="AA958" s="28"/>
      <c r="AB958" s="28"/>
      <c r="AC958" s="28"/>
      <c r="AD958" s="28"/>
      <c r="AE958" s="28"/>
      <c r="AF958" s="28"/>
      <c r="AG958" s="28"/>
      <c r="AH958" s="28"/>
      <c r="AI958" s="28" t="s">
        <v>3417</v>
      </c>
      <c r="AJ958" s="28"/>
      <c r="AK958" s="28"/>
      <c r="AL958" s="28"/>
      <c r="AM958" s="5" t="s">
        <v>140</v>
      </c>
      <c r="AN958" s="5" t="s">
        <v>141</v>
      </c>
      <c r="AO958" s="28" t="s">
        <v>1760</v>
      </c>
      <c r="AP958" s="28"/>
      <c r="AQ958" s="5" t="s">
        <v>77</v>
      </c>
      <c r="AR958" s="28" t="s">
        <v>143</v>
      </c>
      <c r="AS958" s="5" t="s">
        <v>73</v>
      </c>
      <c r="AT958" s="5" t="s">
        <v>78</v>
      </c>
      <c r="AU958" s="28"/>
      <c r="AV958" s="28"/>
      <c r="AW958" s="5" t="s">
        <v>201</v>
      </c>
      <c r="AX958" s="28" t="s">
        <v>296</v>
      </c>
      <c r="AY958" s="28" t="s">
        <v>447</v>
      </c>
      <c r="AZ958" s="5" t="s">
        <v>525</v>
      </c>
      <c r="BF958" s="28" t="s">
        <v>4886</v>
      </c>
      <c r="BH958" s="28"/>
      <c r="BI958" s="28"/>
      <c r="BJ958" s="38" t="n">
        <v>2020</v>
      </c>
      <c r="BK958" s="38" t="n">
        <v>2024</v>
      </c>
    </row>
    <row r="959" customFormat="false" ht="16.5" hidden="false" customHeight="true" outlineLevel="0" collapsed="false">
      <c r="A959" s="28" t="s">
        <v>4890</v>
      </c>
      <c r="B959" s="28" t="s">
        <v>4891</v>
      </c>
      <c r="C959" s="28" t="s">
        <v>4890</v>
      </c>
      <c r="D959" s="5" t="s">
        <v>3372</v>
      </c>
      <c r="E959" s="39" t="n">
        <v>748536</v>
      </c>
      <c r="F959" s="39" t="n">
        <v>748536</v>
      </c>
      <c r="G959" s="28" t="s">
        <v>132</v>
      </c>
      <c r="H959" s="38" t="n">
        <v>943453</v>
      </c>
      <c r="I959" s="28"/>
      <c r="J959" s="7" t="n">
        <f aca="false">E959*1.19</f>
        <v>890757.84</v>
      </c>
      <c r="K959" s="7" t="n">
        <f aca="false">F959*1.19</f>
        <v>890757.84</v>
      </c>
      <c r="L959" s="5" t="s">
        <v>84</v>
      </c>
      <c r="M959" s="5"/>
      <c r="N959" s="10" t="s">
        <v>4892</v>
      </c>
      <c r="O959" s="28" t="s">
        <v>4893</v>
      </c>
      <c r="P959" s="28"/>
      <c r="Q959" s="28"/>
      <c r="R959" s="28"/>
      <c r="S959" s="28"/>
      <c r="T959" s="28"/>
      <c r="V959" s="28"/>
      <c r="W959" s="5"/>
      <c r="X959" s="5" t="s">
        <v>139</v>
      </c>
      <c r="Z959" s="28"/>
      <c r="AA959" s="28"/>
      <c r="AB959" s="28"/>
      <c r="AC959" s="28"/>
      <c r="AD959" s="28"/>
      <c r="AE959" s="28"/>
      <c r="AF959" s="28"/>
      <c r="AG959" s="28"/>
      <c r="AH959" s="28"/>
      <c r="AI959" s="28" t="s">
        <v>3469</v>
      </c>
      <c r="AJ959" s="28"/>
      <c r="AK959" s="28"/>
      <c r="AL959" s="28"/>
      <c r="AM959" s="28" t="s">
        <v>1060</v>
      </c>
      <c r="AO959" s="28"/>
      <c r="AP959" s="28"/>
      <c r="AQ959" s="5" t="s">
        <v>77</v>
      </c>
      <c r="AR959" s="28" t="s">
        <v>143</v>
      </c>
      <c r="AS959" s="5" t="s">
        <v>73</v>
      </c>
      <c r="AT959" s="5" t="s">
        <v>78</v>
      </c>
      <c r="AU959" s="28"/>
      <c r="AV959" s="28"/>
      <c r="AW959" s="5" t="s">
        <v>94</v>
      </c>
      <c r="AX959" s="28" t="s">
        <v>296</v>
      </c>
      <c r="AY959" s="28"/>
      <c r="AZ959" s="5" t="s">
        <v>399</v>
      </c>
      <c r="BF959" s="28" t="s">
        <v>4891</v>
      </c>
      <c r="BH959" s="28"/>
      <c r="BI959" s="28"/>
      <c r="BJ959" s="38" t="n">
        <v>2023</v>
      </c>
      <c r="BK959" s="38" t="n">
        <v>2024</v>
      </c>
    </row>
    <row r="960" customFormat="false" ht="16.5" hidden="false" customHeight="true" outlineLevel="0" collapsed="false">
      <c r="A960" s="28" t="s">
        <v>4894</v>
      </c>
      <c r="B960" s="28" t="s">
        <v>4895</v>
      </c>
      <c r="C960" s="28" t="s">
        <v>4894</v>
      </c>
      <c r="D960" s="5" t="s">
        <v>3372</v>
      </c>
      <c r="E960" s="38" t="n">
        <v>171340</v>
      </c>
      <c r="F960" s="38" t="n">
        <v>171340</v>
      </c>
      <c r="G960" s="28" t="s">
        <v>732</v>
      </c>
      <c r="H960" s="38" t="n">
        <v>192523</v>
      </c>
      <c r="I960" s="28"/>
      <c r="J960" s="7" t="n">
        <f aca="false">E960*1.07</f>
        <v>183333.8</v>
      </c>
      <c r="K960" s="7" t="n">
        <v>183333.8</v>
      </c>
      <c r="L960" s="5" t="s">
        <v>84</v>
      </c>
      <c r="M960" s="5"/>
      <c r="N960" s="10" t="s">
        <v>4896</v>
      </c>
      <c r="O960" s="28" t="s">
        <v>4897</v>
      </c>
      <c r="P960" s="28"/>
      <c r="Q960" s="28"/>
      <c r="R960" s="28"/>
      <c r="S960" s="28"/>
      <c r="T960" s="28" t="s">
        <v>4898</v>
      </c>
      <c r="V960" s="28" t="s">
        <v>4899</v>
      </c>
      <c r="W960" s="5"/>
      <c r="X960" s="5"/>
      <c r="Z960" s="28" t="s">
        <v>4900</v>
      </c>
      <c r="AA960" s="28"/>
      <c r="AB960" s="28"/>
      <c r="AC960" s="28"/>
      <c r="AD960" s="28"/>
      <c r="AE960" s="28"/>
      <c r="AF960" s="28"/>
      <c r="AG960" s="28"/>
      <c r="AH960" s="28"/>
      <c r="AI960" s="28" t="s">
        <v>3469</v>
      </c>
      <c r="AJ960" s="28"/>
      <c r="AK960" s="28"/>
      <c r="AL960" s="28"/>
      <c r="AM960" s="5" t="s">
        <v>2709</v>
      </c>
      <c r="AO960" s="28" t="s">
        <v>3832</v>
      </c>
      <c r="AP960" s="28"/>
      <c r="AQ960" s="5" t="s">
        <v>77</v>
      </c>
      <c r="AR960" s="28" t="s">
        <v>737</v>
      </c>
      <c r="AS960" s="5" t="s">
        <v>73</v>
      </c>
      <c r="AT960" s="5" t="s">
        <v>78</v>
      </c>
      <c r="AU960" s="28"/>
      <c r="AV960" s="28"/>
      <c r="AW960" s="5" t="s">
        <v>94</v>
      </c>
      <c r="AX960" s="28" t="s">
        <v>296</v>
      </c>
      <c r="AY960" s="28"/>
      <c r="AZ960" s="5" t="s">
        <v>129</v>
      </c>
      <c r="BF960" s="28" t="s">
        <v>4895</v>
      </c>
      <c r="BH960" s="28"/>
      <c r="BI960" s="28"/>
      <c r="BJ960" s="38" t="n">
        <v>2023</v>
      </c>
      <c r="BK960" s="38" t="n">
        <v>2025</v>
      </c>
    </row>
    <row r="961" customFormat="false" ht="16.5" hidden="false" customHeight="true" outlineLevel="0" collapsed="false">
      <c r="A961" s="28" t="s">
        <v>4901</v>
      </c>
      <c r="B961" s="28" t="s">
        <v>4902</v>
      </c>
      <c r="C961" s="28" t="s">
        <v>4901</v>
      </c>
      <c r="D961" s="5" t="s">
        <v>3372</v>
      </c>
      <c r="E961" s="38" t="n">
        <v>1100000</v>
      </c>
      <c r="F961" s="38" t="n">
        <v>1100000</v>
      </c>
      <c r="G961" s="28" t="s">
        <v>63</v>
      </c>
      <c r="H961" s="38" t="n">
        <v>157111</v>
      </c>
      <c r="I961" s="28"/>
      <c r="J961" s="7" t="n">
        <f aca="false">E961*0.13</f>
        <v>143000</v>
      </c>
      <c r="K961" s="7" t="n">
        <v>143000</v>
      </c>
      <c r="L961" s="5" t="s">
        <v>84</v>
      </c>
      <c r="M961" s="5"/>
      <c r="O961" s="28" t="s">
        <v>4903</v>
      </c>
      <c r="P961" s="28"/>
      <c r="Q961" s="28"/>
      <c r="R961" s="28"/>
      <c r="S961" s="28"/>
      <c r="T961" s="28"/>
      <c r="V961" s="28" t="s">
        <v>4904</v>
      </c>
      <c r="W961" s="5"/>
      <c r="X961" s="5"/>
      <c r="Z961" s="28" t="s">
        <v>4905</v>
      </c>
      <c r="AA961" s="28"/>
      <c r="AB961" s="28"/>
      <c r="AC961" s="28"/>
      <c r="AD961" s="28"/>
      <c r="AE961" s="28"/>
      <c r="AF961" s="28"/>
      <c r="AG961" s="28"/>
      <c r="AH961" s="28"/>
      <c r="AI961" s="28" t="s">
        <v>3441</v>
      </c>
      <c r="AJ961" s="28"/>
      <c r="AK961" s="28"/>
      <c r="AL961" s="28"/>
      <c r="AM961" s="28" t="s">
        <v>3976</v>
      </c>
      <c r="AO961" s="28" t="s">
        <v>3977</v>
      </c>
      <c r="AP961" s="28"/>
      <c r="AQ961" s="5" t="s">
        <v>77</v>
      </c>
      <c r="AR961" s="28" t="s">
        <v>72</v>
      </c>
      <c r="AS961" s="5" t="s">
        <v>73</v>
      </c>
      <c r="AT961" s="5" t="s">
        <v>78</v>
      </c>
      <c r="AU961" s="28" t="s">
        <v>259</v>
      </c>
      <c r="AV961" s="28"/>
      <c r="AW961" s="5" t="s">
        <v>94</v>
      </c>
      <c r="AX961" s="28" t="s">
        <v>1433</v>
      </c>
      <c r="AY961" s="28"/>
      <c r="AZ961" s="5" t="s">
        <v>129</v>
      </c>
      <c r="BF961" s="28" t="s">
        <v>4906</v>
      </c>
      <c r="BH961" s="28"/>
      <c r="BI961" s="28"/>
      <c r="BJ961" s="38" t="n">
        <v>2024</v>
      </c>
      <c r="BK961" s="38" t="n">
        <v>2027</v>
      </c>
    </row>
    <row r="962" customFormat="false" ht="16.5" hidden="false" customHeight="true" outlineLevel="0" collapsed="false">
      <c r="A962" s="28" t="s">
        <v>4907</v>
      </c>
      <c r="B962" s="28" t="s">
        <v>4908</v>
      </c>
      <c r="C962" s="28" t="s">
        <v>4909</v>
      </c>
      <c r="D962" s="5" t="s">
        <v>3372</v>
      </c>
      <c r="E962" s="38" t="n">
        <v>249802</v>
      </c>
      <c r="F962" s="38" t="n">
        <v>249802</v>
      </c>
      <c r="G962" s="28" t="s">
        <v>147</v>
      </c>
      <c r="H962" s="38" t="n">
        <v>268209</v>
      </c>
      <c r="I962" s="28"/>
      <c r="J962" s="41" t="n">
        <v>249802</v>
      </c>
      <c r="K962" s="41" t="n">
        <v>249802</v>
      </c>
      <c r="L962" s="5" t="s">
        <v>84</v>
      </c>
      <c r="M962" s="5"/>
      <c r="O962" s="28" t="s">
        <v>4910</v>
      </c>
      <c r="P962" s="28"/>
      <c r="Q962" s="28"/>
      <c r="R962" s="28"/>
      <c r="S962" s="28"/>
      <c r="T962" s="28" t="s">
        <v>4911</v>
      </c>
      <c r="V962" s="28" t="s">
        <v>4912</v>
      </c>
      <c r="W962" s="5"/>
      <c r="X962" s="5"/>
      <c r="Z962" s="28" t="s">
        <v>4913</v>
      </c>
      <c r="AA962" s="28"/>
      <c r="AB962" s="28"/>
      <c r="AC962" s="28"/>
      <c r="AD962" s="28"/>
      <c r="AE962" s="28"/>
      <c r="AF962" s="28"/>
      <c r="AG962" s="28"/>
      <c r="AH962" s="28"/>
      <c r="AI962" s="28" t="s">
        <v>3612</v>
      </c>
      <c r="AJ962" s="28"/>
      <c r="AK962" s="28"/>
      <c r="AL962" s="28"/>
      <c r="AM962" s="5" t="s">
        <v>1523</v>
      </c>
      <c r="AO962" s="28" t="s">
        <v>3613</v>
      </c>
      <c r="AP962" s="28"/>
      <c r="AQ962" s="5" t="s">
        <v>77</v>
      </c>
      <c r="AR962" s="28" t="s">
        <v>568</v>
      </c>
      <c r="AS962" s="5" t="s">
        <v>73</v>
      </c>
      <c r="AT962" s="5" t="s">
        <v>78</v>
      </c>
      <c r="AU962" s="28"/>
      <c r="AV962" s="28"/>
      <c r="AW962" s="5" t="s">
        <v>94</v>
      </c>
      <c r="AX962" s="28" t="s">
        <v>296</v>
      </c>
      <c r="AY962" s="28"/>
      <c r="AZ962" s="5" t="s">
        <v>639</v>
      </c>
      <c r="BF962" s="28" t="s">
        <v>4914</v>
      </c>
      <c r="BH962" s="28"/>
      <c r="BI962" s="28"/>
      <c r="BJ962" s="38" t="n">
        <v>2023</v>
      </c>
      <c r="BK962" s="38" t="n">
        <v>2026</v>
      </c>
    </row>
    <row r="963" customFormat="false" ht="16.5" hidden="false" customHeight="true" outlineLevel="0" collapsed="false">
      <c r="A963" s="28" t="s">
        <v>4915</v>
      </c>
      <c r="B963" s="28" t="s">
        <v>4916</v>
      </c>
      <c r="C963" s="28" t="s">
        <v>4917</v>
      </c>
      <c r="D963" s="5" t="s">
        <v>3372</v>
      </c>
      <c r="E963" s="38" t="n">
        <v>1011206</v>
      </c>
      <c r="F963" s="38" t="n">
        <v>1011206</v>
      </c>
      <c r="G963" s="28" t="s">
        <v>147</v>
      </c>
      <c r="H963" s="38" t="n">
        <v>1063198</v>
      </c>
      <c r="I963" s="28"/>
      <c r="J963" s="41" t="n">
        <v>1011206</v>
      </c>
      <c r="K963" s="41" t="n">
        <v>1011206</v>
      </c>
      <c r="L963" s="5" t="s">
        <v>84</v>
      </c>
      <c r="M963" s="5"/>
      <c r="N963" s="10" t="s">
        <v>3436</v>
      </c>
      <c r="O963" s="28" t="s">
        <v>4918</v>
      </c>
      <c r="P963" s="28"/>
      <c r="Q963" s="28"/>
      <c r="R963" s="28"/>
      <c r="S963" s="28"/>
      <c r="T963" s="28"/>
      <c r="V963" s="28"/>
      <c r="W963" s="5"/>
      <c r="X963" s="5"/>
      <c r="Z963" s="28"/>
      <c r="AA963" s="28"/>
      <c r="AB963" s="28"/>
      <c r="AC963" s="28"/>
      <c r="AD963" s="28"/>
      <c r="AE963" s="28"/>
      <c r="AF963" s="28"/>
      <c r="AG963" s="28"/>
      <c r="AH963" s="28"/>
      <c r="AI963" s="28" t="s">
        <v>3409</v>
      </c>
      <c r="AJ963" s="28"/>
      <c r="AK963" s="28"/>
      <c r="AL963" s="28"/>
      <c r="AM963" s="28" t="s">
        <v>3442</v>
      </c>
      <c r="AO963" s="28" t="s">
        <v>3656</v>
      </c>
      <c r="AP963" s="28"/>
      <c r="AQ963" s="5" t="s">
        <v>77</v>
      </c>
      <c r="AR963" s="28" t="s">
        <v>257</v>
      </c>
      <c r="AS963" s="5" t="s">
        <v>73</v>
      </c>
      <c r="AT963" s="5" t="s">
        <v>78</v>
      </c>
      <c r="AU963" s="28"/>
      <c r="AV963" s="28"/>
      <c r="AW963" s="25" t="s">
        <v>94</v>
      </c>
      <c r="AX963" s="28" t="s">
        <v>218</v>
      </c>
      <c r="AY963" s="28"/>
      <c r="AZ963" s="5" t="s">
        <v>129</v>
      </c>
      <c r="BA963" s="28"/>
      <c r="BB963" s="28"/>
      <c r="BF963" s="28" t="s">
        <v>4919</v>
      </c>
      <c r="BH963" s="28"/>
      <c r="BI963" s="28"/>
      <c r="BJ963" s="38" t="n">
        <v>2022</v>
      </c>
      <c r="BK963" s="28"/>
    </row>
    <row r="964" customFormat="false" ht="16.5" hidden="false" customHeight="true" outlineLevel="0" collapsed="false">
      <c r="A964" s="28" t="s">
        <v>3268</v>
      </c>
      <c r="B964" s="28"/>
      <c r="C964" s="43"/>
      <c r="D964" s="44" t="s">
        <v>4920</v>
      </c>
      <c r="E964" s="29" t="n">
        <v>3166724</v>
      </c>
      <c r="F964" s="29" t="n">
        <v>3166724</v>
      </c>
      <c r="G964" s="29" t="s">
        <v>63</v>
      </c>
      <c r="H964" s="29" t="n">
        <v>314569.51</v>
      </c>
      <c r="I964" s="45"/>
      <c r="J964" s="7" t="n">
        <f aca="false">E964*0.13</f>
        <v>411674.12</v>
      </c>
      <c r="K964" s="7" t="n">
        <v>411674.12</v>
      </c>
      <c r="L964" s="25" t="s">
        <v>84</v>
      </c>
      <c r="M964" s="45"/>
      <c r="N964" s="46" t="s">
        <v>4921</v>
      </c>
      <c r="O964" s="29" t="s">
        <v>4922</v>
      </c>
      <c r="P964" s="45"/>
      <c r="Q964" s="45"/>
      <c r="R964" s="45"/>
      <c r="S964" s="45"/>
      <c r="T964" s="29" t="s">
        <v>3269</v>
      </c>
      <c r="U964" s="45"/>
      <c r="V964" s="29" t="s">
        <v>3270</v>
      </c>
      <c r="W964" s="29" t="s">
        <v>90</v>
      </c>
      <c r="X964" s="29" t="s">
        <v>72</v>
      </c>
      <c r="Y964" s="45"/>
      <c r="Z964" s="45"/>
      <c r="AA964" s="45"/>
      <c r="AB964" s="45"/>
      <c r="AC964" s="45"/>
      <c r="AD964" s="45"/>
      <c r="AE964" s="45"/>
      <c r="AF964" s="45"/>
      <c r="AG964" s="45"/>
      <c r="AH964" s="45"/>
      <c r="AI964" s="47" t="n">
        <v>45323</v>
      </c>
      <c r="AJ964" s="48" t="n">
        <v>36</v>
      </c>
      <c r="AK964" s="29" t="s">
        <v>433</v>
      </c>
      <c r="AL964" s="45"/>
      <c r="AM964" s="29" t="s">
        <v>3271</v>
      </c>
      <c r="AO964" s="29" t="s">
        <v>4923</v>
      </c>
      <c r="AP964" s="45"/>
      <c r="AQ964" s="29" t="s">
        <v>4924</v>
      </c>
      <c r="AR964" s="29" t="s">
        <v>72</v>
      </c>
      <c r="AS964" s="5" t="s">
        <v>73</v>
      </c>
      <c r="AT964" s="5" t="s">
        <v>78</v>
      </c>
      <c r="AU964" s="29"/>
      <c r="AV964" s="49"/>
      <c r="AW964" s="5" t="s">
        <v>94</v>
      </c>
      <c r="AX964" s="50" t="s">
        <v>79</v>
      </c>
      <c r="AY964" s="51"/>
      <c r="AZ964" s="5" t="s">
        <v>287</v>
      </c>
      <c r="BA964" s="45"/>
      <c r="BB964" s="45"/>
      <c r="BC964" s="45"/>
      <c r="BD964" s="45"/>
      <c r="BE964" s="45"/>
      <c r="BF964" s="45"/>
      <c r="BG964" s="45"/>
      <c r="BH964" s="45"/>
      <c r="BI964" s="45"/>
      <c r="BJ964" s="29" t="n">
        <v>2024</v>
      </c>
      <c r="BK964" s="47" t="n">
        <v>46418</v>
      </c>
    </row>
    <row r="965" customFormat="false" ht="16.5" hidden="false" customHeight="true" outlineLevel="0" collapsed="false">
      <c r="A965" s="28" t="s">
        <v>3273</v>
      </c>
      <c r="B965" s="28"/>
      <c r="C965" s="43"/>
      <c r="D965" s="44" t="s">
        <v>4920</v>
      </c>
      <c r="E965" s="29" t="n">
        <v>3070425</v>
      </c>
      <c r="F965" s="29" t="n">
        <v>3070425</v>
      </c>
      <c r="G965" s="29" t="s">
        <v>63</v>
      </c>
      <c r="H965" s="29" t="n">
        <v>305003.55</v>
      </c>
      <c r="I965" s="45"/>
      <c r="J965" s="7" t="n">
        <f aca="false">E965*0.13</f>
        <v>399155.25</v>
      </c>
      <c r="K965" s="7" t="n">
        <v>399155.25</v>
      </c>
      <c r="L965" s="25" t="s">
        <v>84</v>
      </c>
      <c r="M965" s="45"/>
      <c r="N965" s="52"/>
      <c r="O965" s="29" t="s">
        <v>4925</v>
      </c>
      <c r="P965" s="45"/>
      <c r="Q965" s="45"/>
      <c r="R965" s="45"/>
      <c r="S965" s="45"/>
      <c r="T965" s="29" t="s">
        <v>3274</v>
      </c>
      <c r="U965" s="45"/>
      <c r="V965" s="29" t="s">
        <v>3270</v>
      </c>
      <c r="W965" s="29" t="s">
        <v>90</v>
      </c>
      <c r="X965" s="29" t="s">
        <v>72</v>
      </c>
      <c r="Y965" s="45"/>
      <c r="Z965" s="45"/>
      <c r="AA965" s="45"/>
      <c r="AB965" s="45"/>
      <c r="AC965" s="45"/>
      <c r="AD965" s="45"/>
      <c r="AE965" s="45"/>
      <c r="AF965" s="45"/>
      <c r="AG965" s="45"/>
      <c r="AH965" s="45"/>
      <c r="AI965" s="47" t="n">
        <v>45546</v>
      </c>
      <c r="AJ965" s="48" t="n">
        <v>36</v>
      </c>
      <c r="AK965" s="29" t="s">
        <v>433</v>
      </c>
      <c r="AL965" s="45"/>
      <c r="AM965" s="29" t="s">
        <v>3271</v>
      </c>
      <c r="AO965" s="29" t="s">
        <v>4923</v>
      </c>
      <c r="AP965" s="45"/>
      <c r="AQ965" s="29" t="s">
        <v>4924</v>
      </c>
      <c r="AR965" s="29" t="s">
        <v>72</v>
      </c>
      <c r="AS965" s="5" t="s">
        <v>73</v>
      </c>
      <c r="AT965" s="5" t="s">
        <v>78</v>
      </c>
      <c r="AU965" s="29"/>
      <c r="AV965" s="49"/>
      <c r="AW965" s="5" t="s">
        <v>94</v>
      </c>
      <c r="AX965" s="50" t="s">
        <v>79</v>
      </c>
      <c r="AY965" s="51"/>
      <c r="AZ965" s="5" t="s">
        <v>129</v>
      </c>
      <c r="BA965" s="45"/>
      <c r="BB965" s="45"/>
      <c r="BC965" s="45"/>
      <c r="BD965" s="45"/>
      <c r="BE965" s="45"/>
      <c r="BF965" s="45"/>
      <c r="BG965" s="45"/>
      <c r="BH965" s="45"/>
      <c r="BI965" s="45"/>
      <c r="BJ965" s="29" t="n">
        <v>2024</v>
      </c>
      <c r="BK965" s="47" t="n">
        <v>46630</v>
      </c>
    </row>
    <row r="966" customFormat="false" ht="16.5" hidden="false" customHeight="true" outlineLevel="0" collapsed="false">
      <c r="A966" s="28" t="s">
        <v>1500</v>
      </c>
      <c r="B966" s="28" t="s">
        <v>4926</v>
      </c>
      <c r="C966" s="43"/>
      <c r="D966" s="44" t="s">
        <v>2121</v>
      </c>
      <c r="E966" s="53" t="n">
        <v>258029</v>
      </c>
      <c r="F966" s="53" t="n">
        <v>258029</v>
      </c>
      <c r="G966" s="28" t="s">
        <v>132</v>
      </c>
      <c r="H966" s="29" t="n">
        <v>335437.7</v>
      </c>
      <c r="I966" s="29" t="n">
        <v>335437.7</v>
      </c>
      <c r="J966" s="7" t="n">
        <f aca="false">E966*1.19</f>
        <v>307054.51</v>
      </c>
      <c r="K966" s="7" t="n">
        <f aca="false">F966*1.19</f>
        <v>307054.51</v>
      </c>
      <c r="L966" s="50" t="s">
        <v>84</v>
      </c>
      <c r="M966" s="45"/>
      <c r="N966" s="46" t="s">
        <v>4927</v>
      </c>
      <c r="O966" s="29" t="s">
        <v>4928</v>
      </c>
      <c r="P966" s="45"/>
      <c r="Q966" s="45"/>
      <c r="R966" s="45"/>
      <c r="S966" s="45"/>
      <c r="T966" s="29" t="s">
        <v>1502</v>
      </c>
      <c r="U966" s="45"/>
      <c r="V966" s="29" t="s">
        <v>931</v>
      </c>
      <c r="W966" s="29" t="s">
        <v>90</v>
      </c>
      <c r="X966" s="29" t="s">
        <v>139</v>
      </c>
      <c r="Y966" s="29" t="s">
        <v>4929</v>
      </c>
      <c r="Z966" s="45"/>
      <c r="AA966" s="45"/>
      <c r="AB966" s="45"/>
      <c r="AC966" s="45"/>
      <c r="AD966" s="45"/>
      <c r="AE966" s="45"/>
      <c r="AF966" s="45"/>
      <c r="AG966" s="45"/>
      <c r="AH966" s="45"/>
      <c r="AI966" s="47" t="n">
        <v>45336</v>
      </c>
      <c r="AJ966" s="48" t="n">
        <v>18</v>
      </c>
      <c r="AK966" s="29" t="s">
        <v>433</v>
      </c>
      <c r="AL966" s="45"/>
      <c r="AM966" s="5" t="s">
        <v>140</v>
      </c>
      <c r="AN966" s="29" t="s">
        <v>1503</v>
      </c>
      <c r="AO966" s="45"/>
      <c r="AP966" s="45"/>
      <c r="AQ966" s="29" t="s">
        <v>4924</v>
      </c>
      <c r="AR966" s="5" t="s">
        <v>143</v>
      </c>
      <c r="AS966" s="5" t="s">
        <v>73</v>
      </c>
      <c r="AT966" s="5" t="s">
        <v>105</v>
      </c>
      <c r="AU966" s="29"/>
      <c r="AV966" s="49"/>
      <c r="AW966" s="5" t="s">
        <v>94</v>
      </c>
      <c r="AX966" s="50" t="s">
        <v>79</v>
      </c>
      <c r="AY966" s="51"/>
      <c r="AZ966" s="5" t="s">
        <v>107</v>
      </c>
      <c r="BA966" s="45"/>
      <c r="BB966" s="45"/>
      <c r="BC966" s="45"/>
      <c r="BD966" s="45"/>
      <c r="BE966" s="45"/>
      <c r="BF966" s="45"/>
      <c r="BG966" s="45"/>
      <c r="BH966" s="45"/>
      <c r="BI966" s="45"/>
      <c r="BJ966" s="29" t="n">
        <v>2024</v>
      </c>
      <c r="BK966" s="47" t="n">
        <v>45881</v>
      </c>
    </row>
    <row r="967" customFormat="false" ht="16.5" hidden="false" customHeight="true" outlineLevel="0" collapsed="false">
      <c r="A967" s="28" t="s">
        <v>1541</v>
      </c>
      <c r="B967" s="28" t="s">
        <v>4930</v>
      </c>
      <c r="C967" s="43"/>
      <c r="D967" s="44" t="s">
        <v>2121</v>
      </c>
      <c r="E967" s="53" t="n">
        <v>231963</v>
      </c>
      <c r="F967" s="53" t="n">
        <v>231963</v>
      </c>
      <c r="G967" s="28" t="s">
        <v>132</v>
      </c>
      <c r="H967" s="29" t="n">
        <v>301551.9</v>
      </c>
      <c r="I967" s="29" t="n">
        <v>301551.9</v>
      </c>
      <c r="J967" s="7" t="n">
        <f aca="false">E967*1.19</f>
        <v>276035.97</v>
      </c>
      <c r="K967" s="7" t="n">
        <f aca="false">F967*1.19</f>
        <v>276035.97</v>
      </c>
      <c r="L967" s="50" t="s">
        <v>84</v>
      </c>
      <c r="M967" s="45"/>
      <c r="N967" s="46" t="s">
        <v>4931</v>
      </c>
      <c r="O967" s="29" t="s">
        <v>4932</v>
      </c>
      <c r="P967" s="45"/>
      <c r="Q967" s="45"/>
      <c r="R967" s="45"/>
      <c r="S967" s="45"/>
      <c r="T967" s="29" t="s">
        <v>1543</v>
      </c>
      <c r="U967" s="45"/>
      <c r="V967" s="29" t="s">
        <v>1544</v>
      </c>
      <c r="W967" s="29" t="s">
        <v>4933</v>
      </c>
      <c r="X967" s="29" t="s">
        <v>139</v>
      </c>
      <c r="Y967" s="29" t="s">
        <v>1214</v>
      </c>
      <c r="Z967" s="45"/>
      <c r="AA967" s="45"/>
      <c r="AB967" s="45"/>
      <c r="AC967" s="45"/>
      <c r="AD967" s="45"/>
      <c r="AE967" s="45"/>
      <c r="AF967" s="45"/>
      <c r="AG967" s="45"/>
      <c r="AH967" s="45"/>
      <c r="AI967" s="47" t="n">
        <v>45382</v>
      </c>
      <c r="AJ967" s="48" t="n">
        <v>11</v>
      </c>
      <c r="AK967" s="29" t="s">
        <v>216</v>
      </c>
      <c r="AL967" s="45"/>
      <c r="AM967" s="5" t="s">
        <v>140</v>
      </c>
      <c r="AN967" s="5" t="s">
        <v>1545</v>
      </c>
      <c r="AO967" s="45"/>
      <c r="AP967" s="45"/>
      <c r="AQ967" s="29" t="s">
        <v>4924</v>
      </c>
      <c r="AR967" s="5" t="s">
        <v>143</v>
      </c>
      <c r="AS967" s="5" t="s">
        <v>73</v>
      </c>
      <c r="AT967" s="5" t="s">
        <v>105</v>
      </c>
      <c r="AU967" s="29"/>
      <c r="AV967" s="49"/>
      <c r="AW967" s="5" t="s">
        <v>94</v>
      </c>
      <c r="AX967" s="50" t="s">
        <v>79</v>
      </c>
      <c r="AY967" s="51"/>
      <c r="AZ967" s="5" t="s">
        <v>540</v>
      </c>
      <c r="BA967" s="45"/>
      <c r="BB967" s="45"/>
      <c r="BC967" s="45"/>
      <c r="BD967" s="45"/>
      <c r="BE967" s="45"/>
      <c r="BF967" s="45"/>
      <c r="BG967" s="45"/>
      <c r="BH967" s="45"/>
      <c r="BI967" s="45"/>
      <c r="BJ967" s="29" t="n">
        <v>2024</v>
      </c>
      <c r="BK967" s="47" t="n">
        <v>45688</v>
      </c>
    </row>
    <row r="968" customFormat="false" ht="16.5" hidden="false" customHeight="true" outlineLevel="0" collapsed="false">
      <c r="A968" s="28" t="s">
        <v>2916</v>
      </c>
      <c r="B968" s="28" t="s">
        <v>4934</v>
      </c>
      <c r="C968" s="43"/>
      <c r="D968" s="44" t="s">
        <v>2121</v>
      </c>
      <c r="E968" s="53" t="n">
        <v>99790</v>
      </c>
      <c r="F968" s="53" t="n">
        <v>99790</v>
      </c>
      <c r="G968" s="28" t="s">
        <v>132</v>
      </c>
      <c r="H968" s="29" t="n">
        <v>129727</v>
      </c>
      <c r="I968" s="29" t="n">
        <v>129727</v>
      </c>
      <c r="J968" s="7" t="n">
        <f aca="false">E968*1.19</f>
        <v>118750.1</v>
      </c>
      <c r="K968" s="7" t="n">
        <f aca="false">F968*1.19</f>
        <v>118750.1</v>
      </c>
      <c r="L968" s="50" t="s">
        <v>84</v>
      </c>
      <c r="M968" s="45"/>
      <c r="N968" s="46" t="s">
        <v>4935</v>
      </c>
      <c r="O968" s="29" t="s">
        <v>4936</v>
      </c>
      <c r="P968" s="45"/>
      <c r="Q968" s="45"/>
      <c r="R968" s="45"/>
      <c r="S968" s="45"/>
      <c r="T968" s="29" t="s">
        <v>2920</v>
      </c>
      <c r="U968" s="45"/>
      <c r="V968" s="29" t="s">
        <v>4937</v>
      </c>
      <c r="W968" s="45"/>
      <c r="X968" s="29" t="s">
        <v>139</v>
      </c>
      <c r="Y968" s="29" t="s">
        <v>4938</v>
      </c>
      <c r="Z968" s="45"/>
      <c r="AA968" s="45"/>
      <c r="AB968" s="45"/>
      <c r="AC968" s="45"/>
      <c r="AD968" s="45"/>
      <c r="AE968" s="45"/>
      <c r="AF968" s="45"/>
      <c r="AG968" s="45"/>
      <c r="AH968" s="45"/>
      <c r="AI968" s="47" t="n">
        <v>45382</v>
      </c>
      <c r="AJ968" s="48" t="n">
        <v>12</v>
      </c>
      <c r="AK968" s="29" t="s">
        <v>433</v>
      </c>
      <c r="AL968" s="45"/>
      <c r="AM968" s="5" t="s">
        <v>140</v>
      </c>
      <c r="AN968" s="5" t="s">
        <v>699</v>
      </c>
      <c r="AO968" s="45"/>
      <c r="AP968" s="45"/>
      <c r="AQ968" s="29" t="s">
        <v>4924</v>
      </c>
      <c r="AR968" s="5" t="s">
        <v>143</v>
      </c>
      <c r="AS968" s="5" t="s">
        <v>73</v>
      </c>
      <c r="AT968" s="5" t="s">
        <v>78</v>
      </c>
      <c r="AU968" s="29"/>
      <c r="AV968" s="49"/>
      <c r="AW968" s="5" t="s">
        <v>94</v>
      </c>
      <c r="AX968" s="50" t="s">
        <v>296</v>
      </c>
      <c r="AY968" s="51" t="s">
        <v>1865</v>
      </c>
      <c r="AZ968" s="5" t="s">
        <v>639</v>
      </c>
      <c r="BA968" s="45"/>
      <c r="BB968" s="45"/>
      <c r="BC968" s="45"/>
      <c r="BD968" s="45"/>
      <c r="BE968" s="45"/>
      <c r="BF968" s="45"/>
      <c r="BG968" s="45"/>
      <c r="BH968" s="45"/>
      <c r="BI968" s="45"/>
      <c r="BJ968" s="29" t="n">
        <v>2024</v>
      </c>
      <c r="BK968" s="47" t="n">
        <v>45746</v>
      </c>
    </row>
    <row r="969" customFormat="false" ht="16.5" hidden="false" customHeight="true" outlineLevel="0" collapsed="false">
      <c r="A969" s="28" t="s">
        <v>3098</v>
      </c>
      <c r="B969" s="28" t="s">
        <v>4939</v>
      </c>
      <c r="C969" s="43"/>
      <c r="D969" s="44" t="s">
        <v>2121</v>
      </c>
      <c r="E969" s="53" t="n">
        <v>726808</v>
      </c>
      <c r="F969" s="53" t="n">
        <v>726808</v>
      </c>
      <c r="G969" s="28" t="s">
        <v>132</v>
      </c>
      <c r="H969" s="29" t="n">
        <v>944850.4</v>
      </c>
      <c r="I969" s="29" t="n">
        <v>944850.4</v>
      </c>
      <c r="J969" s="7" t="n">
        <f aca="false">E969*1.19</f>
        <v>864901.52</v>
      </c>
      <c r="K969" s="7" t="n">
        <f aca="false">F969*1.19</f>
        <v>864901.52</v>
      </c>
      <c r="L969" s="50" t="s">
        <v>84</v>
      </c>
      <c r="M969" s="45"/>
      <c r="N969" s="46" t="s">
        <v>4940</v>
      </c>
      <c r="O969" s="29" t="s">
        <v>4941</v>
      </c>
      <c r="P969" s="45"/>
      <c r="Q969" s="45"/>
      <c r="R969" s="45"/>
      <c r="S969" s="45"/>
      <c r="T969" s="29" t="s">
        <v>1335</v>
      </c>
      <c r="U969" s="45"/>
      <c r="V969" s="29" t="s">
        <v>4942</v>
      </c>
      <c r="W969" s="29" t="s">
        <v>4933</v>
      </c>
      <c r="X969" s="29" t="s">
        <v>139</v>
      </c>
      <c r="Y969" s="29" t="s">
        <v>2997</v>
      </c>
      <c r="Z969" s="45"/>
      <c r="AA969" s="45"/>
      <c r="AB969" s="45"/>
      <c r="AC969" s="45"/>
      <c r="AD969" s="45"/>
      <c r="AE969" s="45"/>
      <c r="AF969" s="45"/>
      <c r="AG969" s="45"/>
      <c r="AH969" s="45"/>
      <c r="AI969" s="47" t="n">
        <v>45412</v>
      </c>
      <c r="AJ969" s="48" t="n">
        <v>18</v>
      </c>
      <c r="AK969" s="29" t="s">
        <v>433</v>
      </c>
      <c r="AL969" s="45"/>
      <c r="AM969" s="5" t="s">
        <v>140</v>
      </c>
      <c r="AN969" s="5" t="s">
        <v>699</v>
      </c>
      <c r="AO969" s="45"/>
      <c r="AP969" s="45"/>
      <c r="AQ969" s="29" t="s">
        <v>4924</v>
      </c>
      <c r="AR969" s="5" t="s">
        <v>143</v>
      </c>
      <c r="AS969" s="5" t="s">
        <v>73</v>
      </c>
      <c r="AT969" s="5" t="s">
        <v>105</v>
      </c>
      <c r="AU969" s="29"/>
      <c r="AV969" s="49"/>
      <c r="AW969" s="5" t="s">
        <v>94</v>
      </c>
      <c r="AX969" s="50" t="s">
        <v>375</v>
      </c>
      <c r="AY969" s="51"/>
      <c r="AZ969" s="5" t="s">
        <v>121</v>
      </c>
      <c r="BA969" s="45"/>
      <c r="BB969" s="45"/>
      <c r="BC969" s="45"/>
      <c r="BD969" s="45"/>
      <c r="BE969" s="45"/>
      <c r="BF969" s="45"/>
      <c r="BG969" s="45"/>
      <c r="BH969" s="45"/>
      <c r="BI969" s="45"/>
      <c r="BJ969" s="29" t="n">
        <v>2024</v>
      </c>
      <c r="BK969" s="47" t="n">
        <v>45961</v>
      </c>
    </row>
    <row r="970" customFormat="false" ht="16.5" hidden="false" customHeight="true" outlineLevel="0" collapsed="false">
      <c r="A970" s="28" t="s">
        <v>1908</v>
      </c>
      <c r="B970" s="28" t="s">
        <v>4943</v>
      </c>
      <c r="C970" s="43"/>
      <c r="D970" s="44" t="s">
        <v>2121</v>
      </c>
      <c r="E970" s="53" t="n">
        <v>111527</v>
      </c>
      <c r="F970" s="53" t="n">
        <v>111527</v>
      </c>
      <c r="G970" s="28" t="s">
        <v>132</v>
      </c>
      <c r="H970" s="29" t="n">
        <v>144985.1</v>
      </c>
      <c r="I970" s="29" t="n">
        <v>144985.1</v>
      </c>
      <c r="J970" s="7" t="n">
        <f aca="false">E970*1.19</f>
        <v>132717.13</v>
      </c>
      <c r="K970" s="7" t="n">
        <f aca="false">F970*1.19</f>
        <v>132717.13</v>
      </c>
      <c r="L970" s="50" t="s">
        <v>84</v>
      </c>
      <c r="M970" s="45"/>
      <c r="N970" s="46" t="s">
        <v>4944</v>
      </c>
      <c r="O970" s="29" t="s">
        <v>4945</v>
      </c>
      <c r="P970" s="45"/>
      <c r="Q970" s="45"/>
      <c r="R970" s="45"/>
      <c r="S970" s="45"/>
      <c r="T970" s="29" t="s">
        <v>1910</v>
      </c>
      <c r="U970" s="45"/>
      <c r="V970" s="29" t="s">
        <v>1911</v>
      </c>
      <c r="W970" s="29" t="s">
        <v>90</v>
      </c>
      <c r="X970" s="29" t="s">
        <v>139</v>
      </c>
      <c r="Y970" s="29" t="s">
        <v>4946</v>
      </c>
      <c r="Z970" s="45"/>
      <c r="AA970" s="45"/>
      <c r="AB970" s="45"/>
      <c r="AC970" s="45"/>
      <c r="AD970" s="45"/>
      <c r="AE970" s="45"/>
      <c r="AF970" s="45"/>
      <c r="AG970" s="45"/>
      <c r="AH970" s="45"/>
      <c r="AI970" s="47" t="n">
        <v>45302</v>
      </c>
      <c r="AJ970" s="48" t="n">
        <v>12</v>
      </c>
      <c r="AK970" s="29" t="s">
        <v>216</v>
      </c>
      <c r="AL970" s="45"/>
      <c r="AM970" s="5" t="s">
        <v>140</v>
      </c>
      <c r="AN970" s="25" t="s">
        <v>1539</v>
      </c>
      <c r="AO970" s="45"/>
      <c r="AP970" s="45"/>
      <c r="AQ970" s="29" t="s">
        <v>4924</v>
      </c>
      <c r="AR970" s="5" t="s">
        <v>143</v>
      </c>
      <c r="AS970" s="5" t="s">
        <v>73</v>
      </c>
      <c r="AT970" s="5" t="s">
        <v>78</v>
      </c>
      <c r="AU970" s="29"/>
      <c r="AV970" s="49"/>
      <c r="AW970" s="5" t="s">
        <v>94</v>
      </c>
      <c r="AX970" s="50" t="s">
        <v>375</v>
      </c>
      <c r="AY970" s="51"/>
      <c r="AZ970" s="5" t="s">
        <v>399</v>
      </c>
      <c r="BA970" s="45"/>
      <c r="BB970" s="45"/>
      <c r="BC970" s="45"/>
      <c r="BD970" s="45"/>
      <c r="BE970" s="45"/>
      <c r="BF970" s="45"/>
      <c r="BG970" s="45"/>
      <c r="BH970" s="45"/>
      <c r="BI970" s="45"/>
      <c r="BJ970" s="29" t="n">
        <v>2024</v>
      </c>
      <c r="BK970" s="47" t="n">
        <v>45667</v>
      </c>
    </row>
    <row r="971" customFormat="false" ht="16.5" hidden="false" customHeight="true" outlineLevel="0" collapsed="false">
      <c r="A971" s="28" t="s">
        <v>767</v>
      </c>
      <c r="B971" s="28" t="s">
        <v>4947</v>
      </c>
      <c r="C971" s="43"/>
      <c r="D971" s="44" t="s">
        <v>2121</v>
      </c>
      <c r="E971" s="53" t="n">
        <v>1653471</v>
      </c>
      <c r="F971" s="53" t="n">
        <v>1653471</v>
      </c>
      <c r="G971" s="28" t="s">
        <v>132</v>
      </c>
      <c r="H971" s="29" t="n">
        <v>2149512.3</v>
      </c>
      <c r="I971" s="29" t="n">
        <v>2149512.3</v>
      </c>
      <c r="J971" s="7" t="n">
        <f aca="false">E971*1.19</f>
        <v>1967630.49</v>
      </c>
      <c r="K971" s="7" t="n">
        <f aca="false">F971*1.19</f>
        <v>1967630.49</v>
      </c>
      <c r="L971" s="50" t="s">
        <v>84</v>
      </c>
      <c r="M971" s="45"/>
      <c r="N971" s="46" t="s">
        <v>4948</v>
      </c>
      <c r="O971" s="29" t="s">
        <v>4949</v>
      </c>
      <c r="P971" s="45"/>
      <c r="Q971" s="45"/>
      <c r="R971" s="45"/>
      <c r="S971" s="45"/>
      <c r="T971" s="29" t="s">
        <v>769</v>
      </c>
      <c r="U971" s="45"/>
      <c r="V971" s="29" t="s">
        <v>4950</v>
      </c>
      <c r="W971" s="29" t="s">
        <v>90</v>
      </c>
      <c r="X971" s="29" t="s">
        <v>139</v>
      </c>
      <c r="Y971" s="29" t="s">
        <v>4938</v>
      </c>
      <c r="Z971" s="45"/>
      <c r="AA971" s="45"/>
      <c r="AB971" s="45"/>
      <c r="AC971" s="45"/>
      <c r="AD971" s="45"/>
      <c r="AE971" s="45"/>
      <c r="AF971" s="45"/>
      <c r="AG971" s="45"/>
      <c r="AH971" s="45"/>
      <c r="AI971" s="47" t="n">
        <v>45412</v>
      </c>
      <c r="AJ971" s="48" t="n">
        <v>60</v>
      </c>
      <c r="AK971" s="29" t="s">
        <v>433</v>
      </c>
      <c r="AL971" s="45"/>
      <c r="AM971" s="5" t="s">
        <v>140</v>
      </c>
      <c r="AN971" s="5" t="s">
        <v>771</v>
      </c>
      <c r="AO971" s="45"/>
      <c r="AP971" s="45"/>
      <c r="AQ971" s="29" t="s">
        <v>4924</v>
      </c>
      <c r="AR971" s="5" t="s">
        <v>143</v>
      </c>
      <c r="AS971" s="5" t="s">
        <v>73</v>
      </c>
      <c r="AT971" s="5" t="s">
        <v>78</v>
      </c>
      <c r="AU971" s="29"/>
      <c r="AV971" s="49"/>
      <c r="AW971" s="25" t="s">
        <v>94</v>
      </c>
      <c r="AX971" s="50" t="s">
        <v>375</v>
      </c>
      <c r="AY971" s="51"/>
      <c r="AZ971" s="5" t="s">
        <v>525</v>
      </c>
      <c r="BA971" s="45"/>
      <c r="BB971" s="45"/>
      <c r="BC971" s="45"/>
      <c r="BD971" s="45"/>
      <c r="BE971" s="45"/>
      <c r="BF971" s="45"/>
      <c r="BG971" s="45"/>
      <c r="BH971" s="45"/>
      <c r="BI971" s="45"/>
      <c r="BJ971" s="29" t="n">
        <v>2024</v>
      </c>
      <c r="BK971" s="47" t="n">
        <v>47237</v>
      </c>
    </row>
    <row r="972" customFormat="false" ht="16.5" hidden="false" customHeight="true" outlineLevel="0" collapsed="false">
      <c r="A972" s="28" t="s">
        <v>3177</v>
      </c>
      <c r="B972" s="28" t="s">
        <v>4951</v>
      </c>
      <c r="C972" s="43"/>
      <c r="D972" s="44" t="s">
        <v>2121</v>
      </c>
      <c r="E972" s="53" t="n">
        <v>206085</v>
      </c>
      <c r="F972" s="53" t="n">
        <v>206085</v>
      </c>
      <c r="G972" s="28" t="s">
        <v>132</v>
      </c>
      <c r="H972" s="29" t="n">
        <v>267910.5</v>
      </c>
      <c r="I972" s="29" t="n">
        <v>267910.5</v>
      </c>
      <c r="J972" s="7" t="n">
        <f aca="false">E972*1.19</f>
        <v>245241.15</v>
      </c>
      <c r="K972" s="7" t="n">
        <f aca="false">F972*1.19</f>
        <v>245241.15</v>
      </c>
      <c r="L972" s="50" t="s">
        <v>84</v>
      </c>
      <c r="M972" s="45"/>
      <c r="N972" s="46" t="s">
        <v>4952</v>
      </c>
      <c r="O972" s="29" t="s">
        <v>4953</v>
      </c>
      <c r="P972" s="45"/>
      <c r="Q972" s="45"/>
      <c r="R972" s="45"/>
      <c r="S972" s="45"/>
      <c r="T972" s="29" t="s">
        <v>137</v>
      </c>
      <c r="U972" s="45"/>
      <c r="V972" s="29" t="s">
        <v>931</v>
      </c>
      <c r="W972" s="29" t="s">
        <v>90</v>
      </c>
      <c r="X972" s="29" t="s">
        <v>139</v>
      </c>
      <c r="Y972" s="29" t="s">
        <v>4929</v>
      </c>
      <c r="Z972" s="45"/>
      <c r="AA972" s="45"/>
      <c r="AB972" s="45"/>
      <c r="AC972" s="45"/>
      <c r="AD972" s="45"/>
      <c r="AE972" s="45"/>
      <c r="AF972" s="45"/>
      <c r="AG972" s="45"/>
      <c r="AH972" s="45"/>
      <c r="AI972" s="47" t="n">
        <v>45597</v>
      </c>
      <c r="AJ972" s="48" t="n">
        <v>24</v>
      </c>
      <c r="AK972" s="29" t="s">
        <v>433</v>
      </c>
      <c r="AL972" s="45"/>
      <c r="AM972" s="5" t="s">
        <v>140</v>
      </c>
      <c r="AN972" s="29" t="s">
        <v>673</v>
      </c>
      <c r="AO972" s="45"/>
      <c r="AP972" s="45"/>
      <c r="AQ972" s="29" t="s">
        <v>4954</v>
      </c>
      <c r="AR972" s="29" t="s">
        <v>143</v>
      </c>
      <c r="AS972" s="5" t="s">
        <v>73</v>
      </c>
      <c r="AT972" s="5" t="s">
        <v>78</v>
      </c>
      <c r="AU972" s="29"/>
      <c r="AV972" s="49"/>
      <c r="AW972" s="5" t="s">
        <v>94</v>
      </c>
      <c r="AX972" s="50" t="s">
        <v>79</v>
      </c>
      <c r="AY972" s="51"/>
      <c r="AZ972" s="5" t="s">
        <v>129</v>
      </c>
      <c r="BA972" s="45"/>
      <c r="BB972" s="45"/>
      <c r="BC972" s="45"/>
      <c r="BD972" s="45"/>
      <c r="BE972" s="45"/>
      <c r="BF972" s="45"/>
      <c r="BG972" s="45"/>
      <c r="BH972" s="45"/>
      <c r="BI972" s="45"/>
      <c r="BJ972" s="29" t="n">
        <v>2024</v>
      </c>
      <c r="BK972" s="47" t="n">
        <v>46326</v>
      </c>
    </row>
    <row r="973" customFormat="false" ht="16.5" hidden="false" customHeight="true" outlineLevel="0" collapsed="false">
      <c r="A973" s="28" t="s">
        <v>3104</v>
      </c>
      <c r="B973" s="28" t="s">
        <v>4955</v>
      </c>
      <c r="C973" s="43"/>
      <c r="D973" s="54" t="s">
        <v>2121</v>
      </c>
      <c r="E973" s="53" t="n">
        <v>199035</v>
      </c>
      <c r="F973" s="53" t="n">
        <v>199035</v>
      </c>
      <c r="G973" s="28" t="s">
        <v>132</v>
      </c>
      <c r="H973" s="29" t="n">
        <v>258745.5</v>
      </c>
      <c r="I973" s="29" t="n">
        <v>258745.5</v>
      </c>
      <c r="J973" s="7" t="n">
        <f aca="false">E973*1.19</f>
        <v>236851.65</v>
      </c>
      <c r="K973" s="7" t="n">
        <f aca="false">F973*1.19</f>
        <v>236851.65</v>
      </c>
      <c r="L973" s="50" t="s">
        <v>84</v>
      </c>
      <c r="M973" s="45"/>
      <c r="N973" s="46" t="s">
        <v>4956</v>
      </c>
      <c r="O973" s="55" t="s">
        <v>4957</v>
      </c>
      <c r="P973" s="45"/>
      <c r="Q973" s="45"/>
      <c r="R973" s="45"/>
      <c r="S973" s="45"/>
      <c r="T973" s="29" t="s">
        <v>4958</v>
      </c>
      <c r="U973" s="45"/>
      <c r="V973" s="29" t="s">
        <v>4959</v>
      </c>
      <c r="W973" s="29" t="s">
        <v>4960</v>
      </c>
      <c r="X973" s="29" t="s">
        <v>139</v>
      </c>
      <c r="Y973" s="29" t="s">
        <v>4961</v>
      </c>
      <c r="Z973" s="45"/>
      <c r="AA973" s="45"/>
      <c r="AB973" s="45"/>
      <c r="AC973" s="45"/>
      <c r="AD973" s="45"/>
      <c r="AE973" s="45"/>
      <c r="AF973" s="45"/>
      <c r="AG973" s="45"/>
      <c r="AH973" s="45"/>
      <c r="AI973" s="47" t="n">
        <v>45382</v>
      </c>
      <c r="AJ973" s="48" t="n">
        <v>20</v>
      </c>
      <c r="AK973" s="29" t="s">
        <v>433</v>
      </c>
      <c r="AL973" s="45"/>
      <c r="AM973" s="5" t="s">
        <v>140</v>
      </c>
      <c r="AN973" s="5" t="s">
        <v>141</v>
      </c>
      <c r="AO973" s="45"/>
      <c r="AP973" s="45"/>
      <c r="AQ973" s="29" t="s">
        <v>4924</v>
      </c>
      <c r="AR973" s="5" t="s">
        <v>143</v>
      </c>
      <c r="AS973" s="5" t="s">
        <v>73</v>
      </c>
      <c r="AT973" s="5" t="s">
        <v>78</v>
      </c>
      <c r="AU973" s="29"/>
      <c r="AV973" s="49"/>
      <c r="AW973" s="5" t="s">
        <v>94</v>
      </c>
      <c r="AX973" s="5" t="s">
        <v>495</v>
      </c>
      <c r="AY973" s="5"/>
      <c r="AZ973" s="5" t="s">
        <v>129</v>
      </c>
      <c r="BA973" s="45"/>
      <c r="BB973" s="45"/>
      <c r="BC973" s="45"/>
      <c r="BD973" s="45"/>
      <c r="BE973" s="45"/>
      <c r="BF973" s="45"/>
      <c r="BG973" s="45"/>
      <c r="BH973" s="45"/>
      <c r="BI973" s="45"/>
      <c r="BJ973" s="29" t="n">
        <v>2024</v>
      </c>
      <c r="BK973" s="47" t="n">
        <v>45991</v>
      </c>
    </row>
    <row r="974" customFormat="false" ht="16.5" hidden="false" customHeight="true" outlineLevel="0" collapsed="false">
      <c r="A974" s="28" t="s">
        <v>1536</v>
      </c>
      <c r="B974" s="28" t="s">
        <v>4962</v>
      </c>
      <c r="C974" s="43"/>
      <c r="D974" s="44" t="s">
        <v>2121</v>
      </c>
      <c r="E974" s="53" t="n">
        <v>242633</v>
      </c>
      <c r="F974" s="53" t="n">
        <v>242633</v>
      </c>
      <c r="G974" s="28" t="s">
        <v>132</v>
      </c>
      <c r="H974" s="29" t="n">
        <v>315422.9</v>
      </c>
      <c r="I974" s="29" t="n">
        <v>315422.9</v>
      </c>
      <c r="J974" s="7" t="n">
        <f aca="false">E974*1.19</f>
        <v>288733.27</v>
      </c>
      <c r="K974" s="7" t="n">
        <f aca="false">F974*1.19</f>
        <v>288733.27</v>
      </c>
      <c r="L974" s="50" t="s">
        <v>84</v>
      </c>
      <c r="M974" s="45"/>
      <c r="N974" s="46" t="s">
        <v>4963</v>
      </c>
      <c r="O974" s="29" t="s">
        <v>4964</v>
      </c>
      <c r="P974" s="45"/>
      <c r="Q974" s="45"/>
      <c r="R974" s="45"/>
      <c r="S974" s="45"/>
      <c r="T974" s="29" t="s">
        <v>1538</v>
      </c>
      <c r="U974" s="45"/>
      <c r="V974" s="29" t="s">
        <v>1200</v>
      </c>
      <c r="W974" s="29" t="s">
        <v>90</v>
      </c>
      <c r="X974" s="29" t="s">
        <v>139</v>
      </c>
      <c r="Y974" s="29" t="s">
        <v>4938</v>
      </c>
      <c r="Z974" s="45"/>
      <c r="AA974" s="45"/>
      <c r="AB974" s="45"/>
      <c r="AC974" s="45"/>
      <c r="AD974" s="45"/>
      <c r="AE974" s="45"/>
      <c r="AF974" s="45"/>
      <c r="AG974" s="45"/>
      <c r="AH974" s="45"/>
      <c r="AI974" s="47" t="n">
        <v>45473</v>
      </c>
      <c r="AJ974" s="48" t="n">
        <v>24</v>
      </c>
      <c r="AK974" s="29" t="s">
        <v>433</v>
      </c>
      <c r="AL974" s="45"/>
      <c r="AM974" s="5" t="s">
        <v>140</v>
      </c>
      <c r="AN974" s="25" t="s">
        <v>1539</v>
      </c>
      <c r="AO974" s="45"/>
      <c r="AP974" s="45"/>
      <c r="AQ974" s="29" t="s">
        <v>4924</v>
      </c>
      <c r="AR974" s="5" t="s">
        <v>143</v>
      </c>
      <c r="AS974" s="5" t="s">
        <v>73</v>
      </c>
      <c r="AT974" s="5" t="s">
        <v>71</v>
      </c>
      <c r="AU974" s="45"/>
      <c r="AV974" s="43"/>
      <c r="AW974" s="5" t="s">
        <v>94</v>
      </c>
      <c r="AX974" s="50" t="s">
        <v>375</v>
      </c>
      <c r="AY974" s="51"/>
      <c r="AZ974" s="5" t="s">
        <v>399</v>
      </c>
      <c r="BA974" s="45"/>
      <c r="BB974" s="45"/>
      <c r="BC974" s="45"/>
      <c r="BD974" s="45"/>
      <c r="BE974" s="45"/>
      <c r="BF974" s="45"/>
      <c r="BG974" s="45"/>
      <c r="BH974" s="45"/>
      <c r="BI974" s="45"/>
      <c r="BJ974" s="29" t="n">
        <v>2024</v>
      </c>
      <c r="BK974" s="47" t="n">
        <v>46202</v>
      </c>
    </row>
    <row r="975" customFormat="false" ht="16.5" hidden="false" customHeight="true" outlineLevel="0" collapsed="false">
      <c r="A975" s="28" t="s">
        <v>3245</v>
      </c>
      <c r="B975" s="28" t="s">
        <v>4965</v>
      </c>
      <c r="C975" s="43"/>
      <c r="D975" s="44" t="s">
        <v>2121</v>
      </c>
      <c r="E975" s="16" t="n">
        <v>125000</v>
      </c>
      <c r="F975" s="16" t="n">
        <v>100000</v>
      </c>
      <c r="G975" s="28" t="s">
        <v>132</v>
      </c>
      <c r="H975" s="29" t="n">
        <v>0</v>
      </c>
      <c r="I975" s="29" t="n">
        <v>0</v>
      </c>
      <c r="J975" s="7" t="n">
        <f aca="false">E975*1.19</f>
        <v>148750</v>
      </c>
      <c r="K975" s="7" t="n">
        <f aca="false">F975*1.19</f>
        <v>119000</v>
      </c>
      <c r="L975" s="50" t="s">
        <v>84</v>
      </c>
      <c r="M975" s="45"/>
      <c r="N975" s="46" t="s">
        <v>4966</v>
      </c>
      <c r="O975" s="29" t="s">
        <v>4967</v>
      </c>
      <c r="P975" s="45"/>
      <c r="Q975" s="45"/>
      <c r="R975" s="45"/>
      <c r="S975" s="45"/>
      <c r="T975" s="45"/>
      <c r="U975" s="45"/>
      <c r="V975" s="29" t="s">
        <v>1139</v>
      </c>
      <c r="W975" s="29" t="s">
        <v>90</v>
      </c>
      <c r="X975" s="29" t="s">
        <v>139</v>
      </c>
      <c r="Y975" s="29" t="s">
        <v>4968</v>
      </c>
      <c r="Z975" s="45"/>
      <c r="AA975" s="45"/>
      <c r="AB975" s="45"/>
      <c r="AC975" s="45"/>
      <c r="AD975" s="45"/>
      <c r="AE975" s="45"/>
      <c r="AF975" s="45"/>
      <c r="AG975" s="45"/>
      <c r="AH975" s="45"/>
      <c r="AI975" s="47" t="n">
        <v>45323</v>
      </c>
      <c r="AJ975" s="48" t="n">
        <v>48</v>
      </c>
      <c r="AK975" s="29" t="s">
        <v>433</v>
      </c>
      <c r="AL975" s="45"/>
      <c r="AM975" s="5" t="s">
        <v>140</v>
      </c>
      <c r="AN975" s="25" t="s">
        <v>199</v>
      </c>
      <c r="AO975" s="45"/>
      <c r="AP975" s="45"/>
      <c r="AQ975" s="29" t="s">
        <v>4924</v>
      </c>
      <c r="AR975" s="5" t="s">
        <v>143</v>
      </c>
      <c r="AS975" s="5" t="s">
        <v>73</v>
      </c>
      <c r="AT975" s="5" t="s">
        <v>105</v>
      </c>
      <c r="AU975" s="29"/>
      <c r="AV975" s="49"/>
      <c r="AW975" s="5" t="s">
        <v>201</v>
      </c>
      <c r="AX975" s="50" t="s">
        <v>375</v>
      </c>
      <c r="AY975" s="51"/>
      <c r="AZ975" s="5" t="s">
        <v>188</v>
      </c>
      <c r="BA975" s="45"/>
      <c r="BB975" s="45"/>
      <c r="BC975" s="45"/>
      <c r="BD975" s="45"/>
      <c r="BE975" s="45"/>
      <c r="BF975" s="45"/>
      <c r="BG975" s="45"/>
      <c r="BH975" s="45"/>
      <c r="BI975" s="45"/>
      <c r="BJ975" s="29" t="n">
        <v>2024</v>
      </c>
      <c r="BK975" s="47" t="n">
        <v>46783</v>
      </c>
    </row>
    <row r="976" customFormat="false" ht="16.5" hidden="false" customHeight="true" outlineLevel="0" collapsed="false">
      <c r="A976" s="28" t="s">
        <v>4969</v>
      </c>
      <c r="B976" s="28" t="s">
        <v>4970</v>
      </c>
      <c r="C976" s="43"/>
      <c r="D976" s="46" t="s">
        <v>4971</v>
      </c>
      <c r="E976" s="29" t="n">
        <v>3998443</v>
      </c>
      <c r="F976" s="29" t="n">
        <v>3998443</v>
      </c>
      <c r="G976" s="29" t="s">
        <v>212</v>
      </c>
      <c r="H976" s="29" t="n">
        <v>363858.313</v>
      </c>
      <c r="I976" s="29" t="n">
        <v>363858.313</v>
      </c>
      <c r="J976" s="7" t="n">
        <f aca="false">E976*0.091</f>
        <v>363858.313</v>
      </c>
      <c r="K976" s="7" t="n">
        <f aca="false">F976*0.091</f>
        <v>363858.313</v>
      </c>
      <c r="L976" s="50" t="s">
        <v>84</v>
      </c>
      <c r="M976" s="45"/>
      <c r="N976" s="46" t="s">
        <v>4972</v>
      </c>
      <c r="O976" s="29" t="s">
        <v>4973</v>
      </c>
      <c r="P976" s="45"/>
      <c r="Q976" s="45"/>
      <c r="R976" s="45"/>
      <c r="S976" s="45"/>
      <c r="T976" s="29" t="s">
        <v>523</v>
      </c>
      <c r="U976" s="45"/>
      <c r="V976" s="29" t="s">
        <v>3133</v>
      </c>
      <c r="W976" s="29" t="s">
        <v>90</v>
      </c>
      <c r="X976" s="29" t="s">
        <v>215</v>
      </c>
      <c r="Y976" s="45"/>
      <c r="Z976" s="45"/>
      <c r="AA976" s="45"/>
      <c r="AB976" s="45"/>
      <c r="AC976" s="45"/>
      <c r="AD976" s="45"/>
      <c r="AE976" s="45"/>
      <c r="AF976" s="45"/>
      <c r="AG976" s="45"/>
      <c r="AH976" s="45"/>
      <c r="AI976" s="29" t="n">
        <v>2024</v>
      </c>
      <c r="AJ976" s="48" t="n">
        <v>36</v>
      </c>
      <c r="AK976" s="29" t="s">
        <v>433</v>
      </c>
      <c r="AL976" s="45"/>
      <c r="AM976" s="5" t="s">
        <v>217</v>
      </c>
      <c r="AO976" s="45"/>
      <c r="AP976" s="45"/>
      <c r="AQ976" s="5" t="s">
        <v>77</v>
      </c>
      <c r="AR976" s="29" t="s">
        <v>215</v>
      </c>
      <c r="AS976" s="5" t="s">
        <v>73</v>
      </c>
      <c r="AT976" s="5" t="s">
        <v>78</v>
      </c>
      <c r="AU976" s="29"/>
      <c r="AV976" s="49"/>
      <c r="AW976" s="5" t="s">
        <v>94</v>
      </c>
      <c r="AX976" s="50" t="s">
        <v>375</v>
      </c>
      <c r="AY976" s="51"/>
      <c r="AZ976" s="5" t="s">
        <v>525</v>
      </c>
      <c r="BA976" s="45"/>
      <c r="BB976" s="45"/>
      <c r="BC976" s="45"/>
      <c r="BD976" s="45"/>
      <c r="BE976" s="45"/>
      <c r="BF976" s="45"/>
      <c r="BG976" s="45"/>
      <c r="BH976" s="45"/>
      <c r="BI976" s="45"/>
      <c r="BJ976" s="29" t="n">
        <v>2024</v>
      </c>
      <c r="BK976" s="29" t="n">
        <v>2027</v>
      </c>
    </row>
    <row r="977" customFormat="false" ht="16.5" hidden="false" customHeight="true" outlineLevel="0" collapsed="false">
      <c r="A977" s="28" t="s">
        <v>3166</v>
      </c>
      <c r="B977" s="28" t="s">
        <v>3167</v>
      </c>
      <c r="C977" s="43"/>
      <c r="D977" s="46" t="s">
        <v>4974</v>
      </c>
      <c r="E977" s="29" t="n">
        <v>3998924</v>
      </c>
      <c r="F977" s="29" t="n">
        <v>3998924</v>
      </c>
      <c r="G977" s="29" t="s">
        <v>212</v>
      </c>
      <c r="H977" s="29" t="n">
        <v>363902.084</v>
      </c>
      <c r="I977" s="29" t="n">
        <v>363902.084</v>
      </c>
      <c r="J977" s="7" t="n">
        <f aca="false">E977*0.091</f>
        <v>363902.084</v>
      </c>
      <c r="K977" s="7" t="n">
        <f aca="false">F977*0.091</f>
        <v>363902.084</v>
      </c>
      <c r="L977" s="50" t="s">
        <v>84</v>
      </c>
      <c r="M977" s="45"/>
      <c r="N977" s="46" t="s">
        <v>4975</v>
      </c>
      <c r="O977" s="29" t="s">
        <v>4976</v>
      </c>
      <c r="P977" s="45"/>
      <c r="Q977" s="45"/>
      <c r="R977" s="45"/>
      <c r="S977" s="45"/>
      <c r="T977" s="29" t="s">
        <v>3170</v>
      </c>
      <c r="U977" s="45"/>
      <c r="V977" s="29" t="s">
        <v>426</v>
      </c>
      <c r="W977" s="29" t="s">
        <v>90</v>
      </c>
      <c r="X977" s="29" t="s">
        <v>215</v>
      </c>
      <c r="Y977" s="45"/>
      <c r="Z977" s="45"/>
      <c r="AA977" s="45"/>
      <c r="AB977" s="45"/>
      <c r="AC977" s="45"/>
      <c r="AD977" s="45"/>
      <c r="AE977" s="45"/>
      <c r="AF977" s="45"/>
      <c r="AG977" s="45"/>
      <c r="AH977" s="45"/>
      <c r="AI977" s="29" t="n">
        <v>2024</v>
      </c>
      <c r="AJ977" s="48" t="n">
        <v>12</v>
      </c>
      <c r="AK977" s="29" t="s">
        <v>433</v>
      </c>
      <c r="AL977" s="45"/>
      <c r="AM977" s="5" t="s">
        <v>217</v>
      </c>
      <c r="AO977" s="45"/>
      <c r="AP977" s="45"/>
      <c r="AQ977" s="5" t="s">
        <v>77</v>
      </c>
      <c r="AR977" s="29" t="s">
        <v>215</v>
      </c>
      <c r="AS977" s="5" t="s">
        <v>73</v>
      </c>
      <c r="AT977" s="5" t="s">
        <v>78</v>
      </c>
      <c r="AU977" s="29"/>
      <c r="AV977" s="49"/>
      <c r="AW977" s="5" t="s">
        <v>94</v>
      </c>
      <c r="AX977" s="50" t="s">
        <v>79</v>
      </c>
      <c r="AY977" s="51"/>
      <c r="AZ977" s="5" t="s">
        <v>188</v>
      </c>
      <c r="BA977" s="45"/>
      <c r="BB977" s="45"/>
      <c r="BC977" s="45"/>
      <c r="BD977" s="45"/>
      <c r="BE977" s="45"/>
      <c r="BF977" s="45"/>
      <c r="BG977" s="45"/>
      <c r="BH977" s="45"/>
      <c r="BI977" s="45"/>
      <c r="BJ977" s="29" t="n">
        <v>2024</v>
      </c>
      <c r="BK977" s="29" t="n">
        <v>2025</v>
      </c>
    </row>
    <row r="978" customFormat="false" ht="16.5" hidden="false" customHeight="true" outlineLevel="0" collapsed="false">
      <c r="A978" s="28" t="s">
        <v>3326</v>
      </c>
      <c r="B978" s="28" t="s">
        <v>3327</v>
      </c>
      <c r="C978" s="43"/>
      <c r="D978" s="44" t="s">
        <v>4977</v>
      </c>
      <c r="E978" s="45"/>
      <c r="F978" s="45"/>
      <c r="G978" s="29" t="s">
        <v>147</v>
      </c>
      <c r="H978" s="45"/>
      <c r="I978" s="45"/>
      <c r="J978" s="56"/>
      <c r="K978" s="56"/>
      <c r="L978" s="50" t="s">
        <v>84</v>
      </c>
      <c r="M978" s="45"/>
      <c r="N978" s="46" t="s">
        <v>4978</v>
      </c>
      <c r="O978" s="45"/>
      <c r="P978" s="45"/>
      <c r="Q978" s="45"/>
      <c r="R978" s="45"/>
      <c r="S978" s="45"/>
      <c r="T978" s="29" t="s">
        <v>3328</v>
      </c>
      <c r="U978" s="45"/>
      <c r="V978" s="29" t="s">
        <v>2433</v>
      </c>
      <c r="W978" s="29" t="s">
        <v>90</v>
      </c>
      <c r="X978" s="29" t="s">
        <v>271</v>
      </c>
      <c r="Y978" s="45"/>
      <c r="Z978" s="45"/>
      <c r="AA978" s="45"/>
      <c r="AB978" s="45"/>
      <c r="AC978" s="45"/>
      <c r="AD978" s="45"/>
      <c r="AE978" s="45"/>
      <c r="AF978" s="45"/>
      <c r="AG978" s="45"/>
      <c r="AH978" s="45"/>
      <c r="AI978" s="57" t="n">
        <v>45301</v>
      </c>
      <c r="AJ978" s="58"/>
      <c r="AK978" s="45"/>
      <c r="AL978" s="45"/>
      <c r="AM978" s="13" t="s">
        <v>2362</v>
      </c>
      <c r="AO978" s="45"/>
      <c r="AP978" s="45"/>
      <c r="AQ978" s="5" t="s">
        <v>77</v>
      </c>
      <c r="AR978" s="29" t="s">
        <v>271</v>
      </c>
      <c r="AS978" s="5" t="s">
        <v>73</v>
      </c>
      <c r="AT978" s="5" t="s">
        <v>105</v>
      </c>
      <c r="AU978" s="29"/>
      <c r="AV978" s="49"/>
      <c r="AW978" s="5" t="s">
        <v>94</v>
      </c>
      <c r="AX978" s="50" t="s">
        <v>218</v>
      </c>
      <c r="AY978" s="51"/>
      <c r="AZ978" s="5" t="s">
        <v>129</v>
      </c>
      <c r="BA978" s="45"/>
      <c r="BB978" s="45"/>
      <c r="BC978" s="45"/>
      <c r="BD978" s="45"/>
      <c r="BE978" s="45"/>
      <c r="BF978" s="45"/>
      <c r="BG978" s="45"/>
      <c r="BH978" s="45"/>
      <c r="BI978" s="45"/>
      <c r="BJ978" s="50" t="n">
        <v>2024</v>
      </c>
      <c r="BK978" s="59" t="s">
        <v>4979</v>
      </c>
    </row>
    <row r="979" customFormat="false" ht="16.5" hidden="false" customHeight="true" outlineLevel="0" collapsed="false">
      <c r="A979" s="28" t="s">
        <v>3336</v>
      </c>
      <c r="B979" s="28" t="s">
        <v>3337</v>
      </c>
      <c r="C979" s="43"/>
      <c r="D979" s="44" t="s">
        <v>4977</v>
      </c>
      <c r="E979" s="45"/>
      <c r="F979" s="45"/>
      <c r="G979" s="29" t="s">
        <v>147</v>
      </c>
      <c r="H979" s="45"/>
      <c r="I979" s="45"/>
      <c r="J979" s="56"/>
      <c r="K979" s="56"/>
      <c r="L979" s="50" t="s">
        <v>84</v>
      </c>
      <c r="M979" s="45"/>
      <c r="N979" s="29" t="s">
        <v>4980</v>
      </c>
      <c r="O979" s="45"/>
      <c r="P979" s="45"/>
      <c r="Q979" s="45"/>
      <c r="R979" s="45"/>
      <c r="S979" s="45"/>
      <c r="T979" s="29" t="s">
        <v>3338</v>
      </c>
      <c r="U979" s="45"/>
      <c r="V979" s="29" t="s">
        <v>2433</v>
      </c>
      <c r="W979" s="29" t="s">
        <v>90</v>
      </c>
      <c r="X979" s="29" t="s">
        <v>271</v>
      </c>
      <c r="Y979" s="45"/>
      <c r="Z979" s="45"/>
      <c r="AA979" s="45"/>
      <c r="AB979" s="45"/>
      <c r="AC979" s="45"/>
      <c r="AD979" s="45"/>
      <c r="AE979" s="45"/>
      <c r="AF979" s="45"/>
      <c r="AG979" s="45"/>
      <c r="AH979" s="45"/>
      <c r="AI979" s="60" t="n">
        <v>45698</v>
      </c>
      <c r="AJ979" s="58"/>
      <c r="AK979" s="45"/>
      <c r="AL979" s="45"/>
      <c r="AM979" s="13" t="s">
        <v>2362</v>
      </c>
      <c r="AO979" s="45"/>
      <c r="AP979" s="45"/>
      <c r="AQ979" s="5" t="s">
        <v>77</v>
      </c>
      <c r="AR979" s="29" t="s">
        <v>271</v>
      </c>
      <c r="AS979" s="5" t="s">
        <v>73</v>
      </c>
      <c r="AT979" s="5" t="s">
        <v>78</v>
      </c>
      <c r="AU979" s="10" t="s">
        <v>259</v>
      </c>
      <c r="AV979" s="10"/>
      <c r="AW979" s="5" t="s">
        <v>94</v>
      </c>
      <c r="AX979" s="50" t="s">
        <v>375</v>
      </c>
      <c r="AY979" s="51"/>
      <c r="AZ979" s="5" t="s">
        <v>525</v>
      </c>
      <c r="BA979" s="45"/>
      <c r="BB979" s="45"/>
      <c r="BC979" s="45"/>
      <c r="BD979" s="45"/>
      <c r="BE979" s="45"/>
      <c r="BF979" s="45"/>
      <c r="BG979" s="45"/>
      <c r="BH979" s="45"/>
      <c r="BI979" s="45"/>
      <c r="BJ979" s="50" t="n">
        <v>2025</v>
      </c>
      <c r="BK979" s="61" t="n">
        <v>47158</v>
      </c>
    </row>
    <row r="980" customFormat="false" ht="16.5" hidden="false" customHeight="true" outlineLevel="0" collapsed="false">
      <c r="A980" s="28" t="s">
        <v>3339</v>
      </c>
      <c r="B980" s="28" t="s">
        <v>3340</v>
      </c>
      <c r="C980" s="43"/>
      <c r="D980" s="44" t="s">
        <v>4977</v>
      </c>
      <c r="E980" s="45"/>
      <c r="F980" s="45"/>
      <c r="G980" s="29" t="s">
        <v>147</v>
      </c>
      <c r="H980" s="45"/>
      <c r="I980" s="45"/>
      <c r="J980" s="56"/>
      <c r="K980" s="56"/>
      <c r="L980" s="50" t="s">
        <v>84</v>
      </c>
      <c r="M980" s="45"/>
      <c r="N980" s="52"/>
      <c r="O980" s="45"/>
      <c r="P980" s="45"/>
      <c r="Q980" s="45"/>
      <c r="R980" s="45"/>
      <c r="S980" s="45"/>
      <c r="T980" s="29" t="s">
        <v>3341</v>
      </c>
      <c r="U980" s="45"/>
      <c r="V980" s="29" t="s">
        <v>2433</v>
      </c>
      <c r="W980" s="29" t="s">
        <v>90</v>
      </c>
      <c r="X980" s="29" t="s">
        <v>271</v>
      </c>
      <c r="Y980" s="45"/>
      <c r="Z980" s="45"/>
      <c r="AA980" s="45"/>
      <c r="AB980" s="45"/>
      <c r="AC980" s="45"/>
      <c r="AD980" s="45"/>
      <c r="AE980" s="45"/>
      <c r="AF980" s="45"/>
      <c r="AG980" s="45"/>
      <c r="AH980" s="45"/>
      <c r="AI980" s="45"/>
      <c r="AJ980" s="58"/>
      <c r="AK980" s="45"/>
      <c r="AL980" s="45"/>
      <c r="AM980" s="13" t="s">
        <v>2362</v>
      </c>
      <c r="AO980" s="45"/>
      <c r="AP980" s="45"/>
      <c r="AQ980" s="5" t="s">
        <v>77</v>
      </c>
      <c r="AR980" s="29" t="s">
        <v>271</v>
      </c>
      <c r="AS980" s="5" t="s">
        <v>73</v>
      </c>
      <c r="AT980" s="50" t="s">
        <v>374</v>
      </c>
      <c r="AU980" s="45"/>
      <c r="AV980" s="43"/>
      <c r="AW980" s="5" t="s">
        <v>94</v>
      </c>
      <c r="AX980" s="50" t="s">
        <v>375</v>
      </c>
      <c r="AY980" s="51"/>
      <c r="AZ980" s="5" t="s">
        <v>239</v>
      </c>
      <c r="BA980" s="45"/>
      <c r="BB980" s="45"/>
      <c r="BC980" s="45"/>
      <c r="BD980" s="45"/>
      <c r="BE980" s="45"/>
      <c r="BF980" s="45"/>
      <c r="BG980" s="45"/>
      <c r="BH980" s="45"/>
      <c r="BI980" s="45"/>
      <c r="BJ980" s="50" t="n">
        <v>2019</v>
      </c>
      <c r="BK980" s="50" t="n">
        <v>2025</v>
      </c>
    </row>
    <row r="981" customFormat="false" ht="16.5" hidden="false" customHeight="true" outlineLevel="0" collapsed="false">
      <c r="A981" s="28" t="s">
        <v>1375</v>
      </c>
      <c r="B981" s="28" t="s">
        <v>1376</v>
      </c>
      <c r="C981" s="43"/>
      <c r="D981" s="44" t="s">
        <v>4981</v>
      </c>
      <c r="E981" s="45"/>
      <c r="F981" s="45"/>
      <c r="G981" s="29" t="s">
        <v>147</v>
      </c>
      <c r="H981" s="45"/>
      <c r="I981" s="45"/>
      <c r="J981" s="56"/>
      <c r="K981" s="56"/>
      <c r="L981" s="50" t="s">
        <v>84</v>
      </c>
      <c r="M981" s="45"/>
      <c r="N981" s="46" t="s">
        <v>4982</v>
      </c>
      <c r="O981" s="29" t="n">
        <v>21120</v>
      </c>
      <c r="P981" s="45"/>
      <c r="Q981" s="45"/>
      <c r="R981" s="45"/>
      <c r="S981" s="45"/>
      <c r="T981" s="29" t="s">
        <v>3064</v>
      </c>
      <c r="U981" s="45"/>
      <c r="V981" s="29" t="s">
        <v>2482</v>
      </c>
      <c r="W981" s="29" t="s">
        <v>90</v>
      </c>
      <c r="X981" s="29" t="s">
        <v>333</v>
      </c>
      <c r="Y981" s="45"/>
      <c r="Z981" s="45"/>
      <c r="AA981" s="45"/>
      <c r="AB981" s="45"/>
      <c r="AC981" s="45"/>
      <c r="AD981" s="45"/>
      <c r="AE981" s="45"/>
      <c r="AF981" s="45"/>
      <c r="AG981" s="45"/>
      <c r="AH981" s="45"/>
      <c r="AI981" s="47" t="n">
        <v>45684</v>
      </c>
      <c r="AJ981" s="48" t="n">
        <v>34</v>
      </c>
      <c r="AK981" s="29" t="s">
        <v>433</v>
      </c>
      <c r="AL981" s="45"/>
      <c r="AM981" s="50" t="s">
        <v>4983</v>
      </c>
      <c r="AO981" s="45"/>
      <c r="AP981" s="45"/>
      <c r="AQ981" s="5" t="s">
        <v>77</v>
      </c>
      <c r="AR981" s="50" t="s">
        <v>333</v>
      </c>
      <c r="AS981" s="5" t="s">
        <v>73</v>
      </c>
      <c r="AT981" s="5" t="s">
        <v>374</v>
      </c>
      <c r="AU981" s="29"/>
      <c r="AV981" s="49"/>
      <c r="AW981" s="5" t="s">
        <v>94</v>
      </c>
      <c r="AX981" s="50" t="s">
        <v>218</v>
      </c>
      <c r="AY981" s="51"/>
      <c r="AZ981" s="5" t="s">
        <v>239</v>
      </c>
      <c r="BA981" s="45"/>
      <c r="BB981" s="45"/>
      <c r="BC981" s="45"/>
      <c r="BD981" s="45"/>
      <c r="BE981" s="45"/>
      <c r="BF981" s="45"/>
      <c r="BG981" s="45"/>
      <c r="BH981" s="45"/>
      <c r="BI981" s="45"/>
      <c r="BJ981" s="29" t="n">
        <v>2025</v>
      </c>
      <c r="BK981" s="47" t="n">
        <v>46721</v>
      </c>
    </row>
    <row r="982" customFormat="false" ht="16.5" hidden="false" customHeight="true" outlineLevel="0" collapsed="false">
      <c r="A982" s="28" t="s">
        <v>3347</v>
      </c>
      <c r="B982" s="28"/>
      <c r="C982" s="43"/>
      <c r="D982" s="44" t="s">
        <v>4984</v>
      </c>
      <c r="E982" s="45"/>
      <c r="F982" s="45"/>
      <c r="G982" s="29" t="s">
        <v>147</v>
      </c>
      <c r="H982" s="45"/>
      <c r="I982" s="45"/>
      <c r="J982" s="56"/>
      <c r="K982" s="56"/>
      <c r="L982" s="50" t="s">
        <v>84</v>
      </c>
      <c r="M982" s="45"/>
      <c r="N982" s="52"/>
      <c r="O982" s="45"/>
      <c r="P982" s="45"/>
      <c r="Q982" s="45"/>
      <c r="R982" s="45"/>
      <c r="S982" s="45"/>
      <c r="T982" s="45"/>
      <c r="U982" s="45"/>
      <c r="V982" s="45"/>
      <c r="W982" s="45"/>
      <c r="X982" s="29" t="s">
        <v>180</v>
      </c>
      <c r="Y982" s="45"/>
      <c r="Z982" s="45"/>
      <c r="AA982" s="45"/>
      <c r="AB982" s="45"/>
      <c r="AC982" s="45"/>
      <c r="AD982" s="45"/>
      <c r="AE982" s="29" t="s">
        <v>4985</v>
      </c>
      <c r="AF982" s="45"/>
      <c r="AG982" s="45"/>
      <c r="AH982" s="45"/>
      <c r="AI982" s="47" t="n">
        <v>45292</v>
      </c>
      <c r="AJ982" s="58"/>
      <c r="AK982" s="45"/>
      <c r="AL982" s="45"/>
      <c r="AM982" s="5" t="s">
        <v>307</v>
      </c>
      <c r="AO982" s="45"/>
      <c r="AP982" s="45"/>
      <c r="AQ982" s="29" t="s">
        <v>4924</v>
      </c>
      <c r="AR982" s="29" t="s">
        <v>180</v>
      </c>
      <c r="AS982" s="5" t="s">
        <v>73</v>
      </c>
      <c r="AT982" s="5" t="s">
        <v>78</v>
      </c>
      <c r="AU982" s="29"/>
      <c r="AV982" s="49"/>
      <c r="AW982" s="5" t="s">
        <v>94</v>
      </c>
      <c r="AX982" s="50" t="s">
        <v>79</v>
      </c>
      <c r="AY982" s="51"/>
      <c r="AZ982" s="5" t="s">
        <v>129</v>
      </c>
      <c r="BA982" s="45"/>
      <c r="BB982" s="45"/>
      <c r="BC982" s="45"/>
      <c r="BD982" s="45"/>
      <c r="BE982" s="45"/>
      <c r="BF982" s="45"/>
      <c r="BG982" s="45"/>
      <c r="BH982" s="45"/>
      <c r="BI982" s="45"/>
      <c r="BJ982" s="29" t="n">
        <v>2024</v>
      </c>
      <c r="BK982" s="45"/>
    </row>
    <row r="983" customFormat="false" ht="16.5" hidden="false" customHeight="true" outlineLevel="0" collapsed="false">
      <c r="A983" s="28" t="s">
        <v>3348</v>
      </c>
      <c r="B983" s="28"/>
      <c r="C983" s="43"/>
      <c r="D983" s="44" t="s">
        <v>4984</v>
      </c>
      <c r="E983" s="45"/>
      <c r="F983" s="45"/>
      <c r="G983" s="29" t="s">
        <v>147</v>
      </c>
      <c r="H983" s="45"/>
      <c r="I983" s="45"/>
      <c r="J983" s="56"/>
      <c r="K983" s="56"/>
      <c r="L983" s="50" t="s">
        <v>84</v>
      </c>
      <c r="M983" s="45"/>
      <c r="N983" s="46" t="s">
        <v>4986</v>
      </c>
      <c r="O983" s="45"/>
      <c r="P983" s="45"/>
      <c r="Q983" s="45"/>
      <c r="R983" s="45"/>
      <c r="S983" s="45"/>
      <c r="T983" s="45"/>
      <c r="U983" s="45"/>
      <c r="V983" s="29" t="s">
        <v>3349</v>
      </c>
      <c r="W983" s="45"/>
      <c r="X983" s="29" t="s">
        <v>180</v>
      </c>
      <c r="Y983" s="45"/>
      <c r="Z983" s="45"/>
      <c r="AA983" s="45"/>
      <c r="AB983" s="45"/>
      <c r="AC983" s="45"/>
      <c r="AD983" s="45"/>
      <c r="AE983" s="45"/>
      <c r="AF983" s="45"/>
      <c r="AG983" s="45"/>
      <c r="AH983" s="45"/>
      <c r="AI983" s="47" t="n">
        <v>45323</v>
      </c>
      <c r="AJ983" s="58"/>
      <c r="AK983" s="45"/>
      <c r="AL983" s="45"/>
      <c r="AM983" s="5" t="s">
        <v>307</v>
      </c>
      <c r="AO983" s="45"/>
      <c r="AP983" s="45"/>
      <c r="AQ983" s="29" t="s">
        <v>4924</v>
      </c>
      <c r="AR983" s="29" t="s">
        <v>180</v>
      </c>
      <c r="AS983" s="5" t="s">
        <v>73</v>
      </c>
      <c r="AT983" s="5" t="s">
        <v>71</v>
      </c>
      <c r="AU983" s="45"/>
      <c r="AV983" s="43"/>
      <c r="AW983" s="5" t="s">
        <v>94</v>
      </c>
      <c r="AX983" s="50" t="s">
        <v>79</v>
      </c>
      <c r="AY983" s="51"/>
      <c r="AZ983" s="5" t="s">
        <v>129</v>
      </c>
      <c r="BA983" s="45"/>
      <c r="BB983" s="45"/>
      <c r="BC983" s="45"/>
      <c r="BD983" s="45"/>
      <c r="BE983" s="45"/>
      <c r="BF983" s="45"/>
      <c r="BG983" s="45"/>
      <c r="BH983" s="45"/>
      <c r="BI983" s="45"/>
      <c r="BJ983" s="29" t="n">
        <v>2024</v>
      </c>
      <c r="BK983" s="45"/>
    </row>
    <row r="984" customFormat="false" ht="16.5" hidden="false" customHeight="true" outlineLevel="0" collapsed="false">
      <c r="A984" s="28" t="s">
        <v>3350</v>
      </c>
      <c r="B984" s="28"/>
      <c r="C984" s="43"/>
      <c r="D984" s="44" t="s">
        <v>4984</v>
      </c>
      <c r="E984" s="45"/>
      <c r="F984" s="45"/>
      <c r="G984" s="29" t="s">
        <v>147</v>
      </c>
      <c r="H984" s="45"/>
      <c r="I984" s="45"/>
      <c r="J984" s="56"/>
      <c r="K984" s="56"/>
      <c r="L984" s="50" t="s">
        <v>84</v>
      </c>
      <c r="M984" s="45"/>
      <c r="N984" s="52"/>
      <c r="O984" s="45"/>
      <c r="P984" s="45"/>
      <c r="Q984" s="45"/>
      <c r="R984" s="45"/>
      <c r="S984" s="45"/>
      <c r="T984" s="45"/>
      <c r="U984" s="45"/>
      <c r="V984" s="45"/>
      <c r="W984" s="45"/>
      <c r="X984" s="29" t="s">
        <v>180</v>
      </c>
      <c r="Y984" s="45"/>
      <c r="Z984" s="45"/>
      <c r="AA984" s="45"/>
      <c r="AB984" s="45"/>
      <c r="AC984" s="45"/>
      <c r="AD984" s="45"/>
      <c r="AE984" s="29" t="s">
        <v>4987</v>
      </c>
      <c r="AF984" s="45"/>
      <c r="AG984" s="45"/>
      <c r="AH984" s="45"/>
      <c r="AI984" s="47" t="n">
        <v>45383</v>
      </c>
      <c r="AJ984" s="58"/>
      <c r="AK984" s="45"/>
      <c r="AL984" s="45"/>
      <c r="AM984" s="5" t="s">
        <v>307</v>
      </c>
      <c r="AO984" s="45"/>
      <c r="AP984" s="45"/>
      <c r="AQ984" s="29" t="s">
        <v>4924</v>
      </c>
      <c r="AR984" s="29" t="s">
        <v>180</v>
      </c>
      <c r="AS984" s="5" t="s">
        <v>73</v>
      </c>
      <c r="AT984" s="5" t="s">
        <v>78</v>
      </c>
      <c r="AU984" s="29"/>
      <c r="AV984" s="49"/>
      <c r="AW984" s="5" t="s">
        <v>94</v>
      </c>
      <c r="AX984" s="50" t="s">
        <v>375</v>
      </c>
      <c r="AY984" s="51"/>
      <c r="AZ984" s="5" t="s">
        <v>525</v>
      </c>
      <c r="BA984" s="45"/>
      <c r="BB984" s="45"/>
      <c r="BC984" s="45"/>
      <c r="BD984" s="45"/>
      <c r="BE984" s="45"/>
      <c r="BF984" s="45"/>
      <c r="BG984" s="45"/>
      <c r="BH984" s="45"/>
      <c r="BI984" s="45"/>
      <c r="BJ984" s="29" t="n">
        <v>2024</v>
      </c>
      <c r="BK984" s="45"/>
    </row>
    <row r="985" customFormat="false" ht="18" hidden="false" customHeight="true" outlineLevel="0" collapsed="false">
      <c r="A985" s="28" t="s">
        <v>4988</v>
      </c>
      <c r="B985" s="28" t="s">
        <v>4989</v>
      </c>
      <c r="C985" s="45"/>
      <c r="D985" s="33" t="s">
        <v>4990</v>
      </c>
      <c r="E985" s="33" t="n">
        <v>2432030</v>
      </c>
      <c r="F985" s="33" t="n">
        <v>2432030</v>
      </c>
      <c r="G985" s="29" t="s">
        <v>147</v>
      </c>
      <c r="H985" s="33" t="n">
        <v>2643510.87</v>
      </c>
      <c r="I985" s="33" t="n">
        <v>2643510.87</v>
      </c>
      <c r="J985" s="34" t="n">
        <v>2432030</v>
      </c>
      <c r="K985" s="34" t="n">
        <v>2432030</v>
      </c>
      <c r="L985" s="33" t="s">
        <v>84</v>
      </c>
      <c r="M985" s="45"/>
      <c r="N985" s="62" t="s">
        <v>4991</v>
      </c>
      <c r="O985" s="33" t="n">
        <v>101158710</v>
      </c>
      <c r="P985" s="45"/>
      <c r="Q985" s="45"/>
      <c r="R985" s="45"/>
      <c r="S985" s="45"/>
      <c r="T985" s="45"/>
      <c r="U985" s="45"/>
      <c r="V985" s="63" t="s">
        <v>4992</v>
      </c>
      <c r="W985" s="33" t="s">
        <v>4933</v>
      </c>
      <c r="X985" s="33" t="s">
        <v>975</v>
      </c>
      <c r="Y985" s="33" t="s">
        <v>73</v>
      </c>
      <c r="Z985" s="45"/>
      <c r="AA985" s="45"/>
      <c r="AB985" s="45"/>
      <c r="AC985" s="45"/>
      <c r="AD985" s="45"/>
      <c r="AE985" s="45"/>
      <c r="AF985" s="45"/>
      <c r="AG985" s="45"/>
      <c r="AH985" s="45"/>
      <c r="AI985" s="64" t="n">
        <v>45383</v>
      </c>
      <c r="AJ985" s="65" t="n">
        <v>36</v>
      </c>
      <c r="AK985" s="33" t="s">
        <v>433</v>
      </c>
      <c r="AL985" s="45"/>
      <c r="AM985" s="28" t="s">
        <v>182</v>
      </c>
      <c r="AN985" s="5" t="s">
        <v>446</v>
      </c>
      <c r="AO985" s="66"/>
      <c r="AP985" s="45"/>
      <c r="AQ985" s="29" t="s">
        <v>4954</v>
      </c>
      <c r="AR985" s="33" t="s">
        <v>185</v>
      </c>
      <c r="AS985" s="5" t="s">
        <v>73</v>
      </c>
      <c r="AT985" s="5" t="s">
        <v>374</v>
      </c>
      <c r="AU985" s="66"/>
      <c r="AV985" s="67"/>
      <c r="AW985" s="25" t="s">
        <v>94</v>
      </c>
      <c r="AX985" s="50" t="s">
        <v>375</v>
      </c>
      <c r="AY985" s="51"/>
      <c r="AZ985" s="5" t="s">
        <v>239</v>
      </c>
      <c r="BA985" s="45"/>
      <c r="BB985" s="45"/>
      <c r="BC985" s="45"/>
      <c r="BD985" s="45"/>
      <c r="BE985" s="45"/>
      <c r="BF985" s="45"/>
      <c r="BG985" s="45"/>
      <c r="BH985" s="45"/>
      <c r="BI985" s="45"/>
      <c r="BJ985" s="33" t="n">
        <v>2024</v>
      </c>
      <c r="BK985" s="64" t="n">
        <v>46112</v>
      </c>
    </row>
    <row r="986" customFormat="false" ht="15.75" hidden="false" customHeight="false" outlineLevel="0" collapsed="false">
      <c r="A986" s="25" t="s">
        <v>4993</v>
      </c>
      <c r="B986" s="25"/>
      <c r="C986" s="25"/>
      <c r="D986" s="68"/>
      <c r="E986" s="25" t="n">
        <v>91000000</v>
      </c>
      <c r="F986" s="25" t="n">
        <v>91000000</v>
      </c>
      <c r="G986" s="25" t="s">
        <v>695</v>
      </c>
      <c r="H986" s="25"/>
      <c r="I986" s="25"/>
      <c r="J986" s="7" t="n">
        <f aca="false">E986*0.88</f>
        <v>80080000</v>
      </c>
      <c r="K986" s="7" t="n">
        <f aca="false">F986*0.88</f>
        <v>80080000</v>
      </c>
      <c r="L986" s="25" t="s">
        <v>84</v>
      </c>
      <c r="M986" s="25"/>
      <c r="N986" s="69" t="s">
        <v>4994</v>
      </c>
      <c r="O986" s="25"/>
      <c r="P986" s="25"/>
      <c r="Q986" s="25"/>
      <c r="R986" s="25"/>
      <c r="S986" s="25"/>
      <c r="T986" s="25"/>
      <c r="U986" s="25"/>
      <c r="V986" s="25" t="s">
        <v>4995</v>
      </c>
      <c r="W986" s="25" t="s">
        <v>4933</v>
      </c>
      <c r="X986" s="25" t="s">
        <v>215</v>
      </c>
      <c r="Y986" s="25" t="s">
        <v>73</v>
      </c>
      <c r="Z986" s="25"/>
      <c r="AA986" s="25"/>
      <c r="AB986" s="25"/>
      <c r="AC986" s="25"/>
      <c r="AD986" s="25"/>
      <c r="AE986" s="25"/>
      <c r="AF986" s="25"/>
      <c r="AG986" s="25"/>
      <c r="AH986" s="25"/>
      <c r="AI986" s="25"/>
      <c r="AJ986" s="70" t="e">
        <f aca="false">IF(OR(AI986="", #REF!=""), "", IFERROR(DATEDIF(AI986, #REF!, "M")+1, "N/A"))</f>
        <v>#REF!</v>
      </c>
      <c r="AK986" s="25" t="s">
        <v>75</v>
      </c>
      <c r="AL986" s="25"/>
      <c r="AM986" s="25" t="s">
        <v>4996</v>
      </c>
      <c r="AO986" s="25"/>
      <c r="AP986" s="25"/>
      <c r="AQ986" s="29" t="s">
        <v>4954</v>
      </c>
      <c r="AR986" s="25" t="s">
        <v>215</v>
      </c>
      <c r="AS986" s="25" t="s">
        <v>73</v>
      </c>
      <c r="AT986" s="25" t="s">
        <v>78</v>
      </c>
      <c r="AU986" s="25"/>
      <c r="AV986" s="25"/>
      <c r="AW986" s="5" t="s">
        <v>162</v>
      </c>
      <c r="AX986" s="28" t="s">
        <v>79</v>
      </c>
      <c r="AY986" s="25"/>
      <c r="AZ986" s="25"/>
      <c r="BA986" s="25"/>
      <c r="BB986" s="25"/>
      <c r="BC986" s="25"/>
      <c r="BD986" s="25"/>
      <c r="BE986" s="25"/>
      <c r="BF986" s="25"/>
      <c r="BG986" s="25"/>
      <c r="BH986" s="25"/>
      <c r="BI986" s="25"/>
      <c r="BJ986" s="71" t="n">
        <v>2022</v>
      </c>
      <c r="BK986" s="25"/>
    </row>
    <row r="987" customFormat="false" ht="15.75" hidden="false" customHeight="true" outlineLevel="0" collapsed="false">
      <c r="A987" s="25" t="s">
        <v>4997</v>
      </c>
      <c r="B987" s="25" t="s">
        <v>4998</v>
      </c>
      <c r="C987" s="25"/>
      <c r="D987" s="68" t="s">
        <v>4990</v>
      </c>
      <c r="E987" s="25" t="n">
        <v>6564763.85</v>
      </c>
      <c r="F987" s="25" t="n">
        <v>4993592</v>
      </c>
      <c r="G987" s="25" t="s">
        <v>147</v>
      </c>
      <c r="H987" s="25"/>
      <c r="I987" s="25"/>
      <c r="J987" s="72" t="n">
        <v>6564763.85</v>
      </c>
      <c r="K987" s="72" t="n">
        <v>4993592</v>
      </c>
      <c r="L987" s="25" t="s">
        <v>84</v>
      </c>
      <c r="M987" s="25"/>
      <c r="N987" s="69" t="s">
        <v>4999</v>
      </c>
      <c r="O987" s="25"/>
      <c r="P987" s="25"/>
      <c r="Q987" s="25"/>
      <c r="R987" s="25"/>
      <c r="S987" s="25"/>
      <c r="T987" s="25"/>
      <c r="U987" s="25" t="s">
        <v>5000</v>
      </c>
      <c r="V987" s="25" t="s">
        <v>5001</v>
      </c>
      <c r="W987" s="25" t="s">
        <v>90</v>
      </c>
      <c r="X987" s="25" t="s">
        <v>568</v>
      </c>
      <c r="Y987" s="25" t="s">
        <v>73</v>
      </c>
      <c r="Z987" s="25"/>
      <c r="AA987" s="25"/>
      <c r="AB987" s="25"/>
      <c r="AC987" s="25"/>
      <c r="AD987" s="25" t="s">
        <v>5002</v>
      </c>
      <c r="AF987" s="25"/>
      <c r="AG987" s="25"/>
      <c r="AH987" s="25"/>
      <c r="AI987" s="73" t="n">
        <v>41640</v>
      </c>
      <c r="AJ987" s="71" t="e">
        <f aca="false">IF(OR(AI987="", #REF!=""), "", IFERROR(DATEDIF(AI987, #REF!, "M")+1, "N/A"))</f>
        <v>#REF!</v>
      </c>
      <c r="AK987" s="25" t="s">
        <v>5003</v>
      </c>
      <c r="AL987" s="25"/>
      <c r="AM987" s="28" t="s">
        <v>182</v>
      </c>
      <c r="AN987" s="5" t="s">
        <v>5004</v>
      </c>
      <c r="AO987" s="25"/>
      <c r="AP987" s="25"/>
      <c r="AQ987" s="29" t="s">
        <v>4954</v>
      </c>
      <c r="AR987" s="25" t="s">
        <v>185</v>
      </c>
      <c r="AS987" s="25" t="s">
        <v>73</v>
      </c>
      <c r="AT987" s="25" t="s">
        <v>78</v>
      </c>
      <c r="AU987" s="25"/>
      <c r="AV987" s="25"/>
      <c r="AW987" s="25" t="s">
        <v>94</v>
      </c>
      <c r="AX987" s="25" t="s">
        <v>79</v>
      </c>
      <c r="AY987" s="25"/>
      <c r="AZ987" s="5" t="s">
        <v>309</v>
      </c>
      <c r="BA987" s="25"/>
      <c r="BB987" s="25"/>
      <c r="BC987" s="25"/>
      <c r="BD987" s="25"/>
      <c r="BE987" s="25"/>
      <c r="BF987" s="25"/>
      <c r="BG987" s="25"/>
      <c r="BH987" s="25"/>
      <c r="BI987" s="25"/>
      <c r="BJ987" s="71" t="n">
        <f aca="false">IF(AI987&lt;&gt;"", YEAR(AI987), "")</f>
        <v>2014</v>
      </c>
      <c r="BK987" s="25"/>
    </row>
    <row r="988" customFormat="false" ht="15.75" hidden="false" customHeight="true" outlineLevel="0" collapsed="false">
      <c r="A988" s="25" t="s">
        <v>5005</v>
      </c>
      <c r="B988" s="25" t="s">
        <v>5006</v>
      </c>
      <c r="C988" s="25"/>
      <c r="D988" s="68" t="s">
        <v>4990</v>
      </c>
      <c r="E988" s="25" t="n">
        <v>6882279.69</v>
      </c>
      <c r="F988" s="25" t="n">
        <v>4999000</v>
      </c>
      <c r="G988" s="25" t="s">
        <v>147</v>
      </c>
      <c r="H988" s="25"/>
      <c r="I988" s="25"/>
      <c r="J988" s="72" t="n">
        <v>6882279.69</v>
      </c>
      <c r="K988" s="72" t="n">
        <v>4999000</v>
      </c>
      <c r="L988" s="25" t="s">
        <v>84</v>
      </c>
      <c r="M988" s="25"/>
      <c r="N988" s="69" t="s">
        <v>5007</v>
      </c>
      <c r="O988" s="25"/>
      <c r="P988" s="25"/>
      <c r="Q988" s="25"/>
      <c r="R988" s="25"/>
      <c r="S988" s="25"/>
      <c r="T988" s="25"/>
      <c r="U988" s="25"/>
      <c r="V988" s="25" t="s">
        <v>538</v>
      </c>
      <c r="W988" s="25" t="s">
        <v>2279</v>
      </c>
      <c r="X988" s="25" t="s">
        <v>180</v>
      </c>
      <c r="Y988" s="25" t="s">
        <v>73</v>
      </c>
      <c r="Z988" s="25"/>
      <c r="AA988" s="25"/>
      <c r="AB988" s="25"/>
      <c r="AC988" s="25"/>
      <c r="AD988" s="5" t="s">
        <v>5008</v>
      </c>
      <c r="AE988" s="25"/>
      <c r="AF988" s="25"/>
      <c r="AG988" s="25"/>
      <c r="AH988" s="25"/>
      <c r="AI988" s="73" t="n">
        <v>41640</v>
      </c>
      <c r="AJ988" s="71" t="e">
        <f aca="false">IF(OR(AI988="", #REF!=""), "", IFERROR(DATEDIF(AI988, #REF!, "M")+1, "N/A"))</f>
        <v>#REF!</v>
      </c>
      <c r="AK988" s="25" t="s">
        <v>5003</v>
      </c>
      <c r="AL988" s="25"/>
      <c r="AM988" s="28" t="s">
        <v>182</v>
      </c>
      <c r="AN988" s="5" t="s">
        <v>5004</v>
      </c>
      <c r="AO988" s="25"/>
      <c r="AP988" s="25"/>
      <c r="AQ988" s="29" t="s">
        <v>4954</v>
      </c>
      <c r="AR988" s="25" t="s">
        <v>185</v>
      </c>
      <c r="AS988" s="25" t="s">
        <v>73</v>
      </c>
      <c r="AT988" s="25" t="s">
        <v>78</v>
      </c>
      <c r="AU988" s="25"/>
      <c r="AV988" s="25"/>
      <c r="AW988" s="25" t="s">
        <v>94</v>
      </c>
      <c r="AX988" s="25" t="s">
        <v>79</v>
      </c>
      <c r="AY988" s="25"/>
      <c r="AZ988" s="5" t="s">
        <v>309</v>
      </c>
      <c r="BA988" s="25"/>
      <c r="BB988" s="25"/>
      <c r="BC988" s="25"/>
      <c r="BD988" s="25"/>
      <c r="BE988" s="25"/>
      <c r="BF988" s="25"/>
      <c r="BG988" s="25"/>
      <c r="BH988" s="25"/>
      <c r="BI988" s="25"/>
      <c r="BJ988" s="71" t="n">
        <f aca="false">IF(AI988&lt;&gt;"", YEAR(AI988), "")</f>
        <v>2014</v>
      </c>
      <c r="BK988" s="25"/>
    </row>
    <row r="989" customFormat="false" ht="15.75" hidden="false" customHeight="true" outlineLevel="0" collapsed="false">
      <c r="A989" s="25" t="s">
        <v>5009</v>
      </c>
      <c r="B989" s="25" t="s">
        <v>5010</v>
      </c>
      <c r="C989" s="25"/>
      <c r="D989" s="68" t="s">
        <v>4990</v>
      </c>
      <c r="E989" s="25" t="n">
        <v>9448451.25</v>
      </c>
      <c r="F989" s="25" t="n">
        <v>7775109.01</v>
      </c>
      <c r="G989" s="25" t="s">
        <v>147</v>
      </c>
      <c r="H989" s="25"/>
      <c r="I989" s="25"/>
      <c r="J989" s="72" t="n">
        <v>9448451.25</v>
      </c>
      <c r="K989" s="72" t="n">
        <v>7775109.01</v>
      </c>
      <c r="L989" s="25" t="s">
        <v>84</v>
      </c>
      <c r="M989" s="25"/>
      <c r="N989" s="74" t="s">
        <v>5011</v>
      </c>
      <c r="O989" s="25"/>
      <c r="P989" s="25"/>
      <c r="Q989" s="25"/>
      <c r="R989" s="25"/>
      <c r="S989" s="25"/>
      <c r="T989" s="25"/>
      <c r="U989" s="25"/>
      <c r="V989" s="25" t="s">
        <v>5012</v>
      </c>
      <c r="W989" s="25" t="s">
        <v>2279</v>
      </c>
      <c r="X989" s="25" t="s">
        <v>257</v>
      </c>
      <c r="Y989" s="25" t="s">
        <v>73</v>
      </c>
      <c r="Z989" s="25"/>
      <c r="AA989" s="25"/>
      <c r="AB989" s="25"/>
      <c r="AC989" s="25"/>
      <c r="AD989" s="5" t="s">
        <v>5013</v>
      </c>
      <c r="AE989" s="25"/>
      <c r="AF989" s="25"/>
      <c r="AG989" s="25"/>
      <c r="AH989" s="25"/>
      <c r="AI989" s="73" t="n">
        <v>43739</v>
      </c>
      <c r="AJ989" s="71" t="e">
        <f aca="false">IF(OR(AI989="", #REF!=""), "", IFERROR(DATEDIF(AI989, #REF!, "M")+1, "N/A"))</f>
        <v>#REF!</v>
      </c>
      <c r="AK989" s="25" t="s">
        <v>5003</v>
      </c>
      <c r="AL989" s="25"/>
      <c r="AM989" s="28" t="s">
        <v>182</v>
      </c>
      <c r="AN989" s="24" t="s">
        <v>363</v>
      </c>
      <c r="AO989" s="25"/>
      <c r="AP989" s="25"/>
      <c r="AQ989" s="29" t="s">
        <v>4954</v>
      </c>
      <c r="AR989" s="25" t="s">
        <v>185</v>
      </c>
      <c r="AS989" s="25" t="s">
        <v>73</v>
      </c>
      <c r="AT989" s="25" t="s">
        <v>105</v>
      </c>
      <c r="AU989" s="25" t="s">
        <v>106</v>
      </c>
      <c r="AV989" s="10" t="s">
        <v>569</v>
      </c>
      <c r="AW989" s="25" t="s">
        <v>94</v>
      </c>
      <c r="AX989" s="25" t="s">
        <v>79</v>
      </c>
      <c r="AY989" s="25"/>
      <c r="AZ989" s="5" t="s">
        <v>129</v>
      </c>
      <c r="BA989" s="25"/>
      <c r="BB989" s="25"/>
      <c r="BC989" s="25"/>
      <c r="BD989" s="25"/>
      <c r="BE989" s="25"/>
      <c r="BF989" s="25"/>
      <c r="BG989" s="25"/>
      <c r="BH989" s="25"/>
      <c r="BI989" s="25"/>
      <c r="BJ989" s="71" t="n">
        <f aca="false">IF(AI989&lt;&gt;"", YEAR(AI989), "")</f>
        <v>2019</v>
      </c>
      <c r="BK989" s="25"/>
    </row>
    <row r="990" customFormat="false" ht="15.75" hidden="false" customHeight="true" outlineLevel="0" collapsed="false">
      <c r="A990" s="25" t="s">
        <v>5014</v>
      </c>
      <c r="B990" s="25" t="s">
        <v>5015</v>
      </c>
      <c r="C990" s="25"/>
      <c r="D990" s="68" t="s">
        <v>4990</v>
      </c>
      <c r="E990" s="25" t="n">
        <v>71429</v>
      </c>
      <c r="F990" s="25" t="n">
        <v>50000</v>
      </c>
      <c r="G990" s="25" t="s">
        <v>147</v>
      </c>
      <c r="H990" s="25"/>
      <c r="I990" s="25"/>
      <c r="J990" s="72" t="n">
        <v>71429</v>
      </c>
      <c r="K990" s="72" t="n">
        <v>50000</v>
      </c>
      <c r="L990" s="25" t="s">
        <v>84</v>
      </c>
      <c r="M990" s="25"/>
      <c r="N990" s="74" t="s">
        <v>5016</v>
      </c>
      <c r="O990" s="25"/>
      <c r="P990" s="25"/>
      <c r="Q990" s="25"/>
      <c r="R990" s="25"/>
      <c r="S990" s="25"/>
      <c r="T990" s="25"/>
      <c r="U990" s="25"/>
      <c r="V990" s="25" t="s">
        <v>5017</v>
      </c>
      <c r="W990" s="25" t="s">
        <v>4933</v>
      </c>
      <c r="X990" s="25" t="s">
        <v>333</v>
      </c>
      <c r="Y990" s="25" t="s">
        <v>73</v>
      </c>
      <c r="Z990" s="25"/>
      <c r="AA990" s="25"/>
      <c r="AB990" s="25"/>
      <c r="AC990" s="25"/>
      <c r="AD990" s="25"/>
      <c r="AE990" s="25"/>
      <c r="AF990" s="25"/>
      <c r="AG990" s="25"/>
      <c r="AH990" s="25"/>
      <c r="AI990" s="73" t="n">
        <v>43586</v>
      </c>
      <c r="AJ990" s="71" t="e">
        <f aca="false">IF(OR(AI990="", #REF!=""), "", IFERROR(DATEDIF(AI990, #REF!, "M")+1, "N/A"))</f>
        <v>#REF!</v>
      </c>
      <c r="AK990" s="25" t="s">
        <v>5003</v>
      </c>
      <c r="AL990" s="25"/>
      <c r="AM990" s="28" t="s">
        <v>182</v>
      </c>
      <c r="AN990" s="24" t="s">
        <v>2726</v>
      </c>
      <c r="AO990" s="25"/>
      <c r="AP990" s="25"/>
      <c r="AQ990" s="29" t="s">
        <v>4954</v>
      </c>
      <c r="AR990" s="25" t="s">
        <v>185</v>
      </c>
      <c r="AS990" s="25" t="s">
        <v>73</v>
      </c>
      <c r="AT990" s="25" t="s">
        <v>78</v>
      </c>
      <c r="AU990" s="25"/>
      <c r="AV990" s="25"/>
      <c r="AW990" s="5" t="s">
        <v>94</v>
      </c>
      <c r="AX990" s="25" t="s">
        <v>79</v>
      </c>
      <c r="AY990" s="25"/>
      <c r="AZ990" s="5" t="s">
        <v>129</v>
      </c>
      <c r="BA990" s="25"/>
      <c r="BB990" s="25"/>
      <c r="BC990" s="25"/>
      <c r="BD990" s="25"/>
      <c r="BE990" s="25"/>
      <c r="BF990" s="25"/>
      <c r="BG990" s="25"/>
      <c r="BH990" s="25"/>
      <c r="BI990" s="25"/>
      <c r="BJ990" s="71" t="n">
        <f aca="false">IF(AI990&lt;&gt;"", YEAR(AI990), "")</f>
        <v>2019</v>
      </c>
      <c r="BK990" s="25"/>
    </row>
    <row r="991" customFormat="false" ht="15.75" hidden="false" customHeight="true" outlineLevel="0" collapsed="false">
      <c r="A991" s="25" t="s">
        <v>5018</v>
      </c>
      <c r="B991" s="25" t="s">
        <v>5019</v>
      </c>
      <c r="C991" s="25"/>
      <c r="D991" s="68"/>
      <c r="E991" s="25" t="n">
        <v>500000</v>
      </c>
      <c r="F991" s="25" t="n">
        <v>500000</v>
      </c>
      <c r="G991" s="25" t="s">
        <v>63</v>
      </c>
      <c r="H991" s="25"/>
      <c r="I991" s="25"/>
      <c r="J991" s="7" t="n">
        <f aca="false">E991*0.13</f>
        <v>65000</v>
      </c>
      <c r="K991" s="7" t="n">
        <f aca="false">F991*0.13</f>
        <v>65000</v>
      </c>
      <c r="L991" s="25" t="s">
        <v>84</v>
      </c>
      <c r="M991" s="25"/>
      <c r="N991" s="69" t="s">
        <v>5020</v>
      </c>
      <c r="O991" s="25"/>
      <c r="P991" s="25"/>
      <c r="Q991" s="25"/>
      <c r="R991" s="25"/>
      <c r="S991" s="25"/>
      <c r="T991" s="25" t="s">
        <v>1663</v>
      </c>
      <c r="U991" s="25" t="s">
        <v>5021</v>
      </c>
      <c r="V991" s="25" t="s">
        <v>1664</v>
      </c>
      <c r="W991" s="25" t="s">
        <v>90</v>
      </c>
      <c r="X991" s="25" t="s">
        <v>72</v>
      </c>
      <c r="Y991" s="25" t="s">
        <v>73</v>
      </c>
      <c r="Z991" s="25"/>
      <c r="AA991" s="25"/>
      <c r="AB991" s="25"/>
      <c r="AC991" s="25"/>
      <c r="AD991" s="25"/>
      <c r="AE991" s="75"/>
      <c r="AF991" s="25"/>
      <c r="AG991" s="25"/>
      <c r="AH991" s="25"/>
      <c r="AI991" s="25"/>
      <c r="AJ991" s="70" t="e">
        <f aca="false">IF(OR(AI991="", #REF!=""), "", IFERROR(DATEDIF(AI991, #REF!, "M")+1, "N/A"))</f>
        <v>#REF!</v>
      </c>
      <c r="AK991" s="25"/>
      <c r="AL991" s="25"/>
      <c r="AM991" s="25" t="s">
        <v>229</v>
      </c>
      <c r="AO991" s="25"/>
      <c r="AP991" s="25"/>
      <c r="AQ991" s="25" t="s">
        <v>5022</v>
      </c>
      <c r="AR991" s="25" t="s">
        <v>72</v>
      </c>
      <c r="AS991" s="25" t="s">
        <v>73</v>
      </c>
      <c r="AT991" s="25" t="s">
        <v>78</v>
      </c>
      <c r="AU991" s="25"/>
      <c r="AV991" s="25"/>
      <c r="AW991" s="5" t="s">
        <v>94</v>
      </c>
      <c r="AX991" s="25" t="s">
        <v>79</v>
      </c>
      <c r="AY991" s="25"/>
      <c r="AZ991" s="5" t="s">
        <v>129</v>
      </c>
      <c r="BA991" s="25"/>
      <c r="BB991" s="25"/>
      <c r="BC991" s="25"/>
      <c r="BD991" s="25"/>
      <c r="BE991" s="25"/>
      <c r="BF991" s="25"/>
      <c r="BG991" s="25"/>
      <c r="BH991" s="25"/>
      <c r="BI991" s="25"/>
      <c r="BJ991" s="71" t="n">
        <v>2018</v>
      </c>
      <c r="BK991" s="25"/>
    </row>
    <row r="992" customFormat="false" ht="15.75" hidden="false" customHeight="true" outlineLevel="0" collapsed="false">
      <c r="A992" s="25" t="s">
        <v>5023</v>
      </c>
      <c r="B992" s="25" t="s">
        <v>5024</v>
      </c>
      <c r="C992" s="25"/>
      <c r="D992" s="68"/>
      <c r="E992" s="25"/>
      <c r="F992" s="25"/>
      <c r="G992" s="25"/>
      <c r="H992" s="25"/>
      <c r="I992" s="25"/>
      <c r="J992" s="72"/>
      <c r="K992" s="72"/>
      <c r="L992" s="25" t="s">
        <v>84</v>
      </c>
      <c r="M992" s="25"/>
      <c r="N992" s="69" t="s">
        <v>5025</v>
      </c>
      <c r="O992" s="25"/>
      <c r="P992" s="25"/>
      <c r="Q992" s="25"/>
      <c r="R992" s="25"/>
      <c r="S992" s="25"/>
      <c r="T992" s="25" t="s">
        <v>5026</v>
      </c>
      <c r="U992" s="25" t="s">
        <v>5027</v>
      </c>
      <c r="V992" s="25" t="s">
        <v>2482</v>
      </c>
      <c r="W992" s="25" t="s">
        <v>90</v>
      </c>
      <c r="X992" s="25" t="s">
        <v>333</v>
      </c>
      <c r="Y992" s="25" t="s">
        <v>73</v>
      </c>
      <c r="Z992" s="25"/>
      <c r="AA992" s="25"/>
      <c r="AB992" s="25"/>
      <c r="AC992" s="25"/>
      <c r="AD992" s="25" t="s">
        <v>5028</v>
      </c>
      <c r="AF992" s="25"/>
      <c r="AG992" s="25"/>
      <c r="AH992" s="25"/>
      <c r="AI992" s="73" t="n">
        <v>44927</v>
      </c>
      <c r="AJ992" s="71" t="e">
        <f aca="false">IF(OR(AI992="", #REF!=""), "", IFERROR(DATEDIF(AI992, #REF!, "M")+1, "N/A"))</f>
        <v>#REF!</v>
      </c>
      <c r="AK992" s="25" t="s">
        <v>75</v>
      </c>
      <c r="AL992" s="25"/>
      <c r="AM992" s="25" t="s">
        <v>5029</v>
      </c>
      <c r="AO992" s="25"/>
      <c r="AP992" s="25"/>
      <c r="AQ992" s="25" t="s">
        <v>4924</v>
      </c>
      <c r="AR992" s="25" t="s">
        <v>333</v>
      </c>
      <c r="AS992" s="25" t="s">
        <v>73</v>
      </c>
      <c r="AT992" s="25" t="s">
        <v>105</v>
      </c>
      <c r="AU992" s="25" t="s">
        <v>106</v>
      </c>
      <c r="AV992" s="25"/>
      <c r="AW992" s="5" t="s">
        <v>94</v>
      </c>
      <c r="AX992" s="25" t="s">
        <v>1433</v>
      </c>
      <c r="AY992" s="25"/>
      <c r="AZ992" s="5" t="s">
        <v>639</v>
      </c>
      <c r="BA992" s="25"/>
      <c r="BB992" s="25"/>
      <c r="BC992" s="25"/>
      <c r="BD992" s="25"/>
      <c r="BE992" s="25"/>
      <c r="BF992" s="25"/>
      <c r="BG992" s="25"/>
      <c r="BH992" s="25"/>
      <c r="BI992" s="25"/>
      <c r="BJ992" s="71" t="n">
        <f aca="false">IF(AI992&lt;&gt;"", YEAR(AI992), "")</f>
        <v>2023</v>
      </c>
      <c r="BK992" s="25"/>
    </row>
    <row r="993" customFormat="false" ht="15.75" hidden="false" customHeight="true" outlineLevel="0" collapsed="false">
      <c r="A993" s="25" t="s">
        <v>5030</v>
      </c>
      <c r="B993" s="25" t="s">
        <v>5031</v>
      </c>
      <c r="C993" s="25"/>
      <c r="D993" s="68"/>
      <c r="E993" s="25" t="n">
        <v>2279121</v>
      </c>
      <c r="F993" s="25" t="n">
        <v>2279121</v>
      </c>
      <c r="G993" s="25" t="s">
        <v>63</v>
      </c>
      <c r="H993" s="25"/>
      <c r="I993" s="25"/>
      <c r="J993" s="7" t="n">
        <f aca="false">E993*0.13</f>
        <v>296285.73</v>
      </c>
      <c r="K993" s="7" t="n">
        <f aca="false">F993*0.13</f>
        <v>296285.73</v>
      </c>
      <c r="L993" s="25" t="s">
        <v>84</v>
      </c>
      <c r="M993" s="25"/>
      <c r="N993" s="69" t="s">
        <v>5032</v>
      </c>
      <c r="O993" s="25"/>
      <c r="P993" s="25"/>
      <c r="Q993" s="25"/>
      <c r="R993" s="25"/>
      <c r="S993" s="25"/>
      <c r="T993" s="25"/>
      <c r="U993" s="25"/>
      <c r="V993" s="25" t="s">
        <v>89</v>
      </c>
      <c r="W993" s="25" t="s">
        <v>90</v>
      </c>
      <c r="X993" s="25" t="s">
        <v>72</v>
      </c>
      <c r="Y993" s="25" t="s">
        <v>73</v>
      </c>
      <c r="Z993" s="25"/>
      <c r="AA993" s="25"/>
      <c r="AB993" s="25"/>
      <c r="AC993" s="25"/>
      <c r="AD993" s="25"/>
      <c r="AE993" s="75"/>
      <c r="AF993" s="25"/>
      <c r="AG993" s="25"/>
      <c r="AH993" s="25"/>
      <c r="AI993" s="25"/>
      <c r="AJ993" s="70" t="e">
        <f aca="false">IF(OR(AI993="", #REF!=""), "", IFERROR(DATEDIF(AI993, #REF!, "M")+1, "N/A"))</f>
        <v>#REF!</v>
      </c>
      <c r="AK993" s="25"/>
      <c r="AL993" s="25"/>
      <c r="AM993" s="25" t="s">
        <v>5033</v>
      </c>
      <c r="AO993" s="25"/>
      <c r="AP993" s="25"/>
      <c r="AQ993" s="25" t="s">
        <v>4924</v>
      </c>
      <c r="AR993" s="25" t="s">
        <v>72</v>
      </c>
      <c r="AS993" s="25" t="s">
        <v>73</v>
      </c>
      <c r="AT993" s="5" t="s">
        <v>78</v>
      </c>
      <c r="AU993" s="25" t="s">
        <v>259</v>
      </c>
      <c r="AV993" s="25"/>
      <c r="AW993" s="5" t="s">
        <v>94</v>
      </c>
      <c r="AX993" s="25" t="s">
        <v>79</v>
      </c>
      <c r="AY993" s="25"/>
      <c r="AZ993" s="5" t="s">
        <v>129</v>
      </c>
      <c r="BA993" s="25"/>
      <c r="BB993" s="25"/>
      <c r="BC993" s="25"/>
      <c r="BD993" s="25"/>
      <c r="BE993" s="25"/>
      <c r="BF993" s="25"/>
      <c r="BG993" s="25"/>
      <c r="BH993" s="25"/>
      <c r="BI993" s="25"/>
      <c r="BJ993" s="71" t="n">
        <v>2023</v>
      </c>
      <c r="BK993" s="25"/>
    </row>
    <row r="994" customFormat="false" ht="15.75" hidden="false" customHeight="true" outlineLevel="0" collapsed="false">
      <c r="A994" s="25" t="s">
        <v>5034</v>
      </c>
      <c r="B994" s="25" t="s">
        <v>5035</v>
      </c>
      <c r="C994" s="25"/>
      <c r="D994" s="68"/>
      <c r="E994" s="25" t="n">
        <v>2623418</v>
      </c>
      <c r="F994" s="25" t="n">
        <v>2623418</v>
      </c>
      <c r="G994" s="25" t="s">
        <v>63</v>
      </c>
      <c r="H994" s="25"/>
      <c r="I994" s="25"/>
      <c r="J994" s="7" t="n">
        <f aca="false">E994*0.13</f>
        <v>341044.34</v>
      </c>
      <c r="K994" s="7" t="n">
        <f aca="false">F994*0.13</f>
        <v>341044.34</v>
      </c>
      <c r="L994" s="25" t="s">
        <v>84</v>
      </c>
      <c r="M994" s="25"/>
      <c r="N994" s="25"/>
      <c r="O994" s="25"/>
      <c r="P994" s="25"/>
      <c r="Q994" s="25"/>
      <c r="R994" s="25"/>
      <c r="S994" s="25"/>
      <c r="T994" s="25"/>
      <c r="U994" s="25"/>
      <c r="V994" s="25" t="s">
        <v>5036</v>
      </c>
      <c r="W994" s="25" t="s">
        <v>4933</v>
      </c>
      <c r="X994" s="25" t="s">
        <v>72</v>
      </c>
      <c r="Y994" s="25" t="s">
        <v>73</v>
      </c>
      <c r="Z994" s="25"/>
      <c r="AA994" s="25"/>
      <c r="AB994" s="25"/>
      <c r="AC994" s="25"/>
      <c r="AD994" s="25"/>
      <c r="AE994" s="25"/>
      <c r="AF994" s="25"/>
      <c r="AG994" s="25"/>
      <c r="AH994" s="25"/>
      <c r="AI994" s="25"/>
      <c r="AJ994" s="70" t="e">
        <f aca="false">IF(OR(AI994="", #REF!=""), "", IFERROR(DATEDIF(AI994, #REF!, "M")+1, "N/A"))</f>
        <v>#REF!</v>
      </c>
      <c r="AK994" s="25"/>
      <c r="AL994" s="25"/>
      <c r="AM994" s="25" t="s">
        <v>5037</v>
      </c>
      <c r="AO994" s="25"/>
      <c r="AP994" s="25"/>
      <c r="AQ994" s="25" t="s">
        <v>4924</v>
      </c>
      <c r="AR994" s="25" t="s">
        <v>72</v>
      </c>
      <c r="AS994" s="25" t="s">
        <v>73</v>
      </c>
      <c r="AT994" s="25" t="s">
        <v>105</v>
      </c>
      <c r="AU994" s="25" t="s">
        <v>106</v>
      </c>
      <c r="AV994" s="25"/>
      <c r="AW994" s="5" t="s">
        <v>94</v>
      </c>
      <c r="AX994" s="25" t="s">
        <v>296</v>
      </c>
      <c r="AY994" s="25" t="s">
        <v>5038</v>
      </c>
      <c r="AZ994" s="5" t="s">
        <v>188</v>
      </c>
      <c r="BA994" s="25"/>
      <c r="BB994" s="25"/>
      <c r="BC994" s="25"/>
      <c r="BD994" s="25"/>
      <c r="BE994" s="25"/>
      <c r="BF994" s="25"/>
      <c r="BG994" s="25"/>
      <c r="BH994" s="25"/>
      <c r="BI994" s="25"/>
      <c r="BJ994" s="71" t="n">
        <v>2023</v>
      </c>
      <c r="BK994" s="25"/>
    </row>
    <row r="995" customFormat="false" ht="15.75" hidden="false" customHeight="true" outlineLevel="0" collapsed="false">
      <c r="A995" s="25" t="s">
        <v>5039</v>
      </c>
      <c r="B995" s="25"/>
      <c r="C995" s="25"/>
      <c r="D995" s="68"/>
      <c r="E995" s="25" t="n">
        <v>1482622</v>
      </c>
      <c r="F995" s="25" t="n">
        <v>1482622</v>
      </c>
      <c r="G995" s="25" t="s">
        <v>63</v>
      </c>
      <c r="H995" s="25"/>
      <c r="I995" s="25"/>
      <c r="J995" s="7" t="n">
        <f aca="false">E995*0.13</f>
        <v>192740.86</v>
      </c>
      <c r="K995" s="7" t="n">
        <f aca="false">F995*0.13</f>
        <v>192740.86</v>
      </c>
      <c r="L995" s="25" t="s">
        <v>84</v>
      </c>
      <c r="M995" s="25"/>
      <c r="N995" s="69" t="s">
        <v>5040</v>
      </c>
      <c r="O995" s="25"/>
      <c r="P995" s="25"/>
      <c r="Q995" s="25"/>
      <c r="R995" s="25"/>
      <c r="S995" s="25"/>
      <c r="T995" s="25"/>
      <c r="U995" s="25"/>
      <c r="V995" s="25" t="s">
        <v>5041</v>
      </c>
      <c r="W995" s="25" t="s">
        <v>4933</v>
      </c>
      <c r="X995" s="25" t="s">
        <v>72</v>
      </c>
      <c r="Y995" s="25" t="s">
        <v>73</v>
      </c>
      <c r="Z995" s="25"/>
      <c r="AA995" s="25"/>
      <c r="AB995" s="25"/>
      <c r="AC995" s="25"/>
      <c r="AD995" s="25"/>
      <c r="AE995" s="25"/>
      <c r="AF995" s="25"/>
      <c r="AG995" s="25"/>
      <c r="AH995" s="25"/>
      <c r="AI995" s="25"/>
      <c r="AJ995" s="70" t="e">
        <f aca="false">IF(OR(AI995="", #REF!=""), "", IFERROR(DATEDIF(AI995, #REF!, "M")+1, "N/A"))</f>
        <v>#REF!</v>
      </c>
      <c r="AK995" s="25"/>
      <c r="AL995" s="25"/>
      <c r="AM995" s="25" t="s">
        <v>5033</v>
      </c>
      <c r="AO995" s="25"/>
      <c r="AP995" s="25"/>
      <c r="AQ995" s="25" t="s">
        <v>4924</v>
      </c>
      <c r="AR995" s="25" t="s">
        <v>72</v>
      </c>
      <c r="AS995" s="25" t="s">
        <v>73</v>
      </c>
      <c r="AT995" s="25" t="s">
        <v>78</v>
      </c>
      <c r="AU995" s="25"/>
      <c r="AV995" s="25"/>
      <c r="AW995" s="5" t="s">
        <v>94</v>
      </c>
      <c r="AX995" s="25" t="s">
        <v>296</v>
      </c>
      <c r="AY995" s="25" t="s">
        <v>447</v>
      </c>
      <c r="AZ995" s="5" t="s">
        <v>129</v>
      </c>
      <c r="BA995" s="25"/>
      <c r="BB995" s="25"/>
      <c r="BC995" s="25"/>
      <c r="BD995" s="25"/>
      <c r="BE995" s="25"/>
      <c r="BF995" s="25"/>
      <c r="BG995" s="25"/>
      <c r="BH995" s="25"/>
      <c r="BI995" s="25"/>
      <c r="BJ995" s="71" t="n">
        <v>2023</v>
      </c>
      <c r="BK995" s="25"/>
    </row>
    <row r="996" customFormat="false" ht="15.75" hidden="false" customHeight="true" outlineLevel="0" collapsed="false">
      <c r="A996" s="5" t="s">
        <v>5042</v>
      </c>
      <c r="B996" s="25" t="s">
        <v>5043</v>
      </c>
      <c r="C996" s="25" t="s">
        <v>5044</v>
      </c>
      <c r="D996" s="68"/>
      <c r="E996" s="25" t="n">
        <v>1075000</v>
      </c>
      <c r="F996" s="25" t="n">
        <v>1075000</v>
      </c>
      <c r="G996" s="25" t="s">
        <v>63</v>
      </c>
      <c r="H996" s="25"/>
      <c r="I996" s="25"/>
      <c r="J996" s="7" t="n">
        <f aca="false">E996*0.13</f>
        <v>139750</v>
      </c>
      <c r="K996" s="7" t="n">
        <f aca="false">F996*0.13</f>
        <v>139750</v>
      </c>
      <c r="L996" s="25" t="s">
        <v>84</v>
      </c>
      <c r="M996" s="25"/>
      <c r="N996" s="74" t="s">
        <v>5045</v>
      </c>
      <c r="O996" s="25"/>
      <c r="P996" s="25"/>
      <c r="Q996" s="25"/>
      <c r="R996" s="25"/>
      <c r="S996" s="25"/>
      <c r="T996" s="25" t="s">
        <v>5046</v>
      </c>
      <c r="U996" s="25" t="s">
        <v>5047</v>
      </c>
      <c r="V996" s="25" t="s">
        <v>5048</v>
      </c>
      <c r="W996" s="25" t="s">
        <v>2279</v>
      </c>
      <c r="X996" s="25" t="s">
        <v>72</v>
      </c>
      <c r="Y996" s="25" t="s">
        <v>73</v>
      </c>
      <c r="Z996" s="25"/>
      <c r="AA996" s="25"/>
      <c r="AB996" s="25"/>
      <c r="AC996" s="25"/>
      <c r="AD996" s="25"/>
      <c r="AE996" s="25"/>
      <c r="AF996" s="25"/>
      <c r="AG996" s="25"/>
      <c r="AH996" s="25"/>
      <c r="AI996" s="25"/>
      <c r="AJ996" s="70" t="e">
        <f aca="false">IF(OR(AI996="", #REF!=""), "", IFERROR(DATEDIF(AI996, #REF!, "M")+1, "N/A"))</f>
        <v>#REF!</v>
      </c>
      <c r="AK996" s="25"/>
      <c r="AL996" s="25"/>
      <c r="AM996" s="25" t="s">
        <v>5033</v>
      </c>
      <c r="AO996" s="25"/>
      <c r="AP996" s="25"/>
      <c r="AQ996" s="25" t="s">
        <v>4924</v>
      </c>
      <c r="AR996" s="25" t="s">
        <v>72</v>
      </c>
      <c r="AS996" s="25" t="s">
        <v>73</v>
      </c>
      <c r="AT996" s="25" t="s">
        <v>78</v>
      </c>
      <c r="AU996" s="25"/>
      <c r="AV996" s="25"/>
      <c r="AW996" s="5" t="s">
        <v>94</v>
      </c>
      <c r="AX996" s="25" t="s">
        <v>79</v>
      </c>
      <c r="AY996" s="25"/>
      <c r="AZ996" s="5" t="s">
        <v>399</v>
      </c>
      <c r="BA996" s="25"/>
      <c r="BB996" s="25"/>
      <c r="BC996" s="25"/>
      <c r="BD996" s="25"/>
      <c r="BE996" s="25"/>
      <c r="BF996" s="25"/>
      <c r="BG996" s="25"/>
      <c r="BH996" s="25"/>
      <c r="BI996" s="25"/>
      <c r="BJ996" s="71" t="n">
        <v>2023</v>
      </c>
      <c r="BK996" s="25"/>
    </row>
    <row r="997" customFormat="false" ht="15.75" hidden="false" customHeight="true" outlineLevel="0" collapsed="false">
      <c r="A997" s="5" t="s">
        <v>5049</v>
      </c>
      <c r="B997" s="25"/>
      <c r="C997" s="25" t="s">
        <v>5050</v>
      </c>
      <c r="D997" s="68" t="s">
        <v>5051</v>
      </c>
      <c r="E997" s="25" t="n">
        <v>497678</v>
      </c>
      <c r="F997" s="25" t="n">
        <v>225110</v>
      </c>
      <c r="G997" s="25" t="s">
        <v>147</v>
      </c>
      <c r="H997" s="25"/>
      <c r="I997" s="25"/>
      <c r="J997" s="72" t="n">
        <v>497678</v>
      </c>
      <c r="K997" s="72" t="n">
        <v>225110</v>
      </c>
      <c r="L997" s="25" t="s">
        <v>84</v>
      </c>
      <c r="M997" s="25"/>
      <c r="N997" s="76" t="s">
        <v>5052</v>
      </c>
      <c r="O997" s="25"/>
      <c r="P997" s="25"/>
      <c r="Q997" s="25"/>
      <c r="R997" s="25"/>
      <c r="S997" s="25"/>
      <c r="T997" s="25" t="s">
        <v>5053</v>
      </c>
      <c r="U997" s="25"/>
      <c r="V997" s="25" t="s">
        <v>2096</v>
      </c>
      <c r="W997" s="25" t="s">
        <v>4933</v>
      </c>
      <c r="X997" s="25" t="s">
        <v>151</v>
      </c>
      <c r="Y997" s="25" t="s">
        <v>73</v>
      </c>
      <c r="Z997" s="25"/>
      <c r="AA997" s="25"/>
      <c r="AB997" s="25"/>
      <c r="AC997" s="25" t="s">
        <v>5054</v>
      </c>
      <c r="AD997" s="25" t="s">
        <v>5055</v>
      </c>
      <c r="AE997" s="25"/>
      <c r="AF997" s="25"/>
      <c r="AG997" s="25"/>
      <c r="AH997" s="25"/>
      <c r="AI997" s="25"/>
      <c r="AJ997" s="70" t="e">
        <f aca="false">IF(OR(AI997="", #REF!=""), "", IFERROR(DATEDIF(AI997, #REF!, "M")+1, "N/A"))</f>
        <v>#REF!</v>
      </c>
      <c r="AK997" s="25" t="s">
        <v>75</v>
      </c>
      <c r="AL997" s="25"/>
      <c r="AM997" s="5" t="s">
        <v>924</v>
      </c>
      <c r="AN997" s="5" t="s">
        <v>5056</v>
      </c>
      <c r="AO997" s="25"/>
      <c r="AP997" s="25"/>
      <c r="AQ997" s="5" t="s">
        <v>77</v>
      </c>
      <c r="AR997" s="25" t="s">
        <v>151</v>
      </c>
      <c r="AS997" s="25" t="s">
        <v>73</v>
      </c>
      <c r="AT997" s="5" t="s">
        <v>78</v>
      </c>
      <c r="AU997" s="25" t="s">
        <v>259</v>
      </c>
      <c r="AV997" s="25"/>
      <c r="AW997" s="5" t="s">
        <v>94</v>
      </c>
      <c r="AX997" s="25" t="s">
        <v>296</v>
      </c>
      <c r="AY997" s="25" t="s">
        <v>5057</v>
      </c>
      <c r="AZ997" s="5" t="s">
        <v>188</v>
      </c>
      <c r="BA997" s="25"/>
      <c r="BB997" s="25"/>
      <c r="BC997" s="25"/>
      <c r="BD997" s="25"/>
      <c r="BE997" s="25"/>
      <c r="BF997" s="25"/>
      <c r="BG997" s="25"/>
      <c r="BH997" s="25"/>
      <c r="BI997" s="25"/>
      <c r="BJ997" s="71" t="n">
        <v>2023</v>
      </c>
      <c r="BK997" s="25"/>
    </row>
    <row r="998" customFormat="false" ht="15.75" hidden="false" customHeight="true" outlineLevel="0" collapsed="false">
      <c r="A998" s="5" t="s">
        <v>5058</v>
      </c>
      <c r="B998" s="25"/>
      <c r="C998" s="25" t="s">
        <v>4497</v>
      </c>
      <c r="D998" s="68" t="s">
        <v>5051</v>
      </c>
      <c r="E998" s="25" t="n">
        <v>268723</v>
      </c>
      <c r="F998" s="25" t="n">
        <v>268723</v>
      </c>
      <c r="G998" s="25" t="s">
        <v>147</v>
      </c>
      <c r="H998" s="25"/>
      <c r="I998" s="25"/>
      <c r="J998" s="72" t="n">
        <v>268723</v>
      </c>
      <c r="K998" s="72" t="n">
        <v>268723</v>
      </c>
      <c r="L998" s="25" t="s">
        <v>84</v>
      </c>
      <c r="M998" s="25"/>
      <c r="N998" s="74" t="s">
        <v>5059</v>
      </c>
      <c r="O998" s="25"/>
      <c r="P998" s="25"/>
      <c r="Q998" s="25"/>
      <c r="R998" s="25"/>
      <c r="S998" s="25"/>
      <c r="T998" s="25" t="s">
        <v>5060</v>
      </c>
      <c r="U998" s="25"/>
      <c r="V998" s="25" t="s">
        <v>5061</v>
      </c>
      <c r="W998" s="25" t="s">
        <v>4933</v>
      </c>
      <c r="X998" s="25" t="s">
        <v>151</v>
      </c>
      <c r="Y998" s="25" t="s">
        <v>73</v>
      </c>
      <c r="Z998" s="25"/>
      <c r="AA998" s="25"/>
      <c r="AB998" s="25"/>
      <c r="AC998" s="25" t="s">
        <v>5062</v>
      </c>
      <c r="AD998" s="25" t="s">
        <v>1528</v>
      </c>
      <c r="AE998" s="25"/>
      <c r="AF998" s="25"/>
      <c r="AG998" s="25"/>
      <c r="AH998" s="25"/>
      <c r="AI998" s="25"/>
      <c r="AJ998" s="70" t="e">
        <f aca="false">IF(OR(AI998="", #REF!=""), "", IFERROR(DATEDIF(AI998, #REF!, "M")+1, "N/A"))</f>
        <v>#REF!</v>
      </c>
      <c r="AK998" s="25" t="s">
        <v>75</v>
      </c>
      <c r="AL998" s="25"/>
      <c r="AM998" s="5" t="s">
        <v>924</v>
      </c>
      <c r="AN998" s="5" t="s">
        <v>5056</v>
      </c>
      <c r="AO998" s="25"/>
      <c r="AP998" s="25"/>
      <c r="AQ998" s="25" t="s">
        <v>4924</v>
      </c>
      <c r="AR998" s="25" t="s">
        <v>151</v>
      </c>
      <c r="AS998" s="25" t="s">
        <v>73</v>
      </c>
      <c r="AT998" s="25" t="s">
        <v>78</v>
      </c>
      <c r="AU998" s="25"/>
      <c r="AV998" s="25"/>
      <c r="AW998" s="5" t="s">
        <v>94</v>
      </c>
      <c r="AX998" s="25" t="s">
        <v>79</v>
      </c>
      <c r="AY998" s="25"/>
      <c r="AZ998" s="5" t="s">
        <v>188</v>
      </c>
      <c r="BA998" s="25"/>
      <c r="BB998" s="25"/>
      <c r="BC998" s="25"/>
      <c r="BD998" s="25"/>
      <c r="BE998" s="25"/>
      <c r="BF998" s="25"/>
      <c r="BG998" s="25"/>
      <c r="BH998" s="25"/>
      <c r="BI998" s="25"/>
      <c r="BJ998" s="71" t="n">
        <v>2022</v>
      </c>
      <c r="BK998" s="25"/>
    </row>
    <row r="999" customFormat="false" ht="15.75" hidden="false" customHeight="true" outlineLevel="0" collapsed="false">
      <c r="A999" s="5" t="s">
        <v>5063</v>
      </c>
      <c r="B999" s="25"/>
      <c r="C999" s="25" t="s">
        <v>5064</v>
      </c>
      <c r="D999" s="68" t="s">
        <v>5051</v>
      </c>
      <c r="E999" s="25" t="n">
        <v>498309</v>
      </c>
      <c r="F999" s="25" t="n">
        <v>498309</v>
      </c>
      <c r="G999" s="25" t="s">
        <v>147</v>
      </c>
      <c r="H999" s="25"/>
      <c r="I999" s="25"/>
      <c r="J999" s="72" t="n">
        <v>498309</v>
      </c>
      <c r="K999" s="72" t="n">
        <v>498309</v>
      </c>
      <c r="L999" s="25" t="s">
        <v>84</v>
      </c>
      <c r="M999" s="25"/>
      <c r="N999" s="69" t="s">
        <v>5065</v>
      </c>
      <c r="O999" s="25"/>
      <c r="P999" s="25"/>
      <c r="Q999" s="25"/>
      <c r="R999" s="25"/>
      <c r="S999" s="25"/>
      <c r="T999" s="25" t="s">
        <v>5066</v>
      </c>
      <c r="U999" s="25"/>
      <c r="V999" s="25" t="s">
        <v>5061</v>
      </c>
      <c r="W999" s="25" t="s">
        <v>4933</v>
      </c>
      <c r="X999" s="25" t="s">
        <v>151</v>
      </c>
      <c r="Y999" s="25" t="s">
        <v>73</v>
      </c>
      <c r="Z999" s="25"/>
      <c r="AA999" s="25"/>
      <c r="AB999" s="25"/>
      <c r="AC999" s="25" t="s">
        <v>5067</v>
      </c>
      <c r="AD999" s="25" t="s">
        <v>5068</v>
      </c>
      <c r="AE999" s="25"/>
      <c r="AF999" s="25"/>
      <c r="AG999" s="25"/>
      <c r="AH999" s="25"/>
      <c r="AI999" s="25"/>
      <c r="AJ999" s="70" t="e">
        <f aca="false">IF(OR(AI999="", #REF!=""), "", IFERROR(DATEDIF(AI999, #REF!, "M")+1, "N/A"))</f>
        <v>#REF!</v>
      </c>
      <c r="AK999" s="25" t="s">
        <v>75</v>
      </c>
      <c r="AL999" s="25"/>
      <c r="AM999" s="5" t="s">
        <v>924</v>
      </c>
      <c r="AN999" s="5" t="s">
        <v>5056</v>
      </c>
      <c r="AO999" s="25"/>
      <c r="AP999" s="25"/>
      <c r="AQ999" s="25" t="s">
        <v>4924</v>
      </c>
      <c r="AR999" s="25" t="s">
        <v>151</v>
      </c>
      <c r="AS999" s="25" t="s">
        <v>73</v>
      </c>
      <c r="AT999" s="25" t="s">
        <v>78</v>
      </c>
      <c r="AU999" s="25"/>
      <c r="AV999" s="25"/>
      <c r="AW999" s="5" t="s">
        <v>94</v>
      </c>
      <c r="AX999" s="25" t="s">
        <v>79</v>
      </c>
      <c r="AY999" s="25"/>
      <c r="AZ999" s="5" t="s">
        <v>129</v>
      </c>
      <c r="BA999" s="25"/>
      <c r="BB999" s="25"/>
      <c r="BC999" s="25"/>
      <c r="BD999" s="25"/>
      <c r="BE999" s="25"/>
      <c r="BF999" s="25"/>
      <c r="BG999" s="25"/>
      <c r="BH999" s="25"/>
      <c r="BI999" s="25"/>
      <c r="BJ999" s="71" t="n">
        <v>2022</v>
      </c>
      <c r="BK999" s="25"/>
    </row>
    <row r="1000" customFormat="false" ht="15.75" hidden="false" customHeight="true" outlineLevel="0" collapsed="false">
      <c r="A1000" s="5" t="s">
        <v>5069</v>
      </c>
      <c r="B1000" s="25"/>
      <c r="C1000" s="25" t="s">
        <v>5070</v>
      </c>
      <c r="D1000" s="68" t="s">
        <v>5051</v>
      </c>
      <c r="E1000" s="25" t="n">
        <v>503920</v>
      </c>
      <c r="F1000" s="25" t="n">
        <v>503920</v>
      </c>
      <c r="G1000" s="25" t="s">
        <v>147</v>
      </c>
      <c r="H1000" s="25"/>
      <c r="I1000" s="25"/>
      <c r="J1000" s="72" t="n">
        <v>503920</v>
      </c>
      <c r="K1000" s="72" t="n">
        <v>503920</v>
      </c>
      <c r="L1000" s="25" t="s">
        <v>84</v>
      </c>
      <c r="M1000" s="25"/>
      <c r="N1000" s="74" t="s">
        <v>5071</v>
      </c>
      <c r="O1000" s="25"/>
      <c r="P1000" s="25"/>
      <c r="Q1000" s="25"/>
      <c r="R1000" s="25"/>
      <c r="S1000" s="25"/>
      <c r="T1000" s="25" t="s">
        <v>5072</v>
      </c>
      <c r="U1000" s="25"/>
      <c r="V1000" s="25" t="s">
        <v>5073</v>
      </c>
      <c r="W1000" s="25" t="s">
        <v>4933</v>
      </c>
      <c r="X1000" s="25" t="s">
        <v>151</v>
      </c>
      <c r="Y1000" s="25" t="s">
        <v>73</v>
      </c>
      <c r="Z1000" s="25"/>
      <c r="AA1000" s="25"/>
      <c r="AB1000" s="25"/>
      <c r="AC1000" s="25" t="s">
        <v>5074</v>
      </c>
      <c r="AD1000" s="25" t="s">
        <v>5075</v>
      </c>
      <c r="AE1000" s="25"/>
      <c r="AF1000" s="25"/>
      <c r="AG1000" s="25"/>
      <c r="AH1000" s="25"/>
      <c r="AI1000" s="25"/>
      <c r="AJ1000" s="70" t="e">
        <f aca="false">IF(OR(AI1000="", #REF!=""), "", IFERROR(DATEDIF(AI1000, #REF!, "M")+1, "N/A"))</f>
        <v>#REF!</v>
      </c>
      <c r="AK1000" s="25" t="s">
        <v>75</v>
      </c>
      <c r="AL1000" s="25"/>
      <c r="AM1000" s="5" t="s">
        <v>924</v>
      </c>
      <c r="AN1000" s="5" t="s">
        <v>5056</v>
      </c>
      <c r="AO1000" s="25"/>
      <c r="AP1000" s="25"/>
      <c r="AQ1000" s="25" t="s">
        <v>4924</v>
      </c>
      <c r="AR1000" s="25" t="s">
        <v>151</v>
      </c>
      <c r="AS1000" s="25" t="s">
        <v>73</v>
      </c>
      <c r="AT1000" s="25" t="s">
        <v>78</v>
      </c>
      <c r="AU1000" s="25"/>
      <c r="AV1000" s="25"/>
      <c r="AW1000" s="5" t="s">
        <v>94</v>
      </c>
      <c r="AX1000" s="25" t="s">
        <v>296</v>
      </c>
      <c r="AY1000" s="25"/>
      <c r="AZ1000" s="5" t="s">
        <v>129</v>
      </c>
      <c r="BA1000" s="25"/>
      <c r="BB1000" s="25"/>
      <c r="BC1000" s="25"/>
      <c r="BD1000" s="25"/>
      <c r="BE1000" s="25"/>
      <c r="BF1000" s="25"/>
      <c r="BG1000" s="25"/>
      <c r="BH1000" s="25"/>
      <c r="BI1000" s="25"/>
      <c r="BJ1000" s="71" t="n">
        <v>2022</v>
      </c>
      <c r="BK1000" s="25"/>
    </row>
    <row r="1001" customFormat="false" ht="15.75" hidden="false" customHeight="true" outlineLevel="0" collapsed="false">
      <c r="A1001" s="5" t="s">
        <v>5076</v>
      </c>
      <c r="B1001" s="25"/>
      <c r="C1001" s="25" t="s">
        <v>5077</v>
      </c>
      <c r="D1001" s="68" t="s">
        <v>5051</v>
      </c>
      <c r="E1001" s="25" t="n">
        <v>522133</v>
      </c>
      <c r="F1001" s="25" t="n">
        <v>522133</v>
      </c>
      <c r="G1001" s="25" t="s">
        <v>147</v>
      </c>
      <c r="H1001" s="25"/>
      <c r="I1001" s="25"/>
      <c r="J1001" s="72" t="n">
        <v>522133</v>
      </c>
      <c r="K1001" s="72" t="n">
        <v>522133</v>
      </c>
      <c r="L1001" s="25" t="s">
        <v>84</v>
      </c>
      <c r="M1001" s="25"/>
      <c r="N1001" s="74" t="s">
        <v>5078</v>
      </c>
      <c r="O1001" s="25"/>
      <c r="P1001" s="25"/>
      <c r="Q1001" s="25"/>
      <c r="R1001" s="25"/>
      <c r="S1001" s="25"/>
      <c r="T1001" s="25" t="s">
        <v>5079</v>
      </c>
      <c r="U1001" s="25"/>
      <c r="V1001" s="25" t="s">
        <v>5080</v>
      </c>
      <c r="W1001" s="25" t="s">
        <v>4933</v>
      </c>
      <c r="X1001" s="25" t="s">
        <v>151</v>
      </c>
      <c r="Y1001" s="25" t="s">
        <v>73</v>
      </c>
      <c r="Z1001" s="25"/>
      <c r="AA1001" s="25"/>
      <c r="AB1001" s="25"/>
      <c r="AC1001" s="25" t="s">
        <v>5081</v>
      </c>
      <c r="AD1001" s="25" t="s">
        <v>5082</v>
      </c>
      <c r="AE1001" s="25"/>
      <c r="AF1001" s="25"/>
      <c r="AG1001" s="25"/>
      <c r="AH1001" s="25"/>
      <c r="AI1001" s="25"/>
      <c r="AJ1001" s="70" t="e">
        <f aca="false">IF(OR(AI1001="", #REF!=""), "", IFERROR(DATEDIF(AI1001, #REF!, "M")+1, "N/A"))</f>
        <v>#REF!</v>
      </c>
      <c r="AK1001" s="25" t="s">
        <v>75</v>
      </c>
      <c r="AL1001" s="25"/>
      <c r="AM1001" s="5" t="s">
        <v>924</v>
      </c>
      <c r="AN1001" s="5" t="s">
        <v>5056</v>
      </c>
      <c r="AO1001" s="25"/>
      <c r="AP1001" s="25"/>
      <c r="AQ1001" s="25" t="s">
        <v>4924</v>
      </c>
      <c r="AR1001" s="25" t="s">
        <v>151</v>
      </c>
      <c r="AS1001" s="25" t="s">
        <v>73</v>
      </c>
      <c r="AT1001" s="25" t="s">
        <v>78</v>
      </c>
      <c r="AU1001" s="25"/>
      <c r="AV1001" s="25"/>
      <c r="AW1001" s="5" t="s">
        <v>94</v>
      </c>
      <c r="AX1001" s="25" t="s">
        <v>79</v>
      </c>
      <c r="AY1001" s="25"/>
      <c r="AZ1001" s="5" t="s">
        <v>129</v>
      </c>
      <c r="BA1001" s="25"/>
      <c r="BB1001" s="25"/>
      <c r="BC1001" s="25"/>
      <c r="BD1001" s="25"/>
      <c r="BE1001" s="25"/>
      <c r="BF1001" s="25"/>
      <c r="BG1001" s="25"/>
      <c r="BH1001" s="25"/>
      <c r="BI1001" s="25"/>
      <c r="BJ1001" s="71" t="n">
        <v>2022</v>
      </c>
      <c r="BK1001" s="25"/>
    </row>
    <row r="1002" customFormat="false" ht="15.75" hidden="false" customHeight="true" outlineLevel="0" collapsed="false">
      <c r="A1002" s="5" t="s">
        <v>5083</v>
      </c>
      <c r="B1002" s="25"/>
      <c r="C1002" s="25" t="s">
        <v>5084</v>
      </c>
      <c r="D1002" s="68" t="s">
        <v>5051</v>
      </c>
      <c r="E1002" s="25" t="n">
        <v>275000</v>
      </c>
      <c r="F1002" s="25" t="n">
        <v>275000</v>
      </c>
      <c r="G1002" s="25" t="s">
        <v>147</v>
      </c>
      <c r="H1002" s="25"/>
      <c r="I1002" s="25"/>
      <c r="J1002" s="72" t="n">
        <v>275000</v>
      </c>
      <c r="K1002" s="72" t="n">
        <v>275000</v>
      </c>
      <c r="L1002" s="25" t="s">
        <v>84</v>
      </c>
      <c r="M1002" s="25"/>
      <c r="N1002" s="74" t="s">
        <v>5085</v>
      </c>
      <c r="O1002" s="25"/>
      <c r="P1002" s="25"/>
      <c r="Q1002" s="25"/>
      <c r="R1002" s="25"/>
      <c r="S1002" s="25"/>
      <c r="T1002" s="25" t="s">
        <v>5086</v>
      </c>
      <c r="U1002" s="25"/>
      <c r="V1002" s="25" t="s">
        <v>5087</v>
      </c>
      <c r="W1002" s="25" t="s">
        <v>4933</v>
      </c>
      <c r="X1002" s="25" t="s">
        <v>151</v>
      </c>
      <c r="Y1002" s="25" t="s">
        <v>73</v>
      </c>
      <c r="Z1002" s="25"/>
      <c r="AA1002" s="25"/>
      <c r="AB1002" s="25"/>
      <c r="AC1002" s="25" t="s">
        <v>5088</v>
      </c>
      <c r="AD1002" s="25" t="s">
        <v>832</v>
      </c>
      <c r="AE1002" s="25"/>
      <c r="AF1002" s="25"/>
      <c r="AG1002" s="25"/>
      <c r="AH1002" s="25"/>
      <c r="AI1002" s="25"/>
      <c r="AJ1002" s="70" t="e">
        <f aca="false">IF(OR(AI1002="", #REF!=""), "", IFERROR(DATEDIF(AI1002, #REF!, "M")+1, "N/A"))</f>
        <v>#REF!</v>
      </c>
      <c r="AK1002" s="25" t="s">
        <v>75</v>
      </c>
      <c r="AL1002" s="25"/>
      <c r="AM1002" s="5" t="s">
        <v>924</v>
      </c>
      <c r="AN1002" s="5" t="s">
        <v>5056</v>
      </c>
      <c r="AO1002" s="25"/>
      <c r="AP1002" s="25"/>
      <c r="AQ1002" s="25" t="s">
        <v>4924</v>
      </c>
      <c r="AR1002" s="25" t="s">
        <v>151</v>
      </c>
      <c r="AS1002" s="25" t="s">
        <v>73</v>
      </c>
      <c r="AT1002" s="25" t="s">
        <v>78</v>
      </c>
      <c r="AU1002" s="25"/>
      <c r="AV1002" s="25"/>
      <c r="AW1002" s="5" t="s">
        <v>94</v>
      </c>
      <c r="AX1002" s="25" t="s">
        <v>79</v>
      </c>
      <c r="AY1002" s="25"/>
      <c r="AZ1002" s="5" t="s">
        <v>129</v>
      </c>
      <c r="BA1002" s="25"/>
      <c r="BB1002" s="25"/>
      <c r="BC1002" s="25"/>
      <c r="BD1002" s="25"/>
      <c r="BE1002" s="25"/>
      <c r="BF1002" s="25"/>
      <c r="BG1002" s="25"/>
      <c r="BH1002" s="25"/>
      <c r="BI1002" s="25"/>
      <c r="BJ1002" s="71" t="n">
        <v>2023</v>
      </c>
      <c r="BK1002" s="25"/>
    </row>
    <row r="1003" customFormat="false" ht="15.75" hidden="false" customHeight="true" outlineLevel="0" collapsed="false">
      <c r="A1003" s="5" t="s">
        <v>5089</v>
      </c>
      <c r="B1003" s="25"/>
      <c r="C1003" s="25" t="s">
        <v>5090</v>
      </c>
      <c r="D1003" s="68" t="s">
        <v>5051</v>
      </c>
      <c r="E1003" s="25" t="n">
        <v>524719</v>
      </c>
      <c r="F1003" s="25" t="n">
        <v>524719</v>
      </c>
      <c r="G1003" s="25" t="s">
        <v>147</v>
      </c>
      <c r="H1003" s="25"/>
      <c r="I1003" s="25"/>
      <c r="J1003" s="72" t="n">
        <v>524719</v>
      </c>
      <c r="K1003" s="72" t="n">
        <v>524719</v>
      </c>
      <c r="L1003" s="25" t="s">
        <v>84</v>
      </c>
      <c r="M1003" s="25"/>
      <c r="N1003" s="69" t="s">
        <v>5091</v>
      </c>
      <c r="O1003" s="25"/>
      <c r="P1003" s="25"/>
      <c r="Q1003" s="25"/>
      <c r="R1003" s="25"/>
      <c r="S1003" s="25"/>
      <c r="T1003" s="25" t="s">
        <v>5092</v>
      </c>
      <c r="U1003" s="25"/>
      <c r="V1003" s="25" t="s">
        <v>5093</v>
      </c>
      <c r="W1003" s="25" t="s">
        <v>4933</v>
      </c>
      <c r="X1003" s="25" t="s">
        <v>151</v>
      </c>
      <c r="Y1003" s="25" t="s">
        <v>73</v>
      </c>
      <c r="Z1003" s="25"/>
      <c r="AA1003" s="25"/>
      <c r="AB1003" s="25"/>
      <c r="AC1003" s="25" t="s">
        <v>5094</v>
      </c>
      <c r="AD1003" s="25" t="s">
        <v>5095</v>
      </c>
      <c r="AE1003" s="25"/>
      <c r="AF1003" s="25"/>
      <c r="AG1003" s="25"/>
      <c r="AH1003" s="25"/>
      <c r="AI1003" s="25"/>
      <c r="AJ1003" s="70" t="e">
        <f aca="false">IF(OR(AI1003="", #REF!=""), "", IFERROR(DATEDIF(AI1003, #REF!, "M")+1, "N/A"))</f>
        <v>#REF!</v>
      </c>
      <c r="AK1003" s="25" t="s">
        <v>75</v>
      </c>
      <c r="AL1003" s="25"/>
      <c r="AM1003" s="5" t="s">
        <v>924</v>
      </c>
      <c r="AN1003" s="5" t="s">
        <v>5056</v>
      </c>
      <c r="AO1003" s="25"/>
      <c r="AP1003" s="25"/>
      <c r="AQ1003" s="25" t="s">
        <v>4924</v>
      </c>
      <c r="AR1003" s="25" t="s">
        <v>151</v>
      </c>
      <c r="AS1003" s="25" t="s">
        <v>73</v>
      </c>
      <c r="AT1003" s="25" t="s">
        <v>78</v>
      </c>
      <c r="AU1003" s="25"/>
      <c r="AV1003" s="25"/>
      <c r="AW1003" s="5" t="s">
        <v>94</v>
      </c>
      <c r="AX1003" s="25" t="s">
        <v>375</v>
      </c>
      <c r="AY1003" s="25"/>
      <c r="AZ1003" s="5" t="s">
        <v>639</v>
      </c>
      <c r="BA1003" s="25"/>
      <c r="BB1003" s="25"/>
      <c r="BC1003" s="25"/>
      <c r="BD1003" s="25"/>
      <c r="BE1003" s="25"/>
      <c r="BF1003" s="25"/>
      <c r="BG1003" s="25"/>
      <c r="BH1003" s="25"/>
      <c r="BI1003" s="25"/>
      <c r="BJ1003" s="71" t="n">
        <v>2023</v>
      </c>
      <c r="BK1003" s="25"/>
    </row>
    <row r="1004" customFormat="false" ht="15.75" hidden="false" customHeight="true" outlineLevel="0" collapsed="false">
      <c r="A1004" s="5" t="s">
        <v>5096</v>
      </c>
      <c r="B1004" s="25"/>
      <c r="C1004" s="25" t="s">
        <v>4503</v>
      </c>
      <c r="D1004" s="68" t="s">
        <v>5051</v>
      </c>
      <c r="E1004" s="25" t="n">
        <v>275000</v>
      </c>
      <c r="F1004" s="25" t="n">
        <v>275000</v>
      </c>
      <c r="G1004" s="25" t="s">
        <v>147</v>
      </c>
      <c r="H1004" s="25"/>
      <c r="I1004" s="25"/>
      <c r="J1004" s="72" t="n">
        <v>275000</v>
      </c>
      <c r="K1004" s="72" t="n">
        <v>275000</v>
      </c>
      <c r="L1004" s="25" t="s">
        <v>84</v>
      </c>
      <c r="M1004" s="25"/>
      <c r="N1004" s="74" t="s">
        <v>5097</v>
      </c>
      <c r="O1004" s="25"/>
      <c r="P1004" s="25"/>
      <c r="Q1004" s="25"/>
      <c r="R1004" s="25"/>
      <c r="S1004" s="25"/>
      <c r="T1004" s="25" t="s">
        <v>5092</v>
      </c>
      <c r="U1004" s="25"/>
      <c r="V1004" s="25" t="s">
        <v>5093</v>
      </c>
      <c r="W1004" s="25" t="s">
        <v>4933</v>
      </c>
      <c r="X1004" s="25" t="s">
        <v>151</v>
      </c>
      <c r="Y1004" s="25" t="s">
        <v>73</v>
      </c>
      <c r="Z1004" s="25"/>
      <c r="AA1004" s="25"/>
      <c r="AB1004" s="25"/>
      <c r="AC1004" s="25" t="s">
        <v>5098</v>
      </c>
      <c r="AD1004" s="25" t="s">
        <v>1528</v>
      </c>
      <c r="AE1004" s="25"/>
      <c r="AF1004" s="25"/>
      <c r="AG1004" s="25"/>
      <c r="AH1004" s="25"/>
      <c r="AI1004" s="25"/>
      <c r="AJ1004" s="70" t="e">
        <f aca="false">IF(OR(AI1004="", #REF!=""), "", IFERROR(DATEDIF(AI1004, #REF!, "M")+1, "N/A"))</f>
        <v>#REF!</v>
      </c>
      <c r="AK1004" s="25" t="s">
        <v>75</v>
      </c>
      <c r="AL1004" s="25"/>
      <c r="AM1004" s="5" t="s">
        <v>924</v>
      </c>
      <c r="AN1004" s="5" t="s">
        <v>5056</v>
      </c>
      <c r="AO1004" s="25"/>
      <c r="AP1004" s="25"/>
      <c r="AQ1004" s="25" t="s">
        <v>4924</v>
      </c>
      <c r="AR1004" s="25" t="s">
        <v>151</v>
      </c>
      <c r="AS1004" s="25" t="s">
        <v>73</v>
      </c>
      <c r="AT1004" s="25" t="s">
        <v>78</v>
      </c>
      <c r="AU1004" s="25"/>
      <c r="AV1004" s="25"/>
      <c r="AW1004" s="5" t="s">
        <v>94</v>
      </c>
      <c r="AX1004" s="25" t="s">
        <v>79</v>
      </c>
      <c r="AY1004" s="25"/>
      <c r="AZ1004" s="5" t="s">
        <v>129</v>
      </c>
      <c r="BA1004" s="25"/>
      <c r="BB1004" s="25"/>
      <c r="BC1004" s="25"/>
      <c r="BD1004" s="25"/>
      <c r="BE1004" s="25"/>
      <c r="BF1004" s="25"/>
      <c r="BG1004" s="25"/>
      <c r="BH1004" s="25"/>
      <c r="BI1004" s="25"/>
      <c r="BJ1004" s="71" t="n">
        <v>2023</v>
      </c>
      <c r="BK1004" s="25"/>
    </row>
    <row r="1005" customFormat="false" ht="15.75" hidden="false" customHeight="true" outlineLevel="0" collapsed="false">
      <c r="A1005" s="5" t="s">
        <v>5099</v>
      </c>
      <c r="B1005" s="25"/>
      <c r="C1005" s="25" t="s">
        <v>5100</v>
      </c>
      <c r="D1005" s="68" t="s">
        <v>5051</v>
      </c>
      <c r="E1005" s="25" t="n">
        <v>205018</v>
      </c>
      <c r="F1005" s="25" t="n">
        <v>205018</v>
      </c>
      <c r="G1005" s="25" t="s">
        <v>147</v>
      </c>
      <c r="H1005" s="25"/>
      <c r="I1005" s="25"/>
      <c r="J1005" s="72" t="n">
        <v>205018</v>
      </c>
      <c r="K1005" s="72" t="n">
        <v>205018</v>
      </c>
      <c r="L1005" s="25" t="s">
        <v>84</v>
      </c>
      <c r="M1005" s="25"/>
      <c r="N1005" s="74" t="s">
        <v>5101</v>
      </c>
      <c r="O1005" s="25"/>
      <c r="P1005" s="25"/>
      <c r="Q1005" s="25"/>
      <c r="R1005" s="25"/>
      <c r="S1005" s="25"/>
      <c r="T1005" s="25" t="s">
        <v>5102</v>
      </c>
      <c r="U1005" s="25"/>
      <c r="V1005" s="25" t="s">
        <v>5103</v>
      </c>
      <c r="W1005" s="25" t="s">
        <v>93</v>
      </c>
      <c r="X1005" s="25" t="s">
        <v>151</v>
      </c>
      <c r="Y1005" s="25" t="s">
        <v>73</v>
      </c>
      <c r="Z1005" s="25"/>
      <c r="AA1005" s="25"/>
      <c r="AB1005" s="25"/>
      <c r="AC1005" s="25" t="s">
        <v>5104</v>
      </c>
      <c r="AD1005" s="25" t="s">
        <v>832</v>
      </c>
      <c r="AE1005" s="25"/>
      <c r="AF1005" s="25"/>
      <c r="AG1005" s="25"/>
      <c r="AH1005" s="25"/>
      <c r="AI1005" s="25"/>
      <c r="AJ1005" s="70" t="e">
        <f aca="false">IF(OR(AI1005="", #REF!=""), "", IFERROR(DATEDIF(AI1005, #REF!, "M")+1, "N/A"))</f>
        <v>#REF!</v>
      </c>
      <c r="AK1005" s="25" t="s">
        <v>75</v>
      </c>
      <c r="AL1005" s="25"/>
      <c r="AM1005" s="5" t="s">
        <v>924</v>
      </c>
      <c r="AN1005" s="5" t="s">
        <v>5056</v>
      </c>
      <c r="AO1005" s="25"/>
      <c r="AP1005" s="25"/>
      <c r="AQ1005" s="25" t="s">
        <v>4924</v>
      </c>
      <c r="AR1005" s="25" t="s">
        <v>151</v>
      </c>
      <c r="AS1005" s="25" t="s">
        <v>73</v>
      </c>
      <c r="AT1005" s="25" t="s">
        <v>78</v>
      </c>
      <c r="AU1005" s="25"/>
      <c r="AV1005" s="25"/>
      <c r="AW1005" s="5" t="s">
        <v>94</v>
      </c>
      <c r="AX1005" s="25" t="s">
        <v>375</v>
      </c>
      <c r="AY1005" s="25"/>
      <c r="AZ1005" s="5" t="s">
        <v>188</v>
      </c>
      <c r="BA1005" s="25"/>
      <c r="BB1005" s="25"/>
      <c r="BC1005" s="25"/>
      <c r="BD1005" s="25"/>
      <c r="BE1005" s="25"/>
      <c r="BF1005" s="25"/>
      <c r="BG1005" s="25"/>
      <c r="BH1005" s="25"/>
      <c r="BI1005" s="25"/>
      <c r="BJ1005" s="71" t="n">
        <v>2024</v>
      </c>
      <c r="BK1005" s="25"/>
    </row>
    <row r="1006" customFormat="false" ht="15.75" hidden="false" customHeight="true" outlineLevel="0" collapsed="false">
      <c r="A1006" s="5" t="s">
        <v>5105</v>
      </c>
      <c r="B1006" s="25"/>
      <c r="C1006" s="25" t="s">
        <v>5106</v>
      </c>
      <c r="D1006" s="68" t="s">
        <v>5051</v>
      </c>
      <c r="E1006" s="25" t="n">
        <v>431009</v>
      </c>
      <c r="F1006" s="25" t="n">
        <v>431009</v>
      </c>
      <c r="G1006" s="25" t="s">
        <v>147</v>
      </c>
      <c r="H1006" s="25"/>
      <c r="I1006" s="25"/>
      <c r="J1006" s="72" t="n">
        <v>431009</v>
      </c>
      <c r="K1006" s="72" t="n">
        <v>431009</v>
      </c>
      <c r="L1006" s="25" t="s">
        <v>84</v>
      </c>
      <c r="M1006" s="25"/>
      <c r="N1006" s="74" t="s">
        <v>5107</v>
      </c>
      <c r="O1006" s="25"/>
      <c r="P1006" s="25"/>
      <c r="Q1006" s="25"/>
      <c r="R1006" s="25"/>
      <c r="S1006" s="25"/>
      <c r="T1006" s="25" t="s">
        <v>5108</v>
      </c>
      <c r="U1006" s="25"/>
      <c r="V1006" s="25" t="s">
        <v>5109</v>
      </c>
      <c r="W1006" s="25" t="s">
        <v>4933</v>
      </c>
      <c r="X1006" s="25" t="s">
        <v>151</v>
      </c>
      <c r="Y1006" s="25" t="s">
        <v>73</v>
      </c>
      <c r="Z1006" s="25"/>
      <c r="AA1006" s="25"/>
      <c r="AB1006" s="25"/>
      <c r="AC1006" s="25" t="s">
        <v>5110</v>
      </c>
      <c r="AD1006" s="25" t="s">
        <v>5111</v>
      </c>
      <c r="AE1006" s="25"/>
      <c r="AF1006" s="25"/>
      <c r="AG1006" s="25"/>
      <c r="AH1006" s="25"/>
      <c r="AI1006" s="25"/>
      <c r="AJ1006" s="70" t="e">
        <f aca="false">IF(OR(AI1006="", #REF!=""), "", IFERROR(DATEDIF(AI1006, #REF!, "M")+1, "N/A"))</f>
        <v>#REF!</v>
      </c>
      <c r="AK1006" s="25" t="s">
        <v>75</v>
      </c>
      <c r="AL1006" s="25"/>
      <c r="AM1006" s="5" t="s">
        <v>924</v>
      </c>
      <c r="AN1006" s="5" t="s">
        <v>5056</v>
      </c>
      <c r="AO1006" s="25"/>
      <c r="AP1006" s="25"/>
      <c r="AQ1006" s="25" t="s">
        <v>4924</v>
      </c>
      <c r="AR1006" s="25" t="s">
        <v>151</v>
      </c>
      <c r="AS1006" s="25" t="s">
        <v>73</v>
      </c>
      <c r="AT1006" s="5" t="s">
        <v>78</v>
      </c>
      <c r="AU1006" s="25" t="s">
        <v>259</v>
      </c>
      <c r="AV1006" s="25"/>
      <c r="AW1006" s="5" t="s">
        <v>94</v>
      </c>
      <c r="AX1006" s="25" t="s">
        <v>79</v>
      </c>
      <c r="AY1006" s="25"/>
      <c r="AZ1006" s="5" t="s">
        <v>129</v>
      </c>
      <c r="BA1006" s="25"/>
      <c r="BB1006" s="25"/>
      <c r="BC1006" s="25"/>
      <c r="BD1006" s="25"/>
      <c r="BE1006" s="25"/>
      <c r="BF1006" s="25"/>
      <c r="BG1006" s="25"/>
      <c r="BH1006" s="25"/>
      <c r="BI1006" s="25"/>
      <c r="BJ1006" s="71" t="n">
        <v>2024</v>
      </c>
      <c r="BK1006" s="25"/>
    </row>
    <row r="1007" customFormat="false" ht="15.75" hidden="false" customHeight="true" outlineLevel="0" collapsed="false">
      <c r="A1007" s="5" t="s">
        <v>5112</v>
      </c>
      <c r="B1007" s="25"/>
      <c r="C1007" s="25" t="s">
        <v>5113</v>
      </c>
      <c r="D1007" s="68" t="s">
        <v>5051</v>
      </c>
      <c r="E1007" s="25" t="n">
        <v>274961</v>
      </c>
      <c r="F1007" s="25" t="n">
        <v>274961</v>
      </c>
      <c r="G1007" s="25" t="s">
        <v>147</v>
      </c>
      <c r="H1007" s="25"/>
      <c r="I1007" s="25"/>
      <c r="J1007" s="72" t="n">
        <v>274961</v>
      </c>
      <c r="K1007" s="72" t="n">
        <v>274961</v>
      </c>
      <c r="L1007" s="25" t="s">
        <v>84</v>
      </c>
      <c r="M1007" s="25"/>
      <c r="N1007" s="74" t="s">
        <v>5114</v>
      </c>
      <c r="O1007" s="25"/>
      <c r="P1007" s="25"/>
      <c r="Q1007" s="25"/>
      <c r="R1007" s="25"/>
      <c r="S1007" s="25"/>
      <c r="T1007" s="25" t="s">
        <v>5115</v>
      </c>
      <c r="U1007" s="25"/>
      <c r="V1007" s="25" t="s">
        <v>5116</v>
      </c>
      <c r="W1007" s="25" t="s">
        <v>4933</v>
      </c>
      <c r="X1007" s="25" t="s">
        <v>151</v>
      </c>
      <c r="Y1007" s="25" t="s">
        <v>73</v>
      </c>
      <c r="Z1007" s="25"/>
      <c r="AA1007" s="25"/>
      <c r="AB1007" s="25"/>
      <c r="AC1007" s="25" t="s">
        <v>5088</v>
      </c>
      <c r="AD1007" s="25" t="s">
        <v>832</v>
      </c>
      <c r="AE1007" s="25"/>
      <c r="AF1007" s="25"/>
      <c r="AG1007" s="25"/>
      <c r="AH1007" s="25"/>
      <c r="AI1007" s="25"/>
      <c r="AJ1007" s="70" t="e">
        <f aca="false">IF(OR(AI1007="", #REF!=""), "", IFERROR(DATEDIF(AI1007, #REF!, "M")+1, "N/A"))</f>
        <v>#REF!</v>
      </c>
      <c r="AK1007" s="25" t="s">
        <v>75</v>
      </c>
      <c r="AL1007" s="25"/>
      <c r="AM1007" s="5" t="s">
        <v>924</v>
      </c>
      <c r="AN1007" s="5" t="s">
        <v>5056</v>
      </c>
      <c r="AO1007" s="25"/>
      <c r="AP1007" s="25"/>
      <c r="AQ1007" s="25" t="s">
        <v>4924</v>
      </c>
      <c r="AR1007" s="25" t="s">
        <v>151</v>
      </c>
      <c r="AS1007" s="25" t="s">
        <v>73</v>
      </c>
      <c r="AT1007" s="25" t="s">
        <v>78</v>
      </c>
      <c r="AU1007" s="25"/>
      <c r="AV1007" s="25"/>
      <c r="AW1007" s="5" t="s">
        <v>94</v>
      </c>
      <c r="AX1007" s="25" t="s">
        <v>79</v>
      </c>
      <c r="AY1007" s="25"/>
      <c r="AZ1007" s="5" t="s">
        <v>188</v>
      </c>
      <c r="BA1007" s="25"/>
      <c r="BB1007" s="25"/>
      <c r="BC1007" s="25"/>
      <c r="BD1007" s="25"/>
      <c r="BE1007" s="25"/>
      <c r="BF1007" s="25"/>
      <c r="BG1007" s="25"/>
      <c r="BH1007" s="25"/>
      <c r="BI1007" s="25"/>
      <c r="BJ1007" s="71" t="n">
        <v>2024</v>
      </c>
      <c r="BK1007" s="25"/>
    </row>
    <row r="1008" customFormat="false" ht="15.75" hidden="false" customHeight="true" outlineLevel="0" collapsed="false">
      <c r="A1008" s="5" t="s">
        <v>5117</v>
      </c>
      <c r="B1008" s="25"/>
      <c r="C1008" s="25" t="s">
        <v>5118</v>
      </c>
      <c r="D1008" s="68" t="s">
        <v>5051</v>
      </c>
      <c r="E1008" s="25" t="n">
        <v>521914</v>
      </c>
      <c r="F1008" s="25" t="n">
        <v>521914</v>
      </c>
      <c r="G1008" s="25" t="s">
        <v>147</v>
      </c>
      <c r="H1008" s="25"/>
      <c r="I1008" s="25"/>
      <c r="J1008" s="72" t="n">
        <v>521914</v>
      </c>
      <c r="K1008" s="72" t="n">
        <v>521914</v>
      </c>
      <c r="L1008" s="25" t="s">
        <v>84</v>
      </c>
      <c r="M1008" s="25"/>
      <c r="N1008" s="74" t="s">
        <v>5119</v>
      </c>
      <c r="O1008" s="25"/>
      <c r="P1008" s="25"/>
      <c r="Q1008" s="25"/>
      <c r="R1008" s="25"/>
      <c r="S1008" s="25"/>
      <c r="T1008" s="25" t="s">
        <v>5072</v>
      </c>
      <c r="U1008" s="25"/>
      <c r="V1008" s="25" t="s">
        <v>5073</v>
      </c>
      <c r="W1008" s="25" t="s">
        <v>4933</v>
      </c>
      <c r="X1008" s="25" t="s">
        <v>151</v>
      </c>
      <c r="Y1008" s="25" t="s">
        <v>73</v>
      </c>
      <c r="Z1008" s="25"/>
      <c r="AA1008" s="25"/>
      <c r="AB1008" s="25"/>
      <c r="AC1008" s="25" t="s">
        <v>5120</v>
      </c>
      <c r="AD1008" s="25" t="s">
        <v>5121</v>
      </c>
      <c r="AE1008" s="25"/>
      <c r="AF1008" s="25"/>
      <c r="AG1008" s="25"/>
      <c r="AH1008" s="25"/>
      <c r="AI1008" s="25"/>
      <c r="AJ1008" s="70" t="e">
        <f aca="false">IF(OR(AI1008="", #REF!=""), "", IFERROR(DATEDIF(AI1008, #REF!, "M")+1, "N/A"))</f>
        <v>#REF!</v>
      </c>
      <c r="AK1008" s="25" t="s">
        <v>75</v>
      </c>
      <c r="AL1008" s="25"/>
      <c r="AM1008" s="5" t="s">
        <v>924</v>
      </c>
      <c r="AN1008" s="5" t="s">
        <v>5056</v>
      </c>
      <c r="AO1008" s="25"/>
      <c r="AP1008" s="25"/>
      <c r="AQ1008" s="25" t="s">
        <v>4924</v>
      </c>
      <c r="AR1008" s="25" t="s">
        <v>151</v>
      </c>
      <c r="AS1008" s="25" t="s">
        <v>73</v>
      </c>
      <c r="AT1008" s="25" t="s">
        <v>78</v>
      </c>
      <c r="AU1008" s="25"/>
      <c r="AV1008" s="25"/>
      <c r="AW1008" s="5" t="s">
        <v>94</v>
      </c>
      <c r="AX1008" s="25" t="s">
        <v>296</v>
      </c>
      <c r="AY1008" s="25" t="s">
        <v>447</v>
      </c>
      <c r="AZ1008" s="5" t="s">
        <v>188</v>
      </c>
      <c r="BA1008" s="25"/>
      <c r="BB1008" s="25"/>
      <c r="BC1008" s="25"/>
      <c r="BD1008" s="25"/>
      <c r="BE1008" s="25"/>
      <c r="BF1008" s="25"/>
      <c r="BG1008" s="25"/>
      <c r="BH1008" s="25"/>
      <c r="BI1008" s="25"/>
      <c r="BJ1008" s="71" t="n">
        <v>2024</v>
      </c>
      <c r="BK1008" s="25"/>
    </row>
    <row r="1009" customFormat="false" ht="15.75" hidden="false" customHeight="true" outlineLevel="0" collapsed="false">
      <c r="A1009" s="5" t="s">
        <v>4842</v>
      </c>
      <c r="B1009" s="25"/>
      <c r="C1009" s="25" t="s">
        <v>5122</v>
      </c>
      <c r="D1009" s="68" t="s">
        <v>5051</v>
      </c>
      <c r="E1009" s="25" t="n">
        <v>524723</v>
      </c>
      <c r="F1009" s="25" t="n">
        <v>524723</v>
      </c>
      <c r="G1009" s="25" t="s">
        <v>147</v>
      </c>
      <c r="H1009" s="25"/>
      <c r="I1009" s="25"/>
      <c r="J1009" s="72" t="n">
        <v>524723</v>
      </c>
      <c r="K1009" s="72" t="n">
        <v>524723</v>
      </c>
      <c r="L1009" s="25" t="s">
        <v>84</v>
      </c>
      <c r="M1009" s="25"/>
      <c r="N1009" s="74" t="s">
        <v>5123</v>
      </c>
      <c r="O1009" s="25"/>
      <c r="P1009" s="25"/>
      <c r="Q1009" s="25"/>
      <c r="R1009" s="25"/>
      <c r="S1009" s="25"/>
      <c r="T1009" s="25" t="s">
        <v>5124</v>
      </c>
      <c r="U1009" s="25"/>
      <c r="V1009" s="25" t="s">
        <v>5073</v>
      </c>
      <c r="W1009" s="25" t="s">
        <v>4933</v>
      </c>
      <c r="X1009" s="25" t="s">
        <v>151</v>
      </c>
      <c r="Y1009" s="25" t="s">
        <v>73</v>
      </c>
      <c r="Z1009" s="25"/>
      <c r="AA1009" s="25"/>
      <c r="AB1009" s="25"/>
      <c r="AC1009" s="25" t="s">
        <v>5125</v>
      </c>
      <c r="AD1009" s="25" t="s">
        <v>832</v>
      </c>
      <c r="AE1009" s="25"/>
      <c r="AF1009" s="25"/>
      <c r="AG1009" s="25"/>
      <c r="AH1009" s="25"/>
      <c r="AI1009" s="25"/>
      <c r="AJ1009" s="70" t="e">
        <f aca="false">IF(OR(AI1009="", #REF!=""), "", IFERROR(DATEDIF(AI1009, #REF!, "M")+1, "N/A"))</f>
        <v>#REF!</v>
      </c>
      <c r="AK1009" s="25" t="s">
        <v>75</v>
      </c>
      <c r="AL1009" s="25"/>
      <c r="AM1009" s="5" t="s">
        <v>924</v>
      </c>
      <c r="AN1009" s="5" t="s">
        <v>5056</v>
      </c>
      <c r="AO1009" s="25"/>
      <c r="AP1009" s="25"/>
      <c r="AQ1009" s="25" t="s">
        <v>4924</v>
      </c>
      <c r="AR1009" s="25" t="s">
        <v>151</v>
      </c>
      <c r="AS1009" s="25" t="s">
        <v>73</v>
      </c>
      <c r="AT1009" s="5" t="s">
        <v>78</v>
      </c>
      <c r="AU1009" s="25" t="s">
        <v>259</v>
      </c>
      <c r="AV1009" s="25"/>
      <c r="AW1009" s="5" t="s">
        <v>94</v>
      </c>
      <c r="AX1009" s="25" t="s">
        <v>296</v>
      </c>
      <c r="AY1009" s="25" t="s">
        <v>297</v>
      </c>
      <c r="AZ1009" s="5" t="s">
        <v>188</v>
      </c>
      <c r="BA1009" s="25"/>
      <c r="BB1009" s="25"/>
      <c r="BC1009" s="25"/>
      <c r="BD1009" s="25"/>
      <c r="BE1009" s="25"/>
      <c r="BF1009" s="25"/>
      <c r="BG1009" s="25"/>
      <c r="BH1009" s="25"/>
      <c r="BI1009" s="25"/>
      <c r="BJ1009" s="71" t="n">
        <v>2024</v>
      </c>
      <c r="BK1009" s="25"/>
    </row>
    <row r="1010" customFormat="false" ht="15.75" hidden="false" customHeight="true" outlineLevel="0" collapsed="false">
      <c r="A1010" s="25" t="s">
        <v>5126</v>
      </c>
      <c r="B1010" s="25" t="s">
        <v>5127</v>
      </c>
      <c r="D1010" s="68"/>
      <c r="E1010" s="25" t="n">
        <v>3000000</v>
      </c>
      <c r="F1010" s="25" t="n">
        <v>3000000</v>
      </c>
      <c r="G1010" s="25" t="s">
        <v>147</v>
      </c>
      <c r="H1010" s="25"/>
      <c r="I1010" s="25"/>
      <c r="J1010" s="72" t="n">
        <v>3000000</v>
      </c>
      <c r="K1010" s="72" t="n">
        <v>3000000</v>
      </c>
      <c r="L1010" s="25" t="s">
        <v>84</v>
      </c>
      <c r="M1010" s="25"/>
      <c r="N1010" s="69" t="s">
        <v>5128</v>
      </c>
      <c r="O1010" s="25"/>
      <c r="P1010" s="25"/>
      <c r="Q1010" s="25"/>
      <c r="R1010" s="25"/>
      <c r="S1010" s="25"/>
      <c r="T1010" s="25" t="s">
        <v>5129</v>
      </c>
      <c r="U1010" s="25"/>
      <c r="V1010" s="25" t="s">
        <v>5130</v>
      </c>
      <c r="W1010" s="25" t="s">
        <v>90</v>
      </c>
      <c r="X1010" s="25" t="s">
        <v>2243</v>
      </c>
      <c r="Y1010" s="25" t="s">
        <v>73</v>
      </c>
      <c r="Z1010" s="25"/>
      <c r="AA1010" s="25"/>
      <c r="AB1010" s="25"/>
      <c r="AC1010" s="25"/>
      <c r="AD1010" s="25" t="s">
        <v>5131</v>
      </c>
      <c r="AE1010" s="25"/>
      <c r="AF1010" s="25"/>
      <c r="AG1010" s="25"/>
      <c r="AH1010" s="25"/>
      <c r="AI1010" s="25"/>
      <c r="AJ1010" s="70" t="e">
        <f aca="false">IF(OR(AI1010="", #REF!=""), "", IFERROR(DATEDIF(AI1010, #REF!, "M")+1, "N/A"))</f>
        <v>#REF!</v>
      </c>
      <c r="AK1010" s="25"/>
      <c r="AL1010" s="25"/>
      <c r="AM1010" s="25" t="s">
        <v>182</v>
      </c>
      <c r="AO1010" s="25"/>
      <c r="AP1010" s="25"/>
      <c r="AQ1010" s="29" t="s">
        <v>4954</v>
      </c>
      <c r="AR1010" s="25" t="s">
        <v>185</v>
      </c>
      <c r="AS1010" s="25" t="s">
        <v>73</v>
      </c>
      <c r="AT1010" s="25" t="s">
        <v>78</v>
      </c>
      <c r="AU1010" s="25"/>
      <c r="AV1010" s="25"/>
      <c r="AW1010" s="25" t="s">
        <v>201</v>
      </c>
      <c r="AX1010" s="25" t="s">
        <v>296</v>
      </c>
      <c r="AY1010" s="25"/>
      <c r="AZ1010" s="5" t="s">
        <v>188</v>
      </c>
      <c r="BA1010" s="25"/>
      <c r="BB1010" s="25"/>
      <c r="BC1010" s="25"/>
      <c r="BD1010" s="25"/>
      <c r="BE1010" s="25"/>
      <c r="BF1010" s="25"/>
      <c r="BG1010" s="25"/>
      <c r="BH1010" s="25"/>
      <c r="BI1010" s="25"/>
      <c r="BJ1010" s="71" t="n">
        <v>2024</v>
      </c>
      <c r="BK1010" s="25"/>
    </row>
    <row r="1011" customFormat="false" ht="15.75" hidden="false" customHeight="true" outlineLevel="0" collapsed="false">
      <c r="A1011" s="25" t="s">
        <v>5132</v>
      </c>
      <c r="B1011" s="25" t="s">
        <v>5133</v>
      </c>
      <c r="D1011" s="68"/>
      <c r="E1011" s="25" t="n">
        <v>2000000</v>
      </c>
      <c r="F1011" s="25" t="n">
        <v>2000000</v>
      </c>
      <c r="G1011" s="25" t="s">
        <v>147</v>
      </c>
      <c r="H1011" s="25"/>
      <c r="I1011" s="25"/>
      <c r="J1011" s="72" t="n">
        <v>2000000</v>
      </c>
      <c r="K1011" s="72" t="n">
        <v>2000000</v>
      </c>
      <c r="L1011" s="25" t="s">
        <v>84</v>
      </c>
      <c r="M1011" s="25"/>
      <c r="N1011" s="69" t="s">
        <v>5134</v>
      </c>
      <c r="O1011" s="25"/>
      <c r="P1011" s="25"/>
      <c r="Q1011" s="25"/>
      <c r="R1011" s="25"/>
      <c r="S1011" s="25"/>
      <c r="T1011" s="25" t="s">
        <v>5135</v>
      </c>
      <c r="U1011" s="25"/>
      <c r="V1011" s="25" t="s">
        <v>5136</v>
      </c>
      <c r="W1011" s="25" t="s">
        <v>2279</v>
      </c>
      <c r="X1011" s="25" t="s">
        <v>257</v>
      </c>
      <c r="Y1011" s="25" t="s">
        <v>73</v>
      </c>
      <c r="Z1011" s="25"/>
      <c r="AA1011" s="25"/>
      <c r="AB1011" s="25"/>
      <c r="AC1011" s="25"/>
      <c r="AD1011" s="25" t="s">
        <v>5137</v>
      </c>
      <c r="AE1011" s="25"/>
      <c r="AF1011" s="25"/>
      <c r="AG1011" s="25"/>
      <c r="AH1011" s="25"/>
      <c r="AI1011" s="73" t="n">
        <v>44317</v>
      </c>
      <c r="AJ1011" s="71" t="e">
        <f aca="false">IF(OR(AI1011="", #REF!=""), "", IFERROR(DATEDIF(AI1011, #REF!, "M")+1, "N/A"))</f>
        <v>#REF!</v>
      </c>
      <c r="AK1011" s="25" t="s">
        <v>5003</v>
      </c>
      <c r="AL1011" s="25"/>
      <c r="AM1011" s="25" t="s">
        <v>182</v>
      </c>
      <c r="AN1011" s="25" t="s">
        <v>5138</v>
      </c>
      <c r="AO1011" s="25"/>
      <c r="AP1011" s="25"/>
      <c r="AQ1011" s="29" t="s">
        <v>4954</v>
      </c>
      <c r="AR1011" s="25" t="s">
        <v>185</v>
      </c>
      <c r="AS1011" s="25" t="s">
        <v>73</v>
      </c>
      <c r="AT1011" s="25" t="s">
        <v>78</v>
      </c>
      <c r="AU1011" s="25"/>
      <c r="AV1011" s="25"/>
      <c r="AW1011" s="25" t="s">
        <v>94</v>
      </c>
      <c r="AX1011" s="25" t="s">
        <v>79</v>
      </c>
      <c r="AY1011" s="25"/>
      <c r="AZ1011" s="5" t="s">
        <v>188</v>
      </c>
      <c r="BA1011" s="25"/>
      <c r="BB1011" s="25"/>
      <c r="BC1011" s="25"/>
      <c r="BD1011" s="25"/>
      <c r="BE1011" s="25"/>
      <c r="BF1011" s="25"/>
      <c r="BG1011" s="25"/>
      <c r="BH1011" s="25"/>
      <c r="BI1011" s="25"/>
      <c r="BJ1011" s="71" t="n">
        <f aca="false">IF(AI1011&lt;&gt;"", YEAR(AI1011), "")</f>
        <v>2021</v>
      </c>
      <c r="BK1011" s="25"/>
    </row>
    <row r="1012" customFormat="false" ht="15.75" hidden="false" customHeight="true" outlineLevel="0" collapsed="false">
      <c r="A1012" s="25" t="s">
        <v>5139</v>
      </c>
      <c r="B1012" s="25" t="s">
        <v>5140</v>
      </c>
      <c r="C1012" s="25"/>
      <c r="D1012" s="68" t="s">
        <v>4990</v>
      </c>
      <c r="E1012" s="25" t="n">
        <v>9819477.5</v>
      </c>
      <c r="F1012" s="25" t="n">
        <v>8499975.01</v>
      </c>
      <c r="G1012" s="25" t="s">
        <v>147</v>
      </c>
      <c r="H1012" s="25"/>
      <c r="I1012" s="25"/>
      <c r="J1012" s="72" t="n">
        <v>9819477.5</v>
      </c>
      <c r="K1012" s="72" t="n">
        <v>8499975.01</v>
      </c>
      <c r="L1012" s="25" t="s">
        <v>84</v>
      </c>
      <c r="M1012" s="25"/>
      <c r="N1012" s="74" t="s">
        <v>5141</v>
      </c>
      <c r="O1012" s="25"/>
      <c r="P1012" s="25"/>
      <c r="Q1012" s="25"/>
      <c r="R1012" s="25"/>
      <c r="S1012" s="25"/>
      <c r="T1012" s="25" t="s">
        <v>5142</v>
      </c>
      <c r="U1012" s="25"/>
      <c r="V1012" s="25" t="s">
        <v>5143</v>
      </c>
      <c r="W1012" s="25" t="s">
        <v>2279</v>
      </c>
      <c r="X1012" s="25" t="s">
        <v>115</v>
      </c>
      <c r="Y1012" s="25" t="s">
        <v>73</v>
      </c>
      <c r="Z1012" s="25"/>
      <c r="AA1012" s="25"/>
      <c r="AB1012" s="25"/>
      <c r="AC1012" s="25"/>
      <c r="AD1012" s="25" t="s">
        <v>5144</v>
      </c>
      <c r="AF1012" s="25"/>
      <c r="AG1012" s="25"/>
      <c r="AH1012" s="25"/>
      <c r="AI1012" s="73" t="n">
        <v>45078</v>
      </c>
      <c r="AJ1012" s="71" t="e">
        <f aca="false">IF(OR(AI1012="", #REF!=""), "", IFERROR(DATEDIF(AI1012, #REF!, "M")+1, "N/A"))</f>
        <v>#REF!</v>
      </c>
      <c r="AK1012" s="25" t="s">
        <v>75</v>
      </c>
      <c r="AL1012" s="25"/>
      <c r="AM1012" s="28" t="s">
        <v>182</v>
      </c>
      <c r="AN1012" s="5" t="s">
        <v>404</v>
      </c>
      <c r="AO1012" s="25"/>
      <c r="AP1012" s="25"/>
      <c r="AQ1012" s="29" t="s">
        <v>4954</v>
      </c>
      <c r="AR1012" s="25" t="s">
        <v>185</v>
      </c>
      <c r="AS1012" s="25" t="s">
        <v>73</v>
      </c>
      <c r="AT1012" s="25" t="s">
        <v>78</v>
      </c>
      <c r="AU1012" s="25" t="s">
        <v>5145</v>
      </c>
      <c r="AV1012" s="25"/>
      <c r="AW1012" s="25" t="s">
        <v>94</v>
      </c>
      <c r="AX1012" s="25" t="s">
        <v>79</v>
      </c>
      <c r="AY1012" s="25"/>
      <c r="AZ1012" s="5" t="s">
        <v>129</v>
      </c>
      <c r="BA1012" s="25"/>
      <c r="BB1012" s="25"/>
      <c r="BC1012" s="25"/>
      <c r="BD1012" s="25"/>
      <c r="BE1012" s="25"/>
      <c r="BF1012" s="25"/>
      <c r="BG1012" s="25"/>
      <c r="BH1012" s="25"/>
      <c r="BI1012" s="25"/>
      <c r="BJ1012" s="71" t="n">
        <f aca="false">IF(AI1012&lt;&gt;"", YEAR(AI1012), "")</f>
        <v>2023</v>
      </c>
      <c r="BK1012" s="25"/>
    </row>
    <row r="1013" customFormat="false" ht="15.75" hidden="false" customHeight="true" outlineLevel="0" collapsed="false">
      <c r="A1013" s="25" t="s">
        <v>5146</v>
      </c>
      <c r="B1013" s="25" t="s">
        <v>5147</v>
      </c>
      <c r="C1013" s="25"/>
      <c r="D1013" s="68" t="s">
        <v>4990</v>
      </c>
      <c r="E1013" s="25" t="n">
        <v>15216288.15</v>
      </c>
      <c r="F1013" s="25" t="n">
        <v>12484461.46</v>
      </c>
      <c r="G1013" s="25" t="s">
        <v>147</v>
      </c>
      <c r="H1013" s="25"/>
      <c r="I1013" s="25"/>
      <c r="J1013" s="72" t="n">
        <v>15216288.15</v>
      </c>
      <c r="K1013" s="72" t="n">
        <v>12484461.46</v>
      </c>
      <c r="L1013" s="25" t="s">
        <v>84</v>
      </c>
      <c r="M1013" s="25"/>
      <c r="N1013" s="74" t="s">
        <v>5148</v>
      </c>
      <c r="O1013" s="25"/>
      <c r="P1013" s="25"/>
      <c r="Q1013" s="25"/>
      <c r="R1013" s="25"/>
      <c r="S1013" s="25"/>
      <c r="T1013" s="25" t="s">
        <v>5149</v>
      </c>
      <c r="U1013" s="25"/>
      <c r="V1013" s="25" t="s">
        <v>5150</v>
      </c>
      <c r="W1013" s="25" t="s">
        <v>4933</v>
      </c>
      <c r="X1013" s="25" t="s">
        <v>257</v>
      </c>
      <c r="Y1013" s="25" t="s">
        <v>73</v>
      </c>
      <c r="Z1013" s="25"/>
      <c r="AA1013" s="25"/>
      <c r="AB1013" s="25"/>
      <c r="AC1013" s="25"/>
      <c r="AD1013" s="25" t="s">
        <v>5151</v>
      </c>
      <c r="AF1013" s="25"/>
      <c r="AG1013" s="25"/>
      <c r="AH1013" s="25"/>
      <c r="AI1013" s="73" t="n">
        <v>42644</v>
      </c>
      <c r="AJ1013" s="71" t="e">
        <f aca="false">IF(OR(AI1013="", #REF!=""), "", IFERROR(DATEDIF(AI1013, #REF!, "M")+1, "N/A"))</f>
        <v>#REF!</v>
      </c>
      <c r="AK1013" s="25" t="s">
        <v>5003</v>
      </c>
      <c r="AL1013" s="25"/>
      <c r="AM1013" s="28" t="s">
        <v>182</v>
      </c>
      <c r="AN1013" s="24" t="s">
        <v>363</v>
      </c>
      <c r="AO1013" s="25"/>
      <c r="AP1013" s="25"/>
      <c r="AQ1013" s="29" t="s">
        <v>4954</v>
      </c>
      <c r="AR1013" s="25" t="s">
        <v>185</v>
      </c>
      <c r="AS1013" s="25" t="s">
        <v>73</v>
      </c>
      <c r="AT1013" s="25" t="s">
        <v>78</v>
      </c>
      <c r="AU1013" s="25"/>
      <c r="AV1013" s="25"/>
      <c r="AW1013" s="25" t="s">
        <v>94</v>
      </c>
      <c r="AX1013" s="25" t="s">
        <v>79</v>
      </c>
      <c r="AY1013" s="25"/>
      <c r="AZ1013" s="5" t="s">
        <v>129</v>
      </c>
      <c r="BA1013" s="25"/>
      <c r="BB1013" s="25"/>
      <c r="BC1013" s="25"/>
      <c r="BD1013" s="25"/>
      <c r="BE1013" s="25"/>
      <c r="BF1013" s="25"/>
      <c r="BG1013" s="25"/>
      <c r="BH1013" s="25"/>
      <c r="BI1013" s="25"/>
      <c r="BJ1013" s="71" t="n">
        <f aca="false">IF(AI1013&lt;&gt;"", YEAR(AI1013), "")</f>
        <v>2016</v>
      </c>
      <c r="BK1013" s="25"/>
    </row>
    <row r="1014" customFormat="false" ht="15.75" hidden="false" customHeight="true" outlineLevel="0" collapsed="false">
      <c r="A1014" s="25" t="s">
        <v>5152</v>
      </c>
      <c r="B1014" s="25" t="s">
        <v>5153</v>
      </c>
      <c r="C1014" s="25"/>
      <c r="D1014" s="68"/>
      <c r="E1014" s="25"/>
      <c r="F1014" s="25"/>
      <c r="G1014" s="25"/>
      <c r="H1014" s="25"/>
      <c r="I1014" s="25"/>
      <c r="J1014" s="72"/>
      <c r="K1014" s="72"/>
      <c r="L1014" s="25" t="s">
        <v>84</v>
      </c>
      <c r="M1014" s="25"/>
      <c r="N1014" s="69" t="s">
        <v>5154</v>
      </c>
      <c r="O1014" s="25"/>
      <c r="P1014" s="25"/>
      <c r="Q1014" s="25"/>
      <c r="R1014" s="25"/>
      <c r="S1014" s="25"/>
      <c r="T1014" s="25" t="s">
        <v>5155</v>
      </c>
      <c r="U1014" s="25"/>
      <c r="V1014" s="25" t="s">
        <v>5156</v>
      </c>
      <c r="W1014" s="25" t="s">
        <v>90</v>
      </c>
      <c r="X1014" s="25" t="s">
        <v>737</v>
      </c>
      <c r="Y1014" s="25" t="s">
        <v>73</v>
      </c>
      <c r="Z1014" s="25"/>
      <c r="AA1014" s="25"/>
      <c r="AB1014" s="25"/>
      <c r="AC1014" s="25" t="s">
        <v>5157</v>
      </c>
      <c r="AD1014" s="25" t="s">
        <v>5158</v>
      </c>
      <c r="AE1014" s="25"/>
      <c r="AF1014" s="25"/>
      <c r="AG1014" s="25"/>
      <c r="AH1014" s="25"/>
      <c r="AI1014" s="25"/>
      <c r="AJ1014" s="70" t="e">
        <f aca="false">IF(OR(AI1014="", #REF!=""), "", IFERROR(DATEDIF(AI1014, #REF!, "M")+1, "N/A"))</f>
        <v>#REF!</v>
      </c>
      <c r="AK1014" s="25" t="s">
        <v>5003</v>
      </c>
      <c r="AL1014" s="25"/>
      <c r="AM1014" s="25" t="s">
        <v>5159</v>
      </c>
      <c r="AO1014" s="25"/>
      <c r="AP1014" s="25"/>
      <c r="AQ1014" s="25" t="s">
        <v>4924</v>
      </c>
      <c r="AR1014" s="25" t="s">
        <v>737</v>
      </c>
      <c r="AS1014" s="25" t="s">
        <v>73</v>
      </c>
      <c r="AT1014" s="25" t="s">
        <v>71</v>
      </c>
      <c r="AU1014" s="25"/>
      <c r="AV1014" s="25"/>
      <c r="AW1014" s="5" t="s">
        <v>94</v>
      </c>
      <c r="AX1014" s="25" t="s">
        <v>375</v>
      </c>
      <c r="AY1014" s="25"/>
      <c r="AZ1014" s="5" t="s">
        <v>399</v>
      </c>
      <c r="BA1014" s="25"/>
      <c r="BB1014" s="25"/>
      <c r="BC1014" s="25"/>
      <c r="BD1014" s="25"/>
      <c r="BE1014" s="25"/>
      <c r="BF1014" s="25"/>
      <c r="BG1014" s="25"/>
      <c r="BH1014" s="25"/>
      <c r="BI1014" s="25"/>
      <c r="BJ1014" s="71" t="n">
        <v>2021</v>
      </c>
      <c r="BK1014" s="25"/>
    </row>
    <row r="1015" customFormat="false" ht="15.75" hidden="false" customHeight="true" outlineLevel="0" collapsed="false">
      <c r="A1015" s="25" t="s">
        <v>5160</v>
      </c>
      <c r="B1015" s="25" t="s">
        <v>5161</v>
      </c>
      <c r="C1015" s="25"/>
      <c r="D1015" s="68"/>
      <c r="E1015" s="25"/>
      <c r="F1015" s="25"/>
      <c r="G1015" s="25"/>
      <c r="H1015" s="25"/>
      <c r="I1015" s="25"/>
      <c r="J1015" s="72"/>
      <c r="K1015" s="72"/>
      <c r="L1015" s="25" t="s">
        <v>84</v>
      </c>
      <c r="M1015" s="25"/>
      <c r="N1015" s="69" t="s">
        <v>5162</v>
      </c>
      <c r="O1015" s="25"/>
      <c r="P1015" s="25"/>
      <c r="Q1015" s="25"/>
      <c r="R1015" s="25"/>
      <c r="S1015" s="25"/>
      <c r="T1015" s="25" t="s">
        <v>5163</v>
      </c>
      <c r="U1015" s="25"/>
      <c r="V1015" s="25" t="s">
        <v>5164</v>
      </c>
      <c r="W1015" s="25" t="s">
        <v>90</v>
      </c>
      <c r="X1015" s="25" t="s">
        <v>72</v>
      </c>
      <c r="Y1015" s="25" t="s">
        <v>73</v>
      </c>
      <c r="Z1015" s="25"/>
      <c r="AA1015" s="25"/>
      <c r="AB1015" s="25"/>
      <c r="AC1015" s="25"/>
      <c r="AD1015" s="25" t="s">
        <v>5165</v>
      </c>
      <c r="AE1015" s="25"/>
      <c r="AF1015" s="25"/>
      <c r="AG1015" s="25"/>
      <c r="AH1015" s="25"/>
      <c r="AI1015" s="73" t="n">
        <v>44567</v>
      </c>
      <c r="AJ1015" s="71" t="e">
        <f aca="false">IF(OR(AI1015="", #REF!=""), "", IFERROR(DATEDIF(AI1015, #REF!, "M")+1, "N/A"))</f>
        <v>#REF!</v>
      </c>
      <c r="AK1015" s="25" t="s">
        <v>5003</v>
      </c>
      <c r="AL1015" s="25"/>
      <c r="AM1015" s="25" t="s">
        <v>5166</v>
      </c>
      <c r="AN1015" s="5" t="s">
        <v>280</v>
      </c>
      <c r="AO1015" s="25"/>
      <c r="AP1015" s="25"/>
      <c r="AQ1015" s="25" t="s">
        <v>4924</v>
      </c>
      <c r="AR1015" s="25" t="s">
        <v>5167</v>
      </c>
      <c r="AS1015" s="25" t="s">
        <v>73</v>
      </c>
      <c r="AT1015" s="25" t="s">
        <v>78</v>
      </c>
      <c r="AU1015" s="25"/>
      <c r="AV1015" s="25"/>
      <c r="AW1015" s="5" t="s">
        <v>94</v>
      </c>
      <c r="AX1015" s="25" t="s">
        <v>79</v>
      </c>
      <c r="AY1015" s="25"/>
      <c r="AZ1015" s="5" t="s">
        <v>129</v>
      </c>
      <c r="BA1015" s="25"/>
      <c r="BB1015" s="25"/>
      <c r="BC1015" s="25"/>
      <c r="BD1015" s="25"/>
      <c r="BE1015" s="25"/>
      <c r="BF1015" s="25"/>
      <c r="BG1015" s="25"/>
      <c r="BH1015" s="25"/>
      <c r="BI1015" s="25"/>
      <c r="BJ1015" s="71" t="n">
        <f aca="false">IF(AI1015&lt;&gt;"", YEAR(AI1015), "")</f>
        <v>2022</v>
      </c>
      <c r="BK1015" s="25"/>
    </row>
    <row r="1016" customFormat="false" ht="15.75" hidden="false" customHeight="true" outlineLevel="0" collapsed="false">
      <c r="A1016" s="25" t="s">
        <v>5168</v>
      </c>
      <c r="B1016" s="25" t="s">
        <v>5169</v>
      </c>
      <c r="C1016" s="25"/>
      <c r="D1016" s="68"/>
      <c r="E1016" s="25" t="n">
        <v>1700000</v>
      </c>
      <c r="F1016" s="25" t="n">
        <v>1700000</v>
      </c>
      <c r="G1016" s="25" t="s">
        <v>147</v>
      </c>
      <c r="H1016" s="25"/>
      <c r="I1016" s="25"/>
      <c r="J1016" s="72" t="n">
        <v>1700000</v>
      </c>
      <c r="K1016" s="72" t="n">
        <v>1700000</v>
      </c>
      <c r="L1016" s="25" t="s">
        <v>84</v>
      </c>
      <c r="M1016" s="25"/>
      <c r="N1016" s="69" t="s">
        <v>785</v>
      </c>
      <c r="O1016" s="25"/>
      <c r="P1016" s="25"/>
      <c r="Q1016" s="25"/>
      <c r="R1016" s="25"/>
      <c r="S1016" s="25"/>
      <c r="T1016" s="25" t="s">
        <v>788</v>
      </c>
      <c r="U1016" s="25" t="s">
        <v>5170</v>
      </c>
      <c r="V1016" s="25" t="s">
        <v>790</v>
      </c>
      <c r="W1016" s="25" t="s">
        <v>90</v>
      </c>
      <c r="X1016" s="25" t="s">
        <v>151</v>
      </c>
      <c r="Y1016" s="25" t="s">
        <v>73</v>
      </c>
      <c r="Z1016" s="25"/>
      <c r="AA1016" s="25"/>
      <c r="AB1016" s="25"/>
      <c r="AC1016" s="25"/>
      <c r="AD1016" s="25" t="s">
        <v>791</v>
      </c>
      <c r="AF1016" s="25"/>
      <c r="AG1016" s="25"/>
      <c r="AH1016" s="25"/>
      <c r="AI1016" s="25"/>
      <c r="AJ1016" s="70" t="e">
        <f aca="false">IF(OR(AI1016="", #REF!=""), "", IFERROR(DATEDIF(AI1016, #REF!, "M")+1, "N/A"))</f>
        <v>#REF!</v>
      </c>
      <c r="AK1016" s="25" t="s">
        <v>75</v>
      </c>
      <c r="AL1016" s="25"/>
      <c r="AM1016" s="5" t="s">
        <v>153</v>
      </c>
      <c r="AO1016" s="25"/>
      <c r="AP1016" s="25"/>
      <c r="AQ1016" s="25" t="s">
        <v>4924</v>
      </c>
      <c r="AR1016" s="25" t="s">
        <v>151</v>
      </c>
      <c r="AS1016" s="25" t="s">
        <v>73</v>
      </c>
      <c r="AT1016" s="25" t="s">
        <v>374</v>
      </c>
      <c r="AU1016" s="25"/>
      <c r="AV1016" s="25"/>
      <c r="AW1016" s="25" t="s">
        <v>94</v>
      </c>
      <c r="AX1016" s="25" t="s">
        <v>218</v>
      </c>
      <c r="AY1016" s="25"/>
      <c r="AZ1016" s="5" t="s">
        <v>239</v>
      </c>
      <c r="BA1016" s="25"/>
      <c r="BB1016" s="25"/>
      <c r="BC1016" s="25"/>
      <c r="BD1016" s="25"/>
      <c r="BE1016" s="25"/>
      <c r="BF1016" s="25"/>
      <c r="BG1016" s="25"/>
      <c r="BH1016" s="25"/>
      <c r="BI1016" s="25"/>
      <c r="BJ1016" s="71" t="n">
        <v>2023</v>
      </c>
      <c r="BK1016" s="25"/>
    </row>
    <row r="1017" customFormat="false" ht="15.75" hidden="false" customHeight="true" outlineLevel="0" collapsed="false">
      <c r="A1017" s="25" t="s">
        <v>5171</v>
      </c>
      <c r="B1017" s="25" t="s">
        <v>5172</v>
      </c>
      <c r="C1017" s="25"/>
      <c r="D1017" s="68"/>
      <c r="E1017" s="25" t="n">
        <v>9605076.75</v>
      </c>
      <c r="F1017" s="25" t="n">
        <v>9605076.75</v>
      </c>
      <c r="G1017" s="25" t="s">
        <v>147</v>
      </c>
      <c r="H1017" s="25"/>
      <c r="I1017" s="25"/>
      <c r="J1017" s="72" t="n">
        <v>9605076.75</v>
      </c>
      <c r="K1017" s="72" t="n">
        <v>9605076.75</v>
      </c>
      <c r="L1017" s="25" t="s">
        <v>84</v>
      </c>
      <c r="M1017" s="25"/>
      <c r="N1017" s="69" t="s">
        <v>5173</v>
      </c>
      <c r="O1017" s="25"/>
      <c r="P1017" s="25"/>
      <c r="Q1017" s="25"/>
      <c r="R1017" s="25"/>
      <c r="S1017" s="25"/>
      <c r="T1017" s="25"/>
      <c r="U1017" s="25"/>
      <c r="V1017" s="25" t="s">
        <v>5174</v>
      </c>
      <c r="W1017" s="25" t="s">
        <v>4933</v>
      </c>
      <c r="X1017" s="25" t="s">
        <v>115</v>
      </c>
      <c r="Y1017" s="25" t="s">
        <v>73</v>
      </c>
      <c r="Z1017" s="25"/>
      <c r="AA1017" s="25"/>
      <c r="AB1017" s="25"/>
      <c r="AC1017" s="25"/>
      <c r="AD1017" s="25" t="s">
        <v>5175</v>
      </c>
      <c r="AF1017" s="25"/>
      <c r="AG1017" s="25"/>
      <c r="AH1017" s="25"/>
      <c r="AI1017" s="73" t="n">
        <v>45413</v>
      </c>
      <c r="AJ1017" s="71" t="e">
        <f aca="false">IF(OR(AI1017="", #REF!=""), "", IFERROR(DATEDIF(AI1017, #REF!, "M")+1, "N/A"))</f>
        <v>#REF!</v>
      </c>
      <c r="AK1017" s="25" t="s">
        <v>75</v>
      </c>
      <c r="AL1017" s="25"/>
      <c r="AM1017" s="5" t="s">
        <v>182</v>
      </c>
      <c r="AN1017" s="25" t="s">
        <v>183</v>
      </c>
      <c r="AO1017" s="25"/>
      <c r="AP1017" s="25"/>
      <c r="AQ1017" s="29" t="s">
        <v>4954</v>
      </c>
      <c r="AR1017" s="25" t="s">
        <v>185</v>
      </c>
      <c r="AS1017" s="25" t="s">
        <v>73</v>
      </c>
      <c r="AT1017" s="25" t="s">
        <v>78</v>
      </c>
      <c r="AU1017" s="25" t="s">
        <v>5145</v>
      </c>
      <c r="AV1017" s="25"/>
      <c r="AW1017" s="25" t="s">
        <v>94</v>
      </c>
      <c r="AX1017" s="25" t="s">
        <v>79</v>
      </c>
      <c r="AY1017" s="25"/>
      <c r="AZ1017" s="5" t="s">
        <v>129</v>
      </c>
      <c r="BA1017" s="25"/>
      <c r="BB1017" s="25"/>
      <c r="BC1017" s="25"/>
      <c r="BD1017" s="25"/>
      <c r="BE1017" s="25"/>
      <c r="BF1017" s="25"/>
      <c r="BG1017" s="25"/>
      <c r="BH1017" s="25"/>
      <c r="BI1017" s="25"/>
      <c r="BJ1017" s="71" t="n">
        <f aca="false">IF(AI1017&lt;&gt;"", YEAR(AI1017), "")</f>
        <v>2024</v>
      </c>
      <c r="BK1017" s="25"/>
    </row>
    <row r="1018" customFormat="false" ht="15.75" hidden="false" customHeight="true" outlineLevel="0" collapsed="false">
      <c r="A1018" s="25" t="s">
        <v>5176</v>
      </c>
      <c r="B1018" s="25" t="s">
        <v>5177</v>
      </c>
      <c r="C1018" s="25"/>
      <c r="D1018" s="68"/>
      <c r="E1018" s="72" t="n">
        <v>772597</v>
      </c>
      <c r="F1018" s="72" t="n">
        <v>772597</v>
      </c>
      <c r="G1018" s="25" t="s">
        <v>147</v>
      </c>
      <c r="H1018" s="25"/>
      <c r="I1018" s="25"/>
      <c r="J1018" s="72" t="n">
        <v>772597</v>
      </c>
      <c r="K1018" s="72" t="n">
        <v>772597</v>
      </c>
      <c r="L1018" s="25" t="s">
        <v>84</v>
      </c>
      <c r="M1018" s="25"/>
      <c r="N1018" s="69" t="s">
        <v>5178</v>
      </c>
      <c r="O1018" s="25"/>
      <c r="P1018" s="25"/>
      <c r="Q1018" s="25"/>
      <c r="R1018" s="25"/>
      <c r="S1018" s="25"/>
      <c r="T1018" s="25" t="s">
        <v>5179</v>
      </c>
      <c r="U1018" s="25" t="s">
        <v>5180</v>
      </c>
      <c r="V1018" s="25" t="s">
        <v>361</v>
      </c>
      <c r="W1018" s="25" t="s">
        <v>90</v>
      </c>
      <c r="X1018" s="25" t="s">
        <v>352</v>
      </c>
      <c r="Y1018" s="25" t="s">
        <v>73</v>
      </c>
      <c r="Z1018" s="25"/>
      <c r="AA1018" s="25"/>
      <c r="AB1018" s="25"/>
      <c r="AC1018" s="25"/>
      <c r="AD1018" s="25" t="s">
        <v>5181</v>
      </c>
      <c r="AE1018" s="25"/>
      <c r="AF1018" s="25"/>
      <c r="AG1018" s="25"/>
      <c r="AH1018" s="25"/>
      <c r="AI1018" s="25"/>
      <c r="AJ1018" s="70" t="e">
        <f aca="false">IF(OR(AI1018="", #REF!=""), "", IFERROR(DATEDIF(AI1018, #REF!, "M")+1, "N/A"))</f>
        <v>#REF!</v>
      </c>
      <c r="AK1018" s="25"/>
      <c r="AL1018" s="25"/>
      <c r="AM1018" s="25" t="s">
        <v>591</v>
      </c>
      <c r="AO1018" s="25"/>
      <c r="AP1018" s="25"/>
      <c r="AQ1018" s="25" t="s">
        <v>4924</v>
      </c>
      <c r="AR1018" s="25" t="s">
        <v>352</v>
      </c>
      <c r="AS1018" s="25" t="s">
        <v>73</v>
      </c>
      <c r="AT1018" s="25" t="s">
        <v>71</v>
      </c>
      <c r="AU1018" s="25"/>
      <c r="AV1018" s="25"/>
      <c r="AW1018" s="25" t="s">
        <v>5182</v>
      </c>
      <c r="AX1018" s="25" t="s">
        <v>79</v>
      </c>
      <c r="AY1018" s="25"/>
      <c r="AZ1018" s="5"/>
      <c r="BA1018" s="25"/>
      <c r="BB1018" s="25"/>
      <c r="BC1018" s="25"/>
      <c r="BD1018" s="25"/>
      <c r="BE1018" s="25"/>
      <c r="BF1018" s="25"/>
      <c r="BG1018" s="25"/>
      <c r="BH1018" s="25"/>
      <c r="BI1018" s="25"/>
      <c r="BJ1018" s="71" t="n">
        <v>2023</v>
      </c>
      <c r="BK1018" s="25"/>
    </row>
    <row r="1019" customFormat="false" ht="15.75" hidden="false" customHeight="true" outlineLevel="0" collapsed="false">
      <c r="A1019" s="25" t="s">
        <v>5183</v>
      </c>
      <c r="B1019" s="25" t="s">
        <v>5184</v>
      </c>
      <c r="C1019" s="25"/>
      <c r="D1019" s="68"/>
      <c r="E1019" s="72" t="n">
        <v>1012948.6</v>
      </c>
      <c r="F1019" s="72" t="n">
        <v>1012948.6</v>
      </c>
      <c r="G1019" s="25" t="s">
        <v>147</v>
      </c>
      <c r="H1019" s="25"/>
      <c r="I1019" s="25"/>
      <c r="J1019" s="72" t="n">
        <v>1012948.6</v>
      </c>
      <c r="K1019" s="72" t="n">
        <v>1012948.6</v>
      </c>
      <c r="L1019" s="25" t="s">
        <v>84</v>
      </c>
      <c r="M1019" s="25"/>
      <c r="N1019" s="69" t="s">
        <v>5178</v>
      </c>
      <c r="O1019" s="25"/>
      <c r="P1019" s="25"/>
      <c r="Q1019" s="25"/>
      <c r="R1019" s="25"/>
      <c r="S1019" s="25"/>
      <c r="T1019" s="25" t="s">
        <v>5185</v>
      </c>
      <c r="U1019" s="25"/>
      <c r="V1019" s="25" t="s">
        <v>351</v>
      </c>
      <c r="W1019" s="25" t="s">
        <v>4924</v>
      </c>
      <c r="X1019" s="25" t="s">
        <v>352</v>
      </c>
      <c r="Y1019" s="25" t="s">
        <v>73</v>
      </c>
      <c r="Z1019" s="25"/>
      <c r="AA1019" s="25"/>
      <c r="AB1019" s="25"/>
      <c r="AC1019" s="25"/>
      <c r="AD1019" s="25"/>
      <c r="AE1019" s="25"/>
      <c r="AF1019" s="25"/>
      <c r="AG1019" s="25"/>
      <c r="AH1019" s="25"/>
      <c r="AI1019" s="25"/>
      <c r="AJ1019" s="70" t="e">
        <f aca="false">IF(OR(AI1019="", #REF!=""), "", IFERROR(DATEDIF(AI1019, #REF!, "M")+1, "N/A"))</f>
        <v>#REF!</v>
      </c>
      <c r="AK1019" s="25"/>
      <c r="AL1019" s="25"/>
      <c r="AM1019" s="25" t="s">
        <v>591</v>
      </c>
      <c r="AO1019" s="25"/>
      <c r="AP1019" s="25"/>
      <c r="AQ1019" s="25" t="s">
        <v>4924</v>
      </c>
      <c r="AR1019" s="25" t="s">
        <v>352</v>
      </c>
      <c r="AS1019" s="25" t="s">
        <v>73</v>
      </c>
      <c r="AT1019" s="25" t="s">
        <v>78</v>
      </c>
      <c r="AU1019" s="25"/>
      <c r="AV1019" s="25"/>
      <c r="AW1019" s="25" t="s">
        <v>94</v>
      </c>
      <c r="AX1019" s="25" t="s">
        <v>296</v>
      </c>
      <c r="AY1019" s="25"/>
      <c r="AZ1019" s="5" t="s">
        <v>188</v>
      </c>
      <c r="BA1019" s="25"/>
      <c r="BB1019" s="25"/>
      <c r="BC1019" s="25"/>
      <c r="BD1019" s="25"/>
      <c r="BE1019" s="25"/>
      <c r="BF1019" s="25"/>
      <c r="BG1019" s="25"/>
      <c r="BH1019" s="25"/>
      <c r="BI1019" s="25"/>
      <c r="BJ1019" s="71" t="n">
        <v>2023</v>
      </c>
      <c r="BK1019" s="25"/>
    </row>
    <row r="1020" customFormat="false" ht="15.75" hidden="false" customHeight="true" outlineLevel="0" collapsed="false">
      <c r="A1020" s="25" t="s">
        <v>5186</v>
      </c>
      <c r="B1020" s="25" t="s">
        <v>5187</v>
      </c>
      <c r="C1020" s="25"/>
      <c r="D1020" s="68"/>
      <c r="E1020" s="25" t="n">
        <v>54000000</v>
      </c>
      <c r="F1020" s="25" t="n">
        <v>14000000</v>
      </c>
      <c r="G1020" s="25" t="s">
        <v>147</v>
      </c>
      <c r="H1020" s="25"/>
      <c r="I1020" s="25"/>
      <c r="J1020" s="72" t="n">
        <v>54000000</v>
      </c>
      <c r="K1020" s="72" t="n">
        <v>14000000</v>
      </c>
      <c r="L1020" s="25" t="s">
        <v>84</v>
      </c>
      <c r="M1020" s="25"/>
      <c r="N1020" s="69" t="s">
        <v>5188</v>
      </c>
      <c r="O1020" s="25"/>
      <c r="P1020" s="25"/>
      <c r="Q1020" s="25"/>
      <c r="R1020" s="25"/>
      <c r="S1020" s="25"/>
      <c r="T1020" s="25" t="s">
        <v>5189</v>
      </c>
      <c r="U1020" s="25"/>
      <c r="V1020" s="25" t="s">
        <v>494</v>
      </c>
      <c r="W1020" s="25" t="s">
        <v>4933</v>
      </c>
      <c r="X1020" s="25" t="s">
        <v>160</v>
      </c>
      <c r="Y1020" s="25" t="s">
        <v>73</v>
      </c>
      <c r="Z1020" s="25"/>
      <c r="AA1020" s="25"/>
      <c r="AB1020" s="25"/>
      <c r="AC1020" s="25"/>
      <c r="AD1020" s="25"/>
      <c r="AE1020" s="25"/>
      <c r="AF1020" s="25"/>
      <c r="AG1020" s="25"/>
      <c r="AH1020" s="25"/>
      <c r="AI1020" s="25"/>
      <c r="AJ1020" s="70" t="e">
        <f aca="false">IF(OR(AI1020="", #REF!=""), "", IFERROR(DATEDIF(AI1020, #REF!, "M")+1, "N/A"))</f>
        <v>#REF!</v>
      </c>
      <c r="AK1020" s="25"/>
      <c r="AL1020" s="25"/>
      <c r="AM1020" s="28" t="s">
        <v>182</v>
      </c>
      <c r="AN1020" s="5" t="s">
        <v>446</v>
      </c>
      <c r="AO1020" s="25" t="s">
        <v>5190</v>
      </c>
      <c r="AP1020" s="25"/>
      <c r="AQ1020" s="29" t="s">
        <v>4954</v>
      </c>
      <c r="AR1020" s="25" t="s">
        <v>185</v>
      </c>
      <c r="AS1020" s="25" t="s">
        <v>73</v>
      </c>
      <c r="AT1020" s="25" t="s">
        <v>78</v>
      </c>
      <c r="AU1020" s="25"/>
      <c r="AV1020" s="25"/>
      <c r="AW1020" s="5" t="s">
        <v>187</v>
      </c>
      <c r="AX1020" s="5" t="s">
        <v>495</v>
      </c>
      <c r="AY1020" s="5"/>
      <c r="AZ1020" s="5" t="s">
        <v>540</v>
      </c>
      <c r="BA1020" s="25"/>
      <c r="BB1020" s="25"/>
      <c r="BC1020" s="25"/>
      <c r="BD1020" s="25"/>
      <c r="BE1020" s="25"/>
      <c r="BF1020" s="25"/>
      <c r="BG1020" s="25"/>
      <c r="BH1020" s="25"/>
      <c r="BI1020" s="25"/>
      <c r="BJ1020" s="71" t="n">
        <v>2024</v>
      </c>
      <c r="BK1020" s="25"/>
    </row>
    <row r="1021" customFormat="false" ht="15.75" hidden="false" customHeight="true" outlineLevel="0" collapsed="false">
      <c r="A1021" s="25" t="s">
        <v>5191</v>
      </c>
      <c r="B1021" s="25" t="s">
        <v>5192</v>
      </c>
      <c r="C1021" s="25"/>
      <c r="D1021" s="68"/>
      <c r="E1021" s="25" t="n">
        <v>2760000</v>
      </c>
      <c r="F1021" s="25" t="n">
        <v>2760000</v>
      </c>
      <c r="G1021" s="25" t="s">
        <v>147</v>
      </c>
      <c r="H1021" s="25"/>
      <c r="I1021" s="25"/>
      <c r="J1021" s="72" t="n">
        <v>2760000</v>
      </c>
      <c r="K1021" s="72" t="n">
        <v>2760000</v>
      </c>
      <c r="L1021" s="25" t="s">
        <v>84</v>
      </c>
      <c r="M1021" s="25"/>
      <c r="N1021" s="74" t="s">
        <v>5193</v>
      </c>
      <c r="O1021" s="25"/>
      <c r="P1021" s="25"/>
      <c r="Q1021" s="25"/>
      <c r="R1021" s="25"/>
      <c r="S1021" s="25"/>
      <c r="T1021" s="25" t="s">
        <v>5194</v>
      </c>
      <c r="U1021" s="25"/>
      <c r="V1021" s="25" t="s">
        <v>5195</v>
      </c>
      <c r="W1021" s="25" t="s">
        <v>4933</v>
      </c>
      <c r="X1021" s="25" t="s">
        <v>215</v>
      </c>
      <c r="Y1021" s="25" t="s">
        <v>73</v>
      </c>
      <c r="Z1021" s="25"/>
      <c r="AA1021" s="25"/>
      <c r="AB1021" s="25"/>
      <c r="AC1021" s="25"/>
      <c r="AD1021" s="25"/>
      <c r="AE1021" s="25"/>
      <c r="AF1021" s="25"/>
      <c r="AG1021" s="25"/>
      <c r="AH1021" s="25"/>
      <c r="AI1021" s="25"/>
      <c r="AJ1021" s="70" t="e">
        <f aca="false">IF(OR(AI1021="", #REF!=""), "", IFERROR(DATEDIF(AI1021, #REF!, "M")+1, "N/A"))</f>
        <v>#REF!</v>
      </c>
      <c r="AK1021" s="25"/>
      <c r="AL1021" s="25"/>
      <c r="AM1021" s="25" t="s">
        <v>182</v>
      </c>
      <c r="AN1021" s="5" t="s">
        <v>446</v>
      </c>
      <c r="AO1021" s="25" t="s">
        <v>5190</v>
      </c>
      <c r="AP1021" s="25"/>
      <c r="AQ1021" s="29" t="s">
        <v>4954</v>
      </c>
      <c r="AR1021" s="25" t="s">
        <v>185</v>
      </c>
      <c r="AS1021" s="25" t="s">
        <v>73</v>
      </c>
      <c r="AT1021" s="25" t="s">
        <v>105</v>
      </c>
      <c r="AU1021" s="25" t="s">
        <v>106</v>
      </c>
      <c r="AV1021" s="25"/>
      <c r="AW1021" s="25" t="s">
        <v>94</v>
      </c>
      <c r="AX1021" s="25" t="s">
        <v>1433</v>
      </c>
      <c r="AY1021" s="25"/>
      <c r="AZ1021" s="5" t="s">
        <v>121</v>
      </c>
      <c r="BA1021" s="25"/>
      <c r="BB1021" s="25"/>
      <c r="BC1021" s="25"/>
      <c r="BD1021" s="25"/>
      <c r="BE1021" s="25"/>
      <c r="BF1021" s="25"/>
      <c r="BG1021" s="25"/>
      <c r="BH1021" s="25"/>
      <c r="BI1021" s="25"/>
      <c r="BJ1021" s="71" t="n">
        <v>2024</v>
      </c>
      <c r="BK1021" s="25"/>
    </row>
    <row r="1022" customFormat="false" ht="15.75" hidden="false" customHeight="true" outlineLevel="0" collapsed="false">
      <c r="A1022" s="25" t="s">
        <v>5196</v>
      </c>
      <c r="B1022" s="25" t="s">
        <v>5197</v>
      </c>
      <c r="C1022" s="25"/>
      <c r="D1022" s="68"/>
      <c r="E1022" s="25" t="n">
        <v>9000000</v>
      </c>
      <c r="F1022" s="25" t="n">
        <v>9000000</v>
      </c>
      <c r="G1022" s="25" t="s">
        <v>366</v>
      </c>
      <c r="H1022" s="25"/>
      <c r="I1022" s="25"/>
      <c r="J1022" s="7" t="n">
        <f aca="false">E1022*0.23</f>
        <v>2070000</v>
      </c>
      <c r="K1022" s="7" t="n">
        <f aca="false">F1022*0.23</f>
        <v>2070000</v>
      </c>
      <c r="L1022" s="25" t="s">
        <v>84</v>
      </c>
      <c r="M1022" s="25"/>
      <c r="N1022" s="74" t="s">
        <v>5198</v>
      </c>
      <c r="O1022" s="25"/>
      <c r="P1022" s="25"/>
      <c r="Q1022" s="25"/>
      <c r="R1022" s="25"/>
      <c r="S1022" s="25"/>
      <c r="T1022" s="25" t="s">
        <v>5199</v>
      </c>
      <c r="U1022" s="25"/>
      <c r="V1022" s="25" t="s">
        <v>370</v>
      </c>
      <c r="W1022" s="25" t="s">
        <v>4933</v>
      </c>
      <c r="X1022" s="25" t="s">
        <v>371</v>
      </c>
      <c r="Y1022" s="25" t="s">
        <v>73</v>
      </c>
      <c r="Z1022" s="25"/>
      <c r="AA1022" s="25"/>
      <c r="AB1022" s="25"/>
      <c r="AC1022" s="25"/>
      <c r="AD1022" s="25"/>
      <c r="AE1022" s="25"/>
      <c r="AF1022" s="25"/>
      <c r="AG1022" s="25"/>
      <c r="AH1022" s="25"/>
      <c r="AI1022" s="73" t="n">
        <v>45505</v>
      </c>
      <c r="AJ1022" s="71" t="e">
        <f aca="false">IF(OR(AI1022="", #REF!=""), "", IFERROR(DATEDIF(AI1022, #REF!, "M")+1, "N/A"))</f>
        <v>#REF!</v>
      </c>
      <c r="AK1022" s="25" t="s">
        <v>75</v>
      </c>
      <c r="AL1022" s="25"/>
      <c r="AM1022" s="5" t="s">
        <v>372</v>
      </c>
      <c r="AO1022" s="25"/>
      <c r="AP1022" s="25"/>
      <c r="AQ1022" s="25" t="s">
        <v>4924</v>
      </c>
      <c r="AR1022" s="25" t="s">
        <v>371</v>
      </c>
      <c r="AS1022" s="25" t="s">
        <v>73</v>
      </c>
      <c r="AT1022" s="25" t="s">
        <v>374</v>
      </c>
      <c r="AU1022" s="25"/>
      <c r="AV1022" s="25"/>
      <c r="AW1022" s="25" t="s">
        <v>94</v>
      </c>
      <c r="AX1022" s="25" t="s">
        <v>375</v>
      </c>
      <c r="AY1022" s="25"/>
      <c r="AZ1022" s="5" t="s">
        <v>121</v>
      </c>
      <c r="BA1022" s="25"/>
      <c r="BB1022" s="25"/>
      <c r="BC1022" s="25"/>
      <c r="BD1022" s="25"/>
      <c r="BE1022" s="25"/>
      <c r="BF1022" s="25"/>
      <c r="BG1022" s="25"/>
      <c r="BH1022" s="25"/>
      <c r="BI1022" s="25"/>
      <c r="BJ1022" s="71" t="n">
        <f aca="false">IF(AI1022&lt;&gt;"", YEAR(AI1022), "")</f>
        <v>2024</v>
      </c>
      <c r="BK1022" s="25"/>
    </row>
    <row r="1023" customFormat="false" ht="15.75" hidden="false" customHeight="true" outlineLevel="0" collapsed="false">
      <c r="A1023" s="5" t="s">
        <v>5200</v>
      </c>
      <c r="B1023" s="25" t="s">
        <v>5201</v>
      </c>
      <c r="C1023" s="25" t="s">
        <v>5202</v>
      </c>
      <c r="D1023" s="68"/>
      <c r="E1023" s="25" t="n">
        <v>247162.06</v>
      </c>
      <c r="F1023" s="25" t="n">
        <v>247162.06</v>
      </c>
      <c r="G1023" s="25" t="s">
        <v>147</v>
      </c>
      <c r="H1023" s="25"/>
      <c r="I1023" s="25"/>
      <c r="J1023" s="72" t="n">
        <v>247162.06</v>
      </c>
      <c r="K1023" s="72" t="n">
        <v>247162.06</v>
      </c>
      <c r="L1023" s="25" t="s">
        <v>84</v>
      </c>
      <c r="M1023" s="25"/>
      <c r="N1023" s="69" t="s">
        <v>5203</v>
      </c>
      <c r="O1023" s="25"/>
      <c r="P1023" s="25"/>
      <c r="Q1023" s="25"/>
      <c r="R1023" s="25"/>
      <c r="S1023" s="25"/>
      <c r="T1023" s="25"/>
      <c r="U1023" s="25"/>
      <c r="V1023" s="25" t="s">
        <v>5204</v>
      </c>
      <c r="W1023" s="25" t="s">
        <v>2279</v>
      </c>
      <c r="X1023" s="25" t="s">
        <v>257</v>
      </c>
      <c r="Y1023" s="25" t="s">
        <v>73</v>
      </c>
      <c r="Z1023" s="25"/>
      <c r="AA1023" s="25"/>
      <c r="AB1023" s="25"/>
      <c r="AC1023" s="25"/>
      <c r="AD1023" s="25"/>
      <c r="AE1023" s="25"/>
      <c r="AF1023" s="25"/>
      <c r="AG1023" s="25"/>
      <c r="AH1023" s="25"/>
      <c r="AI1023" s="73" t="n">
        <v>45139</v>
      </c>
      <c r="AJ1023" s="71" t="e">
        <f aca="false">IF(OR(AI1023="", #REF!=""), "", IFERROR(DATEDIF(AI1023, #REF!, "M")+1, "N/A"))</f>
        <v>#REF!</v>
      </c>
      <c r="AK1023" s="25" t="s">
        <v>5003</v>
      </c>
      <c r="AL1023" s="25"/>
      <c r="AM1023" s="28" t="s">
        <v>182</v>
      </c>
      <c r="AN1023" s="5" t="s">
        <v>579</v>
      </c>
      <c r="AO1023" s="25"/>
      <c r="AP1023" s="25"/>
      <c r="AQ1023" s="29" t="s">
        <v>4954</v>
      </c>
      <c r="AR1023" s="25" t="s">
        <v>185</v>
      </c>
      <c r="AS1023" s="25" t="s">
        <v>73</v>
      </c>
      <c r="AT1023" s="25" t="s">
        <v>374</v>
      </c>
      <c r="AU1023" s="25"/>
      <c r="AV1023" s="25"/>
      <c r="AW1023" s="25" t="s">
        <v>94</v>
      </c>
      <c r="AX1023" s="25" t="s">
        <v>375</v>
      </c>
      <c r="AY1023" s="25"/>
      <c r="AZ1023" s="5" t="s">
        <v>399</v>
      </c>
      <c r="BA1023" s="25"/>
      <c r="BB1023" s="25"/>
      <c r="BC1023" s="25"/>
      <c r="BD1023" s="25"/>
      <c r="BE1023" s="25"/>
      <c r="BF1023" s="25"/>
      <c r="BG1023" s="25"/>
      <c r="BH1023" s="25"/>
      <c r="BI1023" s="25"/>
      <c r="BJ1023" s="71" t="n">
        <f aca="false">IF(AI1023&lt;&gt;"", YEAR(AI1023), "")</f>
        <v>2023</v>
      </c>
      <c r="BK1023" s="25"/>
    </row>
    <row r="1024" customFormat="false" ht="15.75" hidden="false" customHeight="true" outlineLevel="0" collapsed="false">
      <c r="A1024" s="25" t="s">
        <v>5205</v>
      </c>
      <c r="B1024" s="25"/>
      <c r="C1024" s="25"/>
      <c r="D1024" s="68"/>
      <c r="E1024" s="53" t="n">
        <v>500000</v>
      </c>
      <c r="F1024" s="53" t="n">
        <v>500000</v>
      </c>
      <c r="G1024" s="25" t="s">
        <v>132</v>
      </c>
      <c r="H1024" s="25"/>
      <c r="I1024" s="25"/>
      <c r="J1024" s="72" t="n">
        <v>500000</v>
      </c>
      <c r="K1024" s="7" t="n">
        <f aca="false">F1024*1.19</f>
        <v>595000</v>
      </c>
      <c r="L1024" s="25" t="s">
        <v>84</v>
      </c>
      <c r="M1024" s="25"/>
      <c r="N1024" s="74" t="s">
        <v>5206</v>
      </c>
      <c r="O1024" s="25"/>
      <c r="P1024" s="25"/>
      <c r="Q1024" s="25"/>
      <c r="R1024" s="25"/>
      <c r="S1024" s="25"/>
      <c r="T1024" s="25" t="s">
        <v>5207</v>
      </c>
      <c r="U1024" s="25"/>
      <c r="V1024" s="25" t="s">
        <v>5208</v>
      </c>
      <c r="W1024" s="25" t="s">
        <v>4933</v>
      </c>
      <c r="X1024" s="5" t="s">
        <v>139</v>
      </c>
      <c r="Y1024" s="25" t="s">
        <v>73</v>
      </c>
      <c r="Z1024" s="25"/>
      <c r="AA1024" s="25"/>
      <c r="AB1024" s="25"/>
      <c r="AC1024" s="25"/>
      <c r="AD1024" s="25"/>
      <c r="AE1024" s="25"/>
      <c r="AF1024" s="25"/>
      <c r="AG1024" s="25"/>
      <c r="AH1024" s="25"/>
      <c r="AI1024" s="25"/>
      <c r="AJ1024" s="70" t="e">
        <f aca="false">IF(OR(AI1024="", #REF!=""), "", IFERROR(DATEDIF(AI1024, #REF!, "M")+1, "N/A"))</f>
        <v>#REF!</v>
      </c>
      <c r="AK1024" s="25"/>
      <c r="AL1024" s="25"/>
      <c r="AM1024" s="25" t="s">
        <v>5209</v>
      </c>
      <c r="AO1024" s="25"/>
      <c r="AP1024" s="25"/>
      <c r="AQ1024" s="25" t="s">
        <v>4924</v>
      </c>
      <c r="AR1024" s="25" t="s">
        <v>143</v>
      </c>
      <c r="AS1024" s="25" t="s">
        <v>73</v>
      </c>
      <c r="AT1024" s="25" t="s">
        <v>78</v>
      </c>
      <c r="AU1024" s="25"/>
      <c r="AV1024" s="25"/>
      <c r="AW1024" s="5" t="s">
        <v>94</v>
      </c>
      <c r="AX1024" s="5" t="s">
        <v>495</v>
      </c>
      <c r="AY1024" s="5"/>
      <c r="AZ1024" s="5" t="s">
        <v>129</v>
      </c>
      <c r="BA1024" s="25"/>
      <c r="BB1024" s="25"/>
      <c r="BC1024" s="25"/>
      <c r="BD1024" s="25"/>
      <c r="BE1024" s="25"/>
      <c r="BF1024" s="25"/>
      <c r="BG1024" s="25"/>
      <c r="BH1024" s="25"/>
      <c r="BI1024" s="25"/>
      <c r="BJ1024" s="71" t="n">
        <v>2024</v>
      </c>
      <c r="BK1024" s="25"/>
    </row>
    <row r="1025" customFormat="false" ht="15.75" hidden="false" customHeight="true" outlineLevel="0" collapsed="false">
      <c r="A1025" s="25" t="s">
        <v>5210</v>
      </c>
      <c r="B1025" s="25" t="s">
        <v>5211</v>
      </c>
      <c r="C1025" s="25"/>
      <c r="D1025" s="68"/>
      <c r="E1025" s="25"/>
      <c r="F1025" s="25"/>
      <c r="G1025" s="25"/>
      <c r="H1025" s="25"/>
      <c r="I1025" s="25"/>
      <c r="J1025" s="72"/>
      <c r="K1025" s="72"/>
      <c r="L1025" s="25" t="s">
        <v>84</v>
      </c>
      <c r="M1025" s="25"/>
      <c r="N1025" s="74" t="s">
        <v>5212</v>
      </c>
      <c r="O1025" s="25"/>
      <c r="P1025" s="25"/>
      <c r="Q1025" s="25"/>
      <c r="R1025" s="25"/>
      <c r="S1025" s="25"/>
      <c r="T1025" s="25"/>
      <c r="U1025" s="25"/>
      <c r="V1025" s="25" t="s">
        <v>4112</v>
      </c>
      <c r="W1025" s="25" t="s">
        <v>90</v>
      </c>
      <c r="X1025" s="25" t="s">
        <v>160</v>
      </c>
      <c r="Y1025" s="25" t="s">
        <v>73</v>
      </c>
      <c r="Z1025" s="25"/>
      <c r="AA1025" s="25"/>
      <c r="AB1025" s="25"/>
      <c r="AC1025" s="25"/>
      <c r="AD1025" s="25" t="s">
        <v>5213</v>
      </c>
      <c r="AE1025" s="25"/>
      <c r="AF1025" s="25"/>
      <c r="AG1025" s="25"/>
      <c r="AH1025" s="25"/>
      <c r="AI1025" s="73" t="n">
        <v>44562</v>
      </c>
      <c r="AJ1025" s="71" t="e">
        <f aca="false">IF(OR(AI1025="", #REF!=""), "", IFERROR(DATEDIF(AI1025, #REF!, "M")+1, "N/A"))</f>
        <v>#REF!</v>
      </c>
      <c r="AK1025" s="25" t="s">
        <v>5003</v>
      </c>
      <c r="AL1025" s="25"/>
      <c r="AM1025" s="5" t="s">
        <v>4355</v>
      </c>
      <c r="AO1025" s="25"/>
      <c r="AP1025" s="25"/>
      <c r="AQ1025" s="25" t="s">
        <v>4924</v>
      </c>
      <c r="AR1025" s="25" t="s">
        <v>160</v>
      </c>
      <c r="AS1025" s="25" t="s">
        <v>73</v>
      </c>
      <c r="AT1025" s="25" t="s">
        <v>78</v>
      </c>
      <c r="AU1025" s="25"/>
      <c r="AV1025" s="25"/>
      <c r="AW1025" s="5" t="s">
        <v>94</v>
      </c>
      <c r="AX1025" s="25" t="s">
        <v>79</v>
      </c>
      <c r="AY1025" s="25"/>
      <c r="AZ1025" s="5" t="s">
        <v>129</v>
      </c>
      <c r="BA1025" s="25"/>
      <c r="BB1025" s="25"/>
      <c r="BC1025" s="25"/>
      <c r="BD1025" s="25"/>
      <c r="BE1025" s="25"/>
      <c r="BF1025" s="25"/>
      <c r="BG1025" s="25"/>
      <c r="BH1025" s="25"/>
      <c r="BI1025" s="25"/>
      <c r="BJ1025" s="71" t="n">
        <f aca="false">IF(AI1025&lt;&gt;"", YEAR(AI1025), "")</f>
        <v>2022</v>
      </c>
      <c r="BK1025" s="25"/>
    </row>
    <row r="1026" customFormat="false" ht="15.75" hidden="false" customHeight="true" outlineLevel="0" collapsed="false">
      <c r="A1026" s="25" t="s">
        <v>5214</v>
      </c>
      <c r="B1026" s="25" t="s">
        <v>5215</v>
      </c>
      <c r="C1026" s="25"/>
      <c r="D1026" s="68"/>
      <c r="E1026" s="25"/>
      <c r="F1026" s="25"/>
      <c r="G1026" s="25"/>
      <c r="H1026" s="25"/>
      <c r="I1026" s="25"/>
      <c r="J1026" s="72"/>
      <c r="K1026" s="72"/>
      <c r="L1026" s="25" t="s">
        <v>84</v>
      </c>
      <c r="M1026" s="25"/>
      <c r="N1026" s="69" t="s">
        <v>5216</v>
      </c>
      <c r="O1026" s="25"/>
      <c r="P1026" s="25"/>
      <c r="Q1026" s="25"/>
      <c r="R1026" s="25"/>
      <c r="S1026" s="25"/>
      <c r="T1026" s="25" t="s">
        <v>5217</v>
      </c>
      <c r="U1026" s="25"/>
      <c r="V1026" s="25" t="s">
        <v>5218</v>
      </c>
      <c r="W1026" s="25" t="s">
        <v>2279</v>
      </c>
      <c r="X1026" s="25" t="s">
        <v>160</v>
      </c>
      <c r="Y1026" s="25" t="s">
        <v>73</v>
      </c>
      <c r="Z1026" s="25"/>
      <c r="AA1026" s="25"/>
      <c r="AB1026" s="25"/>
      <c r="AC1026" s="25"/>
      <c r="AD1026" s="25" t="s">
        <v>5219</v>
      </c>
      <c r="AE1026" s="25"/>
      <c r="AF1026" s="25"/>
      <c r="AG1026" s="25"/>
      <c r="AH1026" s="25"/>
      <c r="AI1026" s="77"/>
      <c r="AJ1026" s="70" t="e">
        <f aca="false">IF(OR(AI1026="", #REF!=""), "", IFERROR(DATEDIF(AI1026, #REF!, "M")+1, "N/A"))</f>
        <v>#REF!</v>
      </c>
      <c r="AK1026" s="25"/>
      <c r="AL1026" s="25"/>
      <c r="AM1026" s="5" t="s">
        <v>4355</v>
      </c>
      <c r="AO1026" s="25"/>
      <c r="AP1026" s="25"/>
      <c r="AQ1026" s="25" t="s">
        <v>4924</v>
      </c>
      <c r="AR1026" s="25" t="s">
        <v>160</v>
      </c>
      <c r="AS1026" s="25" t="s">
        <v>73</v>
      </c>
      <c r="AT1026" s="25" t="s">
        <v>71</v>
      </c>
      <c r="AU1026" s="25"/>
      <c r="AV1026" s="25"/>
      <c r="AW1026" s="5" t="s">
        <v>94</v>
      </c>
      <c r="AX1026" s="25" t="s">
        <v>79</v>
      </c>
      <c r="AY1026" s="25"/>
      <c r="AZ1026" s="5" t="s">
        <v>287</v>
      </c>
      <c r="BA1026" s="25"/>
      <c r="BB1026" s="25"/>
      <c r="BC1026" s="25"/>
      <c r="BD1026" s="25"/>
      <c r="BE1026" s="25"/>
      <c r="BF1026" s="25"/>
      <c r="BG1026" s="25"/>
      <c r="BH1026" s="25"/>
      <c r="BI1026" s="25"/>
      <c r="BJ1026" s="71" t="n">
        <v>2019</v>
      </c>
      <c r="BK1026" s="25"/>
    </row>
    <row r="1027" customFormat="false" ht="15.75" hidden="false" customHeight="true" outlineLevel="0" collapsed="false">
      <c r="A1027" s="25" t="s">
        <v>5220</v>
      </c>
      <c r="B1027" s="25" t="s">
        <v>5221</v>
      </c>
      <c r="C1027" s="25"/>
      <c r="D1027" s="68"/>
      <c r="E1027" s="25"/>
      <c r="F1027" s="25"/>
      <c r="G1027" s="25"/>
      <c r="H1027" s="25"/>
      <c r="I1027" s="25"/>
      <c r="J1027" s="72"/>
      <c r="K1027" s="72"/>
      <c r="L1027" s="25" t="s">
        <v>84</v>
      </c>
      <c r="M1027" s="25"/>
      <c r="N1027" s="69" t="s">
        <v>5222</v>
      </c>
      <c r="O1027" s="25"/>
      <c r="P1027" s="25"/>
      <c r="Q1027" s="25"/>
      <c r="R1027" s="25"/>
      <c r="S1027" s="25"/>
      <c r="T1027" s="25"/>
      <c r="U1027" s="25"/>
      <c r="V1027" s="25" t="s">
        <v>5223</v>
      </c>
      <c r="W1027" s="25"/>
      <c r="X1027" s="25" t="s">
        <v>151</v>
      </c>
      <c r="Y1027" s="25" t="s">
        <v>73</v>
      </c>
      <c r="Z1027" s="25"/>
      <c r="AA1027" s="25"/>
      <c r="AB1027" s="25"/>
      <c r="AC1027" s="25"/>
      <c r="AD1027" s="25"/>
      <c r="AE1027" s="25"/>
      <c r="AF1027" s="25"/>
      <c r="AG1027" s="25"/>
      <c r="AH1027" s="25"/>
      <c r="AI1027" s="73" t="n">
        <v>45017</v>
      </c>
      <c r="AJ1027" s="71" t="e">
        <f aca="false">IF(OR(AI1027="", #REF!=""), "", IFERROR(DATEDIF(AI1027, #REF!, "M")+1, "N/A"))</f>
        <v>#REF!</v>
      </c>
      <c r="AK1027" s="25" t="s">
        <v>75</v>
      </c>
      <c r="AL1027" s="25"/>
      <c r="AM1027" s="28" t="s">
        <v>182</v>
      </c>
      <c r="AN1027" s="5" t="s">
        <v>404</v>
      </c>
      <c r="AO1027" s="25"/>
      <c r="AP1027" s="25"/>
      <c r="AQ1027" s="29" t="s">
        <v>4954</v>
      </c>
      <c r="AR1027" s="25" t="s">
        <v>185</v>
      </c>
      <c r="AS1027" s="25" t="s">
        <v>73</v>
      </c>
      <c r="AT1027" s="25" t="s">
        <v>78</v>
      </c>
      <c r="AU1027" s="25"/>
      <c r="AV1027" s="25"/>
      <c r="AW1027" s="5" t="s">
        <v>94</v>
      </c>
      <c r="AX1027" s="25" t="s">
        <v>79</v>
      </c>
      <c r="AY1027" s="25"/>
      <c r="AZ1027" s="5" t="s">
        <v>399</v>
      </c>
      <c r="BA1027" s="25"/>
      <c r="BB1027" s="25"/>
      <c r="BC1027" s="25"/>
      <c r="BD1027" s="25"/>
      <c r="BE1027" s="25"/>
      <c r="BF1027" s="25"/>
      <c r="BG1027" s="25"/>
      <c r="BH1027" s="25"/>
      <c r="BI1027" s="25"/>
      <c r="BJ1027" s="71" t="n">
        <f aca="false">IF(AI1027&lt;&gt;"", YEAR(AI1027), "")</f>
        <v>2023</v>
      </c>
      <c r="BK1027" s="25"/>
    </row>
    <row r="1028" customFormat="false" ht="15.75" hidden="false" customHeight="true" outlineLevel="0" collapsed="false">
      <c r="A1028" s="25" t="s">
        <v>5224</v>
      </c>
      <c r="B1028" s="25" t="s">
        <v>5225</v>
      </c>
      <c r="C1028" s="25"/>
      <c r="D1028" s="68"/>
      <c r="E1028" s="25" t="n">
        <v>30000000</v>
      </c>
      <c r="F1028" s="25" t="n">
        <v>30000000</v>
      </c>
      <c r="G1028" s="25" t="s">
        <v>147</v>
      </c>
      <c r="H1028" s="25"/>
      <c r="I1028" s="25"/>
      <c r="J1028" s="72" t="n">
        <v>30000000</v>
      </c>
      <c r="K1028" s="72" t="n">
        <v>30000000</v>
      </c>
      <c r="L1028" s="25" t="s">
        <v>84</v>
      </c>
      <c r="M1028" s="25"/>
      <c r="N1028" s="69" t="s">
        <v>5226</v>
      </c>
      <c r="O1028" s="25"/>
      <c r="P1028" s="25"/>
      <c r="Q1028" s="25"/>
      <c r="R1028" s="25"/>
      <c r="S1028" s="25"/>
      <c r="T1028" s="25" t="s">
        <v>5227</v>
      </c>
      <c r="U1028" s="25"/>
      <c r="V1028" s="25" t="s">
        <v>5228</v>
      </c>
      <c r="W1028" s="25" t="s">
        <v>4933</v>
      </c>
      <c r="X1028" s="25" t="s">
        <v>160</v>
      </c>
      <c r="Y1028" s="25" t="s">
        <v>73</v>
      </c>
      <c r="Z1028" s="25"/>
      <c r="AA1028" s="25"/>
      <c r="AB1028" s="25"/>
      <c r="AC1028" s="25" t="s">
        <v>5229</v>
      </c>
      <c r="AD1028" s="25"/>
      <c r="AE1028" s="25"/>
      <c r="AF1028" s="25"/>
      <c r="AG1028" s="25"/>
      <c r="AH1028" s="25"/>
      <c r="AI1028" s="25"/>
      <c r="AJ1028" s="70" t="e">
        <f aca="false">IF(OR(AI1028="", #REF!=""), "", IFERROR(DATEDIF(AI1028, #REF!, "M")+1, "N/A"))</f>
        <v>#REF!</v>
      </c>
      <c r="AK1028" s="25"/>
      <c r="AL1028" s="25"/>
      <c r="AM1028" s="25" t="s">
        <v>161</v>
      </c>
      <c r="AO1028" s="25"/>
      <c r="AP1028" s="25"/>
      <c r="AQ1028" s="25" t="s">
        <v>4924</v>
      </c>
      <c r="AR1028" s="25" t="s">
        <v>160</v>
      </c>
      <c r="AS1028" s="25" t="s">
        <v>73</v>
      </c>
      <c r="AT1028" s="25" t="s">
        <v>71</v>
      </c>
      <c r="AU1028" s="25"/>
      <c r="AV1028" s="25"/>
      <c r="AW1028" s="5" t="s">
        <v>94</v>
      </c>
      <c r="AX1028" s="25" t="s">
        <v>79</v>
      </c>
      <c r="AY1028" s="25"/>
      <c r="AZ1028" s="5" t="s">
        <v>95</v>
      </c>
      <c r="BA1028" s="25"/>
      <c r="BB1028" s="25"/>
      <c r="BC1028" s="25"/>
      <c r="BD1028" s="25"/>
      <c r="BE1028" s="25"/>
      <c r="BF1028" s="25"/>
      <c r="BG1028" s="25"/>
      <c r="BH1028" s="25"/>
      <c r="BI1028" s="25"/>
      <c r="BJ1028" s="71" t="n">
        <v>2024</v>
      </c>
      <c r="BK1028" s="25"/>
    </row>
    <row r="1029" customFormat="false" ht="15.75" hidden="false" customHeight="true" outlineLevel="0" collapsed="false">
      <c r="A1029" s="25" t="s">
        <v>5230</v>
      </c>
      <c r="B1029" s="25" t="s">
        <v>5231</v>
      </c>
      <c r="C1029" s="25"/>
      <c r="D1029" s="68"/>
      <c r="E1029" s="25" t="n">
        <v>379614</v>
      </c>
      <c r="F1029" s="25" t="n">
        <v>379614</v>
      </c>
      <c r="G1029" s="25" t="s">
        <v>732</v>
      </c>
      <c r="H1029" s="25"/>
      <c r="I1029" s="25"/>
      <c r="J1029" s="7" t="n">
        <f aca="false">E1029*1.07</f>
        <v>406186.98</v>
      </c>
      <c r="K1029" s="7" t="n">
        <f aca="false">F1029*1.07</f>
        <v>406186.98</v>
      </c>
      <c r="L1029" s="25" t="s">
        <v>84</v>
      </c>
      <c r="M1029" s="25"/>
      <c r="N1029" s="74" t="s">
        <v>5232</v>
      </c>
      <c r="O1029" s="25"/>
      <c r="P1029" s="25"/>
      <c r="Q1029" s="25"/>
      <c r="R1029" s="25"/>
      <c r="S1029" s="25"/>
      <c r="T1029" s="25" t="s">
        <v>5233</v>
      </c>
      <c r="U1029" s="25" t="s">
        <v>5234</v>
      </c>
      <c r="V1029" s="25" t="s">
        <v>5235</v>
      </c>
      <c r="W1029" s="25" t="s">
        <v>90</v>
      </c>
      <c r="X1029" s="25" t="s">
        <v>180</v>
      </c>
      <c r="Y1029" s="25" t="s">
        <v>73</v>
      </c>
      <c r="Z1029" s="25"/>
      <c r="AA1029" s="25"/>
      <c r="AB1029" s="25"/>
      <c r="AC1029" s="25" t="s">
        <v>5236</v>
      </c>
      <c r="AD1029" s="25" t="s">
        <v>5237</v>
      </c>
      <c r="AE1029" s="25"/>
      <c r="AF1029" s="25"/>
      <c r="AG1029" s="25"/>
      <c r="AH1029" s="25"/>
      <c r="AI1029" s="73" t="n">
        <v>43497</v>
      </c>
      <c r="AJ1029" s="71" t="e">
        <f aca="false">IF(OR(AI1029="", #REF!=""), "", IFERROR(DATEDIF(AI1029, #REF!, "M")+1, "N/A"))</f>
        <v>#REF!</v>
      </c>
      <c r="AK1029" s="25" t="s">
        <v>5003</v>
      </c>
      <c r="AL1029" s="25"/>
      <c r="AM1029" s="5" t="s">
        <v>2709</v>
      </c>
      <c r="AO1029" s="25"/>
      <c r="AP1029" s="25"/>
      <c r="AQ1029" s="25" t="s">
        <v>4924</v>
      </c>
      <c r="AR1029" s="25" t="s">
        <v>737</v>
      </c>
      <c r="AS1029" s="25" t="s">
        <v>73</v>
      </c>
      <c r="AT1029" s="25" t="s">
        <v>105</v>
      </c>
      <c r="AU1029" s="25" t="s">
        <v>106</v>
      </c>
      <c r="AV1029" s="25"/>
      <c r="AW1029" s="5" t="s">
        <v>94</v>
      </c>
      <c r="AX1029" s="25" t="s">
        <v>79</v>
      </c>
      <c r="AY1029" s="25"/>
      <c r="AZ1029" s="5" t="s">
        <v>540</v>
      </c>
      <c r="BA1029" s="25"/>
      <c r="BB1029" s="25"/>
      <c r="BC1029" s="25"/>
      <c r="BD1029" s="25"/>
      <c r="BE1029" s="25"/>
      <c r="BF1029" s="25"/>
      <c r="BG1029" s="25"/>
      <c r="BH1029" s="25"/>
      <c r="BI1029" s="25"/>
      <c r="BJ1029" s="71" t="n">
        <f aca="false">IF(AI1029&lt;&gt;"", YEAR(AI1029), "")</f>
        <v>2019</v>
      </c>
      <c r="BK1029" s="25"/>
    </row>
    <row r="1030" customFormat="false" ht="15.75" hidden="false" customHeight="true" outlineLevel="0" collapsed="false">
      <c r="A1030" s="25" t="s">
        <v>5238</v>
      </c>
      <c r="B1030" s="25" t="s">
        <v>5239</v>
      </c>
      <c r="C1030" s="25"/>
      <c r="D1030" s="68"/>
      <c r="E1030" s="25" t="n">
        <v>1325402</v>
      </c>
      <c r="F1030" s="25" t="n">
        <v>1325402</v>
      </c>
      <c r="G1030" s="25" t="s">
        <v>732</v>
      </c>
      <c r="H1030" s="25"/>
      <c r="I1030" s="25"/>
      <c r="J1030" s="7" t="n">
        <f aca="false">E1030*1.07</f>
        <v>1418180.14</v>
      </c>
      <c r="K1030" s="7" t="n">
        <f aca="false">F1030*1.07</f>
        <v>1418180.14</v>
      </c>
      <c r="L1030" s="25" t="s">
        <v>84</v>
      </c>
      <c r="M1030" s="25"/>
      <c r="N1030" s="74" t="s">
        <v>5240</v>
      </c>
      <c r="O1030" s="25"/>
      <c r="P1030" s="25"/>
      <c r="Q1030" s="25"/>
      <c r="R1030" s="25"/>
      <c r="S1030" s="25"/>
      <c r="T1030" s="25" t="s">
        <v>5241</v>
      </c>
      <c r="U1030" s="25" t="s">
        <v>5242</v>
      </c>
      <c r="V1030" s="25" t="s">
        <v>993</v>
      </c>
      <c r="W1030" s="25" t="s">
        <v>90</v>
      </c>
      <c r="X1030" s="25" t="s">
        <v>737</v>
      </c>
      <c r="Y1030" s="25" t="s">
        <v>73</v>
      </c>
      <c r="Z1030" s="25"/>
      <c r="AA1030" s="25"/>
      <c r="AB1030" s="25"/>
      <c r="AC1030" s="25" t="s">
        <v>5243</v>
      </c>
      <c r="AD1030" s="25" t="s">
        <v>5244</v>
      </c>
      <c r="AE1030" s="25"/>
      <c r="AF1030" s="25"/>
      <c r="AG1030" s="25"/>
      <c r="AH1030" s="25"/>
      <c r="AI1030" s="73" t="n">
        <v>42614</v>
      </c>
      <c r="AJ1030" s="71" t="e">
        <f aca="false">IF(OR(AI1030="", #REF!=""), "", IFERROR(DATEDIF(AI1030, #REF!, "M")+1, "N/A"))</f>
        <v>#REF!</v>
      </c>
      <c r="AK1030" s="25" t="s">
        <v>5003</v>
      </c>
      <c r="AL1030" s="25"/>
      <c r="AM1030" s="5" t="s">
        <v>2709</v>
      </c>
      <c r="AO1030" s="25"/>
      <c r="AP1030" s="25"/>
      <c r="AQ1030" s="25" t="s">
        <v>4924</v>
      </c>
      <c r="AR1030" s="25" t="s">
        <v>737</v>
      </c>
      <c r="AS1030" s="25" t="s">
        <v>73</v>
      </c>
      <c r="AT1030" s="25" t="s">
        <v>71</v>
      </c>
      <c r="AU1030" s="25"/>
      <c r="AV1030" s="25"/>
      <c r="AW1030" s="25" t="s">
        <v>94</v>
      </c>
      <c r="AX1030" s="25" t="s">
        <v>79</v>
      </c>
      <c r="AY1030" s="25"/>
      <c r="AZ1030" s="5" t="s">
        <v>287</v>
      </c>
      <c r="BA1030" s="25"/>
      <c r="BB1030" s="25"/>
      <c r="BC1030" s="25"/>
      <c r="BD1030" s="25"/>
      <c r="BE1030" s="25"/>
      <c r="BF1030" s="25"/>
      <c r="BG1030" s="25"/>
      <c r="BH1030" s="25"/>
      <c r="BI1030" s="25"/>
      <c r="BJ1030" s="71" t="n">
        <f aca="false">IF(AI1030&lt;&gt;"", YEAR(AI1030), "")</f>
        <v>2016</v>
      </c>
      <c r="BK1030" s="25"/>
    </row>
    <row r="1031" customFormat="false" ht="15.75" hidden="false" customHeight="true" outlineLevel="0" collapsed="false">
      <c r="A1031" s="25" t="s">
        <v>5245</v>
      </c>
      <c r="B1031" s="25" t="s">
        <v>5246</v>
      </c>
      <c r="C1031" s="25"/>
      <c r="D1031" s="68" t="s">
        <v>2121</v>
      </c>
      <c r="E1031" s="78" t="n">
        <v>416073</v>
      </c>
      <c r="F1031" s="78" t="n">
        <v>416073</v>
      </c>
      <c r="G1031" s="25" t="s">
        <v>132</v>
      </c>
      <c r="H1031" s="25"/>
      <c r="I1031" s="25"/>
      <c r="J1031" s="7" t="n">
        <f aca="false">E1031*1.19</f>
        <v>495126.87</v>
      </c>
      <c r="K1031" s="7" t="n">
        <f aca="false">F1031*1.19</f>
        <v>495126.87</v>
      </c>
      <c r="L1031" s="25" t="s">
        <v>84</v>
      </c>
      <c r="M1031" s="25"/>
      <c r="N1031" s="69" t="s">
        <v>5247</v>
      </c>
      <c r="O1031" s="25"/>
      <c r="P1031" s="25"/>
      <c r="Q1031" s="25"/>
      <c r="R1031" s="25"/>
      <c r="S1031" s="25"/>
      <c r="T1031" s="25" t="s">
        <v>5248</v>
      </c>
      <c r="U1031" s="25" t="s">
        <v>5249</v>
      </c>
      <c r="V1031" s="25" t="s">
        <v>5250</v>
      </c>
      <c r="W1031" s="25" t="s">
        <v>90</v>
      </c>
      <c r="X1031" s="5" t="s">
        <v>139</v>
      </c>
      <c r="Y1031" s="25" t="s">
        <v>73</v>
      </c>
      <c r="Z1031" s="25"/>
      <c r="AA1031" s="25"/>
      <c r="AB1031" s="25"/>
      <c r="AC1031" s="25" t="s">
        <v>5251</v>
      </c>
      <c r="AD1031" s="25" t="s">
        <v>5252</v>
      </c>
      <c r="AE1031" s="25"/>
      <c r="AF1031" s="25"/>
      <c r="AG1031" s="25"/>
      <c r="AH1031" s="25"/>
      <c r="AI1031" s="73" t="n">
        <v>45627</v>
      </c>
      <c r="AJ1031" s="71" t="e">
        <f aca="false">IF(OR(AI1031="", #REF!=""), "", IFERROR(DATEDIF(AI1031, #REF!, "M")+1, "N/A"))</f>
        <v>#REF!</v>
      </c>
      <c r="AK1031" s="25" t="s">
        <v>75</v>
      </c>
      <c r="AL1031" s="25"/>
      <c r="AM1031" s="5" t="s">
        <v>140</v>
      </c>
      <c r="AN1031" s="5" t="s">
        <v>141</v>
      </c>
      <c r="AO1031" s="25"/>
      <c r="AP1031" s="25"/>
      <c r="AQ1031" s="25" t="s">
        <v>4924</v>
      </c>
      <c r="AR1031" s="25" t="s">
        <v>143</v>
      </c>
      <c r="AS1031" s="25" t="s">
        <v>73</v>
      </c>
      <c r="AT1031" s="25" t="s">
        <v>105</v>
      </c>
      <c r="AU1031" s="25" t="s">
        <v>186</v>
      </c>
      <c r="AV1031" s="25"/>
      <c r="AW1031" s="5" t="s">
        <v>94</v>
      </c>
      <c r="AX1031" s="25" t="s">
        <v>375</v>
      </c>
      <c r="AY1031" s="25"/>
      <c r="AZ1031" s="5" t="s">
        <v>121</v>
      </c>
      <c r="BA1031" s="25"/>
      <c r="BB1031" s="25"/>
      <c r="BC1031" s="25"/>
      <c r="BD1031" s="25"/>
      <c r="BE1031" s="25"/>
      <c r="BF1031" s="25"/>
      <c r="BG1031" s="25"/>
      <c r="BH1031" s="25"/>
      <c r="BI1031" s="25"/>
      <c r="BJ1031" s="71" t="n">
        <f aca="false">IF(AI1031&lt;&gt;"", YEAR(AI1031), "")</f>
        <v>2024</v>
      </c>
      <c r="BK1031" s="25"/>
    </row>
    <row r="1032" customFormat="false" ht="15.75" hidden="false" customHeight="true" outlineLevel="0" collapsed="false">
      <c r="A1032" s="25" t="s">
        <v>5253</v>
      </c>
      <c r="B1032" s="25"/>
      <c r="C1032" s="25"/>
      <c r="D1032" s="68" t="s">
        <v>2121</v>
      </c>
      <c r="E1032" s="78" t="n">
        <v>337420</v>
      </c>
      <c r="F1032" s="78" t="n">
        <v>236194</v>
      </c>
      <c r="G1032" s="25" t="s">
        <v>132</v>
      </c>
      <c r="H1032" s="25"/>
      <c r="I1032" s="25"/>
      <c r="J1032" s="7" t="n">
        <f aca="false">E1032*1.19</f>
        <v>401529.8</v>
      </c>
      <c r="K1032" s="7" t="n">
        <f aca="false">F1032*1.19</f>
        <v>281070.86</v>
      </c>
      <c r="L1032" s="25" t="s">
        <v>84</v>
      </c>
      <c r="M1032" s="25"/>
      <c r="N1032" s="69" t="s">
        <v>5254</v>
      </c>
      <c r="O1032" s="25"/>
      <c r="P1032" s="25"/>
      <c r="Q1032" s="25"/>
      <c r="R1032" s="25"/>
      <c r="S1032" s="25"/>
      <c r="T1032" s="25" t="s">
        <v>864</v>
      </c>
      <c r="U1032" s="25"/>
      <c r="V1032" s="25" t="s">
        <v>1135</v>
      </c>
      <c r="W1032" s="25" t="s">
        <v>4933</v>
      </c>
      <c r="X1032" s="5" t="s">
        <v>139</v>
      </c>
      <c r="Y1032" s="25" t="s">
        <v>73</v>
      </c>
      <c r="Z1032" s="25"/>
      <c r="AA1032" s="25"/>
      <c r="AB1032" s="25"/>
      <c r="AC1032" s="25"/>
      <c r="AD1032" s="25"/>
      <c r="AE1032" s="25"/>
      <c r="AF1032" s="25"/>
      <c r="AG1032" s="25"/>
      <c r="AH1032" s="25"/>
      <c r="AI1032" s="79" t="n">
        <v>45352</v>
      </c>
      <c r="AJ1032" s="71" t="e">
        <f aca="false">IF(OR(AI1032="", #REF!=""), "", IFERROR(DATEDIF(AI1032, #REF!, "M")+1, "N/A"))</f>
        <v>#REF!</v>
      </c>
      <c r="AK1032" s="25" t="s">
        <v>5003</v>
      </c>
      <c r="AL1032" s="25"/>
      <c r="AM1032" s="25" t="s">
        <v>140</v>
      </c>
      <c r="AN1032" s="5" t="s">
        <v>1545</v>
      </c>
      <c r="AO1032" s="25"/>
      <c r="AP1032" s="25"/>
      <c r="AQ1032" s="25" t="s">
        <v>4924</v>
      </c>
      <c r="AR1032" s="25" t="s">
        <v>143</v>
      </c>
      <c r="AS1032" s="25" t="s">
        <v>73</v>
      </c>
      <c r="AT1032" s="25" t="s">
        <v>374</v>
      </c>
      <c r="AU1032" s="25"/>
      <c r="AV1032" s="25"/>
      <c r="AW1032" s="5" t="s">
        <v>94</v>
      </c>
      <c r="AX1032" s="25" t="s">
        <v>375</v>
      </c>
      <c r="AY1032" s="25"/>
      <c r="AZ1032" s="5" t="s">
        <v>239</v>
      </c>
      <c r="BA1032" s="25"/>
      <c r="BB1032" s="25"/>
      <c r="BC1032" s="25"/>
      <c r="BD1032" s="25"/>
      <c r="BE1032" s="25"/>
      <c r="BF1032" s="25"/>
      <c r="BG1032" s="25"/>
      <c r="BH1032" s="25"/>
      <c r="BI1032" s="25"/>
      <c r="BJ1032" s="71" t="n">
        <f aca="false">IF(AI1032&lt;&gt;"", YEAR(AI1032), "")</f>
        <v>2024</v>
      </c>
      <c r="BK1032" s="25"/>
    </row>
    <row r="1033" customFormat="false" ht="15.75" hidden="false" customHeight="true" outlineLevel="0" collapsed="false">
      <c r="A1033" s="25" t="s">
        <v>5255</v>
      </c>
      <c r="B1033" s="25" t="s">
        <v>5256</v>
      </c>
      <c r="C1033" s="25"/>
      <c r="D1033" s="68" t="s">
        <v>2121</v>
      </c>
      <c r="E1033" s="78" t="n">
        <v>103930</v>
      </c>
      <c r="F1033" s="78" t="n">
        <v>103930</v>
      </c>
      <c r="G1033" s="25" t="s">
        <v>132</v>
      </c>
      <c r="H1033" s="25"/>
      <c r="I1033" s="25"/>
      <c r="J1033" s="7" t="n">
        <f aca="false">E1033*1.19</f>
        <v>123676.7</v>
      </c>
      <c r="K1033" s="7" t="n">
        <f aca="false">F1033*1.19</f>
        <v>123676.7</v>
      </c>
      <c r="L1033" s="25" t="s">
        <v>84</v>
      </c>
      <c r="M1033" s="25"/>
      <c r="N1033" s="69" t="s">
        <v>5257</v>
      </c>
      <c r="O1033" s="25"/>
      <c r="P1033" s="25"/>
      <c r="Q1033" s="25"/>
      <c r="R1033" s="25"/>
      <c r="S1033" s="25"/>
      <c r="T1033" s="25" t="s">
        <v>5258</v>
      </c>
      <c r="U1033" s="25" t="s">
        <v>5259</v>
      </c>
      <c r="V1033" s="25" t="s">
        <v>5260</v>
      </c>
      <c r="W1033" s="25" t="s">
        <v>90</v>
      </c>
      <c r="X1033" s="5" t="s">
        <v>139</v>
      </c>
      <c r="Y1033" s="25" t="s">
        <v>73</v>
      </c>
      <c r="Z1033" s="25"/>
      <c r="AA1033" s="25"/>
      <c r="AB1033" s="25"/>
      <c r="AC1033" s="25"/>
      <c r="AD1033" s="25"/>
      <c r="AE1033" s="25"/>
      <c r="AF1033" s="25"/>
      <c r="AG1033" s="25"/>
      <c r="AH1033" s="25"/>
      <c r="AI1033" s="73" t="n">
        <v>45536</v>
      </c>
      <c r="AJ1033" s="71" t="e">
        <f aca="false">IF(OR(AI1033="", #REF!=""), "", IFERROR(DATEDIF(AI1033, #REF!, "M")+1, "N/A"))</f>
        <v>#REF!</v>
      </c>
      <c r="AK1033" s="25" t="s">
        <v>75</v>
      </c>
      <c r="AL1033" s="25"/>
      <c r="AM1033" s="5" t="s">
        <v>140</v>
      </c>
      <c r="AN1033" s="25" t="s">
        <v>1539</v>
      </c>
      <c r="AO1033" s="25"/>
      <c r="AP1033" s="25"/>
      <c r="AQ1033" s="25" t="s">
        <v>4924</v>
      </c>
      <c r="AR1033" s="25" t="s">
        <v>143</v>
      </c>
      <c r="AS1033" s="25" t="s">
        <v>73</v>
      </c>
      <c r="AT1033" s="25" t="s">
        <v>71</v>
      </c>
      <c r="AU1033" s="25"/>
      <c r="AV1033" s="25"/>
      <c r="AW1033" s="5" t="s">
        <v>94</v>
      </c>
      <c r="AX1033" s="25" t="s">
        <v>375</v>
      </c>
      <c r="AY1033" s="25"/>
      <c r="AZ1033" s="5" t="s">
        <v>399</v>
      </c>
      <c r="BA1033" s="25"/>
      <c r="BB1033" s="25"/>
      <c r="BC1033" s="25"/>
      <c r="BD1033" s="25"/>
      <c r="BE1033" s="25"/>
      <c r="BF1033" s="25"/>
      <c r="BG1033" s="25"/>
      <c r="BH1033" s="25"/>
      <c r="BI1033" s="25"/>
      <c r="BJ1033" s="71" t="n">
        <f aca="false">IF(AI1033&lt;&gt;"", YEAR(AI1033), "")</f>
        <v>2024</v>
      </c>
      <c r="BK1033" s="25"/>
    </row>
    <row r="1034" customFormat="false" ht="15.75" hidden="false" customHeight="true" outlineLevel="0" collapsed="false">
      <c r="A1034" s="25" t="s">
        <v>5261</v>
      </c>
      <c r="B1034" s="25" t="s">
        <v>5262</v>
      </c>
      <c r="C1034" s="25"/>
      <c r="D1034" s="68" t="s">
        <v>2121</v>
      </c>
      <c r="E1034" s="78" t="n">
        <v>125000</v>
      </c>
      <c r="F1034" s="78" t="n">
        <v>100000</v>
      </c>
      <c r="G1034" s="25" t="s">
        <v>132</v>
      </c>
      <c r="H1034" s="25"/>
      <c r="I1034" s="25"/>
      <c r="J1034" s="7" t="n">
        <f aca="false">E1034*1.19</f>
        <v>148750</v>
      </c>
      <c r="K1034" s="7" t="n">
        <f aca="false">F1034*1.19</f>
        <v>119000</v>
      </c>
      <c r="L1034" s="25" t="s">
        <v>84</v>
      </c>
      <c r="M1034" s="25"/>
      <c r="N1034" s="74" t="s">
        <v>5263</v>
      </c>
      <c r="O1034" s="25"/>
      <c r="P1034" s="25"/>
      <c r="Q1034" s="25"/>
      <c r="R1034" s="25"/>
      <c r="S1034" s="25"/>
      <c r="T1034" s="25" t="s">
        <v>5264</v>
      </c>
      <c r="U1034" s="25" t="s">
        <v>5265</v>
      </c>
      <c r="V1034" s="25" t="s">
        <v>197</v>
      </c>
      <c r="W1034" s="25" t="s">
        <v>90</v>
      </c>
      <c r="X1034" s="5" t="s">
        <v>139</v>
      </c>
      <c r="Y1034" s="25" t="s">
        <v>73</v>
      </c>
      <c r="Z1034" s="25"/>
      <c r="AA1034" s="25"/>
      <c r="AB1034" s="25"/>
      <c r="AC1034" s="25" t="s">
        <v>5266</v>
      </c>
      <c r="AD1034" s="25"/>
      <c r="AE1034" s="25"/>
      <c r="AF1034" s="25"/>
      <c r="AG1034" s="25"/>
      <c r="AH1034" s="25"/>
      <c r="AI1034" s="73" t="n">
        <v>45536</v>
      </c>
      <c r="AJ1034" s="71" t="e">
        <f aca="false">IF(OR(AI1034="", #REF!=""), "", IFERROR(DATEDIF(AI1034, #REF!, "M")+1, "N/A"))</f>
        <v>#REF!</v>
      </c>
      <c r="AK1034" s="25" t="s">
        <v>75</v>
      </c>
      <c r="AL1034" s="25"/>
      <c r="AM1034" s="5" t="s">
        <v>140</v>
      </c>
      <c r="AN1034" s="25" t="s">
        <v>199</v>
      </c>
      <c r="AO1034" s="25"/>
      <c r="AP1034" s="25"/>
      <c r="AQ1034" s="25" t="s">
        <v>4924</v>
      </c>
      <c r="AR1034" s="25" t="s">
        <v>143</v>
      </c>
      <c r="AS1034" s="25" t="s">
        <v>73</v>
      </c>
      <c r="AT1034" s="5" t="s">
        <v>78</v>
      </c>
      <c r="AU1034" s="25"/>
      <c r="AV1034" s="25"/>
      <c r="AW1034" s="5" t="s">
        <v>201</v>
      </c>
      <c r="AX1034" s="25" t="s">
        <v>79</v>
      </c>
      <c r="AY1034" s="25"/>
      <c r="AZ1034" s="5" t="s">
        <v>129</v>
      </c>
      <c r="BA1034" s="25"/>
      <c r="BB1034" s="25"/>
      <c r="BC1034" s="25"/>
      <c r="BD1034" s="25"/>
      <c r="BE1034" s="25"/>
      <c r="BF1034" s="25"/>
      <c r="BG1034" s="25"/>
      <c r="BH1034" s="25"/>
      <c r="BI1034" s="25"/>
      <c r="BJ1034" s="71" t="n">
        <f aca="false">IF(AI1034&lt;&gt;"", YEAR(AI1034), "")</f>
        <v>2024</v>
      </c>
      <c r="BK1034" s="25"/>
    </row>
    <row r="1035" customFormat="false" ht="15.75" hidden="false" customHeight="true" outlineLevel="0" collapsed="false">
      <c r="A1035" s="25" t="s">
        <v>5267</v>
      </c>
      <c r="B1035" s="25" t="s">
        <v>5268</v>
      </c>
      <c r="C1035" s="25"/>
      <c r="D1035" s="68" t="s">
        <v>2121</v>
      </c>
      <c r="E1035" s="78" t="n">
        <v>243114</v>
      </c>
      <c r="F1035" s="78" t="n">
        <v>202924</v>
      </c>
      <c r="G1035" s="25" t="s">
        <v>132</v>
      </c>
      <c r="H1035" s="25"/>
      <c r="I1035" s="25"/>
      <c r="J1035" s="7" t="n">
        <f aca="false">E1035*1.19</f>
        <v>289305.66</v>
      </c>
      <c r="K1035" s="7" t="n">
        <f aca="false">F1035*1.19</f>
        <v>241479.56</v>
      </c>
      <c r="L1035" s="25" t="s">
        <v>84</v>
      </c>
      <c r="M1035" s="25"/>
      <c r="N1035" s="74" t="s">
        <v>5269</v>
      </c>
      <c r="O1035" s="25"/>
      <c r="P1035" s="25"/>
      <c r="Q1035" s="25"/>
      <c r="R1035" s="25"/>
      <c r="S1035" s="25"/>
      <c r="T1035" s="25" t="s">
        <v>1426</v>
      </c>
      <c r="U1035" s="25"/>
      <c r="V1035" s="25" t="s">
        <v>1427</v>
      </c>
      <c r="W1035" s="25" t="s">
        <v>4933</v>
      </c>
      <c r="X1035" s="5" t="s">
        <v>139</v>
      </c>
      <c r="Y1035" s="25" t="s">
        <v>73</v>
      </c>
      <c r="Z1035" s="25"/>
      <c r="AA1035" s="25"/>
      <c r="AB1035" s="25"/>
      <c r="AC1035" s="25"/>
      <c r="AD1035" s="25" t="s">
        <v>688</v>
      </c>
      <c r="AE1035" s="25"/>
      <c r="AF1035" s="25"/>
      <c r="AG1035" s="25"/>
      <c r="AH1035" s="25"/>
      <c r="AI1035" s="73" t="n">
        <v>45536</v>
      </c>
      <c r="AJ1035" s="71" t="e">
        <f aca="false">IF(OR(AI1035="", #REF!=""), "", IFERROR(DATEDIF(AI1035, #REF!, "M")+1, "N/A"))</f>
        <v>#REF!</v>
      </c>
      <c r="AK1035" s="25" t="s">
        <v>75</v>
      </c>
      <c r="AL1035" s="25"/>
      <c r="AM1035" s="5" t="s">
        <v>140</v>
      </c>
      <c r="AN1035" s="5" t="s">
        <v>699</v>
      </c>
      <c r="AO1035" s="25"/>
      <c r="AP1035" s="25"/>
      <c r="AQ1035" s="25" t="s">
        <v>4924</v>
      </c>
      <c r="AR1035" s="25" t="s">
        <v>143</v>
      </c>
      <c r="AS1035" s="25" t="s">
        <v>73</v>
      </c>
      <c r="AT1035" s="5" t="s">
        <v>78</v>
      </c>
      <c r="AU1035" s="25"/>
      <c r="AV1035" s="25"/>
      <c r="AW1035" s="5" t="s">
        <v>94</v>
      </c>
      <c r="AX1035" s="25" t="s">
        <v>375</v>
      </c>
      <c r="AY1035" s="25"/>
      <c r="AZ1035" s="5" t="s">
        <v>188</v>
      </c>
      <c r="BA1035" s="25"/>
      <c r="BB1035" s="25"/>
      <c r="BC1035" s="25"/>
      <c r="BD1035" s="25"/>
      <c r="BE1035" s="25"/>
      <c r="BF1035" s="25"/>
      <c r="BG1035" s="25"/>
      <c r="BH1035" s="25"/>
      <c r="BI1035" s="25"/>
      <c r="BJ1035" s="71" t="n">
        <f aca="false">IF(AI1035&lt;&gt;"", YEAR(AI1035), "")</f>
        <v>2024</v>
      </c>
      <c r="BK1035" s="25"/>
    </row>
    <row r="1036" customFormat="false" ht="15.75" hidden="false" customHeight="true" outlineLevel="0" collapsed="false">
      <c r="A1036" s="25" t="s">
        <v>5270</v>
      </c>
      <c r="B1036" s="25"/>
      <c r="C1036" s="25"/>
      <c r="D1036" s="68" t="s">
        <v>2121</v>
      </c>
      <c r="E1036" s="78" t="n">
        <v>50000</v>
      </c>
      <c r="F1036" s="78" t="n">
        <v>50000</v>
      </c>
      <c r="G1036" s="25" t="s">
        <v>132</v>
      </c>
      <c r="H1036" s="25"/>
      <c r="I1036" s="25"/>
      <c r="J1036" s="7" t="n">
        <f aca="false">E1036*1.19</f>
        <v>59500</v>
      </c>
      <c r="K1036" s="7" t="n">
        <f aca="false">F1036*1.19</f>
        <v>59500</v>
      </c>
      <c r="L1036" s="25" t="s">
        <v>84</v>
      </c>
      <c r="M1036" s="25"/>
      <c r="N1036" s="74" t="s">
        <v>5271</v>
      </c>
      <c r="O1036" s="25"/>
      <c r="P1036" s="25"/>
      <c r="Q1036" s="25"/>
      <c r="R1036" s="25"/>
      <c r="S1036" s="25"/>
      <c r="T1036" s="25" t="s">
        <v>5272</v>
      </c>
      <c r="U1036" s="25"/>
      <c r="V1036" s="25" t="s">
        <v>5273</v>
      </c>
      <c r="W1036" s="25" t="s">
        <v>4933</v>
      </c>
      <c r="X1036" s="5" t="s">
        <v>139</v>
      </c>
      <c r="Y1036" s="25" t="s">
        <v>73</v>
      </c>
      <c r="Z1036" s="25"/>
      <c r="AA1036" s="25"/>
      <c r="AB1036" s="25"/>
      <c r="AC1036" s="25"/>
      <c r="AD1036" s="25"/>
      <c r="AE1036" s="25"/>
      <c r="AF1036" s="25"/>
      <c r="AG1036" s="25"/>
      <c r="AH1036" s="25"/>
      <c r="AI1036" s="73" t="n">
        <v>45413</v>
      </c>
      <c r="AJ1036" s="71" t="e">
        <f aca="false">IF(OR(AI1036="", #REF!=""), "", IFERROR(DATEDIF(AI1036, #REF!, "M")+1, "N/A"))</f>
        <v>#REF!</v>
      </c>
      <c r="AK1036" s="25" t="s">
        <v>5003</v>
      </c>
      <c r="AL1036" s="25"/>
      <c r="AM1036" s="5" t="s">
        <v>140</v>
      </c>
      <c r="AN1036" s="5" t="s">
        <v>1545</v>
      </c>
      <c r="AO1036" s="25"/>
      <c r="AP1036" s="25"/>
      <c r="AQ1036" s="25" t="s">
        <v>4924</v>
      </c>
      <c r="AR1036" s="25" t="s">
        <v>143</v>
      </c>
      <c r="AS1036" s="25" t="s">
        <v>73</v>
      </c>
      <c r="AT1036" s="5" t="s">
        <v>78</v>
      </c>
      <c r="AU1036" s="25"/>
      <c r="AV1036" s="25"/>
      <c r="AW1036" s="5" t="s">
        <v>94</v>
      </c>
      <c r="AX1036" s="25" t="s">
        <v>79</v>
      </c>
      <c r="AY1036" s="25"/>
      <c r="AZ1036" s="5" t="s">
        <v>129</v>
      </c>
      <c r="BA1036" s="25"/>
      <c r="BB1036" s="25"/>
      <c r="BC1036" s="25"/>
      <c r="BD1036" s="25"/>
      <c r="BE1036" s="25"/>
      <c r="BF1036" s="25"/>
      <c r="BG1036" s="25"/>
      <c r="BH1036" s="25"/>
      <c r="BI1036" s="25"/>
      <c r="BJ1036" s="71" t="n">
        <f aca="false">IF(AI1036&lt;&gt;"", YEAR(AI1036), "")</f>
        <v>2024</v>
      </c>
      <c r="BK1036" s="25"/>
    </row>
    <row r="1037" customFormat="false" ht="15.75" hidden="false" customHeight="true" outlineLevel="0" collapsed="false">
      <c r="A1037" s="25" t="s">
        <v>5274</v>
      </c>
      <c r="B1037" s="25" t="s">
        <v>5275</v>
      </c>
      <c r="C1037" s="25"/>
      <c r="D1037" s="68" t="s">
        <v>2121</v>
      </c>
      <c r="E1037" s="78" t="n">
        <v>421420</v>
      </c>
      <c r="F1037" s="78" t="n">
        <v>318987</v>
      </c>
      <c r="G1037" s="25" t="s">
        <v>132</v>
      </c>
      <c r="H1037" s="25"/>
      <c r="I1037" s="25"/>
      <c r="J1037" s="7" t="n">
        <f aca="false">E1037*1.19</f>
        <v>501489.8</v>
      </c>
      <c r="K1037" s="7" t="n">
        <f aca="false">F1037*1.19</f>
        <v>379594.53</v>
      </c>
      <c r="L1037" s="25" t="s">
        <v>84</v>
      </c>
      <c r="M1037" s="25"/>
      <c r="N1037" s="74" t="s">
        <v>5276</v>
      </c>
      <c r="O1037" s="25"/>
      <c r="P1037" s="25"/>
      <c r="Q1037" s="25"/>
      <c r="R1037" s="25"/>
      <c r="S1037" s="25"/>
      <c r="T1037" s="25" t="s">
        <v>3521</v>
      </c>
      <c r="U1037" s="25"/>
      <c r="V1037" s="25" t="s">
        <v>5277</v>
      </c>
      <c r="W1037" s="25" t="s">
        <v>4933</v>
      </c>
      <c r="X1037" s="5" t="s">
        <v>139</v>
      </c>
      <c r="Y1037" s="25" t="s">
        <v>73</v>
      </c>
      <c r="Z1037" s="25"/>
      <c r="AA1037" s="25"/>
      <c r="AB1037" s="25"/>
      <c r="AC1037" s="25"/>
      <c r="AD1037" s="25" t="s">
        <v>3522</v>
      </c>
      <c r="AE1037" s="25"/>
      <c r="AF1037" s="25"/>
      <c r="AG1037" s="25"/>
      <c r="AH1037" s="25"/>
      <c r="AI1037" s="73" t="n">
        <v>45383</v>
      </c>
      <c r="AJ1037" s="71" t="e">
        <f aca="false">IF(OR(AI1037="", #REF!=""), "", IFERROR(DATEDIF(AI1037, #REF!, "M")+1, "N/A"))</f>
        <v>#REF!</v>
      </c>
      <c r="AK1037" s="25" t="s">
        <v>5003</v>
      </c>
      <c r="AL1037" s="25"/>
      <c r="AM1037" s="5" t="s">
        <v>140</v>
      </c>
      <c r="AN1037" s="5" t="s">
        <v>699</v>
      </c>
      <c r="AO1037" s="25"/>
      <c r="AP1037" s="25"/>
      <c r="AQ1037" s="25" t="s">
        <v>4924</v>
      </c>
      <c r="AR1037" s="25" t="s">
        <v>143</v>
      </c>
      <c r="AS1037" s="25" t="s">
        <v>73</v>
      </c>
      <c r="AT1037" s="5" t="s">
        <v>78</v>
      </c>
      <c r="AU1037" s="25"/>
      <c r="AV1037" s="25"/>
      <c r="AW1037" s="5" t="s">
        <v>94</v>
      </c>
      <c r="AX1037" s="25" t="s">
        <v>79</v>
      </c>
      <c r="AY1037" s="25"/>
      <c r="AZ1037" s="5" t="s">
        <v>129</v>
      </c>
      <c r="BA1037" s="25"/>
      <c r="BB1037" s="25"/>
      <c r="BC1037" s="25"/>
      <c r="BD1037" s="25"/>
      <c r="BE1037" s="25"/>
      <c r="BF1037" s="25"/>
      <c r="BG1037" s="25"/>
      <c r="BH1037" s="25"/>
      <c r="BI1037" s="25"/>
      <c r="BJ1037" s="71" t="n">
        <f aca="false">IF(AI1037&lt;&gt;"", YEAR(AI1037), "")</f>
        <v>2024</v>
      </c>
      <c r="BK1037" s="25"/>
    </row>
    <row r="1038" customFormat="false" ht="15.75" hidden="false" customHeight="true" outlineLevel="0" collapsed="false">
      <c r="A1038" s="25" t="s">
        <v>5278</v>
      </c>
      <c r="B1038" s="25" t="s">
        <v>5279</v>
      </c>
      <c r="C1038" s="25"/>
      <c r="D1038" s="68" t="s">
        <v>2121</v>
      </c>
      <c r="E1038" s="78" t="n">
        <v>50000</v>
      </c>
      <c r="F1038" s="78" t="n">
        <v>50000</v>
      </c>
      <c r="G1038" s="25" t="s">
        <v>132</v>
      </c>
      <c r="H1038" s="25"/>
      <c r="I1038" s="25"/>
      <c r="J1038" s="7" t="n">
        <f aca="false">E1038*1.19</f>
        <v>59500</v>
      </c>
      <c r="K1038" s="7" t="n">
        <f aca="false">F1038*1.19</f>
        <v>59500</v>
      </c>
      <c r="L1038" s="25" t="s">
        <v>84</v>
      </c>
      <c r="M1038" s="25"/>
      <c r="N1038" s="74" t="s">
        <v>5280</v>
      </c>
      <c r="O1038" s="25"/>
      <c r="P1038" s="25"/>
      <c r="Q1038" s="25"/>
      <c r="R1038" s="25"/>
      <c r="S1038" s="25"/>
      <c r="T1038" s="25" t="s">
        <v>5281</v>
      </c>
      <c r="U1038" s="25"/>
      <c r="V1038" s="25" t="s">
        <v>5282</v>
      </c>
      <c r="W1038" s="25" t="s">
        <v>4933</v>
      </c>
      <c r="X1038" s="5" t="s">
        <v>139</v>
      </c>
      <c r="Y1038" s="25" t="s">
        <v>73</v>
      </c>
      <c r="Z1038" s="25"/>
      <c r="AA1038" s="25"/>
      <c r="AB1038" s="25"/>
      <c r="AC1038" s="25"/>
      <c r="AD1038" s="25" t="s">
        <v>5283</v>
      </c>
      <c r="AE1038" s="25"/>
      <c r="AF1038" s="25"/>
      <c r="AG1038" s="25"/>
      <c r="AH1038" s="25"/>
      <c r="AI1038" s="73" t="n">
        <v>45352</v>
      </c>
      <c r="AJ1038" s="71" t="e">
        <f aca="false">IF(OR(AI1038="", #REF!=""), "", IFERROR(DATEDIF(AI1038, #REF!, "M")+1, "N/A"))</f>
        <v>#REF!</v>
      </c>
      <c r="AK1038" s="25" t="s">
        <v>5003</v>
      </c>
      <c r="AL1038" s="25"/>
      <c r="AM1038" s="5" t="s">
        <v>140</v>
      </c>
      <c r="AN1038" s="5" t="s">
        <v>699</v>
      </c>
      <c r="AO1038" s="25"/>
      <c r="AP1038" s="25"/>
      <c r="AQ1038" s="25" t="s">
        <v>4924</v>
      </c>
      <c r="AR1038" s="25" t="s">
        <v>143</v>
      </c>
      <c r="AS1038" s="25" t="s">
        <v>73</v>
      </c>
      <c r="AT1038" s="25" t="s">
        <v>71</v>
      </c>
      <c r="AU1038" s="25"/>
      <c r="AV1038" s="25"/>
      <c r="AW1038" s="5" t="s">
        <v>94</v>
      </c>
      <c r="AX1038" s="25" t="s">
        <v>79</v>
      </c>
      <c r="AY1038" s="25"/>
      <c r="AZ1038" s="5" t="s">
        <v>639</v>
      </c>
      <c r="BA1038" s="25"/>
      <c r="BB1038" s="25"/>
      <c r="BC1038" s="25"/>
      <c r="BD1038" s="25"/>
      <c r="BE1038" s="25"/>
      <c r="BF1038" s="25"/>
      <c r="BG1038" s="25"/>
      <c r="BH1038" s="25"/>
      <c r="BI1038" s="25"/>
      <c r="BJ1038" s="71" t="n">
        <f aca="false">IF(AI1038&lt;&gt;"", YEAR(AI1038), "")</f>
        <v>2024</v>
      </c>
      <c r="BK1038" s="25"/>
    </row>
    <row r="1039" customFormat="false" ht="15.75" hidden="false" customHeight="true" outlineLevel="0" collapsed="false">
      <c r="A1039" s="25" t="s">
        <v>5284</v>
      </c>
      <c r="B1039" s="25" t="s">
        <v>5285</v>
      </c>
      <c r="C1039" s="25"/>
      <c r="D1039" s="68" t="s">
        <v>2121</v>
      </c>
      <c r="E1039" s="78" t="n">
        <v>98290</v>
      </c>
      <c r="F1039" s="78" t="n">
        <v>68803</v>
      </c>
      <c r="G1039" s="25" t="s">
        <v>132</v>
      </c>
      <c r="H1039" s="25"/>
      <c r="I1039" s="25"/>
      <c r="J1039" s="7" t="n">
        <f aca="false">E1039*1.19</f>
        <v>116965.1</v>
      </c>
      <c r="K1039" s="7" t="n">
        <f aca="false">F1039*1.19</f>
        <v>81875.57</v>
      </c>
      <c r="L1039" s="25" t="s">
        <v>84</v>
      </c>
      <c r="M1039" s="25"/>
      <c r="N1039" s="74" t="s">
        <v>5286</v>
      </c>
      <c r="O1039" s="25"/>
      <c r="P1039" s="25"/>
      <c r="Q1039" s="25"/>
      <c r="R1039" s="25"/>
      <c r="S1039" s="25"/>
      <c r="T1039" s="25" t="s">
        <v>1321</v>
      </c>
      <c r="U1039" s="25"/>
      <c r="V1039" s="25" t="s">
        <v>5287</v>
      </c>
      <c r="W1039" s="25" t="s">
        <v>4933</v>
      </c>
      <c r="X1039" s="5" t="s">
        <v>139</v>
      </c>
      <c r="Y1039" s="25" t="s">
        <v>73</v>
      </c>
      <c r="Z1039" s="25"/>
      <c r="AA1039" s="25"/>
      <c r="AB1039" s="25"/>
      <c r="AC1039" s="25"/>
      <c r="AD1039" s="25" t="s">
        <v>5288</v>
      </c>
      <c r="AE1039" s="25"/>
      <c r="AF1039" s="25"/>
      <c r="AG1039" s="25"/>
      <c r="AH1039" s="25"/>
      <c r="AI1039" s="73" t="n">
        <v>45078</v>
      </c>
      <c r="AJ1039" s="71" t="e">
        <f aca="false">IF(OR(AI1039="", #REF!=""), "", IFERROR(DATEDIF(AI1039, #REF!, "M")+1, "N/A"))</f>
        <v>#REF!</v>
      </c>
      <c r="AK1039" s="25" t="s">
        <v>5003</v>
      </c>
      <c r="AL1039" s="25"/>
      <c r="AM1039" s="5" t="s">
        <v>140</v>
      </c>
      <c r="AN1039" s="5" t="s">
        <v>699</v>
      </c>
      <c r="AO1039" s="25"/>
      <c r="AP1039" s="25"/>
      <c r="AQ1039" s="25" t="s">
        <v>4924</v>
      </c>
      <c r="AR1039" s="25" t="s">
        <v>143</v>
      </c>
      <c r="AS1039" s="25" t="s">
        <v>73</v>
      </c>
      <c r="AT1039" s="25" t="s">
        <v>105</v>
      </c>
      <c r="AU1039" s="25"/>
      <c r="AV1039" s="25"/>
      <c r="AW1039" s="5" t="s">
        <v>94</v>
      </c>
      <c r="AX1039" s="25" t="s">
        <v>79</v>
      </c>
      <c r="AY1039" s="25"/>
      <c r="AZ1039" s="5" t="s">
        <v>107</v>
      </c>
      <c r="BA1039" s="25"/>
      <c r="BB1039" s="25"/>
      <c r="BC1039" s="25"/>
      <c r="BD1039" s="25"/>
      <c r="BE1039" s="25"/>
      <c r="BF1039" s="25"/>
      <c r="BG1039" s="25"/>
      <c r="BH1039" s="25"/>
      <c r="BI1039" s="25"/>
      <c r="BJ1039" s="71" t="n">
        <f aca="false">IF(AI1039&lt;&gt;"", YEAR(AI1039), "")</f>
        <v>2023</v>
      </c>
      <c r="BK1039" s="25"/>
    </row>
    <row r="1040" customFormat="false" ht="15.75" hidden="false" customHeight="true" outlineLevel="0" collapsed="false">
      <c r="A1040" s="25" t="s">
        <v>5289</v>
      </c>
      <c r="B1040" s="25" t="s">
        <v>5290</v>
      </c>
      <c r="C1040" s="25"/>
      <c r="D1040" s="68" t="s">
        <v>2121</v>
      </c>
      <c r="E1040" s="78" t="n">
        <v>49544</v>
      </c>
      <c r="F1040" s="78" t="n">
        <v>49544</v>
      </c>
      <c r="G1040" s="25" t="s">
        <v>132</v>
      </c>
      <c r="H1040" s="25"/>
      <c r="I1040" s="25"/>
      <c r="J1040" s="7" t="n">
        <f aca="false">E1040*1.19</f>
        <v>58957.36</v>
      </c>
      <c r="K1040" s="7" t="n">
        <f aca="false">F1040*1.19</f>
        <v>58957.36</v>
      </c>
      <c r="L1040" s="25" t="s">
        <v>84</v>
      </c>
      <c r="M1040" s="25"/>
      <c r="N1040" s="74" t="s">
        <v>5291</v>
      </c>
      <c r="O1040" s="25"/>
      <c r="P1040" s="25"/>
      <c r="Q1040" s="25"/>
      <c r="R1040" s="25"/>
      <c r="S1040" s="25"/>
      <c r="T1040" s="25" t="s">
        <v>5292</v>
      </c>
      <c r="U1040" s="25"/>
      <c r="V1040" s="25" t="s">
        <v>5293</v>
      </c>
      <c r="W1040" s="25" t="s">
        <v>4933</v>
      </c>
      <c r="X1040" s="5" t="s">
        <v>139</v>
      </c>
      <c r="Y1040" s="25" t="s">
        <v>73</v>
      </c>
      <c r="Z1040" s="25"/>
      <c r="AA1040" s="25"/>
      <c r="AB1040" s="25"/>
      <c r="AC1040" s="25"/>
      <c r="AD1040" s="25"/>
      <c r="AE1040" s="25"/>
      <c r="AF1040" s="25"/>
      <c r="AG1040" s="25"/>
      <c r="AH1040" s="25"/>
      <c r="AI1040" s="73" t="n">
        <v>45383</v>
      </c>
      <c r="AJ1040" s="71" t="e">
        <f aca="false">IF(OR(AI1040="", #REF!=""), "", IFERROR(DATEDIF(AI1040, #REF!, "M")+1, "N/A"))</f>
        <v>#REF!</v>
      </c>
      <c r="AK1040" s="25" t="s">
        <v>5003</v>
      </c>
      <c r="AL1040" s="25"/>
      <c r="AM1040" s="5" t="s">
        <v>140</v>
      </c>
      <c r="AN1040" s="5" t="s">
        <v>699</v>
      </c>
      <c r="AO1040" s="25"/>
      <c r="AP1040" s="25"/>
      <c r="AQ1040" s="25" t="s">
        <v>4924</v>
      </c>
      <c r="AR1040" s="25" t="s">
        <v>143</v>
      </c>
      <c r="AS1040" s="25" t="s">
        <v>73</v>
      </c>
      <c r="AT1040" s="25" t="s">
        <v>105</v>
      </c>
      <c r="AU1040" s="25"/>
      <c r="AV1040" s="25"/>
      <c r="AW1040" s="5" t="s">
        <v>94</v>
      </c>
      <c r="AX1040" s="25" t="s">
        <v>79</v>
      </c>
      <c r="AY1040" s="25"/>
      <c r="AZ1040" s="5" t="s">
        <v>107</v>
      </c>
      <c r="BA1040" s="25"/>
      <c r="BB1040" s="25"/>
      <c r="BC1040" s="25"/>
      <c r="BD1040" s="25"/>
      <c r="BE1040" s="25"/>
      <c r="BF1040" s="25"/>
      <c r="BG1040" s="25"/>
      <c r="BH1040" s="25"/>
      <c r="BI1040" s="25"/>
      <c r="BJ1040" s="71" t="n">
        <f aca="false">IF(AI1040&lt;&gt;"", YEAR(AI1040), "")</f>
        <v>2024</v>
      </c>
      <c r="BK1040" s="25"/>
    </row>
    <row r="1041" customFormat="false" ht="15.75" hidden="false" customHeight="true" outlineLevel="0" collapsed="false">
      <c r="A1041" s="25" t="s">
        <v>5294</v>
      </c>
      <c r="B1041" s="25"/>
      <c r="C1041" s="25" t="s">
        <v>5295</v>
      </c>
      <c r="D1041" s="68"/>
      <c r="E1041" s="25"/>
      <c r="F1041" s="25"/>
      <c r="G1041" s="25"/>
      <c r="H1041" s="25"/>
      <c r="I1041" s="25"/>
      <c r="J1041" s="72"/>
      <c r="K1041" s="72"/>
      <c r="L1041" s="25" t="s">
        <v>84</v>
      </c>
      <c r="M1041" s="25"/>
      <c r="N1041" s="69" t="s">
        <v>5296</v>
      </c>
      <c r="O1041" s="25"/>
      <c r="P1041" s="25"/>
      <c r="Q1041" s="25"/>
      <c r="R1041" s="25"/>
      <c r="S1041" s="25"/>
      <c r="T1041" s="25"/>
      <c r="U1041" s="25"/>
      <c r="V1041" s="25"/>
      <c r="W1041" s="25"/>
      <c r="X1041" s="25"/>
      <c r="Y1041" s="25"/>
      <c r="Z1041" s="25"/>
      <c r="AA1041" s="25"/>
      <c r="AB1041" s="25"/>
      <c r="AC1041" s="25"/>
      <c r="AD1041" s="25"/>
      <c r="AE1041" s="25"/>
      <c r="AF1041" s="25"/>
      <c r="AG1041" s="25"/>
      <c r="AH1041" s="25"/>
      <c r="AI1041" s="73" t="n">
        <v>45413</v>
      </c>
      <c r="AJ1041" s="71" t="e">
        <f aca="false">IF(OR(AI1041="", #REF!=""), "", IFERROR(DATEDIF(AI1041, #REF!, "M")+1, "N/A"))</f>
        <v>#REF!</v>
      </c>
      <c r="AK1041" s="25" t="s">
        <v>75</v>
      </c>
      <c r="AL1041" s="25"/>
      <c r="AM1041" s="5" t="s">
        <v>153</v>
      </c>
      <c r="AN1041" s="25"/>
      <c r="AO1041" s="25"/>
      <c r="AP1041" s="25"/>
      <c r="AQ1041" s="25" t="s">
        <v>4924</v>
      </c>
      <c r="AR1041" s="25" t="s">
        <v>151</v>
      </c>
      <c r="AS1041" s="25" t="s">
        <v>73</v>
      </c>
      <c r="AT1041" s="25" t="s">
        <v>78</v>
      </c>
      <c r="AU1041" s="25"/>
      <c r="AV1041" s="25"/>
      <c r="AW1041" s="5" t="s">
        <v>94</v>
      </c>
      <c r="AX1041" s="25" t="s">
        <v>79</v>
      </c>
      <c r="AY1041" s="25"/>
      <c r="AZ1041" s="5" t="s">
        <v>129</v>
      </c>
      <c r="BA1041" s="25"/>
      <c r="BB1041" s="25"/>
      <c r="BC1041" s="25"/>
      <c r="BD1041" s="25"/>
      <c r="BE1041" s="25"/>
      <c r="BF1041" s="25"/>
      <c r="BG1041" s="25"/>
      <c r="BH1041" s="25"/>
      <c r="BI1041" s="25"/>
      <c r="BJ1041" s="71" t="n">
        <f aca="false">IF(AI1041&lt;&gt;"", YEAR(AI1041), "")</f>
        <v>2024</v>
      </c>
      <c r="BK1041" s="25"/>
    </row>
    <row r="1042" customFormat="false" ht="15.75" hidden="false" customHeight="true" outlineLevel="0" collapsed="false">
      <c r="A1042" s="25" t="s">
        <v>5297</v>
      </c>
      <c r="B1042" s="25" t="s">
        <v>5298</v>
      </c>
      <c r="C1042" s="25" t="s">
        <v>5299</v>
      </c>
      <c r="D1042" s="68"/>
      <c r="E1042" s="25"/>
      <c r="F1042" s="25"/>
      <c r="G1042" s="25"/>
      <c r="H1042" s="25"/>
      <c r="I1042" s="25"/>
      <c r="J1042" s="72"/>
      <c r="K1042" s="72"/>
      <c r="L1042" s="25" t="s">
        <v>84</v>
      </c>
      <c r="M1042" s="25"/>
      <c r="N1042" s="69" t="s">
        <v>5300</v>
      </c>
      <c r="O1042" s="25"/>
      <c r="P1042" s="25"/>
      <c r="Q1042" s="25"/>
      <c r="R1042" s="25"/>
      <c r="S1042" s="25"/>
      <c r="T1042" s="25"/>
      <c r="U1042" s="25"/>
      <c r="V1042" s="25" t="s">
        <v>5301</v>
      </c>
      <c r="W1042" s="25" t="s">
        <v>5302</v>
      </c>
      <c r="X1042" s="25" t="s">
        <v>151</v>
      </c>
      <c r="Y1042" s="25" t="s">
        <v>73</v>
      </c>
      <c r="Z1042" s="25"/>
      <c r="AA1042" s="25"/>
      <c r="AB1042" s="25"/>
      <c r="AC1042" s="25"/>
      <c r="AD1042" s="25"/>
      <c r="AE1042" s="25"/>
      <c r="AF1042" s="25"/>
      <c r="AG1042" s="25"/>
      <c r="AH1042" s="25"/>
      <c r="AI1042" s="73" t="n">
        <v>45566</v>
      </c>
      <c r="AJ1042" s="71" t="e">
        <f aca="false">IF(OR(AI1042="", #REF!=""), "", IFERROR(DATEDIF(AI1042, #REF!, "M")+1, "N/A"))</f>
        <v>#REF!</v>
      </c>
      <c r="AK1042" s="25" t="s">
        <v>75</v>
      </c>
      <c r="AL1042" s="25"/>
      <c r="AM1042" s="5" t="s">
        <v>153</v>
      </c>
      <c r="AN1042" s="25"/>
      <c r="AO1042" s="25"/>
      <c r="AP1042" s="25"/>
      <c r="AQ1042" s="25" t="s">
        <v>4924</v>
      </c>
      <c r="AR1042" s="25" t="s">
        <v>151</v>
      </c>
      <c r="AS1042" s="25" t="s">
        <v>73</v>
      </c>
      <c r="AT1042" s="25" t="s">
        <v>78</v>
      </c>
      <c r="AU1042" s="25"/>
      <c r="AV1042" s="25"/>
      <c r="AW1042" s="5" t="s">
        <v>94</v>
      </c>
      <c r="AX1042" s="25" t="s">
        <v>79</v>
      </c>
      <c r="AY1042" s="25"/>
      <c r="AZ1042" s="5" t="s">
        <v>129</v>
      </c>
      <c r="BA1042" s="25"/>
      <c r="BB1042" s="25"/>
      <c r="BC1042" s="25"/>
      <c r="BD1042" s="25"/>
      <c r="BE1042" s="25"/>
      <c r="BF1042" s="25"/>
      <c r="BG1042" s="25"/>
      <c r="BH1042" s="25"/>
      <c r="BI1042" s="25"/>
      <c r="BJ1042" s="71" t="n">
        <f aca="false">IF(AI1042&lt;&gt;"", YEAR(AI1042), "")</f>
        <v>2024</v>
      </c>
      <c r="BK1042" s="25"/>
    </row>
    <row r="1043" customFormat="false" ht="15.75" hidden="false" customHeight="true" outlineLevel="0" collapsed="false">
      <c r="A1043" s="25" t="s">
        <v>5303</v>
      </c>
      <c r="B1043" s="25"/>
      <c r="C1043" s="25" t="s">
        <v>5304</v>
      </c>
      <c r="D1043" s="68"/>
      <c r="E1043" s="25"/>
      <c r="F1043" s="25"/>
      <c r="G1043" s="25"/>
      <c r="H1043" s="25"/>
      <c r="I1043" s="25"/>
      <c r="J1043" s="72"/>
      <c r="K1043" s="72"/>
      <c r="L1043" s="25" t="s">
        <v>84</v>
      </c>
      <c r="M1043" s="25"/>
      <c r="N1043" s="74" t="s">
        <v>5305</v>
      </c>
      <c r="O1043" s="25"/>
      <c r="P1043" s="25"/>
      <c r="Q1043" s="25"/>
      <c r="R1043" s="25"/>
      <c r="S1043" s="25"/>
      <c r="T1043" s="25"/>
      <c r="U1043" s="25"/>
      <c r="V1043" s="25" t="s">
        <v>911</v>
      </c>
      <c r="W1043" s="25" t="s">
        <v>5302</v>
      </c>
      <c r="X1043" s="25" t="s">
        <v>151</v>
      </c>
      <c r="Y1043" s="25" t="s">
        <v>73</v>
      </c>
      <c r="Z1043" s="25"/>
      <c r="AA1043" s="25"/>
      <c r="AB1043" s="25"/>
      <c r="AC1043" s="25"/>
      <c r="AD1043" s="25"/>
      <c r="AE1043" s="25"/>
      <c r="AF1043" s="25"/>
      <c r="AG1043" s="25"/>
      <c r="AH1043" s="25"/>
      <c r="AI1043" s="73" t="n">
        <v>45383</v>
      </c>
      <c r="AJ1043" s="71" t="e">
        <f aca="false">IF(OR(AI1043="", #REF!=""), "", IFERROR(DATEDIF(AI1043, #REF!, "M")+1, "N/A"))</f>
        <v>#REF!</v>
      </c>
      <c r="AK1043" s="25" t="s">
        <v>75</v>
      </c>
      <c r="AL1043" s="25"/>
      <c r="AM1043" s="5" t="s">
        <v>153</v>
      </c>
      <c r="AN1043" s="25"/>
      <c r="AO1043" s="25"/>
      <c r="AP1043" s="25"/>
      <c r="AQ1043" s="25" t="s">
        <v>4924</v>
      </c>
      <c r="AR1043" s="25" t="s">
        <v>151</v>
      </c>
      <c r="AS1043" s="25" t="s">
        <v>73</v>
      </c>
      <c r="AT1043" s="25" t="s">
        <v>78</v>
      </c>
      <c r="AU1043" s="25"/>
      <c r="AV1043" s="25"/>
      <c r="AW1043" s="5" t="s">
        <v>94</v>
      </c>
      <c r="AX1043" s="25" t="s">
        <v>79</v>
      </c>
      <c r="AY1043" s="25"/>
      <c r="AZ1043" s="5" t="s">
        <v>129</v>
      </c>
      <c r="BA1043" s="25"/>
      <c r="BB1043" s="25"/>
      <c r="BC1043" s="25"/>
      <c r="BD1043" s="25"/>
      <c r="BE1043" s="25"/>
      <c r="BF1043" s="25"/>
      <c r="BG1043" s="25"/>
      <c r="BH1043" s="25"/>
      <c r="BI1043" s="25"/>
      <c r="BJ1043" s="71" t="n">
        <f aca="false">IF(AI1043&lt;&gt;"", YEAR(AI1043), "")</f>
        <v>2024</v>
      </c>
      <c r="BK1043" s="25"/>
    </row>
    <row r="1044" customFormat="false" ht="15.75" hidden="false" customHeight="true" outlineLevel="0" collapsed="false">
      <c r="A1044" s="25" t="s">
        <v>5306</v>
      </c>
      <c r="B1044" s="25" t="s">
        <v>5307</v>
      </c>
      <c r="C1044" s="25" t="s">
        <v>5308</v>
      </c>
      <c r="D1044" s="68"/>
      <c r="E1044" s="25"/>
      <c r="F1044" s="25"/>
      <c r="G1044" s="25"/>
      <c r="H1044" s="25"/>
      <c r="I1044" s="25"/>
      <c r="J1044" s="72"/>
      <c r="K1044" s="72"/>
      <c r="L1044" s="25" t="s">
        <v>84</v>
      </c>
      <c r="M1044" s="25"/>
      <c r="N1044" s="74" t="s">
        <v>5309</v>
      </c>
      <c r="O1044" s="25"/>
      <c r="P1044" s="25"/>
      <c r="Q1044" s="25"/>
      <c r="R1044" s="25"/>
      <c r="S1044" s="25"/>
      <c r="T1044" s="25"/>
      <c r="U1044" s="25" t="s">
        <v>5310</v>
      </c>
      <c r="V1044" s="25" t="s">
        <v>5311</v>
      </c>
      <c r="W1044" s="25" t="s">
        <v>90</v>
      </c>
      <c r="X1044" s="25" t="s">
        <v>151</v>
      </c>
      <c r="Y1044" s="25" t="s">
        <v>73</v>
      </c>
      <c r="Z1044" s="25"/>
      <c r="AA1044" s="25"/>
      <c r="AB1044" s="25"/>
      <c r="AC1044" s="25"/>
      <c r="AD1044" s="25"/>
      <c r="AE1044" s="25"/>
      <c r="AF1044" s="25"/>
      <c r="AG1044" s="25"/>
      <c r="AH1044" s="25"/>
      <c r="AI1044" s="73" t="n">
        <v>45689</v>
      </c>
      <c r="AJ1044" s="71" t="e">
        <f aca="false">IF(OR(AI1044="", #REF!=""), "", IFERROR(DATEDIF(AI1044, #REF!, "M")+1, "N/A"))</f>
        <v>#REF!</v>
      </c>
      <c r="AK1044" s="25" t="s">
        <v>75</v>
      </c>
      <c r="AL1044" s="25"/>
      <c r="AM1044" s="5" t="s">
        <v>153</v>
      </c>
      <c r="AN1044" s="25"/>
      <c r="AO1044" s="25"/>
      <c r="AP1044" s="25"/>
      <c r="AQ1044" s="25" t="s">
        <v>4924</v>
      </c>
      <c r="AR1044" s="25" t="s">
        <v>151</v>
      </c>
      <c r="AS1044" s="25" t="s">
        <v>73</v>
      </c>
      <c r="AT1044" s="25" t="s">
        <v>78</v>
      </c>
      <c r="AU1044" s="25"/>
      <c r="AV1044" s="25"/>
      <c r="AW1044" s="5" t="s">
        <v>94</v>
      </c>
      <c r="AX1044" s="25" t="s">
        <v>79</v>
      </c>
      <c r="AY1044" s="25"/>
      <c r="AZ1044" s="5" t="s">
        <v>309</v>
      </c>
      <c r="BA1044" s="25"/>
      <c r="BB1044" s="25"/>
      <c r="BC1044" s="25"/>
      <c r="BD1044" s="25"/>
      <c r="BE1044" s="25"/>
      <c r="BF1044" s="25"/>
      <c r="BG1044" s="25"/>
      <c r="BH1044" s="25"/>
      <c r="BI1044" s="25"/>
      <c r="BJ1044" s="71" t="n">
        <f aca="false">IF(AI1044&lt;&gt;"", YEAR(AI1044), "")</f>
        <v>2025</v>
      </c>
      <c r="BK1044" s="25"/>
    </row>
    <row r="1045" customFormat="false" ht="15.75" hidden="false" customHeight="true" outlineLevel="0" collapsed="false">
      <c r="A1045" s="25" t="s">
        <v>5312</v>
      </c>
      <c r="B1045" s="25"/>
      <c r="C1045" s="25" t="s">
        <v>5313</v>
      </c>
      <c r="D1045" s="68"/>
      <c r="E1045" s="25"/>
      <c r="F1045" s="25"/>
      <c r="G1045" s="25"/>
      <c r="H1045" s="25"/>
      <c r="I1045" s="25"/>
      <c r="J1045" s="72"/>
      <c r="K1045" s="72"/>
      <c r="L1045" s="25" t="s">
        <v>84</v>
      </c>
      <c r="M1045" s="25"/>
      <c r="N1045" s="74" t="s">
        <v>5314</v>
      </c>
      <c r="O1045" s="25"/>
      <c r="P1045" s="25"/>
      <c r="Q1045" s="25"/>
      <c r="R1045" s="25"/>
      <c r="S1045" s="25"/>
      <c r="T1045" s="25"/>
      <c r="U1045" s="25"/>
      <c r="V1045" s="25" t="s">
        <v>5315</v>
      </c>
      <c r="W1045" s="25" t="s">
        <v>4933</v>
      </c>
      <c r="X1045" s="25" t="s">
        <v>151</v>
      </c>
      <c r="Y1045" s="25" t="s">
        <v>73</v>
      </c>
      <c r="Z1045" s="25"/>
      <c r="AA1045" s="25"/>
      <c r="AB1045" s="25"/>
      <c r="AC1045" s="25"/>
      <c r="AD1045" s="25"/>
      <c r="AE1045" s="25"/>
      <c r="AF1045" s="25"/>
      <c r="AG1045" s="25"/>
      <c r="AH1045" s="25"/>
      <c r="AI1045" s="73" t="n">
        <v>45931</v>
      </c>
      <c r="AJ1045" s="71" t="e">
        <f aca="false">IF(OR(AI1045="", #REF!=""), "", IFERROR(DATEDIF(AI1045, #REF!, "M")+1, "N/A"))</f>
        <v>#REF!</v>
      </c>
      <c r="AK1045" s="25" t="s">
        <v>152</v>
      </c>
      <c r="AL1045" s="25"/>
      <c r="AM1045" s="5" t="s">
        <v>153</v>
      </c>
      <c r="AN1045" s="25"/>
      <c r="AO1045" s="25"/>
      <c r="AP1045" s="25"/>
      <c r="AQ1045" s="25" t="s">
        <v>4924</v>
      </c>
      <c r="AR1045" s="25" t="s">
        <v>151</v>
      </c>
      <c r="AS1045" s="25" t="s">
        <v>73</v>
      </c>
      <c r="AT1045" s="25" t="s">
        <v>78</v>
      </c>
      <c r="AU1045" s="25"/>
      <c r="AV1045" s="25"/>
      <c r="AW1045" s="5" t="s">
        <v>94</v>
      </c>
      <c r="AX1045" s="25" t="s">
        <v>79</v>
      </c>
      <c r="AY1045" s="25"/>
      <c r="AZ1045" s="5" t="s">
        <v>309</v>
      </c>
      <c r="BA1045" s="25"/>
      <c r="BB1045" s="25"/>
      <c r="BC1045" s="25"/>
      <c r="BD1045" s="25"/>
      <c r="BE1045" s="25"/>
      <c r="BF1045" s="25"/>
      <c r="BG1045" s="25"/>
      <c r="BH1045" s="25"/>
      <c r="BI1045" s="25"/>
      <c r="BJ1045" s="71" t="n">
        <f aca="false">IF(AI1045&lt;&gt;"", YEAR(AI1045), "")</f>
        <v>2025</v>
      </c>
      <c r="BK1045" s="25"/>
    </row>
    <row r="1046" customFormat="false" ht="15.75" hidden="false" customHeight="true" outlineLevel="0" collapsed="false">
      <c r="A1046" s="25" t="s">
        <v>5316</v>
      </c>
      <c r="B1046" s="25" t="s">
        <v>5317</v>
      </c>
      <c r="C1046" s="25" t="s">
        <v>5318</v>
      </c>
      <c r="D1046" s="68"/>
      <c r="E1046" s="25"/>
      <c r="F1046" s="25"/>
      <c r="G1046" s="25"/>
      <c r="H1046" s="25"/>
      <c r="I1046" s="25"/>
      <c r="J1046" s="72"/>
      <c r="K1046" s="72"/>
      <c r="L1046" s="25" t="s">
        <v>84</v>
      </c>
      <c r="M1046" s="25"/>
      <c r="N1046" s="74" t="s">
        <v>5319</v>
      </c>
      <c r="O1046" s="25"/>
      <c r="P1046" s="25"/>
      <c r="Q1046" s="25"/>
      <c r="R1046" s="25"/>
      <c r="S1046" s="25"/>
      <c r="T1046" s="25"/>
      <c r="U1046" s="25"/>
      <c r="V1046" s="25" t="s">
        <v>5320</v>
      </c>
      <c r="W1046" s="25" t="s">
        <v>5302</v>
      </c>
      <c r="X1046" s="25" t="s">
        <v>151</v>
      </c>
      <c r="Y1046" s="25" t="s">
        <v>73</v>
      </c>
      <c r="Z1046" s="25"/>
      <c r="AA1046" s="25"/>
      <c r="AB1046" s="25"/>
      <c r="AC1046" s="25"/>
      <c r="AD1046" s="25"/>
      <c r="AE1046" s="25"/>
      <c r="AF1046" s="25"/>
      <c r="AG1046" s="25"/>
      <c r="AH1046" s="25"/>
      <c r="AI1046" s="73" t="n">
        <v>45397</v>
      </c>
      <c r="AJ1046" s="71" t="e">
        <f aca="false">IF(OR(AI1046="", #REF!=""), "", IFERROR(DATEDIF(AI1046, #REF!, "M")+1, "N/A"))</f>
        <v>#REF!</v>
      </c>
      <c r="AK1046" s="25" t="s">
        <v>5003</v>
      </c>
      <c r="AL1046" s="25"/>
      <c r="AM1046" s="5" t="s">
        <v>153</v>
      </c>
      <c r="AN1046" s="25"/>
      <c r="AO1046" s="25"/>
      <c r="AP1046" s="25"/>
      <c r="AQ1046" s="25" t="s">
        <v>4924</v>
      </c>
      <c r="AR1046" s="25" t="s">
        <v>151</v>
      </c>
      <c r="AS1046" s="25" t="s">
        <v>73</v>
      </c>
      <c r="AT1046" s="25" t="s">
        <v>78</v>
      </c>
      <c r="AU1046" s="25" t="s">
        <v>259</v>
      </c>
      <c r="AV1046" s="25"/>
      <c r="AW1046" s="5" t="s">
        <v>94</v>
      </c>
      <c r="AX1046" s="25" t="s">
        <v>79</v>
      </c>
      <c r="AY1046" s="25"/>
      <c r="AZ1046" s="5" t="s">
        <v>129</v>
      </c>
      <c r="BA1046" s="25"/>
      <c r="BB1046" s="25"/>
      <c r="BC1046" s="25"/>
      <c r="BD1046" s="25"/>
      <c r="BE1046" s="25"/>
      <c r="BF1046" s="25"/>
      <c r="BG1046" s="25"/>
      <c r="BH1046" s="25"/>
      <c r="BI1046" s="25"/>
      <c r="BJ1046" s="71" t="n">
        <f aca="false">IF(AI1046&lt;&gt;"", YEAR(AI1046), "")</f>
        <v>2024</v>
      </c>
      <c r="BK1046" s="25"/>
    </row>
    <row r="1047" customFormat="false" ht="15.75" hidden="false" customHeight="true" outlineLevel="0" collapsed="false">
      <c r="A1047" s="25" t="s">
        <v>5321</v>
      </c>
      <c r="B1047" s="25" t="s">
        <v>5322</v>
      </c>
      <c r="C1047" s="25" t="s">
        <v>5323</v>
      </c>
      <c r="D1047" s="68"/>
      <c r="E1047" s="25"/>
      <c r="F1047" s="25"/>
      <c r="G1047" s="25"/>
      <c r="H1047" s="25"/>
      <c r="I1047" s="25"/>
      <c r="J1047" s="72"/>
      <c r="K1047" s="72"/>
      <c r="L1047" s="25" t="s">
        <v>84</v>
      </c>
      <c r="M1047" s="25"/>
      <c r="N1047" s="74" t="s">
        <v>5324</v>
      </c>
      <c r="O1047" s="25"/>
      <c r="P1047" s="25"/>
      <c r="Q1047" s="25"/>
      <c r="R1047" s="25"/>
      <c r="S1047" s="25"/>
      <c r="T1047" s="25"/>
      <c r="U1047" s="25"/>
      <c r="V1047" s="25" t="s">
        <v>911</v>
      </c>
      <c r="W1047" s="25" t="s">
        <v>5302</v>
      </c>
      <c r="X1047" s="25" t="s">
        <v>151</v>
      </c>
      <c r="Y1047" s="25" t="s">
        <v>73</v>
      </c>
      <c r="Z1047" s="25"/>
      <c r="AA1047" s="25"/>
      <c r="AB1047" s="25"/>
      <c r="AC1047" s="25"/>
      <c r="AD1047" s="25"/>
      <c r="AE1047" s="25"/>
      <c r="AF1047" s="25"/>
      <c r="AG1047" s="25"/>
      <c r="AH1047" s="25"/>
      <c r="AI1047" s="73" t="n">
        <v>45383</v>
      </c>
      <c r="AJ1047" s="71" t="e">
        <f aca="false">IF(OR(AI1047="", #REF!=""), "", IFERROR(DATEDIF(AI1047, #REF!, "M")+1, "N/A"))</f>
        <v>#REF!</v>
      </c>
      <c r="AK1047" s="25" t="s">
        <v>75</v>
      </c>
      <c r="AL1047" s="25"/>
      <c r="AM1047" s="5" t="s">
        <v>153</v>
      </c>
      <c r="AN1047" s="25"/>
      <c r="AO1047" s="25"/>
      <c r="AP1047" s="25"/>
      <c r="AQ1047" s="25" t="s">
        <v>4924</v>
      </c>
      <c r="AR1047" s="25" t="s">
        <v>151</v>
      </c>
      <c r="AS1047" s="25" t="s">
        <v>73</v>
      </c>
      <c r="AT1047" s="25" t="s">
        <v>78</v>
      </c>
      <c r="AU1047" s="25"/>
      <c r="AV1047" s="25"/>
      <c r="AW1047" s="5" t="s">
        <v>94</v>
      </c>
      <c r="AX1047" s="25" t="s">
        <v>79</v>
      </c>
      <c r="AY1047" s="25"/>
      <c r="AZ1047" s="5" t="s">
        <v>129</v>
      </c>
      <c r="BA1047" s="25"/>
      <c r="BB1047" s="25"/>
      <c r="BC1047" s="25"/>
      <c r="BD1047" s="25"/>
      <c r="BE1047" s="25"/>
      <c r="BF1047" s="25"/>
      <c r="BG1047" s="25"/>
      <c r="BH1047" s="25"/>
      <c r="BI1047" s="25"/>
      <c r="BJ1047" s="71" t="n">
        <f aca="false">IF(AI1047&lt;&gt;"", YEAR(AI1047), "")</f>
        <v>2024</v>
      </c>
      <c r="BK1047" s="25"/>
    </row>
    <row r="1048" customFormat="false" ht="15.75" hidden="false" customHeight="true" outlineLevel="0" collapsed="false">
      <c r="A1048" s="25" t="s">
        <v>5325</v>
      </c>
      <c r="B1048" s="25" t="s">
        <v>5326</v>
      </c>
      <c r="C1048" s="25" t="s">
        <v>5327</v>
      </c>
      <c r="D1048" s="68"/>
      <c r="E1048" s="25"/>
      <c r="F1048" s="25"/>
      <c r="G1048" s="25"/>
      <c r="H1048" s="25"/>
      <c r="I1048" s="25"/>
      <c r="J1048" s="72"/>
      <c r="K1048" s="72"/>
      <c r="L1048" s="25" t="s">
        <v>84</v>
      </c>
      <c r="M1048" s="25"/>
      <c r="N1048" s="74" t="s">
        <v>5328</v>
      </c>
      <c r="O1048" s="25"/>
      <c r="P1048" s="25"/>
      <c r="Q1048" s="25"/>
      <c r="R1048" s="25"/>
      <c r="S1048" s="25"/>
      <c r="T1048" s="25"/>
      <c r="U1048" s="25"/>
      <c r="V1048" s="25" t="s">
        <v>5329</v>
      </c>
      <c r="W1048" s="25" t="s">
        <v>5302</v>
      </c>
      <c r="X1048" s="25" t="s">
        <v>151</v>
      </c>
      <c r="Y1048" s="25" t="s">
        <v>73</v>
      </c>
      <c r="Z1048" s="25"/>
      <c r="AA1048" s="25"/>
      <c r="AB1048" s="25"/>
      <c r="AC1048" s="25"/>
      <c r="AD1048" s="25"/>
      <c r="AE1048" s="25"/>
      <c r="AF1048" s="25"/>
      <c r="AG1048" s="25"/>
      <c r="AH1048" s="25"/>
      <c r="AI1048" s="73" t="n">
        <v>45580</v>
      </c>
      <c r="AJ1048" s="71" t="e">
        <f aca="false">IF(OR(AI1048="", #REF!=""), "", IFERROR(DATEDIF(AI1048, #REF!, "M")+1, "N/A"))</f>
        <v>#REF!</v>
      </c>
      <c r="AK1048" s="25" t="s">
        <v>75</v>
      </c>
      <c r="AL1048" s="25"/>
      <c r="AM1048" s="5" t="s">
        <v>153</v>
      </c>
      <c r="AN1048" s="25"/>
      <c r="AO1048" s="25"/>
      <c r="AP1048" s="25"/>
      <c r="AQ1048" s="25" t="s">
        <v>4924</v>
      </c>
      <c r="AR1048" s="25" t="s">
        <v>151</v>
      </c>
      <c r="AS1048" s="25" t="s">
        <v>73</v>
      </c>
      <c r="AT1048" s="25" t="s">
        <v>78</v>
      </c>
      <c r="AU1048" s="25" t="s">
        <v>259</v>
      </c>
      <c r="AV1048" s="25"/>
      <c r="AW1048" s="5" t="s">
        <v>94</v>
      </c>
      <c r="AX1048" s="25" t="s">
        <v>79</v>
      </c>
      <c r="AY1048" s="25"/>
      <c r="AZ1048" s="5" t="s">
        <v>129</v>
      </c>
      <c r="BA1048" s="25"/>
      <c r="BB1048" s="25"/>
      <c r="BC1048" s="25"/>
      <c r="BD1048" s="25"/>
      <c r="BE1048" s="25"/>
      <c r="BF1048" s="25"/>
      <c r="BG1048" s="25"/>
      <c r="BH1048" s="25"/>
      <c r="BI1048" s="25"/>
      <c r="BJ1048" s="71" t="n">
        <f aca="false">IF(AI1048&lt;&gt;"", YEAR(AI1048), "")</f>
        <v>2024</v>
      </c>
      <c r="BK1048" s="25"/>
    </row>
    <row r="1049" customFormat="false" ht="15.75" hidden="false" customHeight="true" outlineLevel="0" collapsed="false">
      <c r="A1049" s="25" t="s">
        <v>5330</v>
      </c>
      <c r="B1049" s="25" t="s">
        <v>5331</v>
      </c>
      <c r="C1049" s="25" t="s">
        <v>5332</v>
      </c>
      <c r="D1049" s="68"/>
      <c r="E1049" s="25"/>
      <c r="F1049" s="25"/>
      <c r="G1049" s="25"/>
      <c r="H1049" s="25"/>
      <c r="I1049" s="25"/>
      <c r="J1049" s="72"/>
      <c r="K1049" s="72"/>
      <c r="L1049" s="25" t="s">
        <v>84</v>
      </c>
      <c r="M1049" s="25"/>
      <c r="N1049" s="74" t="s">
        <v>5333</v>
      </c>
      <c r="O1049" s="25"/>
      <c r="P1049" s="25"/>
      <c r="Q1049" s="25"/>
      <c r="R1049" s="25"/>
      <c r="S1049" s="25"/>
      <c r="T1049" s="25"/>
      <c r="U1049" s="25"/>
      <c r="V1049" s="25" t="s">
        <v>911</v>
      </c>
      <c r="W1049" s="25" t="s">
        <v>5302</v>
      </c>
      <c r="X1049" s="25" t="s">
        <v>151</v>
      </c>
      <c r="Y1049" s="25" t="s">
        <v>73</v>
      </c>
      <c r="Z1049" s="25"/>
      <c r="AA1049" s="25"/>
      <c r="AB1049" s="25"/>
      <c r="AC1049" s="25"/>
      <c r="AD1049" s="25"/>
      <c r="AE1049" s="25"/>
      <c r="AF1049" s="25"/>
      <c r="AG1049" s="25"/>
      <c r="AH1049" s="25"/>
      <c r="AI1049" s="73" t="n">
        <v>45214</v>
      </c>
      <c r="AJ1049" s="71" t="e">
        <f aca="false">IF(OR(AI1049="", #REF!=""), "", IFERROR(DATEDIF(AI1049, #REF!, "M")+1, "N/A"))</f>
        <v>#REF!</v>
      </c>
      <c r="AK1049" s="25" t="s">
        <v>75</v>
      </c>
      <c r="AL1049" s="25"/>
      <c r="AM1049" s="5" t="s">
        <v>153</v>
      </c>
      <c r="AN1049" s="25"/>
      <c r="AO1049" s="25"/>
      <c r="AP1049" s="25"/>
      <c r="AQ1049" s="25" t="s">
        <v>4924</v>
      </c>
      <c r="AR1049" s="25" t="s">
        <v>151</v>
      </c>
      <c r="AS1049" s="25" t="s">
        <v>73</v>
      </c>
      <c r="AT1049" s="25" t="s">
        <v>78</v>
      </c>
      <c r="AU1049" s="25"/>
      <c r="AV1049" s="25"/>
      <c r="AW1049" s="5" t="s">
        <v>94</v>
      </c>
      <c r="AX1049" s="25" t="s">
        <v>79</v>
      </c>
      <c r="AY1049" s="25"/>
      <c r="AZ1049" s="5" t="s">
        <v>129</v>
      </c>
      <c r="BA1049" s="25"/>
      <c r="BB1049" s="25"/>
      <c r="BC1049" s="25"/>
      <c r="BD1049" s="25"/>
      <c r="BE1049" s="25"/>
      <c r="BF1049" s="25"/>
      <c r="BG1049" s="25"/>
      <c r="BH1049" s="25"/>
      <c r="BI1049" s="25"/>
      <c r="BJ1049" s="71" t="n">
        <f aca="false">IF(AI1049&lt;&gt;"", YEAR(AI1049), "")</f>
        <v>2023</v>
      </c>
      <c r="BK1049" s="25"/>
    </row>
    <row r="1050" customFormat="false" ht="15.75" hidden="false" customHeight="true" outlineLevel="0" collapsed="false">
      <c r="A1050" s="25" t="s">
        <v>5334</v>
      </c>
      <c r="B1050" s="25" t="s">
        <v>5335</v>
      </c>
      <c r="C1050" s="25" t="s">
        <v>5336</v>
      </c>
      <c r="D1050" s="68"/>
      <c r="E1050" s="25"/>
      <c r="F1050" s="25"/>
      <c r="G1050" s="25"/>
      <c r="H1050" s="25"/>
      <c r="I1050" s="25"/>
      <c r="J1050" s="72"/>
      <c r="K1050" s="72"/>
      <c r="L1050" s="25" t="s">
        <v>84</v>
      </c>
      <c r="M1050" s="25"/>
      <c r="N1050" s="74" t="s">
        <v>5337</v>
      </c>
      <c r="O1050" s="25"/>
      <c r="P1050" s="25"/>
      <c r="Q1050" s="25"/>
      <c r="R1050" s="25"/>
      <c r="S1050" s="25"/>
      <c r="T1050" s="25"/>
      <c r="U1050" s="25"/>
      <c r="V1050" s="25" t="s">
        <v>911</v>
      </c>
      <c r="W1050" s="25" t="s">
        <v>5302</v>
      </c>
      <c r="X1050" s="25" t="s">
        <v>151</v>
      </c>
      <c r="Y1050" s="25" t="s">
        <v>73</v>
      </c>
      <c r="Z1050" s="25"/>
      <c r="AA1050" s="25"/>
      <c r="AB1050" s="25"/>
      <c r="AC1050" s="25"/>
      <c r="AD1050" s="25"/>
      <c r="AE1050" s="25"/>
      <c r="AF1050" s="25"/>
      <c r="AG1050" s="25"/>
      <c r="AH1050" s="25"/>
      <c r="AI1050" s="73" t="n">
        <v>45231</v>
      </c>
      <c r="AJ1050" s="71" t="e">
        <f aca="false">IF(OR(AI1050="", #REF!=""), "", IFERROR(DATEDIF(AI1050, #REF!, "M")+1, "N/A"))</f>
        <v>#REF!</v>
      </c>
      <c r="AK1050" s="25" t="s">
        <v>75</v>
      </c>
      <c r="AL1050" s="25"/>
      <c r="AM1050" s="5" t="s">
        <v>153</v>
      </c>
      <c r="AN1050" s="25"/>
      <c r="AO1050" s="25"/>
      <c r="AP1050" s="25"/>
      <c r="AQ1050" s="25" t="s">
        <v>4924</v>
      </c>
      <c r="AR1050" s="25" t="s">
        <v>151</v>
      </c>
      <c r="AS1050" s="25" t="s">
        <v>73</v>
      </c>
      <c r="AT1050" s="25" t="s">
        <v>105</v>
      </c>
      <c r="AU1050" s="25" t="s">
        <v>186</v>
      </c>
      <c r="AV1050" s="25"/>
      <c r="AW1050" s="5" t="s">
        <v>94</v>
      </c>
      <c r="AX1050" s="25" t="s">
        <v>375</v>
      </c>
      <c r="AY1050" s="25"/>
      <c r="AZ1050" s="5" t="s">
        <v>188</v>
      </c>
      <c r="BA1050" s="25"/>
      <c r="BB1050" s="25"/>
      <c r="BC1050" s="25"/>
      <c r="BD1050" s="25"/>
      <c r="BE1050" s="25"/>
      <c r="BF1050" s="25"/>
      <c r="BG1050" s="25"/>
      <c r="BH1050" s="25"/>
      <c r="BI1050" s="25"/>
      <c r="BJ1050" s="71" t="n">
        <f aca="false">IF(AI1050&lt;&gt;"", YEAR(AI1050), "")</f>
        <v>2023</v>
      </c>
      <c r="BK1050" s="25"/>
    </row>
    <row r="1051" customFormat="false" ht="15.75" hidden="false" customHeight="true" outlineLevel="0" collapsed="false">
      <c r="A1051" s="25" t="s">
        <v>5338</v>
      </c>
      <c r="B1051" s="25" t="s">
        <v>5339</v>
      </c>
      <c r="C1051" s="25"/>
      <c r="D1051" s="68"/>
      <c r="E1051" s="25" t="n">
        <v>1300000</v>
      </c>
      <c r="F1051" s="25"/>
      <c r="G1051" s="25" t="s">
        <v>147</v>
      </c>
      <c r="H1051" s="25"/>
      <c r="I1051" s="25"/>
      <c r="J1051" s="72" t="n">
        <v>1300000</v>
      </c>
      <c r="K1051" s="72" t="n">
        <v>1300000</v>
      </c>
      <c r="L1051" s="25" t="s">
        <v>84</v>
      </c>
      <c r="M1051" s="25"/>
      <c r="N1051" s="74" t="s">
        <v>5340</v>
      </c>
      <c r="O1051" s="25"/>
      <c r="P1051" s="25"/>
      <c r="Q1051" s="25"/>
      <c r="R1051" s="25"/>
      <c r="S1051" s="25"/>
      <c r="T1051" s="25"/>
      <c r="U1051" s="25"/>
      <c r="V1051" s="25" t="s">
        <v>5341</v>
      </c>
      <c r="W1051" s="25" t="s">
        <v>4933</v>
      </c>
      <c r="X1051" s="25" t="s">
        <v>72</v>
      </c>
      <c r="Y1051" s="25" t="s">
        <v>73</v>
      </c>
      <c r="Z1051" s="25"/>
      <c r="AA1051" s="25"/>
      <c r="AB1051" s="25"/>
      <c r="AC1051" s="25"/>
      <c r="AD1051" s="25"/>
      <c r="AE1051" s="25"/>
      <c r="AF1051" s="25"/>
      <c r="AG1051" s="25"/>
      <c r="AH1051" s="25"/>
      <c r="AI1051" s="25"/>
      <c r="AJ1051" s="70" t="e">
        <f aca="false">IF(OR(AI1051="", #REF!=""), "", IFERROR(DATEDIF(AI1051, #REF!, "M")+1, "N/A"))</f>
        <v>#REF!</v>
      </c>
      <c r="AK1051" s="25"/>
      <c r="AL1051" s="25"/>
      <c r="AM1051" s="25" t="s">
        <v>5342</v>
      </c>
      <c r="AN1051" s="25"/>
      <c r="AO1051" s="25"/>
      <c r="AP1051" s="25"/>
      <c r="AQ1051" s="25" t="s">
        <v>5022</v>
      </c>
      <c r="AR1051" s="25" t="s">
        <v>72</v>
      </c>
      <c r="AS1051" s="25" t="s">
        <v>73</v>
      </c>
      <c r="AT1051" s="25" t="s">
        <v>78</v>
      </c>
      <c r="AU1051" s="25" t="s">
        <v>259</v>
      </c>
      <c r="AV1051" s="25"/>
      <c r="AW1051" s="25" t="s">
        <v>94</v>
      </c>
      <c r="AX1051" s="25" t="s">
        <v>296</v>
      </c>
      <c r="AY1051" s="25" t="s">
        <v>297</v>
      </c>
      <c r="AZ1051" s="5" t="s">
        <v>188</v>
      </c>
      <c r="BA1051" s="25"/>
      <c r="BB1051" s="25"/>
      <c r="BC1051" s="25"/>
      <c r="BD1051" s="25"/>
      <c r="BE1051" s="25"/>
      <c r="BF1051" s="25"/>
      <c r="BG1051" s="25"/>
      <c r="BH1051" s="25"/>
      <c r="BI1051" s="25"/>
      <c r="BJ1051" s="71" t="n">
        <v>2024</v>
      </c>
      <c r="BK1051" s="25"/>
    </row>
    <row r="1052" customFormat="false" ht="15.75" hidden="false" customHeight="true" outlineLevel="0" collapsed="false">
      <c r="A1052" s="25" t="s">
        <v>5343</v>
      </c>
      <c r="B1052" s="25" t="s">
        <v>5344</v>
      </c>
      <c r="C1052" s="25"/>
      <c r="D1052" s="68"/>
      <c r="E1052" s="25" t="n">
        <v>36000000</v>
      </c>
      <c r="F1052" s="25" t="n">
        <v>21000000</v>
      </c>
      <c r="G1052" s="25" t="s">
        <v>147</v>
      </c>
      <c r="H1052" s="25"/>
      <c r="I1052" s="25"/>
      <c r="J1052" s="72" t="n">
        <v>36000000</v>
      </c>
      <c r="K1052" s="72" t="n">
        <v>21000000</v>
      </c>
      <c r="L1052" s="25" t="s">
        <v>84</v>
      </c>
      <c r="M1052" s="25"/>
      <c r="N1052" s="74" t="s">
        <v>5345</v>
      </c>
      <c r="O1052" s="25"/>
      <c r="P1052" s="25"/>
      <c r="Q1052" s="25"/>
      <c r="R1052" s="25"/>
      <c r="S1052" s="25"/>
      <c r="T1052" s="25"/>
      <c r="U1052" s="25"/>
      <c r="V1052" s="25" t="s">
        <v>279</v>
      </c>
      <c r="W1052" s="25" t="s">
        <v>4933</v>
      </c>
      <c r="X1052" s="25" t="s">
        <v>160</v>
      </c>
      <c r="Y1052" s="25" t="s">
        <v>73</v>
      </c>
      <c r="Z1052" s="25"/>
      <c r="AA1052" s="25"/>
      <c r="AB1052" s="25"/>
      <c r="AC1052" s="25"/>
      <c r="AD1052" s="25"/>
      <c r="AE1052" s="25"/>
      <c r="AF1052" s="25"/>
      <c r="AG1052" s="25"/>
      <c r="AH1052" s="25"/>
      <c r="AI1052" s="25"/>
      <c r="AJ1052" s="80" t="e">
        <f aca="false">IF(OR(AI1052="", #REF!=""), "", IFERROR(DATEDIF(AI1052, #REF!, "M")+1, "N/A"))</f>
        <v>#REF!</v>
      </c>
      <c r="AK1052" s="25"/>
      <c r="AL1052" s="25"/>
      <c r="AM1052" s="25" t="s">
        <v>161</v>
      </c>
      <c r="AN1052" s="25"/>
      <c r="AO1052" s="25"/>
      <c r="AP1052" s="25"/>
      <c r="AQ1052" s="25" t="s">
        <v>5346</v>
      </c>
      <c r="AR1052" s="25" t="s">
        <v>160</v>
      </c>
      <c r="AS1052" s="25" t="s">
        <v>73</v>
      </c>
      <c r="AT1052" s="25" t="s">
        <v>105</v>
      </c>
      <c r="AU1052" s="25" t="s">
        <v>186</v>
      </c>
      <c r="AV1052" s="25"/>
      <c r="AW1052" s="5" t="s">
        <v>162</v>
      </c>
      <c r="AX1052" s="28" t="s">
        <v>79</v>
      </c>
      <c r="AY1052" s="25"/>
      <c r="AZ1052" s="25"/>
      <c r="BA1052" s="25"/>
      <c r="BB1052" s="25"/>
      <c r="BC1052" s="25"/>
      <c r="BD1052" s="25"/>
      <c r="BE1052" s="25"/>
      <c r="BF1052" s="25"/>
      <c r="BG1052" s="25"/>
      <c r="BH1052" s="25"/>
      <c r="BI1052" s="25"/>
      <c r="BJ1052" s="25" t="n">
        <v>2024</v>
      </c>
      <c r="BK1052" s="25"/>
    </row>
    <row r="1053" customFormat="false" ht="15.75" hidden="false" customHeight="true" outlineLevel="0" collapsed="false">
      <c r="A1053" s="25" t="s">
        <v>5347</v>
      </c>
      <c r="B1053" s="25" t="s">
        <v>5348</v>
      </c>
      <c r="C1053" s="25"/>
      <c r="D1053" s="68"/>
      <c r="E1053" s="25" t="n">
        <v>134100000</v>
      </c>
      <c r="F1053" s="25"/>
      <c r="G1053" s="25" t="s">
        <v>147</v>
      </c>
      <c r="H1053" s="25"/>
      <c r="I1053" s="25"/>
      <c r="J1053" s="72" t="n">
        <v>44700000</v>
      </c>
      <c r="K1053" s="72" t="n">
        <v>44700000</v>
      </c>
      <c r="L1053" s="25" t="s">
        <v>84</v>
      </c>
      <c r="M1053" s="25"/>
      <c r="N1053" s="74" t="s">
        <v>5349</v>
      </c>
      <c r="O1053" s="25"/>
      <c r="P1053" s="25"/>
      <c r="Q1053" s="25"/>
      <c r="R1053" s="25" t="s">
        <v>5350</v>
      </c>
      <c r="S1053" s="25"/>
      <c r="T1053" s="25"/>
      <c r="U1053" s="25"/>
      <c r="V1053" s="25" t="s">
        <v>5164</v>
      </c>
      <c r="W1053" s="25" t="s">
        <v>90</v>
      </c>
      <c r="X1053" s="25" t="s">
        <v>72</v>
      </c>
      <c r="Y1053" s="25" t="s">
        <v>73</v>
      </c>
      <c r="Z1053" s="25"/>
      <c r="AA1053" s="25"/>
      <c r="AB1053" s="25"/>
      <c r="AC1053" s="25"/>
      <c r="AD1053" s="25"/>
      <c r="AE1053" s="25"/>
      <c r="AF1053" s="25"/>
      <c r="AG1053" s="25"/>
      <c r="AH1053" s="25"/>
      <c r="AI1053" s="25"/>
      <c r="AJ1053" s="70" t="e">
        <f aca="false">IF(OR(AI1053="", #REF!=""), "", IFERROR(DATEDIF(AI1053, #REF!, "M")+1, "N/A"))</f>
        <v>#REF!</v>
      </c>
      <c r="AK1053" s="25"/>
      <c r="AL1053" s="25"/>
      <c r="AM1053" s="25" t="s">
        <v>92</v>
      </c>
      <c r="AN1053" s="25"/>
      <c r="AO1053" s="25"/>
      <c r="AP1053" s="25"/>
      <c r="AQ1053" s="25" t="s">
        <v>5022</v>
      </c>
      <c r="AR1053" s="25" t="s">
        <v>72</v>
      </c>
      <c r="AS1053" s="25" t="s">
        <v>73</v>
      </c>
      <c r="AT1053" s="25" t="s">
        <v>105</v>
      </c>
      <c r="AU1053" s="25"/>
      <c r="AV1053" s="25"/>
      <c r="AW1053" s="25" t="s">
        <v>94</v>
      </c>
      <c r="AX1053" s="25" t="s">
        <v>79</v>
      </c>
      <c r="AY1053" s="25"/>
      <c r="AZ1053" s="5" t="s">
        <v>95</v>
      </c>
      <c r="BA1053" s="25"/>
      <c r="BB1053" s="25"/>
      <c r="BC1053" s="25"/>
      <c r="BD1053" s="25"/>
      <c r="BE1053" s="25"/>
      <c r="BF1053" s="25"/>
      <c r="BG1053" s="25"/>
      <c r="BH1053" s="25"/>
      <c r="BI1053" s="25"/>
      <c r="BJ1053" s="71" t="n">
        <v>2024</v>
      </c>
      <c r="BK1053" s="25"/>
    </row>
    <row r="1054" customFormat="false" ht="15.75" hidden="false" customHeight="true" outlineLevel="0" collapsed="false">
      <c r="A1054" s="25" t="s">
        <v>5351</v>
      </c>
      <c r="B1054" s="25"/>
      <c r="C1054" s="25"/>
      <c r="D1054" s="68"/>
      <c r="E1054" s="78"/>
      <c r="F1054" s="78"/>
      <c r="G1054" s="25" t="s">
        <v>132</v>
      </c>
      <c r="H1054" s="25"/>
      <c r="I1054" s="25"/>
      <c r="J1054" s="7" t="n">
        <f aca="false">E1054*1.19</f>
        <v>0</v>
      </c>
      <c r="K1054" s="7" t="n">
        <f aca="false">F1054*1.19</f>
        <v>0</v>
      </c>
      <c r="L1054" s="25" t="s">
        <v>84</v>
      </c>
      <c r="M1054" s="25"/>
      <c r="N1054" s="69" t="s">
        <v>5352</v>
      </c>
      <c r="O1054" s="25"/>
      <c r="P1054" s="25"/>
      <c r="Q1054" s="25"/>
      <c r="R1054" s="25"/>
      <c r="S1054" s="25"/>
      <c r="T1054" s="25"/>
      <c r="U1054" s="25"/>
      <c r="V1054" s="25"/>
      <c r="W1054" s="25"/>
      <c r="X1054" s="5" t="s">
        <v>139</v>
      </c>
      <c r="Y1054" s="25"/>
      <c r="Z1054" s="25"/>
      <c r="AA1054" s="25"/>
      <c r="AB1054" s="25"/>
      <c r="AC1054" s="25" t="s">
        <v>5353</v>
      </c>
      <c r="AD1054" s="25" t="s">
        <v>5354</v>
      </c>
      <c r="AE1054" s="25"/>
      <c r="AF1054" s="25"/>
      <c r="AG1054" s="25"/>
      <c r="AH1054" s="25"/>
      <c r="AI1054" s="25"/>
      <c r="AJ1054" s="70" t="e">
        <f aca="false">IF(OR(AI1054="", #REF!=""), "", IFERROR(DATEDIF(AI1054, #REF!, "M")+1, "N/A"))</f>
        <v>#REF!</v>
      </c>
      <c r="AK1054" s="25"/>
      <c r="AL1054" s="25"/>
      <c r="AM1054" s="5" t="s">
        <v>140</v>
      </c>
      <c r="AN1054" s="5" t="s">
        <v>699</v>
      </c>
      <c r="AO1054" s="25"/>
      <c r="AP1054" s="25"/>
      <c r="AQ1054" s="25" t="s">
        <v>4924</v>
      </c>
      <c r="AR1054" s="25" t="s">
        <v>143</v>
      </c>
      <c r="AS1054" s="25" t="s">
        <v>73</v>
      </c>
      <c r="AT1054" s="25" t="s">
        <v>78</v>
      </c>
      <c r="AU1054" s="25"/>
      <c r="AV1054" s="25"/>
      <c r="AW1054" s="5" t="s">
        <v>94</v>
      </c>
      <c r="AX1054" s="25" t="s">
        <v>296</v>
      </c>
      <c r="AY1054" s="25" t="s">
        <v>447</v>
      </c>
      <c r="AZ1054" s="5" t="s">
        <v>188</v>
      </c>
      <c r="BA1054" s="25"/>
      <c r="BB1054" s="25"/>
      <c r="BC1054" s="25"/>
      <c r="BD1054" s="25"/>
      <c r="BE1054" s="25"/>
      <c r="BF1054" s="25"/>
      <c r="BG1054" s="25"/>
      <c r="BH1054" s="25"/>
      <c r="BI1054" s="25"/>
      <c r="BJ1054" s="71" t="n">
        <v>2025</v>
      </c>
      <c r="BK1054" s="25"/>
    </row>
    <row r="1055" customFormat="false" ht="15.75" hidden="false" customHeight="true" outlineLevel="0" collapsed="false">
      <c r="A1055" s="25" t="s">
        <v>5355</v>
      </c>
      <c r="B1055" s="25"/>
      <c r="C1055" s="25"/>
      <c r="D1055" s="68"/>
      <c r="E1055" s="78"/>
      <c r="F1055" s="78"/>
      <c r="G1055" s="25" t="s">
        <v>132</v>
      </c>
      <c r="H1055" s="25"/>
      <c r="I1055" s="25"/>
      <c r="J1055" s="7" t="n">
        <f aca="false">E1055*1.19</f>
        <v>0</v>
      </c>
      <c r="K1055" s="7" t="n">
        <f aca="false">F1055*1.19</f>
        <v>0</v>
      </c>
      <c r="L1055" s="25" t="s">
        <v>84</v>
      </c>
      <c r="M1055" s="25"/>
      <c r="N1055" s="69" t="s">
        <v>5352</v>
      </c>
      <c r="O1055" s="25"/>
      <c r="P1055" s="25"/>
      <c r="Q1055" s="25"/>
      <c r="R1055" s="25"/>
      <c r="S1055" s="25"/>
      <c r="T1055" s="25"/>
      <c r="U1055" s="25"/>
      <c r="V1055" s="25"/>
      <c r="W1055" s="25"/>
      <c r="X1055" s="5" t="s">
        <v>139</v>
      </c>
      <c r="Y1055" s="25"/>
      <c r="Z1055" s="25"/>
      <c r="AA1055" s="25"/>
      <c r="AB1055" s="25"/>
      <c r="AC1055" s="25"/>
      <c r="AD1055" s="25" t="s">
        <v>5356</v>
      </c>
      <c r="AE1055" s="25"/>
      <c r="AF1055" s="25"/>
      <c r="AG1055" s="25"/>
      <c r="AH1055" s="25"/>
      <c r="AI1055" s="25"/>
      <c r="AJ1055" s="70" t="e">
        <f aca="false">IF(OR(AI1055="", #REF!=""), "", IFERROR(DATEDIF(AI1055, #REF!, "M")+1, "N/A"))</f>
        <v>#REF!</v>
      </c>
      <c r="AK1055" s="25"/>
      <c r="AL1055" s="25"/>
      <c r="AM1055" s="5" t="s">
        <v>140</v>
      </c>
      <c r="AN1055" s="5" t="s">
        <v>699</v>
      </c>
      <c r="AO1055" s="25"/>
      <c r="AP1055" s="25"/>
      <c r="AQ1055" s="25" t="s">
        <v>4924</v>
      </c>
      <c r="AR1055" s="25" t="s">
        <v>143</v>
      </c>
      <c r="AS1055" s="25" t="s">
        <v>73</v>
      </c>
      <c r="AT1055" s="25" t="s">
        <v>105</v>
      </c>
      <c r="AU1055" s="25" t="s">
        <v>186</v>
      </c>
      <c r="AV1055" s="25"/>
      <c r="AW1055" s="5" t="s">
        <v>94</v>
      </c>
      <c r="AX1055" s="25" t="s">
        <v>79</v>
      </c>
      <c r="AY1055" s="25"/>
      <c r="AZ1055" s="5" t="s">
        <v>129</v>
      </c>
      <c r="BA1055" s="25"/>
      <c r="BB1055" s="25"/>
      <c r="BC1055" s="25"/>
      <c r="BD1055" s="25"/>
      <c r="BE1055" s="25"/>
      <c r="BF1055" s="25"/>
      <c r="BG1055" s="25"/>
      <c r="BH1055" s="25"/>
      <c r="BI1055" s="25"/>
      <c r="BJ1055" s="71" t="n">
        <v>2025</v>
      </c>
      <c r="BK1055" s="25"/>
    </row>
    <row r="1056" customFormat="false" ht="15.75" hidden="false" customHeight="true" outlineLevel="0" collapsed="false">
      <c r="A1056" s="25" t="s">
        <v>5357</v>
      </c>
      <c r="B1056" s="25" t="s">
        <v>5358</v>
      </c>
      <c r="C1056" s="25"/>
      <c r="D1056" s="68"/>
      <c r="E1056" s="25"/>
      <c r="F1056" s="25"/>
      <c r="G1056" s="25"/>
      <c r="H1056" s="25"/>
      <c r="I1056" s="25"/>
      <c r="J1056" s="72"/>
      <c r="K1056" s="72"/>
      <c r="L1056" s="25" t="s">
        <v>84</v>
      </c>
      <c r="M1056" s="25"/>
      <c r="N1056" s="69" t="s">
        <v>5359</v>
      </c>
      <c r="O1056" s="25"/>
      <c r="P1056" s="25"/>
      <c r="Q1056" s="25"/>
      <c r="R1056" s="25"/>
      <c r="S1056" s="25"/>
      <c r="T1056" s="25" t="s">
        <v>5360</v>
      </c>
      <c r="U1056" s="25"/>
      <c r="V1056" s="25" t="s">
        <v>5361</v>
      </c>
      <c r="W1056" s="25" t="s">
        <v>90</v>
      </c>
      <c r="X1056" s="25" t="s">
        <v>72</v>
      </c>
      <c r="Y1056" s="25" t="s">
        <v>73</v>
      </c>
      <c r="Z1056" s="25"/>
      <c r="AA1056" s="25"/>
      <c r="AB1056" s="25"/>
      <c r="AC1056" s="25"/>
      <c r="AD1056" s="25" t="s">
        <v>5362</v>
      </c>
      <c r="AE1056" s="25"/>
      <c r="AF1056" s="25"/>
      <c r="AG1056" s="25"/>
      <c r="AH1056" s="25"/>
      <c r="AI1056" s="73" t="n">
        <v>45323</v>
      </c>
      <c r="AJ1056" s="71" t="n">
        <v>36</v>
      </c>
      <c r="AK1056" s="25" t="s">
        <v>75</v>
      </c>
      <c r="AL1056" s="25"/>
      <c r="AM1056" s="25" t="s">
        <v>5166</v>
      </c>
      <c r="AN1056" s="25" t="s">
        <v>280</v>
      </c>
      <c r="AO1056" s="25"/>
      <c r="AP1056" s="25"/>
      <c r="AQ1056" s="25" t="s">
        <v>4924</v>
      </c>
      <c r="AR1056" s="25" t="s">
        <v>5167</v>
      </c>
      <c r="AS1056" s="25" t="s">
        <v>73</v>
      </c>
      <c r="AT1056" s="25" t="s">
        <v>78</v>
      </c>
      <c r="AU1056" s="25" t="s">
        <v>259</v>
      </c>
      <c r="AV1056" s="25"/>
      <c r="AW1056" s="5" t="s">
        <v>94</v>
      </c>
      <c r="AX1056" s="25" t="s">
        <v>375</v>
      </c>
      <c r="AY1056" s="25"/>
      <c r="AZ1056" s="5" t="s">
        <v>129</v>
      </c>
      <c r="BA1056" s="25"/>
      <c r="BB1056" s="25"/>
      <c r="BC1056" s="25"/>
      <c r="BD1056" s="25"/>
      <c r="BE1056" s="25"/>
      <c r="BF1056" s="25"/>
      <c r="BG1056" s="25"/>
      <c r="BH1056" s="25"/>
      <c r="BI1056" s="25"/>
      <c r="BJ1056" s="71" t="n">
        <f aca="false">IF(AI1056&lt;&gt;"", YEAR(AI1056), "")</f>
        <v>2024</v>
      </c>
      <c r="BK1056" s="25"/>
    </row>
    <row r="1057" customFormat="false" ht="15.75" hidden="false" customHeight="true" outlineLevel="0" collapsed="false">
      <c r="A1057" s="25" t="s">
        <v>5363</v>
      </c>
      <c r="B1057" s="25"/>
      <c r="C1057" s="25"/>
      <c r="D1057" s="68"/>
      <c r="E1057" s="25" t="n">
        <v>50000000</v>
      </c>
      <c r="F1057" s="25" t="n">
        <v>50000000</v>
      </c>
      <c r="G1057" s="25" t="s">
        <v>63</v>
      </c>
      <c r="H1057" s="25"/>
      <c r="I1057" s="25"/>
      <c r="J1057" s="7" t="n">
        <f aca="false">E1057*0.13</f>
        <v>6500000</v>
      </c>
      <c r="K1057" s="7" t="n">
        <f aca="false">F1057*0.13</f>
        <v>6500000</v>
      </c>
      <c r="L1057" s="25" t="s">
        <v>84</v>
      </c>
      <c r="M1057" s="25"/>
      <c r="N1057" s="74" t="s">
        <v>5364</v>
      </c>
      <c r="O1057" s="25"/>
      <c r="P1057" s="25"/>
      <c r="Q1057" s="25"/>
      <c r="R1057" s="25"/>
      <c r="S1057" s="25"/>
      <c r="T1057" s="25" t="s">
        <v>5365</v>
      </c>
      <c r="U1057" s="25" t="s">
        <v>5366</v>
      </c>
      <c r="V1057" s="25" t="s">
        <v>5361</v>
      </c>
      <c r="W1057" s="25" t="s">
        <v>90</v>
      </c>
      <c r="X1057" s="25" t="s">
        <v>72</v>
      </c>
      <c r="Y1057" s="25" t="s">
        <v>73</v>
      </c>
      <c r="Z1057" s="25"/>
      <c r="AA1057" s="25"/>
      <c r="AB1057" s="25"/>
      <c r="AC1057" s="25"/>
      <c r="AD1057" s="25"/>
      <c r="AE1057" s="25"/>
      <c r="AF1057" s="25"/>
      <c r="AG1057" s="25"/>
      <c r="AH1057" s="25"/>
      <c r="AI1057" s="25"/>
      <c r="AJ1057" s="70" t="e">
        <f aca="false">IF(OR(AI1057="", #REF!=""), "", IFERROR(DATEDIF(AI1057, #REF!, "M")+1, "N/A"))</f>
        <v>#REF!</v>
      </c>
      <c r="AK1057" s="25"/>
      <c r="AL1057" s="25"/>
      <c r="AM1057" s="25" t="s">
        <v>92</v>
      </c>
      <c r="AN1057" s="25"/>
      <c r="AO1057" s="25"/>
      <c r="AP1057" s="25"/>
      <c r="AQ1057" s="25" t="s">
        <v>5022</v>
      </c>
      <c r="AR1057" s="25" t="s">
        <v>72</v>
      </c>
      <c r="AS1057" s="25" t="s">
        <v>73</v>
      </c>
      <c r="AT1057" s="25" t="s">
        <v>78</v>
      </c>
      <c r="AU1057" s="25" t="s">
        <v>259</v>
      </c>
      <c r="AV1057" s="25"/>
      <c r="AW1057" s="25" t="s">
        <v>94</v>
      </c>
      <c r="AX1057" s="25" t="s">
        <v>375</v>
      </c>
      <c r="AY1057" s="25"/>
      <c r="AZ1057" s="5" t="s">
        <v>129</v>
      </c>
      <c r="BA1057" s="25"/>
      <c r="BB1057" s="25"/>
      <c r="BC1057" s="25"/>
      <c r="BD1057" s="25"/>
      <c r="BE1057" s="25"/>
      <c r="BF1057" s="25"/>
      <c r="BG1057" s="25"/>
      <c r="BH1057" s="25"/>
      <c r="BI1057" s="25"/>
      <c r="BJ1057" s="71" t="n">
        <v>2025</v>
      </c>
      <c r="BK1057" s="25"/>
    </row>
    <row r="1058" customFormat="false" ht="15.75" hidden="false" customHeight="true" outlineLevel="0" collapsed="false">
      <c r="A1058" s="25" t="s">
        <v>5367</v>
      </c>
      <c r="B1058" s="25"/>
      <c r="C1058" s="25"/>
      <c r="D1058" s="68"/>
      <c r="E1058" s="25" t="n">
        <v>250000</v>
      </c>
      <c r="F1058" s="25" t="n">
        <v>250000</v>
      </c>
      <c r="G1058" s="25" t="s">
        <v>147</v>
      </c>
      <c r="H1058" s="25"/>
      <c r="I1058" s="25"/>
      <c r="J1058" s="72" t="n">
        <v>250000</v>
      </c>
      <c r="K1058" s="72" t="n">
        <v>250000</v>
      </c>
      <c r="L1058" s="25" t="s">
        <v>84</v>
      </c>
      <c r="M1058" s="25"/>
      <c r="N1058" s="25"/>
      <c r="O1058" s="25"/>
      <c r="P1058" s="25"/>
      <c r="Q1058" s="25"/>
      <c r="R1058" s="25"/>
      <c r="S1058" s="25"/>
      <c r="T1058" s="25" t="s">
        <v>5368</v>
      </c>
      <c r="U1058" s="25" t="s">
        <v>5369</v>
      </c>
      <c r="V1058" s="25" t="s">
        <v>5370</v>
      </c>
      <c r="W1058" s="25" t="s">
        <v>90</v>
      </c>
      <c r="X1058" s="25" t="s">
        <v>568</v>
      </c>
      <c r="Y1058" s="25" t="s">
        <v>73</v>
      </c>
      <c r="Z1058" s="25"/>
      <c r="AA1058" s="25"/>
      <c r="AB1058" s="25"/>
      <c r="AC1058" s="25"/>
      <c r="AD1058" s="25" t="s">
        <v>5371</v>
      </c>
      <c r="AE1058" s="25"/>
      <c r="AF1058" s="25"/>
      <c r="AG1058" s="25"/>
      <c r="AH1058" s="25"/>
      <c r="AI1058" s="25"/>
      <c r="AJ1058" s="71" t="n">
        <v>36</v>
      </c>
      <c r="AK1058" s="25"/>
      <c r="AL1058" s="25"/>
      <c r="AM1058" s="10" t="s">
        <v>1523</v>
      </c>
      <c r="AN1058" s="25"/>
      <c r="AO1058" s="25"/>
      <c r="AP1058" s="25"/>
      <c r="AQ1058" s="5" t="s">
        <v>77</v>
      </c>
      <c r="AR1058" s="25" t="s">
        <v>568</v>
      </c>
      <c r="AS1058" s="5" t="s">
        <v>73</v>
      </c>
      <c r="AT1058" s="5" t="s">
        <v>374</v>
      </c>
      <c r="AU1058" s="25"/>
      <c r="AV1058" s="25"/>
      <c r="AW1058" s="5" t="s">
        <v>94</v>
      </c>
      <c r="AX1058" s="25" t="s">
        <v>218</v>
      </c>
      <c r="AY1058" s="25"/>
      <c r="AZ1058" s="5" t="s">
        <v>121</v>
      </c>
      <c r="BA1058" s="25"/>
      <c r="BB1058" s="25"/>
      <c r="BC1058" s="25"/>
      <c r="BD1058" s="25"/>
      <c r="BE1058" s="25"/>
      <c r="BF1058" s="25"/>
      <c r="BG1058" s="25"/>
      <c r="BH1058" s="25"/>
      <c r="BI1058" s="25"/>
      <c r="BJ1058" s="71" t="n">
        <v>2025</v>
      </c>
      <c r="BK1058" s="25"/>
    </row>
    <row r="1059" customFormat="false" ht="15.75" hidden="false" customHeight="true" outlineLevel="0" collapsed="false">
      <c r="A1059" s="25" t="s">
        <v>5372</v>
      </c>
      <c r="B1059" s="25"/>
      <c r="C1059" s="25"/>
      <c r="D1059" s="68"/>
      <c r="E1059" s="25" t="n">
        <v>250000</v>
      </c>
      <c r="F1059" s="25" t="n">
        <v>250000</v>
      </c>
      <c r="G1059" s="25" t="s">
        <v>147</v>
      </c>
      <c r="H1059" s="25"/>
      <c r="I1059" s="25"/>
      <c r="J1059" s="72" t="n">
        <v>250000</v>
      </c>
      <c r="K1059" s="72" t="n">
        <v>250000</v>
      </c>
      <c r="L1059" s="25" t="s">
        <v>84</v>
      </c>
      <c r="M1059" s="25"/>
      <c r="N1059" s="25"/>
      <c r="O1059" s="25"/>
      <c r="P1059" s="25"/>
      <c r="Q1059" s="25"/>
      <c r="R1059" s="25"/>
      <c r="S1059" s="25"/>
      <c r="T1059" s="25" t="s">
        <v>5373</v>
      </c>
      <c r="U1059" s="25" t="s">
        <v>5369</v>
      </c>
      <c r="V1059" s="25" t="s">
        <v>5370</v>
      </c>
      <c r="W1059" s="25" t="s">
        <v>90</v>
      </c>
      <c r="X1059" s="25" t="s">
        <v>568</v>
      </c>
      <c r="Y1059" s="25" t="s">
        <v>73</v>
      </c>
      <c r="Z1059" s="25"/>
      <c r="AA1059" s="25"/>
      <c r="AB1059" s="25"/>
      <c r="AC1059" s="25"/>
      <c r="AD1059" s="25" t="s">
        <v>5374</v>
      </c>
      <c r="AE1059" s="25"/>
      <c r="AF1059" s="25"/>
      <c r="AG1059" s="25"/>
      <c r="AH1059" s="25"/>
      <c r="AI1059" s="73" t="n">
        <v>44986</v>
      </c>
      <c r="AJ1059" s="71" t="e">
        <f aca="false">IF(OR(AI1059="", #REF!=""), "", IFERROR(DATEDIF(AI1059, #REF!, "M")+1, "N/A"))</f>
        <v>#REF!</v>
      </c>
      <c r="AK1059" s="25" t="s">
        <v>75</v>
      </c>
      <c r="AL1059" s="25"/>
      <c r="AM1059" s="10" t="s">
        <v>1523</v>
      </c>
      <c r="AN1059" s="25"/>
      <c r="AO1059" s="25"/>
      <c r="AP1059" s="25"/>
      <c r="AQ1059" s="5" t="s">
        <v>77</v>
      </c>
      <c r="AR1059" s="25" t="s">
        <v>568</v>
      </c>
      <c r="AS1059" s="5" t="s">
        <v>73</v>
      </c>
      <c r="AT1059" s="5" t="s">
        <v>374</v>
      </c>
      <c r="AU1059" s="25"/>
      <c r="AV1059" s="25"/>
      <c r="AW1059" s="5" t="s">
        <v>94</v>
      </c>
      <c r="AX1059" s="25" t="s">
        <v>218</v>
      </c>
      <c r="AY1059" s="25"/>
      <c r="AZ1059" s="5" t="s">
        <v>121</v>
      </c>
      <c r="BA1059" s="25"/>
      <c r="BB1059" s="25"/>
      <c r="BC1059" s="25"/>
      <c r="BD1059" s="25"/>
      <c r="BE1059" s="25"/>
      <c r="BF1059" s="25"/>
      <c r="BG1059" s="25"/>
      <c r="BH1059" s="25"/>
      <c r="BI1059" s="25"/>
      <c r="BJ1059" s="71" t="n">
        <f aca="false">IF(AI1059&lt;&gt;"", YEAR(AI1059), "")</f>
        <v>2023</v>
      </c>
      <c r="BK1059" s="25"/>
    </row>
    <row r="1060" customFormat="false" ht="15.75" hidden="false" customHeight="true" outlineLevel="0" collapsed="false">
      <c r="A1060" s="25" t="s">
        <v>5375</v>
      </c>
      <c r="B1060" s="25"/>
      <c r="C1060" s="25"/>
      <c r="D1060" s="68"/>
      <c r="E1060" s="25" t="n">
        <v>82000</v>
      </c>
      <c r="F1060" s="25" t="n">
        <v>82000</v>
      </c>
      <c r="G1060" s="25" t="s">
        <v>147</v>
      </c>
      <c r="H1060" s="25"/>
      <c r="I1060" s="25"/>
      <c r="J1060" s="72" t="n">
        <v>82000</v>
      </c>
      <c r="K1060" s="72" t="n">
        <v>82000</v>
      </c>
      <c r="L1060" s="25" t="s">
        <v>84</v>
      </c>
      <c r="M1060" s="25"/>
      <c r="N1060" s="25"/>
      <c r="O1060" s="25"/>
      <c r="P1060" s="25"/>
      <c r="Q1060" s="25"/>
      <c r="R1060" s="25"/>
      <c r="S1060" s="25"/>
      <c r="T1060" s="25" t="s">
        <v>5376</v>
      </c>
      <c r="U1060" s="25" t="s">
        <v>5369</v>
      </c>
      <c r="V1060" s="25" t="s">
        <v>5370</v>
      </c>
      <c r="W1060" s="25" t="s">
        <v>90</v>
      </c>
      <c r="X1060" s="25" t="s">
        <v>568</v>
      </c>
      <c r="Y1060" s="25" t="s">
        <v>73</v>
      </c>
      <c r="Z1060" s="25"/>
      <c r="AA1060" s="25"/>
      <c r="AB1060" s="25"/>
      <c r="AC1060" s="25" t="s">
        <v>5377</v>
      </c>
      <c r="AD1060" s="25" t="s">
        <v>5378</v>
      </c>
      <c r="AE1060" s="25"/>
      <c r="AF1060" s="25"/>
      <c r="AG1060" s="25"/>
      <c r="AH1060" s="25"/>
      <c r="AI1060" s="73" t="n">
        <v>45566</v>
      </c>
      <c r="AJ1060" s="71" t="e">
        <f aca="false">IF(OR(AI1060="", #REF!=""), "", IFERROR(DATEDIF(AI1060, #REF!, "M")+1, "N/A"))</f>
        <v>#REF!</v>
      </c>
      <c r="AK1060" s="25" t="s">
        <v>75</v>
      </c>
      <c r="AL1060" s="25"/>
      <c r="AM1060" s="10" t="s">
        <v>1523</v>
      </c>
      <c r="AN1060" s="25"/>
      <c r="AO1060" s="25"/>
      <c r="AP1060" s="25"/>
      <c r="AQ1060" s="5" t="s">
        <v>77</v>
      </c>
      <c r="AR1060" s="25" t="s">
        <v>568</v>
      </c>
      <c r="AS1060" s="5" t="s">
        <v>73</v>
      </c>
      <c r="AT1060" s="5" t="s">
        <v>374</v>
      </c>
      <c r="AU1060" s="25"/>
      <c r="AV1060" s="25"/>
      <c r="AW1060" s="5" t="s">
        <v>94</v>
      </c>
      <c r="AX1060" s="25" t="s">
        <v>375</v>
      </c>
      <c r="AY1060" s="25"/>
      <c r="AZ1060" s="5" t="s">
        <v>121</v>
      </c>
      <c r="BA1060" s="25"/>
      <c r="BB1060" s="25"/>
      <c r="BC1060" s="25"/>
      <c r="BD1060" s="25"/>
      <c r="BE1060" s="25"/>
      <c r="BF1060" s="25"/>
      <c r="BG1060" s="25"/>
      <c r="BH1060" s="25"/>
      <c r="BI1060" s="25"/>
      <c r="BJ1060" s="71" t="n">
        <f aca="false">IF(AI1060&lt;&gt;"", YEAR(AI1060), "")</f>
        <v>2024</v>
      </c>
      <c r="BK1060" s="25"/>
    </row>
    <row r="1061" customFormat="false" ht="15.75" hidden="false" customHeight="true" outlineLevel="0" collapsed="false">
      <c r="A1061" s="25" t="s">
        <v>5379</v>
      </c>
      <c r="B1061" s="25"/>
      <c r="C1061" s="25"/>
      <c r="D1061" s="68"/>
      <c r="E1061" s="25" t="n">
        <v>82000</v>
      </c>
      <c r="F1061" s="25" t="n">
        <v>82000</v>
      </c>
      <c r="G1061" s="25" t="s">
        <v>147</v>
      </c>
      <c r="H1061" s="25"/>
      <c r="I1061" s="25"/>
      <c r="J1061" s="72" t="n">
        <v>82000</v>
      </c>
      <c r="K1061" s="72" t="n">
        <v>82000</v>
      </c>
      <c r="L1061" s="25" t="s">
        <v>84</v>
      </c>
      <c r="M1061" s="25"/>
      <c r="N1061" s="25"/>
      <c r="O1061" s="25"/>
      <c r="P1061" s="25"/>
      <c r="Q1061" s="25"/>
      <c r="R1061" s="25"/>
      <c r="S1061" s="25"/>
      <c r="T1061" s="25" t="s">
        <v>5380</v>
      </c>
      <c r="U1061" s="25" t="s">
        <v>5369</v>
      </c>
      <c r="V1061" s="25" t="s">
        <v>5370</v>
      </c>
      <c r="W1061" s="25" t="s">
        <v>90</v>
      </c>
      <c r="X1061" s="25" t="s">
        <v>568</v>
      </c>
      <c r="Y1061" s="25" t="s">
        <v>73</v>
      </c>
      <c r="Z1061" s="25"/>
      <c r="AA1061" s="25"/>
      <c r="AB1061" s="25"/>
      <c r="AC1061" s="25" t="s">
        <v>5381</v>
      </c>
      <c r="AD1061" s="25" t="s">
        <v>5382</v>
      </c>
      <c r="AE1061" s="25"/>
      <c r="AF1061" s="25"/>
      <c r="AG1061" s="25"/>
      <c r="AH1061" s="25"/>
      <c r="AI1061" s="73" t="n">
        <v>45536</v>
      </c>
      <c r="AJ1061" s="71" t="e">
        <f aca="false">IF(OR(AI1061="", #REF!=""), "", IFERROR(DATEDIF(AI1061, #REF!, "M")+1, "N/A"))</f>
        <v>#REF!</v>
      </c>
      <c r="AK1061" s="25" t="s">
        <v>75</v>
      </c>
      <c r="AL1061" s="25"/>
      <c r="AM1061" s="10" t="s">
        <v>1523</v>
      </c>
      <c r="AN1061" s="25"/>
      <c r="AO1061" s="25"/>
      <c r="AP1061" s="25"/>
      <c r="AQ1061" s="5" t="s">
        <v>77</v>
      </c>
      <c r="AR1061" s="25" t="s">
        <v>568</v>
      </c>
      <c r="AS1061" s="5" t="s">
        <v>73</v>
      </c>
      <c r="AT1061" s="5" t="s">
        <v>374</v>
      </c>
      <c r="AU1061" s="25"/>
      <c r="AV1061" s="25"/>
      <c r="AW1061" s="5" t="s">
        <v>94</v>
      </c>
      <c r="AX1061" s="25" t="s">
        <v>375</v>
      </c>
      <c r="AY1061" s="25"/>
      <c r="AZ1061" s="5" t="s">
        <v>239</v>
      </c>
      <c r="BA1061" s="25"/>
      <c r="BB1061" s="25"/>
      <c r="BC1061" s="25"/>
      <c r="BD1061" s="25"/>
      <c r="BE1061" s="25"/>
      <c r="BF1061" s="25"/>
      <c r="BG1061" s="25"/>
      <c r="BH1061" s="25"/>
      <c r="BI1061" s="25"/>
      <c r="BJ1061" s="71" t="n">
        <f aca="false">IF(AI1061&lt;&gt;"", YEAR(AI1061), "")</f>
        <v>2024</v>
      </c>
      <c r="BK1061" s="25"/>
    </row>
    <row r="1062" customFormat="false" ht="15.75" hidden="false" customHeight="true" outlineLevel="0" collapsed="false">
      <c r="A1062" s="25" t="s">
        <v>5383</v>
      </c>
      <c r="B1062" s="25" t="s">
        <v>5384</v>
      </c>
      <c r="C1062" s="25"/>
      <c r="D1062" s="68"/>
      <c r="E1062" s="25"/>
      <c r="F1062" s="25"/>
      <c r="G1062" s="25" t="s">
        <v>132</v>
      </c>
      <c r="H1062" s="25"/>
      <c r="I1062" s="25"/>
      <c r="J1062" s="72"/>
      <c r="K1062" s="72"/>
      <c r="L1062" s="25" t="s">
        <v>84</v>
      </c>
      <c r="M1062" s="25"/>
      <c r="N1062" s="69" t="s">
        <v>5385</v>
      </c>
      <c r="O1062" s="25"/>
      <c r="P1062" s="25"/>
      <c r="Q1062" s="25"/>
      <c r="R1062" s="25"/>
      <c r="S1062" s="25"/>
      <c r="T1062" s="25"/>
      <c r="U1062" s="25"/>
      <c r="V1062" s="25" t="s">
        <v>5386</v>
      </c>
      <c r="W1062" s="25" t="s">
        <v>4933</v>
      </c>
      <c r="X1062" s="5" t="s">
        <v>139</v>
      </c>
      <c r="Y1062" s="25" t="s">
        <v>73</v>
      </c>
      <c r="Z1062" s="25"/>
      <c r="AA1062" s="25"/>
      <c r="AB1062" s="25"/>
      <c r="AC1062" s="25"/>
      <c r="AD1062" s="25" t="s">
        <v>5387</v>
      </c>
      <c r="AE1062" s="25"/>
      <c r="AF1062" s="25"/>
      <c r="AG1062" s="25"/>
      <c r="AH1062" s="25"/>
      <c r="AI1062" s="25"/>
      <c r="AJ1062" s="70" t="e">
        <f aca="false">IF(OR(AI1062="", #REF!=""), "", IFERROR(DATEDIF(AI1062, #REF!, "M")+1, "N/A"))</f>
        <v>#REF!</v>
      </c>
      <c r="AK1062" s="25"/>
      <c r="AL1062" s="25"/>
      <c r="AM1062" s="5" t="s">
        <v>140</v>
      </c>
      <c r="AN1062" s="5" t="s">
        <v>699</v>
      </c>
      <c r="AO1062" s="25"/>
      <c r="AP1062" s="25"/>
      <c r="AQ1062" s="25" t="s">
        <v>4924</v>
      </c>
      <c r="AR1062" s="25" t="s">
        <v>143</v>
      </c>
      <c r="AS1062" s="25" t="s">
        <v>73</v>
      </c>
      <c r="AT1062" s="25" t="s">
        <v>374</v>
      </c>
      <c r="AU1062" s="25"/>
      <c r="AV1062" s="25"/>
      <c r="AW1062" s="5" t="s">
        <v>94</v>
      </c>
      <c r="AX1062" s="25" t="s">
        <v>375</v>
      </c>
      <c r="AY1062" s="25"/>
      <c r="AZ1062" s="5" t="s">
        <v>639</v>
      </c>
      <c r="BA1062" s="25"/>
      <c r="BB1062" s="25"/>
      <c r="BC1062" s="25"/>
      <c r="BD1062" s="25"/>
      <c r="BE1062" s="25"/>
      <c r="BF1062" s="25"/>
      <c r="BG1062" s="25"/>
      <c r="BH1062" s="25"/>
      <c r="BI1062" s="25"/>
      <c r="BJ1062" s="71" t="n">
        <v>2023</v>
      </c>
      <c r="BK1062" s="25"/>
    </row>
    <row r="1063" customFormat="false" ht="15.75" hidden="false" customHeight="true" outlineLevel="0" collapsed="false">
      <c r="A1063" s="25" t="s">
        <v>5388</v>
      </c>
      <c r="B1063" s="25"/>
      <c r="C1063" s="25"/>
      <c r="D1063" s="68"/>
      <c r="E1063" s="16"/>
      <c r="F1063" s="16"/>
      <c r="G1063" s="25" t="s">
        <v>132</v>
      </c>
      <c r="H1063" s="25"/>
      <c r="I1063" s="25"/>
      <c r="J1063" s="72"/>
      <c r="K1063" s="72"/>
      <c r="L1063" s="25" t="s">
        <v>84</v>
      </c>
      <c r="M1063" s="25"/>
      <c r="N1063" s="74" t="s">
        <v>5389</v>
      </c>
      <c r="O1063" s="25"/>
      <c r="P1063" s="25"/>
      <c r="Q1063" s="25"/>
      <c r="R1063" s="25"/>
      <c r="S1063" s="25"/>
      <c r="T1063" s="25" t="s">
        <v>5390</v>
      </c>
      <c r="U1063" s="25" t="s">
        <v>5391</v>
      </c>
      <c r="V1063" s="25" t="s">
        <v>1134</v>
      </c>
      <c r="W1063" s="25" t="s">
        <v>90</v>
      </c>
      <c r="X1063" s="5" t="s">
        <v>139</v>
      </c>
      <c r="Y1063" s="25" t="s">
        <v>73</v>
      </c>
      <c r="Z1063" s="25"/>
      <c r="AA1063" s="25"/>
      <c r="AB1063" s="25"/>
      <c r="AC1063" s="25"/>
      <c r="AD1063" s="25"/>
      <c r="AE1063" s="25"/>
      <c r="AF1063" s="25"/>
      <c r="AG1063" s="25"/>
      <c r="AH1063" s="25"/>
      <c r="AI1063" s="73" t="n">
        <v>45231</v>
      </c>
      <c r="AJ1063" s="71" t="e">
        <f aca="false">IF(OR(AI1063="", #REF!=""), "", IFERROR(DATEDIF(AI1063, #REF!, "M")+1, "N/A"))</f>
        <v>#REF!</v>
      </c>
      <c r="AK1063" s="25" t="s">
        <v>75</v>
      </c>
      <c r="AL1063" s="25"/>
      <c r="AM1063" s="25" t="s">
        <v>5392</v>
      </c>
      <c r="AN1063" s="25"/>
      <c r="AO1063" s="25"/>
      <c r="AP1063" s="25"/>
      <c r="AQ1063" s="25" t="s">
        <v>4924</v>
      </c>
      <c r="AR1063" s="25" t="s">
        <v>143</v>
      </c>
      <c r="AS1063" s="25" t="s">
        <v>73</v>
      </c>
      <c r="AT1063" s="25" t="s">
        <v>374</v>
      </c>
      <c r="AU1063" s="25"/>
      <c r="AV1063" s="25"/>
      <c r="AW1063" s="5" t="s">
        <v>94</v>
      </c>
      <c r="AX1063" s="25" t="s">
        <v>375</v>
      </c>
      <c r="AY1063" s="25"/>
      <c r="AZ1063" s="5" t="s">
        <v>5393</v>
      </c>
      <c r="BA1063" s="25"/>
      <c r="BB1063" s="25"/>
      <c r="BC1063" s="25"/>
      <c r="BD1063" s="25"/>
      <c r="BE1063" s="25"/>
      <c r="BF1063" s="25"/>
      <c r="BG1063" s="25"/>
      <c r="BH1063" s="25"/>
      <c r="BI1063" s="25"/>
      <c r="BJ1063" s="71" t="n">
        <f aca="false">IF(AI1063&lt;&gt;"", YEAR(AI1063), "")</f>
        <v>2023</v>
      </c>
      <c r="BK1063" s="25"/>
    </row>
    <row r="1064" customFormat="false" ht="15.75" hidden="false" customHeight="true" outlineLevel="0" collapsed="false">
      <c r="A1064" s="25" t="s">
        <v>5394</v>
      </c>
      <c r="B1064" s="25"/>
      <c r="C1064" s="25"/>
      <c r="D1064" s="68"/>
      <c r="E1064" s="25" t="n">
        <v>1000000</v>
      </c>
      <c r="F1064" s="25" t="n">
        <v>1000000</v>
      </c>
      <c r="G1064" s="25" t="s">
        <v>147</v>
      </c>
      <c r="H1064" s="25"/>
      <c r="I1064" s="25"/>
      <c r="J1064" s="72" t="n">
        <v>1000000</v>
      </c>
      <c r="K1064" s="72" t="n">
        <v>1000000</v>
      </c>
      <c r="L1064" s="25" t="s">
        <v>84</v>
      </c>
      <c r="M1064" s="25"/>
      <c r="N1064" s="69" t="s">
        <v>5395</v>
      </c>
      <c r="O1064" s="25"/>
      <c r="P1064" s="25"/>
      <c r="Q1064" s="25"/>
      <c r="R1064" s="25"/>
      <c r="S1064" s="25"/>
      <c r="T1064" s="25"/>
      <c r="U1064" s="25"/>
      <c r="V1064" s="25"/>
      <c r="W1064" s="25"/>
      <c r="X1064" s="25"/>
      <c r="Y1064" s="25"/>
      <c r="Z1064" s="25"/>
      <c r="AA1064" s="25"/>
      <c r="AB1064" s="25"/>
      <c r="AC1064" s="25"/>
      <c r="AD1064" s="25" t="s">
        <v>5396</v>
      </c>
      <c r="AE1064" s="25"/>
      <c r="AF1064" s="25"/>
      <c r="AG1064" s="25"/>
      <c r="AH1064" s="25"/>
      <c r="AI1064" s="25"/>
      <c r="AJ1064" s="70" t="e">
        <f aca="false">IF(OR(AI1064="", #REF!=""), "", IFERROR(DATEDIF(AI1064, #REF!, "M")+1, "N/A"))</f>
        <v>#REF!</v>
      </c>
      <c r="AK1064" s="25"/>
      <c r="AL1064" s="25"/>
      <c r="AM1064" s="28" t="s">
        <v>182</v>
      </c>
      <c r="AN1064" s="25" t="s">
        <v>579</v>
      </c>
      <c r="AO1064" s="25"/>
      <c r="AP1064" s="25"/>
      <c r="AQ1064" s="29" t="s">
        <v>4954</v>
      </c>
      <c r="AR1064" s="25" t="s">
        <v>185</v>
      </c>
      <c r="AS1064" s="25" t="s">
        <v>73</v>
      </c>
      <c r="AT1064" s="25" t="s">
        <v>78</v>
      </c>
      <c r="AU1064" s="25"/>
      <c r="AV1064" s="25"/>
      <c r="AW1064" s="5" t="s">
        <v>94</v>
      </c>
      <c r="AX1064" s="5" t="s">
        <v>495</v>
      </c>
      <c r="AY1064" s="5"/>
      <c r="AZ1064" s="5" t="s">
        <v>129</v>
      </c>
      <c r="BA1064" s="25"/>
      <c r="BB1064" s="25"/>
      <c r="BC1064" s="25"/>
      <c r="BD1064" s="25"/>
      <c r="BE1064" s="25"/>
      <c r="BF1064" s="25"/>
      <c r="BG1064" s="25"/>
      <c r="BH1064" s="25"/>
      <c r="BI1064" s="25"/>
      <c r="BJ1064" s="71" t="n">
        <v>2025</v>
      </c>
      <c r="BK1064" s="25"/>
    </row>
    <row r="1065" customFormat="false" ht="15.75" hidden="false" customHeight="true" outlineLevel="0" collapsed="false">
      <c r="A1065" s="25" t="s">
        <v>5397</v>
      </c>
      <c r="B1065" s="25" t="s">
        <v>5398</v>
      </c>
      <c r="C1065" s="25"/>
      <c r="D1065" s="68"/>
      <c r="E1065" s="25" t="n">
        <v>10000000</v>
      </c>
      <c r="F1065" s="25" t="n">
        <v>10000000</v>
      </c>
      <c r="G1065" s="25" t="s">
        <v>147</v>
      </c>
      <c r="H1065" s="25"/>
      <c r="I1065" s="25"/>
      <c r="J1065" s="72" t="n">
        <v>10000000</v>
      </c>
      <c r="K1065" s="72" t="n">
        <v>10000000</v>
      </c>
      <c r="L1065" s="25" t="s">
        <v>84</v>
      </c>
      <c r="M1065" s="25"/>
      <c r="N1065" s="76" t="s">
        <v>5399</v>
      </c>
      <c r="O1065" s="25"/>
      <c r="P1065" s="25"/>
      <c r="Q1065" s="25"/>
      <c r="R1065" s="25"/>
      <c r="S1065" s="25"/>
      <c r="T1065" s="25"/>
      <c r="V1065" s="25" t="s">
        <v>159</v>
      </c>
      <c r="W1065" s="25" t="s">
        <v>4933</v>
      </c>
      <c r="X1065" s="25" t="s">
        <v>160</v>
      </c>
      <c r="Y1065" s="25" t="s">
        <v>73</v>
      </c>
      <c r="Z1065" s="25"/>
      <c r="AA1065" s="25"/>
      <c r="AB1065" s="25"/>
      <c r="AC1065" s="25"/>
      <c r="AD1065" s="25"/>
      <c r="AE1065" s="25"/>
      <c r="AF1065" s="25"/>
      <c r="AG1065" s="25"/>
      <c r="AH1065" s="25"/>
      <c r="AI1065" s="25"/>
      <c r="AJ1065" s="70" t="e">
        <f aca="false">IF(OR(AI1065="", #REF!=""), "", IFERROR(DATEDIF(AI1065, #REF!, "M")+1, "N/A"))</f>
        <v>#REF!</v>
      </c>
      <c r="AK1065" s="25"/>
      <c r="AL1065" s="25"/>
      <c r="AM1065" s="25" t="s">
        <v>161</v>
      </c>
      <c r="AN1065" s="25"/>
      <c r="AO1065" s="25"/>
      <c r="AP1065" s="25"/>
      <c r="AQ1065" s="25" t="s">
        <v>4924</v>
      </c>
      <c r="AR1065" s="25" t="s">
        <v>160</v>
      </c>
      <c r="AS1065" s="25" t="s">
        <v>73</v>
      </c>
      <c r="AT1065" s="25" t="s">
        <v>105</v>
      </c>
      <c r="AU1065" s="25"/>
      <c r="AV1065" s="25"/>
      <c r="AW1065" s="5" t="s">
        <v>187</v>
      </c>
      <c r="AX1065" s="25" t="s">
        <v>79</v>
      </c>
      <c r="AY1065" s="25"/>
      <c r="AZ1065" s="5" t="s">
        <v>121</v>
      </c>
      <c r="BA1065" s="25"/>
      <c r="BB1065" s="25"/>
      <c r="BC1065" s="25"/>
      <c r="BD1065" s="25"/>
      <c r="BE1065" s="25"/>
      <c r="BF1065" s="25"/>
      <c r="BG1065" s="25"/>
      <c r="BH1065" s="25"/>
      <c r="BI1065" s="25"/>
      <c r="BJ1065" s="71" t="n">
        <v>2025</v>
      </c>
      <c r="BK1065" s="25"/>
    </row>
    <row r="1066" customFormat="false" ht="15.75" hidden="false" customHeight="true" outlineLevel="0" collapsed="false">
      <c r="A1066" s="25" t="s">
        <v>5400</v>
      </c>
      <c r="B1066" s="25" t="s">
        <v>5401</v>
      </c>
      <c r="C1066" s="25"/>
      <c r="D1066" s="68"/>
      <c r="E1066" s="25" t="n">
        <v>2200000</v>
      </c>
      <c r="F1066" s="25" t="n">
        <v>2200000</v>
      </c>
      <c r="G1066" s="25" t="s">
        <v>147</v>
      </c>
      <c r="H1066" s="25"/>
      <c r="I1066" s="25"/>
      <c r="J1066" s="72" t="n">
        <v>2200000</v>
      </c>
      <c r="K1066" s="72" t="n">
        <v>2200000</v>
      </c>
      <c r="L1066" s="25" t="s">
        <v>84</v>
      </c>
      <c r="M1066" s="25"/>
      <c r="N1066" s="69" t="s">
        <v>5402</v>
      </c>
      <c r="O1066" s="25"/>
      <c r="P1066" s="25"/>
      <c r="Q1066" s="25"/>
      <c r="R1066" s="25"/>
      <c r="S1066" s="25"/>
      <c r="T1066" s="25"/>
      <c r="U1066" s="25"/>
      <c r="V1066" s="25" t="s">
        <v>5403</v>
      </c>
      <c r="W1066" s="25" t="s">
        <v>4933</v>
      </c>
      <c r="X1066" s="25" t="s">
        <v>271</v>
      </c>
      <c r="Y1066" s="25" t="s">
        <v>73</v>
      </c>
      <c r="Z1066" s="25"/>
      <c r="AA1066" s="25"/>
      <c r="AB1066" s="25"/>
      <c r="AC1066" s="25"/>
      <c r="AD1066" s="25" t="s">
        <v>5404</v>
      </c>
      <c r="AE1066" s="25"/>
      <c r="AF1066" s="25"/>
      <c r="AG1066" s="25"/>
      <c r="AH1066" s="25"/>
      <c r="AI1066" s="73" t="n">
        <v>45505</v>
      </c>
      <c r="AJ1066" s="71" t="e">
        <f aca="false">IF(OR(AI1066="", #REF!=""), "", IFERROR(DATEDIF(AI1066, #REF!, "M")+1, "N/A"))</f>
        <v>#REF!</v>
      </c>
      <c r="AK1066" s="25" t="s">
        <v>75</v>
      </c>
      <c r="AL1066" s="25"/>
      <c r="AM1066" s="28" t="s">
        <v>182</v>
      </c>
      <c r="AN1066" s="81" t="s">
        <v>5405</v>
      </c>
      <c r="AO1066" s="25"/>
      <c r="AP1066" s="25"/>
      <c r="AQ1066" s="29" t="s">
        <v>4954</v>
      </c>
      <c r="AR1066" s="25" t="s">
        <v>185</v>
      </c>
      <c r="AS1066" s="25" t="s">
        <v>73</v>
      </c>
      <c r="AT1066" s="25" t="s">
        <v>105</v>
      </c>
      <c r="AU1066" s="25" t="s">
        <v>106</v>
      </c>
      <c r="AV1066" s="25"/>
      <c r="AW1066" s="25" t="s">
        <v>94</v>
      </c>
      <c r="AX1066" s="25" t="s">
        <v>218</v>
      </c>
      <c r="AY1066" s="25"/>
      <c r="AZ1066" s="5" t="s">
        <v>540</v>
      </c>
      <c r="BA1066" s="25"/>
      <c r="BB1066" s="25"/>
      <c r="BC1066" s="25"/>
      <c r="BD1066" s="25"/>
      <c r="BE1066" s="25"/>
      <c r="BF1066" s="25"/>
      <c r="BG1066" s="25"/>
      <c r="BH1066" s="25"/>
      <c r="BI1066" s="25"/>
      <c r="BJ1066" s="71" t="n">
        <f aca="false">IF(AI1066&lt;&gt;"", YEAR(AI1066), "")</f>
        <v>2024</v>
      </c>
      <c r="BK1066" s="25"/>
    </row>
    <row r="1067" customFormat="false" ht="15.75" hidden="false" customHeight="true" outlineLevel="0" collapsed="false">
      <c r="A1067" s="25" t="s">
        <v>5406</v>
      </c>
      <c r="B1067" s="25"/>
      <c r="C1067" s="25"/>
      <c r="D1067" s="68"/>
      <c r="E1067" s="25" t="n">
        <v>3000000</v>
      </c>
      <c r="F1067" s="25" t="n">
        <v>3000000</v>
      </c>
      <c r="G1067" s="25" t="s">
        <v>147</v>
      </c>
      <c r="H1067" s="25"/>
      <c r="I1067" s="25"/>
      <c r="J1067" s="72" t="n">
        <v>3000000</v>
      </c>
      <c r="K1067" s="72" t="n">
        <v>3000000</v>
      </c>
      <c r="L1067" s="25" t="s">
        <v>84</v>
      </c>
      <c r="M1067" s="25"/>
      <c r="N1067" s="69" t="s">
        <v>5407</v>
      </c>
      <c r="O1067" s="25"/>
      <c r="P1067" s="25"/>
      <c r="Q1067" s="25"/>
      <c r="R1067" s="25"/>
      <c r="S1067" s="25"/>
      <c r="T1067" s="25"/>
      <c r="U1067" s="25"/>
      <c r="V1067" s="25" t="s">
        <v>5408</v>
      </c>
      <c r="W1067" s="25" t="s">
        <v>4933</v>
      </c>
      <c r="X1067" s="25" t="s">
        <v>271</v>
      </c>
      <c r="Y1067" s="25" t="s">
        <v>73</v>
      </c>
      <c r="Z1067" s="25"/>
      <c r="AA1067" s="25"/>
      <c r="AB1067" s="25"/>
      <c r="AC1067" s="25"/>
      <c r="AD1067" s="25"/>
      <c r="AE1067" s="25"/>
      <c r="AF1067" s="25"/>
      <c r="AG1067" s="25"/>
      <c r="AH1067" s="25"/>
      <c r="AI1067" s="25"/>
      <c r="AJ1067" s="70" t="e">
        <f aca="false">IF(OR(AI1067="", #REF!=""), "", IFERROR(DATEDIF(AI1067, #REF!, "M")+1, "N/A"))</f>
        <v>#REF!</v>
      </c>
      <c r="AK1067" s="25"/>
      <c r="AL1067" s="25"/>
      <c r="AM1067" s="5" t="s">
        <v>547</v>
      </c>
      <c r="AN1067" s="25"/>
      <c r="AO1067" s="25"/>
      <c r="AP1067" s="25"/>
      <c r="AQ1067" s="25" t="s">
        <v>4924</v>
      </c>
      <c r="AR1067" s="25" t="s">
        <v>271</v>
      </c>
      <c r="AS1067" s="25" t="s">
        <v>73</v>
      </c>
      <c r="AT1067" s="25" t="s">
        <v>105</v>
      </c>
      <c r="AU1067" s="25" t="s">
        <v>106</v>
      </c>
      <c r="AV1067" s="25"/>
      <c r="AW1067" s="25" t="s">
        <v>94</v>
      </c>
      <c r="AX1067" s="25" t="s">
        <v>296</v>
      </c>
      <c r="AY1067" s="25" t="s">
        <v>297</v>
      </c>
      <c r="AZ1067" s="5" t="s">
        <v>121</v>
      </c>
      <c r="BA1067" s="25"/>
      <c r="BB1067" s="25"/>
      <c r="BC1067" s="25"/>
      <c r="BD1067" s="25"/>
      <c r="BE1067" s="25"/>
      <c r="BF1067" s="25"/>
      <c r="BG1067" s="25"/>
      <c r="BH1067" s="25"/>
      <c r="BI1067" s="25"/>
      <c r="BJ1067" s="71" t="n">
        <v>2024</v>
      </c>
      <c r="BK1067" s="25"/>
    </row>
    <row r="1068" customFormat="false" ht="15.75" hidden="false" customHeight="true" outlineLevel="0" collapsed="false">
      <c r="A1068" s="25" t="s">
        <v>5409</v>
      </c>
      <c r="B1068" s="25"/>
      <c r="C1068" s="25"/>
      <c r="D1068" s="68"/>
      <c r="E1068" s="25" t="n">
        <v>7600000</v>
      </c>
      <c r="F1068" s="25" t="n">
        <v>7600000</v>
      </c>
      <c r="G1068" s="25" t="s">
        <v>147</v>
      </c>
      <c r="H1068" s="25"/>
      <c r="I1068" s="25"/>
      <c r="J1068" s="72" t="n">
        <v>7600000</v>
      </c>
      <c r="K1068" s="72" t="n">
        <v>7600000</v>
      </c>
      <c r="L1068" s="25" t="s">
        <v>84</v>
      </c>
      <c r="M1068" s="25"/>
      <c r="N1068" s="74" t="s">
        <v>5410</v>
      </c>
      <c r="O1068" s="25"/>
      <c r="P1068" s="25"/>
      <c r="Q1068" s="25"/>
      <c r="R1068" s="25"/>
      <c r="S1068" s="25"/>
      <c r="T1068" s="25"/>
      <c r="U1068" s="25"/>
      <c r="V1068" s="25" t="s">
        <v>5411</v>
      </c>
      <c r="W1068" s="25" t="s">
        <v>4933</v>
      </c>
      <c r="X1068" s="25" t="s">
        <v>333</v>
      </c>
      <c r="Y1068" s="25" t="s">
        <v>73</v>
      </c>
      <c r="Z1068" s="25"/>
      <c r="AA1068" s="25"/>
      <c r="AB1068" s="25"/>
      <c r="AC1068" s="25"/>
      <c r="AD1068" s="25"/>
      <c r="AE1068" s="25"/>
      <c r="AF1068" s="25"/>
      <c r="AG1068" s="25"/>
      <c r="AH1068" s="25"/>
      <c r="AI1068" s="25"/>
      <c r="AJ1068" s="70" t="e">
        <f aca="false">IF(OR(AI1068="", #REF!=""), "", IFERROR(DATEDIF(AI1068, #REF!, "M")+1, "N/A"))</f>
        <v>#REF!</v>
      </c>
      <c r="AK1068" s="25"/>
      <c r="AL1068" s="25"/>
      <c r="AM1068" s="25" t="s">
        <v>5412</v>
      </c>
      <c r="AN1068" s="25"/>
      <c r="AO1068" s="25"/>
      <c r="AP1068" s="25"/>
      <c r="AQ1068" s="25" t="s">
        <v>4924</v>
      </c>
      <c r="AR1068" s="25" t="s">
        <v>333</v>
      </c>
      <c r="AS1068" s="25" t="s">
        <v>73</v>
      </c>
      <c r="AT1068" s="5" t="s">
        <v>374</v>
      </c>
      <c r="AW1068" s="25" t="s">
        <v>94</v>
      </c>
      <c r="AX1068" s="25" t="s">
        <v>375</v>
      </c>
      <c r="AY1068" s="25"/>
      <c r="AZ1068" s="5" t="s">
        <v>239</v>
      </c>
      <c r="BA1068" s="25"/>
      <c r="BB1068" s="25"/>
      <c r="BC1068" s="25"/>
      <c r="BD1068" s="25"/>
      <c r="BE1068" s="25"/>
      <c r="BF1068" s="25"/>
      <c r="BG1068" s="25"/>
      <c r="BH1068" s="25"/>
      <c r="BI1068" s="25"/>
      <c r="BJ1068" s="71" t="n">
        <v>2024</v>
      </c>
      <c r="BK1068" s="25"/>
    </row>
    <row r="1069" customFormat="false" ht="15.75" hidden="false" customHeight="true" outlineLevel="0" collapsed="false">
      <c r="A1069" s="25" t="s">
        <v>5413</v>
      </c>
      <c r="B1069" s="25" t="s">
        <v>5414</v>
      </c>
      <c r="C1069" s="25"/>
      <c r="D1069" s="68"/>
      <c r="E1069" s="25" t="n">
        <v>5000000</v>
      </c>
      <c r="F1069" s="25" t="n">
        <v>5000000</v>
      </c>
      <c r="G1069" s="25" t="s">
        <v>147</v>
      </c>
      <c r="H1069" s="25"/>
      <c r="I1069" s="25"/>
      <c r="J1069" s="72" t="n">
        <v>5000000</v>
      </c>
      <c r="K1069" s="72" t="n">
        <v>5000000</v>
      </c>
      <c r="L1069" s="25" t="s">
        <v>84</v>
      </c>
      <c r="M1069" s="25"/>
      <c r="N1069" s="69" t="s">
        <v>5415</v>
      </c>
      <c r="O1069" s="25"/>
      <c r="P1069" s="25"/>
      <c r="Q1069" s="25"/>
      <c r="R1069" s="25"/>
      <c r="S1069" s="25"/>
      <c r="T1069" s="25"/>
      <c r="U1069" s="25"/>
      <c r="V1069" s="25" t="s">
        <v>3057</v>
      </c>
      <c r="W1069" s="25" t="s">
        <v>90</v>
      </c>
      <c r="X1069" s="25" t="s">
        <v>160</v>
      </c>
      <c r="Y1069" s="25" t="s">
        <v>73</v>
      </c>
      <c r="Z1069" s="25"/>
      <c r="AA1069" s="25"/>
      <c r="AB1069" s="25"/>
      <c r="AC1069" s="25"/>
      <c r="AD1069" s="25" t="s">
        <v>5416</v>
      </c>
      <c r="AE1069" s="25"/>
      <c r="AF1069" s="25"/>
      <c r="AG1069" s="25"/>
      <c r="AH1069" s="25"/>
      <c r="AI1069" s="25"/>
      <c r="AJ1069" s="70" t="e">
        <f aca="false">IF(OR(AI1069="", #REF!=""), "", IFERROR(DATEDIF(AI1069, #REF!, "M")+1, "N/A"))</f>
        <v>#REF!</v>
      </c>
      <c r="AK1069" s="25"/>
      <c r="AL1069" s="25"/>
      <c r="AM1069" s="25" t="s">
        <v>161</v>
      </c>
      <c r="AN1069" s="25"/>
      <c r="AO1069" s="25"/>
      <c r="AP1069" s="25"/>
      <c r="AQ1069" s="25" t="s">
        <v>4924</v>
      </c>
      <c r="AR1069" s="25" t="s">
        <v>160</v>
      </c>
      <c r="AS1069" s="25" t="s">
        <v>73</v>
      </c>
      <c r="AT1069" s="25" t="s">
        <v>105</v>
      </c>
      <c r="AU1069" s="25"/>
      <c r="AV1069" s="25"/>
      <c r="AW1069" s="25" t="s">
        <v>94</v>
      </c>
      <c r="AX1069" s="25" t="s">
        <v>79</v>
      </c>
      <c r="AY1069" s="25"/>
      <c r="AZ1069" s="5" t="s">
        <v>121</v>
      </c>
      <c r="BA1069" s="25"/>
      <c r="BB1069" s="25"/>
      <c r="BC1069" s="25"/>
      <c r="BD1069" s="25"/>
      <c r="BE1069" s="25"/>
      <c r="BF1069" s="25"/>
      <c r="BG1069" s="25"/>
      <c r="BH1069" s="25"/>
      <c r="BI1069" s="25"/>
      <c r="BJ1069" s="71" t="n">
        <v>2024</v>
      </c>
      <c r="BK1069" s="25"/>
    </row>
    <row r="1070" customFormat="false" ht="15.75" hidden="false" customHeight="true" outlineLevel="0" collapsed="false">
      <c r="A1070" s="25" t="s">
        <v>5417</v>
      </c>
      <c r="B1070" s="25" t="s">
        <v>5418</v>
      </c>
      <c r="D1070" s="68"/>
      <c r="E1070" s="78" t="n">
        <v>1700000</v>
      </c>
      <c r="F1070" s="78" t="n">
        <v>1700000</v>
      </c>
      <c r="G1070" s="25" t="s">
        <v>132</v>
      </c>
      <c r="H1070" s="25"/>
      <c r="I1070" s="25"/>
      <c r="J1070" s="7" t="n">
        <f aca="false">E1070*1.19</f>
        <v>2023000</v>
      </c>
      <c r="K1070" s="7" t="n">
        <f aca="false">F1070*1.19</f>
        <v>2023000</v>
      </c>
      <c r="L1070" s="25" t="s">
        <v>84</v>
      </c>
      <c r="M1070" s="25"/>
      <c r="N1070" s="69" t="s">
        <v>5415</v>
      </c>
      <c r="O1070" s="25"/>
      <c r="P1070" s="25"/>
      <c r="Q1070" s="25"/>
      <c r="R1070" s="25" t="s">
        <v>5419</v>
      </c>
      <c r="S1070" s="25"/>
      <c r="T1070" s="25"/>
      <c r="U1070" s="25"/>
      <c r="V1070" s="25" t="s">
        <v>5420</v>
      </c>
      <c r="W1070" s="25" t="s">
        <v>90</v>
      </c>
      <c r="X1070" s="5" t="s">
        <v>139</v>
      </c>
      <c r="Y1070" s="25" t="s">
        <v>73</v>
      </c>
      <c r="Z1070" s="25"/>
      <c r="AA1070" s="25"/>
      <c r="AB1070" s="25"/>
      <c r="AC1070" s="25"/>
      <c r="AD1070" s="25" t="s">
        <v>5421</v>
      </c>
      <c r="AE1070" s="25"/>
      <c r="AF1070" s="25"/>
      <c r="AG1070" s="25"/>
      <c r="AH1070" s="25"/>
      <c r="AI1070" s="25"/>
      <c r="AJ1070" s="70" t="e">
        <f aca="false">IF(OR(AI1070="", #REF!=""), "", IFERROR(DATEDIF(AI1070, #REF!, "M")+1, "N/A"))</f>
        <v>#REF!</v>
      </c>
      <c r="AK1070" s="25"/>
      <c r="AL1070" s="25"/>
      <c r="AM1070" s="25" t="s">
        <v>140</v>
      </c>
      <c r="AN1070" s="5" t="s">
        <v>141</v>
      </c>
      <c r="AO1070" s="25"/>
      <c r="AP1070" s="25"/>
      <c r="AQ1070" s="25" t="s">
        <v>4924</v>
      </c>
      <c r="AR1070" s="25" t="s">
        <v>143</v>
      </c>
      <c r="AS1070" s="25" t="s">
        <v>73</v>
      </c>
      <c r="AT1070" s="25" t="s">
        <v>105</v>
      </c>
      <c r="AU1070" s="25" t="s">
        <v>106</v>
      </c>
      <c r="AV1070" s="25"/>
      <c r="AW1070" s="25" t="s">
        <v>94</v>
      </c>
      <c r="AX1070" s="25" t="s">
        <v>79</v>
      </c>
      <c r="AY1070" s="25"/>
      <c r="AZ1070" s="5" t="s">
        <v>540</v>
      </c>
      <c r="BA1070" s="25"/>
      <c r="BB1070" s="25"/>
      <c r="BC1070" s="25"/>
      <c r="BD1070" s="25"/>
      <c r="BE1070" s="25"/>
      <c r="BF1070" s="25"/>
      <c r="BG1070" s="25"/>
      <c r="BH1070" s="25"/>
      <c r="BI1070" s="25"/>
      <c r="BJ1070" s="71" t="n">
        <v>2024</v>
      </c>
      <c r="BK1070" s="25"/>
    </row>
    <row r="1071" customFormat="false" ht="15.75" hidden="false" customHeight="true" outlineLevel="0" collapsed="false">
      <c r="A1071" s="25" t="s">
        <v>5422</v>
      </c>
      <c r="B1071" s="25" t="s">
        <v>5423</v>
      </c>
      <c r="C1071" s="25"/>
      <c r="D1071" s="68"/>
      <c r="E1071" s="25" t="n">
        <v>3540000</v>
      </c>
      <c r="F1071" s="25" t="n">
        <v>3540000</v>
      </c>
      <c r="G1071" s="25" t="s">
        <v>147</v>
      </c>
      <c r="H1071" s="25"/>
      <c r="I1071" s="25"/>
      <c r="J1071" s="72" t="n">
        <v>3540000</v>
      </c>
      <c r="K1071" s="72" t="n">
        <v>3540000</v>
      </c>
      <c r="L1071" s="25" t="s">
        <v>84</v>
      </c>
      <c r="M1071" s="25"/>
      <c r="N1071" s="69" t="s">
        <v>5424</v>
      </c>
      <c r="O1071" s="25"/>
      <c r="P1071" s="25"/>
      <c r="Q1071" s="25"/>
      <c r="R1071" s="25"/>
      <c r="S1071" s="25"/>
      <c r="T1071" s="25"/>
      <c r="U1071" s="25" t="s">
        <v>5425</v>
      </c>
      <c r="V1071" s="25" t="s">
        <v>3133</v>
      </c>
      <c r="W1071" s="25" t="s">
        <v>90</v>
      </c>
      <c r="X1071" s="25" t="s">
        <v>215</v>
      </c>
      <c r="Y1071" s="25" t="s">
        <v>73</v>
      </c>
      <c r="Z1071" s="25"/>
      <c r="AA1071" s="25"/>
      <c r="AB1071" s="25"/>
      <c r="AC1071" s="25"/>
      <c r="AD1071" s="25" t="s">
        <v>4995</v>
      </c>
      <c r="AE1071" s="25"/>
      <c r="AF1071" s="25"/>
      <c r="AG1071" s="25"/>
      <c r="AH1071" s="25"/>
      <c r="AI1071" s="25"/>
      <c r="AJ1071" s="70" t="e">
        <f aca="false">IF(OR(AI1071="", #REF!=""), "", IFERROR(DATEDIF(AI1071, #REF!, "M")+1, "N/A"))</f>
        <v>#REF!</v>
      </c>
      <c r="AK1071" s="25"/>
      <c r="AL1071" s="25"/>
      <c r="AM1071" s="5" t="s">
        <v>217</v>
      </c>
      <c r="AN1071" s="25"/>
      <c r="AO1071" s="25"/>
      <c r="AP1071" s="25"/>
      <c r="AQ1071" s="25" t="s">
        <v>4924</v>
      </c>
      <c r="AR1071" s="25" t="s">
        <v>215</v>
      </c>
      <c r="AS1071" s="25" t="s">
        <v>73</v>
      </c>
      <c r="AT1071" s="25" t="s">
        <v>78</v>
      </c>
      <c r="AU1071" s="25"/>
      <c r="AV1071" s="25"/>
      <c r="AW1071" s="25" t="s">
        <v>94</v>
      </c>
      <c r="AX1071" s="25" t="s">
        <v>79</v>
      </c>
      <c r="AY1071" s="25"/>
      <c r="AZ1071" s="5" t="s">
        <v>95</v>
      </c>
      <c r="BA1071" s="25"/>
      <c r="BB1071" s="25"/>
      <c r="BC1071" s="25"/>
      <c r="BD1071" s="25"/>
      <c r="BE1071" s="25"/>
      <c r="BF1071" s="25"/>
      <c r="BG1071" s="25"/>
      <c r="BH1071" s="25"/>
      <c r="BI1071" s="25"/>
      <c r="BJ1071" s="71" t="n">
        <v>2024</v>
      </c>
      <c r="BK1071" s="25"/>
    </row>
    <row r="1072" customFormat="false" ht="15.75" hidden="false" customHeight="false" outlineLevel="0" collapsed="false">
      <c r="A1072" s="40" t="s">
        <v>5426</v>
      </c>
      <c r="B1072" s="5"/>
      <c r="C1072" s="28"/>
      <c r="D1072" s="5" t="s">
        <v>5427</v>
      </c>
      <c r="E1072" s="38" t="n">
        <v>535302.53</v>
      </c>
      <c r="F1072" s="38" t="n">
        <v>535302.53</v>
      </c>
      <c r="G1072" s="28" t="s">
        <v>147</v>
      </c>
      <c r="H1072" s="5"/>
      <c r="I1072" s="5"/>
      <c r="J1072" s="82" t="n">
        <v>535302.53</v>
      </c>
      <c r="K1072" s="82" t="n">
        <v>535302.53</v>
      </c>
      <c r="L1072" s="5" t="s">
        <v>84</v>
      </c>
      <c r="M1072" s="5"/>
      <c r="N1072" s="28"/>
      <c r="O1072" s="28"/>
      <c r="P1072" s="28"/>
      <c r="Q1072" s="28"/>
      <c r="R1072" s="28"/>
      <c r="S1072" s="28"/>
      <c r="T1072" s="28"/>
      <c r="V1072" s="83" t="s">
        <v>5428</v>
      </c>
      <c r="W1072" s="5"/>
      <c r="X1072" s="84" t="s">
        <v>257</v>
      </c>
      <c r="Y1072" s="5" t="s">
        <v>73</v>
      </c>
      <c r="Z1072" s="5"/>
      <c r="AA1072" s="5"/>
      <c r="AB1072" s="5"/>
      <c r="AC1072" s="5"/>
      <c r="AD1072" s="5"/>
      <c r="AE1072" s="5"/>
      <c r="AF1072" s="5"/>
      <c r="AG1072" s="5"/>
      <c r="AH1072" s="5"/>
      <c r="AI1072" s="5"/>
      <c r="AJ1072" s="5"/>
      <c r="AK1072" s="5"/>
      <c r="AL1072" s="5"/>
      <c r="AM1072" s="5" t="s">
        <v>182</v>
      </c>
      <c r="AN1072" s="5" t="s">
        <v>976</v>
      </c>
      <c r="AO1072" s="5"/>
      <c r="AP1072" s="5"/>
      <c r="AQ1072" s="5" t="s">
        <v>77</v>
      </c>
      <c r="AR1072" s="5" t="s">
        <v>185</v>
      </c>
      <c r="AS1072" s="5" t="s">
        <v>73</v>
      </c>
      <c r="AT1072" s="5" t="s">
        <v>105</v>
      </c>
      <c r="AU1072" s="5" t="s">
        <v>186</v>
      </c>
      <c r="AV1072" s="5"/>
      <c r="AW1072" s="25" t="s">
        <v>94</v>
      </c>
      <c r="AX1072" s="5" t="s">
        <v>79</v>
      </c>
      <c r="AY1072" s="5"/>
      <c r="AZ1072" s="5" t="s">
        <v>188</v>
      </c>
      <c r="BA1072" s="5"/>
      <c r="BB1072" s="5"/>
      <c r="BC1072" s="5"/>
      <c r="BD1072" s="5"/>
      <c r="BE1072" s="5"/>
      <c r="BF1072" s="5"/>
      <c r="BG1072" s="5"/>
      <c r="BH1072" s="5"/>
      <c r="BJ1072" s="38" t="n">
        <v>2020</v>
      </c>
      <c r="BK1072" s="28"/>
    </row>
    <row r="1073" customFormat="false" ht="15.75" hidden="false" customHeight="false" outlineLevel="0" collapsed="false">
      <c r="A1073" s="40" t="s">
        <v>5429</v>
      </c>
      <c r="B1073" s="5"/>
      <c r="C1073" s="28"/>
      <c r="D1073" s="5"/>
      <c r="E1073" s="38" t="n">
        <v>497957</v>
      </c>
      <c r="F1073" s="38" t="n">
        <v>497957</v>
      </c>
      <c r="G1073" s="28" t="s">
        <v>147</v>
      </c>
      <c r="H1073" s="5"/>
      <c r="I1073" s="5"/>
      <c r="J1073" s="82" t="n">
        <v>497957</v>
      </c>
      <c r="K1073" s="82" t="n">
        <v>497957</v>
      </c>
      <c r="L1073" s="5" t="s">
        <v>84</v>
      </c>
      <c r="M1073" s="5"/>
      <c r="N1073" s="28"/>
      <c r="O1073" s="28"/>
      <c r="P1073" s="28"/>
      <c r="Q1073" s="28"/>
      <c r="R1073" s="28"/>
      <c r="S1073" s="28"/>
      <c r="T1073" s="28"/>
      <c r="V1073" s="85" t="s">
        <v>5430</v>
      </c>
      <c r="W1073" s="5"/>
      <c r="X1073" s="86" t="s">
        <v>5431</v>
      </c>
      <c r="Y1073" s="5" t="s">
        <v>73</v>
      </c>
      <c r="Z1073" s="5"/>
      <c r="AA1073" s="5"/>
      <c r="AB1073" s="5"/>
      <c r="AC1073" s="5"/>
      <c r="AD1073" s="5"/>
      <c r="AE1073" s="5"/>
      <c r="AF1073" s="5"/>
      <c r="AG1073" s="5"/>
      <c r="AH1073" s="5"/>
      <c r="AI1073" s="5"/>
      <c r="AJ1073" s="5"/>
      <c r="AK1073" s="5"/>
      <c r="AL1073" s="5"/>
      <c r="AM1073" s="5" t="s">
        <v>182</v>
      </c>
      <c r="AN1073" s="5" t="s">
        <v>976</v>
      </c>
      <c r="AO1073" s="5"/>
      <c r="AP1073" s="5"/>
      <c r="AQ1073" s="5" t="s">
        <v>77</v>
      </c>
      <c r="AR1073" s="5" t="s">
        <v>185</v>
      </c>
      <c r="AS1073" s="5" t="s">
        <v>73</v>
      </c>
      <c r="AT1073" s="5" t="s">
        <v>78</v>
      </c>
      <c r="AU1073" s="5"/>
      <c r="AV1073" s="5"/>
      <c r="AW1073" s="25" t="s">
        <v>94</v>
      </c>
      <c r="AX1073" s="5" t="s">
        <v>79</v>
      </c>
      <c r="AY1073" s="5"/>
      <c r="AZ1073" s="5" t="s">
        <v>129</v>
      </c>
      <c r="BA1073" s="5"/>
      <c r="BB1073" s="5"/>
      <c r="BC1073" s="5"/>
      <c r="BD1073" s="5"/>
      <c r="BE1073" s="5"/>
      <c r="BF1073" s="5"/>
      <c r="BG1073" s="5"/>
      <c r="BH1073" s="5"/>
      <c r="BJ1073" s="38" t="n">
        <v>2020</v>
      </c>
      <c r="BK1073" s="28"/>
    </row>
    <row r="1074" customFormat="false" ht="15.75" hidden="false" customHeight="false" outlineLevel="0" collapsed="false">
      <c r="A1074" s="87" t="s">
        <v>5432</v>
      </c>
      <c r="B1074" s="5"/>
      <c r="C1074" s="28"/>
      <c r="D1074" s="5"/>
      <c r="E1074" s="38" t="n">
        <v>861968.19</v>
      </c>
      <c r="F1074" s="38" t="n">
        <v>861968.19</v>
      </c>
      <c r="G1074" s="28" t="s">
        <v>147</v>
      </c>
      <c r="H1074" s="5"/>
      <c r="I1074" s="5"/>
      <c r="J1074" s="82" t="n">
        <v>861968.19</v>
      </c>
      <c r="K1074" s="82" t="n">
        <v>861968.19</v>
      </c>
      <c r="L1074" s="5" t="s">
        <v>84</v>
      </c>
      <c r="M1074" s="5"/>
      <c r="N1074" s="28"/>
      <c r="O1074" s="28"/>
      <c r="P1074" s="28"/>
      <c r="Q1074" s="28"/>
      <c r="R1074" s="28"/>
      <c r="S1074" s="28"/>
      <c r="T1074" s="28"/>
      <c r="V1074" s="85" t="s">
        <v>5430</v>
      </c>
      <c r="W1074" s="5"/>
      <c r="X1074" s="86" t="s">
        <v>5431</v>
      </c>
      <c r="Y1074" s="5" t="s">
        <v>73</v>
      </c>
      <c r="Z1074" s="5"/>
      <c r="AA1074" s="5"/>
      <c r="AB1074" s="5"/>
      <c r="AC1074" s="5"/>
      <c r="AD1074" s="5"/>
      <c r="AE1074" s="5"/>
      <c r="AF1074" s="5"/>
      <c r="AG1074" s="5"/>
      <c r="AH1074" s="5"/>
      <c r="AI1074" s="5"/>
      <c r="AJ1074" s="5"/>
      <c r="AK1074" s="5"/>
      <c r="AL1074" s="5"/>
      <c r="AM1074" s="5" t="s">
        <v>182</v>
      </c>
      <c r="AN1074" s="5" t="s">
        <v>976</v>
      </c>
      <c r="AO1074" s="5"/>
      <c r="AP1074" s="5"/>
      <c r="AQ1074" s="5" t="s">
        <v>77</v>
      </c>
      <c r="AR1074" s="5" t="s">
        <v>185</v>
      </c>
      <c r="AS1074" s="5" t="s">
        <v>73</v>
      </c>
      <c r="AT1074" s="5" t="s">
        <v>78</v>
      </c>
      <c r="AU1074" s="5"/>
      <c r="AV1074" s="5"/>
      <c r="AW1074" s="25" t="s">
        <v>94</v>
      </c>
      <c r="AX1074" s="5" t="s">
        <v>375</v>
      </c>
      <c r="AY1074" s="5"/>
      <c r="AZ1074" s="5"/>
      <c r="BA1074" s="5"/>
      <c r="BB1074" s="5"/>
      <c r="BC1074" s="5"/>
      <c r="BD1074" s="5"/>
      <c r="BE1074" s="5"/>
      <c r="BF1074" s="5"/>
      <c r="BG1074" s="5"/>
      <c r="BH1074" s="5"/>
      <c r="BJ1074" s="38" t="n">
        <v>2021</v>
      </c>
      <c r="BK1074" s="28"/>
    </row>
    <row r="1075" customFormat="false" ht="15.75" hidden="false" customHeight="false" outlineLevel="0" collapsed="false">
      <c r="A1075" s="40" t="s">
        <v>5433</v>
      </c>
      <c r="B1075" s="5"/>
      <c r="C1075" s="28"/>
      <c r="D1075" s="5"/>
      <c r="E1075" s="38" t="n">
        <v>449500</v>
      </c>
      <c r="F1075" s="38" t="n">
        <v>449500</v>
      </c>
      <c r="G1075" s="28" t="s">
        <v>147</v>
      </c>
      <c r="H1075" s="5"/>
      <c r="I1075" s="5"/>
      <c r="J1075" s="82" t="n">
        <v>449500</v>
      </c>
      <c r="K1075" s="82" t="n">
        <v>449500</v>
      </c>
      <c r="L1075" s="5" t="s">
        <v>84</v>
      </c>
      <c r="M1075" s="5"/>
      <c r="N1075" s="28"/>
      <c r="O1075" s="28"/>
      <c r="P1075" s="28"/>
      <c r="Q1075" s="28"/>
      <c r="R1075" s="28"/>
      <c r="S1075" s="28"/>
      <c r="T1075" s="28"/>
      <c r="V1075" s="85" t="s">
        <v>5434</v>
      </c>
      <c r="W1075" s="5"/>
      <c r="X1075" s="86" t="s">
        <v>3197</v>
      </c>
      <c r="Y1075" s="5" t="s">
        <v>73</v>
      </c>
      <c r="Z1075" s="5"/>
      <c r="AA1075" s="5"/>
      <c r="AB1075" s="5"/>
      <c r="AC1075" s="5"/>
      <c r="AD1075" s="5"/>
      <c r="AE1075" s="5"/>
      <c r="AF1075" s="5"/>
      <c r="AG1075" s="5"/>
      <c r="AH1075" s="5"/>
      <c r="AI1075" s="5"/>
      <c r="AJ1075" s="5"/>
      <c r="AK1075" s="5"/>
      <c r="AL1075" s="5"/>
      <c r="AM1075" s="5" t="s">
        <v>182</v>
      </c>
      <c r="AN1075" s="5" t="s">
        <v>976</v>
      </c>
      <c r="AO1075" s="5"/>
      <c r="AP1075" s="5"/>
      <c r="AQ1075" s="5" t="s">
        <v>77</v>
      </c>
      <c r="AR1075" s="5" t="s">
        <v>185</v>
      </c>
      <c r="AS1075" s="5" t="s">
        <v>73</v>
      </c>
      <c r="AT1075" s="5" t="s">
        <v>78</v>
      </c>
      <c r="AU1075" s="5" t="s">
        <v>106</v>
      </c>
      <c r="AV1075" s="10" t="s">
        <v>569</v>
      </c>
      <c r="AW1075" s="25" t="s">
        <v>94</v>
      </c>
      <c r="AX1075" s="5" t="s">
        <v>79</v>
      </c>
      <c r="AY1075" s="5"/>
      <c r="AZ1075" s="5" t="s">
        <v>129</v>
      </c>
      <c r="BA1075" s="5"/>
      <c r="BB1075" s="5"/>
      <c r="BC1075" s="5"/>
      <c r="BD1075" s="5"/>
      <c r="BE1075" s="5"/>
      <c r="BF1075" s="5"/>
      <c r="BG1075" s="5"/>
      <c r="BH1075" s="5"/>
      <c r="BJ1075" s="38" t="n">
        <v>2021</v>
      </c>
      <c r="BK1075" s="28"/>
    </row>
    <row r="1076" customFormat="false" ht="15.75" hidden="false" customHeight="false" outlineLevel="0" collapsed="false">
      <c r="A1076" s="40" t="s">
        <v>5435</v>
      </c>
      <c r="B1076" s="5"/>
      <c r="C1076" s="28"/>
      <c r="D1076" s="5"/>
      <c r="E1076" s="88" t="n">
        <v>0</v>
      </c>
      <c r="F1076" s="88" t="n">
        <v>0</v>
      </c>
      <c r="G1076" s="28" t="s">
        <v>147</v>
      </c>
      <c r="H1076" s="5"/>
      <c r="I1076" s="5"/>
      <c r="J1076" s="82" t="n">
        <v>0</v>
      </c>
      <c r="K1076" s="82" t="n">
        <v>0</v>
      </c>
      <c r="L1076" s="5" t="s">
        <v>84</v>
      </c>
      <c r="M1076" s="5"/>
      <c r="N1076" s="28"/>
      <c r="O1076" s="28"/>
      <c r="P1076" s="28"/>
      <c r="Q1076" s="28"/>
      <c r="R1076" s="28"/>
      <c r="S1076" s="28"/>
      <c r="T1076" s="28"/>
      <c r="V1076" s="86" t="s">
        <v>5436</v>
      </c>
      <c r="W1076" s="5"/>
      <c r="X1076" s="89" t="s">
        <v>5437</v>
      </c>
      <c r="Y1076" s="5" t="s">
        <v>73</v>
      </c>
      <c r="Z1076" s="5"/>
      <c r="AA1076" s="5"/>
      <c r="AB1076" s="5"/>
      <c r="AC1076" s="5"/>
      <c r="AD1076" s="5"/>
      <c r="AE1076" s="5"/>
      <c r="AF1076" s="5"/>
      <c r="AG1076" s="5"/>
      <c r="AH1076" s="5"/>
      <c r="AI1076" s="5"/>
      <c r="AJ1076" s="5"/>
      <c r="AK1076" s="5"/>
      <c r="AL1076" s="5"/>
      <c r="AM1076" s="5" t="s">
        <v>182</v>
      </c>
      <c r="AN1076" s="5" t="s">
        <v>976</v>
      </c>
      <c r="AO1076" s="5"/>
      <c r="AP1076" s="5"/>
      <c r="AQ1076" s="5" t="s">
        <v>77</v>
      </c>
      <c r="AR1076" s="5" t="s">
        <v>185</v>
      </c>
      <c r="AS1076" s="5" t="s">
        <v>73</v>
      </c>
      <c r="AT1076" s="5" t="s">
        <v>374</v>
      </c>
      <c r="AU1076" s="5"/>
      <c r="AV1076" s="5"/>
      <c r="AW1076" s="25" t="s">
        <v>94</v>
      </c>
      <c r="AX1076" s="5" t="s">
        <v>375</v>
      </c>
      <c r="AY1076" s="5"/>
      <c r="AZ1076" s="5" t="s">
        <v>534</v>
      </c>
      <c r="BA1076" s="5"/>
      <c r="BB1076" s="5"/>
      <c r="BC1076" s="5"/>
      <c r="BD1076" s="5"/>
      <c r="BE1076" s="5"/>
      <c r="BF1076" s="5"/>
      <c r="BG1076" s="5"/>
      <c r="BH1076" s="5"/>
      <c r="BJ1076" s="38" t="n">
        <v>2023</v>
      </c>
      <c r="BK1076" s="28"/>
    </row>
    <row r="1077" customFormat="false" ht="15.75" hidden="false" customHeight="false" outlineLevel="0" collapsed="false">
      <c r="A1077" s="40" t="s">
        <v>5438</v>
      </c>
      <c r="B1077" s="5"/>
      <c r="C1077" s="28"/>
      <c r="D1077" s="5"/>
      <c r="E1077" s="38" t="n">
        <v>243853.75</v>
      </c>
      <c r="F1077" s="38" t="n">
        <v>243853.75</v>
      </c>
      <c r="G1077" s="28" t="s">
        <v>147</v>
      </c>
      <c r="H1077" s="5"/>
      <c r="I1077" s="5"/>
      <c r="J1077" s="82" t="n">
        <v>243853.75</v>
      </c>
      <c r="K1077" s="82" t="n">
        <v>243853.75</v>
      </c>
      <c r="L1077" s="5" t="s">
        <v>84</v>
      </c>
      <c r="M1077" s="5"/>
      <c r="N1077" s="28"/>
      <c r="O1077" s="28"/>
      <c r="P1077" s="28"/>
      <c r="Q1077" s="28"/>
      <c r="R1077" s="28"/>
      <c r="S1077" s="28"/>
      <c r="T1077" s="28"/>
      <c r="V1077" s="85" t="s">
        <v>5428</v>
      </c>
      <c r="W1077" s="5"/>
      <c r="X1077" s="86" t="s">
        <v>257</v>
      </c>
      <c r="Y1077" s="5" t="s">
        <v>73</v>
      </c>
      <c r="Z1077" s="5"/>
      <c r="AA1077" s="5"/>
      <c r="AB1077" s="5"/>
      <c r="AC1077" s="5"/>
      <c r="AD1077" s="5"/>
      <c r="AE1077" s="5"/>
      <c r="AF1077" s="5"/>
      <c r="AG1077" s="5"/>
      <c r="AH1077" s="5"/>
      <c r="AI1077" s="5"/>
      <c r="AJ1077" s="5"/>
      <c r="AK1077" s="5"/>
      <c r="AL1077" s="5"/>
      <c r="AM1077" s="5" t="s">
        <v>182</v>
      </c>
      <c r="AN1077" s="5" t="s">
        <v>976</v>
      </c>
      <c r="AO1077" s="5"/>
      <c r="AP1077" s="5"/>
      <c r="AQ1077" s="5" t="s">
        <v>77</v>
      </c>
      <c r="AR1077" s="5" t="s">
        <v>185</v>
      </c>
      <c r="AS1077" s="5" t="s">
        <v>73</v>
      </c>
      <c r="AT1077" s="5" t="s">
        <v>71</v>
      </c>
      <c r="AU1077" s="5" t="s">
        <v>286</v>
      </c>
      <c r="AV1077" s="5"/>
      <c r="AW1077" s="25" t="s">
        <v>94</v>
      </c>
      <c r="AX1077" s="5" t="s">
        <v>79</v>
      </c>
      <c r="AY1077" s="5"/>
      <c r="AZ1077" s="5" t="s">
        <v>287</v>
      </c>
      <c r="BA1077" s="5"/>
      <c r="BB1077" s="5"/>
      <c r="BC1077" s="5"/>
      <c r="BD1077" s="5"/>
      <c r="BE1077" s="5"/>
      <c r="BF1077" s="5"/>
      <c r="BG1077" s="5"/>
      <c r="BH1077" s="5"/>
      <c r="BJ1077" s="38" t="n">
        <v>2020</v>
      </c>
      <c r="BK1077" s="28"/>
    </row>
    <row r="1078" customFormat="false" ht="15.75" hidden="false" customHeight="false" outlineLevel="0" collapsed="false">
      <c r="A1078" s="40" t="s">
        <v>5439</v>
      </c>
      <c r="B1078" s="5"/>
      <c r="C1078" s="28"/>
      <c r="D1078" s="5"/>
      <c r="E1078" s="38" t="n">
        <v>1091488.25</v>
      </c>
      <c r="F1078" s="38" t="n">
        <v>1091488.25</v>
      </c>
      <c r="G1078" s="28" t="s">
        <v>147</v>
      </c>
      <c r="H1078" s="5"/>
      <c r="I1078" s="5"/>
      <c r="J1078" s="82" t="n">
        <v>1091488.25</v>
      </c>
      <c r="K1078" s="82" t="n">
        <v>1091488.25</v>
      </c>
      <c r="L1078" s="5" t="s">
        <v>84</v>
      </c>
      <c r="M1078" s="5"/>
      <c r="N1078" s="28"/>
      <c r="O1078" s="28"/>
      <c r="P1078" s="28"/>
      <c r="Q1078" s="28"/>
      <c r="R1078" s="28"/>
      <c r="S1078" s="28"/>
      <c r="T1078" s="28"/>
      <c r="V1078" s="85" t="s">
        <v>5440</v>
      </c>
      <c r="W1078" s="5"/>
      <c r="X1078" s="86" t="s">
        <v>5441</v>
      </c>
      <c r="Y1078" s="5" t="s">
        <v>73</v>
      </c>
      <c r="Z1078" s="5"/>
      <c r="AA1078" s="5"/>
      <c r="AB1078" s="5"/>
      <c r="AC1078" s="5"/>
      <c r="AD1078" s="5"/>
      <c r="AE1078" s="5"/>
      <c r="AF1078" s="5"/>
      <c r="AG1078" s="5"/>
      <c r="AH1078" s="5"/>
      <c r="AI1078" s="5"/>
      <c r="AJ1078" s="5"/>
      <c r="AK1078" s="5"/>
      <c r="AL1078" s="5"/>
      <c r="AM1078" s="5" t="s">
        <v>182</v>
      </c>
      <c r="AN1078" s="5" t="s">
        <v>976</v>
      </c>
      <c r="AO1078" s="5"/>
      <c r="AP1078" s="5"/>
      <c r="AQ1078" s="5" t="s">
        <v>77</v>
      </c>
      <c r="AR1078" s="5" t="s">
        <v>185</v>
      </c>
      <c r="AS1078" s="5" t="s">
        <v>73</v>
      </c>
      <c r="AT1078" s="5" t="s">
        <v>78</v>
      </c>
      <c r="AU1078" s="5"/>
      <c r="AV1078" s="5"/>
      <c r="AW1078" s="25" t="s">
        <v>94</v>
      </c>
      <c r="AX1078" s="5" t="s">
        <v>4124</v>
      </c>
      <c r="AY1078" s="5"/>
      <c r="AZ1078" s="5" t="s">
        <v>396</v>
      </c>
      <c r="BA1078" s="5"/>
      <c r="BB1078" s="5"/>
      <c r="BC1078" s="5"/>
      <c r="BD1078" s="5"/>
      <c r="BE1078" s="5"/>
      <c r="BF1078" s="5"/>
      <c r="BG1078" s="5"/>
      <c r="BH1078" s="5"/>
      <c r="BJ1078" s="38" t="n">
        <v>2020</v>
      </c>
      <c r="BK1078" s="28"/>
    </row>
    <row r="1079" customFormat="false" ht="25.55" hidden="false" customHeight="false" outlineLevel="0" collapsed="false">
      <c r="A1079" s="40" t="s">
        <v>5442</v>
      </c>
      <c r="B1079" s="5"/>
      <c r="C1079" s="28"/>
      <c r="D1079" s="5"/>
      <c r="E1079" s="38" t="n">
        <v>698156.8</v>
      </c>
      <c r="F1079" s="38" t="n">
        <v>698156.8</v>
      </c>
      <c r="G1079" s="28" t="s">
        <v>147</v>
      </c>
      <c r="H1079" s="5"/>
      <c r="I1079" s="5"/>
      <c r="J1079" s="82" t="n">
        <v>698156.8</v>
      </c>
      <c r="K1079" s="82" t="n">
        <v>698156.8</v>
      </c>
      <c r="L1079" s="5" t="s">
        <v>84</v>
      </c>
      <c r="M1079" s="5"/>
      <c r="N1079" s="28"/>
      <c r="O1079" s="28"/>
      <c r="P1079" s="28"/>
      <c r="Q1079" s="28"/>
      <c r="R1079" s="28"/>
      <c r="S1079" s="28"/>
      <c r="T1079" s="28"/>
      <c r="V1079" s="90" t="s">
        <v>5443</v>
      </c>
      <c r="W1079" s="5"/>
      <c r="X1079" s="86" t="s">
        <v>5444</v>
      </c>
      <c r="Y1079" s="5" t="s">
        <v>73</v>
      </c>
      <c r="Z1079" s="5"/>
      <c r="AA1079" s="5"/>
      <c r="AB1079" s="5"/>
      <c r="AC1079" s="5"/>
      <c r="AD1079" s="5"/>
      <c r="AE1079" s="5"/>
      <c r="AF1079" s="5"/>
      <c r="AG1079" s="5"/>
      <c r="AH1079" s="5"/>
      <c r="AI1079" s="5"/>
      <c r="AJ1079" s="5"/>
      <c r="AK1079" s="5"/>
      <c r="AL1079" s="5"/>
      <c r="AM1079" s="5" t="s">
        <v>182</v>
      </c>
      <c r="AN1079" s="5" t="s">
        <v>976</v>
      </c>
      <c r="AO1079" s="5"/>
      <c r="AP1079" s="5"/>
      <c r="AQ1079" s="5" t="s">
        <v>77</v>
      </c>
      <c r="AR1079" s="5" t="s">
        <v>185</v>
      </c>
      <c r="AS1079" s="5" t="s">
        <v>73</v>
      </c>
      <c r="AT1079" s="5" t="s">
        <v>78</v>
      </c>
      <c r="AU1079" s="5"/>
      <c r="AV1079" s="5"/>
      <c r="AW1079" s="25" t="s">
        <v>94</v>
      </c>
      <c r="AX1079" s="5" t="s">
        <v>296</v>
      </c>
      <c r="AY1079" s="5" t="s">
        <v>5445</v>
      </c>
      <c r="AZ1079" s="5" t="s">
        <v>188</v>
      </c>
      <c r="BA1079" s="5"/>
      <c r="BB1079" s="5"/>
      <c r="BC1079" s="5"/>
      <c r="BD1079" s="5"/>
      <c r="BE1079" s="5"/>
      <c r="BF1079" s="5"/>
      <c r="BG1079" s="5"/>
      <c r="BH1079" s="5"/>
      <c r="BJ1079" s="38" t="n">
        <v>2021</v>
      </c>
      <c r="BK1079" s="28"/>
    </row>
    <row r="1080" customFormat="false" ht="15.75" hidden="false" customHeight="false" outlineLevel="0" collapsed="false">
      <c r="A1080" s="40" t="s">
        <v>5446</v>
      </c>
      <c r="B1080" s="5"/>
      <c r="C1080" s="28"/>
      <c r="D1080" s="5"/>
      <c r="E1080" s="38" t="n">
        <v>377613</v>
      </c>
      <c r="F1080" s="38" t="n">
        <v>377613</v>
      </c>
      <c r="G1080" s="28" t="s">
        <v>147</v>
      </c>
      <c r="H1080" s="5"/>
      <c r="I1080" s="5"/>
      <c r="J1080" s="82" t="n">
        <v>377613</v>
      </c>
      <c r="K1080" s="82" t="n">
        <v>377613</v>
      </c>
      <c r="L1080" s="5" t="s">
        <v>84</v>
      </c>
      <c r="M1080" s="5"/>
      <c r="N1080" s="28"/>
      <c r="O1080" s="28"/>
      <c r="P1080" s="28"/>
      <c r="Q1080" s="28"/>
      <c r="R1080" s="28"/>
      <c r="S1080" s="28"/>
      <c r="T1080" s="28"/>
      <c r="V1080" s="90" t="s">
        <v>5447</v>
      </c>
      <c r="W1080" s="5"/>
      <c r="X1080" s="86" t="s">
        <v>5444</v>
      </c>
      <c r="Y1080" s="5" t="s">
        <v>73</v>
      </c>
      <c r="Z1080" s="5"/>
      <c r="AA1080" s="5"/>
      <c r="AB1080" s="5"/>
      <c r="AC1080" s="5"/>
      <c r="AD1080" s="5"/>
      <c r="AE1080" s="5"/>
      <c r="AF1080" s="5"/>
      <c r="AG1080" s="5"/>
      <c r="AH1080" s="5"/>
      <c r="AI1080" s="5"/>
      <c r="AJ1080" s="5"/>
      <c r="AK1080" s="5"/>
      <c r="AL1080" s="5"/>
      <c r="AM1080" s="5" t="s">
        <v>182</v>
      </c>
      <c r="AN1080" s="5" t="s">
        <v>976</v>
      </c>
      <c r="AO1080" s="5"/>
      <c r="AP1080" s="5"/>
      <c r="AQ1080" s="5" t="s">
        <v>77</v>
      </c>
      <c r="AR1080" s="5" t="s">
        <v>185</v>
      </c>
      <c r="AS1080" s="5" t="s">
        <v>73</v>
      </c>
      <c r="AT1080" s="5" t="s">
        <v>78</v>
      </c>
      <c r="AU1080" s="5"/>
      <c r="AV1080" s="5"/>
      <c r="AW1080" s="25" t="s">
        <v>94</v>
      </c>
      <c r="AX1080" s="5" t="s">
        <v>79</v>
      </c>
      <c r="AY1080" s="5"/>
      <c r="AZ1080" s="5" t="s">
        <v>129</v>
      </c>
      <c r="BA1080" s="5"/>
      <c r="BB1080" s="5"/>
      <c r="BC1080" s="5"/>
      <c r="BD1080" s="5"/>
      <c r="BE1080" s="5"/>
      <c r="BF1080" s="5"/>
      <c r="BG1080" s="5"/>
      <c r="BH1080" s="5"/>
      <c r="BJ1080" s="38" t="n">
        <v>2020</v>
      </c>
      <c r="BK1080" s="28"/>
    </row>
    <row r="1081" customFormat="false" ht="15.75" hidden="false" customHeight="false" outlineLevel="0" collapsed="false">
      <c r="A1081" s="40" t="s">
        <v>5448</v>
      </c>
      <c r="B1081" s="5"/>
      <c r="C1081" s="28"/>
      <c r="D1081" s="5"/>
      <c r="E1081" s="38" t="n">
        <v>389587.89</v>
      </c>
      <c r="F1081" s="38" t="n">
        <v>389587.89</v>
      </c>
      <c r="G1081" s="28" t="s">
        <v>147</v>
      </c>
      <c r="H1081" s="5"/>
      <c r="I1081" s="5"/>
      <c r="J1081" s="82" t="n">
        <v>389587.89</v>
      </c>
      <c r="K1081" s="82" t="n">
        <v>389587.89</v>
      </c>
      <c r="L1081" s="5" t="s">
        <v>84</v>
      </c>
      <c r="M1081" s="5"/>
      <c r="N1081" s="28"/>
      <c r="O1081" s="28"/>
      <c r="P1081" s="28"/>
      <c r="Q1081" s="28"/>
      <c r="R1081" s="28"/>
      <c r="S1081" s="28"/>
      <c r="T1081" s="28"/>
      <c r="V1081" s="85" t="s">
        <v>5449</v>
      </c>
      <c r="W1081" s="5"/>
      <c r="X1081" s="86" t="s">
        <v>139</v>
      </c>
      <c r="Y1081" s="5" t="s">
        <v>73</v>
      </c>
      <c r="Z1081" s="5"/>
      <c r="AA1081" s="5"/>
      <c r="AB1081" s="5"/>
      <c r="AC1081" s="5"/>
      <c r="AD1081" s="5"/>
      <c r="AE1081" s="5"/>
      <c r="AF1081" s="5"/>
      <c r="AG1081" s="5"/>
      <c r="AH1081" s="5"/>
      <c r="AI1081" s="5"/>
      <c r="AJ1081" s="5"/>
      <c r="AK1081" s="5"/>
      <c r="AL1081" s="5"/>
      <c r="AM1081" s="5" t="s">
        <v>182</v>
      </c>
      <c r="AN1081" s="5" t="s">
        <v>976</v>
      </c>
      <c r="AO1081" s="5"/>
      <c r="AP1081" s="5"/>
      <c r="AQ1081" s="5" t="s">
        <v>77</v>
      </c>
      <c r="AR1081" s="5" t="s">
        <v>185</v>
      </c>
      <c r="AS1081" s="5" t="s">
        <v>73</v>
      </c>
      <c r="AT1081" s="5" t="s">
        <v>78</v>
      </c>
      <c r="AU1081" s="5"/>
      <c r="AV1081" s="5"/>
      <c r="AW1081" s="25" t="s">
        <v>94</v>
      </c>
      <c r="AX1081" s="5" t="s">
        <v>375</v>
      </c>
      <c r="AY1081" s="5"/>
      <c r="AZ1081" s="5" t="s">
        <v>399</v>
      </c>
      <c r="BA1081" s="5"/>
      <c r="BB1081" s="5"/>
      <c r="BC1081" s="5"/>
      <c r="BD1081" s="5"/>
      <c r="BE1081" s="5"/>
      <c r="BF1081" s="5"/>
      <c r="BG1081" s="5"/>
      <c r="BH1081" s="5"/>
      <c r="BJ1081" s="38" t="n">
        <v>2020</v>
      </c>
      <c r="BK1081" s="28"/>
    </row>
    <row r="1082" customFormat="false" ht="15.75" hidden="false" customHeight="false" outlineLevel="0" collapsed="false">
      <c r="A1082" s="40" t="s">
        <v>5450</v>
      </c>
      <c r="B1082" s="5"/>
      <c r="C1082" s="28"/>
      <c r="D1082" s="5"/>
      <c r="E1082" s="38" t="n">
        <v>526960</v>
      </c>
      <c r="F1082" s="38" t="n">
        <v>526960</v>
      </c>
      <c r="G1082" s="28" t="s">
        <v>147</v>
      </c>
      <c r="H1082" s="5"/>
      <c r="I1082" s="5"/>
      <c r="J1082" s="82" t="n">
        <v>526960</v>
      </c>
      <c r="K1082" s="82" t="n">
        <v>526960</v>
      </c>
      <c r="L1082" s="5" t="s">
        <v>84</v>
      </c>
      <c r="M1082" s="5"/>
      <c r="N1082" s="28"/>
      <c r="O1082" s="28"/>
      <c r="P1082" s="28"/>
      <c r="Q1082" s="28"/>
      <c r="R1082" s="28"/>
      <c r="S1082" s="28"/>
      <c r="T1082" s="28"/>
      <c r="V1082" s="85" t="s">
        <v>5451</v>
      </c>
      <c r="W1082" s="5"/>
      <c r="X1082" s="86" t="s">
        <v>385</v>
      </c>
      <c r="Y1082" s="5" t="s">
        <v>73</v>
      </c>
      <c r="Z1082" s="5"/>
      <c r="AA1082" s="5"/>
      <c r="AB1082" s="5"/>
      <c r="AC1082" s="5"/>
      <c r="AD1082" s="5"/>
      <c r="AE1082" s="5"/>
      <c r="AF1082" s="5"/>
      <c r="AG1082" s="5"/>
      <c r="AH1082" s="5"/>
      <c r="AI1082" s="5"/>
      <c r="AJ1082" s="5"/>
      <c r="AK1082" s="5"/>
      <c r="AL1082" s="5"/>
      <c r="AM1082" s="5" t="s">
        <v>182</v>
      </c>
      <c r="AN1082" s="5" t="s">
        <v>976</v>
      </c>
      <c r="AO1082" s="5"/>
      <c r="AP1082" s="5"/>
      <c r="AQ1082" s="5" t="s">
        <v>77</v>
      </c>
      <c r="AR1082" s="5" t="s">
        <v>185</v>
      </c>
      <c r="AS1082" s="5" t="s">
        <v>73</v>
      </c>
      <c r="AT1082" s="5" t="s">
        <v>78</v>
      </c>
      <c r="AU1082" s="5"/>
      <c r="AV1082" s="5"/>
      <c r="AW1082" s="25" t="s">
        <v>94</v>
      </c>
      <c r="AX1082" s="5" t="s">
        <v>79</v>
      </c>
      <c r="AY1082" s="5"/>
      <c r="AZ1082" s="5" t="s">
        <v>129</v>
      </c>
      <c r="BA1082" s="5"/>
      <c r="BB1082" s="5"/>
      <c r="BC1082" s="5"/>
      <c r="BD1082" s="5"/>
      <c r="BE1082" s="5"/>
      <c r="BF1082" s="5"/>
      <c r="BG1082" s="5"/>
      <c r="BH1082" s="5"/>
      <c r="BJ1082" s="38" t="n">
        <v>2021</v>
      </c>
      <c r="BK1082" s="28"/>
    </row>
    <row r="1083" customFormat="false" ht="17.25" hidden="false" customHeight="true" outlineLevel="0" collapsed="false">
      <c r="A1083" s="91" t="s">
        <v>5452</v>
      </c>
      <c r="B1083" s="5" t="s">
        <v>5453</v>
      </c>
      <c r="C1083" s="91"/>
      <c r="E1083" s="92" t="n">
        <v>999373</v>
      </c>
      <c r="F1083" s="93" t="n">
        <v>699554</v>
      </c>
      <c r="G1083" s="28" t="s">
        <v>147</v>
      </c>
      <c r="I1083" s="94"/>
      <c r="J1083" s="92" t="n">
        <v>999373</v>
      </c>
      <c r="K1083" s="93" t="n">
        <v>699554</v>
      </c>
      <c r="L1083" s="5" t="s">
        <v>84</v>
      </c>
      <c r="M1083" s="5"/>
      <c r="N1083" s="28"/>
      <c r="O1083" s="28"/>
      <c r="P1083" s="28"/>
      <c r="Q1083" s="28"/>
      <c r="R1083" s="28"/>
      <c r="S1083" s="28"/>
      <c r="T1083" s="28"/>
      <c r="V1083" s="5" t="s">
        <v>5454</v>
      </c>
      <c r="X1083" s="5" t="s">
        <v>385</v>
      </c>
      <c r="Y1083" s="5" t="s">
        <v>73</v>
      </c>
      <c r="Z1083" s="28"/>
      <c r="AA1083" s="28"/>
      <c r="AB1083" s="28"/>
      <c r="AC1083" s="28"/>
      <c r="AD1083" s="28"/>
      <c r="AE1083" s="28"/>
      <c r="AF1083" s="28"/>
      <c r="AG1083" s="28"/>
      <c r="AH1083" s="28"/>
      <c r="AI1083" s="28"/>
      <c r="AJ1083" s="28"/>
      <c r="AK1083" s="28"/>
      <c r="AL1083" s="28"/>
      <c r="AM1083" s="5" t="s">
        <v>182</v>
      </c>
      <c r="AN1083" s="5" t="s">
        <v>976</v>
      </c>
      <c r="AO1083" s="28"/>
      <c r="AP1083" s="28"/>
      <c r="AQ1083" s="5" t="s">
        <v>77</v>
      </c>
      <c r="AR1083" s="5" t="s">
        <v>185</v>
      </c>
      <c r="AS1083" s="5" t="s">
        <v>73</v>
      </c>
      <c r="AT1083" s="5" t="s">
        <v>78</v>
      </c>
      <c r="AU1083" s="28"/>
      <c r="AV1083" s="28"/>
      <c r="AW1083" s="25" t="s">
        <v>94</v>
      </c>
      <c r="AX1083" s="5" t="s">
        <v>495</v>
      </c>
      <c r="AY1083" s="5"/>
      <c r="AZ1083" s="5" t="s">
        <v>129</v>
      </c>
      <c r="BA1083" s="28"/>
      <c r="BB1083" s="28"/>
      <c r="BF1083" s="28"/>
      <c r="BH1083" s="28"/>
      <c r="BI1083" s="28"/>
      <c r="BJ1083" s="38" t="n">
        <v>2024</v>
      </c>
      <c r="BK1083" s="28"/>
    </row>
    <row r="1084" customFormat="false" ht="17.25" hidden="false" customHeight="true" outlineLevel="0" collapsed="false">
      <c r="A1084" s="91" t="s">
        <v>5455</v>
      </c>
      <c r="B1084" s="5" t="s">
        <v>5456</v>
      </c>
      <c r="C1084" s="91"/>
      <c r="E1084" s="93" t="n">
        <v>937500</v>
      </c>
      <c r="F1084" s="93" t="n">
        <v>675500</v>
      </c>
      <c r="G1084" s="28" t="s">
        <v>147</v>
      </c>
      <c r="I1084" s="94"/>
      <c r="J1084" s="93" t="n">
        <v>937500</v>
      </c>
      <c r="K1084" s="93" t="n">
        <v>675500</v>
      </c>
      <c r="L1084" s="5" t="s">
        <v>84</v>
      </c>
      <c r="M1084" s="5"/>
      <c r="N1084" s="28"/>
      <c r="O1084" s="28"/>
      <c r="P1084" s="28"/>
      <c r="Q1084" s="28"/>
      <c r="R1084" s="28"/>
      <c r="S1084" s="28"/>
      <c r="T1084" s="28"/>
      <c r="V1084" s="5" t="s">
        <v>5457</v>
      </c>
      <c r="X1084" s="5" t="s">
        <v>333</v>
      </c>
      <c r="Y1084" s="5" t="s">
        <v>73</v>
      </c>
      <c r="Z1084" s="28"/>
      <c r="AA1084" s="28"/>
      <c r="AB1084" s="28"/>
      <c r="AC1084" s="28"/>
      <c r="AD1084" s="28"/>
      <c r="AE1084" s="28"/>
      <c r="AF1084" s="28"/>
      <c r="AG1084" s="28"/>
      <c r="AH1084" s="28"/>
      <c r="AI1084" s="28"/>
      <c r="AJ1084" s="28"/>
      <c r="AK1084" s="28"/>
      <c r="AL1084" s="28"/>
      <c r="AM1084" s="5" t="s">
        <v>182</v>
      </c>
      <c r="AN1084" s="5" t="s">
        <v>976</v>
      </c>
      <c r="AO1084" s="28"/>
      <c r="AP1084" s="28"/>
      <c r="AQ1084" s="5" t="s">
        <v>77</v>
      </c>
      <c r="AR1084" s="5" t="s">
        <v>185</v>
      </c>
      <c r="AS1084" s="5" t="s">
        <v>73</v>
      </c>
      <c r="AT1084" s="5" t="s">
        <v>78</v>
      </c>
      <c r="AU1084" s="28"/>
      <c r="AV1084" s="28"/>
      <c r="AW1084" s="25" t="s">
        <v>94</v>
      </c>
      <c r="AX1084" s="28" t="s">
        <v>296</v>
      </c>
      <c r="AY1084" s="28"/>
      <c r="AZ1084" s="5" t="s">
        <v>188</v>
      </c>
      <c r="BA1084" s="28"/>
      <c r="BB1084" s="28"/>
      <c r="BF1084" s="28"/>
      <c r="BH1084" s="28"/>
      <c r="BI1084" s="28"/>
      <c r="BJ1084" s="38" t="n">
        <v>2024</v>
      </c>
      <c r="BK1084" s="28"/>
    </row>
    <row r="1085" customFormat="false" ht="17.25" hidden="false" customHeight="true" outlineLevel="0" collapsed="false">
      <c r="A1085" s="91" t="s">
        <v>5458</v>
      </c>
      <c r="B1085" s="5" t="s">
        <v>5459</v>
      </c>
      <c r="C1085" s="91"/>
      <c r="E1085" s="93" t="n">
        <v>622800</v>
      </c>
      <c r="F1085" s="93" t="n">
        <v>435960</v>
      </c>
      <c r="G1085" s="28" t="s">
        <v>147</v>
      </c>
      <c r="I1085" s="94"/>
      <c r="J1085" s="93" t="n">
        <v>622800</v>
      </c>
      <c r="K1085" s="93" t="n">
        <v>435960</v>
      </c>
      <c r="L1085" s="5" t="s">
        <v>84</v>
      </c>
      <c r="M1085" s="5"/>
      <c r="N1085" s="28"/>
      <c r="O1085" s="28"/>
      <c r="P1085" s="28"/>
      <c r="Q1085" s="28"/>
      <c r="R1085" s="28"/>
      <c r="S1085" s="28"/>
      <c r="T1085" s="28"/>
      <c r="V1085" s="5" t="s">
        <v>5460</v>
      </c>
      <c r="X1085" s="5" t="s">
        <v>257</v>
      </c>
      <c r="Y1085" s="5" t="s">
        <v>73</v>
      </c>
      <c r="Z1085" s="28"/>
      <c r="AA1085" s="28"/>
      <c r="AB1085" s="28"/>
      <c r="AC1085" s="28"/>
      <c r="AD1085" s="28"/>
      <c r="AE1085" s="5" t="s">
        <v>5461</v>
      </c>
      <c r="AF1085" s="28"/>
      <c r="AG1085" s="28"/>
      <c r="AH1085" s="28"/>
      <c r="AI1085" s="28"/>
      <c r="AJ1085" s="28"/>
      <c r="AK1085" s="28"/>
      <c r="AL1085" s="28"/>
      <c r="AM1085" s="5" t="s">
        <v>182</v>
      </c>
      <c r="AN1085" s="5" t="s">
        <v>976</v>
      </c>
      <c r="AO1085" s="28"/>
      <c r="AP1085" s="28"/>
      <c r="AQ1085" s="5" t="s">
        <v>77</v>
      </c>
      <c r="AR1085" s="5" t="s">
        <v>185</v>
      </c>
      <c r="AS1085" s="5" t="s">
        <v>73</v>
      </c>
      <c r="AT1085" s="5" t="s">
        <v>78</v>
      </c>
      <c r="AU1085" s="28"/>
      <c r="AV1085" s="28"/>
      <c r="AW1085" s="25" t="s">
        <v>94</v>
      </c>
      <c r="AX1085" s="5" t="s">
        <v>495</v>
      </c>
      <c r="AY1085" s="5"/>
      <c r="AZ1085" s="5" t="s">
        <v>129</v>
      </c>
      <c r="BA1085" s="28"/>
      <c r="BB1085" s="28"/>
      <c r="BF1085" s="28"/>
      <c r="BH1085" s="28"/>
      <c r="BI1085" s="28"/>
      <c r="BJ1085" s="38" t="n">
        <v>2024</v>
      </c>
      <c r="BK1085" s="28"/>
    </row>
    <row r="1086" customFormat="false" ht="17.25" hidden="false" customHeight="true" outlineLevel="0" collapsed="false">
      <c r="A1086" s="91" t="s">
        <v>5462</v>
      </c>
      <c r="B1086" s="91" t="s">
        <v>5463</v>
      </c>
      <c r="C1086" s="91"/>
      <c r="E1086" s="93" t="n">
        <v>1037985</v>
      </c>
      <c r="F1086" s="93" t="n">
        <v>726582</v>
      </c>
      <c r="G1086" s="28" t="s">
        <v>147</v>
      </c>
      <c r="I1086" s="94"/>
      <c r="J1086" s="93" t="n">
        <v>1037985</v>
      </c>
      <c r="K1086" s="93" t="n">
        <v>726582</v>
      </c>
      <c r="L1086" s="5" t="s">
        <v>84</v>
      </c>
      <c r="M1086" s="5"/>
      <c r="N1086" s="28"/>
      <c r="O1086" s="28"/>
      <c r="P1086" s="28"/>
      <c r="Q1086" s="28"/>
      <c r="R1086" s="28"/>
      <c r="S1086" s="28"/>
      <c r="T1086" s="28"/>
      <c r="V1086" s="5" t="s">
        <v>5464</v>
      </c>
      <c r="X1086" s="5" t="s">
        <v>151</v>
      </c>
      <c r="Y1086" s="5" t="s">
        <v>73</v>
      </c>
      <c r="Z1086" s="28"/>
      <c r="AA1086" s="28"/>
      <c r="AB1086" s="28"/>
      <c r="AC1086" s="28"/>
      <c r="AD1086" s="28"/>
      <c r="AE1086" s="28"/>
      <c r="AF1086" s="28"/>
      <c r="AG1086" s="28"/>
      <c r="AH1086" s="28"/>
      <c r="AI1086" s="28"/>
      <c r="AJ1086" s="28"/>
      <c r="AK1086" s="28"/>
      <c r="AL1086" s="28"/>
      <c r="AM1086" s="5" t="s">
        <v>182</v>
      </c>
      <c r="AN1086" s="5" t="s">
        <v>976</v>
      </c>
      <c r="AO1086" s="28"/>
      <c r="AP1086" s="28"/>
      <c r="AQ1086" s="5" t="s">
        <v>77</v>
      </c>
      <c r="AR1086" s="5" t="s">
        <v>185</v>
      </c>
      <c r="AS1086" s="5" t="s">
        <v>73</v>
      </c>
      <c r="AT1086" s="5" t="s">
        <v>78</v>
      </c>
      <c r="AU1086" s="28"/>
      <c r="AV1086" s="28"/>
      <c r="AW1086" s="25" t="s">
        <v>94</v>
      </c>
      <c r="AX1086" s="28" t="s">
        <v>218</v>
      </c>
      <c r="AY1086" s="28"/>
      <c r="AZ1086" s="5" t="s">
        <v>188</v>
      </c>
      <c r="BA1086" s="28"/>
      <c r="BB1086" s="28"/>
      <c r="BF1086" s="28"/>
      <c r="BH1086" s="28"/>
      <c r="BI1086" s="28"/>
      <c r="BJ1086" s="38" t="n">
        <v>2024</v>
      </c>
      <c r="BK1086" s="28"/>
    </row>
    <row r="1087" customFormat="false" ht="17.25" hidden="false" customHeight="true" outlineLevel="0" collapsed="false">
      <c r="A1087" s="5" t="s">
        <v>5465</v>
      </c>
      <c r="B1087" s="5" t="s">
        <v>5466</v>
      </c>
      <c r="C1087" s="91"/>
      <c r="E1087" s="95" t="n">
        <v>2995110</v>
      </c>
      <c r="F1087" s="95" t="n">
        <v>2057203</v>
      </c>
      <c r="G1087" s="28" t="s">
        <v>147</v>
      </c>
      <c r="I1087" s="96"/>
      <c r="J1087" s="95" t="n">
        <v>2995110</v>
      </c>
      <c r="K1087" s="95" t="n">
        <v>2057203</v>
      </c>
      <c r="L1087" s="5" t="s">
        <v>84</v>
      </c>
      <c r="M1087" s="5"/>
      <c r="N1087" s="28"/>
      <c r="O1087" s="28"/>
      <c r="P1087" s="28"/>
      <c r="Q1087" s="28"/>
      <c r="R1087" s="28"/>
      <c r="S1087" s="28"/>
      <c r="T1087" s="28"/>
      <c r="V1087" s="5" t="s">
        <v>5467</v>
      </c>
      <c r="X1087" s="5" t="s">
        <v>333</v>
      </c>
      <c r="Y1087" s="5" t="s">
        <v>73</v>
      </c>
      <c r="Z1087" s="28"/>
      <c r="AA1087" s="28"/>
      <c r="AB1087" s="28"/>
      <c r="AC1087" s="28"/>
      <c r="AD1087" s="28"/>
      <c r="AE1087" s="28"/>
      <c r="AF1087" s="28"/>
      <c r="AG1087" s="28"/>
      <c r="AH1087" s="28"/>
      <c r="AI1087" s="28"/>
      <c r="AJ1087" s="28"/>
      <c r="AK1087" s="28"/>
      <c r="AL1087" s="28"/>
      <c r="AM1087" s="5" t="s">
        <v>182</v>
      </c>
      <c r="AN1087" s="5" t="s">
        <v>976</v>
      </c>
      <c r="AO1087" s="28"/>
      <c r="AP1087" s="28"/>
      <c r="AQ1087" s="5" t="s">
        <v>77</v>
      </c>
      <c r="AR1087" s="5" t="s">
        <v>185</v>
      </c>
      <c r="AS1087" s="5" t="s">
        <v>73</v>
      </c>
      <c r="AT1087" s="5" t="s">
        <v>374</v>
      </c>
      <c r="AU1087" s="28"/>
      <c r="AV1087" s="28"/>
      <c r="AW1087" s="25" t="s">
        <v>94</v>
      </c>
      <c r="AX1087" s="28" t="s">
        <v>375</v>
      </c>
      <c r="AY1087" s="28"/>
      <c r="AZ1087" s="5" t="s">
        <v>121</v>
      </c>
      <c r="BA1087" s="28"/>
      <c r="BB1087" s="28"/>
      <c r="BF1087" s="28"/>
      <c r="BH1087" s="28"/>
      <c r="BI1087" s="28"/>
      <c r="BJ1087" s="38" t="n">
        <v>2024</v>
      </c>
      <c r="BK1087" s="28"/>
    </row>
    <row r="1088" customFormat="false" ht="17.25" hidden="false" customHeight="true" outlineLevel="0" collapsed="false">
      <c r="A1088" s="91" t="s">
        <v>5468</v>
      </c>
      <c r="B1088" s="5" t="s">
        <v>5469</v>
      </c>
      <c r="C1088" s="91"/>
      <c r="E1088" s="93" t="n">
        <v>945500</v>
      </c>
      <c r="F1088" s="93" t="n">
        <v>661850</v>
      </c>
      <c r="G1088" s="28" t="s">
        <v>147</v>
      </c>
      <c r="I1088" s="94"/>
      <c r="J1088" s="93" t="n">
        <v>945500</v>
      </c>
      <c r="K1088" s="93" t="n">
        <v>661850</v>
      </c>
      <c r="L1088" s="5" t="s">
        <v>84</v>
      </c>
      <c r="M1088" s="5"/>
      <c r="N1088" s="28"/>
      <c r="O1088" s="28"/>
      <c r="P1088" s="28"/>
      <c r="Q1088" s="28"/>
      <c r="R1088" s="28"/>
      <c r="S1088" s="28"/>
      <c r="T1088" s="28"/>
      <c r="V1088" s="91" t="s">
        <v>5470</v>
      </c>
      <c r="X1088" s="5" t="s">
        <v>568</v>
      </c>
      <c r="Y1088" s="5" t="s">
        <v>73</v>
      </c>
      <c r="Z1088" s="28"/>
      <c r="AA1088" s="28"/>
      <c r="AB1088" s="28"/>
      <c r="AC1088" s="28"/>
      <c r="AD1088" s="28"/>
      <c r="AE1088" s="28"/>
      <c r="AF1088" s="28"/>
      <c r="AG1088" s="28"/>
      <c r="AH1088" s="28"/>
      <c r="AI1088" s="28"/>
      <c r="AJ1088" s="28"/>
      <c r="AK1088" s="28"/>
      <c r="AL1088" s="28"/>
      <c r="AM1088" s="5" t="s">
        <v>182</v>
      </c>
      <c r="AN1088" s="5" t="s">
        <v>976</v>
      </c>
      <c r="AO1088" s="28"/>
      <c r="AP1088" s="28"/>
      <c r="AQ1088" s="5" t="s">
        <v>77</v>
      </c>
      <c r="AR1088" s="5" t="s">
        <v>185</v>
      </c>
      <c r="AS1088" s="5" t="s">
        <v>73</v>
      </c>
      <c r="AT1088" s="5" t="s">
        <v>78</v>
      </c>
      <c r="AU1088" s="28"/>
      <c r="AV1088" s="28"/>
      <c r="AW1088" s="25" t="s">
        <v>94</v>
      </c>
      <c r="AX1088" s="28" t="s">
        <v>375</v>
      </c>
      <c r="AY1088" s="28"/>
      <c r="AZ1088" s="5" t="s">
        <v>188</v>
      </c>
      <c r="BA1088" s="28"/>
      <c r="BB1088" s="28"/>
      <c r="BF1088" s="28"/>
      <c r="BH1088" s="28"/>
      <c r="BI1088" s="28"/>
      <c r="BJ1088" s="38" t="n">
        <v>2024</v>
      </c>
      <c r="BK1088" s="28"/>
    </row>
    <row r="1089" customFormat="false" ht="17.25" hidden="false" customHeight="true" outlineLevel="0" collapsed="false">
      <c r="A1089" s="91" t="s">
        <v>5471</v>
      </c>
      <c r="B1089" s="5" t="s">
        <v>5472</v>
      </c>
      <c r="C1089" s="91"/>
      <c r="E1089" s="93" t="n">
        <v>1003629</v>
      </c>
      <c r="F1089" s="93" t="n">
        <v>702540</v>
      </c>
      <c r="G1089" s="28" t="s">
        <v>147</v>
      </c>
      <c r="I1089" s="94"/>
      <c r="J1089" s="93" t="n">
        <v>1003629</v>
      </c>
      <c r="K1089" s="93" t="n">
        <v>702540</v>
      </c>
      <c r="L1089" s="5" t="s">
        <v>84</v>
      </c>
      <c r="M1089" s="5"/>
      <c r="N1089" s="28"/>
      <c r="O1089" s="28"/>
      <c r="P1089" s="28"/>
      <c r="Q1089" s="28"/>
      <c r="R1089" s="28"/>
      <c r="S1089" s="28"/>
      <c r="T1089" s="28"/>
      <c r="V1089" s="91" t="s">
        <v>5473</v>
      </c>
      <c r="X1089" s="97" t="s">
        <v>333</v>
      </c>
      <c r="Y1089" s="5" t="s">
        <v>73</v>
      </c>
      <c r="Z1089" s="28"/>
      <c r="AA1089" s="28"/>
      <c r="AB1089" s="28"/>
      <c r="AC1089" s="28"/>
      <c r="AD1089" s="28"/>
      <c r="AE1089" s="28"/>
      <c r="AF1089" s="28"/>
      <c r="AG1089" s="28"/>
      <c r="AH1089" s="28"/>
      <c r="AI1089" s="28"/>
      <c r="AJ1089" s="28"/>
      <c r="AK1089" s="28"/>
      <c r="AL1089" s="28"/>
      <c r="AM1089" s="5" t="s">
        <v>182</v>
      </c>
      <c r="AN1089" s="5" t="s">
        <v>976</v>
      </c>
      <c r="AO1089" s="28"/>
      <c r="AP1089" s="28"/>
      <c r="AQ1089" s="5" t="s">
        <v>77</v>
      </c>
      <c r="AR1089" s="5" t="s">
        <v>185</v>
      </c>
      <c r="AS1089" s="5" t="s">
        <v>73</v>
      </c>
      <c r="AT1089" s="5" t="s">
        <v>78</v>
      </c>
      <c r="AU1089" s="28"/>
      <c r="AV1089" s="28"/>
      <c r="AW1089" s="25" t="s">
        <v>94</v>
      </c>
      <c r="AX1089" s="28" t="s">
        <v>296</v>
      </c>
      <c r="AY1089" s="28"/>
      <c r="AZ1089" s="5" t="s">
        <v>188</v>
      </c>
      <c r="BA1089" s="28"/>
      <c r="BB1089" s="28"/>
      <c r="BF1089" s="28"/>
      <c r="BH1089" s="28"/>
      <c r="BI1089" s="28"/>
      <c r="BJ1089" s="38" t="n">
        <v>2024</v>
      </c>
      <c r="BK1089" s="28"/>
    </row>
    <row r="1090" customFormat="false" ht="17.25" hidden="false" customHeight="true" outlineLevel="0" collapsed="false">
      <c r="A1090" s="91" t="s">
        <v>5474</v>
      </c>
      <c r="B1090" s="5" t="s">
        <v>5475</v>
      </c>
      <c r="C1090" s="91"/>
      <c r="E1090" s="93" t="n">
        <v>822291</v>
      </c>
      <c r="F1090" s="93" t="n">
        <v>568742</v>
      </c>
      <c r="G1090" s="28" t="s">
        <v>147</v>
      </c>
      <c r="I1090" s="94"/>
      <c r="J1090" s="93" t="n">
        <v>822291</v>
      </c>
      <c r="K1090" s="93" t="n">
        <v>568742</v>
      </c>
      <c r="L1090" s="5" t="s">
        <v>84</v>
      </c>
      <c r="M1090" s="5"/>
      <c r="N1090" s="28"/>
      <c r="O1090" s="28"/>
      <c r="P1090" s="28"/>
      <c r="Q1090" s="28"/>
      <c r="R1090" s="28"/>
      <c r="S1090" s="28"/>
      <c r="T1090" s="28"/>
      <c r="V1090" s="98" t="s">
        <v>5476</v>
      </c>
      <c r="X1090" s="97" t="s">
        <v>333</v>
      </c>
      <c r="Y1090" s="5" t="s">
        <v>73</v>
      </c>
      <c r="Z1090" s="28"/>
      <c r="AA1090" s="28"/>
      <c r="AB1090" s="28"/>
      <c r="AC1090" s="28"/>
      <c r="AD1090" s="28"/>
      <c r="AE1090" s="28"/>
      <c r="AF1090" s="28"/>
      <c r="AG1090" s="28"/>
      <c r="AH1090" s="28"/>
      <c r="AI1090" s="28"/>
      <c r="AJ1090" s="28"/>
      <c r="AK1090" s="28"/>
      <c r="AL1090" s="28"/>
      <c r="AM1090" s="5" t="s">
        <v>182</v>
      </c>
      <c r="AN1090" s="5" t="s">
        <v>976</v>
      </c>
      <c r="AO1090" s="28"/>
      <c r="AP1090" s="28"/>
      <c r="AQ1090" s="5" t="s">
        <v>77</v>
      </c>
      <c r="AR1090" s="5" t="s">
        <v>185</v>
      </c>
      <c r="AS1090" s="5" t="s">
        <v>73</v>
      </c>
      <c r="AT1090" s="5" t="s">
        <v>105</v>
      </c>
      <c r="AU1090" s="28"/>
      <c r="AV1090" s="28"/>
      <c r="AW1090" s="25" t="s">
        <v>94</v>
      </c>
      <c r="AX1090" s="28" t="s">
        <v>296</v>
      </c>
      <c r="AY1090" s="28"/>
      <c r="AZ1090" s="5" t="s">
        <v>188</v>
      </c>
      <c r="BA1090" s="28"/>
      <c r="BB1090" s="28"/>
      <c r="BF1090" s="28"/>
      <c r="BH1090" s="28"/>
      <c r="BI1090" s="28"/>
      <c r="BJ1090" s="38" t="n">
        <v>2024</v>
      </c>
      <c r="BK1090" s="28"/>
    </row>
    <row r="1091" customFormat="false" ht="16.5" hidden="false" customHeight="true" outlineLevel="0" collapsed="false">
      <c r="A1091" s="5" t="s">
        <v>5477</v>
      </c>
      <c r="B1091" s="5" t="s">
        <v>5478</v>
      </c>
      <c r="C1091" s="28"/>
      <c r="D1091" s="8" t="s">
        <v>5479</v>
      </c>
      <c r="E1091" s="99" t="n">
        <v>1598967.5</v>
      </c>
      <c r="F1091" s="99" t="n">
        <v>1598967.5</v>
      </c>
      <c r="G1091" s="28" t="s">
        <v>63</v>
      </c>
      <c r="H1091" s="38"/>
      <c r="I1091" s="28"/>
      <c r="J1091" s="40" t="n">
        <f aca="false">E1091*0.13</f>
        <v>207865.775</v>
      </c>
      <c r="K1091" s="40" t="n">
        <f aca="false">F1091*0.13</f>
        <v>207865.775</v>
      </c>
      <c r="L1091" s="25" t="s">
        <v>84</v>
      </c>
      <c r="M1091" s="5"/>
      <c r="N1091" s="100" t="s">
        <v>5480</v>
      </c>
      <c r="O1091" s="28"/>
      <c r="P1091" s="28"/>
      <c r="Q1091" s="28"/>
      <c r="R1091" s="28"/>
      <c r="S1091" s="28"/>
      <c r="T1091" s="28"/>
      <c r="V1091" s="101" t="s">
        <v>5481</v>
      </c>
      <c r="W1091" s="5" t="s">
        <v>5482</v>
      </c>
      <c r="X1091" s="5" t="s">
        <v>72</v>
      </c>
      <c r="Y1091" s="25" t="s">
        <v>73</v>
      </c>
      <c r="Z1091" s="28"/>
      <c r="AA1091" s="28"/>
      <c r="AB1091" s="28"/>
      <c r="AC1091" s="28"/>
      <c r="AD1091" s="28"/>
      <c r="AE1091" s="28"/>
      <c r="AF1091" s="28"/>
      <c r="AG1091" s="28"/>
      <c r="AH1091" s="28"/>
      <c r="AI1091" s="28"/>
      <c r="AJ1091" s="28"/>
      <c r="AK1091" s="28"/>
      <c r="AL1091" s="28"/>
      <c r="AM1091" s="28" t="s">
        <v>76</v>
      </c>
      <c r="AN1091" s="5" t="s">
        <v>5483</v>
      </c>
      <c r="AO1091" s="28"/>
      <c r="AP1091" s="28"/>
      <c r="AQ1091" s="25" t="s">
        <v>4924</v>
      </c>
      <c r="AR1091" s="28" t="s">
        <v>72</v>
      </c>
      <c r="AS1091" s="28" t="s">
        <v>73</v>
      </c>
      <c r="AT1091" s="5" t="s">
        <v>78</v>
      </c>
      <c r="AU1091" s="28"/>
      <c r="AV1091" s="28"/>
      <c r="AW1091" s="5" t="s">
        <v>969</v>
      </c>
      <c r="AX1091" s="28" t="s">
        <v>79</v>
      </c>
      <c r="AY1091" s="28"/>
      <c r="AZ1091" s="5" t="s">
        <v>399</v>
      </c>
      <c r="BA1091" s="28"/>
      <c r="BB1091" s="28"/>
      <c r="BF1091" s="28"/>
      <c r="BH1091" s="28"/>
      <c r="BI1091" s="28"/>
      <c r="BJ1091" s="102" t="n">
        <v>2024</v>
      </c>
      <c r="BK1091" s="28"/>
    </row>
    <row r="1092" customFormat="false" ht="16.5" hidden="false" customHeight="true" outlineLevel="0" collapsed="false">
      <c r="A1092" s="5" t="s">
        <v>5484</v>
      </c>
      <c r="B1092" s="5" t="s">
        <v>5485</v>
      </c>
      <c r="C1092" s="28"/>
      <c r="D1092" s="8" t="s">
        <v>5479</v>
      </c>
      <c r="E1092" s="99" t="n">
        <v>1893600</v>
      </c>
      <c r="F1092" s="99" t="n">
        <v>1893600</v>
      </c>
      <c r="G1092" s="28" t="s">
        <v>63</v>
      </c>
      <c r="H1092" s="38"/>
      <c r="I1092" s="28"/>
      <c r="J1092" s="40" t="n">
        <f aca="false">E1092*0.13</f>
        <v>246168</v>
      </c>
      <c r="K1092" s="40" t="n">
        <f aca="false">F1092*0.13</f>
        <v>246168</v>
      </c>
      <c r="L1092" s="25" t="s">
        <v>84</v>
      </c>
      <c r="M1092" s="5"/>
      <c r="N1092" s="100" t="s">
        <v>5486</v>
      </c>
      <c r="O1092" s="28"/>
      <c r="P1092" s="28"/>
      <c r="Q1092" s="28"/>
      <c r="R1092" s="28"/>
      <c r="S1092" s="28"/>
      <c r="T1092" s="28"/>
      <c r="V1092" s="101" t="s">
        <v>5487</v>
      </c>
      <c r="W1092" s="5" t="s">
        <v>90</v>
      </c>
      <c r="X1092" s="5" t="s">
        <v>72</v>
      </c>
      <c r="Y1092" s="25" t="s">
        <v>73</v>
      </c>
      <c r="Z1092" s="28"/>
      <c r="AA1092" s="28"/>
      <c r="AB1092" s="28"/>
      <c r="AC1092" s="28"/>
      <c r="AD1092" s="28"/>
      <c r="AE1092" s="28"/>
      <c r="AF1092" s="28"/>
      <c r="AG1092" s="28"/>
      <c r="AH1092" s="28"/>
      <c r="AI1092" s="28"/>
      <c r="AJ1092" s="28"/>
      <c r="AK1092" s="28"/>
      <c r="AL1092" s="28"/>
      <c r="AM1092" s="28" t="s">
        <v>76</v>
      </c>
      <c r="AN1092" s="5" t="s">
        <v>5483</v>
      </c>
      <c r="AO1092" s="28"/>
      <c r="AP1092" s="28"/>
      <c r="AQ1092" s="25" t="s">
        <v>4924</v>
      </c>
      <c r="AR1092" s="28" t="s">
        <v>72</v>
      </c>
      <c r="AS1092" s="28" t="s">
        <v>73</v>
      </c>
      <c r="AT1092" s="5" t="s">
        <v>78</v>
      </c>
      <c r="AU1092" s="28"/>
      <c r="AV1092" s="28"/>
      <c r="AW1092" s="5" t="s">
        <v>94</v>
      </c>
      <c r="AX1092" s="28" t="s">
        <v>375</v>
      </c>
      <c r="AY1092" s="28"/>
      <c r="AZ1092" s="5" t="s">
        <v>639</v>
      </c>
      <c r="BA1092" s="28"/>
      <c r="BB1092" s="28"/>
      <c r="BF1092" s="28"/>
      <c r="BH1092" s="28"/>
      <c r="BI1092" s="28"/>
      <c r="BJ1092" s="102" t="n">
        <v>2024</v>
      </c>
      <c r="BK1092" s="28"/>
    </row>
    <row r="1093" customFormat="false" ht="16.5" hidden="false" customHeight="true" outlineLevel="0" collapsed="false">
      <c r="A1093" s="5" t="s">
        <v>5488</v>
      </c>
      <c r="B1093" s="5" t="s">
        <v>5489</v>
      </c>
      <c r="C1093" s="28"/>
      <c r="D1093" s="8" t="s">
        <v>5479</v>
      </c>
      <c r="E1093" s="103" t="n">
        <v>9638252.22</v>
      </c>
      <c r="F1093" s="103" t="n">
        <v>9638252.22</v>
      </c>
      <c r="G1093" s="28" t="s">
        <v>63</v>
      </c>
      <c r="H1093" s="38"/>
      <c r="I1093" s="28"/>
      <c r="J1093" s="40" t="n">
        <f aca="false">E1093*0.13</f>
        <v>1252972.7886</v>
      </c>
      <c r="K1093" s="40" t="n">
        <f aca="false">F1093*0.13</f>
        <v>1252972.7886</v>
      </c>
      <c r="L1093" s="25" t="s">
        <v>84</v>
      </c>
      <c r="M1093" s="5"/>
      <c r="N1093" s="100" t="s">
        <v>5490</v>
      </c>
      <c r="O1093" s="28"/>
      <c r="P1093" s="28"/>
      <c r="Q1093" s="28"/>
      <c r="R1093" s="28"/>
      <c r="S1093" s="28"/>
      <c r="T1093" s="28"/>
      <c r="V1093" s="101" t="s">
        <v>5491</v>
      </c>
      <c r="W1093" s="5" t="s">
        <v>5492</v>
      </c>
      <c r="X1093" s="5" t="s">
        <v>72</v>
      </c>
      <c r="Y1093" s="25" t="s">
        <v>73</v>
      </c>
      <c r="Z1093" s="28"/>
      <c r="AA1093" s="28"/>
      <c r="AB1093" s="28"/>
      <c r="AC1093" s="28"/>
      <c r="AD1093" s="28"/>
      <c r="AE1093" s="28"/>
      <c r="AF1093" s="28"/>
      <c r="AG1093" s="28"/>
      <c r="AH1093" s="28"/>
      <c r="AI1093" s="28"/>
      <c r="AJ1093" s="28"/>
      <c r="AK1093" s="28"/>
      <c r="AL1093" s="28"/>
      <c r="AM1093" s="28" t="s">
        <v>76</v>
      </c>
      <c r="AN1093" s="5" t="s">
        <v>5483</v>
      </c>
      <c r="AO1093" s="28"/>
      <c r="AP1093" s="28"/>
      <c r="AQ1093" s="25" t="s">
        <v>4924</v>
      </c>
      <c r="AR1093" s="28" t="s">
        <v>72</v>
      </c>
      <c r="AS1093" s="28" t="s">
        <v>73</v>
      </c>
      <c r="AT1093" s="5" t="s">
        <v>78</v>
      </c>
      <c r="AU1093" s="28"/>
      <c r="AV1093" s="28"/>
      <c r="AW1093" s="5" t="s">
        <v>94</v>
      </c>
      <c r="AX1093" s="28" t="s">
        <v>79</v>
      </c>
      <c r="AY1093" s="28"/>
      <c r="AZ1093" s="5" t="s">
        <v>525</v>
      </c>
      <c r="BA1093" s="28"/>
      <c r="BB1093" s="28"/>
      <c r="BF1093" s="28"/>
      <c r="BH1093" s="28"/>
      <c r="BI1093" s="28"/>
      <c r="BJ1093" s="102" t="n">
        <v>2024</v>
      </c>
      <c r="BK1093" s="28"/>
    </row>
    <row r="1094" customFormat="false" ht="16.5" hidden="false" customHeight="true" outlineLevel="0" collapsed="false">
      <c r="A1094" s="5" t="s">
        <v>5493</v>
      </c>
      <c r="B1094" s="5" t="s">
        <v>5494</v>
      </c>
      <c r="C1094" s="28"/>
      <c r="D1094" s="8" t="s">
        <v>5479</v>
      </c>
      <c r="E1094" s="99" t="n">
        <v>385259</v>
      </c>
      <c r="F1094" s="104" t="n">
        <v>550371</v>
      </c>
      <c r="G1094" s="28" t="s">
        <v>63</v>
      </c>
      <c r="H1094" s="38"/>
      <c r="I1094" s="28"/>
      <c r="J1094" s="40" t="n">
        <f aca="false">E1094*0.13</f>
        <v>50083.67</v>
      </c>
      <c r="K1094" s="40" t="n">
        <f aca="false">F1094*0.13</f>
        <v>71548.23</v>
      </c>
      <c r="L1094" s="25" t="s">
        <v>84</v>
      </c>
      <c r="M1094" s="5"/>
      <c r="N1094" s="100" t="s">
        <v>5495</v>
      </c>
      <c r="O1094" s="28"/>
      <c r="P1094" s="28"/>
      <c r="Q1094" s="28"/>
      <c r="R1094" s="28"/>
      <c r="S1094" s="28"/>
      <c r="T1094" s="28"/>
      <c r="V1094" s="101" t="s">
        <v>5496</v>
      </c>
      <c r="W1094" s="5" t="s">
        <v>4933</v>
      </c>
      <c r="X1094" s="5" t="s">
        <v>72</v>
      </c>
      <c r="Y1094" s="25" t="s">
        <v>73</v>
      </c>
      <c r="Z1094" s="28"/>
      <c r="AA1094" s="28"/>
      <c r="AB1094" s="28"/>
      <c r="AC1094" s="28"/>
      <c r="AD1094" s="28"/>
      <c r="AE1094" s="28"/>
      <c r="AF1094" s="28"/>
      <c r="AG1094" s="28"/>
      <c r="AH1094" s="28"/>
      <c r="AI1094" s="28"/>
      <c r="AJ1094" s="28"/>
      <c r="AK1094" s="28"/>
      <c r="AL1094" s="28"/>
      <c r="AM1094" s="28" t="s">
        <v>76</v>
      </c>
      <c r="AN1094" s="5" t="s">
        <v>5483</v>
      </c>
      <c r="AO1094" s="28"/>
      <c r="AP1094" s="28"/>
      <c r="AQ1094" s="25" t="s">
        <v>4924</v>
      </c>
      <c r="AR1094" s="28" t="s">
        <v>72</v>
      </c>
      <c r="AS1094" s="28" t="s">
        <v>73</v>
      </c>
      <c r="AT1094" s="5" t="s">
        <v>78</v>
      </c>
      <c r="AU1094" s="28"/>
      <c r="AV1094" s="28"/>
      <c r="AW1094" s="5" t="s">
        <v>94</v>
      </c>
      <c r="AX1094" s="28" t="s">
        <v>375</v>
      </c>
      <c r="AY1094" s="28"/>
      <c r="AZ1094" s="5" t="s">
        <v>129</v>
      </c>
      <c r="BA1094" s="28"/>
      <c r="BB1094" s="28"/>
      <c r="BF1094" s="28"/>
      <c r="BH1094" s="28"/>
      <c r="BI1094" s="28"/>
      <c r="BJ1094" s="102" t="n">
        <v>2024</v>
      </c>
      <c r="BK1094" s="28"/>
    </row>
    <row r="1095" customFormat="false" ht="16.5" hidden="false" customHeight="true" outlineLevel="0" collapsed="false">
      <c r="A1095" s="5" t="s">
        <v>5497</v>
      </c>
      <c r="B1095" s="5" t="s">
        <v>5498</v>
      </c>
      <c r="C1095" s="28"/>
      <c r="D1095" s="8" t="s">
        <v>5479</v>
      </c>
      <c r="E1095" s="101" t="n">
        <v>1229441.76</v>
      </c>
      <c r="F1095" s="101" t="n">
        <v>1229441.76</v>
      </c>
      <c r="G1095" s="28" t="s">
        <v>63</v>
      </c>
      <c r="H1095" s="38"/>
      <c r="I1095" s="28"/>
      <c r="J1095" s="40" t="n">
        <f aca="false">E1095*0.13</f>
        <v>159827.4288</v>
      </c>
      <c r="K1095" s="40" t="n">
        <f aca="false">F1095*0.13</f>
        <v>159827.4288</v>
      </c>
      <c r="L1095" s="25" t="s">
        <v>84</v>
      </c>
      <c r="M1095" s="5"/>
      <c r="N1095" s="100" t="s">
        <v>5499</v>
      </c>
      <c r="O1095" s="28"/>
      <c r="P1095" s="28"/>
      <c r="Q1095" s="28"/>
      <c r="R1095" s="28"/>
      <c r="S1095" s="28"/>
      <c r="T1095" s="28"/>
      <c r="V1095" s="5"/>
      <c r="W1095" s="5"/>
      <c r="X1095" s="5" t="s">
        <v>72</v>
      </c>
      <c r="Y1095" s="25" t="s">
        <v>73</v>
      </c>
      <c r="Z1095" s="28"/>
      <c r="AA1095" s="28"/>
      <c r="AB1095" s="28"/>
      <c r="AC1095" s="28"/>
      <c r="AD1095" s="28"/>
      <c r="AE1095" s="28"/>
      <c r="AF1095" s="28"/>
      <c r="AG1095" s="28"/>
      <c r="AH1095" s="28"/>
      <c r="AI1095" s="28"/>
      <c r="AJ1095" s="28"/>
      <c r="AK1095" s="28"/>
      <c r="AL1095" s="28"/>
      <c r="AM1095" s="28" t="s">
        <v>76</v>
      </c>
      <c r="AN1095" s="5" t="s">
        <v>5483</v>
      </c>
      <c r="AO1095" s="28"/>
      <c r="AP1095" s="28"/>
      <c r="AQ1095" s="25" t="s">
        <v>4924</v>
      </c>
      <c r="AR1095" s="28" t="s">
        <v>72</v>
      </c>
      <c r="AS1095" s="28" t="s">
        <v>73</v>
      </c>
      <c r="AT1095" s="5" t="s">
        <v>105</v>
      </c>
      <c r="AU1095" s="28"/>
      <c r="AV1095" s="28"/>
      <c r="AW1095" s="5" t="s">
        <v>94</v>
      </c>
      <c r="AX1095" s="28" t="s">
        <v>79</v>
      </c>
      <c r="AY1095" s="28"/>
      <c r="AZ1095" s="5" t="s">
        <v>129</v>
      </c>
      <c r="BA1095" s="28"/>
      <c r="BB1095" s="28"/>
      <c r="BF1095" s="28"/>
      <c r="BH1095" s="28"/>
      <c r="BI1095" s="28"/>
      <c r="BJ1095" s="102" t="n">
        <v>2024</v>
      </c>
      <c r="BK1095" s="28"/>
    </row>
    <row r="1096" customFormat="false" ht="16.5" hidden="false" customHeight="true" outlineLevel="0" collapsed="false">
      <c r="A1096" s="5" t="s">
        <v>5500</v>
      </c>
      <c r="B1096" s="5" t="s">
        <v>5501</v>
      </c>
      <c r="C1096" s="28"/>
      <c r="D1096" s="8" t="s">
        <v>5479</v>
      </c>
      <c r="E1096" s="103" t="n">
        <v>2309673</v>
      </c>
      <c r="F1096" s="103" t="n">
        <v>2309673</v>
      </c>
      <c r="G1096" s="28" t="s">
        <v>63</v>
      </c>
      <c r="H1096" s="38"/>
      <c r="I1096" s="28"/>
      <c r="J1096" s="40" t="n">
        <f aca="false">E1096*0.13</f>
        <v>300257.49</v>
      </c>
      <c r="K1096" s="40" t="n">
        <f aca="false">F1096*0.13</f>
        <v>300257.49</v>
      </c>
      <c r="L1096" s="25" t="s">
        <v>84</v>
      </c>
      <c r="M1096" s="5"/>
      <c r="N1096" s="100" t="s">
        <v>5502</v>
      </c>
      <c r="O1096" s="28"/>
      <c r="P1096" s="28"/>
      <c r="Q1096" s="28"/>
      <c r="R1096" s="28"/>
      <c r="S1096" s="28"/>
      <c r="T1096" s="28"/>
      <c r="V1096" s="101" t="s">
        <v>5503</v>
      </c>
      <c r="W1096" s="5" t="s">
        <v>90</v>
      </c>
      <c r="X1096" s="5" t="s">
        <v>72</v>
      </c>
      <c r="Y1096" s="25" t="s">
        <v>73</v>
      </c>
      <c r="Z1096" s="28"/>
      <c r="AA1096" s="28"/>
      <c r="AB1096" s="28"/>
      <c r="AC1096" s="28"/>
      <c r="AD1096" s="28"/>
      <c r="AE1096" s="28"/>
      <c r="AF1096" s="28"/>
      <c r="AG1096" s="28"/>
      <c r="AH1096" s="28"/>
      <c r="AI1096" s="28"/>
      <c r="AJ1096" s="28"/>
      <c r="AK1096" s="28"/>
      <c r="AL1096" s="28"/>
      <c r="AM1096" s="28" t="s">
        <v>76</v>
      </c>
      <c r="AN1096" s="5" t="s">
        <v>5483</v>
      </c>
      <c r="AO1096" s="28"/>
      <c r="AP1096" s="28"/>
      <c r="AQ1096" s="25" t="s">
        <v>4924</v>
      </c>
      <c r="AR1096" s="28" t="s">
        <v>72</v>
      </c>
      <c r="AS1096" s="28" t="s">
        <v>73</v>
      </c>
      <c r="AT1096" s="5" t="s">
        <v>78</v>
      </c>
      <c r="AU1096" s="28"/>
      <c r="AV1096" s="28"/>
      <c r="AW1096" s="5" t="s">
        <v>94</v>
      </c>
      <c r="AX1096" s="28" t="s">
        <v>296</v>
      </c>
      <c r="AY1096" s="28"/>
      <c r="AZ1096" s="5" t="s">
        <v>129</v>
      </c>
      <c r="BA1096" s="28"/>
      <c r="BB1096" s="28"/>
      <c r="BF1096" s="28"/>
      <c r="BH1096" s="28"/>
      <c r="BI1096" s="28"/>
      <c r="BJ1096" s="102" t="n">
        <v>2024</v>
      </c>
      <c r="BK1096" s="28"/>
    </row>
    <row r="1097" customFormat="false" ht="16.5" hidden="false" customHeight="true" outlineLevel="0" collapsed="false">
      <c r="A1097" s="5" t="s">
        <v>5504</v>
      </c>
      <c r="B1097" s="5" t="s">
        <v>5505</v>
      </c>
      <c r="C1097" s="28"/>
      <c r="D1097" s="8" t="s">
        <v>5479</v>
      </c>
      <c r="E1097" s="99" t="n">
        <v>1626094.92</v>
      </c>
      <c r="F1097" s="104" t="n">
        <v>2710158.2</v>
      </c>
      <c r="G1097" s="28" t="s">
        <v>63</v>
      </c>
      <c r="H1097" s="38"/>
      <c r="I1097" s="28"/>
      <c r="J1097" s="40" t="n">
        <f aca="false">E1097*0.13</f>
        <v>211392.3396</v>
      </c>
      <c r="K1097" s="40" t="n">
        <f aca="false">F1097*0.13</f>
        <v>352320.566</v>
      </c>
      <c r="L1097" s="25" t="s">
        <v>84</v>
      </c>
      <c r="M1097" s="5"/>
      <c r="N1097" s="100" t="s">
        <v>5506</v>
      </c>
      <c r="O1097" s="28"/>
      <c r="P1097" s="28"/>
      <c r="Q1097" s="28"/>
      <c r="R1097" s="28"/>
      <c r="S1097" s="28"/>
      <c r="T1097" s="28"/>
      <c r="V1097" s="101" t="s">
        <v>5507</v>
      </c>
      <c r="W1097" s="5"/>
      <c r="X1097" s="5" t="s">
        <v>72</v>
      </c>
      <c r="Y1097" s="25" t="s">
        <v>73</v>
      </c>
      <c r="Z1097" s="28"/>
      <c r="AA1097" s="28"/>
      <c r="AB1097" s="28"/>
      <c r="AC1097" s="28"/>
      <c r="AD1097" s="28"/>
      <c r="AE1097" s="28"/>
      <c r="AF1097" s="28"/>
      <c r="AG1097" s="28"/>
      <c r="AH1097" s="28"/>
      <c r="AI1097" s="28"/>
      <c r="AJ1097" s="28"/>
      <c r="AK1097" s="28"/>
      <c r="AL1097" s="28"/>
      <c r="AM1097" s="28" t="s">
        <v>76</v>
      </c>
      <c r="AN1097" s="5" t="s">
        <v>5483</v>
      </c>
      <c r="AO1097" s="28"/>
      <c r="AP1097" s="28"/>
      <c r="AQ1097" s="25" t="s">
        <v>4924</v>
      </c>
      <c r="AR1097" s="28" t="s">
        <v>72</v>
      </c>
      <c r="AS1097" s="28" t="s">
        <v>73</v>
      </c>
      <c r="AT1097" s="5" t="s">
        <v>78</v>
      </c>
      <c r="AU1097" s="28"/>
      <c r="AV1097" s="28"/>
      <c r="AW1097" s="5" t="s">
        <v>94</v>
      </c>
      <c r="AX1097" s="28" t="s">
        <v>375</v>
      </c>
      <c r="AY1097" s="28"/>
      <c r="AZ1097" s="5" t="s">
        <v>188</v>
      </c>
      <c r="BA1097" s="28"/>
      <c r="BB1097" s="28"/>
      <c r="BF1097" s="28"/>
      <c r="BH1097" s="28"/>
      <c r="BI1097" s="28"/>
      <c r="BJ1097" s="102" t="n">
        <v>2024</v>
      </c>
      <c r="BK1097" s="28"/>
    </row>
    <row r="1098" customFormat="false" ht="16.5" hidden="false" customHeight="true" outlineLevel="0" collapsed="false">
      <c r="A1098" s="5" t="s">
        <v>5508</v>
      </c>
      <c r="B1098" s="5" t="s">
        <v>5509</v>
      </c>
      <c r="C1098" s="28"/>
      <c r="D1098" s="8" t="s">
        <v>5479</v>
      </c>
      <c r="E1098" s="99" t="n">
        <v>8580111</v>
      </c>
      <c r="F1098" s="99" t="n">
        <v>8580111</v>
      </c>
      <c r="G1098" s="28" t="s">
        <v>63</v>
      </c>
      <c r="H1098" s="38"/>
      <c r="I1098" s="28"/>
      <c r="J1098" s="40" t="n">
        <f aca="false">E1098*0.13</f>
        <v>1115414.43</v>
      </c>
      <c r="K1098" s="40" t="n">
        <f aca="false">F1098*0.13</f>
        <v>1115414.43</v>
      </c>
      <c r="L1098" s="25" t="s">
        <v>84</v>
      </c>
      <c r="M1098" s="5"/>
      <c r="N1098" s="100" t="s">
        <v>5510</v>
      </c>
      <c r="O1098" s="28"/>
      <c r="P1098" s="28"/>
      <c r="Q1098" s="28"/>
      <c r="R1098" s="28"/>
      <c r="S1098" s="28"/>
      <c r="T1098" s="28"/>
      <c r="V1098" s="101" t="s">
        <v>5487</v>
      </c>
      <c r="W1098" s="5" t="s">
        <v>90</v>
      </c>
      <c r="X1098" s="5" t="s">
        <v>72</v>
      </c>
      <c r="Y1098" s="25" t="s">
        <v>73</v>
      </c>
      <c r="Z1098" s="28"/>
      <c r="AA1098" s="28"/>
      <c r="AB1098" s="28"/>
      <c r="AC1098" s="28"/>
      <c r="AD1098" s="28"/>
      <c r="AE1098" s="28"/>
      <c r="AF1098" s="28"/>
      <c r="AG1098" s="28"/>
      <c r="AH1098" s="28"/>
      <c r="AI1098" s="28"/>
      <c r="AJ1098" s="28"/>
      <c r="AK1098" s="28"/>
      <c r="AL1098" s="28"/>
      <c r="AM1098" s="28" t="s">
        <v>76</v>
      </c>
      <c r="AN1098" s="5" t="s">
        <v>5483</v>
      </c>
      <c r="AO1098" s="28"/>
      <c r="AP1098" s="28"/>
      <c r="AQ1098" s="25" t="s">
        <v>4924</v>
      </c>
      <c r="AR1098" s="28" t="s">
        <v>72</v>
      </c>
      <c r="AS1098" s="28" t="s">
        <v>73</v>
      </c>
      <c r="AT1098" s="5" t="s">
        <v>78</v>
      </c>
      <c r="AU1098" s="28"/>
      <c r="AV1098" s="28"/>
      <c r="AW1098" s="5" t="s">
        <v>94</v>
      </c>
      <c r="AX1098" s="28" t="s">
        <v>79</v>
      </c>
      <c r="AY1098" s="28"/>
      <c r="AZ1098" s="5" t="s">
        <v>399</v>
      </c>
      <c r="BA1098" s="28"/>
      <c r="BB1098" s="28"/>
      <c r="BF1098" s="28"/>
      <c r="BH1098" s="28"/>
      <c r="BI1098" s="28"/>
      <c r="BJ1098" s="102" t="n">
        <v>2024</v>
      </c>
      <c r="BK1098" s="28"/>
    </row>
    <row r="1099" customFormat="false" ht="16.5" hidden="false" customHeight="true" outlineLevel="0" collapsed="false">
      <c r="A1099" s="5" t="s">
        <v>5511</v>
      </c>
      <c r="B1099" s="5" t="s">
        <v>5512</v>
      </c>
      <c r="C1099" s="28"/>
      <c r="D1099" s="8" t="s">
        <v>5479</v>
      </c>
      <c r="E1099" s="99" t="n">
        <v>411960</v>
      </c>
      <c r="F1099" s="99" t="n">
        <v>411960</v>
      </c>
      <c r="G1099" s="28" t="s">
        <v>63</v>
      </c>
      <c r="H1099" s="38"/>
      <c r="I1099" s="28"/>
      <c r="J1099" s="40" t="n">
        <f aca="false">E1099*0.13</f>
        <v>53554.8</v>
      </c>
      <c r="K1099" s="40" t="n">
        <f aca="false">F1099*0.13</f>
        <v>53554.8</v>
      </c>
      <c r="L1099" s="25" t="s">
        <v>84</v>
      </c>
      <c r="M1099" s="5"/>
      <c r="N1099" s="100" t="s">
        <v>5513</v>
      </c>
      <c r="O1099" s="28"/>
      <c r="P1099" s="28"/>
      <c r="Q1099" s="28"/>
      <c r="R1099" s="28"/>
      <c r="S1099" s="28"/>
      <c r="T1099" s="28"/>
      <c r="V1099" s="101" t="s">
        <v>5481</v>
      </c>
      <c r="W1099" s="5"/>
      <c r="X1099" s="5" t="s">
        <v>72</v>
      </c>
      <c r="Y1099" s="25" t="s">
        <v>73</v>
      </c>
      <c r="Z1099" s="28"/>
      <c r="AA1099" s="28"/>
      <c r="AB1099" s="28"/>
      <c r="AC1099" s="28"/>
      <c r="AD1099" s="28"/>
      <c r="AE1099" s="28"/>
      <c r="AF1099" s="28"/>
      <c r="AG1099" s="28"/>
      <c r="AH1099" s="28"/>
      <c r="AI1099" s="28"/>
      <c r="AJ1099" s="28"/>
      <c r="AK1099" s="28"/>
      <c r="AL1099" s="28"/>
      <c r="AM1099" s="28" t="s">
        <v>76</v>
      </c>
      <c r="AN1099" s="5" t="s">
        <v>5483</v>
      </c>
      <c r="AO1099" s="28"/>
      <c r="AP1099" s="28"/>
      <c r="AQ1099" s="25" t="s">
        <v>4924</v>
      </c>
      <c r="AR1099" s="28" t="s">
        <v>72</v>
      </c>
      <c r="AS1099" s="28" t="s">
        <v>73</v>
      </c>
      <c r="AT1099" s="5" t="s">
        <v>78</v>
      </c>
      <c r="AU1099" s="28"/>
      <c r="AV1099" s="28"/>
      <c r="AW1099" s="5" t="s">
        <v>94</v>
      </c>
      <c r="AX1099" s="28" t="s">
        <v>79</v>
      </c>
      <c r="AY1099" s="28"/>
      <c r="AZ1099" s="5" t="s">
        <v>399</v>
      </c>
      <c r="BA1099" s="28"/>
      <c r="BB1099" s="28"/>
      <c r="BF1099" s="28"/>
      <c r="BH1099" s="28"/>
      <c r="BI1099" s="28"/>
      <c r="BJ1099" s="102" t="n">
        <v>2024</v>
      </c>
      <c r="BK1099" s="28"/>
    </row>
    <row r="1100" customFormat="false" ht="16.5" hidden="false" customHeight="true" outlineLevel="0" collapsed="false">
      <c r="A1100" s="5" t="s">
        <v>5514</v>
      </c>
      <c r="B1100" s="5" t="s">
        <v>5515</v>
      </c>
      <c r="C1100" s="28"/>
      <c r="D1100" s="8" t="s">
        <v>5479</v>
      </c>
      <c r="E1100" s="99" t="n">
        <v>7476696</v>
      </c>
      <c r="F1100" s="99" t="n">
        <v>7476696</v>
      </c>
      <c r="G1100" s="28" t="s">
        <v>63</v>
      </c>
      <c r="H1100" s="38"/>
      <c r="I1100" s="28"/>
      <c r="J1100" s="40" t="n">
        <f aca="false">E1100*0.13</f>
        <v>971970.48</v>
      </c>
      <c r="K1100" s="40" t="n">
        <f aca="false">F1100*0.13</f>
        <v>971970.48</v>
      </c>
      <c r="L1100" s="25" t="s">
        <v>84</v>
      </c>
      <c r="M1100" s="5"/>
      <c r="N1100" s="5" t="s">
        <v>5516</v>
      </c>
      <c r="O1100" s="28"/>
      <c r="P1100" s="28"/>
      <c r="Q1100" s="28"/>
      <c r="R1100" s="28"/>
      <c r="S1100" s="28"/>
      <c r="T1100" s="28"/>
      <c r="V1100" s="5" t="s">
        <v>89</v>
      </c>
      <c r="W1100" s="5"/>
      <c r="X1100" s="5" t="s">
        <v>72</v>
      </c>
      <c r="Y1100" s="25" t="s">
        <v>73</v>
      </c>
      <c r="Z1100" s="28"/>
      <c r="AA1100" s="28"/>
      <c r="AB1100" s="28"/>
      <c r="AC1100" s="28"/>
      <c r="AD1100" s="28"/>
      <c r="AE1100" s="28"/>
      <c r="AF1100" s="28"/>
      <c r="AG1100" s="28"/>
      <c r="AH1100" s="28"/>
      <c r="AI1100" s="28"/>
      <c r="AJ1100" s="28"/>
      <c r="AK1100" s="28"/>
      <c r="AL1100" s="28"/>
      <c r="AM1100" s="28" t="s">
        <v>76</v>
      </c>
      <c r="AN1100" s="5" t="s">
        <v>5483</v>
      </c>
      <c r="AO1100" s="28"/>
      <c r="AP1100" s="28"/>
      <c r="AQ1100" s="25" t="s">
        <v>4924</v>
      </c>
      <c r="AR1100" s="28" t="s">
        <v>72</v>
      </c>
      <c r="AS1100" s="28" t="s">
        <v>73</v>
      </c>
      <c r="AT1100" s="5" t="s">
        <v>78</v>
      </c>
      <c r="AU1100" s="28"/>
      <c r="AV1100" s="28"/>
      <c r="AW1100" s="5" t="s">
        <v>94</v>
      </c>
      <c r="AX1100" s="28" t="s">
        <v>79</v>
      </c>
      <c r="AY1100" s="28"/>
      <c r="AZ1100" s="5" t="s">
        <v>309</v>
      </c>
      <c r="BA1100" s="28"/>
      <c r="BB1100" s="28"/>
      <c r="BF1100" s="28"/>
      <c r="BH1100" s="28"/>
      <c r="BI1100" s="28"/>
      <c r="BJ1100" s="102" t="n">
        <v>2024</v>
      </c>
      <c r="BK1100" s="28"/>
    </row>
    <row r="1101" customFormat="false" ht="16.5" hidden="false" customHeight="true" outlineLevel="0" collapsed="false">
      <c r="A1101" s="5" t="s">
        <v>5517</v>
      </c>
      <c r="B1101" s="5"/>
      <c r="C1101" s="28"/>
      <c r="D1101" s="8" t="s">
        <v>5479</v>
      </c>
      <c r="E1101" s="99" t="n">
        <v>2612516</v>
      </c>
      <c r="F1101" s="99" t="n">
        <v>2612516</v>
      </c>
      <c r="G1101" s="28" t="s">
        <v>63</v>
      </c>
      <c r="H1101" s="38"/>
      <c r="I1101" s="28"/>
      <c r="J1101" s="40" t="n">
        <f aca="false">E1101*0.13</f>
        <v>339627.08</v>
      </c>
      <c r="K1101" s="40" t="n">
        <f aca="false">F1101*0.13</f>
        <v>339627.08</v>
      </c>
      <c r="L1101" s="25" t="s">
        <v>84</v>
      </c>
      <c r="M1101" s="5"/>
      <c r="N1101" s="100" t="s">
        <v>5518</v>
      </c>
      <c r="O1101" s="28"/>
      <c r="P1101" s="28"/>
      <c r="Q1101" s="28"/>
      <c r="R1101" s="28"/>
      <c r="S1101" s="28"/>
      <c r="T1101" s="28"/>
      <c r="V1101" s="101" t="s">
        <v>5519</v>
      </c>
      <c r="W1101" s="5"/>
      <c r="X1101" s="5" t="s">
        <v>72</v>
      </c>
      <c r="Y1101" s="25" t="s">
        <v>73</v>
      </c>
      <c r="Z1101" s="28"/>
      <c r="AA1101" s="28"/>
      <c r="AB1101" s="28"/>
      <c r="AC1101" s="28"/>
      <c r="AD1101" s="28"/>
      <c r="AE1101" s="28"/>
      <c r="AF1101" s="28"/>
      <c r="AG1101" s="28"/>
      <c r="AH1101" s="28"/>
      <c r="AI1101" s="28"/>
      <c r="AJ1101" s="28"/>
      <c r="AK1101" s="28"/>
      <c r="AL1101" s="28"/>
      <c r="AM1101" s="28" t="s">
        <v>76</v>
      </c>
      <c r="AN1101" s="5" t="s">
        <v>5483</v>
      </c>
      <c r="AO1101" s="28"/>
      <c r="AP1101" s="28"/>
      <c r="AQ1101" s="25" t="s">
        <v>4924</v>
      </c>
      <c r="AR1101" s="28" t="s">
        <v>72</v>
      </c>
      <c r="AS1101" s="28" t="s">
        <v>73</v>
      </c>
      <c r="AT1101" s="5" t="s">
        <v>78</v>
      </c>
      <c r="AU1101" s="28"/>
      <c r="AV1101" s="28"/>
      <c r="AW1101" s="5" t="s">
        <v>94</v>
      </c>
      <c r="AX1101" s="28" t="s">
        <v>79</v>
      </c>
      <c r="AY1101" s="28"/>
      <c r="AZ1101" s="5" t="s">
        <v>309</v>
      </c>
      <c r="BA1101" s="28"/>
      <c r="BB1101" s="28"/>
      <c r="BF1101" s="28"/>
      <c r="BH1101" s="28"/>
      <c r="BI1101" s="28"/>
      <c r="BJ1101" s="102" t="n">
        <v>2024</v>
      </c>
      <c r="BK1101" s="28"/>
    </row>
    <row r="1102" customFormat="false" ht="16.5" hidden="false" customHeight="true" outlineLevel="0" collapsed="false">
      <c r="A1102" s="5" t="s">
        <v>5520</v>
      </c>
      <c r="B1102" s="5" t="s">
        <v>5521</v>
      </c>
      <c r="C1102" s="28"/>
      <c r="D1102" s="8" t="s">
        <v>5479</v>
      </c>
      <c r="E1102" s="99" t="n">
        <v>995691.6</v>
      </c>
      <c r="F1102" s="99" t="n">
        <v>995691.6</v>
      </c>
      <c r="G1102" s="28" t="s">
        <v>63</v>
      </c>
      <c r="H1102" s="38"/>
      <c r="I1102" s="28"/>
      <c r="J1102" s="40" t="n">
        <f aca="false">E1102*0.13</f>
        <v>129439.908</v>
      </c>
      <c r="K1102" s="40" t="n">
        <f aca="false">F1102*0.13</f>
        <v>129439.908</v>
      </c>
      <c r="L1102" s="25" t="s">
        <v>84</v>
      </c>
      <c r="M1102" s="5"/>
      <c r="N1102" s="100" t="s">
        <v>5522</v>
      </c>
      <c r="O1102" s="28"/>
      <c r="P1102" s="28"/>
      <c r="Q1102" s="28"/>
      <c r="R1102" s="28"/>
      <c r="S1102" s="28"/>
      <c r="T1102" s="28"/>
      <c r="V1102" s="101" t="s">
        <v>5481</v>
      </c>
      <c r="W1102" s="5"/>
      <c r="X1102" s="5" t="s">
        <v>72</v>
      </c>
      <c r="Y1102" s="25" t="s">
        <v>73</v>
      </c>
      <c r="Z1102" s="28"/>
      <c r="AA1102" s="28"/>
      <c r="AB1102" s="28"/>
      <c r="AC1102" s="28"/>
      <c r="AD1102" s="28"/>
      <c r="AE1102" s="28"/>
      <c r="AF1102" s="28"/>
      <c r="AG1102" s="28"/>
      <c r="AH1102" s="28"/>
      <c r="AI1102" s="28"/>
      <c r="AJ1102" s="28"/>
      <c r="AK1102" s="28"/>
      <c r="AL1102" s="28"/>
      <c r="AM1102" s="28" t="s">
        <v>76</v>
      </c>
      <c r="AN1102" s="5" t="s">
        <v>5483</v>
      </c>
      <c r="AO1102" s="28"/>
      <c r="AP1102" s="28"/>
      <c r="AQ1102" s="25" t="s">
        <v>4924</v>
      </c>
      <c r="AR1102" s="28" t="s">
        <v>72</v>
      </c>
      <c r="AS1102" s="28" t="s">
        <v>73</v>
      </c>
      <c r="AT1102" s="5" t="s">
        <v>71</v>
      </c>
      <c r="AU1102" s="28"/>
      <c r="AV1102" s="28"/>
      <c r="AW1102" s="5" t="s">
        <v>94</v>
      </c>
      <c r="AX1102" s="28" t="s">
        <v>79</v>
      </c>
      <c r="AY1102" s="28"/>
      <c r="AZ1102" s="5" t="s">
        <v>399</v>
      </c>
      <c r="BA1102" s="28"/>
      <c r="BB1102" s="28"/>
      <c r="BF1102" s="28"/>
      <c r="BH1102" s="28"/>
      <c r="BI1102" s="28"/>
      <c r="BJ1102" s="5"/>
      <c r="BK1102" s="28"/>
    </row>
    <row r="1103" customFormat="false" ht="16.5" hidden="false" customHeight="true" outlineLevel="0" collapsed="false">
      <c r="A1103" s="5" t="s">
        <v>5030</v>
      </c>
      <c r="B1103" s="5"/>
      <c r="C1103" s="28"/>
      <c r="D1103" s="8" t="s">
        <v>5479</v>
      </c>
      <c r="E1103" s="105" t="n">
        <v>2279121</v>
      </c>
      <c r="F1103" s="105" t="n">
        <v>2279121</v>
      </c>
      <c r="G1103" s="28" t="s">
        <v>63</v>
      </c>
      <c r="H1103" s="38"/>
      <c r="I1103" s="28"/>
      <c r="J1103" s="40" t="n">
        <f aca="false">E1103*0.13</f>
        <v>296285.73</v>
      </c>
      <c r="K1103" s="40" t="n">
        <f aca="false">F1103*0.13</f>
        <v>296285.73</v>
      </c>
      <c r="L1103" s="25" t="s">
        <v>84</v>
      </c>
      <c r="M1103" s="5"/>
      <c r="N1103" s="100" t="s">
        <v>5032</v>
      </c>
      <c r="O1103" s="28"/>
      <c r="P1103" s="28"/>
      <c r="Q1103" s="28"/>
      <c r="R1103" s="28"/>
      <c r="S1103" s="28"/>
      <c r="T1103" s="28"/>
      <c r="V1103" s="5" t="s">
        <v>89</v>
      </c>
      <c r="W1103" s="5"/>
      <c r="X1103" s="5" t="s">
        <v>72</v>
      </c>
      <c r="Y1103" s="25" t="s">
        <v>73</v>
      </c>
      <c r="Z1103" s="28"/>
      <c r="AA1103" s="28"/>
      <c r="AB1103" s="28"/>
      <c r="AC1103" s="28"/>
      <c r="AD1103" s="28"/>
      <c r="AE1103" s="28"/>
      <c r="AF1103" s="28"/>
      <c r="AG1103" s="28"/>
      <c r="AH1103" s="28"/>
      <c r="AI1103" s="28"/>
      <c r="AJ1103" s="28"/>
      <c r="AK1103" s="28"/>
      <c r="AL1103" s="28"/>
      <c r="AM1103" s="28" t="s">
        <v>76</v>
      </c>
      <c r="AN1103" s="5" t="s">
        <v>5483</v>
      </c>
      <c r="AO1103" s="28"/>
      <c r="AP1103" s="28"/>
      <c r="AQ1103" s="25" t="s">
        <v>4924</v>
      </c>
      <c r="AR1103" s="28" t="s">
        <v>72</v>
      </c>
      <c r="AS1103" s="28" t="s">
        <v>73</v>
      </c>
      <c r="AT1103" s="5" t="s">
        <v>78</v>
      </c>
      <c r="AU1103" s="28" t="s">
        <v>259</v>
      </c>
      <c r="AV1103" s="28"/>
      <c r="AW1103" s="5" t="s">
        <v>94</v>
      </c>
      <c r="AX1103" s="28" t="s">
        <v>79</v>
      </c>
      <c r="AY1103" s="28"/>
      <c r="AZ1103" s="5" t="s">
        <v>129</v>
      </c>
      <c r="BA1103" s="28"/>
      <c r="BB1103" s="28"/>
      <c r="BF1103" s="28"/>
      <c r="BH1103" s="28"/>
      <c r="BI1103" s="28"/>
      <c r="BJ1103" s="102" t="n">
        <v>2023</v>
      </c>
      <c r="BK1103" s="28"/>
    </row>
    <row r="1104" customFormat="false" ht="16.5" hidden="false" customHeight="true" outlineLevel="0" collapsed="false">
      <c r="A1104" s="5" t="s">
        <v>5523</v>
      </c>
      <c r="B1104" s="5" t="s">
        <v>5524</v>
      </c>
      <c r="C1104" s="28"/>
      <c r="D1104" s="8" t="s">
        <v>5479</v>
      </c>
      <c r="E1104" s="99" t="n">
        <v>3773000</v>
      </c>
      <c r="F1104" s="104" t="n">
        <v>1886500</v>
      </c>
      <c r="G1104" s="28" t="s">
        <v>63</v>
      </c>
      <c r="H1104" s="38"/>
      <c r="I1104" s="28"/>
      <c r="J1104" s="40" t="n">
        <f aca="false">E1104*0.13</f>
        <v>490490</v>
      </c>
      <c r="K1104" s="40" t="n">
        <f aca="false">F1104*0.13</f>
        <v>245245</v>
      </c>
      <c r="L1104" s="25" t="s">
        <v>84</v>
      </c>
      <c r="M1104" s="5"/>
      <c r="N1104" s="100" t="s">
        <v>5525</v>
      </c>
      <c r="O1104" s="28"/>
      <c r="P1104" s="28"/>
      <c r="Q1104" s="28"/>
      <c r="R1104" s="28"/>
      <c r="S1104" s="28"/>
      <c r="T1104" s="28"/>
      <c r="V1104" s="101" t="s">
        <v>5526</v>
      </c>
      <c r="W1104" s="5"/>
      <c r="X1104" s="5" t="s">
        <v>72</v>
      </c>
      <c r="Y1104" s="25" t="s">
        <v>73</v>
      </c>
      <c r="Z1104" s="28"/>
      <c r="AA1104" s="28"/>
      <c r="AB1104" s="28"/>
      <c r="AC1104" s="28"/>
      <c r="AD1104" s="28"/>
      <c r="AE1104" s="28"/>
      <c r="AF1104" s="28"/>
      <c r="AG1104" s="28"/>
      <c r="AH1104" s="28"/>
      <c r="AI1104" s="28"/>
      <c r="AJ1104" s="28"/>
      <c r="AK1104" s="28"/>
      <c r="AL1104" s="28"/>
      <c r="AM1104" s="28" t="s">
        <v>76</v>
      </c>
      <c r="AN1104" s="5" t="s">
        <v>5483</v>
      </c>
      <c r="AO1104" s="28"/>
      <c r="AP1104" s="28"/>
      <c r="AQ1104" s="25" t="s">
        <v>4924</v>
      </c>
      <c r="AR1104" s="28" t="s">
        <v>72</v>
      </c>
      <c r="AS1104" s="28" t="s">
        <v>73</v>
      </c>
      <c r="AT1104" s="5" t="s">
        <v>105</v>
      </c>
      <c r="AU1104" s="28"/>
      <c r="AV1104" s="28"/>
      <c r="AW1104" s="5" t="s">
        <v>969</v>
      </c>
      <c r="AX1104" s="28" t="s">
        <v>296</v>
      </c>
      <c r="AY1104" s="28" t="s">
        <v>447</v>
      </c>
      <c r="AZ1104" s="5" t="s">
        <v>95</v>
      </c>
      <c r="BA1104" s="28"/>
      <c r="BB1104" s="28"/>
      <c r="BF1104" s="28"/>
      <c r="BH1104" s="28"/>
      <c r="BI1104" s="28"/>
      <c r="BJ1104" s="102" t="n">
        <v>2022</v>
      </c>
      <c r="BK1104" s="28"/>
    </row>
    <row r="1105" customFormat="false" ht="16.5" hidden="false" customHeight="true" outlineLevel="0" collapsed="false">
      <c r="A1105" s="5" t="s">
        <v>5527</v>
      </c>
      <c r="B1105" s="5" t="s">
        <v>5528</v>
      </c>
      <c r="C1105" s="28"/>
      <c r="D1105" s="8" t="s">
        <v>5479</v>
      </c>
      <c r="E1105" s="99" t="n">
        <v>2069428</v>
      </c>
      <c r="F1105" s="104" t="n">
        <v>1862500</v>
      </c>
      <c r="G1105" s="28" t="s">
        <v>63</v>
      </c>
      <c r="H1105" s="38"/>
      <c r="I1105" s="28"/>
      <c r="J1105" s="40" t="n">
        <f aca="false">E1105*0.13</f>
        <v>269025.64</v>
      </c>
      <c r="K1105" s="40" t="n">
        <f aca="false">F1105*0.13</f>
        <v>242125</v>
      </c>
      <c r="L1105" s="25" t="s">
        <v>84</v>
      </c>
      <c r="M1105" s="5"/>
      <c r="N1105" s="100" t="s">
        <v>5529</v>
      </c>
      <c r="O1105" s="28"/>
      <c r="P1105" s="28"/>
      <c r="Q1105" s="28"/>
      <c r="R1105" s="28"/>
      <c r="S1105" s="28"/>
      <c r="T1105" s="28"/>
      <c r="V1105" s="101" t="s">
        <v>89</v>
      </c>
      <c r="W1105" s="5" t="s">
        <v>90</v>
      </c>
      <c r="X1105" s="5" t="s">
        <v>72</v>
      </c>
      <c r="Y1105" s="25" t="s">
        <v>73</v>
      </c>
      <c r="Z1105" s="28"/>
      <c r="AA1105" s="28"/>
      <c r="AB1105" s="28"/>
      <c r="AC1105" s="28"/>
      <c r="AD1105" s="28"/>
      <c r="AE1105" s="28"/>
      <c r="AF1105" s="28"/>
      <c r="AG1105" s="28"/>
      <c r="AH1105" s="28"/>
      <c r="AI1105" s="28"/>
      <c r="AJ1105" s="28"/>
      <c r="AK1105" s="28"/>
      <c r="AL1105" s="28"/>
      <c r="AM1105" s="28" t="s">
        <v>76</v>
      </c>
      <c r="AN1105" s="106" t="s">
        <v>5530</v>
      </c>
      <c r="AO1105" s="28"/>
      <c r="AP1105" s="28"/>
      <c r="AQ1105" s="25" t="s">
        <v>4924</v>
      </c>
      <c r="AR1105" s="28" t="s">
        <v>72</v>
      </c>
      <c r="AS1105" s="28" t="s">
        <v>73</v>
      </c>
      <c r="AT1105" s="5" t="s">
        <v>78</v>
      </c>
      <c r="AU1105" s="28" t="s">
        <v>259</v>
      </c>
      <c r="AV1105" s="28"/>
      <c r="AW1105" s="5" t="s">
        <v>94</v>
      </c>
      <c r="AX1105" s="28" t="s">
        <v>79</v>
      </c>
      <c r="AY1105" s="28"/>
      <c r="AZ1105" s="5" t="s">
        <v>129</v>
      </c>
      <c r="BA1105" s="28"/>
      <c r="BB1105" s="28"/>
      <c r="BF1105" s="28"/>
      <c r="BH1105" s="28"/>
      <c r="BI1105" s="28"/>
      <c r="BJ1105" s="102" t="n">
        <v>2020</v>
      </c>
      <c r="BK1105" s="28"/>
    </row>
    <row r="1106" customFormat="false" ht="16.5" hidden="false" customHeight="true" outlineLevel="0" collapsed="false">
      <c r="A1106" s="5" t="s">
        <v>5531</v>
      </c>
      <c r="B1106" s="5" t="s">
        <v>5532</v>
      </c>
      <c r="C1106" s="28"/>
      <c r="D1106" s="8" t="s">
        <v>5479</v>
      </c>
      <c r="E1106" s="104" t="n">
        <v>5682434</v>
      </c>
      <c r="F1106" s="99" t="n">
        <v>2557095.3</v>
      </c>
      <c r="G1106" s="28" t="s">
        <v>63</v>
      </c>
      <c r="H1106" s="38"/>
      <c r="I1106" s="28"/>
      <c r="J1106" s="40" t="n">
        <f aca="false">E1106*0.13</f>
        <v>738716.42</v>
      </c>
      <c r="K1106" s="40" t="n">
        <f aca="false">F1106*0.13</f>
        <v>332422.389</v>
      </c>
      <c r="L1106" s="25" t="s">
        <v>84</v>
      </c>
      <c r="M1106" s="5"/>
      <c r="N1106" s="100" t="s">
        <v>5533</v>
      </c>
      <c r="O1106" s="28"/>
      <c r="P1106" s="28"/>
      <c r="Q1106" s="28"/>
      <c r="R1106" s="28"/>
      <c r="S1106" s="28"/>
      <c r="T1106" s="28"/>
      <c r="V1106" s="101" t="s">
        <v>5534</v>
      </c>
      <c r="W1106" s="5"/>
      <c r="X1106" s="5" t="s">
        <v>72</v>
      </c>
      <c r="Y1106" s="25" t="s">
        <v>73</v>
      </c>
      <c r="Z1106" s="28"/>
      <c r="AA1106" s="28"/>
      <c r="AB1106" s="28"/>
      <c r="AC1106" s="28"/>
      <c r="AD1106" s="28"/>
      <c r="AE1106" s="28"/>
      <c r="AF1106" s="28"/>
      <c r="AG1106" s="28"/>
      <c r="AH1106" s="28"/>
      <c r="AI1106" s="28"/>
      <c r="AJ1106" s="28"/>
      <c r="AK1106" s="28"/>
      <c r="AL1106" s="28"/>
      <c r="AM1106" s="28" t="s">
        <v>76</v>
      </c>
      <c r="AN1106" s="106" t="s">
        <v>5530</v>
      </c>
      <c r="AO1106" s="28"/>
      <c r="AP1106" s="28"/>
      <c r="AQ1106" s="25" t="s">
        <v>4924</v>
      </c>
      <c r="AR1106" s="28" t="s">
        <v>72</v>
      </c>
      <c r="AS1106" s="28" t="s">
        <v>73</v>
      </c>
      <c r="AT1106" s="5" t="s">
        <v>105</v>
      </c>
      <c r="AU1106" s="28" t="s">
        <v>106</v>
      </c>
      <c r="AV1106" s="28"/>
      <c r="AW1106" s="5" t="s">
        <v>94</v>
      </c>
      <c r="AX1106" s="28" t="s">
        <v>296</v>
      </c>
      <c r="AY1106" s="28" t="s">
        <v>447</v>
      </c>
      <c r="AZ1106" s="5" t="s">
        <v>540</v>
      </c>
      <c r="BA1106" s="28"/>
      <c r="BB1106" s="28"/>
      <c r="BF1106" s="28"/>
      <c r="BH1106" s="28"/>
      <c r="BI1106" s="28"/>
      <c r="BJ1106" s="102" t="n">
        <v>2024</v>
      </c>
      <c r="BK1106" s="28"/>
    </row>
    <row r="1107" customFormat="false" ht="16.5" hidden="false" customHeight="true" outlineLevel="0" collapsed="false">
      <c r="A1107" s="5" t="s">
        <v>5039</v>
      </c>
      <c r="B1107" s="5"/>
      <c r="C1107" s="28"/>
      <c r="D1107" s="8" t="s">
        <v>5479</v>
      </c>
      <c r="E1107" s="99" t="n">
        <v>1482622</v>
      </c>
      <c r="F1107" s="99" t="n">
        <v>1482622</v>
      </c>
      <c r="G1107" s="28" t="s">
        <v>63</v>
      </c>
      <c r="H1107" s="38"/>
      <c r="I1107" s="28"/>
      <c r="J1107" s="40" t="n">
        <f aca="false">E1107*0.13</f>
        <v>192740.86</v>
      </c>
      <c r="K1107" s="40" t="n">
        <f aca="false">F1107*0.13</f>
        <v>192740.86</v>
      </c>
      <c r="L1107" s="25" t="s">
        <v>84</v>
      </c>
      <c r="M1107" s="5"/>
      <c r="N1107" s="100" t="s">
        <v>5040</v>
      </c>
      <c r="O1107" s="28"/>
      <c r="P1107" s="28"/>
      <c r="Q1107" s="28"/>
      <c r="R1107" s="28"/>
      <c r="S1107" s="28"/>
      <c r="T1107" s="28"/>
      <c r="V1107" s="101" t="s">
        <v>5041</v>
      </c>
      <c r="W1107" s="5"/>
      <c r="X1107" s="5" t="s">
        <v>72</v>
      </c>
      <c r="Y1107" s="25" t="s">
        <v>73</v>
      </c>
      <c r="Z1107" s="28"/>
      <c r="AA1107" s="28"/>
      <c r="AB1107" s="28"/>
      <c r="AC1107" s="28"/>
      <c r="AD1107" s="28"/>
      <c r="AE1107" s="28"/>
      <c r="AF1107" s="28"/>
      <c r="AG1107" s="28"/>
      <c r="AH1107" s="28"/>
      <c r="AI1107" s="28"/>
      <c r="AJ1107" s="28"/>
      <c r="AK1107" s="28"/>
      <c r="AL1107" s="28"/>
      <c r="AM1107" s="28" t="s">
        <v>76</v>
      </c>
      <c r="AN1107" s="5" t="s">
        <v>5483</v>
      </c>
      <c r="AO1107" s="28"/>
      <c r="AP1107" s="28"/>
      <c r="AQ1107" s="25" t="s">
        <v>4924</v>
      </c>
      <c r="AR1107" s="28" t="s">
        <v>72</v>
      </c>
      <c r="AS1107" s="28" t="s">
        <v>73</v>
      </c>
      <c r="AT1107" s="5" t="s">
        <v>78</v>
      </c>
      <c r="AU1107" s="28"/>
      <c r="AV1107" s="28"/>
      <c r="AW1107" s="5" t="s">
        <v>94</v>
      </c>
      <c r="AX1107" s="28" t="s">
        <v>296</v>
      </c>
      <c r="AY1107" s="28" t="s">
        <v>447</v>
      </c>
      <c r="AZ1107" s="5" t="s">
        <v>129</v>
      </c>
      <c r="BA1107" s="28"/>
      <c r="BB1107" s="28"/>
      <c r="BF1107" s="28"/>
      <c r="BH1107" s="28"/>
      <c r="BI1107" s="28"/>
      <c r="BJ1107" s="102" t="n">
        <v>2023</v>
      </c>
      <c r="BK1107" s="28"/>
    </row>
    <row r="1108" customFormat="false" ht="16.5" hidden="false" customHeight="true" outlineLevel="0" collapsed="false">
      <c r="A1108" s="5" t="s">
        <v>5034</v>
      </c>
      <c r="B1108" s="5"/>
      <c r="C1108" s="28"/>
      <c r="D1108" s="8" t="s">
        <v>5479</v>
      </c>
      <c r="E1108" s="103" t="n">
        <v>670674</v>
      </c>
      <c r="F1108" s="101" t="n">
        <v>1117790</v>
      </c>
      <c r="G1108" s="28" t="s">
        <v>63</v>
      </c>
      <c r="H1108" s="38"/>
      <c r="I1108" s="28"/>
      <c r="J1108" s="40" t="n">
        <f aca="false">E1108*0.13</f>
        <v>87187.62</v>
      </c>
      <c r="K1108" s="40" t="n">
        <f aca="false">F1108*0.13</f>
        <v>145312.7</v>
      </c>
      <c r="L1108" s="25" t="s">
        <v>84</v>
      </c>
      <c r="M1108" s="5"/>
      <c r="N1108" s="100" t="s">
        <v>5535</v>
      </c>
      <c r="O1108" s="28"/>
      <c r="P1108" s="28"/>
      <c r="Q1108" s="28"/>
      <c r="R1108" s="28"/>
      <c r="S1108" s="28"/>
      <c r="T1108" s="28"/>
      <c r="V1108" s="101" t="s">
        <v>5481</v>
      </c>
      <c r="W1108" s="5"/>
      <c r="X1108" s="5" t="s">
        <v>72</v>
      </c>
      <c r="Y1108" s="25" t="s">
        <v>73</v>
      </c>
      <c r="Z1108" s="28"/>
      <c r="AA1108" s="28"/>
      <c r="AB1108" s="28"/>
      <c r="AC1108" s="28"/>
      <c r="AD1108" s="28"/>
      <c r="AE1108" s="28"/>
      <c r="AF1108" s="28"/>
      <c r="AG1108" s="28"/>
      <c r="AH1108" s="28"/>
      <c r="AI1108" s="28"/>
      <c r="AJ1108" s="28"/>
      <c r="AK1108" s="28"/>
      <c r="AL1108" s="28"/>
      <c r="AM1108" s="28" t="s">
        <v>76</v>
      </c>
      <c r="AN1108" s="5" t="s">
        <v>5483</v>
      </c>
      <c r="AO1108" s="28"/>
      <c r="AP1108" s="28"/>
      <c r="AQ1108" s="25" t="s">
        <v>4924</v>
      </c>
      <c r="AR1108" s="28" t="s">
        <v>72</v>
      </c>
      <c r="AS1108" s="28" t="s">
        <v>73</v>
      </c>
      <c r="AT1108" s="5" t="s">
        <v>105</v>
      </c>
      <c r="AU1108" s="28" t="s">
        <v>106</v>
      </c>
      <c r="AV1108" s="28"/>
      <c r="AW1108" s="5" t="s">
        <v>94</v>
      </c>
      <c r="AX1108" s="28" t="s">
        <v>296</v>
      </c>
      <c r="AY1108" s="28" t="s">
        <v>5038</v>
      </c>
      <c r="AZ1108" s="5" t="s">
        <v>188</v>
      </c>
      <c r="BA1108" s="28"/>
      <c r="BB1108" s="28"/>
      <c r="BF1108" s="28"/>
      <c r="BH1108" s="28"/>
      <c r="BI1108" s="28"/>
      <c r="BJ1108" s="102" t="n">
        <v>2023</v>
      </c>
      <c r="BK1108" s="28"/>
    </row>
    <row r="1109" customFormat="false" ht="15.75" hidden="false" customHeight="false" outlineLevel="0" collapsed="false">
      <c r="A1109" s="107" t="s">
        <v>5536</v>
      </c>
      <c r="B1109" s="28" t="s">
        <v>5537</v>
      </c>
      <c r="C1109" s="28"/>
      <c r="D1109" s="5"/>
      <c r="E1109" s="108" t="n">
        <v>267900.17</v>
      </c>
      <c r="F1109" s="109" t="n">
        <v>267900.17</v>
      </c>
      <c r="G1109" s="5" t="s">
        <v>147</v>
      </c>
      <c r="H1109" s="38"/>
      <c r="I1109" s="28"/>
      <c r="J1109" s="41" t="n">
        <v>267900.17</v>
      </c>
      <c r="K1109" s="40" t="n">
        <v>267900.17</v>
      </c>
      <c r="L1109" s="25" t="s">
        <v>84</v>
      </c>
      <c r="N1109" s="28"/>
      <c r="O1109" s="28"/>
      <c r="P1109" s="28"/>
      <c r="Q1109" s="28"/>
      <c r="R1109" s="28"/>
      <c r="S1109" s="28"/>
      <c r="T1109" s="28"/>
      <c r="V1109" s="107" t="s">
        <v>5536</v>
      </c>
      <c r="W1109" s="5"/>
      <c r="X1109" s="5" t="s">
        <v>143</v>
      </c>
      <c r="Y1109" s="25" t="s">
        <v>73</v>
      </c>
      <c r="Z1109" s="28"/>
      <c r="AA1109" s="28"/>
      <c r="AB1109" s="28"/>
      <c r="AC1109" s="28"/>
      <c r="AD1109" s="28"/>
      <c r="AE1109" s="28"/>
      <c r="AF1109" s="28"/>
      <c r="AG1109" s="28"/>
      <c r="AH1109" s="28"/>
      <c r="AI1109" s="28"/>
      <c r="AJ1109" s="28"/>
      <c r="AK1109" s="28"/>
      <c r="AL1109" s="28"/>
      <c r="AM1109" s="5" t="s">
        <v>182</v>
      </c>
      <c r="AN1109" s="5" t="s">
        <v>976</v>
      </c>
      <c r="AO1109" s="28"/>
      <c r="AP1109" s="28"/>
      <c r="AQ1109" s="25" t="s">
        <v>4924</v>
      </c>
      <c r="AR1109" s="5" t="s">
        <v>185</v>
      </c>
      <c r="AS1109" s="28" t="s">
        <v>73</v>
      </c>
      <c r="AT1109" s="5" t="s">
        <v>78</v>
      </c>
      <c r="AU1109" s="28"/>
      <c r="AV1109" s="28"/>
      <c r="AW1109" s="5" t="s">
        <v>94</v>
      </c>
      <c r="AX1109" s="28" t="s">
        <v>296</v>
      </c>
      <c r="AY1109" s="28" t="s">
        <v>297</v>
      </c>
      <c r="AZ1109" s="5" t="s">
        <v>399</v>
      </c>
      <c r="BA1109" s="28"/>
      <c r="BB1109" s="28"/>
      <c r="BF1109" s="28"/>
      <c r="BH1109" s="28"/>
      <c r="BI1109" s="28"/>
      <c r="BJ1109" s="38" t="n">
        <v>2024</v>
      </c>
      <c r="BK1109" s="28"/>
    </row>
    <row r="1110" customFormat="false" ht="15.75" hidden="false" customHeight="false" outlineLevel="0" collapsed="false">
      <c r="A1110" s="107" t="s">
        <v>5538</v>
      </c>
      <c r="B1110" s="5" t="s">
        <v>5539</v>
      </c>
      <c r="C1110" s="28"/>
      <c r="D1110" s="5"/>
      <c r="E1110" s="108" t="n">
        <v>221375</v>
      </c>
      <c r="F1110" s="109" t="n">
        <v>221375</v>
      </c>
      <c r="G1110" s="5" t="s">
        <v>147</v>
      </c>
      <c r="H1110" s="38"/>
      <c r="I1110" s="28"/>
      <c r="J1110" s="41" t="n">
        <v>221375</v>
      </c>
      <c r="K1110" s="40" t="n">
        <v>221375</v>
      </c>
      <c r="L1110" s="25" t="s">
        <v>84</v>
      </c>
      <c r="N1110" s="28"/>
      <c r="O1110" s="28"/>
      <c r="P1110" s="28"/>
      <c r="Q1110" s="28"/>
      <c r="R1110" s="28"/>
      <c r="S1110" s="28"/>
      <c r="T1110" s="28"/>
      <c r="V1110" s="107" t="s">
        <v>5538</v>
      </c>
      <c r="W1110" s="5"/>
      <c r="X1110" s="5" t="s">
        <v>215</v>
      </c>
      <c r="Y1110" s="25" t="s">
        <v>73</v>
      </c>
      <c r="Z1110" s="28"/>
      <c r="AA1110" s="28"/>
      <c r="AB1110" s="28"/>
      <c r="AC1110" s="28"/>
      <c r="AD1110" s="28"/>
      <c r="AE1110" s="28"/>
      <c r="AF1110" s="28"/>
      <c r="AG1110" s="28"/>
      <c r="AH1110" s="28"/>
      <c r="AI1110" s="28"/>
      <c r="AJ1110" s="28"/>
      <c r="AK1110" s="28"/>
      <c r="AL1110" s="28"/>
      <c r="AM1110" s="5" t="s">
        <v>182</v>
      </c>
      <c r="AN1110" s="5" t="s">
        <v>976</v>
      </c>
      <c r="AO1110" s="28"/>
      <c r="AP1110" s="28"/>
      <c r="AQ1110" s="25" t="s">
        <v>4924</v>
      </c>
      <c r="AR1110" s="5" t="s">
        <v>185</v>
      </c>
      <c r="AS1110" s="28" t="s">
        <v>73</v>
      </c>
      <c r="AT1110" s="5" t="s">
        <v>78</v>
      </c>
      <c r="AU1110" s="28"/>
      <c r="AV1110" s="28"/>
      <c r="AW1110" s="5" t="s">
        <v>94</v>
      </c>
      <c r="AX1110" s="28" t="s">
        <v>375</v>
      </c>
      <c r="AY1110" s="28"/>
      <c r="AZ1110" s="5" t="s">
        <v>399</v>
      </c>
      <c r="BA1110" s="28"/>
      <c r="BB1110" s="28"/>
      <c r="BF1110" s="28"/>
      <c r="BH1110" s="28"/>
      <c r="BI1110" s="28"/>
      <c r="BJ1110" s="38" t="n">
        <v>2024</v>
      </c>
      <c r="BK1110" s="28"/>
    </row>
    <row r="1111" customFormat="false" ht="15.75" hidden="false" customHeight="false" outlineLevel="0" collapsed="false">
      <c r="A1111" s="107" t="s">
        <v>5540</v>
      </c>
      <c r="B1111" s="28" t="s">
        <v>5541</v>
      </c>
      <c r="C1111" s="28"/>
      <c r="D1111" s="5"/>
      <c r="E1111" s="108" t="n">
        <v>248562.51</v>
      </c>
      <c r="F1111" s="109" t="n">
        <v>248562.51</v>
      </c>
      <c r="G1111" s="5" t="s">
        <v>147</v>
      </c>
      <c r="H1111" s="38"/>
      <c r="I1111" s="28"/>
      <c r="J1111" s="41" t="n">
        <v>248562.51</v>
      </c>
      <c r="K1111" s="40" t="n">
        <v>248562.51</v>
      </c>
      <c r="L1111" s="25" t="s">
        <v>84</v>
      </c>
      <c r="N1111" s="28"/>
      <c r="O1111" s="28"/>
      <c r="P1111" s="28"/>
      <c r="Q1111" s="28"/>
      <c r="R1111" s="28"/>
      <c r="S1111" s="28"/>
      <c r="T1111" s="28"/>
      <c r="V1111" s="107" t="s">
        <v>5540</v>
      </c>
      <c r="W1111" s="5"/>
      <c r="X1111" s="5" t="s">
        <v>151</v>
      </c>
      <c r="Y1111" s="25" t="s">
        <v>73</v>
      </c>
      <c r="Z1111" s="28"/>
      <c r="AA1111" s="28"/>
      <c r="AB1111" s="28"/>
      <c r="AC1111" s="28"/>
      <c r="AD1111" s="28"/>
      <c r="AE1111" s="28"/>
      <c r="AF1111" s="28"/>
      <c r="AG1111" s="28"/>
      <c r="AH1111" s="28"/>
      <c r="AI1111" s="28"/>
      <c r="AJ1111" s="28"/>
      <c r="AK1111" s="28"/>
      <c r="AL1111" s="28"/>
      <c r="AM1111" s="5" t="s">
        <v>182</v>
      </c>
      <c r="AN1111" s="5" t="s">
        <v>976</v>
      </c>
      <c r="AO1111" s="28"/>
      <c r="AP1111" s="28"/>
      <c r="AQ1111" s="25" t="s">
        <v>4924</v>
      </c>
      <c r="AR1111" s="5" t="s">
        <v>185</v>
      </c>
      <c r="AS1111" s="28" t="s">
        <v>73</v>
      </c>
      <c r="AT1111" s="5" t="s">
        <v>78</v>
      </c>
      <c r="AU1111" s="28"/>
      <c r="AV1111" s="28"/>
      <c r="AW1111" s="5" t="s">
        <v>94</v>
      </c>
      <c r="AX1111" s="28" t="s">
        <v>218</v>
      </c>
      <c r="AY1111" s="28"/>
      <c r="AZ1111" s="5" t="s">
        <v>399</v>
      </c>
      <c r="BA1111" s="28"/>
      <c r="BB1111" s="28"/>
      <c r="BF1111" s="28"/>
      <c r="BH1111" s="28"/>
      <c r="BI1111" s="28"/>
      <c r="BJ1111" s="38" t="n">
        <v>2024</v>
      </c>
      <c r="BK1111" s="28"/>
    </row>
    <row r="1112" customFormat="false" ht="18" hidden="false" customHeight="true" outlineLevel="0" collapsed="false">
      <c r="A1112" s="110" t="s">
        <v>5542</v>
      </c>
      <c r="B1112" s="111" t="s">
        <v>5543</v>
      </c>
      <c r="C1112" s="5" t="str">
        <f aca="false">IFERROR(__xludf.dummyfunction("IF(A1112&lt;&gt;"""", IFERROR(TEXTJOIN("", "", TRUE, FILTER('Current projects in Airtable'!B:B, ISNUMBER(SEARCH('Current projects in Airtable'!B:B, A1112)))), """"), """")"),"")</f>
        <v/>
      </c>
      <c r="D1112" s="8" t="s">
        <v>5544</v>
      </c>
      <c r="E1112" s="112" t="n">
        <v>99999</v>
      </c>
      <c r="F1112" s="112" t="n">
        <v>99999</v>
      </c>
      <c r="G1112" s="5" t="s">
        <v>110</v>
      </c>
      <c r="I1112" s="5"/>
      <c r="J1112" s="82" t="n">
        <f aca="false">E1112*0.087</f>
        <v>8699.913</v>
      </c>
      <c r="K1112" s="82" t="n">
        <f aca="false">F1112*0.087</f>
        <v>8699.913</v>
      </c>
      <c r="L1112" s="25" t="s">
        <v>84</v>
      </c>
      <c r="M1112" s="5"/>
      <c r="N1112" s="100" t="s">
        <v>5545</v>
      </c>
      <c r="O1112" s="28"/>
      <c r="P1112" s="28"/>
      <c r="Q1112" s="28"/>
      <c r="R1112" s="28"/>
      <c r="S1112" s="28"/>
      <c r="T1112" s="28"/>
      <c r="V1112" s="28"/>
      <c r="W1112" s="5"/>
      <c r="X1112" s="5" t="s">
        <v>115</v>
      </c>
      <c r="Y1112" s="25" t="s">
        <v>73</v>
      </c>
      <c r="Z1112" s="28"/>
      <c r="AA1112" s="28"/>
      <c r="AB1112" s="28"/>
      <c r="AC1112" s="28"/>
      <c r="AD1112" s="28"/>
      <c r="AE1112" s="28"/>
      <c r="AF1112" s="28"/>
      <c r="AG1112" s="28"/>
      <c r="AH1112" s="28"/>
      <c r="AI1112" s="28"/>
      <c r="AJ1112" s="28"/>
      <c r="AK1112" s="28"/>
      <c r="AL1112" s="28"/>
      <c r="AM1112" s="28" t="s">
        <v>173</v>
      </c>
      <c r="AN1112" s="28"/>
      <c r="AO1112" s="28"/>
      <c r="AP1112" s="28"/>
      <c r="AQ1112" s="25" t="s">
        <v>4924</v>
      </c>
      <c r="AR1112" s="28" t="s">
        <v>115</v>
      </c>
      <c r="AS1112" s="28" t="s">
        <v>73</v>
      </c>
      <c r="AT1112" s="5" t="s">
        <v>105</v>
      </c>
      <c r="AU1112" s="28"/>
      <c r="AV1112" s="28"/>
      <c r="AW1112" s="5" t="s">
        <v>94</v>
      </c>
      <c r="AX1112" s="28" t="s">
        <v>79</v>
      </c>
      <c r="AY1112" s="28"/>
      <c r="AZ1112" s="5" t="s">
        <v>121</v>
      </c>
      <c r="BA1112" s="28"/>
      <c r="BB1112" s="28"/>
      <c r="BF1112" s="28"/>
      <c r="BH1112" s="28"/>
      <c r="BI1112" s="28"/>
      <c r="BJ1112" s="102" t="n">
        <v>2024</v>
      </c>
      <c r="BK1112" s="28"/>
    </row>
    <row r="1113" customFormat="false" ht="18" hidden="false" customHeight="true" outlineLevel="0" collapsed="false">
      <c r="A1113" s="110" t="s">
        <v>5546</v>
      </c>
      <c r="B1113" s="113"/>
      <c r="C1113" s="5" t="str">
        <f aca="false">IFERROR(__xludf.dummyfunction("IF(A1113&lt;&gt;"""", IFERROR(TEXTJOIN("", "", TRUE, FILTER('Current projects in Airtable'!B:B, ISNUMBER(SEARCH('Current projects in Airtable'!B:B, A1113)))), """"), """")"),"")</f>
        <v/>
      </c>
      <c r="D1113" s="8" t="s">
        <v>5544</v>
      </c>
      <c r="E1113" s="112" t="n">
        <v>5700000</v>
      </c>
      <c r="F1113" s="112" t="n">
        <v>5700000</v>
      </c>
      <c r="G1113" s="5" t="s">
        <v>110</v>
      </c>
      <c r="I1113" s="5"/>
      <c r="J1113" s="82" t="n">
        <f aca="false">E1113*0.087</f>
        <v>495900</v>
      </c>
      <c r="K1113" s="82" t="n">
        <f aca="false">F1113*0.087</f>
        <v>495900</v>
      </c>
      <c r="L1113" s="25" t="s">
        <v>84</v>
      </c>
      <c r="M1113" s="5"/>
      <c r="N1113" s="100" t="s">
        <v>5547</v>
      </c>
      <c r="O1113" s="28"/>
      <c r="P1113" s="28"/>
      <c r="Q1113" s="28"/>
      <c r="R1113" s="28"/>
      <c r="S1113" s="28"/>
      <c r="T1113" s="28"/>
      <c r="V1113" s="28"/>
      <c r="W1113" s="5"/>
      <c r="X1113" s="5" t="s">
        <v>115</v>
      </c>
      <c r="Y1113" s="25" t="s">
        <v>73</v>
      </c>
      <c r="Z1113" s="28"/>
      <c r="AA1113" s="28"/>
      <c r="AB1113" s="28"/>
      <c r="AC1113" s="28"/>
      <c r="AD1113" s="28"/>
      <c r="AE1113" s="28"/>
      <c r="AF1113" s="28"/>
      <c r="AG1113" s="28"/>
      <c r="AH1113" s="28"/>
      <c r="AI1113" s="28"/>
      <c r="AJ1113" s="28"/>
      <c r="AK1113" s="28"/>
      <c r="AL1113" s="28"/>
      <c r="AM1113" s="28" t="s">
        <v>173</v>
      </c>
      <c r="AN1113" s="28"/>
      <c r="AO1113" s="28"/>
      <c r="AP1113" s="28"/>
      <c r="AQ1113" s="25" t="s">
        <v>4924</v>
      </c>
      <c r="AR1113" s="28" t="s">
        <v>115</v>
      </c>
      <c r="AS1113" s="28" t="s">
        <v>73</v>
      </c>
      <c r="AT1113" s="5" t="s">
        <v>78</v>
      </c>
      <c r="AU1113" s="28" t="s">
        <v>259</v>
      </c>
      <c r="AV1113" s="28"/>
      <c r="AW1113" s="5" t="s">
        <v>94</v>
      </c>
      <c r="AX1113" s="28" t="s">
        <v>79</v>
      </c>
      <c r="AY1113" s="28"/>
      <c r="AZ1113" s="5" t="s">
        <v>129</v>
      </c>
      <c r="BA1113" s="28"/>
      <c r="BB1113" s="28"/>
      <c r="BF1113" s="28"/>
      <c r="BH1113" s="28"/>
      <c r="BI1113" s="28"/>
      <c r="BJ1113" s="102" t="n">
        <v>2021</v>
      </c>
      <c r="BK1113" s="28"/>
    </row>
    <row r="1114" customFormat="false" ht="18" hidden="false" customHeight="true" outlineLevel="0" collapsed="false">
      <c r="A1114" s="110" t="s">
        <v>5548</v>
      </c>
      <c r="B1114" s="113"/>
      <c r="C1114" s="5" t="str">
        <f aca="false">IFERROR(__xludf.dummyfunction("IF(A1114&lt;&gt;"""", IFERROR(TEXTJOIN("", "", TRUE, FILTER('Current projects in Airtable'!B:B, ISNUMBER(SEARCH('Current projects in Airtable'!B:B, A1114)))), """"), """")"),"")</f>
        <v/>
      </c>
      <c r="D1114" s="8" t="s">
        <v>5544</v>
      </c>
      <c r="E1114" s="112" t="n">
        <v>40000000</v>
      </c>
      <c r="F1114" s="112" t="n">
        <v>40000000</v>
      </c>
      <c r="G1114" s="5" t="s">
        <v>110</v>
      </c>
      <c r="I1114" s="5"/>
      <c r="J1114" s="82" t="n">
        <f aca="false">E1114*0.087</f>
        <v>3480000</v>
      </c>
      <c r="K1114" s="82" t="n">
        <f aca="false">F1114*0.087</f>
        <v>3480000</v>
      </c>
      <c r="L1114" s="25" t="s">
        <v>84</v>
      </c>
      <c r="M1114" s="5"/>
      <c r="N1114" s="100" t="s">
        <v>5549</v>
      </c>
      <c r="O1114" s="28"/>
      <c r="P1114" s="28"/>
      <c r="Q1114" s="28"/>
      <c r="R1114" s="28"/>
      <c r="S1114" s="28"/>
      <c r="T1114" s="28"/>
      <c r="V1114" s="28"/>
      <c r="W1114" s="5"/>
      <c r="X1114" s="5" t="s">
        <v>115</v>
      </c>
      <c r="Y1114" s="25" t="s">
        <v>73</v>
      </c>
      <c r="Z1114" s="28"/>
      <c r="AA1114" s="28"/>
      <c r="AB1114" s="28"/>
      <c r="AC1114" s="28"/>
      <c r="AD1114" s="28"/>
      <c r="AE1114" s="28"/>
      <c r="AF1114" s="28"/>
      <c r="AG1114" s="28"/>
      <c r="AH1114" s="28"/>
      <c r="AI1114" s="28"/>
      <c r="AJ1114" s="28"/>
      <c r="AK1114" s="28"/>
      <c r="AL1114" s="28"/>
      <c r="AM1114" s="28" t="s">
        <v>173</v>
      </c>
      <c r="AN1114" s="28"/>
      <c r="AO1114" s="28"/>
      <c r="AP1114" s="28"/>
      <c r="AQ1114" s="25" t="s">
        <v>4924</v>
      </c>
      <c r="AR1114" s="28" t="s">
        <v>115</v>
      </c>
      <c r="AS1114" s="28" t="s">
        <v>73</v>
      </c>
      <c r="AT1114" s="5" t="s">
        <v>105</v>
      </c>
      <c r="AU1114" s="28"/>
      <c r="AV1114" s="28"/>
      <c r="AW1114" s="5" t="s">
        <v>94</v>
      </c>
      <c r="AX1114" s="28" t="s">
        <v>79</v>
      </c>
      <c r="AY1114" s="28"/>
      <c r="AZ1114" s="5" t="s">
        <v>121</v>
      </c>
      <c r="BA1114" s="28"/>
      <c r="BB1114" s="28"/>
      <c r="BF1114" s="28"/>
      <c r="BH1114" s="28"/>
      <c r="BI1114" s="28"/>
      <c r="BJ1114" s="102" t="n">
        <v>2018</v>
      </c>
      <c r="BK1114" s="28"/>
    </row>
    <row r="1115" customFormat="false" ht="18" hidden="false" customHeight="true" outlineLevel="0" collapsed="false">
      <c r="A1115" s="110" t="s">
        <v>5550</v>
      </c>
      <c r="B1115" s="114" t="s">
        <v>5551</v>
      </c>
      <c r="C1115" s="5" t="str">
        <f aca="false">IFERROR(__xludf.dummyfunction("IF(A1115&lt;&gt;"""", IFERROR(TEXTJOIN("", "", TRUE, FILTER('Current projects in Airtable'!B:B, ISNUMBER(SEARCH('Current projects in Airtable'!B:B, A1115)))), """"), """")"),"")</f>
        <v/>
      </c>
      <c r="D1115" s="8" t="s">
        <v>5544</v>
      </c>
      <c r="E1115" s="112" t="n">
        <v>100000</v>
      </c>
      <c r="F1115" s="112" t="n">
        <v>100000</v>
      </c>
      <c r="G1115" s="5" t="s">
        <v>110</v>
      </c>
      <c r="J1115" s="82" t="n">
        <v>8700</v>
      </c>
      <c r="K1115" s="82" t="n">
        <v>8700</v>
      </c>
      <c r="L1115" s="25" t="s">
        <v>84</v>
      </c>
      <c r="M1115" s="5"/>
      <c r="N1115" s="100" t="s">
        <v>5552</v>
      </c>
      <c r="O1115" s="28"/>
      <c r="P1115" s="28"/>
      <c r="Q1115" s="28"/>
      <c r="R1115" s="28"/>
      <c r="S1115" s="28"/>
      <c r="T1115" s="28"/>
      <c r="V1115" s="115" t="s">
        <v>5553</v>
      </c>
      <c r="W1115" s="5"/>
      <c r="X1115" s="5" t="s">
        <v>115</v>
      </c>
      <c r="Y1115" s="25" t="s">
        <v>73</v>
      </c>
      <c r="Z1115" s="28"/>
      <c r="AA1115" s="28"/>
      <c r="AB1115" s="28"/>
      <c r="AC1115" s="28"/>
      <c r="AD1115" s="28"/>
      <c r="AE1115" s="28"/>
      <c r="AF1115" s="28"/>
      <c r="AG1115" s="28"/>
      <c r="AH1115" s="28"/>
      <c r="AI1115" s="28"/>
      <c r="AJ1115" s="28"/>
      <c r="AK1115" s="28"/>
      <c r="AL1115" s="28"/>
      <c r="AM1115" s="28" t="s">
        <v>173</v>
      </c>
      <c r="AN1115" s="28"/>
      <c r="AO1115" s="28"/>
      <c r="AP1115" s="28"/>
      <c r="AQ1115" s="25" t="s">
        <v>4924</v>
      </c>
      <c r="AR1115" s="28" t="s">
        <v>115</v>
      </c>
      <c r="AS1115" s="28" t="s">
        <v>73</v>
      </c>
      <c r="AT1115" s="5" t="s">
        <v>105</v>
      </c>
      <c r="AU1115" s="28"/>
      <c r="AV1115" s="28"/>
      <c r="AW1115" s="5" t="s">
        <v>94</v>
      </c>
      <c r="AX1115" s="28" t="s">
        <v>79</v>
      </c>
      <c r="AY1115" s="28"/>
      <c r="AZ1115" s="5" t="s">
        <v>540</v>
      </c>
      <c r="BA1115" s="28"/>
      <c r="BB1115" s="28"/>
      <c r="BF1115" s="28"/>
      <c r="BH1115" s="28"/>
      <c r="BI1115" s="28"/>
      <c r="BJ1115" s="102" t="n">
        <v>2022</v>
      </c>
      <c r="BK1115" s="28"/>
    </row>
    <row r="1116" customFormat="false" ht="18" hidden="false" customHeight="true" outlineLevel="0" collapsed="false">
      <c r="A1116" s="110" t="s">
        <v>5554</v>
      </c>
      <c r="B1116" s="114" t="s">
        <v>5555</v>
      </c>
      <c r="C1116" s="5" t="str">
        <f aca="false">IFERROR(__xludf.dummyfunction("IF(A1116&lt;&gt;"""", IFERROR(TEXTJOIN("", "", TRUE, FILTER('Current projects in Airtable'!B:B, ISNUMBER(SEARCH('Current projects in Airtable'!B:B, A1116)))), """"), """")"),"")</f>
        <v/>
      </c>
      <c r="D1116" s="8" t="s">
        <v>5544</v>
      </c>
      <c r="E1116" s="112" t="n">
        <v>5400000</v>
      </c>
      <c r="F1116" s="112" t="n">
        <v>5400000</v>
      </c>
      <c r="G1116" s="5" t="s">
        <v>110</v>
      </c>
      <c r="J1116" s="82" t="n">
        <v>469800</v>
      </c>
      <c r="K1116" s="82" t="n">
        <v>469800</v>
      </c>
      <c r="L1116" s="25" t="s">
        <v>84</v>
      </c>
      <c r="M1116" s="5"/>
      <c r="N1116" s="100" t="s">
        <v>5556</v>
      </c>
      <c r="O1116" s="28"/>
      <c r="P1116" s="28"/>
      <c r="Q1116" s="28"/>
      <c r="R1116" s="28"/>
      <c r="S1116" s="28"/>
      <c r="T1116" s="28"/>
      <c r="V1116" s="116" t="s">
        <v>5557</v>
      </c>
      <c r="W1116" s="5"/>
      <c r="X1116" s="5" t="s">
        <v>115</v>
      </c>
      <c r="Y1116" s="25" t="s">
        <v>73</v>
      </c>
      <c r="Z1116" s="28"/>
      <c r="AA1116" s="28"/>
      <c r="AB1116" s="28"/>
      <c r="AC1116" s="28"/>
      <c r="AD1116" s="28"/>
      <c r="AE1116" s="28"/>
      <c r="AF1116" s="28"/>
      <c r="AG1116" s="28"/>
      <c r="AH1116" s="28"/>
      <c r="AI1116" s="28"/>
      <c r="AJ1116" s="28"/>
      <c r="AK1116" s="28"/>
      <c r="AL1116" s="28"/>
      <c r="AM1116" s="28" t="s">
        <v>173</v>
      </c>
      <c r="AN1116" s="28"/>
      <c r="AO1116" s="28"/>
      <c r="AP1116" s="28"/>
      <c r="AQ1116" s="25" t="s">
        <v>4924</v>
      </c>
      <c r="AR1116" s="28" t="s">
        <v>115</v>
      </c>
      <c r="AS1116" s="28" t="s">
        <v>73</v>
      </c>
      <c r="AT1116" s="5" t="s">
        <v>105</v>
      </c>
      <c r="AU1116" s="28"/>
      <c r="AV1116" s="28"/>
      <c r="AW1116" s="5" t="s">
        <v>94</v>
      </c>
      <c r="AX1116" s="28" t="s">
        <v>79</v>
      </c>
      <c r="AY1116" s="28"/>
      <c r="AZ1116" s="5" t="s">
        <v>540</v>
      </c>
      <c r="BA1116" s="28"/>
      <c r="BB1116" s="28"/>
      <c r="BF1116" s="28"/>
      <c r="BH1116" s="28"/>
      <c r="BI1116" s="28"/>
      <c r="BJ1116" s="102" t="n">
        <v>2020</v>
      </c>
      <c r="BK1116" s="28"/>
    </row>
    <row r="1117" customFormat="false" ht="18" hidden="false" customHeight="true" outlineLevel="0" collapsed="false">
      <c r="A1117" s="110" t="s">
        <v>5558</v>
      </c>
      <c r="B1117" s="7" t="s">
        <v>5559</v>
      </c>
      <c r="C1117" s="5" t="str">
        <f aca="false">IFERROR(__xludf.dummyfunction("IF(A1117&lt;&gt;"""", IFERROR(TEXTJOIN("", "", TRUE, FILTER('Current projects in Airtable'!B:B, ISNUMBER(SEARCH('Current projects in Airtable'!B:B, A1117)))), """"), """")"),"")</f>
        <v/>
      </c>
      <c r="D1117" s="8" t="s">
        <v>5544</v>
      </c>
      <c r="E1117" s="112" t="n">
        <v>24999</v>
      </c>
      <c r="F1117" s="112" t="n">
        <v>24999</v>
      </c>
      <c r="G1117" s="5" t="s">
        <v>110</v>
      </c>
      <c r="J1117" s="82" t="n">
        <v>2174.913</v>
      </c>
      <c r="K1117" s="82" t="n">
        <v>2174.913</v>
      </c>
      <c r="L1117" s="25" t="s">
        <v>84</v>
      </c>
      <c r="M1117" s="5"/>
      <c r="N1117" s="100" t="s">
        <v>5560</v>
      </c>
      <c r="O1117" s="28"/>
      <c r="P1117" s="28"/>
      <c r="Q1117" s="28"/>
      <c r="R1117" s="28"/>
      <c r="S1117" s="28"/>
      <c r="T1117" s="28"/>
      <c r="V1117" s="100" t="s">
        <v>5561</v>
      </c>
      <c r="W1117" s="5"/>
      <c r="X1117" s="5" t="s">
        <v>115</v>
      </c>
      <c r="Y1117" s="25" t="s">
        <v>73</v>
      </c>
      <c r="Z1117" s="28"/>
      <c r="AA1117" s="28"/>
      <c r="AB1117" s="28"/>
      <c r="AC1117" s="28"/>
      <c r="AD1117" s="28"/>
      <c r="AE1117" s="28"/>
      <c r="AF1117" s="28"/>
      <c r="AG1117" s="28"/>
      <c r="AH1117" s="28"/>
      <c r="AI1117" s="28"/>
      <c r="AJ1117" s="28"/>
      <c r="AK1117" s="28"/>
      <c r="AL1117" s="28"/>
      <c r="AM1117" s="28" t="s">
        <v>173</v>
      </c>
      <c r="AN1117" s="28"/>
      <c r="AO1117" s="28"/>
      <c r="AP1117" s="28"/>
      <c r="AQ1117" s="25" t="s">
        <v>4924</v>
      </c>
      <c r="AR1117" s="28" t="s">
        <v>115</v>
      </c>
      <c r="AS1117" s="28" t="s">
        <v>73</v>
      </c>
      <c r="AT1117" s="5" t="s">
        <v>105</v>
      </c>
      <c r="AU1117" s="28" t="s">
        <v>106</v>
      </c>
      <c r="AV1117" s="28"/>
      <c r="AW1117" s="5" t="s">
        <v>94</v>
      </c>
      <c r="AX1117" s="28" t="s">
        <v>79</v>
      </c>
      <c r="AY1117" s="28"/>
      <c r="AZ1117" s="5" t="s">
        <v>399</v>
      </c>
      <c r="BA1117" s="28"/>
      <c r="BB1117" s="28"/>
      <c r="BF1117" s="28"/>
      <c r="BH1117" s="28"/>
      <c r="BI1117" s="28"/>
      <c r="BJ1117" s="102" t="n">
        <v>2024</v>
      </c>
      <c r="BK1117" s="28"/>
    </row>
    <row r="1118" customFormat="false" ht="18" hidden="false" customHeight="true" outlineLevel="0" collapsed="false">
      <c r="A1118" s="110" t="s">
        <v>5562</v>
      </c>
      <c r="B1118" s="7" t="s">
        <v>5559</v>
      </c>
      <c r="C1118" s="5" t="str">
        <f aca="false">IFERROR(__xludf.dummyfunction("IF(A1118&lt;&gt;"""", IFERROR(TEXTJOIN("", "", TRUE, FILTER('Current projects in Airtable'!B:B, ISNUMBER(SEARCH('Current projects in Airtable'!B:B, A1118)))), """"), """")"),"")</f>
        <v/>
      </c>
      <c r="D1118" s="8" t="s">
        <v>5544</v>
      </c>
      <c r="E1118" s="112" t="n">
        <v>24999</v>
      </c>
      <c r="F1118" s="112" t="n">
        <v>24999</v>
      </c>
      <c r="G1118" s="5" t="s">
        <v>110</v>
      </c>
      <c r="J1118" s="82" t="n">
        <v>2174.913</v>
      </c>
      <c r="K1118" s="82" t="n">
        <v>2174.913</v>
      </c>
      <c r="L1118" s="25" t="s">
        <v>84</v>
      </c>
      <c r="M1118" s="5"/>
      <c r="N1118" s="100" t="s">
        <v>5563</v>
      </c>
      <c r="O1118" s="28"/>
      <c r="P1118" s="28"/>
      <c r="Q1118" s="28"/>
      <c r="R1118" s="28"/>
      <c r="S1118" s="28"/>
      <c r="T1118" s="28"/>
      <c r="V1118" s="100" t="s">
        <v>5561</v>
      </c>
      <c r="W1118" s="5"/>
      <c r="X1118" s="5" t="s">
        <v>115</v>
      </c>
      <c r="Y1118" s="25" t="s">
        <v>73</v>
      </c>
      <c r="Z1118" s="28"/>
      <c r="AA1118" s="28"/>
      <c r="AB1118" s="28"/>
      <c r="AC1118" s="28"/>
      <c r="AD1118" s="28"/>
      <c r="AE1118" s="28"/>
      <c r="AF1118" s="28"/>
      <c r="AG1118" s="28"/>
      <c r="AH1118" s="28"/>
      <c r="AI1118" s="28"/>
      <c r="AJ1118" s="28"/>
      <c r="AK1118" s="28"/>
      <c r="AL1118" s="28"/>
      <c r="AM1118" s="28" t="s">
        <v>173</v>
      </c>
      <c r="AN1118" s="28"/>
      <c r="AO1118" s="28"/>
      <c r="AP1118" s="28"/>
      <c r="AQ1118" s="25" t="s">
        <v>4924</v>
      </c>
      <c r="AR1118" s="28" t="s">
        <v>115</v>
      </c>
      <c r="AS1118" s="28" t="s">
        <v>73</v>
      </c>
      <c r="AT1118" s="5" t="s">
        <v>105</v>
      </c>
      <c r="AU1118" s="28" t="s">
        <v>106</v>
      </c>
      <c r="AV1118" s="28"/>
      <c r="AW1118" s="5" t="s">
        <v>94</v>
      </c>
      <c r="AX1118" s="28" t="s">
        <v>79</v>
      </c>
      <c r="AY1118" s="28"/>
      <c r="AZ1118" s="5" t="s">
        <v>399</v>
      </c>
      <c r="BA1118" s="28"/>
      <c r="BB1118" s="28"/>
      <c r="BF1118" s="28"/>
      <c r="BH1118" s="28"/>
      <c r="BI1118" s="28"/>
      <c r="BJ1118" s="102" t="n">
        <v>2024</v>
      </c>
      <c r="BK1118" s="28"/>
    </row>
    <row r="1119" customFormat="false" ht="18" hidden="false" customHeight="true" outlineLevel="0" collapsed="false">
      <c r="A1119" s="110" t="s">
        <v>5564</v>
      </c>
      <c r="B1119" s="114" t="s">
        <v>5565</v>
      </c>
      <c r="C1119" s="5" t="str">
        <f aca="false">IFERROR(__xludf.dummyfunction("IF(A1119&lt;&gt;"""", IFERROR(TEXTJOIN("", "", TRUE, FILTER('Current projects in Airtable'!B:B, ISNUMBER(SEARCH('Current projects in Airtable'!B:B, A1119)))), """"), """")"),"")</f>
        <v/>
      </c>
      <c r="D1119" s="8" t="s">
        <v>5544</v>
      </c>
      <c r="E1119" s="112" t="n">
        <v>2400000</v>
      </c>
      <c r="F1119" s="112" t="n">
        <v>2400000</v>
      </c>
      <c r="G1119" s="5" t="s">
        <v>110</v>
      </c>
      <c r="J1119" s="82" t="n">
        <f aca="false">E1119*0.087</f>
        <v>208800</v>
      </c>
      <c r="K1119" s="82" t="n">
        <f aca="false">F1119*0.087</f>
        <v>208800</v>
      </c>
      <c r="L1119" s="25" t="s">
        <v>84</v>
      </c>
      <c r="M1119" s="5"/>
      <c r="N1119" s="100" t="s">
        <v>5566</v>
      </c>
      <c r="O1119" s="28"/>
      <c r="P1119" s="28"/>
      <c r="Q1119" s="28"/>
      <c r="R1119" s="28"/>
      <c r="S1119" s="28"/>
      <c r="T1119" s="28"/>
      <c r="V1119" s="5"/>
      <c r="W1119" s="5"/>
      <c r="X1119" s="5" t="s">
        <v>115</v>
      </c>
      <c r="Y1119" s="25" t="s">
        <v>73</v>
      </c>
      <c r="Z1119" s="28"/>
      <c r="AA1119" s="28"/>
      <c r="AB1119" s="28"/>
      <c r="AC1119" s="28"/>
      <c r="AD1119" s="28"/>
      <c r="AE1119" s="28"/>
      <c r="AF1119" s="28"/>
      <c r="AG1119" s="28"/>
      <c r="AH1119" s="28"/>
      <c r="AI1119" s="28"/>
      <c r="AJ1119" s="28"/>
      <c r="AK1119" s="28"/>
      <c r="AL1119" s="28"/>
      <c r="AM1119" s="28" t="s">
        <v>173</v>
      </c>
      <c r="AN1119" s="28"/>
      <c r="AO1119" s="28"/>
      <c r="AP1119" s="28"/>
      <c r="AQ1119" s="25" t="s">
        <v>4924</v>
      </c>
      <c r="AR1119" s="28" t="s">
        <v>115</v>
      </c>
      <c r="AS1119" s="28" t="s">
        <v>73</v>
      </c>
      <c r="AT1119" s="5" t="s">
        <v>78</v>
      </c>
      <c r="AU1119" s="28"/>
      <c r="AV1119" s="28"/>
      <c r="AW1119" s="5" t="s">
        <v>94</v>
      </c>
      <c r="AX1119" s="28" t="s">
        <v>79</v>
      </c>
      <c r="AY1119" s="28"/>
      <c r="AZ1119" s="5" t="s">
        <v>188</v>
      </c>
      <c r="BA1119" s="28"/>
      <c r="BB1119" s="28"/>
      <c r="BF1119" s="28"/>
      <c r="BH1119" s="28"/>
      <c r="BI1119" s="28"/>
      <c r="BJ1119" s="102" t="n">
        <v>2018</v>
      </c>
      <c r="BK1119" s="28"/>
    </row>
    <row r="1120" customFormat="false" ht="18" hidden="false" customHeight="true" outlineLevel="0" collapsed="false">
      <c r="A1120" s="110" t="s">
        <v>5567</v>
      </c>
      <c r="B1120" s="7"/>
      <c r="C1120" s="5" t="str">
        <f aca="false">IFERROR(__xludf.dummyfunction("IF(A1120&lt;&gt;"""", IFERROR(TEXTJOIN("", "", TRUE, FILTER('Current projects in Airtable'!B:B, ISNUMBER(SEARCH('Current projects in Airtable'!B:B, A1120)))), """"), """")"),"")</f>
        <v/>
      </c>
      <c r="D1120" s="8" t="s">
        <v>5544</v>
      </c>
      <c r="E1120" s="112" t="n">
        <v>99999</v>
      </c>
      <c r="F1120" s="112" t="n">
        <v>99999</v>
      </c>
      <c r="G1120" s="5" t="s">
        <v>110</v>
      </c>
      <c r="J1120" s="82" t="n">
        <v>8699.913</v>
      </c>
      <c r="K1120" s="82" t="n">
        <v>8699.913</v>
      </c>
      <c r="L1120" s="25" t="s">
        <v>84</v>
      </c>
      <c r="M1120" s="5"/>
      <c r="N1120" s="100" t="s">
        <v>5568</v>
      </c>
      <c r="O1120" s="28"/>
      <c r="P1120" s="28"/>
      <c r="Q1120" s="28"/>
      <c r="R1120" s="28"/>
      <c r="S1120" s="28"/>
      <c r="T1120" s="28"/>
      <c r="V1120" s="100" t="s">
        <v>5569</v>
      </c>
      <c r="W1120" s="5"/>
      <c r="X1120" s="5" t="s">
        <v>115</v>
      </c>
      <c r="Y1120" s="25" t="s">
        <v>73</v>
      </c>
      <c r="Z1120" s="28"/>
      <c r="AA1120" s="28"/>
      <c r="AB1120" s="28"/>
      <c r="AC1120" s="28"/>
      <c r="AD1120" s="28"/>
      <c r="AE1120" s="28"/>
      <c r="AF1120" s="28"/>
      <c r="AG1120" s="28"/>
      <c r="AH1120" s="28"/>
      <c r="AI1120" s="28"/>
      <c r="AJ1120" s="28"/>
      <c r="AK1120" s="28"/>
      <c r="AL1120" s="28"/>
      <c r="AM1120" s="28" t="s">
        <v>173</v>
      </c>
      <c r="AN1120" s="28"/>
      <c r="AO1120" s="28"/>
      <c r="AP1120" s="28"/>
      <c r="AQ1120" s="25" t="s">
        <v>4924</v>
      </c>
      <c r="AR1120" s="28" t="s">
        <v>115</v>
      </c>
      <c r="AS1120" s="28" t="s">
        <v>73</v>
      </c>
      <c r="AT1120" s="5" t="s">
        <v>78</v>
      </c>
      <c r="AU1120" s="28"/>
      <c r="AV1120" s="28"/>
      <c r="AW1120" s="5" t="s">
        <v>94</v>
      </c>
      <c r="AX1120" s="28" t="s">
        <v>79</v>
      </c>
      <c r="AY1120" s="28"/>
      <c r="AZ1120" s="5" t="s">
        <v>129</v>
      </c>
      <c r="BA1120" s="28"/>
      <c r="BB1120" s="28"/>
      <c r="BF1120" s="28"/>
      <c r="BH1120" s="28"/>
      <c r="BI1120" s="28"/>
      <c r="BJ1120" s="102" t="n">
        <v>2020</v>
      </c>
      <c r="BK1120" s="28"/>
    </row>
    <row r="1121" customFormat="false" ht="18" hidden="false" customHeight="true" outlineLevel="0" collapsed="false">
      <c r="A1121" s="110" t="s">
        <v>5570</v>
      </c>
      <c r="B1121" s="114" t="s">
        <v>5571</v>
      </c>
      <c r="C1121" s="5" t="str">
        <f aca="false">IFERROR(__xludf.dummyfunction("IF(A1121&lt;&gt;"""", IFERROR(TEXTJOIN("", "", TRUE, FILTER('Current projects in Airtable'!B:B, ISNUMBER(SEARCH('Current projects in Airtable'!B:B, A1121)))), """"), """")"),"")</f>
        <v/>
      </c>
      <c r="D1121" s="8" t="s">
        <v>5544</v>
      </c>
      <c r="E1121" s="112" t="n">
        <v>96000000</v>
      </c>
      <c r="F1121" s="112" t="n">
        <v>96000000</v>
      </c>
      <c r="G1121" s="5" t="s">
        <v>110</v>
      </c>
      <c r="J1121" s="82" t="n">
        <v>8352000</v>
      </c>
      <c r="K1121" s="82" t="n">
        <v>8352000</v>
      </c>
      <c r="L1121" s="25" t="s">
        <v>84</v>
      </c>
      <c r="M1121" s="5"/>
      <c r="N1121" s="100" t="s">
        <v>5572</v>
      </c>
      <c r="O1121" s="28"/>
      <c r="P1121" s="28"/>
      <c r="Q1121" s="28"/>
      <c r="R1121" s="28"/>
      <c r="S1121" s="28"/>
      <c r="T1121" s="28"/>
      <c r="V1121" s="100" t="s">
        <v>2551</v>
      </c>
      <c r="W1121" s="5"/>
      <c r="X1121" s="5" t="s">
        <v>115</v>
      </c>
      <c r="Y1121" s="25" t="s">
        <v>73</v>
      </c>
      <c r="Z1121" s="28"/>
      <c r="AA1121" s="28"/>
      <c r="AB1121" s="28"/>
      <c r="AC1121" s="28"/>
      <c r="AD1121" s="28"/>
      <c r="AE1121" s="28"/>
      <c r="AF1121" s="28"/>
      <c r="AG1121" s="28"/>
      <c r="AH1121" s="28"/>
      <c r="AI1121" s="28"/>
      <c r="AJ1121" s="28"/>
      <c r="AK1121" s="28"/>
      <c r="AL1121" s="28"/>
      <c r="AM1121" s="28" t="s">
        <v>173</v>
      </c>
      <c r="AN1121" s="28"/>
      <c r="AO1121" s="28"/>
      <c r="AP1121" s="28"/>
      <c r="AQ1121" s="25" t="s">
        <v>4924</v>
      </c>
      <c r="AR1121" s="28" t="s">
        <v>115</v>
      </c>
      <c r="AS1121" s="28" t="s">
        <v>73</v>
      </c>
      <c r="AT1121" s="5" t="s">
        <v>105</v>
      </c>
      <c r="AU1121" s="28"/>
      <c r="AV1121" s="28"/>
      <c r="AW1121" s="5" t="s">
        <v>94</v>
      </c>
      <c r="AX1121" s="28" t="s">
        <v>79</v>
      </c>
      <c r="AY1121" s="28"/>
      <c r="AZ1121" s="5" t="s">
        <v>95</v>
      </c>
      <c r="BA1121" s="28"/>
      <c r="BB1121" s="28"/>
      <c r="BF1121" s="28"/>
      <c r="BH1121" s="28"/>
      <c r="BI1121" s="28"/>
      <c r="BJ1121" s="102" t="n">
        <v>2020</v>
      </c>
      <c r="BK1121" s="28"/>
    </row>
    <row r="1122" customFormat="false" ht="18" hidden="false" customHeight="true" outlineLevel="0" collapsed="false">
      <c r="A1122" s="110" t="s">
        <v>5573</v>
      </c>
      <c r="B1122" s="114" t="s">
        <v>5574</v>
      </c>
      <c r="C1122" s="5" t="str">
        <f aca="false">IFERROR(__xludf.dummyfunction("IF(A1122&lt;&gt;"""", IFERROR(TEXTJOIN("", "", TRUE, FILTER('Current projects in Airtable'!B:B, ISNUMBER(SEARCH('Current projects in Airtable'!B:B, A1122)))), """"), """")"),"")</f>
        <v/>
      </c>
      <c r="D1122" s="8" t="s">
        <v>5544</v>
      </c>
      <c r="E1122" s="112" t="n">
        <v>26800000</v>
      </c>
      <c r="F1122" s="112" t="n">
        <v>26800000</v>
      </c>
      <c r="G1122" s="5" t="s">
        <v>110</v>
      </c>
      <c r="J1122" s="82" t="n">
        <v>2331600</v>
      </c>
      <c r="K1122" s="82" t="n">
        <v>2331600</v>
      </c>
      <c r="L1122" s="25" t="s">
        <v>84</v>
      </c>
      <c r="M1122" s="5"/>
      <c r="N1122" s="100" t="s">
        <v>5575</v>
      </c>
      <c r="O1122" s="28"/>
      <c r="P1122" s="28"/>
      <c r="Q1122" s="28"/>
      <c r="R1122" s="28"/>
      <c r="S1122" s="28"/>
      <c r="T1122" s="28"/>
      <c r="V1122" s="100" t="s">
        <v>5576</v>
      </c>
      <c r="W1122" s="5"/>
      <c r="X1122" s="5" t="s">
        <v>115</v>
      </c>
      <c r="Y1122" s="25" t="s">
        <v>73</v>
      </c>
      <c r="Z1122" s="28"/>
      <c r="AA1122" s="28"/>
      <c r="AB1122" s="28"/>
      <c r="AC1122" s="28"/>
      <c r="AD1122" s="28"/>
      <c r="AE1122" s="28"/>
      <c r="AF1122" s="28"/>
      <c r="AG1122" s="28"/>
      <c r="AH1122" s="28"/>
      <c r="AI1122" s="28"/>
      <c r="AJ1122" s="28"/>
      <c r="AK1122" s="28"/>
      <c r="AL1122" s="28"/>
      <c r="AM1122" s="28" t="s">
        <v>173</v>
      </c>
      <c r="AN1122" s="28"/>
      <c r="AO1122" s="28"/>
      <c r="AP1122" s="28"/>
      <c r="AQ1122" s="25" t="s">
        <v>4924</v>
      </c>
      <c r="AR1122" s="28" t="s">
        <v>115</v>
      </c>
      <c r="AS1122" s="28" t="s">
        <v>73</v>
      </c>
      <c r="AT1122" s="5" t="s">
        <v>78</v>
      </c>
      <c r="AU1122" s="28"/>
      <c r="AV1122" s="28"/>
      <c r="AW1122" s="5" t="s">
        <v>94</v>
      </c>
      <c r="AX1122" s="28" t="s">
        <v>79</v>
      </c>
      <c r="AY1122" s="28"/>
      <c r="AZ1122" s="5" t="s">
        <v>5577</v>
      </c>
      <c r="BA1122" s="28"/>
      <c r="BB1122" s="28"/>
      <c r="BF1122" s="28"/>
      <c r="BH1122" s="28"/>
      <c r="BI1122" s="28"/>
      <c r="BJ1122" s="102" t="n">
        <v>2021</v>
      </c>
      <c r="BK1122" s="28"/>
    </row>
    <row r="1123" customFormat="false" ht="18" hidden="false" customHeight="true" outlineLevel="0" collapsed="false">
      <c r="A1123" s="110" t="s">
        <v>5578</v>
      </c>
      <c r="B1123" s="117" t="s">
        <v>5579</v>
      </c>
      <c r="C1123" s="5" t="str">
        <f aca="false">IFERROR(__xludf.dummyfunction("IF(A1123&lt;&gt;"""", IFERROR(TEXTJOIN("", "", TRUE, FILTER('Current projects in Airtable'!B:B, ISNUMBER(SEARCH('Current projects in Airtable'!B:B, A1123)))), """"), """")"),"")</f>
        <v/>
      </c>
      <c r="D1123" s="8" t="s">
        <v>5544</v>
      </c>
      <c r="E1123" s="112" t="n">
        <v>1100000</v>
      </c>
      <c r="F1123" s="112" t="n">
        <v>1100000</v>
      </c>
      <c r="G1123" s="5" t="s">
        <v>110</v>
      </c>
      <c r="J1123" s="82" t="n">
        <v>95700</v>
      </c>
      <c r="K1123" s="82" t="n">
        <v>95700</v>
      </c>
      <c r="L1123" s="25" t="s">
        <v>84</v>
      </c>
      <c r="M1123" s="5"/>
      <c r="N1123" s="100" t="s">
        <v>5580</v>
      </c>
      <c r="O1123" s="28"/>
      <c r="P1123" s="28"/>
      <c r="Q1123" s="28"/>
      <c r="R1123" s="28"/>
      <c r="S1123" s="28"/>
      <c r="T1123" s="28"/>
      <c r="V1123" s="5" t="s">
        <v>5557</v>
      </c>
      <c r="W1123" s="5"/>
      <c r="X1123" s="5" t="s">
        <v>115</v>
      </c>
      <c r="Y1123" s="25" t="s">
        <v>73</v>
      </c>
      <c r="Z1123" s="28"/>
      <c r="AA1123" s="28"/>
      <c r="AB1123" s="28"/>
      <c r="AC1123" s="28"/>
      <c r="AD1123" s="28"/>
      <c r="AE1123" s="28"/>
      <c r="AF1123" s="28"/>
      <c r="AG1123" s="28"/>
      <c r="AH1123" s="28"/>
      <c r="AI1123" s="28"/>
      <c r="AJ1123" s="28"/>
      <c r="AK1123" s="28"/>
      <c r="AL1123" s="28"/>
      <c r="AM1123" s="28" t="s">
        <v>173</v>
      </c>
      <c r="AN1123" s="28"/>
      <c r="AO1123" s="28"/>
      <c r="AP1123" s="28"/>
      <c r="AQ1123" s="25" t="s">
        <v>4924</v>
      </c>
      <c r="AR1123" s="28" t="s">
        <v>115</v>
      </c>
      <c r="AS1123" s="28" t="s">
        <v>73</v>
      </c>
      <c r="AT1123" s="5" t="s">
        <v>105</v>
      </c>
      <c r="AU1123" s="28"/>
      <c r="AV1123" s="28"/>
      <c r="AW1123" s="5" t="s">
        <v>94</v>
      </c>
      <c r="AX1123" s="28" t="s">
        <v>79</v>
      </c>
      <c r="AY1123" s="28"/>
      <c r="AZ1123" s="5" t="s">
        <v>107</v>
      </c>
      <c r="BA1123" s="28"/>
      <c r="BB1123" s="28"/>
      <c r="BF1123" s="28"/>
      <c r="BH1123" s="28"/>
      <c r="BI1123" s="28"/>
      <c r="BJ1123" s="102" t="n">
        <v>2020</v>
      </c>
      <c r="BK1123" s="28"/>
    </row>
    <row r="1124" customFormat="false" ht="18" hidden="false" customHeight="true" outlineLevel="0" collapsed="false">
      <c r="A1124" s="110" t="s">
        <v>3351</v>
      </c>
      <c r="B1124" s="114" t="s">
        <v>5581</v>
      </c>
      <c r="C1124" s="5" t="str">
        <f aca="false">IFERROR(__xludf.dummyfunction("IF(A1124&lt;&gt;"""", IFERROR(TEXTJOIN("", "", TRUE, FILTER('Current projects in Airtable'!B:B, ISNUMBER(SEARCH('Current projects in Airtable'!B:B, A1124)))), """"), """")"),"")</f>
        <v/>
      </c>
      <c r="D1124" s="8" t="s">
        <v>5544</v>
      </c>
      <c r="E1124" s="112" t="n">
        <v>12000000</v>
      </c>
      <c r="F1124" s="112" t="n">
        <v>12000000</v>
      </c>
      <c r="G1124" s="5" t="s">
        <v>110</v>
      </c>
      <c r="J1124" s="82" t="n">
        <f aca="false">E1124*0.087</f>
        <v>1044000</v>
      </c>
      <c r="K1124" s="82" t="n">
        <f aca="false">F1124*0.087</f>
        <v>1044000</v>
      </c>
      <c r="L1124" s="25" t="s">
        <v>84</v>
      </c>
      <c r="M1124" s="5"/>
      <c r="N1124" s="100" t="s">
        <v>5582</v>
      </c>
      <c r="O1124" s="28"/>
      <c r="P1124" s="28"/>
      <c r="Q1124" s="28"/>
      <c r="R1124" s="28"/>
      <c r="S1124" s="28"/>
      <c r="T1124" s="28"/>
      <c r="V1124" s="5"/>
      <c r="W1124" s="5"/>
      <c r="X1124" s="5" t="s">
        <v>115</v>
      </c>
      <c r="Y1124" s="25" t="s">
        <v>73</v>
      </c>
      <c r="Z1124" s="28"/>
      <c r="AA1124" s="28"/>
      <c r="AB1124" s="28"/>
      <c r="AC1124" s="28"/>
      <c r="AD1124" s="28"/>
      <c r="AE1124" s="28"/>
      <c r="AF1124" s="28"/>
      <c r="AG1124" s="28"/>
      <c r="AH1124" s="28"/>
      <c r="AI1124" s="28"/>
      <c r="AJ1124" s="28"/>
      <c r="AK1124" s="28"/>
      <c r="AL1124" s="28"/>
      <c r="AM1124" s="28" t="s">
        <v>173</v>
      </c>
      <c r="AN1124" s="28"/>
      <c r="AO1124" s="28"/>
      <c r="AP1124" s="28"/>
      <c r="AQ1124" s="25" t="s">
        <v>4924</v>
      </c>
      <c r="AR1124" s="28" t="s">
        <v>115</v>
      </c>
      <c r="AS1124" s="28" t="s">
        <v>73</v>
      </c>
      <c r="AT1124" s="5" t="s">
        <v>71</v>
      </c>
      <c r="AU1124" s="28"/>
      <c r="AV1124" s="28"/>
      <c r="AW1124" s="5" t="s">
        <v>94</v>
      </c>
      <c r="AX1124" s="28" t="s">
        <v>375</v>
      </c>
      <c r="AY1124" s="28"/>
      <c r="AZ1124" s="5" t="s">
        <v>399</v>
      </c>
      <c r="BA1124" s="28"/>
      <c r="BB1124" s="28"/>
      <c r="BF1124" s="28"/>
      <c r="BH1124" s="28"/>
      <c r="BI1124" s="28"/>
      <c r="BJ1124" s="102" t="n">
        <v>2025</v>
      </c>
      <c r="BK1124" s="28"/>
    </row>
    <row r="1125" customFormat="false" ht="18" hidden="false" customHeight="true" outlineLevel="0" collapsed="false">
      <c r="A1125" s="110" t="s">
        <v>5583</v>
      </c>
      <c r="B1125" s="114" t="s">
        <v>5584</v>
      </c>
      <c r="C1125" s="5" t="str">
        <f aca="false">IFERROR(__xludf.dummyfunction("IF(A1125&lt;&gt;"""", IFERROR(TEXTJOIN("", "", TRUE, FILTER('Current projects in Airtable'!B:B, ISNUMBER(SEARCH('Current projects in Airtable'!B:B, A1125)))), """"), """")"),"")</f>
        <v/>
      </c>
      <c r="D1125" s="8" t="s">
        <v>5544</v>
      </c>
      <c r="E1125" s="112" t="n">
        <v>10000000</v>
      </c>
      <c r="F1125" s="112" t="n">
        <v>10000000</v>
      </c>
      <c r="G1125" s="5" t="s">
        <v>110</v>
      </c>
      <c r="J1125" s="82" t="n">
        <f aca="false">E1125*0.087</f>
        <v>870000</v>
      </c>
      <c r="K1125" s="82" t="n">
        <f aca="false">F1125*0.087</f>
        <v>870000</v>
      </c>
      <c r="L1125" s="25" t="s">
        <v>84</v>
      </c>
      <c r="M1125" s="5"/>
      <c r="N1125" s="100" t="s">
        <v>5585</v>
      </c>
      <c r="O1125" s="28"/>
      <c r="P1125" s="28"/>
      <c r="Q1125" s="28"/>
      <c r="R1125" s="28"/>
      <c r="S1125" s="28"/>
      <c r="T1125" s="28"/>
      <c r="V1125" s="5"/>
      <c r="W1125" s="5"/>
      <c r="X1125" s="5" t="s">
        <v>115</v>
      </c>
      <c r="Y1125" s="25" t="s">
        <v>73</v>
      </c>
      <c r="Z1125" s="28"/>
      <c r="AA1125" s="28"/>
      <c r="AB1125" s="28"/>
      <c r="AC1125" s="28"/>
      <c r="AD1125" s="28"/>
      <c r="AE1125" s="28"/>
      <c r="AF1125" s="28"/>
      <c r="AG1125" s="28"/>
      <c r="AH1125" s="28"/>
      <c r="AI1125" s="28"/>
      <c r="AJ1125" s="28"/>
      <c r="AK1125" s="28"/>
      <c r="AL1125" s="28"/>
      <c r="AM1125" s="28" t="s">
        <v>173</v>
      </c>
      <c r="AN1125" s="28"/>
      <c r="AO1125" s="28"/>
      <c r="AP1125" s="28"/>
      <c r="AQ1125" s="25" t="s">
        <v>4924</v>
      </c>
      <c r="AR1125" s="28" t="s">
        <v>115</v>
      </c>
      <c r="AS1125" s="28" t="s">
        <v>73</v>
      </c>
      <c r="AT1125" s="5" t="s">
        <v>71</v>
      </c>
      <c r="AU1125" s="28"/>
      <c r="AV1125" s="28"/>
      <c r="AW1125" s="5" t="s">
        <v>94</v>
      </c>
      <c r="AX1125" s="28" t="s">
        <v>79</v>
      </c>
      <c r="AY1125" s="28"/>
      <c r="AZ1125" s="5" t="s">
        <v>5586</v>
      </c>
      <c r="BA1125" s="28"/>
      <c r="BB1125" s="28"/>
      <c r="BF1125" s="28"/>
      <c r="BH1125" s="28"/>
      <c r="BI1125" s="28"/>
      <c r="BJ1125" s="102" t="n">
        <v>2019</v>
      </c>
      <c r="BK1125" s="28"/>
    </row>
    <row r="1126" customFormat="false" ht="18" hidden="false" customHeight="true" outlineLevel="0" collapsed="false">
      <c r="A1126" s="110" t="s">
        <v>5587</v>
      </c>
      <c r="B1126" s="114" t="s">
        <v>5588</v>
      </c>
      <c r="C1126" s="5" t="str">
        <f aca="false">IFERROR(__xludf.dummyfunction("IF(A1126&lt;&gt;"""", IFERROR(TEXTJOIN("", "", TRUE, FILTER('Current projects in Airtable'!B:B, ISNUMBER(SEARCH('Current projects in Airtable'!B:B, A1126)))), """"), """")"),"")</f>
        <v/>
      </c>
      <c r="D1126" s="8" t="s">
        <v>5544</v>
      </c>
      <c r="E1126" s="112" t="n">
        <v>99999</v>
      </c>
      <c r="F1126" s="112" t="n">
        <v>99999</v>
      </c>
      <c r="G1126" s="5" t="s">
        <v>110</v>
      </c>
      <c r="J1126" s="82" t="n">
        <v>8699.913</v>
      </c>
      <c r="K1126" s="82" t="n">
        <v>8699.913</v>
      </c>
      <c r="L1126" s="25" t="s">
        <v>84</v>
      </c>
      <c r="M1126" s="5"/>
      <c r="N1126" s="100" t="s">
        <v>5589</v>
      </c>
      <c r="O1126" s="28"/>
      <c r="P1126" s="28"/>
      <c r="Q1126" s="28"/>
      <c r="R1126" s="28"/>
      <c r="S1126" s="28"/>
      <c r="T1126" s="28"/>
      <c r="V1126" s="100" t="s">
        <v>5590</v>
      </c>
      <c r="W1126" s="5"/>
      <c r="X1126" s="5" t="s">
        <v>115</v>
      </c>
      <c r="Y1126" s="25" t="s">
        <v>73</v>
      </c>
      <c r="Z1126" s="28"/>
      <c r="AA1126" s="28"/>
      <c r="AB1126" s="28"/>
      <c r="AC1126" s="28"/>
      <c r="AD1126" s="28"/>
      <c r="AE1126" s="28"/>
      <c r="AF1126" s="28"/>
      <c r="AG1126" s="28"/>
      <c r="AH1126" s="28"/>
      <c r="AI1126" s="28"/>
      <c r="AJ1126" s="28"/>
      <c r="AK1126" s="28"/>
      <c r="AL1126" s="28"/>
      <c r="AM1126" s="28" t="s">
        <v>173</v>
      </c>
      <c r="AN1126" s="28"/>
      <c r="AO1126" s="28"/>
      <c r="AP1126" s="28"/>
      <c r="AQ1126" s="25" t="s">
        <v>4924</v>
      </c>
      <c r="AR1126" s="28" t="s">
        <v>115</v>
      </c>
      <c r="AS1126" s="28" t="s">
        <v>73</v>
      </c>
      <c r="AT1126" s="5" t="s">
        <v>71</v>
      </c>
      <c r="AU1126" s="28"/>
      <c r="AV1126" s="28"/>
      <c r="AW1126" s="5" t="s">
        <v>94</v>
      </c>
      <c r="AX1126" s="28" t="s">
        <v>79</v>
      </c>
      <c r="AY1126" s="28"/>
      <c r="AZ1126" s="5" t="s">
        <v>525</v>
      </c>
      <c r="BA1126" s="28"/>
      <c r="BB1126" s="28"/>
      <c r="BF1126" s="28"/>
      <c r="BH1126" s="28"/>
      <c r="BI1126" s="28"/>
      <c r="BJ1126" s="102" t="n">
        <v>2020</v>
      </c>
      <c r="BK1126" s="28"/>
    </row>
    <row r="1127" customFormat="false" ht="18" hidden="false" customHeight="true" outlineLevel="0" collapsed="false">
      <c r="A1127" s="110" t="s">
        <v>5591</v>
      </c>
      <c r="B1127" s="7"/>
      <c r="C1127" s="5" t="str">
        <f aca="false">IFERROR(__xludf.dummyfunction("IF(A1127&lt;&gt;"""", IFERROR(TEXTJOIN("", "", TRUE, FILTER('Current projects in Airtable'!B:B, ISNUMBER(SEARCH('Current projects in Airtable'!B:B, A1127)))), """"), """")"),"")</f>
        <v/>
      </c>
      <c r="D1127" s="8" t="s">
        <v>5544</v>
      </c>
      <c r="E1127" s="112" t="n">
        <v>20000000</v>
      </c>
      <c r="F1127" s="112" t="n">
        <v>20000000</v>
      </c>
      <c r="G1127" s="5" t="s">
        <v>110</v>
      </c>
      <c r="J1127" s="82" t="n">
        <f aca="false">E1127*0.087</f>
        <v>1740000</v>
      </c>
      <c r="K1127" s="82" t="n">
        <f aca="false">F1127*0.087</f>
        <v>1740000</v>
      </c>
      <c r="L1127" s="25" t="s">
        <v>84</v>
      </c>
      <c r="M1127" s="5"/>
      <c r="N1127" s="100" t="s">
        <v>5592</v>
      </c>
      <c r="O1127" s="28"/>
      <c r="P1127" s="28"/>
      <c r="Q1127" s="28"/>
      <c r="R1127" s="28"/>
      <c r="S1127" s="28"/>
      <c r="T1127" s="28"/>
      <c r="V1127" s="5"/>
      <c r="W1127" s="5"/>
      <c r="X1127" s="5" t="s">
        <v>115</v>
      </c>
      <c r="Y1127" s="25" t="s">
        <v>73</v>
      </c>
      <c r="Z1127" s="28"/>
      <c r="AA1127" s="28"/>
      <c r="AB1127" s="28"/>
      <c r="AC1127" s="28"/>
      <c r="AD1127" s="28"/>
      <c r="AE1127" s="28"/>
      <c r="AF1127" s="28"/>
      <c r="AG1127" s="28"/>
      <c r="AH1127" s="28"/>
      <c r="AI1127" s="28"/>
      <c r="AJ1127" s="28"/>
      <c r="AK1127" s="28"/>
      <c r="AL1127" s="28"/>
      <c r="AM1127" s="28" t="s">
        <v>173</v>
      </c>
      <c r="AN1127" s="28"/>
      <c r="AO1127" s="28"/>
      <c r="AP1127" s="28"/>
      <c r="AQ1127" s="25" t="s">
        <v>4924</v>
      </c>
      <c r="AR1127" s="28" t="s">
        <v>115</v>
      </c>
      <c r="AS1127" s="28" t="s">
        <v>73</v>
      </c>
      <c r="AT1127" s="5" t="s">
        <v>105</v>
      </c>
      <c r="AU1127" s="28"/>
      <c r="AV1127" s="28"/>
      <c r="AW1127" s="5" t="s">
        <v>94</v>
      </c>
      <c r="AX1127" s="28" t="s">
        <v>79</v>
      </c>
      <c r="AY1127" s="28"/>
      <c r="AZ1127" s="5" t="s">
        <v>540</v>
      </c>
      <c r="BA1127" s="28"/>
      <c r="BB1127" s="28"/>
      <c r="BF1127" s="28"/>
      <c r="BH1127" s="28"/>
      <c r="BI1127" s="28"/>
      <c r="BJ1127" s="102" t="n">
        <v>2017</v>
      </c>
      <c r="BK1127" s="28"/>
    </row>
    <row r="1128" customFormat="false" ht="18" hidden="false" customHeight="true" outlineLevel="0" collapsed="false">
      <c r="A1128" s="110" t="s">
        <v>5593</v>
      </c>
      <c r="B1128" s="114" t="s">
        <v>5594</v>
      </c>
      <c r="C1128" s="5" t="str">
        <f aca="false">IFERROR(__xludf.dummyfunction("IF(A1128&lt;&gt;"""", IFERROR(TEXTJOIN("", "", TRUE, FILTER('Current projects in Airtable'!B:B, ISNUMBER(SEARCH('Current projects in Airtable'!B:B, A1128)))), """"), """")"),"")</f>
        <v/>
      </c>
      <c r="D1128" s="8" t="s">
        <v>5544</v>
      </c>
      <c r="E1128" s="112" t="n">
        <f aca="false">86800000/3</f>
        <v>28933333.3333333</v>
      </c>
      <c r="F1128" s="112" t="n">
        <f aca="false">86800000/3</f>
        <v>28933333.3333333</v>
      </c>
      <c r="G1128" s="5" t="s">
        <v>110</v>
      </c>
      <c r="J1128" s="82" t="n">
        <f aca="false">7551600/3</f>
        <v>2517200</v>
      </c>
      <c r="K1128" s="82" t="n">
        <f aca="false">7551600/3</f>
        <v>2517200</v>
      </c>
      <c r="L1128" s="25" t="s">
        <v>84</v>
      </c>
      <c r="M1128" s="5"/>
      <c r="N1128" s="100" t="s">
        <v>5595</v>
      </c>
      <c r="O1128" s="28"/>
      <c r="P1128" s="28"/>
      <c r="Q1128" s="28"/>
      <c r="R1128" s="28" t="s">
        <v>5596</v>
      </c>
      <c r="S1128" s="28"/>
      <c r="T1128" s="28"/>
      <c r="V1128" s="5" t="s">
        <v>114</v>
      </c>
      <c r="W1128" s="5"/>
      <c r="X1128" s="5" t="s">
        <v>115</v>
      </c>
      <c r="Y1128" s="25" t="s">
        <v>73</v>
      </c>
      <c r="Z1128" s="28"/>
      <c r="AA1128" s="28"/>
      <c r="AB1128" s="28"/>
      <c r="AC1128" s="28"/>
      <c r="AD1128" s="28"/>
      <c r="AE1128" s="28"/>
      <c r="AF1128" s="28"/>
      <c r="AG1128" s="28"/>
      <c r="AH1128" s="28"/>
      <c r="AI1128" s="28"/>
      <c r="AJ1128" s="28"/>
      <c r="AK1128" s="28"/>
      <c r="AL1128" s="28"/>
      <c r="AM1128" s="28" t="s">
        <v>173</v>
      </c>
      <c r="AN1128" s="28"/>
      <c r="AO1128" s="28"/>
      <c r="AP1128" s="28"/>
      <c r="AQ1128" s="25" t="s">
        <v>4924</v>
      </c>
      <c r="AR1128" s="28" t="s">
        <v>115</v>
      </c>
      <c r="AS1128" s="28" t="s">
        <v>73</v>
      </c>
      <c r="AT1128" s="5" t="s">
        <v>78</v>
      </c>
      <c r="AU1128" s="28"/>
      <c r="AV1128" s="28"/>
      <c r="AW1128" s="5" t="s">
        <v>94</v>
      </c>
      <c r="AX1128" s="28" t="s">
        <v>375</v>
      </c>
      <c r="AY1128" s="28"/>
      <c r="AZ1128" s="5" t="s">
        <v>396</v>
      </c>
      <c r="BA1128" s="28"/>
      <c r="BB1128" s="28"/>
      <c r="BF1128" s="28"/>
      <c r="BH1128" s="28"/>
      <c r="BI1128" s="28"/>
      <c r="BJ1128" s="102" t="n">
        <v>2021</v>
      </c>
      <c r="BK1128" s="28"/>
    </row>
    <row r="1129" customFormat="false" ht="18" hidden="false" customHeight="true" outlineLevel="0" collapsed="false">
      <c r="A1129" s="110" t="s">
        <v>5597</v>
      </c>
      <c r="B1129" s="118" t="s">
        <v>5598</v>
      </c>
      <c r="C1129" s="5" t="str">
        <f aca="false">IFERROR(__xludf.dummyfunction("IF(A1129&lt;&gt;"""", IFERROR(TEXTJOIN("", "", TRUE, FILTER('Current projects in Airtable'!B:B, ISNUMBER(SEARCH('Current projects in Airtable'!B:B, A1129)))), """"), """")"),"")</f>
        <v/>
      </c>
      <c r="D1129" s="8" t="s">
        <v>5544</v>
      </c>
      <c r="E1129" s="112" t="n">
        <v>99999</v>
      </c>
      <c r="F1129" s="112" t="n">
        <v>99999</v>
      </c>
      <c r="G1129" s="5" t="s">
        <v>110</v>
      </c>
      <c r="J1129" s="82" t="n">
        <v>8699.913</v>
      </c>
      <c r="K1129" s="82" t="n">
        <v>8699.913</v>
      </c>
      <c r="L1129" s="25" t="s">
        <v>84</v>
      </c>
      <c r="M1129" s="5"/>
      <c r="N1129" s="100" t="s">
        <v>5599</v>
      </c>
      <c r="O1129" s="28"/>
      <c r="P1129" s="28"/>
      <c r="Q1129" s="28"/>
      <c r="R1129" s="28"/>
      <c r="S1129" s="28"/>
      <c r="T1129" s="28"/>
      <c r="V1129" s="5" t="s">
        <v>5557</v>
      </c>
      <c r="W1129" s="5"/>
      <c r="X1129" s="5" t="s">
        <v>115</v>
      </c>
      <c r="Y1129" s="25" t="s">
        <v>73</v>
      </c>
      <c r="Z1129" s="28"/>
      <c r="AA1129" s="28"/>
      <c r="AB1129" s="28"/>
      <c r="AC1129" s="28"/>
      <c r="AD1129" s="28"/>
      <c r="AE1129" s="28"/>
      <c r="AF1129" s="28"/>
      <c r="AG1129" s="28"/>
      <c r="AH1129" s="28"/>
      <c r="AI1129" s="28"/>
      <c r="AJ1129" s="28"/>
      <c r="AK1129" s="28"/>
      <c r="AL1129" s="28"/>
      <c r="AM1129" s="28" t="s">
        <v>173</v>
      </c>
      <c r="AN1129" s="28"/>
      <c r="AO1129" s="28"/>
      <c r="AP1129" s="28"/>
      <c r="AQ1129" s="25" t="s">
        <v>4924</v>
      </c>
      <c r="AR1129" s="28" t="s">
        <v>115</v>
      </c>
      <c r="AS1129" s="28" t="s">
        <v>73</v>
      </c>
      <c r="AT1129" s="5" t="s">
        <v>105</v>
      </c>
      <c r="AU1129" s="28" t="s">
        <v>106</v>
      </c>
      <c r="AV1129" s="28"/>
      <c r="AW1129" s="5" t="s">
        <v>94</v>
      </c>
      <c r="AX1129" s="28" t="s">
        <v>296</v>
      </c>
      <c r="AY1129" s="28" t="s">
        <v>297</v>
      </c>
      <c r="AZ1129" s="5" t="s">
        <v>399</v>
      </c>
      <c r="BA1129" s="28"/>
      <c r="BB1129" s="28"/>
      <c r="BF1129" s="28"/>
      <c r="BH1129" s="28"/>
      <c r="BI1129" s="28"/>
      <c r="BJ1129" s="102" t="n">
        <v>2024</v>
      </c>
      <c r="BK1129" s="28"/>
    </row>
    <row r="1130" customFormat="false" ht="18" hidden="false" customHeight="true" outlineLevel="0" collapsed="false">
      <c r="A1130" s="110" t="s">
        <v>5600</v>
      </c>
      <c r="B1130" s="117" t="s">
        <v>5601</v>
      </c>
      <c r="C1130" s="5" t="str">
        <f aca="false">IFERROR(__xludf.dummyfunction("IF(A1130&lt;&gt;"""", IFERROR(TEXTJOIN("", "", TRUE, FILTER('Current projects in Airtable'!B:B, ISNUMBER(SEARCH('Current projects in Airtable'!B:B, A1130)))), """"), """")"),"")</f>
        <v/>
      </c>
      <c r="D1130" s="8" t="s">
        <v>5544</v>
      </c>
      <c r="E1130" s="112" t="n">
        <f aca="false">97100000/3</f>
        <v>32366666.6666667</v>
      </c>
      <c r="F1130" s="112" t="n">
        <f aca="false">97100000/3</f>
        <v>32366666.6666667</v>
      </c>
      <c r="G1130" s="5" t="s">
        <v>110</v>
      </c>
      <c r="J1130" s="82" t="n">
        <f aca="false">E1130*0.087</f>
        <v>2815900</v>
      </c>
      <c r="K1130" s="82" t="n">
        <f aca="false">F1130*0.087</f>
        <v>2815900</v>
      </c>
      <c r="L1130" s="25" t="s">
        <v>84</v>
      </c>
      <c r="M1130" s="5"/>
      <c r="N1130" s="100" t="s">
        <v>5602</v>
      </c>
      <c r="O1130" s="28"/>
      <c r="P1130" s="28"/>
      <c r="Q1130" s="28"/>
      <c r="R1130" s="28" t="s">
        <v>5596</v>
      </c>
      <c r="S1130" s="28"/>
      <c r="T1130" s="28"/>
      <c r="V1130" s="5" t="s">
        <v>114</v>
      </c>
      <c r="W1130" s="5"/>
      <c r="X1130" s="5" t="s">
        <v>115</v>
      </c>
      <c r="Y1130" s="25" t="s">
        <v>73</v>
      </c>
      <c r="Z1130" s="28"/>
      <c r="AA1130" s="28"/>
      <c r="AB1130" s="28"/>
      <c r="AC1130" s="28"/>
      <c r="AD1130" s="28"/>
      <c r="AE1130" s="28"/>
      <c r="AF1130" s="28"/>
      <c r="AG1130" s="28"/>
      <c r="AH1130" s="28"/>
      <c r="AI1130" s="28"/>
      <c r="AJ1130" s="28"/>
      <c r="AK1130" s="28"/>
      <c r="AL1130" s="28"/>
      <c r="AM1130" s="28" t="s">
        <v>173</v>
      </c>
      <c r="AN1130" s="28"/>
      <c r="AO1130" s="28"/>
      <c r="AP1130" s="28"/>
      <c r="AQ1130" s="25" t="s">
        <v>4924</v>
      </c>
      <c r="AR1130" s="28" t="s">
        <v>115</v>
      </c>
      <c r="AS1130" s="28" t="s">
        <v>73</v>
      </c>
      <c r="AT1130" s="5" t="s">
        <v>78</v>
      </c>
      <c r="AU1130" s="28"/>
      <c r="AV1130" s="28"/>
      <c r="AW1130" s="5" t="s">
        <v>94</v>
      </c>
      <c r="AX1130" s="28" t="s">
        <v>79</v>
      </c>
      <c r="AY1130" s="28"/>
      <c r="AZ1130" s="5" t="s">
        <v>129</v>
      </c>
      <c r="BA1130" s="28"/>
      <c r="BB1130" s="28"/>
      <c r="BF1130" s="28"/>
      <c r="BH1130" s="28"/>
      <c r="BI1130" s="28"/>
      <c r="BJ1130" s="102" t="n">
        <v>2025</v>
      </c>
      <c r="BK1130" s="28"/>
    </row>
    <row r="1131" customFormat="false" ht="15.75" hidden="false" customHeight="false" outlineLevel="0" collapsed="false">
      <c r="A1131" s="28" t="s">
        <v>5603</v>
      </c>
      <c r="B1131" s="28"/>
      <c r="D1131" s="5" t="s">
        <v>62</v>
      </c>
      <c r="E1131" s="119" t="n">
        <f aca="false">H1131*0.74</f>
        <v>22200000</v>
      </c>
      <c r="F1131" s="119" t="n">
        <f aca="false">I1131*0.74</f>
        <v>22200000</v>
      </c>
      <c r="G1131" s="38" t="s">
        <v>132</v>
      </c>
      <c r="H1131" s="120" t="n">
        <v>30000000</v>
      </c>
      <c r="I1131" s="120" t="n">
        <v>30000000</v>
      </c>
      <c r="J1131" s="18" t="n">
        <f aca="false">H1131*0.87</f>
        <v>26100000</v>
      </c>
      <c r="K1131" s="18" t="n">
        <f aca="false">I1131*0.87</f>
        <v>26100000</v>
      </c>
      <c r="L1131" s="38" t="s">
        <v>84</v>
      </c>
      <c r="M1131" s="28" t="s">
        <v>65</v>
      </c>
      <c r="N1131" s="121" t="s">
        <v>5604</v>
      </c>
      <c r="O1131" s="40"/>
      <c r="P1131" s="5"/>
      <c r="Q1131" s="5"/>
      <c r="R1131" s="5"/>
      <c r="S1131" s="5" t="s">
        <v>5605</v>
      </c>
      <c r="T1131" s="28" t="s">
        <v>246</v>
      </c>
      <c r="U1131" s="28" t="s">
        <v>953</v>
      </c>
      <c r="V1131" s="28" t="s">
        <v>247</v>
      </c>
      <c r="W1131" s="28" t="s">
        <v>90</v>
      </c>
      <c r="X1131" s="28" t="s">
        <v>139</v>
      </c>
      <c r="Y1131" s="5" t="s">
        <v>73</v>
      </c>
      <c r="Z1131" s="28" t="s">
        <v>70</v>
      </c>
      <c r="AA1131" s="5"/>
      <c r="AB1131" s="5"/>
      <c r="AD1131" s="28"/>
      <c r="AE1131" s="28" t="s">
        <v>74</v>
      </c>
      <c r="AF1131" s="122" t="n">
        <v>45184</v>
      </c>
      <c r="AG1131" s="28" t="n">
        <v>2023</v>
      </c>
      <c r="AH1131" s="122" t="n">
        <v>45467</v>
      </c>
      <c r="AI1131" s="122" t="n">
        <v>45467</v>
      </c>
      <c r="AJ1131" s="28" t="n">
        <v>5</v>
      </c>
      <c r="AK1131" s="28" t="s">
        <v>75</v>
      </c>
      <c r="AL1131" s="28" t="n">
        <v>6000000</v>
      </c>
      <c r="AM1131" s="28" t="s">
        <v>5606</v>
      </c>
      <c r="AN1131" s="28"/>
      <c r="AO1131" s="28"/>
      <c r="AP1131" s="28"/>
      <c r="AQ1131" s="28" t="s">
        <v>718</v>
      </c>
      <c r="AR1131" s="28" t="s">
        <v>5607</v>
      </c>
      <c r="AS1131" s="28" t="s">
        <v>5607</v>
      </c>
      <c r="AT1131" s="28" t="s">
        <v>71</v>
      </c>
      <c r="AU1131" s="28" t="s">
        <v>79</v>
      </c>
      <c r="AV1131" s="28"/>
      <c r="AW1131" s="28" t="s">
        <v>5608</v>
      </c>
      <c r="AX1131" s="28" t="s">
        <v>79</v>
      </c>
      <c r="AY1131" s="28"/>
      <c r="AZ1131" s="5" t="s">
        <v>95</v>
      </c>
      <c r="BB1131" s="28"/>
      <c r="BD1131" s="9" t="n">
        <v>45469</v>
      </c>
      <c r="BE1131" s="122" t="n">
        <v>45779</v>
      </c>
      <c r="BF1131" s="28"/>
      <c r="BJ1131" s="5" t="n">
        <v>2024</v>
      </c>
    </row>
    <row r="1132" customFormat="false" ht="17.35" hidden="false" customHeight="false" outlineLevel="0" collapsed="false">
      <c r="A1132" s="5" t="s">
        <v>5609</v>
      </c>
      <c r="B1132" s="28"/>
      <c r="C1132" s="28"/>
      <c r="D1132" s="5" t="s">
        <v>62</v>
      </c>
      <c r="E1132" s="5" t="n">
        <v>1500000</v>
      </c>
      <c r="F1132" s="5" t="n">
        <v>1500000</v>
      </c>
      <c r="G1132" s="5" t="s">
        <v>147</v>
      </c>
      <c r="H1132" s="6" t="n">
        <v>1638097</v>
      </c>
      <c r="I1132" s="6" t="n">
        <v>1638097</v>
      </c>
      <c r="J1132" s="7" t="n">
        <v>1500000</v>
      </c>
      <c r="K1132" s="7" t="n">
        <v>1500000</v>
      </c>
      <c r="L1132" s="5" t="s">
        <v>84</v>
      </c>
      <c r="M1132" s="5"/>
      <c r="N1132" s="8" t="s">
        <v>5610</v>
      </c>
      <c r="P1132" s="5"/>
      <c r="Q1132" s="5"/>
      <c r="R1132" s="5" t="s">
        <v>5611</v>
      </c>
      <c r="T1132" s="5" t="s">
        <v>255</v>
      </c>
      <c r="V1132" s="5" t="s">
        <v>5404</v>
      </c>
      <c r="W1132" s="5" t="s">
        <v>102</v>
      </c>
      <c r="X1132" s="5" t="s">
        <v>553</v>
      </c>
      <c r="Y1132" s="5" t="s">
        <v>73</v>
      </c>
      <c r="Z1132" s="5" t="s">
        <v>70</v>
      </c>
      <c r="AA1132" s="28"/>
      <c r="AB1132" s="28"/>
      <c r="AD1132" s="5" t="s">
        <v>5612</v>
      </c>
      <c r="AE1132" s="5" t="s">
        <v>74</v>
      </c>
      <c r="AI1132" s="9" t="n">
        <v>44951</v>
      </c>
      <c r="AJ1132" s="5" t="n">
        <v>1</v>
      </c>
      <c r="AK1132" s="5" t="s">
        <v>75</v>
      </c>
      <c r="AL1132" s="5" t="n">
        <v>1638097</v>
      </c>
      <c r="AM1132" s="5" t="s">
        <v>5613</v>
      </c>
      <c r="AN1132" s="81" t="s">
        <v>5405</v>
      </c>
      <c r="AQ1132" s="25" t="s">
        <v>4924</v>
      </c>
      <c r="AR1132" s="5" t="s">
        <v>5614</v>
      </c>
      <c r="AS1132" s="5" t="s">
        <v>215</v>
      </c>
      <c r="AT1132" s="5" t="s">
        <v>105</v>
      </c>
      <c r="AW1132" s="5" t="s">
        <v>94</v>
      </c>
      <c r="AX1132" s="28" t="s">
        <v>218</v>
      </c>
      <c r="AY1132" s="28"/>
      <c r="AZ1132" s="5" t="s">
        <v>396</v>
      </c>
      <c r="BA1132" s="28"/>
      <c r="BB1132" s="28"/>
      <c r="BD1132" s="9" t="n">
        <v>44959</v>
      </c>
      <c r="BE1132" s="9" t="n">
        <v>45593</v>
      </c>
      <c r="BF1132" s="28"/>
      <c r="BH1132" s="28"/>
      <c r="BI1132" s="28"/>
      <c r="BJ1132" s="5" t="n">
        <v>2023</v>
      </c>
      <c r="BK1132" s="28"/>
    </row>
    <row r="1133" customFormat="false" ht="15.75" hidden="false" customHeight="false" outlineLevel="0" collapsed="false">
      <c r="A1133" s="5" t="s">
        <v>5615</v>
      </c>
      <c r="B1133" s="28"/>
      <c r="C1133" s="28"/>
      <c r="D1133" s="5" t="s">
        <v>62</v>
      </c>
      <c r="E1133" s="5" t="n">
        <v>250000</v>
      </c>
      <c r="F1133" s="5" t="n">
        <v>250000</v>
      </c>
      <c r="G1133" s="5" t="s">
        <v>695</v>
      </c>
      <c r="H1133" s="6" t="n">
        <v>250000</v>
      </c>
      <c r="I1133" s="6" t="n">
        <v>0</v>
      </c>
      <c r="J1133" s="18" t="n">
        <f aca="false">E1133*0.85</f>
        <v>212500</v>
      </c>
      <c r="K1133" s="18" t="n">
        <f aca="false">F1133*0.85</f>
        <v>212500</v>
      </c>
      <c r="L1133" s="5" t="s">
        <v>84</v>
      </c>
      <c r="M1133" s="5"/>
      <c r="N1133" s="8" t="s">
        <v>5616</v>
      </c>
      <c r="P1133" s="5"/>
      <c r="Q1133" s="5"/>
      <c r="R1133" s="5" t="s">
        <v>5617</v>
      </c>
      <c r="T1133" s="5" t="s">
        <v>2019</v>
      </c>
      <c r="V1133" s="5" t="s">
        <v>3356</v>
      </c>
      <c r="W1133" s="5" t="s">
        <v>90</v>
      </c>
      <c r="X1133" s="5" t="s">
        <v>115</v>
      </c>
      <c r="Y1133" s="5" t="s">
        <v>73</v>
      </c>
      <c r="Z1133" s="5" t="s">
        <v>70</v>
      </c>
      <c r="AA1133" s="28"/>
      <c r="AB1133" s="28"/>
      <c r="AD1133" s="5" t="s">
        <v>70</v>
      </c>
      <c r="AE1133" s="5" t="s">
        <v>117</v>
      </c>
      <c r="AF1133" s="9" t="n">
        <v>43425</v>
      </c>
      <c r="AG1133" s="5" t="n">
        <v>2018</v>
      </c>
      <c r="AI1133" s="9" t="n">
        <v>43490</v>
      </c>
      <c r="AJ1133" s="5" t="n">
        <v>2</v>
      </c>
      <c r="AK1133" s="5" t="s">
        <v>228</v>
      </c>
      <c r="AL1133" s="5" t="n">
        <v>125000</v>
      </c>
      <c r="AM1133" s="5" t="s">
        <v>5618</v>
      </c>
      <c r="AQ1133" s="5" t="s">
        <v>718</v>
      </c>
      <c r="AR1133" s="5" t="s">
        <v>5607</v>
      </c>
      <c r="AS1133" s="5" t="s">
        <v>5607</v>
      </c>
      <c r="AT1133" s="5" t="s">
        <v>374</v>
      </c>
      <c r="AW1133" s="5" t="s">
        <v>94</v>
      </c>
      <c r="AX1133" s="28" t="s">
        <v>375</v>
      </c>
      <c r="AY1133" s="28"/>
      <c r="AZ1133" s="5" t="s">
        <v>239</v>
      </c>
      <c r="BA1133" s="28"/>
      <c r="BB1133" s="28"/>
      <c r="BD1133" s="9" t="n">
        <v>44959</v>
      </c>
      <c r="BE1133" s="9" t="n">
        <v>45779</v>
      </c>
      <c r="BF1133" s="28"/>
      <c r="BH1133" s="28"/>
      <c r="BI1133" s="28"/>
      <c r="BJ1133" s="5" t="n">
        <v>2019</v>
      </c>
      <c r="BK1133" s="28"/>
    </row>
    <row r="1134" customFormat="false" ht="15.75" hidden="false" customHeight="false" outlineLevel="0" collapsed="false">
      <c r="A1134" s="5" t="s">
        <v>5619</v>
      </c>
      <c r="B1134" s="28"/>
      <c r="C1134" s="28"/>
      <c r="D1134" s="5" t="s">
        <v>62</v>
      </c>
      <c r="E1134" s="5" t="n">
        <v>40000</v>
      </c>
      <c r="F1134" s="5" t="n">
        <v>40000</v>
      </c>
      <c r="G1134" s="5" t="s">
        <v>695</v>
      </c>
      <c r="H1134" s="6" t="n">
        <v>40000</v>
      </c>
      <c r="I1134" s="6" t="n">
        <v>0</v>
      </c>
      <c r="J1134" s="18" t="n">
        <f aca="false">E1134*0.85</f>
        <v>34000</v>
      </c>
      <c r="K1134" s="18" t="n">
        <f aca="false">F1134*0.85</f>
        <v>34000</v>
      </c>
      <c r="L1134" s="5" t="s">
        <v>84</v>
      </c>
      <c r="M1134" s="5"/>
      <c r="N1134" s="8" t="s">
        <v>5616</v>
      </c>
      <c r="T1134" s="5" t="s">
        <v>3019</v>
      </c>
      <c r="V1134" s="5" t="s">
        <v>3021</v>
      </c>
      <c r="W1134" s="5" t="s">
        <v>718</v>
      </c>
      <c r="X1134" s="5" t="s">
        <v>1676</v>
      </c>
      <c r="Y1134" s="5" t="s">
        <v>73</v>
      </c>
      <c r="Z1134" s="5" t="s">
        <v>70</v>
      </c>
      <c r="AA1134" s="28"/>
      <c r="AB1134" s="28"/>
      <c r="AE1134" s="5" t="s">
        <v>117</v>
      </c>
      <c r="AF1134" s="9" t="n">
        <v>43425</v>
      </c>
      <c r="AG1134" s="5" t="n">
        <v>2018</v>
      </c>
      <c r="AI1134" s="9" t="n">
        <v>43493</v>
      </c>
      <c r="AJ1134" s="5" t="n">
        <v>1</v>
      </c>
      <c r="AK1134" s="5" t="s">
        <v>228</v>
      </c>
      <c r="AL1134" s="5" t="n">
        <v>40000</v>
      </c>
      <c r="AM1134" s="5" t="s">
        <v>5618</v>
      </c>
      <c r="AQ1134" s="5" t="s">
        <v>718</v>
      </c>
      <c r="AR1134" s="5" t="s">
        <v>5607</v>
      </c>
      <c r="AS1134" s="5" t="s">
        <v>5607</v>
      </c>
      <c r="AT1134" s="5" t="s">
        <v>374</v>
      </c>
      <c r="AW1134" s="5" t="s">
        <v>94</v>
      </c>
      <c r="AX1134" s="28" t="s">
        <v>375</v>
      </c>
      <c r="AY1134" s="28"/>
      <c r="AZ1134" s="5" t="s">
        <v>239</v>
      </c>
      <c r="BA1134" s="28"/>
      <c r="BB1134" s="28"/>
      <c r="BD1134" s="9" t="n">
        <v>44959</v>
      </c>
      <c r="BE1134" s="9" t="n">
        <v>45779</v>
      </c>
      <c r="BF1134" s="28"/>
      <c r="BH1134" s="28"/>
      <c r="BI1134" s="28"/>
      <c r="BJ1134" s="5" t="n">
        <v>2019</v>
      </c>
      <c r="BK1134" s="28"/>
    </row>
    <row r="1135" customFormat="false" ht="15.75" hidden="false" customHeight="false" outlineLevel="0" collapsed="false">
      <c r="A1135" s="5" t="s">
        <v>5620</v>
      </c>
      <c r="B1135" s="28"/>
      <c r="C1135" s="28"/>
      <c r="D1135" s="5" t="s">
        <v>62</v>
      </c>
      <c r="E1135" s="5" t="n">
        <v>210088</v>
      </c>
      <c r="F1135" s="5" t="n">
        <v>210088</v>
      </c>
      <c r="G1135" s="5" t="s">
        <v>695</v>
      </c>
      <c r="H1135" s="6" t="n">
        <v>210088</v>
      </c>
      <c r="I1135" s="6" t="n">
        <v>0</v>
      </c>
      <c r="J1135" s="18" t="n">
        <f aca="false">E1135*0.85</f>
        <v>178574.8</v>
      </c>
      <c r="K1135" s="18" t="n">
        <f aca="false">F1135*0.85</f>
        <v>178574.8</v>
      </c>
      <c r="L1135" s="5" t="s">
        <v>84</v>
      </c>
      <c r="M1135" s="5"/>
      <c r="N1135" s="8" t="s">
        <v>5616</v>
      </c>
      <c r="P1135" s="5"/>
      <c r="Q1135" s="5"/>
      <c r="R1135" s="5" t="s">
        <v>3031</v>
      </c>
      <c r="T1135" s="5" t="s">
        <v>3033</v>
      </c>
      <c r="V1135" s="5" t="s">
        <v>1826</v>
      </c>
      <c r="W1135" s="5" t="s">
        <v>90</v>
      </c>
      <c r="X1135" s="5" t="s">
        <v>139</v>
      </c>
      <c r="Y1135" s="5" t="s">
        <v>73</v>
      </c>
      <c r="Z1135" s="5" t="s">
        <v>70</v>
      </c>
      <c r="AA1135" s="28"/>
      <c r="AB1135" s="28"/>
      <c r="AE1135" s="5" t="s">
        <v>117</v>
      </c>
      <c r="AF1135" s="9" t="n">
        <v>43425</v>
      </c>
      <c r="AG1135" s="5" t="n">
        <v>2018</v>
      </c>
      <c r="AI1135" s="9" t="n">
        <v>43501</v>
      </c>
      <c r="AJ1135" s="5" t="n">
        <v>1.5</v>
      </c>
      <c r="AK1135" s="5" t="s">
        <v>228</v>
      </c>
      <c r="AL1135" s="5" t="n">
        <v>140059</v>
      </c>
      <c r="AM1135" s="5" t="s">
        <v>5618</v>
      </c>
      <c r="AQ1135" s="5" t="s">
        <v>718</v>
      </c>
      <c r="AR1135" s="5" t="s">
        <v>5607</v>
      </c>
      <c r="AS1135" s="5" t="s">
        <v>5607</v>
      </c>
      <c r="AT1135" s="5" t="s">
        <v>374</v>
      </c>
      <c r="AW1135" s="5" t="s">
        <v>94</v>
      </c>
      <c r="AX1135" s="28" t="s">
        <v>375</v>
      </c>
      <c r="AY1135" s="28"/>
      <c r="AZ1135" s="5" t="s">
        <v>121</v>
      </c>
      <c r="BA1135" s="28"/>
      <c r="BB1135" s="28"/>
      <c r="BD1135" s="9" t="n">
        <v>44959</v>
      </c>
      <c r="BE1135" s="9" t="n">
        <v>45779</v>
      </c>
      <c r="BF1135" s="28"/>
      <c r="BH1135" s="28"/>
      <c r="BI1135" s="28"/>
      <c r="BJ1135" s="5" t="n">
        <v>2019</v>
      </c>
      <c r="BK1135" s="28"/>
    </row>
    <row r="1136" customFormat="false" ht="15.75" hidden="false" customHeight="false" outlineLevel="0" collapsed="false">
      <c r="A1136" s="5" t="s">
        <v>5621</v>
      </c>
      <c r="B1136" s="28"/>
      <c r="C1136" s="28"/>
      <c r="D1136" s="5" t="s">
        <v>62</v>
      </c>
      <c r="E1136" s="5" t="n">
        <v>242899</v>
      </c>
      <c r="F1136" s="5" t="n">
        <v>242899</v>
      </c>
      <c r="G1136" s="5" t="s">
        <v>695</v>
      </c>
      <c r="H1136" s="6" t="n">
        <v>242899</v>
      </c>
      <c r="I1136" s="6" t="n">
        <v>0</v>
      </c>
      <c r="J1136" s="18" t="n">
        <f aca="false">E1136*0.85</f>
        <v>206464.15</v>
      </c>
      <c r="K1136" s="18" t="n">
        <f aca="false">F1136*0.85</f>
        <v>206464.15</v>
      </c>
      <c r="L1136" s="5" t="s">
        <v>84</v>
      </c>
      <c r="M1136" s="5"/>
      <c r="N1136" s="8" t="s">
        <v>5616</v>
      </c>
      <c r="T1136" s="5" t="s">
        <v>5622</v>
      </c>
      <c r="V1136" s="5" t="s">
        <v>5623</v>
      </c>
      <c r="W1136" s="5" t="s">
        <v>102</v>
      </c>
      <c r="X1136" s="5" t="s">
        <v>3280</v>
      </c>
      <c r="Y1136" s="5" t="s">
        <v>73</v>
      </c>
      <c r="Z1136" s="5" t="s">
        <v>70</v>
      </c>
      <c r="AA1136" s="28"/>
      <c r="AB1136" s="28"/>
      <c r="AE1136" s="5" t="s">
        <v>117</v>
      </c>
      <c r="AF1136" s="9" t="n">
        <v>43425</v>
      </c>
      <c r="AG1136" s="5" t="n">
        <v>2018</v>
      </c>
      <c r="AI1136" s="9" t="n">
        <v>43470</v>
      </c>
      <c r="AJ1136" s="5" t="n">
        <v>1.5</v>
      </c>
      <c r="AK1136" s="5" t="s">
        <v>228</v>
      </c>
      <c r="AL1136" s="5" t="n">
        <v>161933</v>
      </c>
      <c r="AM1136" s="5" t="s">
        <v>5618</v>
      </c>
      <c r="AQ1136" s="5" t="s">
        <v>718</v>
      </c>
      <c r="AR1136" s="5" t="s">
        <v>5607</v>
      </c>
      <c r="AS1136" s="5" t="s">
        <v>5607</v>
      </c>
      <c r="AT1136" s="5" t="s">
        <v>105</v>
      </c>
      <c r="AW1136" s="5" t="s">
        <v>94</v>
      </c>
      <c r="AX1136" s="28" t="s">
        <v>375</v>
      </c>
      <c r="AY1136" s="28"/>
      <c r="AZ1136" s="5" t="s">
        <v>5624</v>
      </c>
      <c r="BA1136" s="28"/>
      <c r="BB1136" s="28"/>
      <c r="BD1136" s="9" t="n">
        <v>44959</v>
      </c>
      <c r="BE1136" s="9" t="n">
        <v>45779</v>
      </c>
      <c r="BF1136" s="28"/>
      <c r="BH1136" s="28"/>
      <c r="BI1136" s="28"/>
      <c r="BJ1136" s="5" t="n">
        <v>2019</v>
      </c>
      <c r="BK1136" s="28"/>
    </row>
    <row r="1137" customFormat="false" ht="15.75" hidden="false" customHeight="false" outlineLevel="0" collapsed="false">
      <c r="A1137" s="5" t="s">
        <v>5625</v>
      </c>
      <c r="B1137" s="28"/>
      <c r="C1137" s="28"/>
      <c r="D1137" s="5" t="s">
        <v>62</v>
      </c>
      <c r="E1137" s="5" t="n">
        <v>50000</v>
      </c>
      <c r="F1137" s="5" t="n">
        <v>50000</v>
      </c>
      <c r="G1137" s="5" t="s">
        <v>695</v>
      </c>
      <c r="H1137" s="6" t="n">
        <v>50000</v>
      </c>
      <c r="I1137" s="6" t="n">
        <v>50000</v>
      </c>
      <c r="J1137" s="10" t="n">
        <f aca="false">E1137*0.85</f>
        <v>42500</v>
      </c>
      <c r="K1137" s="10" t="n">
        <f aca="false">F1137*0.85</f>
        <v>42500</v>
      </c>
      <c r="L1137" s="5" t="s">
        <v>2851</v>
      </c>
      <c r="M1137" s="5"/>
      <c r="N1137" s="8" t="s">
        <v>5626</v>
      </c>
      <c r="S1137" s="5" t="s">
        <v>3038</v>
      </c>
      <c r="T1137" s="5" t="s">
        <v>3019</v>
      </c>
      <c r="V1137" s="5" t="s">
        <v>3021</v>
      </c>
      <c r="W1137" s="5" t="s">
        <v>718</v>
      </c>
      <c r="X1137" s="5" t="s">
        <v>1676</v>
      </c>
      <c r="Y1137" s="5" t="s">
        <v>73</v>
      </c>
      <c r="Z1137" s="5" t="s">
        <v>70</v>
      </c>
      <c r="AA1137" s="28"/>
      <c r="AB1137" s="28"/>
      <c r="AE1137" s="5" t="s">
        <v>117</v>
      </c>
      <c r="AF1137" s="9" t="n">
        <v>44311</v>
      </c>
      <c r="AG1137" s="5" t="n">
        <v>2021</v>
      </c>
      <c r="AJ1137" s="5" t="n">
        <v>2</v>
      </c>
      <c r="AK1137" s="5" t="s">
        <v>152</v>
      </c>
      <c r="AL1137" s="5" t="n">
        <v>25000</v>
      </c>
      <c r="AM1137" s="5" t="s">
        <v>5627</v>
      </c>
      <c r="AQ1137" s="25" t="s">
        <v>4924</v>
      </c>
      <c r="AR1137" s="5" t="s">
        <v>5607</v>
      </c>
      <c r="AS1137" s="5" t="s">
        <v>5607</v>
      </c>
      <c r="AT1137" s="5" t="s">
        <v>374</v>
      </c>
      <c r="AU1137" s="5" t="s">
        <v>375</v>
      </c>
      <c r="AV1137" s="5"/>
      <c r="AW1137" s="5" t="s">
        <v>94</v>
      </c>
      <c r="AX1137" s="28" t="s">
        <v>79</v>
      </c>
      <c r="AY1137" s="28"/>
      <c r="AZ1137" s="5" t="s">
        <v>748</v>
      </c>
      <c r="BA1137" s="28"/>
      <c r="BB1137" s="28"/>
      <c r="BD1137" s="9" t="n">
        <v>44980</v>
      </c>
      <c r="BE1137" s="9" t="n">
        <v>45035</v>
      </c>
      <c r="BF1137" s="28"/>
      <c r="BH1137" s="28"/>
      <c r="BI1137" s="28"/>
      <c r="BK1137" s="28"/>
    </row>
    <row r="1138" customFormat="false" ht="15.75" hidden="false" customHeight="false" outlineLevel="0" collapsed="false">
      <c r="A1138" s="5" t="s">
        <v>5628</v>
      </c>
      <c r="B1138" s="28"/>
      <c r="C1138" s="28"/>
      <c r="D1138" s="5" t="s">
        <v>62</v>
      </c>
      <c r="E1138" s="5" t="n">
        <v>150000</v>
      </c>
      <c r="F1138" s="5" t="n">
        <v>150000</v>
      </c>
      <c r="G1138" s="5" t="s">
        <v>695</v>
      </c>
      <c r="H1138" s="6" t="n">
        <v>150000</v>
      </c>
      <c r="I1138" s="6" t="n">
        <v>0</v>
      </c>
      <c r="J1138" s="18" t="n">
        <f aca="false">E1138*0.85</f>
        <v>127500</v>
      </c>
      <c r="K1138" s="18" t="n">
        <f aca="false">F1138*0.85</f>
        <v>127500</v>
      </c>
      <c r="L1138" s="5" t="s">
        <v>84</v>
      </c>
      <c r="M1138" s="5"/>
      <c r="N1138" s="8" t="s">
        <v>5616</v>
      </c>
      <c r="T1138" s="5" t="s">
        <v>5629</v>
      </c>
      <c r="V1138" s="5" t="s">
        <v>3391</v>
      </c>
      <c r="W1138" s="5" t="s">
        <v>90</v>
      </c>
      <c r="X1138" s="5" t="s">
        <v>737</v>
      </c>
      <c r="Y1138" s="5" t="s">
        <v>73</v>
      </c>
      <c r="Z1138" s="5" t="s">
        <v>70</v>
      </c>
      <c r="AA1138" s="28"/>
      <c r="AB1138" s="28"/>
      <c r="AD1138" s="5" t="s">
        <v>70</v>
      </c>
      <c r="AE1138" s="5" t="s">
        <v>117</v>
      </c>
      <c r="AF1138" s="9" t="n">
        <v>43815</v>
      </c>
      <c r="AG1138" s="5" t="n">
        <v>2019</v>
      </c>
      <c r="AI1138" s="9" t="n">
        <v>44136</v>
      </c>
      <c r="AJ1138" s="5" t="n">
        <v>2</v>
      </c>
      <c r="AK1138" s="5" t="s">
        <v>228</v>
      </c>
      <c r="AL1138" s="5" t="n">
        <v>75000</v>
      </c>
      <c r="AM1138" s="5" t="s">
        <v>5618</v>
      </c>
      <c r="AQ1138" s="5" t="s">
        <v>718</v>
      </c>
      <c r="AR1138" s="5" t="s">
        <v>5607</v>
      </c>
      <c r="AS1138" s="5" t="s">
        <v>5607</v>
      </c>
      <c r="AT1138" s="5" t="s">
        <v>374</v>
      </c>
      <c r="AW1138" s="5" t="s">
        <v>94</v>
      </c>
      <c r="AX1138" s="28" t="s">
        <v>375</v>
      </c>
      <c r="AY1138" s="28"/>
      <c r="AZ1138" s="5" t="s">
        <v>239</v>
      </c>
      <c r="BA1138" s="28"/>
      <c r="BB1138" s="28"/>
      <c r="BD1138" s="9" t="n">
        <v>44985</v>
      </c>
      <c r="BE1138" s="9" t="n">
        <v>45779</v>
      </c>
      <c r="BF1138" s="28"/>
      <c r="BH1138" s="28"/>
      <c r="BI1138" s="28"/>
      <c r="BJ1138" s="5" t="n">
        <v>2020</v>
      </c>
      <c r="BK1138" s="28"/>
    </row>
    <row r="1139" customFormat="false" ht="15.75" hidden="false" customHeight="false" outlineLevel="0" collapsed="false">
      <c r="A1139" s="5" t="s">
        <v>5630</v>
      </c>
      <c r="B1139" s="28"/>
      <c r="C1139" s="28"/>
      <c r="D1139" s="5" t="s">
        <v>62</v>
      </c>
      <c r="E1139" s="5" t="n">
        <v>100000</v>
      </c>
      <c r="F1139" s="5" t="n">
        <v>100000</v>
      </c>
      <c r="G1139" s="5" t="s">
        <v>695</v>
      </c>
      <c r="H1139" s="6" t="n">
        <v>100000</v>
      </c>
      <c r="I1139" s="6" t="n">
        <v>0</v>
      </c>
      <c r="J1139" s="18" t="n">
        <f aca="false">E1139*0.85</f>
        <v>85000</v>
      </c>
      <c r="K1139" s="18" t="n">
        <f aca="false">F1139*0.85</f>
        <v>85000</v>
      </c>
      <c r="L1139" s="5" t="s">
        <v>84</v>
      </c>
      <c r="M1139" s="5"/>
      <c r="N1139" s="8" t="s">
        <v>5616</v>
      </c>
      <c r="T1139" s="5" t="s">
        <v>979</v>
      </c>
      <c r="V1139" s="5" t="s">
        <v>5631</v>
      </c>
      <c r="W1139" s="5" t="s">
        <v>90</v>
      </c>
      <c r="X1139" s="5" t="s">
        <v>139</v>
      </c>
      <c r="Y1139" s="5" t="s">
        <v>73</v>
      </c>
      <c r="Z1139" s="5" t="s">
        <v>70</v>
      </c>
      <c r="AA1139" s="28"/>
      <c r="AB1139" s="28"/>
      <c r="AC1139" s="5" t="s">
        <v>1592</v>
      </c>
      <c r="AD1139" s="5" t="s">
        <v>5631</v>
      </c>
      <c r="AE1139" s="5" t="s">
        <v>117</v>
      </c>
      <c r="AF1139" s="9" t="n">
        <v>43815</v>
      </c>
      <c r="AG1139" s="5" t="n">
        <v>2019</v>
      </c>
      <c r="AI1139" s="9" t="n">
        <v>43891</v>
      </c>
      <c r="AJ1139" s="5" t="n">
        <v>1</v>
      </c>
      <c r="AK1139" s="5" t="s">
        <v>228</v>
      </c>
      <c r="AL1139" s="5" t="n">
        <v>100000</v>
      </c>
      <c r="AM1139" s="5" t="s">
        <v>5618</v>
      </c>
      <c r="AQ1139" s="5" t="s">
        <v>718</v>
      </c>
      <c r="AR1139" s="5" t="s">
        <v>5607</v>
      </c>
      <c r="AS1139" s="5" t="s">
        <v>5607</v>
      </c>
      <c r="AT1139" s="5" t="s">
        <v>374</v>
      </c>
      <c r="AW1139" s="5" t="s">
        <v>94</v>
      </c>
      <c r="AX1139" s="28" t="s">
        <v>375</v>
      </c>
      <c r="AY1139" s="28"/>
      <c r="AZ1139" s="5" t="s">
        <v>239</v>
      </c>
      <c r="BA1139" s="28"/>
      <c r="BB1139" s="28"/>
      <c r="BD1139" s="9" t="n">
        <v>44985</v>
      </c>
      <c r="BE1139" s="9" t="n">
        <v>45779</v>
      </c>
      <c r="BF1139" s="28"/>
      <c r="BH1139" s="28"/>
      <c r="BI1139" s="28"/>
      <c r="BJ1139" s="5" t="n">
        <v>2020</v>
      </c>
      <c r="BK1139" s="28"/>
    </row>
    <row r="1140" customFormat="false" ht="15.75" hidden="false" customHeight="false" outlineLevel="0" collapsed="false">
      <c r="A1140" s="5" t="s">
        <v>5632</v>
      </c>
      <c r="B1140" s="28"/>
      <c r="C1140" s="28"/>
      <c r="D1140" s="5" t="s">
        <v>62</v>
      </c>
      <c r="E1140" s="5" t="n">
        <v>160481</v>
      </c>
      <c r="F1140" s="5" t="n">
        <v>160481</v>
      </c>
      <c r="G1140" s="5" t="s">
        <v>695</v>
      </c>
      <c r="H1140" s="6" t="n">
        <v>160481</v>
      </c>
      <c r="I1140" s="6" t="n">
        <v>0</v>
      </c>
      <c r="J1140" s="18" t="n">
        <f aca="false">E1140*0.85</f>
        <v>136408.85</v>
      </c>
      <c r="K1140" s="18" t="n">
        <f aca="false">F1140*0.85</f>
        <v>136408.85</v>
      </c>
      <c r="L1140" s="5" t="s">
        <v>84</v>
      </c>
      <c r="M1140" s="5"/>
      <c r="N1140" s="8" t="s">
        <v>5616</v>
      </c>
      <c r="T1140" s="5" t="s">
        <v>195</v>
      </c>
      <c r="V1140" s="5" t="s">
        <v>197</v>
      </c>
      <c r="W1140" s="5" t="s">
        <v>90</v>
      </c>
      <c r="X1140" s="5" t="s">
        <v>139</v>
      </c>
      <c r="Y1140" s="5" t="s">
        <v>73</v>
      </c>
      <c r="Z1140" s="5" t="s">
        <v>70</v>
      </c>
      <c r="AA1140" s="28"/>
      <c r="AB1140" s="28"/>
      <c r="AE1140" s="5" t="s">
        <v>117</v>
      </c>
      <c r="AF1140" s="9" t="n">
        <v>43815</v>
      </c>
      <c r="AG1140" s="5" t="n">
        <v>2019</v>
      </c>
      <c r="AI1140" s="9" t="n">
        <v>43922</v>
      </c>
      <c r="AJ1140" s="5" t="n">
        <v>1</v>
      </c>
      <c r="AK1140" s="5" t="s">
        <v>228</v>
      </c>
      <c r="AL1140" s="5" t="n">
        <v>160481</v>
      </c>
      <c r="AM1140" s="5" t="s">
        <v>5618</v>
      </c>
      <c r="AQ1140" s="5" t="s">
        <v>718</v>
      </c>
      <c r="AR1140" s="5" t="s">
        <v>5607</v>
      </c>
      <c r="AS1140" s="5" t="s">
        <v>5607</v>
      </c>
      <c r="AT1140" s="5" t="s">
        <v>374</v>
      </c>
      <c r="AW1140" s="5" t="s">
        <v>94</v>
      </c>
      <c r="AX1140" s="28" t="s">
        <v>375</v>
      </c>
      <c r="AY1140" s="28"/>
      <c r="AZ1140" s="5" t="s">
        <v>121</v>
      </c>
      <c r="BA1140" s="28"/>
      <c r="BB1140" s="28"/>
      <c r="BD1140" s="9" t="n">
        <v>44985</v>
      </c>
      <c r="BE1140" s="9" t="n">
        <v>45779</v>
      </c>
      <c r="BF1140" s="28"/>
      <c r="BH1140" s="28"/>
      <c r="BI1140" s="28"/>
      <c r="BJ1140" s="5" t="n">
        <v>2020</v>
      </c>
      <c r="BK1140" s="28"/>
    </row>
    <row r="1141" customFormat="false" ht="15.75" hidden="false" customHeight="false" outlineLevel="0" collapsed="false">
      <c r="A1141" s="5" t="s">
        <v>5633</v>
      </c>
      <c r="B1141" s="28"/>
      <c r="C1141" s="28"/>
      <c r="D1141" s="5" t="s">
        <v>62</v>
      </c>
      <c r="E1141" s="5" t="n">
        <v>50000</v>
      </c>
      <c r="F1141" s="5" t="n">
        <v>50000</v>
      </c>
      <c r="G1141" s="5" t="s">
        <v>695</v>
      </c>
      <c r="H1141" s="6" t="n">
        <v>50000</v>
      </c>
      <c r="I1141" s="6" t="n">
        <v>0</v>
      </c>
      <c r="J1141" s="18" t="n">
        <f aca="false">E1141*0.85</f>
        <v>42500</v>
      </c>
      <c r="K1141" s="18" t="n">
        <f aca="false">F1141*0.85</f>
        <v>42500</v>
      </c>
      <c r="L1141" s="5" t="s">
        <v>84</v>
      </c>
      <c r="M1141" s="5"/>
      <c r="N1141" s="8" t="s">
        <v>5616</v>
      </c>
      <c r="T1141" s="5" t="s">
        <v>5634</v>
      </c>
      <c r="V1141" s="5" t="s">
        <v>5635</v>
      </c>
      <c r="W1141" s="5" t="s">
        <v>305</v>
      </c>
      <c r="X1141" s="5" t="s">
        <v>568</v>
      </c>
      <c r="Y1141" s="5" t="s">
        <v>73</v>
      </c>
      <c r="Z1141" s="5" t="s">
        <v>70</v>
      </c>
      <c r="AA1141" s="28"/>
      <c r="AB1141" s="28"/>
      <c r="AE1141" s="5" t="s">
        <v>117</v>
      </c>
      <c r="AF1141" s="9" t="n">
        <v>43815</v>
      </c>
      <c r="AG1141" s="5" t="n">
        <v>2019</v>
      </c>
      <c r="AI1141" s="9" t="n">
        <v>43952</v>
      </c>
      <c r="AJ1141" s="5" t="n">
        <v>1</v>
      </c>
      <c r="AK1141" s="5" t="s">
        <v>228</v>
      </c>
      <c r="AL1141" s="5" t="n">
        <v>50000</v>
      </c>
      <c r="AM1141" s="5" t="s">
        <v>5618</v>
      </c>
      <c r="AQ1141" s="5" t="s">
        <v>718</v>
      </c>
      <c r="AR1141" s="5" t="s">
        <v>5607</v>
      </c>
      <c r="AS1141" s="5" t="s">
        <v>5607</v>
      </c>
      <c r="AT1141" s="5" t="s">
        <v>374</v>
      </c>
      <c r="AW1141" s="5" t="s">
        <v>94</v>
      </c>
      <c r="AX1141" s="28" t="s">
        <v>375</v>
      </c>
      <c r="AY1141" s="28"/>
      <c r="AZ1141" s="5" t="s">
        <v>396</v>
      </c>
      <c r="BA1141" s="28"/>
      <c r="BB1141" s="28"/>
      <c r="BD1141" s="9" t="n">
        <v>44985</v>
      </c>
      <c r="BE1141" s="9" t="n">
        <v>45779</v>
      </c>
      <c r="BF1141" s="28"/>
      <c r="BH1141" s="28"/>
      <c r="BI1141" s="28"/>
      <c r="BJ1141" s="5" t="n">
        <v>2020</v>
      </c>
      <c r="BK1141" s="28"/>
    </row>
    <row r="1142" customFormat="false" ht="15.75" hidden="false" customHeight="false" outlineLevel="0" collapsed="false">
      <c r="A1142" s="5" t="s">
        <v>5636</v>
      </c>
      <c r="B1142" s="28"/>
      <c r="C1142" s="28"/>
      <c r="D1142" s="5" t="s">
        <v>62</v>
      </c>
      <c r="E1142" s="5" t="n">
        <v>249997</v>
      </c>
      <c r="F1142" s="5" t="n">
        <v>249997</v>
      </c>
      <c r="G1142" s="5" t="s">
        <v>695</v>
      </c>
      <c r="H1142" s="6" t="n">
        <v>249997</v>
      </c>
      <c r="I1142" s="6" t="n">
        <v>0</v>
      </c>
      <c r="J1142" s="18" t="n">
        <f aca="false">E1142*0.85</f>
        <v>212497.45</v>
      </c>
      <c r="K1142" s="18" t="n">
        <f aca="false">F1142*0.85</f>
        <v>212497.45</v>
      </c>
      <c r="L1142" s="5" t="s">
        <v>84</v>
      </c>
      <c r="M1142" s="5"/>
      <c r="N1142" s="8" t="s">
        <v>5616</v>
      </c>
      <c r="T1142" s="5" t="s">
        <v>5637</v>
      </c>
      <c r="V1142" s="5" t="s">
        <v>3021</v>
      </c>
      <c r="W1142" s="5" t="s">
        <v>718</v>
      </c>
      <c r="X1142" s="5" t="s">
        <v>1676</v>
      </c>
      <c r="Y1142" s="5" t="s">
        <v>73</v>
      </c>
      <c r="Z1142" s="5" t="s">
        <v>70</v>
      </c>
      <c r="AA1142" s="28"/>
      <c r="AB1142" s="28"/>
      <c r="AE1142" s="5" t="s">
        <v>117</v>
      </c>
      <c r="AF1142" s="9" t="n">
        <v>43815</v>
      </c>
      <c r="AG1142" s="5" t="n">
        <v>2019</v>
      </c>
      <c r="AI1142" s="9" t="n">
        <v>43891</v>
      </c>
      <c r="AJ1142" s="5" t="n">
        <v>2</v>
      </c>
      <c r="AK1142" s="5" t="s">
        <v>228</v>
      </c>
      <c r="AL1142" s="5" t="n">
        <v>124999</v>
      </c>
      <c r="AM1142" s="5" t="s">
        <v>5618</v>
      </c>
      <c r="AQ1142" s="5" t="s">
        <v>718</v>
      </c>
      <c r="AR1142" s="5" t="s">
        <v>5607</v>
      </c>
      <c r="AS1142" s="5" t="s">
        <v>5607</v>
      </c>
      <c r="AT1142" s="5" t="s">
        <v>374</v>
      </c>
      <c r="AW1142" s="5" t="s">
        <v>94</v>
      </c>
      <c r="AX1142" s="28" t="s">
        <v>375</v>
      </c>
      <c r="AY1142" s="28"/>
      <c r="AZ1142" s="5" t="s">
        <v>121</v>
      </c>
      <c r="BA1142" s="28"/>
      <c r="BB1142" s="28"/>
      <c r="BD1142" s="9" t="n">
        <v>44985</v>
      </c>
      <c r="BE1142" s="9" t="n">
        <v>45779</v>
      </c>
      <c r="BF1142" s="28"/>
      <c r="BH1142" s="28"/>
      <c r="BI1142" s="28"/>
      <c r="BJ1142" s="5" t="n">
        <v>2020</v>
      </c>
      <c r="BK1142" s="28"/>
    </row>
    <row r="1143" customFormat="false" ht="15.75" hidden="false" customHeight="false" outlineLevel="0" collapsed="false">
      <c r="A1143" s="5" t="s">
        <v>5638</v>
      </c>
      <c r="B1143" s="28"/>
      <c r="C1143" s="28"/>
      <c r="D1143" s="5" t="s">
        <v>62</v>
      </c>
      <c r="E1143" s="5" t="n">
        <v>150000</v>
      </c>
      <c r="F1143" s="5" t="n">
        <v>150000</v>
      </c>
      <c r="G1143" s="5" t="s">
        <v>695</v>
      </c>
      <c r="H1143" s="6" t="n">
        <v>150000</v>
      </c>
      <c r="I1143" s="6" t="n">
        <v>0</v>
      </c>
      <c r="J1143" s="18" t="n">
        <f aca="false">E1143*0.85</f>
        <v>127500</v>
      </c>
      <c r="K1143" s="18" t="n">
        <f aca="false">F1143*0.85</f>
        <v>127500</v>
      </c>
      <c r="L1143" s="5" t="s">
        <v>84</v>
      </c>
      <c r="M1143" s="5"/>
      <c r="N1143" s="8" t="s">
        <v>5616</v>
      </c>
      <c r="T1143" s="5" t="s">
        <v>5639</v>
      </c>
      <c r="V1143" s="5" t="s">
        <v>332</v>
      </c>
      <c r="W1143" s="5" t="s">
        <v>90</v>
      </c>
      <c r="X1143" s="5" t="s">
        <v>333</v>
      </c>
      <c r="Y1143" s="5" t="s">
        <v>73</v>
      </c>
      <c r="Z1143" s="5" t="s">
        <v>70</v>
      </c>
      <c r="AA1143" s="28"/>
      <c r="AB1143" s="28"/>
      <c r="AE1143" s="5" t="s">
        <v>117</v>
      </c>
      <c r="AF1143" s="9" t="n">
        <v>43815</v>
      </c>
      <c r="AG1143" s="5" t="n">
        <v>2019</v>
      </c>
      <c r="AI1143" s="9" t="n">
        <v>43952</v>
      </c>
      <c r="AJ1143" s="5" t="n">
        <v>2</v>
      </c>
      <c r="AK1143" s="5" t="s">
        <v>228</v>
      </c>
      <c r="AL1143" s="5" t="n">
        <v>75000</v>
      </c>
      <c r="AM1143" s="5" t="s">
        <v>5618</v>
      </c>
      <c r="AQ1143" s="5" t="s">
        <v>718</v>
      </c>
      <c r="AR1143" s="5" t="s">
        <v>5607</v>
      </c>
      <c r="AS1143" s="5" t="s">
        <v>5607</v>
      </c>
      <c r="AT1143" s="5" t="s">
        <v>78</v>
      </c>
      <c r="AW1143" s="5" t="s">
        <v>94</v>
      </c>
      <c r="AX1143" s="28" t="s">
        <v>375</v>
      </c>
      <c r="AY1143" s="28"/>
      <c r="AZ1143" s="5" t="s">
        <v>129</v>
      </c>
      <c r="BA1143" s="28"/>
      <c r="BB1143" s="28"/>
      <c r="BD1143" s="9" t="n">
        <v>44985</v>
      </c>
      <c r="BE1143" s="9" t="n">
        <v>45779</v>
      </c>
      <c r="BF1143" s="28"/>
      <c r="BH1143" s="28"/>
      <c r="BI1143" s="28"/>
      <c r="BJ1143" s="5" t="n">
        <v>2020</v>
      </c>
      <c r="BK1143" s="28"/>
    </row>
    <row r="1144" customFormat="false" ht="15.75" hidden="false" customHeight="false" outlineLevel="0" collapsed="false">
      <c r="A1144" s="5" t="s">
        <v>5640</v>
      </c>
      <c r="B1144" s="28"/>
      <c r="C1144" s="28"/>
      <c r="D1144" s="5" t="s">
        <v>62</v>
      </c>
      <c r="E1144" s="5" t="n">
        <v>185000</v>
      </c>
      <c r="F1144" s="5" t="n">
        <v>185000</v>
      </c>
      <c r="G1144" s="5" t="s">
        <v>695</v>
      </c>
      <c r="H1144" s="6" t="n">
        <v>185000</v>
      </c>
      <c r="I1144" s="6" t="n">
        <v>0</v>
      </c>
      <c r="J1144" s="18" t="n">
        <f aca="false">E1144*0.85</f>
        <v>157250</v>
      </c>
      <c r="K1144" s="18" t="n">
        <f aca="false">F1144*0.85</f>
        <v>157250</v>
      </c>
      <c r="L1144" s="5" t="s">
        <v>84</v>
      </c>
      <c r="M1144" s="5"/>
      <c r="N1144" s="8" t="s">
        <v>5616</v>
      </c>
      <c r="T1144" s="5" t="s">
        <v>2142</v>
      </c>
      <c r="V1144" s="5" t="s">
        <v>2143</v>
      </c>
      <c r="W1144" s="5" t="s">
        <v>102</v>
      </c>
      <c r="X1144" s="5" t="s">
        <v>333</v>
      </c>
      <c r="Y1144" s="5" t="s">
        <v>73</v>
      </c>
      <c r="Z1144" s="5" t="s">
        <v>70</v>
      </c>
      <c r="AA1144" s="28"/>
      <c r="AB1144" s="28"/>
      <c r="AE1144" s="5" t="s">
        <v>117</v>
      </c>
      <c r="AF1144" s="9" t="n">
        <v>43815</v>
      </c>
      <c r="AG1144" s="5" t="n">
        <v>2019</v>
      </c>
      <c r="AI1144" s="9" t="n">
        <v>43922</v>
      </c>
      <c r="AJ1144" s="5" t="n">
        <v>2</v>
      </c>
      <c r="AK1144" s="5" t="s">
        <v>228</v>
      </c>
      <c r="AL1144" s="5" t="n">
        <v>92500</v>
      </c>
      <c r="AM1144" s="5" t="s">
        <v>5618</v>
      </c>
      <c r="AQ1144" s="5" t="s">
        <v>718</v>
      </c>
      <c r="AR1144" s="5" t="s">
        <v>5607</v>
      </c>
      <c r="AS1144" s="5" t="s">
        <v>5607</v>
      </c>
      <c r="AT1144" s="5" t="s">
        <v>78</v>
      </c>
      <c r="AW1144" s="5" t="s">
        <v>94</v>
      </c>
      <c r="AX1144" s="28" t="s">
        <v>375</v>
      </c>
      <c r="AY1144" s="28"/>
      <c r="AZ1144" s="5" t="s">
        <v>396</v>
      </c>
      <c r="BA1144" s="28"/>
      <c r="BB1144" s="28"/>
      <c r="BD1144" s="9" t="n">
        <v>44985</v>
      </c>
      <c r="BE1144" s="9" t="n">
        <v>45779</v>
      </c>
      <c r="BF1144" s="28"/>
      <c r="BH1144" s="28"/>
      <c r="BI1144" s="28"/>
      <c r="BJ1144" s="5" t="n">
        <v>2020</v>
      </c>
      <c r="BK1144" s="28"/>
    </row>
    <row r="1145" customFormat="false" ht="15.75" hidden="false" customHeight="false" outlineLevel="0" collapsed="false">
      <c r="A1145" s="5" t="s">
        <v>5641</v>
      </c>
      <c r="B1145" s="28"/>
      <c r="C1145" s="28"/>
      <c r="D1145" s="5" t="s">
        <v>62</v>
      </c>
      <c r="E1145" s="5" t="n">
        <v>250000</v>
      </c>
      <c r="F1145" s="5" t="n">
        <v>250000</v>
      </c>
      <c r="G1145" s="5" t="s">
        <v>695</v>
      </c>
      <c r="H1145" s="6" t="n">
        <v>250000</v>
      </c>
      <c r="I1145" s="6" t="n">
        <v>0</v>
      </c>
      <c r="J1145" s="18" t="n">
        <f aca="false">E1145*0.85</f>
        <v>212500</v>
      </c>
      <c r="K1145" s="18" t="n">
        <f aca="false">F1145*0.85</f>
        <v>212500</v>
      </c>
      <c r="L1145" s="5" t="s">
        <v>84</v>
      </c>
      <c r="M1145" s="5"/>
      <c r="N1145" s="8" t="s">
        <v>5616</v>
      </c>
      <c r="T1145" s="5" t="s">
        <v>2714</v>
      </c>
      <c r="V1145" s="5" t="s">
        <v>332</v>
      </c>
      <c r="W1145" s="5" t="s">
        <v>90</v>
      </c>
      <c r="X1145" s="5" t="s">
        <v>333</v>
      </c>
      <c r="Y1145" s="5" t="s">
        <v>73</v>
      </c>
      <c r="Z1145" s="5" t="s">
        <v>70</v>
      </c>
      <c r="AA1145" s="28"/>
      <c r="AB1145" s="28"/>
      <c r="AE1145" s="5" t="s">
        <v>117</v>
      </c>
      <c r="AF1145" s="9" t="n">
        <v>43815</v>
      </c>
      <c r="AG1145" s="5" t="n">
        <v>2019</v>
      </c>
      <c r="AI1145" s="9" t="n">
        <v>43922</v>
      </c>
      <c r="AJ1145" s="5" t="n">
        <v>2</v>
      </c>
      <c r="AK1145" s="5" t="s">
        <v>228</v>
      </c>
      <c r="AL1145" s="5" t="n">
        <v>125000</v>
      </c>
      <c r="AM1145" s="5" t="s">
        <v>5618</v>
      </c>
      <c r="AQ1145" s="5" t="s">
        <v>718</v>
      </c>
      <c r="AR1145" s="5" t="s">
        <v>5607</v>
      </c>
      <c r="AS1145" s="5" t="s">
        <v>5607</v>
      </c>
      <c r="AT1145" s="5" t="s">
        <v>78</v>
      </c>
      <c r="AW1145" s="5" t="s">
        <v>94</v>
      </c>
      <c r="AX1145" s="28" t="s">
        <v>375</v>
      </c>
      <c r="AY1145" s="28"/>
      <c r="AZ1145" s="5" t="s">
        <v>188</v>
      </c>
      <c r="BA1145" s="28"/>
      <c r="BB1145" s="28"/>
      <c r="BD1145" s="9" t="n">
        <v>44985</v>
      </c>
      <c r="BE1145" s="9" t="n">
        <v>45779</v>
      </c>
      <c r="BF1145" s="28"/>
      <c r="BH1145" s="28"/>
      <c r="BI1145" s="28"/>
      <c r="BJ1145" s="5" t="n">
        <v>2020</v>
      </c>
      <c r="BK1145" s="28"/>
    </row>
    <row r="1146" customFormat="false" ht="15.75" hidden="false" customHeight="false" outlineLevel="0" collapsed="false">
      <c r="A1146" s="5" t="s">
        <v>5642</v>
      </c>
      <c r="B1146" s="28"/>
      <c r="C1146" s="28"/>
      <c r="D1146" s="5" t="s">
        <v>62</v>
      </c>
      <c r="E1146" s="5" t="n">
        <v>98816</v>
      </c>
      <c r="F1146" s="5" t="n">
        <v>98816</v>
      </c>
      <c r="G1146" s="5" t="s">
        <v>695</v>
      </c>
      <c r="H1146" s="6" t="n">
        <v>98816</v>
      </c>
      <c r="I1146" s="6" t="n">
        <v>0</v>
      </c>
      <c r="J1146" s="18" t="n">
        <f aca="false">E1146*0.85</f>
        <v>83993.6</v>
      </c>
      <c r="K1146" s="18" t="n">
        <f aca="false">F1146*0.85</f>
        <v>83993.6</v>
      </c>
      <c r="L1146" s="5" t="s">
        <v>84</v>
      </c>
      <c r="M1146" s="5"/>
      <c r="N1146" s="8" t="s">
        <v>5616</v>
      </c>
      <c r="T1146" s="5" t="s">
        <v>5643</v>
      </c>
      <c r="V1146" s="5" t="s">
        <v>89</v>
      </c>
      <c r="W1146" s="5" t="s">
        <v>90</v>
      </c>
      <c r="X1146" s="5" t="s">
        <v>72</v>
      </c>
      <c r="Y1146" s="5" t="s">
        <v>73</v>
      </c>
      <c r="Z1146" s="5" t="s">
        <v>70</v>
      </c>
      <c r="AA1146" s="28"/>
      <c r="AB1146" s="28"/>
      <c r="AD1146" s="5" t="s">
        <v>70</v>
      </c>
      <c r="AE1146" s="5" t="s">
        <v>117</v>
      </c>
      <c r="AF1146" s="9" t="n">
        <v>44124</v>
      </c>
      <c r="AG1146" s="5" t="n">
        <v>2020</v>
      </c>
      <c r="AI1146" s="9" t="n">
        <v>44256</v>
      </c>
      <c r="AJ1146" s="5" t="n">
        <v>1</v>
      </c>
      <c r="AK1146" s="5" t="s">
        <v>228</v>
      </c>
      <c r="AL1146" s="5" t="n">
        <v>98816</v>
      </c>
      <c r="AM1146" s="5" t="s">
        <v>5618</v>
      </c>
      <c r="AQ1146" s="5" t="s">
        <v>718</v>
      </c>
      <c r="AR1146" s="5" t="s">
        <v>5607</v>
      </c>
      <c r="AS1146" s="5" t="s">
        <v>5607</v>
      </c>
      <c r="AT1146" s="5" t="s">
        <v>374</v>
      </c>
      <c r="AW1146" s="5" t="s">
        <v>94</v>
      </c>
      <c r="AX1146" s="28" t="s">
        <v>375</v>
      </c>
      <c r="AY1146" s="28"/>
      <c r="AZ1146" s="5" t="s">
        <v>239</v>
      </c>
      <c r="BA1146" s="28"/>
      <c r="BB1146" s="28"/>
      <c r="BD1146" s="9" t="n">
        <v>44985</v>
      </c>
      <c r="BE1146" s="9" t="n">
        <v>45779</v>
      </c>
      <c r="BF1146" s="28"/>
      <c r="BH1146" s="28"/>
      <c r="BI1146" s="28"/>
      <c r="BJ1146" s="5" t="n">
        <v>2021</v>
      </c>
      <c r="BK1146" s="28"/>
    </row>
    <row r="1147" customFormat="false" ht="15.75" hidden="false" customHeight="false" outlineLevel="0" collapsed="false">
      <c r="A1147" s="5" t="s">
        <v>5644</v>
      </c>
      <c r="B1147" s="28"/>
      <c r="C1147" s="28"/>
      <c r="D1147" s="5" t="s">
        <v>62</v>
      </c>
      <c r="E1147" s="5" t="n">
        <v>250000</v>
      </c>
      <c r="F1147" s="5" t="n">
        <v>250000</v>
      </c>
      <c r="G1147" s="5" t="s">
        <v>695</v>
      </c>
      <c r="H1147" s="6" t="n">
        <v>250000</v>
      </c>
      <c r="I1147" s="6" t="n">
        <v>0</v>
      </c>
      <c r="J1147" s="18" t="n">
        <f aca="false">E1147*0.85</f>
        <v>212500</v>
      </c>
      <c r="K1147" s="18" t="n">
        <f aca="false">F1147*0.85</f>
        <v>212500</v>
      </c>
      <c r="L1147" s="5" t="s">
        <v>84</v>
      </c>
      <c r="M1147" s="5"/>
      <c r="N1147" s="8" t="s">
        <v>5616</v>
      </c>
      <c r="T1147" s="5" t="s">
        <v>952</v>
      </c>
      <c r="V1147" s="5" t="s">
        <v>954</v>
      </c>
      <c r="W1147" s="5" t="s">
        <v>90</v>
      </c>
      <c r="X1147" s="5" t="s">
        <v>568</v>
      </c>
      <c r="Y1147" s="5" t="s">
        <v>73</v>
      </c>
      <c r="Z1147" s="5" t="s">
        <v>70</v>
      </c>
      <c r="AA1147" s="28"/>
      <c r="AB1147" s="28"/>
      <c r="AE1147" s="5" t="s">
        <v>117</v>
      </c>
      <c r="AF1147" s="9" t="n">
        <v>44309</v>
      </c>
      <c r="AG1147" s="5" t="n">
        <v>2021</v>
      </c>
      <c r="AI1147" s="9" t="n">
        <v>44440</v>
      </c>
      <c r="AJ1147" s="5" t="n">
        <v>2</v>
      </c>
      <c r="AK1147" s="5" t="s">
        <v>75</v>
      </c>
      <c r="AL1147" s="5" t="n">
        <v>125000</v>
      </c>
      <c r="AM1147" s="5" t="s">
        <v>5618</v>
      </c>
      <c r="AQ1147" s="5" t="s">
        <v>718</v>
      </c>
      <c r="AR1147" s="5" t="s">
        <v>5607</v>
      </c>
      <c r="AS1147" s="5" t="s">
        <v>5607</v>
      </c>
      <c r="AT1147" s="5" t="s">
        <v>374</v>
      </c>
      <c r="AW1147" s="5" t="s">
        <v>94</v>
      </c>
      <c r="AX1147" s="28" t="s">
        <v>218</v>
      </c>
      <c r="AY1147" s="28"/>
      <c r="AZ1147" s="5" t="s">
        <v>857</v>
      </c>
      <c r="BA1147" s="28"/>
      <c r="BB1147" s="28"/>
      <c r="BD1147" s="9" t="n">
        <v>44985</v>
      </c>
      <c r="BE1147" s="9" t="n">
        <v>45779</v>
      </c>
      <c r="BF1147" s="28"/>
      <c r="BH1147" s="28"/>
      <c r="BI1147" s="28"/>
      <c r="BJ1147" s="5" t="n">
        <v>2021</v>
      </c>
      <c r="BK1147" s="28"/>
    </row>
    <row r="1148" customFormat="false" ht="15.75" hidden="false" customHeight="false" outlineLevel="0" collapsed="false">
      <c r="A1148" s="5" t="s">
        <v>5645</v>
      </c>
      <c r="B1148" s="28"/>
      <c r="C1148" s="28"/>
      <c r="D1148" s="5" t="s">
        <v>62</v>
      </c>
      <c r="E1148" s="5" t="n">
        <v>250000</v>
      </c>
      <c r="F1148" s="5" t="n">
        <v>250000</v>
      </c>
      <c r="G1148" s="5" t="s">
        <v>695</v>
      </c>
      <c r="H1148" s="6" t="n">
        <v>250000</v>
      </c>
      <c r="I1148" s="6" t="n">
        <v>0</v>
      </c>
      <c r="J1148" s="18" t="n">
        <f aca="false">E1148*0.85</f>
        <v>212500</v>
      </c>
      <c r="K1148" s="18" t="n">
        <f aca="false">F1148*0.85</f>
        <v>212500</v>
      </c>
      <c r="L1148" s="5" t="s">
        <v>84</v>
      </c>
      <c r="M1148" s="5"/>
      <c r="N1148" s="8" t="s">
        <v>5616</v>
      </c>
      <c r="T1148" s="5" t="s">
        <v>5646</v>
      </c>
      <c r="V1148" s="5" t="s">
        <v>5647</v>
      </c>
      <c r="W1148" s="5" t="s">
        <v>718</v>
      </c>
      <c r="X1148" s="5" t="s">
        <v>72</v>
      </c>
      <c r="Y1148" s="5" t="s">
        <v>73</v>
      </c>
      <c r="Z1148" s="5" t="s">
        <v>70</v>
      </c>
      <c r="AA1148" s="28"/>
      <c r="AB1148" s="28"/>
      <c r="AE1148" s="5" t="s">
        <v>117</v>
      </c>
      <c r="AF1148" s="9" t="n">
        <v>44309</v>
      </c>
      <c r="AG1148" s="5" t="n">
        <v>2021</v>
      </c>
      <c r="AI1148" s="9" t="n">
        <v>44621</v>
      </c>
      <c r="AJ1148" s="5" t="n">
        <v>2</v>
      </c>
      <c r="AK1148" s="5" t="s">
        <v>75</v>
      </c>
      <c r="AL1148" s="5" t="n">
        <v>125000</v>
      </c>
      <c r="AM1148" s="5" t="s">
        <v>5618</v>
      </c>
      <c r="AQ1148" s="5" t="s">
        <v>718</v>
      </c>
      <c r="AR1148" s="5" t="s">
        <v>5607</v>
      </c>
      <c r="AS1148" s="5" t="s">
        <v>5607</v>
      </c>
      <c r="AT1148" s="5" t="s">
        <v>105</v>
      </c>
      <c r="AW1148" s="5" t="s">
        <v>94</v>
      </c>
      <c r="AX1148" s="28" t="s">
        <v>5648</v>
      </c>
      <c r="AY1148" s="28"/>
      <c r="AZ1148" s="5" t="s">
        <v>540</v>
      </c>
      <c r="BA1148" s="28"/>
      <c r="BB1148" s="28"/>
      <c r="BD1148" s="9" t="n">
        <v>44985</v>
      </c>
      <c r="BE1148" s="9" t="n">
        <v>45779</v>
      </c>
      <c r="BF1148" s="28"/>
      <c r="BH1148" s="28"/>
      <c r="BI1148" s="28"/>
      <c r="BJ1148" s="5" t="n">
        <v>2022</v>
      </c>
      <c r="BK1148" s="28"/>
    </row>
    <row r="1149" customFormat="false" ht="15.75" hidden="false" customHeight="false" outlineLevel="0" collapsed="false">
      <c r="A1149" s="5" t="s">
        <v>5649</v>
      </c>
      <c r="B1149" s="28"/>
      <c r="C1149" s="28"/>
      <c r="D1149" s="5" t="s">
        <v>62</v>
      </c>
      <c r="E1149" s="5" t="n">
        <v>250000</v>
      </c>
      <c r="F1149" s="5" t="n">
        <v>250000</v>
      </c>
      <c r="G1149" s="5" t="s">
        <v>695</v>
      </c>
      <c r="H1149" s="6" t="n">
        <v>250000</v>
      </c>
      <c r="I1149" s="6" t="n">
        <v>0</v>
      </c>
      <c r="J1149" s="18" t="n">
        <f aca="false">E1149*0.85</f>
        <v>212500</v>
      </c>
      <c r="K1149" s="18" t="n">
        <f aca="false">F1149*0.85</f>
        <v>212500</v>
      </c>
      <c r="L1149" s="5" t="s">
        <v>84</v>
      </c>
      <c r="M1149" s="5"/>
      <c r="N1149" s="8" t="s">
        <v>5616</v>
      </c>
      <c r="T1149" s="5" t="s">
        <v>5650</v>
      </c>
      <c r="V1149" s="5" t="s">
        <v>332</v>
      </c>
      <c r="W1149" s="5" t="s">
        <v>90</v>
      </c>
      <c r="X1149" s="5" t="s">
        <v>333</v>
      </c>
      <c r="Y1149" s="5" t="s">
        <v>73</v>
      </c>
      <c r="Z1149" s="5" t="s">
        <v>70</v>
      </c>
      <c r="AA1149" s="28"/>
      <c r="AB1149" s="28"/>
      <c r="AE1149" s="5" t="s">
        <v>117</v>
      </c>
      <c r="AF1149" s="9" t="n">
        <v>44774</v>
      </c>
      <c r="AG1149" s="5" t="n">
        <v>2022</v>
      </c>
      <c r="AI1149" s="9" t="n">
        <v>44892</v>
      </c>
      <c r="AJ1149" s="5" t="n">
        <v>2</v>
      </c>
      <c r="AK1149" s="5" t="s">
        <v>75</v>
      </c>
      <c r="AL1149" s="5" t="n">
        <v>125000</v>
      </c>
      <c r="AM1149" s="5" t="s">
        <v>5618</v>
      </c>
      <c r="AQ1149" s="5" t="s">
        <v>718</v>
      </c>
      <c r="AR1149" s="5" t="s">
        <v>5607</v>
      </c>
      <c r="AS1149" s="5" t="s">
        <v>5607</v>
      </c>
      <c r="AT1149" s="5" t="s">
        <v>105</v>
      </c>
      <c r="AW1149" s="5" t="s">
        <v>94</v>
      </c>
      <c r="AX1149" s="28" t="s">
        <v>375</v>
      </c>
      <c r="AY1149" s="28"/>
      <c r="AZ1149" s="5" t="s">
        <v>540</v>
      </c>
      <c r="BA1149" s="28"/>
      <c r="BB1149" s="28"/>
      <c r="BD1149" s="9" t="n">
        <v>44987</v>
      </c>
      <c r="BE1149" s="9" t="n">
        <v>45779</v>
      </c>
      <c r="BF1149" s="28"/>
      <c r="BH1149" s="28"/>
      <c r="BI1149" s="28"/>
      <c r="BJ1149" s="5" t="n">
        <v>2022</v>
      </c>
      <c r="BK1149" s="28"/>
    </row>
    <row r="1150" customFormat="false" ht="15.75" hidden="false" customHeight="false" outlineLevel="0" collapsed="false">
      <c r="A1150" s="5" t="s">
        <v>5651</v>
      </c>
      <c r="B1150" s="28"/>
      <c r="C1150" s="28"/>
      <c r="D1150" s="5" t="s">
        <v>62</v>
      </c>
      <c r="E1150" s="5" t="n">
        <v>240000</v>
      </c>
      <c r="F1150" s="5" t="n">
        <v>240000</v>
      </c>
      <c r="G1150" s="5" t="s">
        <v>695</v>
      </c>
      <c r="H1150" s="6" t="n">
        <v>240000</v>
      </c>
      <c r="I1150" s="6" t="n">
        <v>0</v>
      </c>
      <c r="J1150" s="18" t="n">
        <f aca="false">E1150*0.85</f>
        <v>204000</v>
      </c>
      <c r="K1150" s="18" t="n">
        <f aca="false">F1150*0.85</f>
        <v>204000</v>
      </c>
      <c r="L1150" s="5" t="s">
        <v>84</v>
      </c>
      <c r="M1150" s="5"/>
      <c r="N1150" s="8" t="s">
        <v>5616</v>
      </c>
      <c r="T1150" s="5" t="s">
        <v>5652</v>
      </c>
      <c r="V1150" s="5" t="s">
        <v>1675</v>
      </c>
      <c r="W1150" s="5" t="s">
        <v>90</v>
      </c>
      <c r="X1150" s="5" t="s">
        <v>1676</v>
      </c>
      <c r="Y1150" s="5" t="s">
        <v>73</v>
      </c>
      <c r="Z1150" s="5" t="s">
        <v>70</v>
      </c>
      <c r="AA1150" s="28"/>
      <c r="AB1150" s="28"/>
      <c r="AE1150" s="5" t="s">
        <v>117</v>
      </c>
      <c r="AF1150" s="9" t="n">
        <v>44774</v>
      </c>
      <c r="AG1150" s="5" t="n">
        <v>2022</v>
      </c>
      <c r="AJ1150" s="5" t="n">
        <v>2</v>
      </c>
      <c r="AL1150" s="5" t="n">
        <v>120000</v>
      </c>
      <c r="AM1150" s="5" t="s">
        <v>5618</v>
      </c>
      <c r="AQ1150" s="5" t="s">
        <v>718</v>
      </c>
      <c r="AR1150" s="5" t="s">
        <v>5607</v>
      </c>
      <c r="AS1150" s="5" t="s">
        <v>5607</v>
      </c>
      <c r="AT1150" s="5" t="s">
        <v>374</v>
      </c>
      <c r="AW1150" s="5" t="s">
        <v>94</v>
      </c>
      <c r="AX1150" s="28" t="s">
        <v>375</v>
      </c>
      <c r="AY1150" s="28"/>
      <c r="AZ1150" s="5" t="s">
        <v>534</v>
      </c>
      <c r="BA1150" s="28"/>
      <c r="BB1150" s="28"/>
      <c r="BD1150" s="9" t="n">
        <v>44987</v>
      </c>
      <c r="BE1150" s="9" t="n">
        <v>45761</v>
      </c>
      <c r="BF1150" s="28"/>
      <c r="BH1150" s="28"/>
      <c r="BI1150" s="28"/>
      <c r="BJ1150" s="5" t="n">
        <v>2023</v>
      </c>
      <c r="BK1150" s="28"/>
    </row>
    <row r="1151" customFormat="false" ht="15.75" hidden="false" customHeight="false" outlineLevel="0" collapsed="false">
      <c r="A1151" s="5" t="s">
        <v>5653</v>
      </c>
      <c r="B1151" s="28"/>
      <c r="C1151" s="28"/>
      <c r="D1151" s="5" t="s">
        <v>62</v>
      </c>
      <c r="E1151" s="5" t="n">
        <v>280000</v>
      </c>
      <c r="F1151" s="5" t="n">
        <v>280000</v>
      </c>
      <c r="G1151" s="5" t="s">
        <v>695</v>
      </c>
      <c r="H1151" s="6" t="n">
        <v>280000</v>
      </c>
      <c r="I1151" s="6" t="n">
        <v>0</v>
      </c>
      <c r="J1151" s="18" t="n">
        <f aca="false">E1151*0.85</f>
        <v>238000</v>
      </c>
      <c r="K1151" s="18" t="n">
        <f aca="false">F1151*0.85</f>
        <v>238000</v>
      </c>
      <c r="L1151" s="5" t="s">
        <v>84</v>
      </c>
      <c r="M1151" s="5"/>
      <c r="N1151" s="8" t="s">
        <v>5616</v>
      </c>
      <c r="T1151" s="5" t="s">
        <v>5654</v>
      </c>
      <c r="V1151" s="5" t="s">
        <v>5655</v>
      </c>
      <c r="W1151" s="5" t="s">
        <v>102</v>
      </c>
      <c r="X1151" s="5" t="s">
        <v>737</v>
      </c>
      <c r="Y1151" s="5" t="s">
        <v>73</v>
      </c>
      <c r="Z1151" s="5" t="s">
        <v>70</v>
      </c>
      <c r="AA1151" s="28"/>
      <c r="AB1151" s="28"/>
      <c r="AE1151" s="5" t="s">
        <v>117</v>
      </c>
      <c r="AF1151" s="9" t="n">
        <v>44774</v>
      </c>
      <c r="AG1151" s="5" t="n">
        <v>2022</v>
      </c>
      <c r="AI1151" s="9" t="n">
        <v>44938</v>
      </c>
      <c r="AJ1151" s="5" t="n">
        <v>2</v>
      </c>
      <c r="AK1151" s="5" t="s">
        <v>75</v>
      </c>
      <c r="AL1151" s="5" t="n">
        <v>140000</v>
      </c>
      <c r="AM1151" s="5" t="s">
        <v>5618</v>
      </c>
      <c r="AQ1151" s="5" t="s">
        <v>718</v>
      </c>
      <c r="AR1151" s="5" t="s">
        <v>5607</v>
      </c>
      <c r="AS1151" s="5" t="s">
        <v>5607</v>
      </c>
      <c r="AT1151" s="5" t="s">
        <v>105</v>
      </c>
      <c r="AW1151" s="5" t="s">
        <v>94</v>
      </c>
      <c r="AX1151" s="28" t="s">
        <v>218</v>
      </c>
      <c r="AY1151" s="28"/>
      <c r="AZ1151" s="5" t="s">
        <v>521</v>
      </c>
      <c r="BA1151" s="28"/>
      <c r="BB1151" s="28"/>
      <c r="BD1151" s="9" t="n">
        <v>44987</v>
      </c>
      <c r="BE1151" s="9" t="n">
        <v>45779</v>
      </c>
      <c r="BF1151" s="28"/>
      <c r="BH1151" s="28"/>
      <c r="BI1151" s="28"/>
      <c r="BJ1151" s="5" t="n">
        <v>2023</v>
      </c>
      <c r="BK1151" s="28"/>
    </row>
    <row r="1152" customFormat="false" ht="15.75" hidden="false" customHeight="false" outlineLevel="0" collapsed="false">
      <c r="A1152" s="5" t="s">
        <v>5656</v>
      </c>
      <c r="B1152" s="28"/>
      <c r="C1152" s="28"/>
      <c r="D1152" s="5" t="s">
        <v>62</v>
      </c>
      <c r="E1152" s="5" t="n">
        <v>250000</v>
      </c>
      <c r="F1152" s="5" t="n">
        <v>250000</v>
      </c>
      <c r="G1152" s="5" t="s">
        <v>695</v>
      </c>
      <c r="H1152" s="6" t="n">
        <v>250000</v>
      </c>
      <c r="I1152" s="6" t="n">
        <v>0</v>
      </c>
      <c r="J1152" s="18" t="n">
        <f aca="false">E1152*0.85</f>
        <v>212500</v>
      </c>
      <c r="K1152" s="18" t="n">
        <f aca="false">F1152*0.85</f>
        <v>212500</v>
      </c>
      <c r="L1152" s="5" t="s">
        <v>84</v>
      </c>
      <c r="M1152" s="5"/>
      <c r="N1152" s="8" t="s">
        <v>5616</v>
      </c>
      <c r="T1152" s="5" t="s">
        <v>5657</v>
      </c>
      <c r="V1152" s="5" t="s">
        <v>5623</v>
      </c>
      <c r="W1152" s="5" t="s">
        <v>102</v>
      </c>
      <c r="X1152" s="5" t="s">
        <v>3280</v>
      </c>
      <c r="Y1152" s="5" t="s">
        <v>73</v>
      </c>
      <c r="Z1152" s="5" t="s">
        <v>70</v>
      </c>
      <c r="AA1152" s="28"/>
      <c r="AB1152" s="28"/>
      <c r="AE1152" s="5" t="s">
        <v>117</v>
      </c>
      <c r="AF1152" s="9" t="n">
        <v>44774</v>
      </c>
      <c r="AG1152" s="5" t="n">
        <v>2022</v>
      </c>
      <c r="AI1152" s="9" t="n">
        <v>44826</v>
      </c>
      <c r="AJ1152" s="5" t="n">
        <v>2</v>
      </c>
      <c r="AK1152" s="5" t="s">
        <v>75</v>
      </c>
      <c r="AL1152" s="5" t="n">
        <v>125000</v>
      </c>
      <c r="AM1152" s="5" t="s">
        <v>5618</v>
      </c>
      <c r="AQ1152" s="5" t="s">
        <v>718</v>
      </c>
      <c r="AR1152" s="5" t="s">
        <v>5607</v>
      </c>
      <c r="AS1152" s="5" t="s">
        <v>5607</v>
      </c>
      <c r="AT1152" s="5" t="s">
        <v>78</v>
      </c>
      <c r="AW1152" s="5" t="s">
        <v>94</v>
      </c>
      <c r="AX1152" s="28" t="s">
        <v>218</v>
      </c>
      <c r="AY1152" s="28"/>
      <c r="AZ1152" s="5" t="s">
        <v>129</v>
      </c>
      <c r="BA1152" s="28"/>
      <c r="BB1152" s="28"/>
      <c r="BD1152" s="9" t="n">
        <v>44987</v>
      </c>
      <c r="BE1152" s="9" t="n">
        <v>45779</v>
      </c>
      <c r="BF1152" s="28"/>
      <c r="BH1152" s="28"/>
      <c r="BI1152" s="28"/>
      <c r="BJ1152" s="5" t="n">
        <v>2022</v>
      </c>
      <c r="BK1152" s="28"/>
    </row>
    <row r="1153" customFormat="false" ht="15.75" hidden="false" customHeight="false" outlineLevel="0" collapsed="false">
      <c r="A1153" s="5" t="s">
        <v>5658</v>
      </c>
      <c r="B1153" s="28"/>
      <c r="C1153" s="28"/>
      <c r="D1153" s="5" t="s">
        <v>62</v>
      </c>
      <c r="E1153" s="5" t="n">
        <v>99700</v>
      </c>
      <c r="F1153" s="5" t="n">
        <v>99700</v>
      </c>
      <c r="G1153" s="5" t="s">
        <v>695</v>
      </c>
      <c r="H1153" s="6" t="n">
        <v>99700</v>
      </c>
      <c r="I1153" s="6" t="n">
        <v>0</v>
      </c>
      <c r="J1153" s="18" t="n">
        <f aca="false">E1153*0.85</f>
        <v>84745</v>
      </c>
      <c r="K1153" s="18" t="n">
        <f aca="false">F1153*0.85</f>
        <v>84745</v>
      </c>
      <c r="L1153" s="5" t="s">
        <v>84</v>
      </c>
      <c r="M1153" s="5"/>
      <c r="N1153" s="8" t="s">
        <v>5616</v>
      </c>
      <c r="T1153" s="5" t="s">
        <v>3043</v>
      </c>
      <c r="V1153" s="5" t="s">
        <v>3044</v>
      </c>
      <c r="W1153" s="5" t="s">
        <v>102</v>
      </c>
      <c r="X1153" s="5" t="s">
        <v>139</v>
      </c>
      <c r="Y1153" s="5" t="s">
        <v>73</v>
      </c>
      <c r="Z1153" s="5" t="s">
        <v>70</v>
      </c>
      <c r="AA1153" s="28"/>
      <c r="AB1153" s="28"/>
      <c r="AE1153" s="5" t="s">
        <v>117</v>
      </c>
      <c r="AF1153" s="9" t="n">
        <v>44774</v>
      </c>
      <c r="AG1153" s="5" t="n">
        <v>2022</v>
      </c>
      <c r="AI1153" s="9" t="n">
        <v>44826</v>
      </c>
      <c r="AJ1153" s="5" t="n">
        <v>1</v>
      </c>
      <c r="AK1153" s="5" t="s">
        <v>75</v>
      </c>
      <c r="AL1153" s="5" t="n">
        <v>99700</v>
      </c>
      <c r="AM1153" s="5" t="s">
        <v>5618</v>
      </c>
      <c r="AQ1153" s="5" t="s">
        <v>718</v>
      </c>
      <c r="AR1153" s="5" t="s">
        <v>5607</v>
      </c>
      <c r="AS1153" s="5" t="s">
        <v>5607</v>
      </c>
      <c r="AT1153" s="5" t="s">
        <v>374</v>
      </c>
      <c r="AW1153" s="5" t="s">
        <v>94</v>
      </c>
      <c r="AX1153" s="28" t="s">
        <v>375</v>
      </c>
      <c r="AY1153" s="28"/>
      <c r="AZ1153" s="5" t="s">
        <v>121</v>
      </c>
      <c r="BA1153" s="28"/>
      <c r="BB1153" s="28"/>
      <c r="BD1153" s="9" t="n">
        <v>44987</v>
      </c>
      <c r="BE1153" s="9" t="n">
        <v>45779</v>
      </c>
      <c r="BF1153" s="28"/>
      <c r="BH1153" s="28"/>
      <c r="BI1153" s="28"/>
      <c r="BJ1153" s="5" t="n">
        <v>2022</v>
      </c>
      <c r="BK1153" s="28"/>
    </row>
    <row r="1154" customFormat="false" ht="15.75" hidden="false" customHeight="false" outlineLevel="0" collapsed="false">
      <c r="A1154" s="5" t="s">
        <v>5659</v>
      </c>
      <c r="B1154" s="28"/>
      <c r="C1154" s="28"/>
      <c r="D1154" s="5" t="s">
        <v>62</v>
      </c>
      <c r="E1154" s="5" t="n">
        <v>100000</v>
      </c>
      <c r="F1154" s="5" t="n">
        <v>100000</v>
      </c>
      <c r="G1154" s="5" t="s">
        <v>695</v>
      </c>
      <c r="H1154" s="6" t="n">
        <v>100000</v>
      </c>
      <c r="I1154" s="6" t="n">
        <v>0</v>
      </c>
      <c r="J1154" s="18" t="n">
        <f aca="false">E1154*0.85</f>
        <v>85000</v>
      </c>
      <c r="K1154" s="18" t="n">
        <f aca="false">F1154*0.85</f>
        <v>85000</v>
      </c>
      <c r="L1154" s="5" t="s">
        <v>84</v>
      </c>
      <c r="M1154" s="5"/>
      <c r="N1154" s="8" t="s">
        <v>5616</v>
      </c>
      <c r="T1154" s="5" t="s">
        <v>5660</v>
      </c>
      <c r="V1154" s="5" t="s">
        <v>954</v>
      </c>
      <c r="W1154" s="5" t="s">
        <v>90</v>
      </c>
      <c r="X1154" s="5" t="s">
        <v>568</v>
      </c>
      <c r="Y1154" s="5" t="s">
        <v>73</v>
      </c>
      <c r="Z1154" s="5" t="s">
        <v>70</v>
      </c>
      <c r="AA1154" s="28"/>
      <c r="AB1154" s="28"/>
      <c r="AE1154" s="5" t="s">
        <v>117</v>
      </c>
      <c r="AF1154" s="9" t="n">
        <v>44774</v>
      </c>
      <c r="AG1154" s="5" t="n">
        <v>2022</v>
      </c>
      <c r="AI1154" s="9" t="n">
        <v>44926</v>
      </c>
      <c r="AJ1154" s="5" t="n">
        <v>1</v>
      </c>
      <c r="AK1154" s="5" t="s">
        <v>75</v>
      </c>
      <c r="AL1154" s="5" t="n">
        <v>100000</v>
      </c>
      <c r="AM1154" s="5" t="s">
        <v>5618</v>
      </c>
      <c r="AQ1154" s="5" t="s">
        <v>718</v>
      </c>
      <c r="AR1154" s="5" t="s">
        <v>5607</v>
      </c>
      <c r="AS1154" s="5" t="s">
        <v>5607</v>
      </c>
      <c r="AT1154" s="5" t="s">
        <v>374</v>
      </c>
      <c r="AW1154" s="5" t="s">
        <v>94</v>
      </c>
      <c r="AX1154" s="28" t="s">
        <v>218</v>
      </c>
      <c r="AY1154" s="28"/>
      <c r="AZ1154" s="5" t="s">
        <v>534</v>
      </c>
      <c r="BA1154" s="28"/>
      <c r="BB1154" s="28"/>
      <c r="BD1154" s="9" t="n">
        <v>44987</v>
      </c>
      <c r="BE1154" s="9" t="n">
        <v>45779</v>
      </c>
      <c r="BF1154" s="28"/>
      <c r="BH1154" s="28"/>
      <c r="BI1154" s="28"/>
      <c r="BJ1154" s="5" t="n">
        <v>2022</v>
      </c>
      <c r="BK1154" s="28"/>
    </row>
    <row r="1155" customFormat="false" ht="15.75" hidden="false" customHeight="false" outlineLevel="0" collapsed="false">
      <c r="A1155" s="5" t="s">
        <v>5661</v>
      </c>
      <c r="B1155" s="28"/>
      <c r="C1155" s="28"/>
      <c r="D1155" s="5" t="s">
        <v>62</v>
      </c>
      <c r="E1155" s="5" t="n">
        <v>100000</v>
      </c>
      <c r="F1155" s="5" t="n">
        <v>100000</v>
      </c>
      <c r="G1155" s="5" t="s">
        <v>695</v>
      </c>
      <c r="H1155" s="6" t="n">
        <v>100000</v>
      </c>
      <c r="I1155" s="6" t="n">
        <v>0</v>
      </c>
      <c r="J1155" s="18" t="n">
        <f aca="false">E1155*0.85</f>
        <v>85000</v>
      </c>
      <c r="K1155" s="18" t="n">
        <f aca="false">F1155*0.85</f>
        <v>85000</v>
      </c>
      <c r="L1155" s="5" t="s">
        <v>84</v>
      </c>
      <c r="M1155" s="5"/>
      <c r="N1155" s="8" t="s">
        <v>5616</v>
      </c>
      <c r="T1155" s="5" t="s">
        <v>5662</v>
      </c>
      <c r="V1155" s="5" t="s">
        <v>5663</v>
      </c>
      <c r="W1155" s="5" t="s">
        <v>90</v>
      </c>
      <c r="X1155" s="5" t="s">
        <v>139</v>
      </c>
      <c r="Y1155" s="5" t="s">
        <v>73</v>
      </c>
      <c r="Z1155" s="5" t="s">
        <v>70</v>
      </c>
      <c r="AA1155" s="28"/>
      <c r="AB1155" s="28"/>
      <c r="AD1155" s="5" t="s">
        <v>70</v>
      </c>
      <c r="AE1155" s="5" t="s">
        <v>117</v>
      </c>
      <c r="AF1155" s="9" t="n">
        <v>44774</v>
      </c>
      <c r="AG1155" s="5" t="n">
        <v>2022</v>
      </c>
      <c r="AI1155" s="9" t="n">
        <v>44876</v>
      </c>
      <c r="AJ1155" s="5" t="n">
        <v>1</v>
      </c>
      <c r="AK1155" s="5" t="s">
        <v>75</v>
      </c>
      <c r="AL1155" s="5" t="n">
        <v>100000</v>
      </c>
      <c r="AM1155" s="5" t="s">
        <v>5618</v>
      </c>
      <c r="AQ1155" s="5" t="s">
        <v>718</v>
      </c>
      <c r="AR1155" s="5" t="s">
        <v>5607</v>
      </c>
      <c r="AS1155" s="5" t="s">
        <v>5607</v>
      </c>
      <c r="AT1155" s="5" t="s">
        <v>374</v>
      </c>
      <c r="AW1155" s="5" t="s">
        <v>94</v>
      </c>
      <c r="AX1155" s="28" t="s">
        <v>375</v>
      </c>
      <c r="AY1155" s="28"/>
      <c r="AZ1155" s="5" t="s">
        <v>239</v>
      </c>
      <c r="BA1155" s="28"/>
      <c r="BB1155" s="28"/>
      <c r="BD1155" s="9" t="n">
        <v>44987</v>
      </c>
      <c r="BE1155" s="9" t="n">
        <v>45779</v>
      </c>
      <c r="BF1155" s="28"/>
      <c r="BH1155" s="28"/>
      <c r="BI1155" s="28"/>
      <c r="BJ1155" s="5" t="n">
        <v>2022</v>
      </c>
      <c r="BK1155" s="28"/>
    </row>
    <row r="1156" customFormat="false" ht="15.75" hidden="false" customHeight="false" outlineLevel="0" collapsed="false">
      <c r="A1156" s="5" t="s">
        <v>5664</v>
      </c>
      <c r="B1156" s="28"/>
      <c r="C1156" s="28"/>
      <c r="D1156" s="5" t="s">
        <v>62</v>
      </c>
      <c r="E1156" s="5" t="n">
        <v>100000</v>
      </c>
      <c r="F1156" s="5" t="n">
        <v>100000</v>
      </c>
      <c r="G1156" s="5" t="s">
        <v>695</v>
      </c>
      <c r="H1156" s="6" t="n">
        <v>100000</v>
      </c>
      <c r="I1156" s="6" t="n">
        <v>0</v>
      </c>
      <c r="J1156" s="18" t="n">
        <f aca="false">E1156*0.85</f>
        <v>85000</v>
      </c>
      <c r="K1156" s="18" t="n">
        <f aca="false">F1156*0.85</f>
        <v>85000</v>
      </c>
      <c r="L1156" s="5" t="s">
        <v>84</v>
      </c>
      <c r="M1156" s="5"/>
      <c r="N1156" s="8" t="s">
        <v>5616</v>
      </c>
      <c r="T1156" s="5" t="s">
        <v>5665</v>
      </c>
      <c r="V1156" s="5" t="s">
        <v>5666</v>
      </c>
      <c r="W1156" s="5" t="s">
        <v>102</v>
      </c>
      <c r="X1156" s="5" t="s">
        <v>5667</v>
      </c>
      <c r="Y1156" s="5" t="s">
        <v>73</v>
      </c>
      <c r="Z1156" s="5" t="s">
        <v>70</v>
      </c>
      <c r="AA1156" s="28"/>
      <c r="AB1156" s="28"/>
      <c r="AC1156" s="5" t="s">
        <v>5668</v>
      </c>
      <c r="AD1156" s="5" t="s">
        <v>5666</v>
      </c>
      <c r="AE1156" s="5" t="s">
        <v>117</v>
      </c>
      <c r="AF1156" s="9" t="n">
        <v>44774</v>
      </c>
      <c r="AG1156" s="5" t="n">
        <v>2022</v>
      </c>
      <c r="AI1156" s="9" t="n">
        <v>44938</v>
      </c>
      <c r="AJ1156" s="5" t="n">
        <v>1</v>
      </c>
      <c r="AK1156" s="5" t="s">
        <v>75</v>
      </c>
      <c r="AL1156" s="5" t="n">
        <v>100000</v>
      </c>
      <c r="AM1156" s="5" t="s">
        <v>5618</v>
      </c>
      <c r="AQ1156" s="5" t="s">
        <v>718</v>
      </c>
      <c r="AR1156" s="5" t="s">
        <v>5607</v>
      </c>
      <c r="AS1156" s="5" t="s">
        <v>5607</v>
      </c>
      <c r="AT1156" s="5" t="s">
        <v>78</v>
      </c>
      <c r="AW1156" s="5" t="s">
        <v>94</v>
      </c>
      <c r="AX1156" s="28" t="s">
        <v>79</v>
      </c>
      <c r="AY1156" s="28"/>
      <c r="AZ1156" s="5" t="s">
        <v>287</v>
      </c>
      <c r="BA1156" s="28"/>
      <c r="BB1156" s="28"/>
      <c r="BD1156" s="9" t="n">
        <v>44987</v>
      </c>
      <c r="BE1156" s="9" t="n">
        <v>45779</v>
      </c>
      <c r="BF1156" s="28"/>
      <c r="BH1156" s="28"/>
      <c r="BI1156" s="28"/>
      <c r="BJ1156" s="5" t="n">
        <v>2023</v>
      </c>
      <c r="BK1156" s="28"/>
    </row>
    <row r="1157" customFormat="false" ht="15.75" hidden="false" customHeight="false" outlineLevel="0" collapsed="false">
      <c r="A1157" s="5" t="s">
        <v>5669</v>
      </c>
      <c r="B1157" s="28"/>
      <c r="C1157" s="28"/>
      <c r="D1157" s="5" t="s">
        <v>62</v>
      </c>
      <c r="E1157" s="5" t="n">
        <v>80000</v>
      </c>
      <c r="F1157" s="5" t="n">
        <v>80000</v>
      </c>
      <c r="G1157" s="5" t="s">
        <v>695</v>
      </c>
      <c r="H1157" s="6" t="n">
        <v>80000</v>
      </c>
      <c r="I1157" s="6" t="n">
        <v>0</v>
      </c>
      <c r="J1157" s="18" t="n">
        <f aca="false">E1157*0.85</f>
        <v>68000</v>
      </c>
      <c r="K1157" s="18" t="n">
        <f aca="false">F1157*0.85</f>
        <v>68000</v>
      </c>
      <c r="L1157" s="5" t="s">
        <v>84</v>
      </c>
      <c r="M1157" s="5"/>
      <c r="N1157" s="8" t="s">
        <v>5670</v>
      </c>
      <c r="P1157" s="5"/>
      <c r="Q1157" s="5"/>
      <c r="R1157" s="5" t="s">
        <v>5671</v>
      </c>
      <c r="T1157" s="5" t="s">
        <v>5672</v>
      </c>
      <c r="V1157" s="5" t="s">
        <v>1727</v>
      </c>
      <c r="W1157" s="5" t="s">
        <v>90</v>
      </c>
      <c r="X1157" s="5" t="s">
        <v>139</v>
      </c>
      <c r="Y1157" s="5" t="s">
        <v>73</v>
      </c>
      <c r="Z1157" s="5" t="s">
        <v>70</v>
      </c>
      <c r="AA1157" s="28"/>
      <c r="AB1157" s="28"/>
      <c r="AC1157" s="5" t="s">
        <v>5673</v>
      </c>
      <c r="AD1157" s="5" t="s">
        <v>5674</v>
      </c>
      <c r="AE1157" s="5" t="s">
        <v>74</v>
      </c>
      <c r="AI1157" s="9" t="n">
        <v>42186</v>
      </c>
      <c r="AJ1157" s="5" t="n">
        <v>2</v>
      </c>
      <c r="AK1157" s="5" t="s">
        <v>228</v>
      </c>
      <c r="AL1157" s="5" t="n">
        <v>40000</v>
      </c>
      <c r="AM1157" s="5" t="s">
        <v>5675</v>
      </c>
      <c r="AQ1157" s="5" t="s">
        <v>718</v>
      </c>
      <c r="AR1157" s="5" t="s">
        <v>5607</v>
      </c>
      <c r="AS1157" s="5" t="s">
        <v>5607</v>
      </c>
      <c r="AT1157" s="5" t="s">
        <v>374</v>
      </c>
      <c r="AW1157" s="5" t="s">
        <v>5676</v>
      </c>
      <c r="AX1157" s="28" t="s">
        <v>375</v>
      </c>
      <c r="AY1157" s="28"/>
      <c r="AZ1157" s="5" t="s">
        <v>239</v>
      </c>
      <c r="BA1157" s="28"/>
      <c r="BB1157" s="28"/>
      <c r="BD1157" s="9" t="n">
        <v>45008</v>
      </c>
      <c r="BE1157" s="9" t="n">
        <v>45436</v>
      </c>
      <c r="BF1157" s="28"/>
      <c r="BH1157" s="28"/>
      <c r="BI1157" s="28"/>
      <c r="BJ1157" s="5" t="n">
        <v>2015</v>
      </c>
      <c r="BK1157" s="28"/>
    </row>
    <row r="1158" customFormat="false" ht="15.75" hidden="false" customHeight="false" outlineLevel="0" collapsed="false">
      <c r="A1158" s="5" t="s">
        <v>5677</v>
      </c>
      <c r="B1158" s="28"/>
      <c r="C1158" s="28"/>
      <c r="D1158" s="5" t="s">
        <v>62</v>
      </c>
      <c r="E1158" s="5" t="n">
        <v>120000</v>
      </c>
      <c r="F1158" s="5" t="n">
        <v>120000</v>
      </c>
      <c r="G1158" s="5" t="s">
        <v>695</v>
      </c>
      <c r="H1158" s="6" t="n">
        <v>120000</v>
      </c>
      <c r="I1158" s="6" t="n">
        <v>0</v>
      </c>
      <c r="J1158" s="18" t="n">
        <f aca="false">E1158*0.85</f>
        <v>102000</v>
      </c>
      <c r="K1158" s="18" t="n">
        <f aca="false">F1158*0.85</f>
        <v>102000</v>
      </c>
      <c r="L1158" s="5" t="s">
        <v>84</v>
      </c>
      <c r="M1158" s="5"/>
      <c r="N1158" s="8" t="s">
        <v>5678</v>
      </c>
      <c r="P1158" s="5"/>
      <c r="Q1158" s="5"/>
      <c r="R1158" s="5" t="s">
        <v>5671</v>
      </c>
      <c r="T1158" s="5" t="s">
        <v>5679</v>
      </c>
      <c r="V1158" s="5" t="s">
        <v>197</v>
      </c>
      <c r="W1158" s="5" t="s">
        <v>90</v>
      </c>
      <c r="X1158" s="5" t="s">
        <v>139</v>
      </c>
      <c r="Y1158" s="5" t="s">
        <v>73</v>
      </c>
      <c r="Z1158" s="5" t="s">
        <v>70</v>
      </c>
      <c r="AA1158" s="28"/>
      <c r="AB1158" s="28"/>
      <c r="AC1158" s="5" t="s">
        <v>5680</v>
      </c>
      <c r="AD1158" s="5" t="s">
        <v>197</v>
      </c>
      <c r="AE1158" s="5" t="s">
        <v>117</v>
      </c>
      <c r="AI1158" s="9" t="n">
        <v>42917</v>
      </c>
      <c r="AJ1158" s="5" t="n">
        <v>3</v>
      </c>
      <c r="AK1158" s="5" t="s">
        <v>228</v>
      </c>
      <c r="AL1158" s="5" t="n">
        <v>40000</v>
      </c>
      <c r="AM1158" s="5" t="s">
        <v>5675</v>
      </c>
      <c r="AQ1158" s="5" t="s">
        <v>718</v>
      </c>
      <c r="AR1158" s="5" t="s">
        <v>5607</v>
      </c>
      <c r="AS1158" s="5" t="s">
        <v>5607</v>
      </c>
      <c r="AT1158" s="5" t="s">
        <v>374</v>
      </c>
      <c r="AW1158" s="5" t="s">
        <v>5676</v>
      </c>
      <c r="AX1158" s="28" t="s">
        <v>375</v>
      </c>
      <c r="AY1158" s="28"/>
      <c r="AZ1158" s="5" t="s">
        <v>121</v>
      </c>
      <c r="BA1158" s="28"/>
      <c r="BB1158" s="28"/>
      <c r="BD1158" s="9" t="n">
        <v>45008</v>
      </c>
      <c r="BE1158" s="9" t="n">
        <v>45779</v>
      </c>
      <c r="BF1158" s="28"/>
      <c r="BH1158" s="28"/>
      <c r="BI1158" s="28"/>
      <c r="BJ1158" s="5" t="n">
        <v>2017</v>
      </c>
      <c r="BK1158" s="28"/>
    </row>
    <row r="1159" customFormat="false" ht="15.75" hidden="false" customHeight="false" outlineLevel="0" collapsed="false">
      <c r="A1159" s="5" t="s">
        <v>5681</v>
      </c>
      <c r="B1159" s="28"/>
      <c r="C1159" s="28"/>
      <c r="D1159" s="5" t="s">
        <v>62</v>
      </c>
      <c r="E1159" s="5" t="n">
        <v>80000</v>
      </c>
      <c r="F1159" s="5" t="n">
        <v>80000</v>
      </c>
      <c r="G1159" s="5" t="s">
        <v>695</v>
      </c>
      <c r="H1159" s="6" t="n">
        <v>80000</v>
      </c>
      <c r="I1159" s="6" t="n">
        <v>0</v>
      </c>
      <c r="J1159" s="18" t="n">
        <f aca="false">E1159*0.85</f>
        <v>68000</v>
      </c>
      <c r="K1159" s="18" t="n">
        <f aca="false">F1159*0.85</f>
        <v>68000</v>
      </c>
      <c r="L1159" s="5" t="s">
        <v>84</v>
      </c>
      <c r="M1159" s="5"/>
      <c r="N1159" s="8" t="s">
        <v>5682</v>
      </c>
      <c r="P1159" s="5"/>
      <c r="Q1159" s="5"/>
      <c r="R1159" s="5" t="s">
        <v>5671</v>
      </c>
      <c r="T1159" s="5" t="s">
        <v>1592</v>
      </c>
      <c r="V1159" s="5" t="s">
        <v>5631</v>
      </c>
      <c r="W1159" s="5" t="s">
        <v>90</v>
      </c>
      <c r="X1159" s="5" t="s">
        <v>139</v>
      </c>
      <c r="Y1159" s="5" t="s">
        <v>73</v>
      </c>
      <c r="Z1159" s="5" t="s">
        <v>70</v>
      </c>
      <c r="AA1159" s="28"/>
      <c r="AB1159" s="28"/>
      <c r="AC1159" s="5" t="s">
        <v>979</v>
      </c>
      <c r="AD1159" s="5" t="s">
        <v>5631</v>
      </c>
      <c r="AE1159" s="5" t="s">
        <v>117</v>
      </c>
      <c r="AI1159" s="9" t="n">
        <v>43282</v>
      </c>
      <c r="AJ1159" s="5" t="n">
        <v>2</v>
      </c>
      <c r="AK1159" s="5" t="s">
        <v>228</v>
      </c>
      <c r="AL1159" s="5" t="n">
        <v>40000</v>
      </c>
      <c r="AM1159" s="5" t="s">
        <v>5675</v>
      </c>
      <c r="AQ1159" s="5" t="s">
        <v>718</v>
      </c>
      <c r="AR1159" s="5" t="s">
        <v>5607</v>
      </c>
      <c r="AS1159" s="5" t="s">
        <v>5607</v>
      </c>
      <c r="AT1159" s="5" t="s">
        <v>374</v>
      </c>
      <c r="AW1159" s="5" t="s">
        <v>5676</v>
      </c>
      <c r="AX1159" s="28" t="s">
        <v>375</v>
      </c>
      <c r="AY1159" s="28"/>
      <c r="AZ1159" s="5" t="s">
        <v>121</v>
      </c>
      <c r="BA1159" s="28"/>
      <c r="BB1159" s="28"/>
      <c r="BD1159" s="9" t="n">
        <v>45008</v>
      </c>
      <c r="BE1159" s="9" t="n">
        <v>45779</v>
      </c>
      <c r="BF1159" s="28"/>
      <c r="BH1159" s="28"/>
      <c r="BI1159" s="28"/>
      <c r="BJ1159" s="5" t="n">
        <v>2018</v>
      </c>
      <c r="BK1159" s="28"/>
    </row>
    <row r="1160" customFormat="false" ht="15.75" hidden="false" customHeight="false" outlineLevel="0" collapsed="false">
      <c r="A1160" s="5" t="s">
        <v>5683</v>
      </c>
      <c r="B1160" s="28"/>
      <c r="C1160" s="28"/>
      <c r="D1160" s="5" t="s">
        <v>62</v>
      </c>
      <c r="E1160" s="5" t="n">
        <v>120000</v>
      </c>
      <c r="F1160" s="5" t="n">
        <v>120000</v>
      </c>
      <c r="G1160" s="5" t="s">
        <v>695</v>
      </c>
      <c r="H1160" s="6" t="n">
        <v>120000</v>
      </c>
      <c r="I1160" s="6" t="n">
        <v>0</v>
      </c>
      <c r="J1160" s="18" t="n">
        <f aca="false">E1160*0.85</f>
        <v>102000</v>
      </c>
      <c r="K1160" s="18" t="n">
        <f aca="false">F1160*0.85</f>
        <v>102000</v>
      </c>
      <c r="L1160" s="5" t="s">
        <v>84</v>
      </c>
      <c r="M1160" s="5"/>
      <c r="N1160" s="8" t="s">
        <v>5684</v>
      </c>
      <c r="P1160" s="5"/>
      <c r="Q1160" s="5"/>
      <c r="R1160" s="5" t="s">
        <v>5671</v>
      </c>
      <c r="T1160" s="5" t="s">
        <v>5685</v>
      </c>
      <c r="V1160" s="5" t="s">
        <v>2387</v>
      </c>
      <c r="W1160" s="5" t="s">
        <v>90</v>
      </c>
      <c r="X1160" s="5" t="s">
        <v>151</v>
      </c>
      <c r="Y1160" s="5" t="s">
        <v>73</v>
      </c>
      <c r="Z1160" s="5" t="s">
        <v>70</v>
      </c>
      <c r="AA1160" s="28"/>
      <c r="AB1160" s="28"/>
      <c r="AC1160" s="5" t="s">
        <v>5686</v>
      </c>
      <c r="AD1160" s="5" t="s">
        <v>5687</v>
      </c>
      <c r="AE1160" s="5" t="s">
        <v>74</v>
      </c>
      <c r="AI1160" s="9" t="n">
        <v>43647</v>
      </c>
      <c r="AJ1160" s="5" t="n">
        <v>3</v>
      </c>
      <c r="AK1160" s="5" t="s">
        <v>228</v>
      </c>
      <c r="AL1160" s="5" t="n">
        <v>40000</v>
      </c>
      <c r="AM1160" s="5" t="s">
        <v>5675</v>
      </c>
      <c r="AQ1160" s="5" t="s">
        <v>718</v>
      </c>
      <c r="AR1160" s="5" t="s">
        <v>5607</v>
      </c>
      <c r="AS1160" s="5" t="s">
        <v>5607</v>
      </c>
      <c r="AT1160" s="5" t="s">
        <v>374</v>
      </c>
      <c r="AW1160" s="5" t="s">
        <v>5676</v>
      </c>
      <c r="AX1160" s="28" t="s">
        <v>375</v>
      </c>
      <c r="AY1160" s="28"/>
      <c r="AZ1160" s="5" t="s">
        <v>396</v>
      </c>
      <c r="BA1160" s="28"/>
      <c r="BB1160" s="28"/>
      <c r="BD1160" s="9" t="n">
        <v>45009</v>
      </c>
      <c r="BE1160" s="9" t="n">
        <v>45779</v>
      </c>
      <c r="BF1160" s="28"/>
      <c r="BH1160" s="28"/>
      <c r="BI1160" s="28"/>
      <c r="BJ1160" s="5" t="n">
        <v>2019</v>
      </c>
      <c r="BK1160" s="28"/>
    </row>
    <row r="1161" customFormat="false" ht="15.75" hidden="false" customHeight="false" outlineLevel="0" collapsed="false">
      <c r="A1161" s="5" t="s">
        <v>5688</v>
      </c>
      <c r="B1161" s="28"/>
      <c r="C1161" s="28"/>
      <c r="D1161" s="5" t="s">
        <v>62</v>
      </c>
      <c r="E1161" s="5" t="n">
        <v>5000</v>
      </c>
      <c r="F1161" s="5" t="n">
        <v>5000</v>
      </c>
      <c r="G1161" s="5" t="s">
        <v>695</v>
      </c>
      <c r="H1161" s="6" t="n">
        <v>5000</v>
      </c>
      <c r="I1161" s="6" t="n">
        <v>0</v>
      </c>
      <c r="J1161" s="18" t="n">
        <f aca="false">E1161*0.85</f>
        <v>4250</v>
      </c>
      <c r="K1161" s="18" t="n">
        <f aca="false">F1161*0.85</f>
        <v>4250</v>
      </c>
      <c r="L1161" s="5" t="s">
        <v>84</v>
      </c>
      <c r="M1161" s="5"/>
      <c r="N1161" s="8" t="s">
        <v>5689</v>
      </c>
      <c r="P1161" s="5"/>
      <c r="Q1161" s="5"/>
      <c r="R1161" s="5" t="s">
        <v>5690</v>
      </c>
      <c r="T1161" s="5" t="s">
        <v>1157</v>
      </c>
      <c r="V1161" s="5" t="s">
        <v>5691</v>
      </c>
      <c r="W1161" s="5" t="s">
        <v>90</v>
      </c>
      <c r="X1161" s="5" t="s">
        <v>139</v>
      </c>
      <c r="Y1161" s="5" t="s">
        <v>73</v>
      </c>
      <c r="Z1161" s="5" t="s">
        <v>70</v>
      </c>
      <c r="AA1161" s="28"/>
      <c r="AB1161" s="28"/>
      <c r="AC1161" s="5" t="s">
        <v>5692</v>
      </c>
      <c r="AD1161" s="5" t="s">
        <v>5691</v>
      </c>
      <c r="AE1161" s="5" t="s">
        <v>117</v>
      </c>
      <c r="AI1161" s="9" t="n">
        <v>44013</v>
      </c>
      <c r="AJ1161" s="5" t="n">
        <v>1</v>
      </c>
      <c r="AK1161" s="5" t="s">
        <v>228</v>
      </c>
      <c r="AL1161" s="5" t="n">
        <v>5000</v>
      </c>
      <c r="AM1161" s="5" t="s">
        <v>5675</v>
      </c>
      <c r="AQ1161" s="5" t="s">
        <v>718</v>
      </c>
      <c r="AR1161" s="5" t="s">
        <v>5607</v>
      </c>
      <c r="AS1161" s="5" t="s">
        <v>5607</v>
      </c>
      <c r="AT1161" s="5" t="s">
        <v>374</v>
      </c>
      <c r="AW1161" s="5" t="s">
        <v>5676</v>
      </c>
      <c r="AX1161" s="28" t="s">
        <v>375</v>
      </c>
      <c r="AY1161" s="28"/>
      <c r="AZ1161" s="5" t="s">
        <v>287</v>
      </c>
      <c r="BA1161" s="28"/>
      <c r="BB1161" s="28"/>
      <c r="BD1161" s="9" t="n">
        <v>45009</v>
      </c>
      <c r="BE1161" s="9" t="n">
        <v>45779</v>
      </c>
      <c r="BF1161" s="28"/>
      <c r="BH1161" s="28"/>
      <c r="BI1161" s="28"/>
      <c r="BJ1161" s="5" t="n">
        <v>2020</v>
      </c>
      <c r="BK1161" s="28"/>
    </row>
    <row r="1162" customFormat="false" ht="15.75" hidden="false" customHeight="false" outlineLevel="0" collapsed="false">
      <c r="A1162" s="5" t="s">
        <v>5693</v>
      </c>
      <c r="B1162" s="28"/>
      <c r="C1162" s="28"/>
      <c r="D1162" s="5" t="s">
        <v>62</v>
      </c>
      <c r="E1162" s="5" t="n">
        <v>120000</v>
      </c>
      <c r="F1162" s="5" t="n">
        <v>120000</v>
      </c>
      <c r="G1162" s="5" t="s">
        <v>695</v>
      </c>
      <c r="H1162" s="6" t="n">
        <v>120000</v>
      </c>
      <c r="I1162" s="6" t="n">
        <v>0</v>
      </c>
      <c r="J1162" s="18" t="n">
        <f aca="false">E1162*0.85</f>
        <v>102000</v>
      </c>
      <c r="K1162" s="18" t="n">
        <f aca="false">F1162*0.85</f>
        <v>102000</v>
      </c>
      <c r="L1162" s="5" t="s">
        <v>84</v>
      </c>
      <c r="M1162" s="5"/>
      <c r="N1162" s="8" t="s">
        <v>5694</v>
      </c>
      <c r="P1162" s="5"/>
      <c r="Q1162" s="5"/>
      <c r="R1162" s="5" t="s">
        <v>5671</v>
      </c>
      <c r="T1162" s="5" t="s">
        <v>1592</v>
      </c>
      <c r="V1162" s="5" t="s">
        <v>5631</v>
      </c>
      <c r="W1162" s="5" t="s">
        <v>90</v>
      </c>
      <c r="X1162" s="5" t="s">
        <v>139</v>
      </c>
      <c r="Y1162" s="5" t="s">
        <v>73</v>
      </c>
      <c r="Z1162" s="5" t="s">
        <v>70</v>
      </c>
      <c r="AA1162" s="28"/>
      <c r="AB1162" s="28"/>
      <c r="AC1162" s="5" t="s">
        <v>979</v>
      </c>
      <c r="AD1162" s="5" t="s">
        <v>5631</v>
      </c>
      <c r="AE1162" s="5" t="s">
        <v>117</v>
      </c>
      <c r="AI1162" s="9" t="n">
        <v>44013</v>
      </c>
      <c r="AJ1162" s="5" t="n">
        <v>3</v>
      </c>
      <c r="AK1162" s="5" t="s">
        <v>75</v>
      </c>
      <c r="AL1162" s="5" t="n">
        <v>40000</v>
      </c>
      <c r="AM1162" s="5" t="s">
        <v>5675</v>
      </c>
      <c r="AQ1162" s="5" t="s">
        <v>718</v>
      </c>
      <c r="AR1162" s="5" t="s">
        <v>5607</v>
      </c>
      <c r="AS1162" s="5" t="s">
        <v>5607</v>
      </c>
      <c r="AT1162" s="5" t="s">
        <v>374</v>
      </c>
      <c r="AW1162" s="5" t="s">
        <v>5676</v>
      </c>
      <c r="AX1162" s="28" t="s">
        <v>375</v>
      </c>
      <c r="AY1162" s="28"/>
      <c r="AZ1162" s="5" t="s">
        <v>239</v>
      </c>
      <c r="BA1162" s="28"/>
      <c r="BB1162" s="28"/>
      <c r="BD1162" s="9" t="n">
        <v>45009</v>
      </c>
      <c r="BE1162" s="9" t="n">
        <v>45779</v>
      </c>
      <c r="BF1162" s="28"/>
      <c r="BH1162" s="28"/>
      <c r="BI1162" s="28"/>
      <c r="BJ1162" s="5" t="n">
        <v>2020</v>
      </c>
      <c r="BK1162" s="28"/>
    </row>
    <row r="1163" customFormat="false" ht="15.75" hidden="false" customHeight="false" outlineLevel="0" collapsed="false">
      <c r="A1163" s="5" t="s">
        <v>5695</v>
      </c>
      <c r="B1163" s="28"/>
      <c r="C1163" s="28"/>
      <c r="D1163" s="5" t="s">
        <v>62</v>
      </c>
      <c r="E1163" s="5" t="n">
        <v>120000</v>
      </c>
      <c r="F1163" s="5" t="n">
        <v>120000</v>
      </c>
      <c r="G1163" s="5" t="s">
        <v>695</v>
      </c>
      <c r="H1163" s="6" t="n">
        <v>120000</v>
      </c>
      <c r="I1163" s="6" t="n">
        <v>0</v>
      </c>
      <c r="J1163" s="18" t="n">
        <f aca="false">E1163*0.85</f>
        <v>102000</v>
      </c>
      <c r="K1163" s="18" t="n">
        <f aca="false">F1163*0.85</f>
        <v>102000</v>
      </c>
      <c r="L1163" s="5" t="s">
        <v>84</v>
      </c>
      <c r="M1163" s="5"/>
      <c r="N1163" s="8" t="s">
        <v>5696</v>
      </c>
      <c r="P1163" s="5"/>
      <c r="Q1163" s="5"/>
      <c r="R1163" s="5" t="s">
        <v>5671</v>
      </c>
      <c r="T1163" s="5" t="s">
        <v>5697</v>
      </c>
      <c r="V1163" s="5" t="s">
        <v>5631</v>
      </c>
      <c r="W1163" s="5" t="s">
        <v>90</v>
      </c>
      <c r="X1163" s="5" t="s">
        <v>139</v>
      </c>
      <c r="Y1163" s="5" t="s">
        <v>73</v>
      </c>
      <c r="Z1163" s="5" t="s">
        <v>70</v>
      </c>
      <c r="AA1163" s="28"/>
      <c r="AB1163" s="28"/>
      <c r="AC1163" s="5" t="s">
        <v>979</v>
      </c>
      <c r="AD1163" s="5" t="s">
        <v>5631</v>
      </c>
      <c r="AE1163" s="5" t="s">
        <v>117</v>
      </c>
      <c r="AI1163" s="9" t="n">
        <v>44013</v>
      </c>
      <c r="AJ1163" s="5" t="n">
        <v>3</v>
      </c>
      <c r="AK1163" s="5" t="s">
        <v>75</v>
      </c>
      <c r="AL1163" s="5" t="n">
        <v>40000</v>
      </c>
      <c r="AM1163" s="5" t="s">
        <v>5675</v>
      </c>
      <c r="AQ1163" s="5" t="s">
        <v>718</v>
      </c>
      <c r="AR1163" s="5" t="s">
        <v>5607</v>
      </c>
      <c r="AS1163" s="5" t="s">
        <v>5607</v>
      </c>
      <c r="AT1163" s="5" t="s">
        <v>374</v>
      </c>
      <c r="AW1163" s="5" t="s">
        <v>5676</v>
      </c>
      <c r="AX1163" s="28" t="s">
        <v>218</v>
      </c>
      <c r="AY1163" s="28"/>
      <c r="AZ1163" s="5" t="s">
        <v>239</v>
      </c>
      <c r="BA1163" s="28"/>
      <c r="BB1163" s="28"/>
      <c r="BD1163" s="9" t="n">
        <v>45009</v>
      </c>
      <c r="BE1163" s="9" t="n">
        <v>45779</v>
      </c>
      <c r="BF1163" s="28"/>
      <c r="BH1163" s="28"/>
      <c r="BI1163" s="28"/>
      <c r="BJ1163" s="5" t="n">
        <v>2020</v>
      </c>
      <c r="BK1163" s="28"/>
    </row>
    <row r="1164" customFormat="false" ht="15.75" hidden="false" customHeight="false" outlineLevel="0" collapsed="false">
      <c r="A1164" s="5" t="s">
        <v>5698</v>
      </c>
      <c r="B1164" s="28"/>
      <c r="C1164" s="28"/>
      <c r="D1164" s="5" t="s">
        <v>62</v>
      </c>
      <c r="E1164" s="5" t="n">
        <v>120000</v>
      </c>
      <c r="F1164" s="5" t="n">
        <v>120000</v>
      </c>
      <c r="G1164" s="5" t="s">
        <v>695</v>
      </c>
      <c r="H1164" s="6" t="n">
        <v>120000</v>
      </c>
      <c r="I1164" s="6" t="n">
        <v>0</v>
      </c>
      <c r="J1164" s="18" t="n">
        <f aca="false">E1164*0.85</f>
        <v>102000</v>
      </c>
      <c r="K1164" s="18" t="n">
        <f aca="false">F1164*0.85</f>
        <v>102000</v>
      </c>
      <c r="L1164" s="5" t="s">
        <v>84</v>
      </c>
      <c r="M1164" s="5"/>
      <c r="N1164" s="8" t="s">
        <v>5699</v>
      </c>
      <c r="P1164" s="5"/>
      <c r="Q1164" s="5"/>
      <c r="R1164" s="5" t="s">
        <v>5671</v>
      </c>
      <c r="S1164" s="5" t="s">
        <v>5700</v>
      </c>
      <c r="T1164" s="5" t="s">
        <v>5701</v>
      </c>
      <c r="V1164" s="5" t="s">
        <v>197</v>
      </c>
      <c r="W1164" s="5" t="s">
        <v>90</v>
      </c>
      <c r="X1164" s="5" t="s">
        <v>139</v>
      </c>
      <c r="Y1164" s="5" t="s">
        <v>73</v>
      </c>
      <c r="Z1164" s="5" t="s">
        <v>70</v>
      </c>
      <c r="AA1164" s="28"/>
      <c r="AB1164" s="28"/>
      <c r="AC1164" s="5" t="s">
        <v>195</v>
      </c>
      <c r="AD1164" s="5" t="s">
        <v>197</v>
      </c>
      <c r="AE1164" s="5" t="s">
        <v>117</v>
      </c>
      <c r="AI1164" s="9" t="n">
        <v>44378</v>
      </c>
      <c r="AJ1164" s="5" t="n">
        <v>3</v>
      </c>
      <c r="AK1164" s="5" t="s">
        <v>75</v>
      </c>
      <c r="AL1164" s="5" t="n">
        <v>40000</v>
      </c>
      <c r="AM1164" s="5" t="s">
        <v>5675</v>
      </c>
      <c r="AQ1164" s="5" t="s">
        <v>718</v>
      </c>
      <c r="AR1164" s="5" t="s">
        <v>5607</v>
      </c>
      <c r="AS1164" s="5" t="s">
        <v>5607</v>
      </c>
      <c r="AT1164" s="5" t="s">
        <v>374</v>
      </c>
      <c r="AW1164" s="5" t="s">
        <v>5676</v>
      </c>
      <c r="AX1164" s="28" t="s">
        <v>375</v>
      </c>
      <c r="AY1164" s="28"/>
      <c r="AZ1164" s="5" t="s">
        <v>121</v>
      </c>
      <c r="BA1164" s="28"/>
      <c r="BB1164" s="28"/>
      <c r="BD1164" s="9" t="n">
        <v>45009</v>
      </c>
      <c r="BE1164" s="9" t="n">
        <v>45779</v>
      </c>
      <c r="BF1164" s="28"/>
      <c r="BH1164" s="28"/>
      <c r="BI1164" s="28"/>
      <c r="BJ1164" s="5" t="n">
        <v>2021</v>
      </c>
      <c r="BK1164" s="28"/>
    </row>
    <row r="1165" customFormat="false" ht="15.75" hidden="false" customHeight="false" outlineLevel="0" collapsed="false">
      <c r="A1165" s="5" t="s">
        <v>5702</v>
      </c>
      <c r="B1165" s="28"/>
      <c r="C1165" s="28"/>
      <c r="D1165" s="5" t="s">
        <v>62</v>
      </c>
      <c r="E1165" s="5" t="n">
        <v>120000</v>
      </c>
      <c r="F1165" s="5" t="n">
        <v>120000</v>
      </c>
      <c r="G1165" s="5" t="s">
        <v>695</v>
      </c>
      <c r="H1165" s="6" t="n">
        <v>120000</v>
      </c>
      <c r="I1165" s="6" t="n">
        <v>0</v>
      </c>
      <c r="J1165" s="18" t="n">
        <f aca="false">E1165*0.85</f>
        <v>102000</v>
      </c>
      <c r="K1165" s="18" t="n">
        <f aca="false">F1165*0.85</f>
        <v>102000</v>
      </c>
      <c r="L1165" s="5" t="s">
        <v>84</v>
      </c>
      <c r="M1165" s="5"/>
      <c r="N1165" s="8" t="s">
        <v>5703</v>
      </c>
      <c r="P1165" s="5"/>
      <c r="Q1165" s="5"/>
      <c r="R1165" s="5" t="s">
        <v>5671</v>
      </c>
      <c r="T1165" s="5" t="s">
        <v>5704</v>
      </c>
      <c r="V1165" s="5" t="s">
        <v>197</v>
      </c>
      <c r="W1165" s="5" t="s">
        <v>90</v>
      </c>
      <c r="X1165" s="5" t="s">
        <v>139</v>
      </c>
      <c r="Y1165" s="5" t="s">
        <v>73</v>
      </c>
      <c r="Z1165" s="5" t="s">
        <v>70</v>
      </c>
      <c r="AA1165" s="28"/>
      <c r="AB1165" s="28"/>
      <c r="AC1165" s="5" t="s">
        <v>5705</v>
      </c>
      <c r="AD1165" s="5" t="s">
        <v>197</v>
      </c>
      <c r="AE1165" s="5" t="s">
        <v>117</v>
      </c>
      <c r="AI1165" s="9" t="n">
        <v>44378</v>
      </c>
      <c r="AJ1165" s="5" t="n">
        <v>3</v>
      </c>
      <c r="AK1165" s="5" t="s">
        <v>75</v>
      </c>
      <c r="AL1165" s="5" t="n">
        <v>40000</v>
      </c>
      <c r="AM1165" s="5" t="s">
        <v>5675</v>
      </c>
      <c r="AQ1165" s="5" t="s">
        <v>718</v>
      </c>
      <c r="AR1165" s="5" t="s">
        <v>5607</v>
      </c>
      <c r="AS1165" s="5" t="s">
        <v>5607</v>
      </c>
      <c r="AT1165" s="5" t="s">
        <v>374</v>
      </c>
      <c r="AW1165" s="5" t="s">
        <v>5676</v>
      </c>
      <c r="AX1165" s="28" t="s">
        <v>375</v>
      </c>
      <c r="AY1165" s="28"/>
      <c r="AZ1165" s="5" t="s">
        <v>121</v>
      </c>
      <c r="BA1165" s="28"/>
      <c r="BB1165" s="28"/>
      <c r="BD1165" s="9" t="n">
        <v>45009</v>
      </c>
      <c r="BE1165" s="9" t="n">
        <v>45779</v>
      </c>
      <c r="BF1165" s="28"/>
      <c r="BH1165" s="28"/>
      <c r="BI1165" s="28"/>
      <c r="BJ1165" s="5" t="n">
        <v>2021</v>
      </c>
      <c r="BK1165" s="28"/>
    </row>
    <row r="1166" customFormat="false" ht="15.75" hidden="false" customHeight="false" outlineLevel="0" collapsed="false">
      <c r="A1166" s="5" t="s">
        <v>5706</v>
      </c>
      <c r="B1166" s="28"/>
      <c r="C1166" s="28"/>
      <c r="D1166" s="5" t="s">
        <v>62</v>
      </c>
      <c r="E1166" s="5" t="n">
        <v>120000</v>
      </c>
      <c r="F1166" s="5" t="n">
        <v>120000</v>
      </c>
      <c r="G1166" s="5" t="s">
        <v>695</v>
      </c>
      <c r="H1166" s="6" t="n">
        <v>120000</v>
      </c>
      <c r="I1166" s="6" t="n">
        <v>0</v>
      </c>
      <c r="J1166" s="18" t="n">
        <f aca="false">E1166*0.85</f>
        <v>102000</v>
      </c>
      <c r="K1166" s="18" t="n">
        <f aca="false">F1166*0.85</f>
        <v>102000</v>
      </c>
      <c r="L1166" s="5" t="s">
        <v>84</v>
      </c>
      <c r="M1166" s="5"/>
      <c r="N1166" s="8" t="s">
        <v>5707</v>
      </c>
      <c r="P1166" s="5"/>
      <c r="Q1166" s="5"/>
      <c r="R1166" s="5" t="s">
        <v>5671</v>
      </c>
      <c r="T1166" s="5" t="s">
        <v>5708</v>
      </c>
      <c r="V1166" s="5" t="s">
        <v>2382</v>
      </c>
      <c r="W1166" s="5" t="s">
        <v>90</v>
      </c>
      <c r="X1166" s="5" t="s">
        <v>151</v>
      </c>
      <c r="Y1166" s="5" t="s">
        <v>73</v>
      </c>
      <c r="Z1166" s="5" t="s">
        <v>70</v>
      </c>
      <c r="AA1166" s="28"/>
      <c r="AB1166" s="28"/>
      <c r="AC1166" s="5" t="s">
        <v>5709</v>
      </c>
      <c r="AD1166" s="5" t="s">
        <v>5710</v>
      </c>
      <c r="AE1166" s="5" t="s">
        <v>74</v>
      </c>
      <c r="AI1166" s="9" t="n">
        <v>44378</v>
      </c>
      <c r="AJ1166" s="5" t="n">
        <v>3</v>
      </c>
      <c r="AK1166" s="5" t="s">
        <v>75</v>
      </c>
      <c r="AL1166" s="5" t="n">
        <v>40000</v>
      </c>
      <c r="AM1166" s="5" t="s">
        <v>5675</v>
      </c>
      <c r="AQ1166" s="5" t="s">
        <v>718</v>
      </c>
      <c r="AR1166" s="5" t="s">
        <v>5607</v>
      </c>
      <c r="AS1166" s="5" t="s">
        <v>5607</v>
      </c>
      <c r="AT1166" s="5" t="s">
        <v>374</v>
      </c>
      <c r="AW1166" s="5" t="s">
        <v>5676</v>
      </c>
      <c r="AX1166" s="28" t="s">
        <v>375</v>
      </c>
      <c r="AY1166" s="28"/>
      <c r="AZ1166" s="5" t="s">
        <v>239</v>
      </c>
      <c r="BA1166" s="28"/>
      <c r="BB1166" s="28"/>
      <c r="BD1166" s="9" t="n">
        <v>45009</v>
      </c>
      <c r="BE1166" s="9" t="n">
        <v>45779</v>
      </c>
      <c r="BF1166" s="28"/>
      <c r="BH1166" s="28"/>
      <c r="BI1166" s="28"/>
      <c r="BJ1166" s="5" t="n">
        <v>2021</v>
      </c>
      <c r="BK1166" s="28"/>
    </row>
    <row r="1167" customFormat="false" ht="15.75" hidden="false" customHeight="false" outlineLevel="0" collapsed="false">
      <c r="A1167" s="5" t="s">
        <v>5711</v>
      </c>
      <c r="B1167" s="28"/>
      <c r="C1167" s="28"/>
      <c r="D1167" s="5" t="s">
        <v>62</v>
      </c>
      <c r="E1167" s="5" t="n">
        <v>10000</v>
      </c>
      <c r="F1167" s="5" t="n">
        <v>10000</v>
      </c>
      <c r="G1167" s="5" t="s">
        <v>695</v>
      </c>
      <c r="H1167" s="6" t="n">
        <v>10000</v>
      </c>
      <c r="I1167" s="6" t="n">
        <v>0</v>
      </c>
      <c r="J1167" s="18" t="n">
        <f aca="false">E1167*0.85</f>
        <v>8500</v>
      </c>
      <c r="K1167" s="18" t="n">
        <f aca="false">F1167*0.85</f>
        <v>8500</v>
      </c>
      <c r="L1167" s="5" t="s">
        <v>84</v>
      </c>
      <c r="M1167" s="5"/>
      <c r="N1167" s="8" t="s">
        <v>5712</v>
      </c>
      <c r="T1167" s="5" t="s">
        <v>5713</v>
      </c>
      <c r="V1167" s="5" t="s">
        <v>1969</v>
      </c>
      <c r="W1167" s="5" t="s">
        <v>90</v>
      </c>
      <c r="X1167" s="5" t="s">
        <v>139</v>
      </c>
      <c r="Y1167" s="5" t="s">
        <v>73</v>
      </c>
      <c r="Z1167" s="5" t="s">
        <v>70</v>
      </c>
      <c r="AA1167" s="28"/>
      <c r="AB1167" s="28"/>
      <c r="AE1167" s="5" t="s">
        <v>117</v>
      </c>
      <c r="AI1167" s="9" t="n">
        <v>39672</v>
      </c>
      <c r="AJ1167" s="5" t="n">
        <v>3</v>
      </c>
      <c r="AK1167" s="5" t="s">
        <v>228</v>
      </c>
      <c r="AL1167" s="5" t="n">
        <v>3333</v>
      </c>
      <c r="AM1167" s="5" t="s">
        <v>5675</v>
      </c>
      <c r="AQ1167" s="5" t="s">
        <v>718</v>
      </c>
      <c r="AR1167" s="5" t="s">
        <v>5607</v>
      </c>
      <c r="AS1167" s="5" t="s">
        <v>5607</v>
      </c>
      <c r="AT1167" s="5" t="s">
        <v>374</v>
      </c>
      <c r="AW1167" s="5" t="s">
        <v>94</v>
      </c>
      <c r="AX1167" s="28" t="s">
        <v>375</v>
      </c>
      <c r="AY1167" s="28"/>
      <c r="AZ1167" s="5" t="s">
        <v>287</v>
      </c>
      <c r="BA1167" s="28"/>
      <c r="BB1167" s="28"/>
      <c r="BD1167" s="9" t="n">
        <v>45010</v>
      </c>
      <c r="BE1167" s="9" t="n">
        <v>45566</v>
      </c>
      <c r="BF1167" s="28"/>
      <c r="BH1167" s="28"/>
      <c r="BI1167" s="28"/>
      <c r="BJ1167" s="5" t="n">
        <v>2008</v>
      </c>
      <c r="BK1167" s="28"/>
    </row>
    <row r="1168" customFormat="false" ht="15.75" hidden="false" customHeight="false" outlineLevel="0" collapsed="false">
      <c r="A1168" s="5" t="s">
        <v>5714</v>
      </c>
      <c r="B1168" s="28"/>
      <c r="C1168" s="28"/>
      <c r="D1168" s="5" t="s">
        <v>62</v>
      </c>
      <c r="E1168" s="5" t="n">
        <v>50000</v>
      </c>
      <c r="F1168" s="5" t="n">
        <v>50000</v>
      </c>
      <c r="G1168" s="5" t="s">
        <v>695</v>
      </c>
      <c r="H1168" s="6" t="n">
        <v>50000</v>
      </c>
      <c r="I1168" s="6" t="n">
        <v>0</v>
      </c>
      <c r="J1168" s="18" t="n">
        <f aca="false">E1168*0.85</f>
        <v>42500</v>
      </c>
      <c r="K1168" s="18" t="n">
        <f aca="false">F1168*0.85</f>
        <v>42500</v>
      </c>
      <c r="L1168" s="5" t="s">
        <v>84</v>
      </c>
      <c r="M1168" s="5"/>
      <c r="N1168" s="8" t="s">
        <v>5712</v>
      </c>
      <c r="T1168" s="5" t="s">
        <v>5715</v>
      </c>
      <c r="V1168" s="5" t="s">
        <v>610</v>
      </c>
      <c r="W1168" s="5" t="s">
        <v>90</v>
      </c>
      <c r="X1168" s="5" t="s">
        <v>333</v>
      </c>
      <c r="Y1168" s="5" t="s">
        <v>73</v>
      </c>
      <c r="Z1168" s="5" t="s">
        <v>70</v>
      </c>
      <c r="AA1168" s="28"/>
      <c r="AB1168" s="28"/>
      <c r="AE1168" s="5" t="s">
        <v>117</v>
      </c>
      <c r="AI1168" s="9" t="n">
        <v>42036</v>
      </c>
      <c r="AJ1168" s="5" t="n">
        <v>2</v>
      </c>
      <c r="AK1168" s="5" t="s">
        <v>228</v>
      </c>
      <c r="AL1168" s="5" t="n">
        <v>25000</v>
      </c>
      <c r="AM1168" s="5" t="s">
        <v>5675</v>
      </c>
      <c r="AQ1168" s="5" t="s">
        <v>718</v>
      </c>
      <c r="AR1168" s="5" t="s">
        <v>5607</v>
      </c>
      <c r="AS1168" s="5" t="s">
        <v>5607</v>
      </c>
      <c r="AT1168" s="5" t="s">
        <v>374</v>
      </c>
      <c r="AW1168" s="5" t="s">
        <v>94</v>
      </c>
      <c r="AX1168" s="28" t="s">
        <v>375</v>
      </c>
      <c r="AY1168" s="28"/>
      <c r="AZ1168" s="5" t="s">
        <v>239</v>
      </c>
      <c r="BA1168" s="28"/>
      <c r="BB1168" s="28"/>
      <c r="BD1168" s="9" t="n">
        <v>45010</v>
      </c>
      <c r="BE1168" s="9" t="n">
        <v>45566</v>
      </c>
      <c r="BF1168" s="28"/>
      <c r="BH1168" s="28"/>
      <c r="BI1168" s="28"/>
      <c r="BJ1168" s="5" t="n">
        <v>2015</v>
      </c>
      <c r="BK1168" s="28"/>
    </row>
    <row r="1169" customFormat="false" ht="15.75" hidden="false" customHeight="false" outlineLevel="0" collapsed="false">
      <c r="A1169" s="5" t="s">
        <v>5716</v>
      </c>
      <c r="B1169" s="28"/>
      <c r="C1169" s="28"/>
      <c r="D1169" s="5" t="s">
        <v>62</v>
      </c>
      <c r="E1169" s="5" t="n">
        <v>4000</v>
      </c>
      <c r="F1169" s="5" t="n">
        <v>4000</v>
      </c>
      <c r="G1169" s="5" t="s">
        <v>695</v>
      </c>
      <c r="H1169" s="6" t="n">
        <v>4000</v>
      </c>
      <c r="I1169" s="6" t="n">
        <v>0</v>
      </c>
      <c r="J1169" s="18" t="n">
        <f aca="false">E1169*0.85</f>
        <v>3400</v>
      </c>
      <c r="K1169" s="18" t="n">
        <f aca="false">F1169*0.85</f>
        <v>3400</v>
      </c>
      <c r="L1169" s="5" t="s">
        <v>84</v>
      </c>
      <c r="M1169" s="5"/>
      <c r="N1169" s="8" t="s">
        <v>5717</v>
      </c>
      <c r="T1169" s="5" t="s">
        <v>5718</v>
      </c>
      <c r="V1169" s="5" t="s">
        <v>5719</v>
      </c>
      <c r="W1169" s="5" t="s">
        <v>718</v>
      </c>
      <c r="X1169" s="5" t="s">
        <v>139</v>
      </c>
      <c r="Y1169" s="5" t="s">
        <v>73</v>
      </c>
      <c r="Z1169" s="5" t="s">
        <v>70</v>
      </c>
      <c r="AA1169" s="28"/>
      <c r="AB1169" s="28"/>
      <c r="AE1169" s="5" t="s">
        <v>117</v>
      </c>
      <c r="AI1169" s="9" t="n">
        <v>44686</v>
      </c>
      <c r="AJ1169" s="5" t="n">
        <v>1</v>
      </c>
      <c r="AK1169" s="5" t="s">
        <v>75</v>
      </c>
      <c r="AL1169" s="5" t="n">
        <v>4000</v>
      </c>
      <c r="AM1169" s="5" t="s">
        <v>5675</v>
      </c>
      <c r="AQ1169" s="5" t="s">
        <v>718</v>
      </c>
      <c r="AR1169" s="5" t="s">
        <v>5607</v>
      </c>
      <c r="AS1169" s="5" t="s">
        <v>5607</v>
      </c>
      <c r="AT1169" s="5" t="s">
        <v>374</v>
      </c>
      <c r="AW1169" s="5" t="s">
        <v>509</v>
      </c>
      <c r="AX1169" s="28" t="s">
        <v>79</v>
      </c>
      <c r="AY1169" s="28"/>
      <c r="AZ1169" s="5" t="s">
        <v>748</v>
      </c>
      <c r="BA1169" s="28"/>
      <c r="BB1169" s="28"/>
      <c r="BD1169" s="9" t="n">
        <v>45012</v>
      </c>
      <c r="BE1169" s="9" t="n">
        <v>45779</v>
      </c>
      <c r="BF1169" s="28"/>
      <c r="BH1169" s="28"/>
      <c r="BI1169" s="28"/>
      <c r="BJ1169" s="5" t="n">
        <v>2022</v>
      </c>
      <c r="BK1169" s="28"/>
    </row>
    <row r="1170" customFormat="false" ht="15.75" hidden="false" customHeight="false" outlineLevel="0" collapsed="false">
      <c r="A1170" s="5" t="s">
        <v>5720</v>
      </c>
      <c r="B1170" s="28"/>
      <c r="C1170" s="28"/>
      <c r="D1170" s="5" t="s">
        <v>62</v>
      </c>
      <c r="E1170" s="5" t="n">
        <v>4292</v>
      </c>
      <c r="F1170" s="5" t="n">
        <v>4292</v>
      </c>
      <c r="G1170" s="5" t="s">
        <v>695</v>
      </c>
      <c r="H1170" s="6" t="n">
        <v>4292</v>
      </c>
      <c r="I1170" s="6" t="n">
        <v>0</v>
      </c>
      <c r="J1170" s="18" t="n">
        <f aca="false">E1170*0.85</f>
        <v>3648.2</v>
      </c>
      <c r="K1170" s="18" t="n">
        <f aca="false">F1170*0.85</f>
        <v>3648.2</v>
      </c>
      <c r="L1170" s="5" t="s">
        <v>84</v>
      </c>
      <c r="M1170" s="5"/>
      <c r="N1170" s="8" t="s">
        <v>5721</v>
      </c>
      <c r="T1170" s="5" t="s">
        <v>5722</v>
      </c>
      <c r="V1170" s="5" t="s">
        <v>2228</v>
      </c>
      <c r="W1170" s="5" t="s">
        <v>90</v>
      </c>
      <c r="X1170" s="5" t="s">
        <v>139</v>
      </c>
      <c r="Y1170" s="5" t="s">
        <v>73</v>
      </c>
      <c r="Z1170" s="5" t="s">
        <v>70</v>
      </c>
      <c r="AA1170" s="28"/>
      <c r="AB1170" s="28"/>
      <c r="AD1170" s="5" t="s">
        <v>70</v>
      </c>
      <c r="AE1170" s="5" t="s">
        <v>117</v>
      </c>
      <c r="AI1170" s="9" t="n">
        <v>45096</v>
      </c>
      <c r="AJ1170" s="5" t="n">
        <v>1</v>
      </c>
      <c r="AK1170" s="5" t="s">
        <v>75</v>
      </c>
      <c r="AL1170" s="5" t="n">
        <v>4292</v>
      </c>
      <c r="AM1170" s="5" t="s">
        <v>5675</v>
      </c>
      <c r="AQ1170" s="5" t="s">
        <v>718</v>
      </c>
      <c r="AR1170" s="5" t="s">
        <v>5607</v>
      </c>
      <c r="AS1170" s="5" t="s">
        <v>5607</v>
      </c>
      <c r="AT1170" s="5" t="s">
        <v>374</v>
      </c>
      <c r="AW1170" s="5" t="s">
        <v>94</v>
      </c>
      <c r="AX1170" s="28" t="s">
        <v>375</v>
      </c>
      <c r="AY1170" s="28"/>
      <c r="AZ1170" s="5" t="s">
        <v>239</v>
      </c>
      <c r="BA1170" s="28"/>
      <c r="BB1170" s="28"/>
      <c r="BD1170" s="9" t="n">
        <v>45100</v>
      </c>
      <c r="BE1170" s="9" t="n">
        <v>45779</v>
      </c>
      <c r="BF1170" s="28"/>
      <c r="BH1170" s="28"/>
      <c r="BI1170" s="28"/>
      <c r="BJ1170" s="5" t="n">
        <v>2023</v>
      </c>
      <c r="BK1170" s="28"/>
    </row>
    <row r="1171" customFormat="false" ht="15.75" hidden="false" customHeight="false" outlineLevel="0" collapsed="false">
      <c r="A1171" s="5" t="s">
        <v>5723</v>
      </c>
      <c r="B1171" s="28"/>
      <c r="C1171" s="28"/>
      <c r="D1171" s="5" t="s">
        <v>62</v>
      </c>
      <c r="E1171" s="5" t="n">
        <v>50000</v>
      </c>
      <c r="F1171" s="5" t="n">
        <v>50000</v>
      </c>
      <c r="G1171" s="5" t="s">
        <v>695</v>
      </c>
      <c r="H1171" s="6" t="n">
        <v>50000</v>
      </c>
      <c r="I1171" s="6" t="n">
        <v>0</v>
      </c>
      <c r="J1171" s="18" t="n">
        <f aca="false">E1171*0.85</f>
        <v>42500</v>
      </c>
      <c r="K1171" s="18" t="n">
        <f aca="false">F1171*0.85</f>
        <v>42500</v>
      </c>
      <c r="L1171" s="5" t="s">
        <v>84</v>
      </c>
      <c r="M1171" s="5"/>
      <c r="N1171" s="8" t="s">
        <v>5724</v>
      </c>
      <c r="T1171" s="28"/>
      <c r="V1171" s="5" t="s">
        <v>931</v>
      </c>
      <c r="W1171" s="5" t="s">
        <v>90</v>
      </c>
      <c r="X1171" s="5" t="s">
        <v>143</v>
      </c>
      <c r="Y1171" s="5" t="s">
        <v>73</v>
      </c>
      <c r="Z1171" s="5" t="s">
        <v>3071</v>
      </c>
      <c r="AA1171" s="28"/>
      <c r="AB1171" s="28"/>
      <c r="AI1171" s="9" t="n">
        <v>45798</v>
      </c>
      <c r="AK1171" s="5" t="s">
        <v>75</v>
      </c>
      <c r="AL1171" s="5" t="n">
        <v>50000</v>
      </c>
      <c r="AM1171" s="5" t="s">
        <v>5606</v>
      </c>
      <c r="AQ1171" s="5" t="s">
        <v>718</v>
      </c>
      <c r="AR1171" s="5" t="s">
        <v>5607</v>
      </c>
      <c r="AS1171" s="5" t="s">
        <v>5607</v>
      </c>
      <c r="AT1171" s="5" t="s">
        <v>71</v>
      </c>
      <c r="AW1171" s="5" t="s">
        <v>94</v>
      </c>
      <c r="AX1171" s="28" t="s">
        <v>79</v>
      </c>
      <c r="AY1171" s="28"/>
      <c r="AZ1171" s="10"/>
      <c r="BA1171" s="28"/>
      <c r="BB1171" s="28"/>
      <c r="BD1171" s="9" t="n">
        <v>45799</v>
      </c>
      <c r="BE1171" s="9" t="n">
        <v>45799</v>
      </c>
      <c r="BF1171" s="28"/>
      <c r="BH1171" s="28"/>
      <c r="BI1171" s="28"/>
      <c r="BJ1171" s="5" t="n">
        <v>2025</v>
      </c>
      <c r="BK1171" s="28"/>
    </row>
    <row r="1172" customFormat="false" ht="15.75" hidden="false" customHeight="false" outlineLevel="0" collapsed="false">
      <c r="A1172" s="5" t="s">
        <v>5725</v>
      </c>
      <c r="B1172" s="28"/>
      <c r="C1172" s="28"/>
      <c r="D1172" s="5" t="s">
        <v>62</v>
      </c>
      <c r="E1172" s="5" t="n">
        <v>50000</v>
      </c>
      <c r="F1172" s="5" t="n">
        <v>50000</v>
      </c>
      <c r="G1172" s="5" t="s">
        <v>695</v>
      </c>
      <c r="H1172" s="6" t="n">
        <v>50000</v>
      </c>
      <c r="I1172" s="6" t="n">
        <v>0</v>
      </c>
      <c r="J1172" s="18" t="n">
        <f aca="false">E1172*0.85</f>
        <v>42500</v>
      </c>
      <c r="K1172" s="18" t="n">
        <f aca="false">F1172*0.85</f>
        <v>42500</v>
      </c>
      <c r="L1172" s="5" t="s">
        <v>84</v>
      </c>
      <c r="M1172" s="5"/>
      <c r="N1172" s="8" t="s">
        <v>5724</v>
      </c>
      <c r="T1172" s="28"/>
      <c r="V1172" s="5" t="s">
        <v>2482</v>
      </c>
      <c r="W1172" s="5" t="s">
        <v>90</v>
      </c>
      <c r="X1172" s="5" t="s">
        <v>333</v>
      </c>
      <c r="Y1172" s="5" t="s">
        <v>73</v>
      </c>
      <c r="AA1172" s="28"/>
      <c r="AB1172" s="28"/>
      <c r="AI1172" s="9" t="n">
        <v>45798</v>
      </c>
      <c r="AK1172" s="5" t="s">
        <v>75</v>
      </c>
      <c r="AL1172" s="5" t="n">
        <v>50000</v>
      </c>
      <c r="AM1172" s="5" t="s">
        <v>5606</v>
      </c>
      <c r="AQ1172" s="5" t="s">
        <v>718</v>
      </c>
      <c r="AR1172" s="5" t="s">
        <v>5607</v>
      </c>
      <c r="AS1172" s="5" t="s">
        <v>5607</v>
      </c>
      <c r="AT1172" s="5" t="s">
        <v>71</v>
      </c>
      <c r="AW1172" s="5" t="s">
        <v>94</v>
      </c>
      <c r="AX1172" s="28" t="s">
        <v>79</v>
      </c>
      <c r="AY1172" s="28"/>
      <c r="AZ1172" s="10"/>
      <c r="BA1172" s="28"/>
      <c r="BB1172" s="28"/>
      <c r="BD1172" s="9" t="n">
        <v>45799</v>
      </c>
      <c r="BE1172" s="9" t="n">
        <v>45799</v>
      </c>
      <c r="BF1172" s="28"/>
      <c r="BH1172" s="28"/>
      <c r="BI1172" s="28"/>
      <c r="BJ1172" s="5" t="n">
        <v>2025</v>
      </c>
      <c r="BK1172" s="28"/>
    </row>
    <row r="1173" customFormat="false" ht="15.75" hidden="false" customHeight="false" outlineLevel="0" collapsed="false">
      <c r="A1173" s="5" t="s">
        <v>5726</v>
      </c>
      <c r="B1173" s="28"/>
      <c r="C1173" s="28"/>
      <c r="D1173" s="5" t="s">
        <v>62</v>
      </c>
      <c r="E1173" s="5" t="n">
        <v>50000</v>
      </c>
      <c r="F1173" s="5" t="n">
        <v>50000</v>
      </c>
      <c r="G1173" s="5" t="s">
        <v>695</v>
      </c>
      <c r="H1173" s="6" t="n">
        <v>50000</v>
      </c>
      <c r="I1173" s="6" t="n">
        <v>0</v>
      </c>
      <c r="J1173" s="18" t="n">
        <f aca="false">E1173*0.85</f>
        <v>42500</v>
      </c>
      <c r="K1173" s="18" t="n">
        <f aca="false">F1173*0.85</f>
        <v>42500</v>
      </c>
      <c r="L1173" s="5" t="s">
        <v>84</v>
      </c>
      <c r="M1173" s="5"/>
      <c r="N1173" s="8" t="s">
        <v>5724</v>
      </c>
      <c r="T1173" s="28"/>
      <c r="V1173" s="5" t="s">
        <v>1727</v>
      </c>
      <c r="W1173" s="5" t="s">
        <v>90</v>
      </c>
      <c r="X1173" s="5" t="s">
        <v>143</v>
      </c>
      <c r="Y1173" s="5" t="s">
        <v>73</v>
      </c>
      <c r="Z1173" s="5" t="s">
        <v>3071</v>
      </c>
      <c r="AA1173" s="28"/>
      <c r="AB1173" s="28"/>
      <c r="AI1173" s="9" t="n">
        <v>45798</v>
      </c>
      <c r="AK1173" s="5" t="s">
        <v>75</v>
      </c>
      <c r="AL1173" s="5" t="n">
        <v>50000</v>
      </c>
      <c r="AM1173" s="5" t="s">
        <v>5606</v>
      </c>
      <c r="AQ1173" s="5" t="s">
        <v>718</v>
      </c>
      <c r="AR1173" s="5" t="s">
        <v>5607</v>
      </c>
      <c r="AS1173" s="5" t="s">
        <v>5607</v>
      </c>
      <c r="AT1173" s="5" t="s">
        <v>71</v>
      </c>
      <c r="AW1173" s="5" t="s">
        <v>94</v>
      </c>
      <c r="AX1173" s="28" t="s">
        <v>79</v>
      </c>
      <c r="AY1173" s="28"/>
      <c r="AZ1173" s="10"/>
      <c r="BA1173" s="28"/>
      <c r="BB1173" s="28"/>
      <c r="BD1173" s="9" t="n">
        <v>45799</v>
      </c>
      <c r="BE1173" s="9" t="n">
        <v>45799</v>
      </c>
      <c r="BF1173" s="28"/>
      <c r="BH1173" s="28"/>
      <c r="BI1173" s="28"/>
      <c r="BJ1173" s="5" t="n">
        <v>2025</v>
      </c>
      <c r="BK1173" s="28"/>
    </row>
    <row r="1174" customFormat="false" ht="15.75" hidden="false" customHeight="false" outlineLevel="0" collapsed="false">
      <c r="A1174" s="5" t="s">
        <v>5727</v>
      </c>
      <c r="B1174" s="28"/>
      <c r="C1174" s="28"/>
      <c r="D1174" s="5" t="s">
        <v>62</v>
      </c>
      <c r="E1174" s="5" t="n">
        <v>50000</v>
      </c>
      <c r="F1174" s="5" t="n">
        <v>50000</v>
      </c>
      <c r="G1174" s="5" t="s">
        <v>695</v>
      </c>
      <c r="H1174" s="6" t="n">
        <v>50000</v>
      </c>
      <c r="I1174" s="6" t="n">
        <v>0</v>
      </c>
      <c r="J1174" s="18" t="n">
        <f aca="false">E1174*0.85</f>
        <v>42500</v>
      </c>
      <c r="K1174" s="18" t="n">
        <f aca="false">F1174*0.85</f>
        <v>42500</v>
      </c>
      <c r="L1174" s="5" t="s">
        <v>84</v>
      </c>
      <c r="M1174" s="5"/>
      <c r="N1174" s="8" t="s">
        <v>5724</v>
      </c>
      <c r="T1174" s="28"/>
      <c r="V1174" s="5" t="s">
        <v>853</v>
      </c>
      <c r="W1174" s="5" t="s">
        <v>90</v>
      </c>
      <c r="X1174" s="5" t="s">
        <v>333</v>
      </c>
      <c r="Y1174" s="5" t="s">
        <v>73</v>
      </c>
      <c r="AA1174" s="28"/>
      <c r="AB1174" s="28"/>
      <c r="AI1174" s="9" t="n">
        <v>45798</v>
      </c>
      <c r="AK1174" s="5" t="s">
        <v>75</v>
      </c>
      <c r="AL1174" s="5" t="n">
        <v>50000</v>
      </c>
      <c r="AM1174" s="5" t="s">
        <v>5606</v>
      </c>
      <c r="AQ1174" s="5" t="s">
        <v>718</v>
      </c>
      <c r="AR1174" s="5" t="s">
        <v>5607</v>
      </c>
      <c r="AS1174" s="5" t="s">
        <v>5607</v>
      </c>
      <c r="AT1174" s="5" t="s">
        <v>71</v>
      </c>
      <c r="AW1174" s="5" t="s">
        <v>94</v>
      </c>
      <c r="AX1174" s="28" t="s">
        <v>79</v>
      </c>
      <c r="AY1174" s="28"/>
      <c r="AZ1174" s="10"/>
      <c r="BA1174" s="28"/>
      <c r="BB1174" s="28"/>
      <c r="BD1174" s="9" t="n">
        <v>45799</v>
      </c>
      <c r="BE1174" s="9" t="n">
        <v>45799</v>
      </c>
      <c r="BF1174" s="28"/>
      <c r="BH1174" s="28"/>
      <c r="BI1174" s="28"/>
      <c r="BJ1174" s="5" t="n">
        <v>2025</v>
      </c>
      <c r="BK1174" s="28"/>
    </row>
    <row r="1175" customFormat="false" ht="17.35" hidden="false" customHeight="false" outlineLevel="0" collapsed="false">
      <c r="A1175" s="28" t="s">
        <v>5728</v>
      </c>
      <c r="B1175" s="28"/>
      <c r="C1175" s="28"/>
      <c r="D1175" s="5"/>
      <c r="E1175" s="123" t="n">
        <v>3500000</v>
      </c>
      <c r="F1175" s="123" t="n">
        <v>3500000</v>
      </c>
      <c r="G1175" s="28" t="s">
        <v>212</v>
      </c>
      <c r="H1175" s="38"/>
      <c r="I1175" s="28"/>
      <c r="J1175" s="40" t="n">
        <f aca="false">E1175*0.089</f>
        <v>311500</v>
      </c>
      <c r="K1175" s="40" t="n">
        <f aca="false">F1175*0.089</f>
        <v>311500</v>
      </c>
      <c r="L1175" s="5"/>
      <c r="M1175" s="5"/>
      <c r="N1175" s="124" t="s">
        <v>5729</v>
      </c>
      <c r="P1175" s="28"/>
      <c r="Q1175" s="28"/>
      <c r="R1175" s="28"/>
      <c r="S1175" s="28"/>
      <c r="T1175" s="28"/>
      <c r="V1175" s="28" t="s">
        <v>2583</v>
      </c>
      <c r="W1175" s="5" t="s">
        <v>90</v>
      </c>
      <c r="X1175" s="5"/>
      <c r="Z1175" s="28"/>
      <c r="AA1175" s="28"/>
      <c r="AB1175" s="28"/>
      <c r="AC1175" s="28"/>
      <c r="AD1175" s="28"/>
      <c r="AE1175" s="28"/>
      <c r="AF1175" s="28"/>
      <c r="AG1175" s="28"/>
      <c r="AH1175" s="28"/>
      <c r="AI1175" s="28"/>
      <c r="AJ1175" s="28"/>
      <c r="AK1175" s="28"/>
      <c r="AL1175" s="28"/>
      <c r="AM1175" s="28" t="s">
        <v>489</v>
      </c>
      <c r="AQ1175" s="25" t="s">
        <v>4924</v>
      </c>
      <c r="AR1175" s="28" t="s">
        <v>215</v>
      </c>
      <c r="AS1175" s="28" t="s">
        <v>73</v>
      </c>
      <c r="AT1175" s="5" t="s">
        <v>105</v>
      </c>
      <c r="AU1175" s="28"/>
      <c r="AV1175" s="28"/>
      <c r="AW1175" s="5" t="s">
        <v>80</v>
      </c>
      <c r="AX1175" s="28"/>
      <c r="AY1175" s="28"/>
      <c r="AZ1175" s="5" t="s">
        <v>5730</v>
      </c>
      <c r="BA1175" s="28"/>
      <c r="BB1175" s="28"/>
      <c r="BF1175" s="28"/>
      <c r="BH1175" s="28"/>
      <c r="BI1175" s="28"/>
      <c r="BJ1175" s="125" t="n">
        <v>2023</v>
      </c>
      <c r="BK1175" s="28"/>
    </row>
    <row r="1176" customFormat="false" ht="15.75" hidden="false" customHeight="false" outlineLevel="0" collapsed="false">
      <c r="A1176" s="28" t="s">
        <v>5731</v>
      </c>
      <c r="B1176" s="28"/>
      <c r="C1176" s="28"/>
      <c r="D1176" s="5"/>
      <c r="E1176" s="38"/>
      <c r="F1176" s="28"/>
      <c r="G1176" s="28" t="s">
        <v>212</v>
      </c>
      <c r="H1176" s="38"/>
      <c r="I1176" s="28"/>
      <c r="J1176" s="40"/>
      <c r="K1176" s="40"/>
      <c r="L1176" s="5"/>
      <c r="M1176" s="5"/>
      <c r="N1176" s="124" t="s">
        <v>5732</v>
      </c>
      <c r="O1176" s="28"/>
      <c r="P1176" s="28"/>
      <c r="Q1176" s="28"/>
      <c r="R1176" s="28"/>
      <c r="S1176" s="28"/>
      <c r="T1176" s="28"/>
      <c r="V1176" s="28"/>
      <c r="W1176" s="5"/>
      <c r="X1176" s="5"/>
      <c r="Z1176" s="28"/>
      <c r="AA1176" s="28"/>
      <c r="AB1176" s="28"/>
      <c r="AC1176" s="28"/>
      <c r="AD1176" s="28"/>
      <c r="AE1176" s="28"/>
      <c r="AF1176" s="28"/>
      <c r="AG1176" s="28"/>
      <c r="AH1176" s="28"/>
      <c r="AI1176" s="28"/>
      <c r="AJ1176" s="28"/>
      <c r="AK1176" s="28"/>
      <c r="AL1176" s="28"/>
      <c r="AM1176" s="28" t="s">
        <v>489</v>
      </c>
      <c r="AN1176" s="28"/>
      <c r="AO1176" s="28"/>
      <c r="AP1176" s="28"/>
      <c r="AQ1176" s="25" t="s">
        <v>4924</v>
      </c>
      <c r="AR1176" s="28" t="s">
        <v>215</v>
      </c>
      <c r="AS1176" s="28" t="s">
        <v>73</v>
      </c>
      <c r="AT1176" s="5" t="s">
        <v>105</v>
      </c>
      <c r="AU1176" s="28"/>
      <c r="AV1176" s="28"/>
      <c r="AW1176" s="5" t="s">
        <v>80</v>
      </c>
      <c r="AX1176" s="28"/>
      <c r="AY1176" s="28"/>
      <c r="BA1176" s="28"/>
      <c r="BB1176" s="28"/>
      <c r="BF1176" s="28"/>
      <c r="BH1176" s="28"/>
      <c r="BI1176" s="28"/>
      <c r="BJ1176" s="38"/>
      <c r="BK1176" s="28"/>
    </row>
    <row r="1177" customFormat="false" ht="18.55" hidden="false" customHeight="false" outlineLevel="0" collapsed="false">
      <c r="A1177" s="126" t="s">
        <v>5733</v>
      </c>
      <c r="B1177" s="28"/>
      <c r="C1177" s="28"/>
      <c r="D1177" s="5"/>
      <c r="E1177" s="38" t="n">
        <v>38000000</v>
      </c>
      <c r="F1177" s="38" t="n">
        <v>38000000</v>
      </c>
      <c r="G1177" s="28" t="s">
        <v>366</v>
      </c>
      <c r="H1177" s="38"/>
      <c r="I1177" s="28"/>
      <c r="J1177" s="40" t="n">
        <f aca="false">E1177*0.24</f>
        <v>9120000</v>
      </c>
      <c r="K1177" s="40" t="n">
        <f aca="false">F1177*0.24</f>
        <v>9120000</v>
      </c>
      <c r="L1177" s="5" t="s">
        <v>84</v>
      </c>
      <c r="M1177" s="5"/>
      <c r="N1177" s="124" t="s">
        <v>5734</v>
      </c>
      <c r="O1177" s="28"/>
      <c r="P1177" s="28"/>
      <c r="Q1177" s="28"/>
      <c r="R1177" s="28"/>
      <c r="S1177" s="28"/>
      <c r="T1177" s="126" t="s">
        <v>5735</v>
      </c>
      <c r="V1177" s="28"/>
      <c r="W1177" s="5"/>
      <c r="X1177" s="5" t="s">
        <v>371</v>
      </c>
      <c r="Y1177" s="5" t="s">
        <v>73</v>
      </c>
      <c r="Z1177" s="28"/>
      <c r="AA1177" s="28"/>
      <c r="AB1177" s="28"/>
      <c r="AC1177" s="28"/>
      <c r="AD1177" s="28"/>
      <c r="AE1177" s="28"/>
      <c r="AF1177" s="28"/>
      <c r="AG1177" s="28"/>
      <c r="AH1177" s="28"/>
      <c r="AI1177" s="28" t="n">
        <v>2024</v>
      </c>
      <c r="AJ1177" s="28"/>
      <c r="AK1177" s="5" t="s">
        <v>75</v>
      </c>
      <c r="AL1177" s="28"/>
      <c r="AM1177" s="28" t="s">
        <v>372</v>
      </c>
      <c r="AN1177" s="28"/>
      <c r="AO1177" s="28"/>
      <c r="AP1177" s="28"/>
      <c r="AQ1177" s="25" t="s">
        <v>4924</v>
      </c>
      <c r="AR1177" s="28" t="s">
        <v>371</v>
      </c>
      <c r="AS1177" s="28" t="s">
        <v>73</v>
      </c>
      <c r="AT1177" s="5" t="s">
        <v>78</v>
      </c>
      <c r="AU1177" s="28"/>
      <c r="AV1177" s="28"/>
      <c r="AW1177" s="5" t="s">
        <v>94</v>
      </c>
      <c r="AX1177" s="28" t="s">
        <v>375</v>
      </c>
      <c r="AY1177" s="28"/>
      <c r="AZ1177" s="5" t="s">
        <v>1435</v>
      </c>
      <c r="BA1177" s="28"/>
      <c r="BB1177" s="28"/>
      <c r="BF1177" s="28"/>
      <c r="BH1177" s="28"/>
      <c r="BI1177" s="28"/>
      <c r="BJ1177" s="38" t="n">
        <v>2024</v>
      </c>
      <c r="BK1177" s="28"/>
    </row>
    <row r="1178" customFormat="false" ht="15.75" hidden="false" customHeight="false" outlineLevel="0" collapsed="false">
      <c r="A1178" s="28"/>
      <c r="B1178" s="28"/>
      <c r="C1178" s="28"/>
      <c r="D1178" s="5"/>
      <c r="E1178" s="38"/>
      <c r="F1178" s="28"/>
      <c r="G1178" s="28"/>
      <c r="H1178" s="38"/>
      <c r="I1178" s="28"/>
      <c r="J1178" s="40"/>
      <c r="K1178" s="40"/>
      <c r="L1178" s="5"/>
      <c r="M1178" s="5"/>
      <c r="N1178" s="28"/>
      <c r="O1178" s="28"/>
      <c r="P1178" s="28"/>
      <c r="Q1178" s="28"/>
      <c r="R1178" s="28"/>
      <c r="S1178" s="28"/>
      <c r="T1178" s="28"/>
      <c r="V1178" s="28"/>
      <c r="W1178" s="5"/>
      <c r="X1178" s="5"/>
      <c r="Z1178" s="28"/>
      <c r="AA1178" s="28"/>
      <c r="AB1178" s="28"/>
      <c r="AC1178" s="28"/>
      <c r="AD1178" s="28"/>
      <c r="AE1178" s="28"/>
      <c r="AF1178" s="28"/>
      <c r="AG1178" s="28"/>
      <c r="AH1178" s="28"/>
      <c r="AI1178" s="28"/>
      <c r="AJ1178" s="28"/>
      <c r="AK1178" s="28"/>
      <c r="AL1178" s="28"/>
      <c r="AM1178" s="28"/>
      <c r="AN1178" s="28"/>
      <c r="AO1178" s="28"/>
      <c r="AP1178" s="28"/>
      <c r="AQ1178" s="28"/>
      <c r="AR1178" s="28"/>
      <c r="AS1178" s="28"/>
      <c r="AT1178" s="5"/>
      <c r="AU1178" s="28"/>
      <c r="AV1178" s="28"/>
      <c r="AX1178" s="28"/>
      <c r="AY1178" s="28"/>
      <c r="BA1178" s="28"/>
      <c r="BB1178" s="28"/>
      <c r="BF1178" s="28"/>
      <c r="BH1178" s="28"/>
      <c r="BI1178" s="28"/>
      <c r="BJ1178" s="38"/>
      <c r="BK1178" s="28"/>
    </row>
    <row r="1179" customFormat="false" ht="15.75" hidden="false" customHeight="false" outlineLevel="0" collapsed="false">
      <c r="A1179" s="28"/>
      <c r="B1179" s="28"/>
      <c r="C1179" s="28"/>
      <c r="D1179" s="5"/>
      <c r="E1179" s="38"/>
      <c r="F1179" s="28"/>
      <c r="G1179" s="28"/>
      <c r="H1179" s="38"/>
      <c r="I1179" s="28"/>
      <c r="J1179" s="40"/>
      <c r="K1179" s="40"/>
      <c r="L1179" s="5"/>
      <c r="M1179" s="5"/>
      <c r="N1179" s="28"/>
      <c r="O1179" s="28"/>
      <c r="P1179" s="28"/>
      <c r="Q1179" s="28"/>
      <c r="R1179" s="28"/>
      <c r="S1179" s="28"/>
      <c r="T1179" s="28"/>
      <c r="V1179" s="28"/>
      <c r="W1179" s="5"/>
      <c r="X1179" s="5"/>
      <c r="Z1179" s="28"/>
      <c r="AA1179" s="28"/>
      <c r="AB1179" s="28"/>
      <c r="AC1179" s="28"/>
      <c r="AD1179" s="28"/>
      <c r="AE1179" s="28"/>
      <c r="AF1179" s="28"/>
      <c r="AG1179" s="28"/>
      <c r="AH1179" s="28"/>
      <c r="AI1179" s="28"/>
      <c r="AJ1179" s="28"/>
      <c r="AK1179" s="28"/>
      <c r="AL1179" s="28"/>
      <c r="AM1179" s="28"/>
      <c r="AN1179" s="28"/>
      <c r="AO1179" s="28"/>
      <c r="AP1179" s="28"/>
      <c r="AQ1179" s="28"/>
      <c r="AR1179" s="28"/>
      <c r="AS1179" s="28"/>
      <c r="AT1179" s="5"/>
      <c r="AU1179" s="28"/>
      <c r="AV1179" s="28"/>
      <c r="AX1179" s="28"/>
      <c r="AY1179" s="28"/>
      <c r="BA1179" s="28"/>
      <c r="BB1179" s="28"/>
      <c r="BF1179" s="28"/>
      <c r="BH1179" s="28"/>
      <c r="BI1179" s="28"/>
      <c r="BJ1179" s="38"/>
      <c r="BK1179" s="28"/>
    </row>
    <row r="1180" customFormat="false" ht="15.75" hidden="false" customHeight="false" outlineLevel="0" collapsed="false">
      <c r="A1180" s="28"/>
      <c r="B1180" s="28"/>
      <c r="C1180" s="28"/>
      <c r="D1180" s="5"/>
      <c r="E1180" s="38"/>
      <c r="F1180" s="28"/>
      <c r="G1180" s="28"/>
      <c r="H1180" s="38"/>
      <c r="I1180" s="28"/>
      <c r="J1180" s="40"/>
      <c r="K1180" s="40"/>
      <c r="L1180" s="5"/>
      <c r="M1180" s="5"/>
      <c r="N1180" s="28"/>
      <c r="O1180" s="28"/>
      <c r="P1180" s="28"/>
      <c r="Q1180" s="28"/>
      <c r="R1180" s="28"/>
      <c r="S1180" s="28"/>
      <c r="T1180" s="28"/>
      <c r="V1180" s="28"/>
      <c r="W1180" s="5"/>
      <c r="X1180" s="5"/>
      <c r="Z1180" s="28"/>
      <c r="AA1180" s="28"/>
      <c r="AB1180" s="28"/>
      <c r="AC1180" s="28"/>
      <c r="AD1180" s="28"/>
      <c r="AE1180" s="28"/>
      <c r="AF1180" s="28"/>
      <c r="AG1180" s="28"/>
      <c r="AH1180" s="28"/>
      <c r="AI1180" s="28"/>
      <c r="AJ1180" s="28"/>
      <c r="AK1180" s="28"/>
      <c r="AL1180" s="28"/>
      <c r="AM1180" s="28"/>
      <c r="AN1180" s="28"/>
      <c r="AO1180" s="28"/>
      <c r="AP1180" s="28"/>
      <c r="AQ1180" s="28"/>
      <c r="AR1180" s="28"/>
      <c r="AS1180" s="28"/>
      <c r="AT1180" s="5"/>
      <c r="AU1180" s="28"/>
      <c r="AV1180" s="28"/>
      <c r="AX1180" s="28"/>
      <c r="AY1180" s="28"/>
      <c r="BA1180" s="28"/>
      <c r="BB1180" s="28"/>
      <c r="BF1180" s="28"/>
      <c r="BH1180" s="28"/>
      <c r="BI1180" s="28"/>
      <c r="BJ1180" s="38"/>
      <c r="BK1180" s="28"/>
    </row>
    <row r="1181" customFormat="false" ht="15.75" hidden="false" customHeight="false" outlineLevel="0" collapsed="false">
      <c r="A1181" s="28"/>
      <c r="B1181" s="28"/>
      <c r="C1181" s="28"/>
      <c r="D1181" s="5"/>
      <c r="E1181" s="38"/>
      <c r="F1181" s="28"/>
      <c r="G1181" s="28"/>
      <c r="H1181" s="38"/>
      <c r="I1181" s="28"/>
      <c r="J1181" s="40"/>
      <c r="K1181" s="40"/>
      <c r="L1181" s="5"/>
      <c r="M1181" s="5"/>
      <c r="N1181" s="127" t="n">
        <f aca="false">244342797/320925938</f>
        <v>0.761368179</v>
      </c>
      <c r="O1181" s="28"/>
      <c r="P1181" s="28"/>
      <c r="Q1181" s="28"/>
      <c r="R1181" s="28"/>
      <c r="S1181" s="28"/>
      <c r="T1181" s="28"/>
      <c r="V1181" s="28"/>
      <c r="W1181" s="5"/>
      <c r="X1181" s="5"/>
      <c r="Z1181" s="28"/>
      <c r="AA1181" s="28"/>
      <c r="AB1181" s="28"/>
      <c r="AC1181" s="28"/>
      <c r="AD1181" s="28"/>
      <c r="AE1181" s="28"/>
      <c r="AF1181" s="28"/>
      <c r="AG1181" s="28"/>
      <c r="AH1181" s="28"/>
      <c r="AI1181" s="28"/>
      <c r="AJ1181" s="28"/>
      <c r="AK1181" s="28"/>
      <c r="AL1181" s="28"/>
      <c r="AM1181" s="28"/>
      <c r="AN1181" s="28"/>
      <c r="AO1181" s="28"/>
      <c r="AP1181" s="28"/>
      <c r="AQ1181" s="28"/>
      <c r="AR1181" s="28"/>
      <c r="AS1181" s="28"/>
      <c r="AT1181" s="5"/>
      <c r="AU1181" s="28"/>
      <c r="AV1181" s="28"/>
      <c r="AX1181" s="28"/>
      <c r="AY1181" s="28"/>
      <c r="BA1181" s="28"/>
      <c r="BB1181" s="28"/>
      <c r="BF1181" s="28"/>
      <c r="BH1181" s="28"/>
      <c r="BI1181" s="28"/>
      <c r="BJ1181" s="38"/>
      <c r="BK1181" s="28"/>
    </row>
    <row r="1182" customFormat="false" ht="15.75" hidden="false" customHeight="false" outlineLevel="0" collapsed="false">
      <c r="A1182" s="28"/>
      <c r="B1182" s="28"/>
      <c r="C1182" s="28"/>
      <c r="D1182" s="5"/>
      <c r="E1182" s="38"/>
      <c r="F1182" s="28"/>
      <c r="G1182" s="28"/>
      <c r="H1182" s="38"/>
      <c r="I1182" s="28"/>
      <c r="J1182" s="40"/>
      <c r="K1182" s="40"/>
      <c r="L1182" s="5"/>
      <c r="M1182" s="5"/>
      <c r="N1182" s="28"/>
      <c r="O1182" s="28"/>
      <c r="P1182" s="28"/>
      <c r="Q1182" s="28"/>
      <c r="R1182" s="28"/>
      <c r="S1182" s="28"/>
      <c r="T1182" s="28"/>
      <c r="V1182" s="28"/>
      <c r="W1182" s="5"/>
      <c r="X1182" s="5"/>
      <c r="Z1182" s="28"/>
      <c r="AA1182" s="28"/>
      <c r="AB1182" s="28"/>
      <c r="AC1182" s="28"/>
      <c r="AD1182" s="28"/>
      <c r="AE1182" s="28"/>
      <c r="AF1182" s="28"/>
      <c r="AG1182" s="28"/>
      <c r="AH1182" s="28"/>
      <c r="AI1182" s="28"/>
      <c r="AJ1182" s="28"/>
      <c r="AK1182" s="28"/>
      <c r="AL1182" s="28"/>
      <c r="AM1182" s="28"/>
      <c r="AN1182" s="28"/>
      <c r="AO1182" s="28"/>
      <c r="AP1182" s="28"/>
      <c r="AQ1182" s="28"/>
      <c r="AR1182" s="28"/>
      <c r="AS1182" s="28"/>
      <c r="AT1182" s="5"/>
      <c r="AU1182" s="28"/>
      <c r="AV1182" s="28"/>
      <c r="AX1182" s="28"/>
      <c r="AY1182" s="28"/>
      <c r="BA1182" s="28"/>
      <c r="BB1182" s="28"/>
      <c r="BF1182" s="28"/>
      <c r="BH1182" s="28"/>
      <c r="BI1182" s="28"/>
      <c r="BJ1182" s="38"/>
      <c r="BK1182" s="28"/>
    </row>
    <row r="1183" customFormat="false" ht="15.75" hidden="false" customHeight="false" outlineLevel="0" collapsed="false">
      <c r="A1183" s="28"/>
      <c r="B1183" s="28"/>
      <c r="C1183" s="28"/>
      <c r="D1183" s="5"/>
      <c r="E1183" s="38"/>
      <c r="F1183" s="28"/>
      <c r="G1183" s="28"/>
      <c r="H1183" s="38"/>
      <c r="I1183" s="28"/>
      <c r="J1183" s="40"/>
      <c r="K1183" s="40"/>
      <c r="L1183" s="5"/>
      <c r="M1183" s="5"/>
      <c r="N1183" s="28"/>
      <c r="O1183" s="28"/>
      <c r="P1183" s="28"/>
      <c r="Q1183" s="28"/>
      <c r="R1183" s="28"/>
      <c r="S1183" s="28"/>
      <c r="T1183" s="28"/>
      <c r="V1183" s="28"/>
      <c r="W1183" s="5"/>
      <c r="X1183" s="5"/>
      <c r="Z1183" s="28"/>
      <c r="AA1183" s="28"/>
      <c r="AB1183" s="28"/>
      <c r="AC1183" s="28"/>
      <c r="AD1183" s="28"/>
      <c r="AE1183" s="28"/>
      <c r="AF1183" s="28"/>
      <c r="AG1183" s="28"/>
      <c r="AH1183" s="28"/>
      <c r="AI1183" s="28"/>
      <c r="AJ1183" s="28"/>
      <c r="AK1183" s="28"/>
      <c r="AL1183" s="28"/>
      <c r="AM1183" s="28"/>
      <c r="AN1183" s="28"/>
      <c r="AO1183" s="28"/>
      <c r="AP1183" s="28"/>
      <c r="AQ1183" s="28"/>
      <c r="AR1183" s="28"/>
      <c r="AS1183" s="28"/>
      <c r="AT1183" s="5"/>
      <c r="AU1183" s="28"/>
      <c r="AV1183" s="28"/>
      <c r="AX1183" s="28"/>
      <c r="AY1183" s="28"/>
      <c r="BA1183" s="28"/>
      <c r="BB1183" s="28"/>
      <c r="BF1183" s="28"/>
      <c r="BH1183" s="28"/>
      <c r="BI1183" s="28"/>
      <c r="BJ1183" s="38"/>
      <c r="BK1183" s="28"/>
    </row>
    <row r="1184" customFormat="false" ht="15.75" hidden="false" customHeight="false" outlineLevel="0" collapsed="false">
      <c r="A1184" s="28"/>
      <c r="B1184" s="28"/>
      <c r="C1184" s="28"/>
      <c r="D1184" s="5"/>
      <c r="E1184" s="38"/>
      <c r="F1184" s="28"/>
      <c r="G1184" s="28"/>
      <c r="H1184" s="38"/>
      <c r="I1184" s="28"/>
      <c r="J1184" s="40"/>
      <c r="K1184" s="40"/>
      <c r="L1184" s="5"/>
      <c r="M1184" s="5"/>
      <c r="N1184" s="28"/>
      <c r="O1184" s="28"/>
      <c r="P1184" s="28"/>
      <c r="Q1184" s="28"/>
      <c r="R1184" s="28"/>
      <c r="S1184" s="28"/>
      <c r="T1184" s="28"/>
      <c r="V1184" s="28"/>
      <c r="W1184" s="5"/>
      <c r="X1184" s="5"/>
      <c r="Z1184" s="28"/>
      <c r="AA1184" s="28"/>
      <c r="AB1184" s="28"/>
      <c r="AC1184" s="28"/>
      <c r="AD1184" s="28"/>
      <c r="AE1184" s="28"/>
      <c r="AF1184" s="28"/>
      <c r="AG1184" s="28"/>
      <c r="AH1184" s="28"/>
      <c r="AI1184" s="28"/>
      <c r="AJ1184" s="28"/>
      <c r="AK1184" s="28"/>
      <c r="AL1184" s="28"/>
      <c r="AM1184" s="28"/>
      <c r="AN1184" s="28"/>
      <c r="AO1184" s="28"/>
      <c r="AP1184" s="28"/>
      <c r="AQ1184" s="28"/>
      <c r="AR1184" s="28"/>
      <c r="AS1184" s="28"/>
      <c r="AT1184" s="5"/>
      <c r="AU1184" s="28"/>
      <c r="AV1184" s="28"/>
      <c r="AX1184" s="28"/>
      <c r="AY1184" s="28"/>
      <c r="BA1184" s="28"/>
      <c r="BB1184" s="28"/>
      <c r="BF1184" s="28"/>
      <c r="BH1184" s="28"/>
      <c r="BI1184" s="28"/>
      <c r="BJ1184" s="38"/>
      <c r="BK1184" s="28"/>
    </row>
    <row r="1185" customFormat="false" ht="15.75" hidden="false" customHeight="false" outlineLevel="0" collapsed="false">
      <c r="A1185" s="28"/>
      <c r="B1185" s="28"/>
      <c r="C1185" s="28"/>
      <c r="D1185" s="5"/>
      <c r="E1185" s="38"/>
      <c r="F1185" s="28"/>
      <c r="G1185" s="28"/>
      <c r="H1185" s="38"/>
      <c r="I1185" s="28"/>
      <c r="J1185" s="40"/>
      <c r="K1185" s="40"/>
      <c r="L1185" s="5"/>
      <c r="M1185" s="5"/>
      <c r="N1185" s="28"/>
      <c r="O1185" s="28"/>
      <c r="P1185" s="28"/>
      <c r="Q1185" s="28"/>
      <c r="R1185" s="28"/>
      <c r="S1185" s="28"/>
      <c r="T1185" s="28"/>
      <c r="V1185" s="28"/>
      <c r="W1185" s="5"/>
      <c r="X1185" s="5"/>
      <c r="Z1185" s="28"/>
      <c r="AA1185" s="28"/>
      <c r="AB1185" s="28"/>
      <c r="AC1185" s="28"/>
      <c r="AD1185" s="28"/>
      <c r="AE1185" s="28"/>
      <c r="AF1185" s="28"/>
      <c r="AG1185" s="28"/>
      <c r="AH1185" s="28"/>
      <c r="AI1185" s="28"/>
      <c r="AJ1185" s="28"/>
      <c r="AK1185" s="28"/>
      <c r="AL1185" s="28"/>
      <c r="AM1185" s="28"/>
      <c r="AN1185" s="28"/>
      <c r="AO1185" s="28"/>
      <c r="AP1185" s="28"/>
      <c r="AQ1185" s="28"/>
      <c r="AR1185" s="28"/>
      <c r="AS1185" s="28"/>
      <c r="AT1185" s="5"/>
      <c r="AU1185" s="28"/>
      <c r="AV1185" s="28"/>
      <c r="AX1185" s="28"/>
      <c r="AY1185" s="28"/>
      <c r="BA1185" s="28"/>
      <c r="BB1185" s="28"/>
      <c r="BF1185" s="28"/>
      <c r="BH1185" s="28"/>
      <c r="BI1185" s="28"/>
      <c r="BJ1185" s="38"/>
      <c r="BK1185" s="28"/>
    </row>
    <row r="1186" customFormat="false" ht="15.75" hidden="false" customHeight="false" outlineLevel="0" collapsed="false">
      <c r="A1186" s="28"/>
      <c r="B1186" s="28"/>
      <c r="C1186" s="28"/>
      <c r="D1186" s="5"/>
      <c r="E1186" s="38"/>
      <c r="F1186" s="28"/>
      <c r="G1186" s="28"/>
      <c r="H1186" s="38"/>
      <c r="I1186" s="28"/>
      <c r="J1186" s="40"/>
      <c r="K1186" s="40"/>
      <c r="L1186" s="5"/>
      <c r="M1186" s="5"/>
      <c r="N1186" s="28"/>
      <c r="O1186" s="28"/>
      <c r="P1186" s="28"/>
      <c r="Q1186" s="28"/>
      <c r="R1186" s="28"/>
      <c r="S1186" s="28"/>
      <c r="T1186" s="28"/>
      <c r="V1186" s="28"/>
      <c r="W1186" s="5"/>
      <c r="X1186" s="5"/>
      <c r="Z1186" s="28"/>
      <c r="AA1186" s="28"/>
      <c r="AB1186" s="28"/>
      <c r="AC1186" s="28"/>
      <c r="AD1186" s="28"/>
      <c r="AE1186" s="28"/>
      <c r="AF1186" s="28"/>
      <c r="AG1186" s="28"/>
      <c r="AH1186" s="28"/>
      <c r="AI1186" s="28"/>
      <c r="AJ1186" s="28"/>
      <c r="AK1186" s="28"/>
      <c r="AL1186" s="28"/>
      <c r="AM1186" s="28"/>
      <c r="AN1186" s="28"/>
      <c r="AO1186" s="28"/>
      <c r="AP1186" s="28"/>
      <c r="AQ1186" s="28"/>
      <c r="AR1186" s="28"/>
      <c r="AS1186" s="28"/>
      <c r="AT1186" s="5"/>
      <c r="AU1186" s="28"/>
      <c r="AV1186" s="28"/>
      <c r="AX1186" s="28"/>
      <c r="AY1186" s="28"/>
      <c r="BA1186" s="28"/>
      <c r="BB1186" s="28"/>
      <c r="BF1186" s="28"/>
      <c r="BH1186" s="28"/>
      <c r="BI1186" s="28"/>
      <c r="BJ1186" s="38"/>
      <c r="BK1186" s="28"/>
    </row>
    <row r="1187" customFormat="false" ht="15.75" hidden="false" customHeight="false" outlineLevel="0" collapsed="false">
      <c r="A1187" s="28"/>
      <c r="B1187" s="28"/>
      <c r="C1187" s="28"/>
      <c r="D1187" s="5"/>
      <c r="E1187" s="38"/>
      <c r="F1187" s="28"/>
      <c r="G1187" s="28"/>
      <c r="H1187" s="38"/>
      <c r="I1187" s="28"/>
      <c r="J1187" s="40"/>
      <c r="K1187" s="40"/>
      <c r="L1187" s="5"/>
      <c r="M1187" s="5"/>
      <c r="N1187" s="28"/>
      <c r="O1187" s="28"/>
      <c r="P1187" s="28"/>
      <c r="Q1187" s="28"/>
      <c r="R1187" s="28"/>
      <c r="S1187" s="28"/>
      <c r="T1187" s="28"/>
      <c r="V1187" s="28"/>
      <c r="W1187" s="5"/>
      <c r="X1187" s="5"/>
      <c r="Z1187" s="28"/>
      <c r="AA1187" s="28"/>
      <c r="AB1187" s="28"/>
      <c r="AC1187" s="28"/>
      <c r="AD1187" s="28"/>
      <c r="AE1187" s="28"/>
      <c r="AF1187" s="28"/>
      <c r="AG1187" s="28"/>
      <c r="AH1187" s="28"/>
      <c r="AI1187" s="28"/>
      <c r="AJ1187" s="28"/>
      <c r="AK1187" s="28"/>
      <c r="AL1187" s="28"/>
      <c r="AM1187" s="28"/>
      <c r="AN1187" s="28"/>
      <c r="AO1187" s="28"/>
      <c r="AP1187" s="28"/>
      <c r="AQ1187" s="28"/>
      <c r="AR1187" s="28"/>
      <c r="AS1187" s="28"/>
      <c r="AT1187" s="5"/>
      <c r="AU1187" s="28"/>
      <c r="AV1187" s="28"/>
      <c r="AX1187" s="28"/>
      <c r="AY1187" s="28"/>
      <c r="BA1187" s="28"/>
      <c r="BB1187" s="28"/>
      <c r="BF1187" s="28"/>
      <c r="BH1187" s="28"/>
      <c r="BI1187" s="28"/>
      <c r="BJ1187" s="38"/>
      <c r="BK1187" s="28"/>
    </row>
    <row r="1188" customFormat="false" ht="15.75" hidden="false" customHeight="false" outlineLevel="0" collapsed="false">
      <c r="A1188" s="28"/>
      <c r="B1188" s="28"/>
      <c r="C1188" s="28"/>
      <c r="D1188" s="5"/>
      <c r="E1188" s="38"/>
      <c r="F1188" s="28"/>
      <c r="G1188" s="28"/>
      <c r="H1188" s="38"/>
      <c r="I1188" s="28"/>
      <c r="J1188" s="40"/>
      <c r="K1188" s="40"/>
      <c r="L1188" s="5"/>
      <c r="M1188" s="5"/>
      <c r="N1188" s="28"/>
      <c r="O1188" s="28"/>
      <c r="P1188" s="28"/>
      <c r="Q1188" s="28"/>
      <c r="R1188" s="28"/>
      <c r="S1188" s="28"/>
      <c r="T1188" s="28"/>
      <c r="V1188" s="28"/>
      <c r="W1188" s="5"/>
      <c r="X1188" s="5"/>
      <c r="Z1188" s="28"/>
      <c r="AA1188" s="28"/>
      <c r="AB1188" s="28"/>
      <c r="AC1188" s="28"/>
      <c r="AD1188" s="28"/>
      <c r="AE1188" s="28"/>
      <c r="AF1188" s="28"/>
      <c r="AG1188" s="28"/>
      <c r="AH1188" s="28"/>
      <c r="AI1188" s="28"/>
      <c r="AJ1188" s="28"/>
      <c r="AK1188" s="28"/>
      <c r="AL1188" s="28"/>
      <c r="AM1188" s="28"/>
      <c r="AN1188" s="28"/>
      <c r="AO1188" s="28"/>
      <c r="AP1188" s="28"/>
      <c r="AQ1188" s="28"/>
      <c r="AR1188" s="28"/>
      <c r="AS1188" s="28"/>
      <c r="AT1188" s="5"/>
      <c r="AU1188" s="28"/>
      <c r="AV1188" s="28"/>
      <c r="AX1188" s="28"/>
      <c r="AY1188" s="28"/>
      <c r="BA1188" s="28"/>
      <c r="BB1188" s="28"/>
      <c r="BF1188" s="28"/>
      <c r="BH1188" s="28"/>
      <c r="BI1188" s="28"/>
      <c r="BJ1188" s="38"/>
      <c r="BK1188" s="28"/>
    </row>
    <row r="1189" customFormat="false" ht="15.75" hidden="false" customHeight="false" outlineLevel="0" collapsed="false">
      <c r="A1189" s="28"/>
      <c r="B1189" s="28"/>
      <c r="C1189" s="28"/>
      <c r="D1189" s="5"/>
      <c r="E1189" s="38"/>
      <c r="F1189" s="28"/>
      <c r="G1189" s="28"/>
      <c r="H1189" s="38"/>
      <c r="I1189" s="28"/>
      <c r="J1189" s="40"/>
      <c r="K1189" s="40"/>
      <c r="L1189" s="5"/>
      <c r="M1189" s="5"/>
      <c r="N1189" s="28"/>
      <c r="O1189" s="28"/>
      <c r="P1189" s="28"/>
      <c r="Q1189" s="28"/>
      <c r="R1189" s="28"/>
      <c r="S1189" s="28"/>
      <c r="T1189" s="28"/>
      <c r="V1189" s="28"/>
      <c r="W1189" s="5"/>
      <c r="X1189" s="5"/>
      <c r="Z1189" s="28"/>
      <c r="AA1189" s="28"/>
      <c r="AB1189" s="28"/>
      <c r="AC1189" s="28"/>
      <c r="AD1189" s="28"/>
      <c r="AE1189" s="28"/>
      <c r="AF1189" s="28"/>
      <c r="AG1189" s="28"/>
      <c r="AH1189" s="28"/>
      <c r="AI1189" s="28"/>
      <c r="AJ1189" s="28"/>
      <c r="AK1189" s="28"/>
      <c r="AL1189" s="28"/>
      <c r="AM1189" s="28"/>
      <c r="AN1189" s="28"/>
      <c r="AO1189" s="28"/>
      <c r="AP1189" s="28"/>
      <c r="AQ1189" s="28"/>
      <c r="AR1189" s="28"/>
      <c r="AS1189" s="28"/>
      <c r="AT1189" s="5"/>
      <c r="AU1189" s="28"/>
      <c r="AV1189" s="28"/>
      <c r="AX1189" s="28"/>
      <c r="AY1189" s="28"/>
      <c r="BA1189" s="28"/>
      <c r="BB1189" s="28"/>
      <c r="BF1189" s="28"/>
      <c r="BH1189" s="28"/>
      <c r="BI1189" s="28"/>
      <c r="BJ1189" s="38"/>
      <c r="BK1189" s="28"/>
    </row>
    <row r="1190" customFormat="false" ht="15.75" hidden="false" customHeight="false" outlineLevel="0" collapsed="false">
      <c r="A1190" s="28"/>
      <c r="B1190" s="28"/>
      <c r="C1190" s="28"/>
      <c r="D1190" s="5"/>
      <c r="E1190" s="38"/>
      <c r="F1190" s="28"/>
      <c r="G1190" s="28"/>
      <c r="H1190" s="38"/>
      <c r="I1190" s="28"/>
      <c r="J1190" s="40"/>
      <c r="K1190" s="40"/>
      <c r="L1190" s="5"/>
      <c r="M1190" s="5"/>
      <c r="N1190" s="28"/>
      <c r="O1190" s="28"/>
      <c r="P1190" s="28"/>
      <c r="Q1190" s="28"/>
      <c r="R1190" s="28"/>
      <c r="S1190" s="28"/>
      <c r="T1190" s="28"/>
      <c r="V1190" s="28"/>
      <c r="W1190" s="5"/>
      <c r="X1190" s="5"/>
      <c r="Z1190" s="28"/>
      <c r="AA1190" s="28"/>
      <c r="AB1190" s="28"/>
      <c r="AC1190" s="28"/>
      <c r="AD1190" s="28"/>
      <c r="AE1190" s="28"/>
      <c r="AF1190" s="28"/>
      <c r="AG1190" s="28"/>
      <c r="AH1190" s="28"/>
      <c r="AI1190" s="28"/>
      <c r="AJ1190" s="28"/>
      <c r="AK1190" s="28"/>
      <c r="AL1190" s="28"/>
      <c r="AM1190" s="28"/>
      <c r="AN1190" s="28"/>
      <c r="AO1190" s="28"/>
      <c r="AP1190" s="28"/>
      <c r="AQ1190" s="28"/>
      <c r="AR1190" s="28"/>
      <c r="AS1190" s="28"/>
      <c r="AT1190" s="5"/>
      <c r="AU1190" s="28"/>
      <c r="AV1190" s="28"/>
      <c r="AX1190" s="28"/>
      <c r="AY1190" s="28"/>
      <c r="BA1190" s="28"/>
      <c r="BB1190" s="28"/>
      <c r="BF1190" s="28"/>
      <c r="BH1190" s="28"/>
      <c r="BI1190" s="28"/>
      <c r="BJ1190" s="38"/>
      <c r="BK1190" s="28"/>
    </row>
    <row r="1191" customFormat="false" ht="15.75" hidden="false" customHeight="false" outlineLevel="0" collapsed="false">
      <c r="A1191" s="28"/>
      <c r="B1191" s="28"/>
      <c r="C1191" s="28"/>
      <c r="D1191" s="5"/>
      <c r="E1191" s="38"/>
      <c r="F1191" s="28"/>
      <c r="G1191" s="28"/>
      <c r="H1191" s="38"/>
      <c r="I1191" s="28"/>
      <c r="J1191" s="40"/>
      <c r="K1191" s="40"/>
      <c r="L1191" s="5"/>
      <c r="M1191" s="5"/>
      <c r="N1191" s="28"/>
      <c r="O1191" s="28"/>
      <c r="P1191" s="28"/>
      <c r="Q1191" s="28"/>
      <c r="R1191" s="28"/>
      <c r="S1191" s="28"/>
      <c r="T1191" s="28"/>
      <c r="V1191" s="28"/>
      <c r="W1191" s="5"/>
      <c r="X1191" s="5"/>
      <c r="Z1191" s="28"/>
      <c r="AA1191" s="28"/>
      <c r="AB1191" s="28"/>
      <c r="AC1191" s="28"/>
      <c r="AD1191" s="28"/>
      <c r="AE1191" s="28"/>
      <c r="AF1191" s="28"/>
      <c r="AG1191" s="28"/>
      <c r="AH1191" s="28"/>
      <c r="AI1191" s="28"/>
      <c r="AJ1191" s="28"/>
      <c r="AK1191" s="28"/>
      <c r="AL1191" s="28"/>
      <c r="AM1191" s="28"/>
      <c r="AN1191" s="28"/>
      <c r="AO1191" s="28"/>
      <c r="AP1191" s="28"/>
      <c r="AQ1191" s="28"/>
      <c r="AR1191" s="28"/>
      <c r="AS1191" s="28"/>
      <c r="AT1191" s="5"/>
      <c r="AU1191" s="28"/>
      <c r="AV1191" s="28"/>
      <c r="AX1191" s="28"/>
      <c r="AY1191" s="28"/>
      <c r="BA1191" s="28"/>
      <c r="BB1191" s="28"/>
      <c r="BF1191" s="28"/>
      <c r="BH1191" s="28"/>
      <c r="BI1191" s="28"/>
      <c r="BJ1191" s="38"/>
      <c r="BK1191" s="28"/>
    </row>
    <row r="1192" customFormat="false" ht="15.75" hidden="false" customHeight="false" outlineLevel="0" collapsed="false">
      <c r="A1192" s="28"/>
      <c r="B1192" s="28"/>
      <c r="C1192" s="28"/>
      <c r="D1192" s="5"/>
      <c r="E1192" s="38"/>
      <c r="F1192" s="28"/>
      <c r="G1192" s="28"/>
      <c r="H1192" s="38"/>
      <c r="I1192" s="28"/>
      <c r="J1192" s="40"/>
      <c r="K1192" s="40"/>
      <c r="L1192" s="5"/>
      <c r="M1192" s="5"/>
      <c r="N1192" s="28"/>
      <c r="O1192" s="28"/>
      <c r="P1192" s="28"/>
      <c r="Q1192" s="28"/>
      <c r="R1192" s="28"/>
      <c r="S1192" s="28"/>
      <c r="T1192" s="28"/>
      <c r="V1192" s="28"/>
      <c r="W1192" s="5"/>
      <c r="X1192" s="5"/>
      <c r="Z1192" s="28"/>
      <c r="AA1192" s="28"/>
      <c r="AB1192" s="28"/>
      <c r="AC1192" s="28"/>
      <c r="AD1192" s="28"/>
      <c r="AE1192" s="28"/>
      <c r="AF1192" s="28"/>
      <c r="AG1192" s="28"/>
      <c r="AH1192" s="28"/>
      <c r="AI1192" s="28"/>
      <c r="AJ1192" s="28"/>
      <c r="AK1192" s="28"/>
      <c r="AL1192" s="28"/>
      <c r="AM1192" s="28"/>
      <c r="AN1192" s="28"/>
      <c r="AO1192" s="28"/>
      <c r="AP1192" s="28"/>
      <c r="AQ1192" s="28"/>
      <c r="AR1192" s="28"/>
      <c r="AS1192" s="28"/>
      <c r="AT1192" s="5"/>
      <c r="AU1192" s="28"/>
      <c r="AV1192" s="28"/>
      <c r="AX1192" s="28"/>
      <c r="AY1192" s="28"/>
      <c r="BA1192" s="28"/>
      <c r="BB1192" s="28"/>
      <c r="BF1192" s="28"/>
      <c r="BH1192" s="28"/>
      <c r="BI1192" s="28"/>
      <c r="BJ1192" s="38"/>
      <c r="BK1192" s="28"/>
    </row>
    <row r="1193" customFormat="false" ht="15.75" hidden="false" customHeight="false" outlineLevel="0" collapsed="false">
      <c r="A1193" s="28"/>
      <c r="B1193" s="28"/>
      <c r="C1193" s="28"/>
      <c r="D1193" s="5"/>
      <c r="E1193" s="38"/>
      <c r="F1193" s="28"/>
      <c r="G1193" s="28"/>
      <c r="H1193" s="38"/>
      <c r="I1193" s="28"/>
      <c r="J1193" s="40"/>
      <c r="K1193" s="40"/>
      <c r="L1193" s="5"/>
      <c r="M1193" s="5"/>
      <c r="N1193" s="28"/>
      <c r="O1193" s="28"/>
      <c r="P1193" s="28"/>
      <c r="Q1193" s="28"/>
      <c r="R1193" s="28"/>
      <c r="S1193" s="28"/>
      <c r="T1193" s="28"/>
      <c r="V1193" s="28"/>
      <c r="W1193" s="5"/>
      <c r="X1193" s="5"/>
      <c r="Z1193" s="28"/>
      <c r="AA1193" s="28"/>
      <c r="AB1193" s="28"/>
      <c r="AC1193" s="28"/>
      <c r="AD1193" s="28"/>
      <c r="AE1193" s="28"/>
      <c r="AF1193" s="28"/>
      <c r="AG1193" s="28"/>
      <c r="AH1193" s="28"/>
      <c r="AI1193" s="28"/>
      <c r="AJ1193" s="28"/>
      <c r="AK1193" s="28"/>
      <c r="AL1193" s="28"/>
      <c r="AM1193" s="28"/>
      <c r="AN1193" s="28"/>
      <c r="AO1193" s="28"/>
      <c r="AP1193" s="28"/>
      <c r="AQ1193" s="28"/>
      <c r="AR1193" s="28"/>
      <c r="AS1193" s="28"/>
      <c r="AT1193" s="5"/>
      <c r="AU1193" s="28"/>
      <c r="AV1193" s="28"/>
      <c r="AX1193" s="28"/>
      <c r="AY1193" s="28"/>
      <c r="BA1193" s="28"/>
      <c r="BB1193" s="28"/>
      <c r="BF1193" s="28"/>
      <c r="BH1193" s="28"/>
      <c r="BI1193" s="28"/>
      <c r="BJ1193" s="38"/>
      <c r="BK1193" s="28"/>
    </row>
    <row r="1194" customFormat="false" ht="15.75" hidden="false" customHeight="false" outlineLevel="0" collapsed="false">
      <c r="A1194" s="28"/>
      <c r="B1194" s="28"/>
      <c r="C1194" s="28"/>
      <c r="D1194" s="5"/>
      <c r="E1194" s="38"/>
      <c r="F1194" s="28"/>
      <c r="G1194" s="28"/>
      <c r="H1194" s="38"/>
      <c r="I1194" s="28"/>
      <c r="J1194" s="40"/>
      <c r="K1194" s="40"/>
      <c r="L1194" s="5"/>
      <c r="M1194" s="5"/>
      <c r="N1194" s="28"/>
      <c r="O1194" s="28"/>
      <c r="P1194" s="28"/>
      <c r="Q1194" s="28"/>
      <c r="R1194" s="28"/>
      <c r="S1194" s="28"/>
      <c r="T1194" s="28"/>
      <c r="V1194" s="28"/>
      <c r="W1194" s="5"/>
      <c r="X1194" s="5"/>
      <c r="Z1194" s="28"/>
      <c r="AA1194" s="28"/>
      <c r="AB1194" s="28"/>
      <c r="AC1194" s="28"/>
      <c r="AD1194" s="28"/>
      <c r="AE1194" s="28"/>
      <c r="AF1194" s="28"/>
      <c r="AG1194" s="28"/>
      <c r="AH1194" s="28"/>
      <c r="AI1194" s="28"/>
      <c r="AJ1194" s="28"/>
      <c r="AK1194" s="28"/>
      <c r="AL1194" s="28"/>
      <c r="AM1194" s="28"/>
      <c r="AN1194" s="28"/>
      <c r="AO1194" s="28"/>
      <c r="AP1194" s="28"/>
      <c r="AQ1194" s="28"/>
      <c r="AR1194" s="28"/>
      <c r="AS1194" s="28"/>
      <c r="AT1194" s="5"/>
      <c r="AU1194" s="28"/>
      <c r="AV1194" s="28"/>
      <c r="AX1194" s="28"/>
      <c r="AY1194" s="28"/>
      <c r="BA1194" s="28"/>
      <c r="BB1194" s="28"/>
      <c r="BF1194" s="28"/>
      <c r="BH1194" s="28"/>
      <c r="BI1194" s="28"/>
      <c r="BJ1194" s="38"/>
      <c r="BK1194" s="28"/>
    </row>
    <row r="1195" customFormat="false" ht="15.75" hidden="false" customHeight="false" outlineLevel="0" collapsed="false">
      <c r="A1195" s="28"/>
      <c r="B1195" s="28"/>
      <c r="C1195" s="28"/>
      <c r="D1195" s="5"/>
      <c r="E1195" s="38"/>
      <c r="F1195" s="28"/>
      <c r="G1195" s="28"/>
      <c r="H1195" s="38"/>
      <c r="I1195" s="28"/>
      <c r="J1195" s="40"/>
      <c r="K1195" s="40"/>
      <c r="L1195" s="5"/>
      <c r="M1195" s="5"/>
      <c r="N1195" s="28"/>
      <c r="O1195" s="28"/>
      <c r="P1195" s="28"/>
      <c r="Q1195" s="28"/>
      <c r="R1195" s="28"/>
      <c r="S1195" s="28"/>
      <c r="T1195" s="28"/>
      <c r="V1195" s="28"/>
      <c r="W1195" s="5"/>
      <c r="X1195" s="5"/>
      <c r="Z1195" s="28"/>
      <c r="AA1195" s="28"/>
      <c r="AB1195" s="28"/>
      <c r="AC1195" s="28"/>
      <c r="AD1195" s="28"/>
      <c r="AE1195" s="28"/>
      <c r="AF1195" s="28"/>
      <c r="AG1195" s="28"/>
      <c r="AH1195" s="28"/>
      <c r="AI1195" s="28"/>
      <c r="AJ1195" s="28"/>
      <c r="AK1195" s="28"/>
      <c r="AL1195" s="28"/>
      <c r="AM1195" s="28"/>
      <c r="AN1195" s="28"/>
      <c r="AO1195" s="28"/>
      <c r="AP1195" s="28"/>
      <c r="AQ1195" s="28"/>
      <c r="AR1195" s="28"/>
      <c r="AS1195" s="28"/>
      <c r="AT1195" s="5"/>
      <c r="AU1195" s="28"/>
      <c r="AV1195" s="28"/>
      <c r="AX1195" s="28"/>
      <c r="AY1195" s="28"/>
      <c r="BA1195" s="28"/>
      <c r="BB1195" s="28"/>
      <c r="BF1195" s="28"/>
      <c r="BH1195" s="28"/>
      <c r="BI1195" s="28"/>
      <c r="BJ1195" s="38"/>
      <c r="BK1195" s="28"/>
    </row>
    <row r="1196" customFormat="false" ht="15.75" hidden="false" customHeight="false" outlineLevel="0" collapsed="false">
      <c r="A1196" s="28"/>
      <c r="B1196" s="28"/>
      <c r="C1196" s="28"/>
      <c r="D1196" s="5"/>
      <c r="E1196" s="38"/>
      <c r="F1196" s="28"/>
      <c r="G1196" s="28"/>
      <c r="H1196" s="38"/>
      <c r="I1196" s="28"/>
      <c r="J1196" s="40"/>
      <c r="K1196" s="40"/>
      <c r="L1196" s="5"/>
      <c r="M1196" s="5"/>
      <c r="N1196" s="28"/>
      <c r="O1196" s="28"/>
      <c r="P1196" s="28"/>
      <c r="Q1196" s="28"/>
      <c r="R1196" s="28"/>
      <c r="S1196" s="28"/>
      <c r="T1196" s="28"/>
      <c r="V1196" s="28"/>
      <c r="W1196" s="5"/>
      <c r="X1196" s="5"/>
      <c r="Z1196" s="28"/>
      <c r="AA1196" s="28"/>
      <c r="AB1196" s="28"/>
      <c r="AC1196" s="28"/>
      <c r="AD1196" s="28"/>
      <c r="AE1196" s="28"/>
      <c r="AF1196" s="28"/>
      <c r="AG1196" s="28"/>
      <c r="AH1196" s="28"/>
      <c r="AI1196" s="28"/>
      <c r="AJ1196" s="28"/>
      <c r="AK1196" s="28"/>
      <c r="AL1196" s="28"/>
      <c r="AM1196" s="28"/>
      <c r="AN1196" s="28"/>
      <c r="AO1196" s="28"/>
      <c r="AP1196" s="28"/>
      <c r="AQ1196" s="28"/>
      <c r="AR1196" s="28"/>
      <c r="AS1196" s="28"/>
      <c r="AT1196" s="5"/>
      <c r="AU1196" s="28"/>
      <c r="AV1196" s="28"/>
      <c r="AX1196" s="28"/>
      <c r="AY1196" s="28"/>
      <c r="BA1196" s="28"/>
      <c r="BB1196" s="28"/>
      <c r="BF1196" s="28"/>
      <c r="BH1196" s="28"/>
      <c r="BI1196" s="28"/>
      <c r="BJ1196" s="38"/>
      <c r="BK1196" s="28"/>
    </row>
    <row r="1197" customFormat="false" ht="15.75" hidden="false" customHeight="false" outlineLevel="0" collapsed="false">
      <c r="A1197" s="28"/>
      <c r="B1197" s="28"/>
      <c r="C1197" s="28"/>
      <c r="D1197" s="5"/>
      <c r="E1197" s="38"/>
      <c r="F1197" s="28"/>
      <c r="G1197" s="28"/>
      <c r="H1197" s="38"/>
      <c r="I1197" s="28"/>
      <c r="J1197" s="40"/>
      <c r="K1197" s="40"/>
      <c r="L1197" s="5"/>
      <c r="M1197" s="5"/>
      <c r="N1197" s="28"/>
      <c r="O1197" s="28"/>
      <c r="P1197" s="28"/>
      <c r="Q1197" s="28"/>
      <c r="R1197" s="28"/>
      <c r="S1197" s="28"/>
      <c r="T1197" s="28"/>
      <c r="V1197" s="28"/>
      <c r="W1197" s="5"/>
      <c r="X1197" s="5"/>
      <c r="Z1197" s="28"/>
      <c r="AA1197" s="28"/>
      <c r="AB1197" s="28"/>
      <c r="AC1197" s="28"/>
      <c r="AD1197" s="28"/>
      <c r="AE1197" s="28"/>
      <c r="AF1197" s="28"/>
      <c r="AG1197" s="28"/>
      <c r="AH1197" s="28"/>
      <c r="AI1197" s="28"/>
      <c r="AJ1197" s="28"/>
      <c r="AK1197" s="28"/>
      <c r="AL1197" s="28"/>
      <c r="AM1197" s="28"/>
      <c r="AN1197" s="28"/>
      <c r="AO1197" s="28"/>
      <c r="AP1197" s="28"/>
      <c r="AQ1197" s="28"/>
      <c r="AR1197" s="28"/>
      <c r="AS1197" s="28"/>
      <c r="AT1197" s="5"/>
      <c r="AU1197" s="28"/>
      <c r="AV1197" s="28"/>
      <c r="AX1197" s="28"/>
      <c r="AY1197" s="28"/>
      <c r="BA1197" s="28"/>
      <c r="BB1197" s="28"/>
      <c r="BF1197" s="28"/>
      <c r="BH1197" s="28"/>
      <c r="BI1197" s="28"/>
      <c r="BJ1197" s="38"/>
      <c r="BK1197" s="28"/>
    </row>
    <row r="1198" customFormat="false" ht="15.75" hidden="false" customHeight="false" outlineLevel="0" collapsed="false">
      <c r="A1198" s="28"/>
      <c r="B1198" s="28"/>
      <c r="C1198" s="28"/>
      <c r="D1198" s="5"/>
      <c r="E1198" s="38"/>
      <c r="F1198" s="28"/>
      <c r="G1198" s="28"/>
      <c r="H1198" s="38"/>
      <c r="I1198" s="28"/>
      <c r="J1198" s="40"/>
      <c r="K1198" s="40"/>
      <c r="L1198" s="5"/>
      <c r="M1198" s="5"/>
      <c r="N1198" s="28"/>
      <c r="O1198" s="28"/>
      <c r="P1198" s="28"/>
      <c r="Q1198" s="28"/>
      <c r="R1198" s="28"/>
      <c r="S1198" s="28"/>
      <c r="T1198" s="28"/>
      <c r="V1198" s="28"/>
      <c r="W1198" s="5"/>
      <c r="X1198" s="5"/>
      <c r="Z1198" s="28"/>
      <c r="AA1198" s="28"/>
      <c r="AB1198" s="28"/>
      <c r="AC1198" s="28"/>
      <c r="AD1198" s="28"/>
      <c r="AE1198" s="28"/>
      <c r="AF1198" s="28"/>
      <c r="AG1198" s="28"/>
      <c r="AH1198" s="28"/>
      <c r="AI1198" s="28"/>
      <c r="AJ1198" s="28"/>
      <c r="AK1198" s="28"/>
      <c r="AL1198" s="28"/>
      <c r="AM1198" s="28"/>
      <c r="AN1198" s="28"/>
      <c r="AO1198" s="28"/>
      <c r="AP1198" s="28"/>
      <c r="AQ1198" s="28"/>
      <c r="AR1198" s="28"/>
      <c r="AS1198" s="28"/>
      <c r="AT1198" s="5"/>
      <c r="AU1198" s="28"/>
      <c r="AV1198" s="28"/>
      <c r="AX1198" s="28"/>
      <c r="AY1198" s="28"/>
      <c r="BA1198" s="28"/>
      <c r="BB1198" s="28"/>
      <c r="BF1198" s="28"/>
      <c r="BH1198" s="28"/>
      <c r="BI1198" s="28"/>
      <c r="BJ1198" s="38"/>
      <c r="BK1198" s="28"/>
    </row>
    <row r="1199" customFormat="false" ht="15.75" hidden="false" customHeight="false" outlineLevel="0" collapsed="false">
      <c r="A1199" s="28"/>
      <c r="B1199" s="28"/>
      <c r="C1199" s="28"/>
      <c r="D1199" s="5"/>
      <c r="E1199" s="38"/>
      <c r="F1199" s="28"/>
      <c r="G1199" s="28"/>
      <c r="H1199" s="38"/>
      <c r="I1199" s="28"/>
      <c r="J1199" s="40"/>
      <c r="K1199" s="40"/>
      <c r="L1199" s="5"/>
      <c r="M1199" s="5"/>
      <c r="N1199" s="28"/>
      <c r="O1199" s="28"/>
      <c r="P1199" s="28"/>
      <c r="Q1199" s="28"/>
      <c r="R1199" s="28"/>
      <c r="S1199" s="28"/>
      <c r="T1199" s="28"/>
      <c r="V1199" s="28"/>
      <c r="W1199" s="5"/>
      <c r="X1199" s="5"/>
      <c r="Z1199" s="28"/>
      <c r="AA1199" s="28"/>
      <c r="AB1199" s="28"/>
      <c r="AC1199" s="28"/>
      <c r="AD1199" s="28"/>
      <c r="AE1199" s="28"/>
      <c r="AF1199" s="28"/>
      <c r="AG1199" s="28"/>
      <c r="AH1199" s="28"/>
      <c r="AI1199" s="28"/>
      <c r="AJ1199" s="28"/>
      <c r="AK1199" s="28"/>
      <c r="AL1199" s="28"/>
      <c r="AM1199" s="28"/>
      <c r="AN1199" s="28"/>
      <c r="AO1199" s="28"/>
      <c r="AP1199" s="28"/>
      <c r="AQ1199" s="28"/>
      <c r="AR1199" s="28"/>
      <c r="AS1199" s="28"/>
      <c r="AT1199" s="5"/>
      <c r="AU1199" s="28"/>
      <c r="AV1199" s="28"/>
      <c r="AX1199" s="28"/>
      <c r="AY1199" s="28"/>
      <c r="BA1199" s="28"/>
      <c r="BB1199" s="28"/>
      <c r="BF1199" s="28"/>
      <c r="BH1199" s="28"/>
      <c r="BI1199" s="28"/>
      <c r="BJ1199" s="38"/>
      <c r="BK1199" s="28"/>
    </row>
    <row r="1200" customFormat="false" ht="15.75" hidden="false" customHeight="false" outlineLevel="0" collapsed="false">
      <c r="A1200" s="28"/>
      <c r="B1200" s="28"/>
      <c r="C1200" s="28"/>
      <c r="D1200" s="5"/>
      <c r="E1200" s="38"/>
      <c r="F1200" s="28"/>
      <c r="G1200" s="28"/>
      <c r="H1200" s="38"/>
      <c r="I1200" s="28"/>
      <c r="J1200" s="40"/>
      <c r="K1200" s="40"/>
      <c r="L1200" s="5"/>
      <c r="M1200" s="5"/>
      <c r="N1200" s="28"/>
      <c r="O1200" s="28"/>
      <c r="P1200" s="28"/>
      <c r="Q1200" s="28"/>
      <c r="R1200" s="28"/>
      <c r="S1200" s="28"/>
      <c r="T1200" s="28"/>
      <c r="V1200" s="28"/>
      <c r="W1200" s="5"/>
      <c r="X1200" s="5"/>
      <c r="Z1200" s="28"/>
      <c r="AA1200" s="28"/>
      <c r="AB1200" s="28"/>
      <c r="AC1200" s="28"/>
      <c r="AD1200" s="28"/>
      <c r="AE1200" s="28"/>
      <c r="AF1200" s="28"/>
      <c r="AG1200" s="28"/>
      <c r="AH1200" s="28"/>
      <c r="AI1200" s="28"/>
      <c r="AJ1200" s="28"/>
      <c r="AK1200" s="28"/>
      <c r="AL1200" s="28"/>
      <c r="AM1200" s="28"/>
      <c r="AN1200" s="28"/>
      <c r="AO1200" s="28"/>
      <c r="AP1200" s="28"/>
      <c r="AQ1200" s="28"/>
      <c r="AR1200" s="28"/>
      <c r="AS1200" s="28"/>
      <c r="AT1200" s="5"/>
      <c r="AU1200" s="28"/>
      <c r="AV1200" s="28"/>
      <c r="AX1200" s="28"/>
      <c r="AY1200" s="28"/>
      <c r="BA1200" s="28"/>
      <c r="BB1200" s="28"/>
      <c r="BF1200" s="28"/>
      <c r="BH1200" s="28"/>
      <c r="BI1200" s="28"/>
      <c r="BJ1200" s="38"/>
      <c r="BK1200" s="28"/>
    </row>
    <row r="1201" customFormat="false" ht="15.75" hidden="false" customHeight="false" outlineLevel="0" collapsed="false">
      <c r="A1201" s="28"/>
      <c r="B1201" s="28"/>
      <c r="C1201" s="28"/>
      <c r="D1201" s="5"/>
      <c r="E1201" s="38"/>
      <c r="F1201" s="28"/>
      <c r="G1201" s="28"/>
      <c r="H1201" s="38"/>
      <c r="I1201" s="28"/>
      <c r="J1201" s="40"/>
      <c r="K1201" s="40"/>
      <c r="L1201" s="5"/>
      <c r="M1201" s="5"/>
      <c r="N1201" s="28"/>
      <c r="O1201" s="28"/>
      <c r="P1201" s="28"/>
      <c r="Q1201" s="28"/>
      <c r="R1201" s="28"/>
      <c r="S1201" s="28"/>
      <c r="T1201" s="28"/>
      <c r="V1201" s="28"/>
      <c r="W1201" s="5"/>
      <c r="X1201" s="5"/>
      <c r="Z1201" s="28"/>
      <c r="AA1201" s="28"/>
      <c r="AB1201" s="28"/>
      <c r="AC1201" s="28"/>
      <c r="AD1201" s="28"/>
      <c r="AE1201" s="28"/>
      <c r="AF1201" s="28"/>
      <c r="AG1201" s="28"/>
      <c r="AH1201" s="28"/>
      <c r="AI1201" s="28"/>
      <c r="AJ1201" s="28"/>
      <c r="AK1201" s="28"/>
      <c r="AL1201" s="28"/>
      <c r="AM1201" s="28"/>
      <c r="AN1201" s="28"/>
      <c r="AO1201" s="28"/>
      <c r="AP1201" s="28"/>
      <c r="AQ1201" s="28"/>
      <c r="AR1201" s="28"/>
      <c r="AS1201" s="28"/>
      <c r="AT1201" s="5"/>
      <c r="AU1201" s="28"/>
      <c r="AV1201" s="28"/>
      <c r="AX1201" s="28"/>
      <c r="AY1201" s="28"/>
      <c r="BA1201" s="28"/>
      <c r="BB1201" s="28"/>
      <c r="BF1201" s="28"/>
      <c r="BH1201" s="28"/>
      <c r="BI1201" s="28"/>
      <c r="BJ1201" s="38"/>
      <c r="BK1201" s="28"/>
    </row>
    <row r="1202" customFormat="false" ht="15.75" hidden="false" customHeight="false" outlineLevel="0" collapsed="false">
      <c r="A1202" s="28"/>
      <c r="B1202" s="28"/>
      <c r="C1202" s="28"/>
      <c r="D1202" s="5"/>
      <c r="E1202" s="38"/>
      <c r="F1202" s="28"/>
      <c r="G1202" s="28"/>
      <c r="H1202" s="38"/>
      <c r="I1202" s="28"/>
      <c r="J1202" s="40"/>
      <c r="K1202" s="40"/>
      <c r="L1202" s="5"/>
      <c r="M1202" s="5"/>
      <c r="N1202" s="28"/>
      <c r="O1202" s="28"/>
      <c r="P1202" s="28"/>
      <c r="Q1202" s="28"/>
      <c r="R1202" s="28"/>
      <c r="S1202" s="28"/>
      <c r="T1202" s="28"/>
      <c r="V1202" s="28"/>
      <c r="W1202" s="5"/>
      <c r="X1202" s="5"/>
      <c r="Z1202" s="28"/>
      <c r="AA1202" s="28"/>
      <c r="AB1202" s="28"/>
      <c r="AC1202" s="28"/>
      <c r="AD1202" s="28"/>
      <c r="AE1202" s="28"/>
      <c r="AF1202" s="28"/>
      <c r="AG1202" s="28"/>
      <c r="AH1202" s="28"/>
      <c r="AI1202" s="28"/>
      <c r="AJ1202" s="28"/>
      <c r="AK1202" s="28"/>
      <c r="AL1202" s="28"/>
      <c r="AM1202" s="28"/>
      <c r="AN1202" s="28"/>
      <c r="AO1202" s="28"/>
      <c r="AP1202" s="28"/>
      <c r="AQ1202" s="28"/>
      <c r="AR1202" s="28"/>
      <c r="AS1202" s="28"/>
      <c r="AT1202" s="5"/>
      <c r="AU1202" s="28"/>
      <c r="AV1202" s="28"/>
      <c r="AX1202" s="28"/>
      <c r="AY1202" s="28"/>
      <c r="BA1202" s="28"/>
      <c r="BB1202" s="28"/>
      <c r="BF1202" s="28"/>
      <c r="BH1202" s="28"/>
      <c r="BI1202" s="28"/>
      <c r="BJ1202" s="38"/>
      <c r="BK1202" s="28"/>
    </row>
    <row r="1203" customFormat="false" ht="15.75" hidden="false" customHeight="false" outlineLevel="0" collapsed="false">
      <c r="A1203" s="28"/>
      <c r="B1203" s="28"/>
      <c r="C1203" s="28"/>
      <c r="D1203" s="5"/>
      <c r="E1203" s="38"/>
      <c r="F1203" s="28"/>
      <c r="G1203" s="28"/>
      <c r="H1203" s="38"/>
      <c r="I1203" s="28"/>
      <c r="J1203" s="40"/>
      <c r="K1203" s="40"/>
      <c r="L1203" s="5"/>
      <c r="M1203" s="5"/>
      <c r="N1203" s="28"/>
      <c r="O1203" s="28"/>
      <c r="P1203" s="28"/>
      <c r="Q1203" s="28"/>
      <c r="R1203" s="28"/>
      <c r="S1203" s="28"/>
      <c r="T1203" s="28"/>
      <c r="V1203" s="28"/>
      <c r="W1203" s="5"/>
      <c r="X1203" s="5"/>
      <c r="Z1203" s="28"/>
      <c r="AA1203" s="28"/>
      <c r="AB1203" s="28"/>
      <c r="AC1203" s="28"/>
      <c r="AD1203" s="28"/>
      <c r="AE1203" s="28"/>
      <c r="AF1203" s="28"/>
      <c r="AG1203" s="28"/>
      <c r="AH1203" s="28"/>
      <c r="AI1203" s="28"/>
      <c r="AJ1203" s="28"/>
      <c r="AK1203" s="28"/>
      <c r="AL1203" s="28"/>
      <c r="AM1203" s="28"/>
      <c r="AN1203" s="28"/>
      <c r="AO1203" s="28"/>
      <c r="AP1203" s="28"/>
      <c r="AQ1203" s="28"/>
      <c r="AR1203" s="28"/>
      <c r="AS1203" s="28"/>
      <c r="AT1203" s="5"/>
      <c r="AU1203" s="28"/>
      <c r="AV1203" s="28"/>
      <c r="AX1203" s="28"/>
      <c r="AY1203" s="28"/>
      <c r="BA1203" s="28"/>
      <c r="BB1203" s="28"/>
      <c r="BF1203" s="28"/>
      <c r="BH1203" s="28"/>
      <c r="BI1203" s="28"/>
      <c r="BJ1203" s="38"/>
      <c r="BK1203" s="28"/>
    </row>
    <row r="1204" customFormat="false" ht="15.75" hidden="false" customHeight="false" outlineLevel="0" collapsed="false">
      <c r="A1204" s="28"/>
      <c r="B1204" s="28"/>
      <c r="C1204" s="28"/>
      <c r="D1204" s="5"/>
      <c r="E1204" s="38"/>
      <c r="F1204" s="28"/>
      <c r="G1204" s="28"/>
      <c r="H1204" s="38"/>
      <c r="I1204" s="28"/>
      <c r="J1204" s="40"/>
      <c r="K1204" s="40"/>
      <c r="L1204" s="5"/>
      <c r="M1204" s="5"/>
      <c r="N1204" s="28"/>
      <c r="O1204" s="28"/>
      <c r="P1204" s="28"/>
      <c r="Q1204" s="28"/>
      <c r="R1204" s="28"/>
      <c r="S1204" s="28"/>
      <c r="T1204" s="28"/>
      <c r="V1204" s="28"/>
      <c r="W1204" s="5"/>
      <c r="X1204" s="5"/>
      <c r="Z1204" s="28"/>
      <c r="AA1204" s="28"/>
      <c r="AB1204" s="28"/>
      <c r="AC1204" s="28"/>
      <c r="AD1204" s="28"/>
      <c r="AE1204" s="28"/>
      <c r="AF1204" s="28"/>
      <c r="AG1204" s="28"/>
      <c r="AH1204" s="28"/>
      <c r="AI1204" s="28"/>
      <c r="AJ1204" s="28"/>
      <c r="AK1204" s="28"/>
      <c r="AL1204" s="28"/>
      <c r="AM1204" s="28"/>
      <c r="AN1204" s="28"/>
      <c r="AO1204" s="28"/>
      <c r="AP1204" s="28"/>
      <c r="AQ1204" s="28"/>
      <c r="AR1204" s="28"/>
      <c r="AS1204" s="28"/>
      <c r="AT1204" s="5"/>
      <c r="AU1204" s="28"/>
      <c r="AV1204" s="28"/>
      <c r="AX1204" s="28"/>
      <c r="AY1204" s="28"/>
      <c r="BA1204" s="28"/>
      <c r="BB1204" s="28"/>
      <c r="BF1204" s="28"/>
      <c r="BH1204" s="28"/>
      <c r="BI1204" s="28"/>
      <c r="BJ1204" s="38"/>
      <c r="BK1204" s="28"/>
    </row>
    <row r="1205" customFormat="false" ht="15.75" hidden="false" customHeight="false" outlineLevel="0" collapsed="false">
      <c r="A1205" s="28"/>
      <c r="B1205" s="28"/>
      <c r="C1205" s="28"/>
      <c r="D1205" s="5"/>
      <c r="E1205" s="38"/>
      <c r="F1205" s="28"/>
      <c r="G1205" s="28"/>
      <c r="H1205" s="38"/>
      <c r="I1205" s="28"/>
      <c r="J1205" s="40"/>
      <c r="K1205" s="40"/>
      <c r="L1205" s="5"/>
      <c r="M1205" s="5"/>
      <c r="N1205" s="28"/>
      <c r="O1205" s="28"/>
      <c r="P1205" s="28"/>
      <c r="Q1205" s="28"/>
      <c r="R1205" s="28"/>
      <c r="S1205" s="28"/>
      <c r="T1205" s="28"/>
      <c r="V1205" s="28"/>
      <c r="W1205" s="5"/>
      <c r="X1205" s="5"/>
      <c r="Z1205" s="28"/>
      <c r="AA1205" s="28"/>
      <c r="AB1205" s="28"/>
      <c r="AC1205" s="28"/>
      <c r="AD1205" s="28"/>
      <c r="AE1205" s="28"/>
      <c r="AF1205" s="28"/>
      <c r="AG1205" s="28"/>
      <c r="AH1205" s="28"/>
      <c r="AI1205" s="28"/>
      <c r="AJ1205" s="28"/>
      <c r="AK1205" s="28"/>
      <c r="AL1205" s="28"/>
      <c r="AM1205" s="28"/>
      <c r="AN1205" s="28"/>
      <c r="AO1205" s="28"/>
      <c r="AP1205" s="28"/>
      <c r="AQ1205" s="28"/>
      <c r="AR1205" s="28"/>
      <c r="AS1205" s="28"/>
      <c r="AT1205" s="5"/>
      <c r="AU1205" s="28"/>
      <c r="AV1205" s="28"/>
      <c r="AX1205" s="28"/>
      <c r="AY1205" s="28"/>
      <c r="BA1205" s="28"/>
      <c r="BB1205" s="28"/>
      <c r="BF1205" s="28"/>
      <c r="BH1205" s="28"/>
      <c r="BI1205" s="28"/>
      <c r="BJ1205" s="38"/>
      <c r="BK1205" s="28"/>
    </row>
    <row r="1206" customFormat="false" ht="15.75" hidden="false" customHeight="false" outlineLevel="0" collapsed="false">
      <c r="A1206" s="28"/>
      <c r="B1206" s="28"/>
      <c r="C1206" s="28"/>
      <c r="D1206" s="5"/>
      <c r="E1206" s="38"/>
      <c r="F1206" s="28"/>
      <c r="G1206" s="28"/>
      <c r="H1206" s="38"/>
      <c r="I1206" s="28"/>
      <c r="J1206" s="40"/>
      <c r="K1206" s="40"/>
      <c r="L1206" s="5"/>
      <c r="M1206" s="5"/>
      <c r="N1206" s="28"/>
      <c r="O1206" s="28"/>
      <c r="P1206" s="28"/>
      <c r="Q1206" s="28"/>
      <c r="R1206" s="28"/>
      <c r="S1206" s="28"/>
      <c r="T1206" s="28"/>
      <c r="V1206" s="28"/>
      <c r="W1206" s="5"/>
      <c r="X1206" s="5"/>
      <c r="Z1206" s="28"/>
      <c r="AA1206" s="28"/>
      <c r="AB1206" s="28"/>
      <c r="AC1206" s="28"/>
      <c r="AD1206" s="28"/>
      <c r="AE1206" s="28"/>
      <c r="AF1206" s="28"/>
      <c r="AG1206" s="28"/>
      <c r="AH1206" s="28"/>
      <c r="AI1206" s="28"/>
      <c r="AJ1206" s="28"/>
      <c r="AK1206" s="28"/>
      <c r="AL1206" s="28"/>
      <c r="AM1206" s="28"/>
      <c r="AN1206" s="28"/>
      <c r="AO1206" s="28"/>
      <c r="AP1206" s="28"/>
      <c r="AQ1206" s="28"/>
      <c r="AR1206" s="28"/>
      <c r="AS1206" s="28"/>
      <c r="AT1206" s="5"/>
      <c r="AU1206" s="28"/>
      <c r="AV1206" s="28"/>
      <c r="AX1206" s="28"/>
      <c r="AY1206" s="28"/>
      <c r="BA1206" s="28"/>
      <c r="BB1206" s="28"/>
      <c r="BF1206" s="28"/>
      <c r="BH1206" s="28"/>
      <c r="BI1206" s="28"/>
      <c r="BJ1206" s="38"/>
      <c r="BK1206" s="28"/>
    </row>
    <row r="1207" customFormat="false" ht="15.75" hidden="false" customHeight="false" outlineLevel="0" collapsed="false">
      <c r="A1207" s="28"/>
      <c r="B1207" s="28"/>
      <c r="C1207" s="28"/>
      <c r="D1207" s="5"/>
      <c r="E1207" s="38"/>
      <c r="F1207" s="28"/>
      <c r="G1207" s="28"/>
      <c r="H1207" s="38"/>
      <c r="I1207" s="28"/>
      <c r="J1207" s="40"/>
      <c r="K1207" s="40"/>
      <c r="L1207" s="5"/>
      <c r="M1207" s="5"/>
      <c r="N1207" s="28"/>
      <c r="O1207" s="28"/>
      <c r="P1207" s="28"/>
      <c r="Q1207" s="28"/>
      <c r="R1207" s="28"/>
      <c r="S1207" s="28"/>
      <c r="T1207" s="28"/>
      <c r="V1207" s="28"/>
      <c r="W1207" s="5"/>
      <c r="X1207" s="5"/>
      <c r="Z1207" s="28"/>
      <c r="AA1207" s="28"/>
      <c r="AB1207" s="28"/>
      <c r="AC1207" s="28"/>
      <c r="AD1207" s="28"/>
      <c r="AE1207" s="28"/>
      <c r="AF1207" s="28"/>
      <c r="AG1207" s="28"/>
      <c r="AH1207" s="28"/>
      <c r="AI1207" s="28"/>
      <c r="AJ1207" s="28"/>
      <c r="AK1207" s="28"/>
      <c r="AL1207" s="28"/>
      <c r="AM1207" s="28"/>
      <c r="AN1207" s="28"/>
      <c r="AO1207" s="28"/>
      <c r="AP1207" s="28"/>
      <c r="AQ1207" s="28"/>
      <c r="AR1207" s="28"/>
      <c r="AS1207" s="28"/>
      <c r="AT1207" s="5"/>
      <c r="AU1207" s="28"/>
      <c r="AV1207" s="28"/>
      <c r="AX1207" s="28"/>
      <c r="AY1207" s="28"/>
      <c r="BA1207" s="28"/>
      <c r="BB1207" s="28"/>
      <c r="BF1207" s="28"/>
      <c r="BH1207" s="28"/>
      <c r="BI1207" s="28"/>
      <c r="BJ1207" s="38"/>
      <c r="BK1207" s="28"/>
    </row>
    <row r="1208" customFormat="false" ht="15.75" hidden="false" customHeight="false" outlineLevel="0" collapsed="false">
      <c r="A1208" s="28"/>
      <c r="B1208" s="28"/>
      <c r="C1208" s="28"/>
      <c r="D1208" s="5"/>
      <c r="E1208" s="38"/>
      <c r="F1208" s="28"/>
      <c r="G1208" s="28"/>
      <c r="H1208" s="38"/>
      <c r="I1208" s="28"/>
      <c r="J1208" s="40"/>
      <c r="K1208" s="40"/>
      <c r="L1208" s="5"/>
      <c r="M1208" s="5"/>
      <c r="N1208" s="28"/>
      <c r="O1208" s="28"/>
      <c r="P1208" s="28"/>
      <c r="Q1208" s="28"/>
      <c r="R1208" s="28"/>
      <c r="S1208" s="28"/>
      <c r="T1208" s="28"/>
      <c r="V1208" s="28"/>
      <c r="W1208" s="5"/>
      <c r="X1208" s="5"/>
      <c r="Z1208" s="28"/>
      <c r="AA1208" s="28"/>
      <c r="AB1208" s="28"/>
      <c r="AC1208" s="28"/>
      <c r="AD1208" s="28"/>
      <c r="AE1208" s="28"/>
      <c r="AF1208" s="28"/>
      <c r="AG1208" s="28"/>
      <c r="AH1208" s="28"/>
      <c r="AI1208" s="28"/>
      <c r="AJ1208" s="28"/>
      <c r="AK1208" s="28"/>
      <c r="AL1208" s="28"/>
      <c r="AM1208" s="28"/>
      <c r="AN1208" s="28"/>
      <c r="AO1208" s="28"/>
      <c r="AP1208" s="28"/>
      <c r="AQ1208" s="28"/>
      <c r="AR1208" s="28"/>
      <c r="AS1208" s="28"/>
      <c r="AT1208" s="5"/>
      <c r="AU1208" s="28"/>
      <c r="AV1208" s="28"/>
      <c r="AX1208" s="28"/>
      <c r="AY1208" s="28"/>
      <c r="BA1208" s="28"/>
      <c r="BB1208" s="28"/>
      <c r="BF1208" s="28"/>
      <c r="BH1208" s="28"/>
      <c r="BI1208" s="28"/>
      <c r="BJ1208" s="38"/>
      <c r="BK1208" s="28"/>
    </row>
    <row r="1209" customFormat="false" ht="15.75" hidden="false" customHeight="false" outlineLevel="0" collapsed="false">
      <c r="A1209" s="28"/>
      <c r="B1209" s="28"/>
      <c r="C1209" s="28"/>
      <c r="D1209" s="5"/>
      <c r="E1209" s="38"/>
      <c r="F1209" s="28"/>
      <c r="G1209" s="28"/>
      <c r="H1209" s="38"/>
      <c r="I1209" s="28"/>
      <c r="J1209" s="40"/>
      <c r="K1209" s="40"/>
      <c r="L1209" s="5"/>
      <c r="M1209" s="5"/>
      <c r="N1209" s="28"/>
      <c r="O1209" s="28"/>
      <c r="P1209" s="28"/>
      <c r="Q1209" s="28"/>
      <c r="R1209" s="28"/>
      <c r="S1209" s="28"/>
      <c r="T1209" s="28"/>
      <c r="V1209" s="28"/>
      <c r="W1209" s="5"/>
      <c r="X1209" s="5"/>
      <c r="Z1209" s="28"/>
      <c r="AA1209" s="28"/>
      <c r="AB1209" s="28"/>
      <c r="AC1209" s="28"/>
      <c r="AD1209" s="28"/>
      <c r="AE1209" s="28"/>
      <c r="AF1209" s="28"/>
      <c r="AG1209" s="28"/>
      <c r="AH1209" s="28"/>
      <c r="AI1209" s="28"/>
      <c r="AJ1209" s="28"/>
      <c r="AK1209" s="28"/>
      <c r="AL1209" s="28"/>
      <c r="AM1209" s="28"/>
      <c r="AN1209" s="28"/>
      <c r="AO1209" s="28"/>
      <c r="AP1209" s="28"/>
      <c r="AQ1209" s="28"/>
      <c r="AR1209" s="28"/>
      <c r="AS1209" s="28"/>
      <c r="AT1209" s="5"/>
      <c r="AU1209" s="28"/>
      <c r="AV1209" s="28"/>
      <c r="AX1209" s="28"/>
      <c r="AY1209" s="28"/>
      <c r="BA1209" s="28"/>
      <c r="BB1209" s="28"/>
      <c r="BF1209" s="28"/>
      <c r="BH1209" s="28"/>
      <c r="BI1209" s="28"/>
      <c r="BJ1209" s="38"/>
      <c r="BK1209" s="28"/>
    </row>
    <row r="1210" customFormat="false" ht="15.75" hidden="false" customHeight="false" outlineLevel="0" collapsed="false">
      <c r="A1210" s="28"/>
      <c r="B1210" s="28"/>
      <c r="C1210" s="28"/>
      <c r="D1210" s="5"/>
      <c r="E1210" s="38"/>
      <c r="F1210" s="28"/>
      <c r="G1210" s="28"/>
      <c r="H1210" s="38"/>
      <c r="I1210" s="28"/>
      <c r="J1210" s="40"/>
      <c r="K1210" s="40"/>
      <c r="L1210" s="5"/>
      <c r="M1210" s="5"/>
      <c r="N1210" s="28"/>
      <c r="O1210" s="28"/>
      <c r="P1210" s="28"/>
      <c r="Q1210" s="28"/>
      <c r="R1210" s="28"/>
      <c r="S1210" s="28"/>
      <c r="T1210" s="28"/>
      <c r="V1210" s="28"/>
      <c r="W1210" s="5"/>
      <c r="X1210" s="5"/>
      <c r="Z1210" s="28"/>
      <c r="AA1210" s="28"/>
      <c r="AB1210" s="28"/>
      <c r="AC1210" s="28"/>
      <c r="AD1210" s="28"/>
      <c r="AE1210" s="28"/>
      <c r="AF1210" s="28"/>
      <c r="AG1210" s="28"/>
      <c r="AH1210" s="28"/>
      <c r="AI1210" s="28"/>
      <c r="AJ1210" s="28"/>
      <c r="AK1210" s="28"/>
      <c r="AL1210" s="28"/>
      <c r="AM1210" s="28"/>
      <c r="AN1210" s="28"/>
      <c r="AO1210" s="28"/>
      <c r="AP1210" s="28"/>
      <c r="AQ1210" s="28"/>
      <c r="AR1210" s="28"/>
      <c r="AS1210" s="28"/>
      <c r="AT1210" s="5"/>
      <c r="AU1210" s="28"/>
      <c r="AV1210" s="28"/>
      <c r="AX1210" s="28"/>
      <c r="AY1210" s="28"/>
      <c r="BA1210" s="28"/>
      <c r="BB1210" s="28"/>
      <c r="BF1210" s="28"/>
      <c r="BH1210" s="28"/>
      <c r="BI1210" s="28"/>
      <c r="BJ1210" s="38"/>
      <c r="BK1210" s="28"/>
    </row>
    <row r="1211" customFormat="false" ht="15.75" hidden="false" customHeight="false" outlineLevel="0" collapsed="false">
      <c r="A1211" s="28"/>
      <c r="B1211" s="28"/>
      <c r="C1211" s="28"/>
      <c r="D1211" s="5"/>
      <c r="E1211" s="38"/>
      <c r="F1211" s="28"/>
      <c r="G1211" s="28"/>
      <c r="H1211" s="38"/>
      <c r="I1211" s="28"/>
      <c r="J1211" s="40"/>
      <c r="K1211" s="40"/>
      <c r="L1211" s="5"/>
      <c r="M1211" s="5"/>
      <c r="N1211" s="28"/>
      <c r="O1211" s="28"/>
      <c r="P1211" s="28"/>
      <c r="Q1211" s="28"/>
      <c r="R1211" s="28"/>
      <c r="S1211" s="28"/>
      <c r="T1211" s="28"/>
      <c r="V1211" s="28"/>
      <c r="W1211" s="5"/>
      <c r="X1211" s="5"/>
      <c r="Z1211" s="28"/>
      <c r="AA1211" s="28"/>
      <c r="AB1211" s="28"/>
      <c r="AC1211" s="28"/>
      <c r="AD1211" s="28"/>
      <c r="AE1211" s="28"/>
      <c r="AF1211" s="28"/>
      <c r="AG1211" s="28"/>
      <c r="AH1211" s="28"/>
      <c r="AI1211" s="28"/>
      <c r="AJ1211" s="28"/>
      <c r="AK1211" s="28"/>
      <c r="AL1211" s="28"/>
      <c r="AM1211" s="28"/>
      <c r="AN1211" s="28"/>
      <c r="AO1211" s="28"/>
      <c r="AP1211" s="28"/>
      <c r="AQ1211" s="28"/>
      <c r="AR1211" s="28"/>
      <c r="AS1211" s="28"/>
      <c r="AT1211" s="5"/>
      <c r="AU1211" s="28"/>
      <c r="AV1211" s="28"/>
      <c r="AX1211" s="28"/>
      <c r="AY1211" s="28"/>
      <c r="BA1211" s="28"/>
      <c r="BB1211" s="28"/>
      <c r="BF1211" s="28"/>
      <c r="BH1211" s="28"/>
      <c r="BI1211" s="28"/>
      <c r="BJ1211" s="38"/>
      <c r="BK1211" s="28"/>
    </row>
    <row r="1212" customFormat="false" ht="15.75" hidden="false" customHeight="false" outlineLevel="0" collapsed="false">
      <c r="A1212" s="28"/>
      <c r="B1212" s="28"/>
      <c r="C1212" s="28"/>
      <c r="D1212" s="5"/>
      <c r="E1212" s="38"/>
      <c r="F1212" s="28"/>
      <c r="G1212" s="28"/>
      <c r="H1212" s="38"/>
      <c r="I1212" s="28"/>
      <c r="J1212" s="40"/>
      <c r="K1212" s="40"/>
      <c r="L1212" s="5"/>
      <c r="M1212" s="5"/>
      <c r="N1212" s="28"/>
      <c r="O1212" s="28"/>
      <c r="P1212" s="28"/>
      <c r="Q1212" s="28"/>
      <c r="R1212" s="28"/>
      <c r="S1212" s="28"/>
      <c r="T1212" s="28"/>
      <c r="V1212" s="28"/>
      <c r="W1212" s="5"/>
      <c r="X1212" s="5"/>
      <c r="Z1212" s="28"/>
      <c r="AA1212" s="28"/>
      <c r="AB1212" s="28"/>
      <c r="AC1212" s="28"/>
      <c r="AD1212" s="28"/>
      <c r="AE1212" s="28"/>
      <c r="AF1212" s="28"/>
      <c r="AG1212" s="28"/>
      <c r="AH1212" s="28"/>
      <c r="AI1212" s="28"/>
      <c r="AJ1212" s="28"/>
      <c r="AK1212" s="28"/>
      <c r="AL1212" s="28"/>
      <c r="AM1212" s="28"/>
      <c r="AN1212" s="28"/>
      <c r="AO1212" s="28"/>
      <c r="AP1212" s="28"/>
      <c r="AQ1212" s="28"/>
      <c r="AR1212" s="28"/>
      <c r="AS1212" s="28"/>
      <c r="AT1212" s="5"/>
      <c r="AU1212" s="28"/>
      <c r="AV1212" s="28"/>
      <c r="AX1212" s="28"/>
      <c r="AY1212" s="28"/>
      <c r="BA1212" s="28"/>
      <c r="BB1212" s="28"/>
      <c r="BF1212" s="28"/>
      <c r="BH1212" s="28"/>
      <c r="BI1212" s="28"/>
      <c r="BJ1212" s="38"/>
      <c r="BK1212" s="28"/>
    </row>
    <row r="1213" customFormat="false" ht="15.75" hidden="false" customHeight="false" outlineLevel="0" collapsed="false">
      <c r="A1213" s="28"/>
      <c r="B1213" s="28"/>
      <c r="C1213" s="28"/>
      <c r="D1213" s="5"/>
      <c r="E1213" s="38"/>
      <c r="F1213" s="28"/>
      <c r="G1213" s="28"/>
      <c r="H1213" s="38"/>
      <c r="I1213" s="28"/>
      <c r="J1213" s="40"/>
      <c r="K1213" s="40"/>
      <c r="L1213" s="5"/>
      <c r="M1213" s="5"/>
      <c r="N1213" s="28"/>
      <c r="O1213" s="28"/>
      <c r="P1213" s="28"/>
      <c r="Q1213" s="28"/>
      <c r="R1213" s="28"/>
      <c r="S1213" s="28"/>
      <c r="T1213" s="28"/>
      <c r="V1213" s="28"/>
      <c r="W1213" s="5"/>
      <c r="X1213" s="5"/>
      <c r="Z1213" s="28"/>
      <c r="AA1213" s="28"/>
      <c r="AB1213" s="28"/>
      <c r="AC1213" s="28"/>
      <c r="AD1213" s="28"/>
      <c r="AE1213" s="28"/>
      <c r="AF1213" s="28"/>
      <c r="AG1213" s="28"/>
      <c r="AH1213" s="28"/>
      <c r="AI1213" s="28"/>
      <c r="AJ1213" s="28"/>
      <c r="AK1213" s="28"/>
      <c r="AL1213" s="28"/>
      <c r="AM1213" s="28"/>
      <c r="AN1213" s="28"/>
      <c r="AO1213" s="28"/>
      <c r="AP1213" s="28"/>
      <c r="AQ1213" s="28"/>
      <c r="AR1213" s="28"/>
      <c r="AS1213" s="28"/>
      <c r="AT1213" s="5"/>
      <c r="AU1213" s="28"/>
      <c r="AV1213" s="28"/>
      <c r="AX1213" s="28"/>
      <c r="AY1213" s="28"/>
      <c r="BA1213" s="28"/>
      <c r="BB1213" s="28"/>
      <c r="BF1213" s="28"/>
      <c r="BH1213" s="28"/>
      <c r="BI1213" s="28"/>
      <c r="BJ1213" s="38"/>
      <c r="BK1213" s="28"/>
    </row>
    <row r="1214" customFormat="false" ht="15.75" hidden="false" customHeight="false" outlineLevel="0" collapsed="false">
      <c r="A1214" s="28"/>
      <c r="B1214" s="28"/>
      <c r="C1214" s="28"/>
      <c r="D1214" s="5"/>
      <c r="E1214" s="38"/>
      <c r="F1214" s="28"/>
      <c r="G1214" s="28"/>
      <c r="H1214" s="38"/>
      <c r="I1214" s="28"/>
      <c r="J1214" s="40"/>
      <c r="K1214" s="40"/>
      <c r="L1214" s="5"/>
      <c r="M1214" s="5"/>
      <c r="N1214" s="28"/>
      <c r="O1214" s="28"/>
      <c r="P1214" s="28"/>
      <c r="Q1214" s="28"/>
      <c r="R1214" s="28"/>
      <c r="S1214" s="28"/>
      <c r="T1214" s="28"/>
      <c r="V1214" s="28"/>
      <c r="W1214" s="5"/>
      <c r="X1214" s="5"/>
      <c r="Z1214" s="28"/>
      <c r="AA1214" s="28"/>
      <c r="AB1214" s="28"/>
      <c r="AC1214" s="28"/>
      <c r="AD1214" s="28"/>
      <c r="AE1214" s="28"/>
      <c r="AF1214" s="28"/>
      <c r="AG1214" s="28"/>
      <c r="AH1214" s="28"/>
      <c r="AI1214" s="28"/>
      <c r="AJ1214" s="28"/>
      <c r="AK1214" s="28"/>
      <c r="AL1214" s="28"/>
      <c r="AM1214" s="28"/>
      <c r="AN1214" s="28"/>
      <c r="AO1214" s="28"/>
      <c r="AP1214" s="28"/>
      <c r="AQ1214" s="28"/>
      <c r="AR1214" s="28"/>
      <c r="AS1214" s="28"/>
      <c r="AT1214" s="5"/>
      <c r="AU1214" s="28"/>
      <c r="AV1214" s="28"/>
      <c r="AX1214" s="28"/>
      <c r="AY1214" s="28"/>
      <c r="BA1214" s="28"/>
      <c r="BB1214" s="28"/>
      <c r="BF1214" s="28"/>
      <c r="BH1214" s="28"/>
      <c r="BI1214" s="28"/>
      <c r="BJ1214" s="38"/>
      <c r="BK1214" s="28"/>
    </row>
    <row r="1215" customFormat="false" ht="15.75" hidden="false" customHeight="false" outlineLevel="0" collapsed="false">
      <c r="A1215" s="28"/>
      <c r="B1215" s="28"/>
      <c r="C1215" s="28"/>
      <c r="D1215" s="5"/>
      <c r="E1215" s="38"/>
      <c r="F1215" s="28"/>
      <c r="G1215" s="28"/>
      <c r="H1215" s="38"/>
      <c r="I1215" s="28"/>
      <c r="J1215" s="40"/>
      <c r="K1215" s="40"/>
      <c r="L1215" s="5"/>
      <c r="M1215" s="5"/>
      <c r="N1215" s="28"/>
      <c r="O1215" s="28"/>
      <c r="P1215" s="28"/>
      <c r="Q1215" s="28"/>
      <c r="R1215" s="28"/>
      <c r="S1215" s="28"/>
      <c r="T1215" s="28"/>
      <c r="V1215" s="28"/>
      <c r="W1215" s="5"/>
      <c r="X1215" s="5"/>
      <c r="Z1215" s="28"/>
      <c r="AA1215" s="28"/>
      <c r="AB1215" s="28"/>
      <c r="AC1215" s="28"/>
      <c r="AD1215" s="28"/>
      <c r="AE1215" s="28"/>
      <c r="AF1215" s="28"/>
      <c r="AG1215" s="28"/>
      <c r="AH1215" s="28"/>
      <c r="AI1215" s="28"/>
      <c r="AJ1215" s="28"/>
      <c r="AK1215" s="28"/>
      <c r="AL1215" s="28"/>
      <c r="AM1215" s="28"/>
      <c r="AN1215" s="28"/>
      <c r="AO1215" s="28"/>
      <c r="AP1215" s="28"/>
      <c r="AQ1215" s="28"/>
      <c r="AR1215" s="28"/>
      <c r="AS1215" s="28"/>
      <c r="AT1215" s="5"/>
      <c r="AU1215" s="28"/>
      <c r="AV1215" s="28"/>
      <c r="AX1215" s="28"/>
      <c r="AY1215" s="28"/>
      <c r="BA1215" s="28"/>
      <c r="BB1215" s="28"/>
      <c r="BF1215" s="28"/>
      <c r="BH1215" s="28"/>
      <c r="BI1215" s="28"/>
      <c r="BJ1215" s="38"/>
      <c r="BK1215" s="28"/>
    </row>
    <row r="1216" customFormat="false" ht="15.75" hidden="false" customHeight="false" outlineLevel="0" collapsed="false">
      <c r="A1216" s="28"/>
      <c r="B1216" s="28"/>
      <c r="C1216" s="28"/>
      <c r="D1216" s="5"/>
      <c r="E1216" s="38"/>
      <c r="F1216" s="28"/>
      <c r="G1216" s="28"/>
      <c r="H1216" s="38"/>
      <c r="I1216" s="28"/>
      <c r="J1216" s="40"/>
      <c r="K1216" s="40"/>
      <c r="L1216" s="5"/>
      <c r="M1216" s="5"/>
      <c r="N1216" s="28"/>
      <c r="O1216" s="28"/>
      <c r="P1216" s="28"/>
      <c r="Q1216" s="28"/>
      <c r="R1216" s="28"/>
      <c r="S1216" s="28"/>
      <c r="T1216" s="28"/>
      <c r="V1216" s="28"/>
      <c r="W1216" s="5"/>
      <c r="X1216" s="5"/>
      <c r="Z1216" s="28"/>
      <c r="AA1216" s="28"/>
      <c r="AB1216" s="28"/>
      <c r="AC1216" s="28"/>
      <c r="AD1216" s="28"/>
      <c r="AE1216" s="28"/>
      <c r="AF1216" s="28"/>
      <c r="AG1216" s="28"/>
      <c r="AH1216" s="28"/>
      <c r="AI1216" s="28"/>
      <c r="AJ1216" s="28"/>
      <c r="AK1216" s="28"/>
      <c r="AL1216" s="28"/>
      <c r="AM1216" s="28"/>
      <c r="AN1216" s="28"/>
      <c r="AO1216" s="28"/>
      <c r="AP1216" s="28"/>
      <c r="AQ1216" s="28"/>
      <c r="AR1216" s="28"/>
      <c r="AS1216" s="28"/>
      <c r="AT1216" s="5"/>
      <c r="AU1216" s="28"/>
      <c r="AV1216" s="28"/>
      <c r="AX1216" s="28"/>
      <c r="AY1216" s="28"/>
      <c r="BA1216" s="28"/>
      <c r="BB1216" s="28"/>
      <c r="BF1216" s="28"/>
      <c r="BH1216" s="28"/>
      <c r="BI1216" s="28"/>
      <c r="BJ1216" s="38"/>
      <c r="BK1216" s="28"/>
    </row>
    <row r="1217" customFormat="false" ht="15.75" hidden="false" customHeight="false" outlineLevel="0" collapsed="false">
      <c r="A1217" s="28"/>
      <c r="B1217" s="28"/>
      <c r="C1217" s="28"/>
      <c r="D1217" s="5"/>
      <c r="E1217" s="38"/>
      <c r="F1217" s="28"/>
      <c r="G1217" s="28"/>
      <c r="H1217" s="38"/>
      <c r="I1217" s="28"/>
      <c r="J1217" s="40"/>
      <c r="K1217" s="40"/>
      <c r="L1217" s="5"/>
      <c r="M1217" s="5"/>
      <c r="N1217" s="28"/>
      <c r="O1217" s="28"/>
      <c r="P1217" s="28"/>
      <c r="Q1217" s="28"/>
      <c r="R1217" s="28"/>
      <c r="S1217" s="28"/>
      <c r="T1217" s="28"/>
      <c r="V1217" s="28"/>
      <c r="W1217" s="5"/>
      <c r="X1217" s="5"/>
      <c r="Z1217" s="28"/>
      <c r="AA1217" s="28"/>
      <c r="AB1217" s="28"/>
      <c r="AC1217" s="28"/>
      <c r="AD1217" s="28"/>
      <c r="AE1217" s="28"/>
      <c r="AF1217" s="28"/>
      <c r="AG1217" s="28"/>
      <c r="AH1217" s="28"/>
      <c r="AI1217" s="28"/>
      <c r="AJ1217" s="28"/>
      <c r="AK1217" s="28"/>
      <c r="AL1217" s="28"/>
      <c r="AM1217" s="28"/>
      <c r="AN1217" s="28"/>
      <c r="AO1217" s="28"/>
      <c r="AP1217" s="28"/>
      <c r="AQ1217" s="28"/>
      <c r="AR1217" s="28"/>
      <c r="AS1217" s="28"/>
      <c r="AT1217" s="5"/>
      <c r="AU1217" s="28"/>
      <c r="AV1217" s="28"/>
      <c r="AX1217" s="28"/>
      <c r="AY1217" s="28"/>
      <c r="BA1217" s="28"/>
      <c r="BB1217" s="28"/>
      <c r="BF1217" s="28"/>
      <c r="BH1217" s="28"/>
      <c r="BI1217" s="28"/>
      <c r="BJ1217" s="38"/>
      <c r="BK1217" s="28"/>
    </row>
    <row r="1218" customFormat="false" ht="15.75" hidden="false" customHeight="false" outlineLevel="0" collapsed="false">
      <c r="A1218" s="28"/>
      <c r="B1218" s="28"/>
      <c r="C1218" s="28"/>
      <c r="D1218" s="5"/>
      <c r="E1218" s="38"/>
      <c r="F1218" s="28"/>
      <c r="G1218" s="28"/>
      <c r="H1218" s="38"/>
      <c r="I1218" s="28"/>
      <c r="J1218" s="40"/>
      <c r="K1218" s="40"/>
      <c r="L1218" s="5"/>
      <c r="M1218" s="5"/>
      <c r="N1218" s="28"/>
      <c r="O1218" s="28"/>
      <c r="P1218" s="28"/>
      <c r="Q1218" s="28"/>
      <c r="R1218" s="28"/>
      <c r="S1218" s="28"/>
      <c r="T1218" s="28"/>
      <c r="V1218" s="28"/>
      <c r="W1218" s="5"/>
      <c r="X1218" s="5"/>
      <c r="Z1218" s="28"/>
      <c r="AA1218" s="28"/>
      <c r="AB1218" s="28"/>
      <c r="AC1218" s="28"/>
      <c r="AD1218" s="28"/>
      <c r="AE1218" s="28"/>
      <c r="AF1218" s="28"/>
      <c r="AG1218" s="28"/>
      <c r="AH1218" s="28"/>
      <c r="AI1218" s="28"/>
      <c r="AJ1218" s="28"/>
      <c r="AK1218" s="28"/>
      <c r="AL1218" s="28"/>
      <c r="AM1218" s="28"/>
      <c r="AN1218" s="28"/>
      <c r="AO1218" s="28"/>
      <c r="AP1218" s="28"/>
      <c r="AQ1218" s="28"/>
      <c r="AR1218" s="28"/>
      <c r="AS1218" s="28"/>
      <c r="AT1218" s="5"/>
      <c r="AU1218" s="28"/>
      <c r="AV1218" s="28"/>
      <c r="AX1218" s="28"/>
      <c r="AY1218" s="28"/>
      <c r="BA1218" s="28"/>
      <c r="BB1218" s="28"/>
      <c r="BF1218" s="28"/>
      <c r="BH1218" s="28"/>
      <c r="BI1218" s="28"/>
      <c r="BJ1218" s="38"/>
      <c r="BK1218" s="28"/>
    </row>
    <row r="1219" customFormat="false" ht="15.75" hidden="false" customHeight="false" outlineLevel="0" collapsed="false">
      <c r="A1219" s="28"/>
      <c r="B1219" s="28"/>
      <c r="C1219" s="28"/>
      <c r="D1219" s="5"/>
      <c r="E1219" s="38"/>
      <c r="F1219" s="28"/>
      <c r="G1219" s="28"/>
      <c r="H1219" s="38"/>
      <c r="I1219" s="28"/>
      <c r="J1219" s="40"/>
      <c r="K1219" s="40"/>
      <c r="L1219" s="5"/>
      <c r="M1219" s="5"/>
      <c r="N1219" s="28"/>
      <c r="O1219" s="28"/>
      <c r="P1219" s="28"/>
      <c r="Q1219" s="28"/>
      <c r="R1219" s="28"/>
      <c r="S1219" s="28"/>
      <c r="T1219" s="28"/>
      <c r="V1219" s="28"/>
      <c r="W1219" s="5"/>
      <c r="X1219" s="5"/>
      <c r="Z1219" s="28"/>
      <c r="AA1219" s="28"/>
      <c r="AB1219" s="28"/>
      <c r="AC1219" s="28"/>
      <c r="AD1219" s="28"/>
      <c r="AE1219" s="28"/>
      <c r="AF1219" s="28"/>
      <c r="AG1219" s="28"/>
      <c r="AH1219" s="28"/>
      <c r="AI1219" s="28"/>
      <c r="AJ1219" s="28"/>
      <c r="AK1219" s="28"/>
      <c r="AL1219" s="28"/>
      <c r="AM1219" s="28"/>
      <c r="AN1219" s="28"/>
      <c r="AO1219" s="28"/>
      <c r="AP1219" s="28"/>
      <c r="AQ1219" s="28"/>
      <c r="AR1219" s="28"/>
      <c r="AS1219" s="28"/>
      <c r="AT1219" s="5"/>
      <c r="AU1219" s="28"/>
      <c r="AV1219" s="28"/>
      <c r="AX1219" s="28"/>
      <c r="AY1219" s="28"/>
      <c r="BA1219" s="28"/>
      <c r="BB1219" s="28"/>
      <c r="BF1219" s="28"/>
      <c r="BH1219" s="28"/>
      <c r="BI1219" s="28"/>
      <c r="BJ1219" s="38"/>
      <c r="BK1219" s="28"/>
    </row>
    <row r="1220" customFormat="false" ht="15.75" hidden="false" customHeight="false" outlineLevel="0" collapsed="false">
      <c r="A1220" s="28"/>
      <c r="B1220" s="28"/>
      <c r="C1220" s="28"/>
      <c r="D1220" s="5"/>
      <c r="E1220" s="38"/>
      <c r="F1220" s="28"/>
      <c r="G1220" s="28"/>
      <c r="H1220" s="38"/>
      <c r="I1220" s="28"/>
      <c r="J1220" s="40"/>
      <c r="K1220" s="40"/>
      <c r="L1220" s="5"/>
      <c r="M1220" s="5"/>
      <c r="N1220" s="28"/>
      <c r="O1220" s="28"/>
      <c r="P1220" s="28"/>
      <c r="Q1220" s="28"/>
      <c r="R1220" s="28"/>
      <c r="S1220" s="28"/>
      <c r="T1220" s="28"/>
      <c r="V1220" s="28"/>
      <c r="W1220" s="5"/>
      <c r="X1220" s="5"/>
      <c r="Z1220" s="28"/>
      <c r="AA1220" s="28"/>
      <c r="AB1220" s="28"/>
      <c r="AC1220" s="28"/>
      <c r="AD1220" s="28"/>
      <c r="AE1220" s="28"/>
      <c r="AF1220" s="28"/>
      <c r="AG1220" s="28"/>
      <c r="AH1220" s="28"/>
      <c r="AI1220" s="28"/>
      <c r="AJ1220" s="28"/>
      <c r="AK1220" s="28"/>
      <c r="AL1220" s="28"/>
      <c r="AM1220" s="28"/>
      <c r="AN1220" s="28"/>
      <c r="AO1220" s="28"/>
      <c r="AP1220" s="28"/>
      <c r="AQ1220" s="28"/>
      <c r="AR1220" s="28"/>
      <c r="AS1220" s="28"/>
      <c r="AT1220" s="5"/>
      <c r="AU1220" s="28"/>
      <c r="AV1220" s="28"/>
      <c r="AX1220" s="28"/>
      <c r="AY1220" s="28"/>
      <c r="BA1220" s="28"/>
      <c r="BB1220" s="28"/>
      <c r="BF1220" s="28"/>
      <c r="BH1220" s="28"/>
      <c r="BI1220" s="28"/>
      <c r="BJ1220" s="38"/>
      <c r="BK1220" s="28"/>
    </row>
    <row r="1221" customFormat="false" ht="15.75" hidden="false" customHeight="false" outlineLevel="0" collapsed="false">
      <c r="A1221" s="28"/>
      <c r="B1221" s="28"/>
      <c r="C1221" s="28"/>
      <c r="D1221" s="5"/>
      <c r="E1221" s="38"/>
      <c r="F1221" s="28"/>
      <c r="G1221" s="28"/>
      <c r="H1221" s="38"/>
      <c r="I1221" s="28"/>
      <c r="J1221" s="40"/>
      <c r="K1221" s="40"/>
      <c r="L1221" s="5"/>
      <c r="M1221" s="5"/>
      <c r="N1221" s="28"/>
      <c r="O1221" s="28"/>
      <c r="P1221" s="28"/>
      <c r="Q1221" s="28"/>
      <c r="R1221" s="28"/>
      <c r="S1221" s="28"/>
      <c r="T1221" s="28"/>
      <c r="V1221" s="28"/>
      <c r="W1221" s="5"/>
      <c r="X1221" s="5"/>
      <c r="Z1221" s="28"/>
      <c r="AA1221" s="28"/>
      <c r="AB1221" s="28"/>
      <c r="AC1221" s="28"/>
      <c r="AD1221" s="28"/>
      <c r="AE1221" s="28"/>
      <c r="AF1221" s="28"/>
      <c r="AG1221" s="28"/>
      <c r="AH1221" s="28"/>
      <c r="AI1221" s="28"/>
      <c r="AJ1221" s="28"/>
      <c r="AK1221" s="28"/>
      <c r="AL1221" s="28"/>
      <c r="AM1221" s="28"/>
      <c r="AN1221" s="28"/>
      <c r="AO1221" s="28"/>
      <c r="AP1221" s="28"/>
      <c r="AQ1221" s="28"/>
      <c r="AR1221" s="28"/>
      <c r="AS1221" s="28"/>
      <c r="AT1221" s="5"/>
      <c r="AU1221" s="28"/>
      <c r="AV1221" s="28"/>
      <c r="AX1221" s="28"/>
      <c r="AY1221" s="28"/>
      <c r="BA1221" s="28"/>
      <c r="BB1221" s="28"/>
      <c r="BF1221" s="28"/>
      <c r="BH1221" s="28"/>
      <c r="BI1221" s="28"/>
      <c r="BJ1221" s="38"/>
      <c r="BK1221" s="28"/>
    </row>
    <row r="1222" customFormat="false" ht="15.75" hidden="false" customHeight="false" outlineLevel="0" collapsed="false">
      <c r="A1222" s="28"/>
      <c r="B1222" s="28"/>
      <c r="C1222" s="28"/>
      <c r="D1222" s="5"/>
      <c r="E1222" s="38"/>
      <c r="F1222" s="28"/>
      <c r="G1222" s="28"/>
      <c r="H1222" s="38"/>
      <c r="I1222" s="28"/>
      <c r="J1222" s="40"/>
      <c r="K1222" s="40"/>
      <c r="L1222" s="5"/>
      <c r="M1222" s="5"/>
      <c r="N1222" s="28"/>
      <c r="O1222" s="28"/>
      <c r="P1222" s="28"/>
      <c r="Q1222" s="28"/>
      <c r="R1222" s="28"/>
      <c r="S1222" s="28"/>
      <c r="T1222" s="28"/>
      <c r="V1222" s="28"/>
      <c r="W1222" s="5"/>
      <c r="X1222" s="5"/>
      <c r="Z1222" s="28"/>
      <c r="AA1222" s="28"/>
      <c r="AB1222" s="28"/>
      <c r="AC1222" s="28"/>
      <c r="AD1222" s="28"/>
      <c r="AE1222" s="28"/>
      <c r="AF1222" s="28"/>
      <c r="AG1222" s="28"/>
      <c r="AH1222" s="28"/>
      <c r="AI1222" s="28"/>
      <c r="AJ1222" s="28"/>
      <c r="AK1222" s="28"/>
      <c r="AL1222" s="28"/>
      <c r="AM1222" s="28"/>
      <c r="AN1222" s="28"/>
      <c r="AO1222" s="28"/>
      <c r="AP1222" s="28"/>
      <c r="AQ1222" s="28"/>
      <c r="AR1222" s="28"/>
      <c r="AS1222" s="28"/>
      <c r="AT1222" s="5"/>
      <c r="AU1222" s="28"/>
      <c r="AV1222" s="28"/>
      <c r="AX1222" s="28"/>
      <c r="AY1222" s="28"/>
      <c r="BA1222" s="28"/>
      <c r="BB1222" s="28"/>
      <c r="BF1222" s="28"/>
      <c r="BH1222" s="28"/>
      <c r="BI1222" s="28"/>
      <c r="BJ1222" s="38"/>
      <c r="BK1222" s="28"/>
    </row>
    <row r="1223" customFormat="false" ht="15.75" hidden="false" customHeight="false" outlineLevel="0" collapsed="false">
      <c r="A1223" s="28"/>
      <c r="B1223" s="28"/>
      <c r="C1223" s="28"/>
      <c r="D1223" s="5"/>
      <c r="E1223" s="38"/>
      <c r="F1223" s="28"/>
      <c r="G1223" s="28"/>
      <c r="H1223" s="38"/>
      <c r="I1223" s="28"/>
      <c r="J1223" s="40"/>
      <c r="K1223" s="40"/>
      <c r="L1223" s="5"/>
      <c r="M1223" s="5"/>
      <c r="N1223" s="28"/>
      <c r="O1223" s="28"/>
      <c r="P1223" s="28"/>
      <c r="Q1223" s="28"/>
      <c r="R1223" s="28"/>
      <c r="S1223" s="28"/>
      <c r="T1223" s="28"/>
      <c r="V1223" s="28"/>
      <c r="W1223" s="5"/>
      <c r="X1223" s="5"/>
      <c r="Z1223" s="28"/>
      <c r="AA1223" s="28"/>
      <c r="AB1223" s="28"/>
      <c r="AC1223" s="28"/>
      <c r="AD1223" s="28"/>
      <c r="AE1223" s="28"/>
      <c r="AF1223" s="28"/>
      <c r="AG1223" s="28"/>
      <c r="AH1223" s="28"/>
      <c r="AI1223" s="28"/>
      <c r="AJ1223" s="28"/>
      <c r="AK1223" s="28"/>
      <c r="AL1223" s="28"/>
      <c r="AM1223" s="28"/>
      <c r="AN1223" s="28"/>
      <c r="AO1223" s="28"/>
      <c r="AP1223" s="28"/>
      <c r="AQ1223" s="28"/>
      <c r="AR1223" s="28"/>
      <c r="AS1223" s="28"/>
      <c r="AT1223" s="5"/>
      <c r="AU1223" s="28"/>
      <c r="AV1223" s="28"/>
      <c r="AX1223" s="28"/>
      <c r="AY1223" s="28"/>
      <c r="BA1223" s="28"/>
      <c r="BB1223" s="28"/>
      <c r="BF1223" s="28"/>
      <c r="BH1223" s="28"/>
      <c r="BI1223" s="28"/>
      <c r="BJ1223" s="38"/>
      <c r="BK1223" s="28"/>
    </row>
    <row r="1224" customFormat="false" ht="15.75" hidden="false" customHeight="false" outlineLevel="0" collapsed="false">
      <c r="A1224" s="28"/>
      <c r="B1224" s="28"/>
      <c r="C1224" s="28"/>
      <c r="D1224" s="5"/>
      <c r="E1224" s="38"/>
      <c r="F1224" s="28"/>
      <c r="G1224" s="28"/>
      <c r="H1224" s="38"/>
      <c r="I1224" s="28"/>
      <c r="J1224" s="40"/>
      <c r="K1224" s="40"/>
      <c r="L1224" s="5"/>
      <c r="M1224" s="5"/>
      <c r="N1224" s="28"/>
      <c r="O1224" s="28"/>
      <c r="P1224" s="28"/>
      <c r="Q1224" s="28"/>
      <c r="R1224" s="28"/>
      <c r="S1224" s="28"/>
      <c r="T1224" s="28"/>
      <c r="V1224" s="28"/>
      <c r="W1224" s="5"/>
      <c r="X1224" s="5"/>
      <c r="Z1224" s="28"/>
      <c r="AA1224" s="28"/>
      <c r="AB1224" s="28"/>
      <c r="AC1224" s="28"/>
      <c r="AD1224" s="28"/>
      <c r="AE1224" s="28"/>
      <c r="AF1224" s="28"/>
      <c r="AG1224" s="28"/>
      <c r="AH1224" s="28"/>
      <c r="AI1224" s="28"/>
      <c r="AJ1224" s="28"/>
      <c r="AK1224" s="28"/>
      <c r="AL1224" s="28"/>
      <c r="AM1224" s="28"/>
      <c r="AN1224" s="28"/>
      <c r="AO1224" s="28"/>
      <c r="AP1224" s="28"/>
      <c r="AQ1224" s="28"/>
      <c r="AR1224" s="28"/>
      <c r="AS1224" s="28"/>
      <c r="AT1224" s="5"/>
      <c r="AU1224" s="28"/>
      <c r="AV1224" s="28"/>
      <c r="AX1224" s="28"/>
      <c r="AY1224" s="28"/>
      <c r="BA1224" s="28"/>
      <c r="BB1224" s="28"/>
      <c r="BF1224" s="28"/>
      <c r="BH1224" s="28"/>
      <c r="BI1224" s="28"/>
      <c r="BJ1224" s="38"/>
      <c r="BK1224" s="28"/>
    </row>
    <row r="1225" customFormat="false" ht="15.75" hidden="false" customHeight="false" outlineLevel="0" collapsed="false">
      <c r="A1225" s="28"/>
      <c r="B1225" s="28"/>
      <c r="C1225" s="28"/>
      <c r="D1225" s="5"/>
      <c r="E1225" s="38"/>
      <c r="F1225" s="28"/>
      <c r="G1225" s="28"/>
      <c r="H1225" s="38"/>
      <c r="I1225" s="28"/>
      <c r="J1225" s="40"/>
      <c r="K1225" s="40"/>
      <c r="L1225" s="5"/>
      <c r="M1225" s="5"/>
      <c r="N1225" s="28"/>
      <c r="O1225" s="28"/>
      <c r="P1225" s="28"/>
      <c r="Q1225" s="28"/>
      <c r="R1225" s="28"/>
      <c r="S1225" s="28"/>
      <c r="T1225" s="28"/>
      <c r="V1225" s="28"/>
      <c r="W1225" s="5"/>
      <c r="X1225" s="5"/>
      <c r="Z1225" s="28"/>
      <c r="AA1225" s="28"/>
      <c r="AB1225" s="28"/>
      <c r="AC1225" s="28"/>
      <c r="AD1225" s="28"/>
      <c r="AE1225" s="28"/>
      <c r="AF1225" s="28"/>
      <c r="AG1225" s="28"/>
      <c r="AH1225" s="28"/>
      <c r="AI1225" s="28"/>
      <c r="AJ1225" s="28"/>
      <c r="AK1225" s="28"/>
      <c r="AL1225" s="28"/>
      <c r="AM1225" s="28"/>
      <c r="AN1225" s="28"/>
      <c r="AO1225" s="28"/>
      <c r="AP1225" s="28"/>
      <c r="AQ1225" s="28"/>
      <c r="AR1225" s="28"/>
      <c r="AS1225" s="28"/>
      <c r="AT1225" s="5"/>
      <c r="AU1225" s="28"/>
      <c r="AV1225" s="28"/>
      <c r="AX1225" s="28"/>
      <c r="AY1225" s="28"/>
      <c r="BA1225" s="28"/>
      <c r="BB1225" s="28"/>
      <c r="BF1225" s="28"/>
      <c r="BH1225" s="28"/>
      <c r="BI1225" s="28"/>
      <c r="BJ1225" s="38"/>
      <c r="BK1225" s="28"/>
    </row>
    <row r="1226" customFormat="false" ht="15.75" hidden="false" customHeight="false" outlineLevel="0" collapsed="false">
      <c r="A1226" s="28"/>
      <c r="B1226" s="28"/>
      <c r="C1226" s="28"/>
      <c r="D1226" s="5"/>
      <c r="E1226" s="38"/>
      <c r="F1226" s="28"/>
      <c r="G1226" s="28"/>
      <c r="H1226" s="38"/>
      <c r="I1226" s="28"/>
      <c r="J1226" s="40"/>
      <c r="K1226" s="40"/>
      <c r="L1226" s="5"/>
      <c r="M1226" s="5"/>
      <c r="N1226" s="28"/>
      <c r="O1226" s="28"/>
      <c r="P1226" s="28"/>
      <c r="Q1226" s="28"/>
      <c r="R1226" s="28"/>
      <c r="S1226" s="28"/>
      <c r="T1226" s="28"/>
      <c r="V1226" s="28"/>
      <c r="W1226" s="5"/>
      <c r="X1226" s="5"/>
      <c r="Z1226" s="28"/>
      <c r="AA1226" s="28"/>
      <c r="AB1226" s="28"/>
      <c r="AC1226" s="28"/>
      <c r="AD1226" s="28"/>
      <c r="AE1226" s="28"/>
      <c r="AF1226" s="28"/>
      <c r="AG1226" s="28"/>
      <c r="AH1226" s="28"/>
      <c r="AI1226" s="28"/>
      <c r="AJ1226" s="28"/>
      <c r="AK1226" s="28"/>
      <c r="AL1226" s="28"/>
      <c r="AM1226" s="28"/>
      <c r="AN1226" s="28"/>
      <c r="AO1226" s="28"/>
      <c r="AP1226" s="28"/>
      <c r="AQ1226" s="28"/>
      <c r="AR1226" s="28"/>
      <c r="AS1226" s="28"/>
      <c r="AT1226" s="5"/>
      <c r="AU1226" s="28"/>
      <c r="AV1226" s="28"/>
      <c r="AX1226" s="28"/>
      <c r="AY1226" s="28"/>
      <c r="BA1226" s="28"/>
      <c r="BB1226" s="28"/>
      <c r="BF1226" s="28"/>
      <c r="BH1226" s="28"/>
      <c r="BI1226" s="28"/>
      <c r="BJ1226" s="38"/>
      <c r="BK1226" s="28"/>
    </row>
    <row r="1227" customFormat="false" ht="15.75" hidden="false" customHeight="false" outlineLevel="0" collapsed="false">
      <c r="A1227" s="28"/>
      <c r="B1227" s="28"/>
      <c r="C1227" s="28"/>
      <c r="D1227" s="5"/>
      <c r="E1227" s="38"/>
      <c r="F1227" s="28"/>
      <c r="G1227" s="28"/>
      <c r="H1227" s="38"/>
      <c r="I1227" s="28"/>
      <c r="J1227" s="40"/>
      <c r="K1227" s="40"/>
      <c r="L1227" s="5"/>
      <c r="M1227" s="5"/>
      <c r="N1227" s="28"/>
      <c r="O1227" s="28"/>
      <c r="P1227" s="28"/>
      <c r="Q1227" s="28"/>
      <c r="R1227" s="28"/>
      <c r="S1227" s="28"/>
      <c r="T1227" s="28"/>
      <c r="V1227" s="28"/>
      <c r="W1227" s="5"/>
      <c r="X1227" s="5"/>
      <c r="Z1227" s="28"/>
      <c r="AA1227" s="28"/>
      <c r="AB1227" s="28"/>
      <c r="AC1227" s="28"/>
      <c r="AD1227" s="28"/>
      <c r="AE1227" s="28"/>
      <c r="AF1227" s="28"/>
      <c r="AG1227" s="28"/>
      <c r="AH1227" s="28"/>
      <c r="AI1227" s="28"/>
      <c r="AJ1227" s="28"/>
      <c r="AK1227" s="28"/>
      <c r="AL1227" s="28"/>
      <c r="AM1227" s="28"/>
      <c r="AN1227" s="28"/>
      <c r="AO1227" s="28"/>
      <c r="AP1227" s="28"/>
      <c r="AQ1227" s="28"/>
      <c r="AR1227" s="28"/>
      <c r="AS1227" s="28"/>
      <c r="AT1227" s="5"/>
      <c r="AU1227" s="28"/>
      <c r="AV1227" s="28"/>
      <c r="AX1227" s="28"/>
      <c r="AY1227" s="28"/>
      <c r="BA1227" s="28"/>
      <c r="BB1227" s="28"/>
      <c r="BF1227" s="28"/>
      <c r="BH1227" s="28"/>
      <c r="BI1227" s="28"/>
      <c r="BJ1227" s="38"/>
      <c r="BK1227" s="28"/>
    </row>
    <row r="1228" customFormat="false" ht="15.75" hidden="false" customHeight="false" outlineLevel="0" collapsed="false">
      <c r="A1228" s="28"/>
      <c r="B1228" s="28"/>
      <c r="C1228" s="28"/>
      <c r="D1228" s="5"/>
      <c r="E1228" s="38"/>
      <c r="F1228" s="28"/>
      <c r="G1228" s="28"/>
      <c r="H1228" s="38"/>
      <c r="I1228" s="28"/>
      <c r="J1228" s="40"/>
      <c r="K1228" s="40"/>
      <c r="L1228" s="5"/>
      <c r="M1228" s="5"/>
      <c r="N1228" s="28"/>
      <c r="O1228" s="28"/>
      <c r="P1228" s="28"/>
      <c r="Q1228" s="28"/>
      <c r="R1228" s="28"/>
      <c r="S1228" s="28"/>
      <c r="T1228" s="28"/>
      <c r="V1228" s="28"/>
      <c r="W1228" s="5"/>
      <c r="X1228" s="5"/>
      <c r="Z1228" s="28"/>
      <c r="AA1228" s="28"/>
      <c r="AB1228" s="28"/>
      <c r="AC1228" s="28"/>
      <c r="AD1228" s="28"/>
      <c r="AE1228" s="28"/>
      <c r="AF1228" s="28"/>
      <c r="AG1228" s="28"/>
      <c r="AH1228" s="28"/>
      <c r="AI1228" s="28"/>
      <c r="AJ1228" s="28"/>
      <c r="AK1228" s="28"/>
      <c r="AL1228" s="28"/>
      <c r="AM1228" s="28"/>
      <c r="AN1228" s="28"/>
      <c r="AO1228" s="28"/>
      <c r="AP1228" s="28"/>
      <c r="AQ1228" s="28"/>
      <c r="AR1228" s="28"/>
      <c r="AS1228" s="28"/>
      <c r="AT1228" s="5"/>
      <c r="AU1228" s="28"/>
      <c r="AV1228" s="28"/>
      <c r="AX1228" s="28"/>
      <c r="AY1228" s="28"/>
      <c r="BA1228" s="28"/>
      <c r="BB1228" s="28"/>
      <c r="BF1228" s="28"/>
      <c r="BH1228" s="28"/>
      <c r="BI1228" s="28"/>
      <c r="BJ1228" s="38"/>
      <c r="BK1228" s="28"/>
    </row>
    <row r="1229" customFormat="false" ht="15.75" hidden="false" customHeight="false" outlineLevel="0" collapsed="false">
      <c r="A1229" s="28"/>
      <c r="B1229" s="28"/>
      <c r="C1229" s="28"/>
      <c r="D1229" s="5"/>
      <c r="E1229" s="38"/>
      <c r="F1229" s="28"/>
      <c r="G1229" s="28"/>
      <c r="H1229" s="38"/>
      <c r="I1229" s="28"/>
      <c r="J1229" s="40"/>
      <c r="K1229" s="40"/>
      <c r="L1229" s="5"/>
      <c r="M1229" s="5"/>
      <c r="N1229" s="28"/>
      <c r="O1229" s="28"/>
      <c r="P1229" s="28"/>
      <c r="Q1229" s="28"/>
      <c r="R1229" s="28"/>
      <c r="S1229" s="28"/>
      <c r="T1229" s="28"/>
      <c r="V1229" s="28"/>
      <c r="W1229" s="5"/>
      <c r="X1229" s="5"/>
      <c r="Z1229" s="28"/>
      <c r="AA1229" s="28"/>
      <c r="AB1229" s="28"/>
      <c r="AC1229" s="28"/>
      <c r="AD1229" s="28"/>
      <c r="AE1229" s="28"/>
      <c r="AF1229" s="28"/>
      <c r="AG1229" s="28"/>
      <c r="AH1229" s="28"/>
      <c r="AI1229" s="28"/>
      <c r="AJ1229" s="28"/>
      <c r="AK1229" s="28"/>
      <c r="AL1229" s="28"/>
      <c r="AM1229" s="28"/>
      <c r="AN1229" s="28"/>
      <c r="AO1229" s="28"/>
      <c r="AP1229" s="28"/>
      <c r="AQ1229" s="28"/>
      <c r="AR1229" s="28"/>
      <c r="AS1229" s="28"/>
      <c r="AT1229" s="5"/>
      <c r="AU1229" s="28"/>
      <c r="AV1229" s="28"/>
      <c r="AX1229" s="28"/>
      <c r="AY1229" s="28"/>
      <c r="BA1229" s="28"/>
      <c r="BB1229" s="28"/>
      <c r="BF1229" s="28"/>
      <c r="BH1229" s="28"/>
      <c r="BI1229" s="28"/>
      <c r="BJ1229" s="38"/>
      <c r="BK1229" s="28"/>
    </row>
    <row r="1230" customFormat="false" ht="15.75" hidden="false" customHeight="false" outlineLevel="0" collapsed="false">
      <c r="A1230" s="28"/>
      <c r="B1230" s="28"/>
      <c r="C1230" s="28"/>
      <c r="D1230" s="5"/>
      <c r="E1230" s="38"/>
      <c r="F1230" s="28"/>
      <c r="G1230" s="28"/>
      <c r="H1230" s="38"/>
      <c r="I1230" s="28"/>
      <c r="J1230" s="40"/>
      <c r="K1230" s="40"/>
      <c r="L1230" s="5"/>
      <c r="M1230" s="5"/>
      <c r="N1230" s="28"/>
      <c r="O1230" s="28"/>
      <c r="P1230" s="28"/>
      <c r="Q1230" s="28"/>
      <c r="R1230" s="28"/>
      <c r="S1230" s="28"/>
      <c r="T1230" s="28"/>
      <c r="V1230" s="28"/>
      <c r="W1230" s="5"/>
      <c r="X1230" s="5"/>
      <c r="Z1230" s="28"/>
      <c r="AA1230" s="28"/>
      <c r="AB1230" s="28"/>
      <c r="AC1230" s="28"/>
      <c r="AD1230" s="28"/>
      <c r="AE1230" s="28"/>
      <c r="AF1230" s="28"/>
      <c r="AG1230" s="28"/>
      <c r="AH1230" s="28"/>
      <c r="AI1230" s="28"/>
      <c r="AJ1230" s="28"/>
      <c r="AK1230" s="28"/>
      <c r="AL1230" s="28"/>
      <c r="AM1230" s="28"/>
      <c r="AN1230" s="28"/>
      <c r="AO1230" s="28"/>
      <c r="AP1230" s="28"/>
      <c r="AQ1230" s="28"/>
      <c r="AR1230" s="28"/>
      <c r="AS1230" s="28"/>
      <c r="AT1230" s="5"/>
      <c r="AU1230" s="28"/>
      <c r="AV1230" s="28"/>
      <c r="AX1230" s="28"/>
      <c r="AY1230" s="28"/>
      <c r="BA1230" s="28"/>
      <c r="BB1230" s="28"/>
      <c r="BF1230" s="28"/>
      <c r="BH1230" s="28"/>
      <c r="BI1230" s="28"/>
      <c r="BJ1230" s="38"/>
      <c r="BK1230" s="28"/>
    </row>
    <row r="1231" customFormat="false" ht="15.75" hidden="false" customHeight="false" outlineLevel="0" collapsed="false">
      <c r="A1231" s="28"/>
      <c r="B1231" s="28"/>
      <c r="C1231" s="28"/>
      <c r="D1231" s="5"/>
      <c r="E1231" s="38"/>
      <c r="F1231" s="28"/>
      <c r="G1231" s="28"/>
      <c r="H1231" s="38"/>
      <c r="I1231" s="28"/>
      <c r="J1231" s="40"/>
      <c r="K1231" s="40"/>
      <c r="L1231" s="5"/>
      <c r="M1231" s="5"/>
      <c r="N1231" s="28"/>
      <c r="O1231" s="28"/>
      <c r="P1231" s="28"/>
      <c r="Q1231" s="28"/>
      <c r="R1231" s="28"/>
      <c r="S1231" s="28"/>
      <c r="T1231" s="28"/>
      <c r="V1231" s="28"/>
      <c r="W1231" s="5"/>
      <c r="X1231" s="5"/>
      <c r="Z1231" s="28"/>
      <c r="AA1231" s="28"/>
      <c r="AB1231" s="28"/>
      <c r="AC1231" s="28"/>
      <c r="AD1231" s="28"/>
      <c r="AE1231" s="28"/>
      <c r="AF1231" s="28"/>
      <c r="AG1231" s="28"/>
      <c r="AH1231" s="28"/>
      <c r="AI1231" s="28"/>
      <c r="AJ1231" s="28"/>
      <c r="AK1231" s="28"/>
      <c r="AL1231" s="28"/>
      <c r="AM1231" s="28"/>
      <c r="AN1231" s="28"/>
      <c r="AO1231" s="28"/>
      <c r="AP1231" s="28"/>
      <c r="AQ1231" s="28"/>
      <c r="AR1231" s="28"/>
      <c r="AS1231" s="28"/>
      <c r="AT1231" s="5"/>
      <c r="AU1231" s="28"/>
      <c r="AV1231" s="28"/>
      <c r="AX1231" s="28"/>
      <c r="AY1231" s="28"/>
      <c r="BA1231" s="28"/>
      <c r="BB1231" s="28"/>
      <c r="BF1231" s="28"/>
      <c r="BH1231" s="28"/>
      <c r="BI1231" s="28"/>
      <c r="BJ1231" s="38"/>
      <c r="BK1231" s="28"/>
    </row>
    <row r="1232" customFormat="false" ht="15.75" hidden="false" customHeight="false" outlineLevel="0" collapsed="false">
      <c r="A1232" s="28"/>
      <c r="B1232" s="28"/>
      <c r="C1232" s="28"/>
      <c r="D1232" s="5"/>
      <c r="E1232" s="38"/>
      <c r="F1232" s="28"/>
      <c r="G1232" s="28"/>
      <c r="H1232" s="38"/>
      <c r="I1232" s="28"/>
      <c r="J1232" s="40"/>
      <c r="K1232" s="40"/>
      <c r="L1232" s="5"/>
      <c r="M1232" s="5"/>
      <c r="N1232" s="28"/>
      <c r="O1232" s="28"/>
      <c r="P1232" s="28"/>
      <c r="Q1232" s="28"/>
      <c r="R1232" s="28"/>
      <c r="S1232" s="28"/>
      <c r="T1232" s="28"/>
      <c r="V1232" s="28"/>
      <c r="W1232" s="5"/>
      <c r="X1232" s="5"/>
      <c r="Z1232" s="28"/>
      <c r="AA1232" s="28"/>
      <c r="AB1232" s="28"/>
      <c r="AC1232" s="28"/>
      <c r="AD1232" s="28"/>
      <c r="AE1232" s="28"/>
      <c r="AF1232" s="28"/>
      <c r="AG1232" s="28"/>
      <c r="AH1232" s="28"/>
      <c r="AI1232" s="28"/>
      <c r="AJ1232" s="28"/>
      <c r="AK1232" s="28"/>
      <c r="AL1232" s="28"/>
      <c r="AM1232" s="28"/>
      <c r="AN1232" s="28"/>
      <c r="AO1232" s="28"/>
      <c r="AP1232" s="28"/>
      <c r="AQ1232" s="28"/>
      <c r="AR1232" s="28"/>
      <c r="AS1232" s="28"/>
      <c r="AT1232" s="5"/>
      <c r="AU1232" s="28"/>
      <c r="AV1232" s="28"/>
      <c r="AX1232" s="28"/>
      <c r="AY1232" s="28"/>
      <c r="BA1232" s="28"/>
      <c r="BB1232" s="28"/>
      <c r="BF1232" s="28"/>
      <c r="BH1232" s="28"/>
      <c r="BI1232" s="28"/>
      <c r="BJ1232" s="38"/>
      <c r="BK1232" s="28"/>
    </row>
    <row r="1233" customFormat="false" ht="15.75" hidden="false" customHeight="false" outlineLevel="0" collapsed="false">
      <c r="A1233" s="28"/>
      <c r="B1233" s="28"/>
      <c r="C1233" s="28"/>
      <c r="D1233" s="5"/>
      <c r="E1233" s="38"/>
      <c r="F1233" s="28"/>
      <c r="G1233" s="28"/>
      <c r="H1233" s="38"/>
      <c r="I1233" s="28"/>
      <c r="J1233" s="40"/>
      <c r="K1233" s="40"/>
      <c r="L1233" s="5"/>
      <c r="M1233" s="5"/>
      <c r="N1233" s="28"/>
      <c r="O1233" s="28"/>
      <c r="P1233" s="28"/>
      <c r="Q1233" s="28"/>
      <c r="R1233" s="28"/>
      <c r="S1233" s="28"/>
      <c r="T1233" s="28"/>
      <c r="V1233" s="28"/>
      <c r="W1233" s="5"/>
      <c r="X1233" s="5"/>
      <c r="Z1233" s="28"/>
      <c r="AA1233" s="28"/>
      <c r="AB1233" s="28"/>
      <c r="AC1233" s="28"/>
      <c r="AD1233" s="28"/>
      <c r="AE1233" s="28"/>
      <c r="AF1233" s="28"/>
      <c r="AG1233" s="28"/>
      <c r="AH1233" s="28"/>
      <c r="AI1233" s="28"/>
      <c r="AJ1233" s="28"/>
      <c r="AK1233" s="28"/>
      <c r="AL1233" s="28"/>
      <c r="AM1233" s="28"/>
      <c r="AN1233" s="28"/>
      <c r="AO1233" s="28"/>
      <c r="AP1233" s="28"/>
      <c r="AQ1233" s="28"/>
      <c r="AR1233" s="28"/>
      <c r="AS1233" s="28"/>
      <c r="AT1233" s="5"/>
      <c r="AU1233" s="28"/>
      <c r="AV1233" s="28"/>
      <c r="AX1233" s="28"/>
      <c r="AY1233" s="28"/>
      <c r="BA1233" s="28"/>
      <c r="BB1233" s="28"/>
      <c r="BF1233" s="28"/>
      <c r="BH1233" s="28"/>
      <c r="BI1233" s="28"/>
      <c r="BJ1233" s="38"/>
      <c r="BK1233" s="28"/>
    </row>
    <row r="1234" customFormat="false" ht="15.75" hidden="false" customHeight="false" outlineLevel="0" collapsed="false">
      <c r="A1234" s="28"/>
      <c r="B1234" s="28"/>
      <c r="C1234" s="28"/>
      <c r="D1234" s="5"/>
      <c r="E1234" s="38"/>
      <c r="F1234" s="28"/>
      <c r="G1234" s="28"/>
      <c r="H1234" s="38"/>
      <c r="I1234" s="28"/>
      <c r="J1234" s="40"/>
      <c r="K1234" s="40"/>
      <c r="L1234" s="5"/>
      <c r="M1234" s="5"/>
      <c r="N1234" s="28"/>
      <c r="O1234" s="28"/>
      <c r="P1234" s="28"/>
      <c r="Q1234" s="28"/>
      <c r="R1234" s="28"/>
      <c r="S1234" s="28"/>
      <c r="T1234" s="28"/>
      <c r="V1234" s="28"/>
      <c r="W1234" s="5"/>
      <c r="X1234" s="5"/>
      <c r="Z1234" s="28"/>
      <c r="AA1234" s="28"/>
      <c r="AB1234" s="28"/>
      <c r="AC1234" s="28"/>
      <c r="AD1234" s="28"/>
      <c r="AE1234" s="28"/>
      <c r="AF1234" s="28"/>
      <c r="AG1234" s="28"/>
      <c r="AH1234" s="28"/>
      <c r="AI1234" s="28"/>
      <c r="AJ1234" s="28"/>
      <c r="AK1234" s="28"/>
      <c r="AL1234" s="28"/>
      <c r="AM1234" s="28"/>
      <c r="AN1234" s="28"/>
      <c r="AO1234" s="28"/>
      <c r="AP1234" s="28"/>
      <c r="AQ1234" s="28"/>
      <c r="AR1234" s="28"/>
      <c r="AS1234" s="28"/>
      <c r="AT1234" s="5"/>
      <c r="AU1234" s="28"/>
      <c r="AV1234" s="28"/>
      <c r="AX1234" s="28"/>
      <c r="AY1234" s="28"/>
      <c r="BA1234" s="28"/>
      <c r="BB1234" s="28"/>
      <c r="BF1234" s="28"/>
      <c r="BH1234" s="28"/>
      <c r="BI1234" s="28"/>
      <c r="BJ1234" s="38"/>
      <c r="BK1234" s="28"/>
    </row>
    <row r="1235" customFormat="false" ht="15.75" hidden="false" customHeight="false" outlineLevel="0" collapsed="false">
      <c r="A1235" s="28"/>
      <c r="B1235" s="28"/>
      <c r="C1235" s="28"/>
      <c r="D1235" s="5"/>
      <c r="E1235" s="38"/>
      <c r="F1235" s="28"/>
      <c r="G1235" s="28"/>
      <c r="H1235" s="38"/>
      <c r="I1235" s="28"/>
      <c r="J1235" s="40"/>
      <c r="K1235" s="40"/>
      <c r="L1235" s="5"/>
      <c r="M1235" s="5"/>
      <c r="N1235" s="28"/>
      <c r="O1235" s="28"/>
      <c r="P1235" s="28"/>
      <c r="Q1235" s="28"/>
      <c r="R1235" s="28"/>
      <c r="S1235" s="28"/>
      <c r="T1235" s="28"/>
      <c r="V1235" s="28"/>
      <c r="W1235" s="5"/>
      <c r="X1235" s="5"/>
      <c r="Z1235" s="28"/>
      <c r="AA1235" s="28"/>
      <c r="AB1235" s="28"/>
      <c r="AC1235" s="28"/>
      <c r="AD1235" s="28"/>
      <c r="AE1235" s="28"/>
      <c r="AF1235" s="28"/>
      <c r="AG1235" s="28"/>
      <c r="AH1235" s="28"/>
      <c r="AI1235" s="28"/>
      <c r="AJ1235" s="28"/>
      <c r="AK1235" s="28"/>
      <c r="AL1235" s="28"/>
      <c r="AM1235" s="28"/>
      <c r="AN1235" s="28"/>
      <c r="AO1235" s="28"/>
      <c r="AP1235" s="28"/>
      <c r="AQ1235" s="28"/>
      <c r="AR1235" s="28"/>
      <c r="AS1235" s="28"/>
      <c r="AT1235" s="5"/>
      <c r="AU1235" s="28"/>
      <c r="AV1235" s="28"/>
      <c r="AX1235" s="28"/>
      <c r="AY1235" s="28"/>
      <c r="BA1235" s="28"/>
      <c r="BB1235" s="28"/>
      <c r="BF1235" s="28"/>
      <c r="BH1235" s="28"/>
      <c r="BI1235" s="28"/>
      <c r="BJ1235" s="38"/>
      <c r="BK1235" s="28"/>
    </row>
    <row r="1236" customFormat="false" ht="15.75" hidden="false" customHeight="false" outlineLevel="0" collapsed="false">
      <c r="A1236" s="28"/>
      <c r="B1236" s="28"/>
      <c r="C1236" s="28"/>
      <c r="D1236" s="5"/>
      <c r="E1236" s="38"/>
      <c r="F1236" s="28"/>
      <c r="G1236" s="28"/>
      <c r="H1236" s="38"/>
      <c r="I1236" s="28"/>
      <c r="J1236" s="40"/>
      <c r="K1236" s="40"/>
      <c r="L1236" s="5"/>
      <c r="M1236" s="5"/>
      <c r="N1236" s="28"/>
      <c r="O1236" s="28"/>
      <c r="P1236" s="28"/>
      <c r="Q1236" s="28"/>
      <c r="R1236" s="28"/>
      <c r="S1236" s="28"/>
      <c r="T1236" s="28"/>
      <c r="V1236" s="28"/>
      <c r="W1236" s="5"/>
      <c r="X1236" s="5"/>
      <c r="Z1236" s="28"/>
      <c r="AA1236" s="28"/>
      <c r="AB1236" s="28"/>
      <c r="AC1236" s="28"/>
      <c r="AD1236" s="28"/>
      <c r="AE1236" s="28"/>
      <c r="AF1236" s="28"/>
      <c r="AG1236" s="28"/>
      <c r="AH1236" s="28"/>
      <c r="AI1236" s="28"/>
      <c r="AJ1236" s="28"/>
      <c r="AK1236" s="28"/>
      <c r="AL1236" s="28"/>
      <c r="AM1236" s="28"/>
      <c r="AN1236" s="28"/>
      <c r="AO1236" s="28"/>
      <c r="AP1236" s="28"/>
      <c r="AQ1236" s="28"/>
      <c r="AR1236" s="28"/>
      <c r="AS1236" s="28"/>
      <c r="AT1236" s="5"/>
      <c r="AU1236" s="28"/>
      <c r="AV1236" s="28"/>
      <c r="AX1236" s="28"/>
      <c r="AY1236" s="28"/>
      <c r="BA1236" s="28"/>
      <c r="BB1236" s="28"/>
      <c r="BF1236" s="28"/>
      <c r="BH1236" s="28"/>
      <c r="BI1236" s="28"/>
      <c r="BJ1236" s="38"/>
      <c r="BK1236" s="28"/>
    </row>
    <row r="1237" customFormat="false" ht="15.75" hidden="false" customHeight="false" outlineLevel="0" collapsed="false">
      <c r="A1237" s="28"/>
      <c r="B1237" s="28"/>
      <c r="C1237" s="28"/>
      <c r="D1237" s="5"/>
      <c r="E1237" s="38"/>
      <c r="F1237" s="28"/>
      <c r="G1237" s="28"/>
      <c r="H1237" s="38"/>
      <c r="I1237" s="28"/>
      <c r="J1237" s="40"/>
      <c r="K1237" s="40"/>
      <c r="L1237" s="5"/>
      <c r="M1237" s="5"/>
      <c r="N1237" s="28"/>
      <c r="O1237" s="28"/>
      <c r="P1237" s="28"/>
      <c r="Q1237" s="28"/>
      <c r="R1237" s="28"/>
      <c r="S1237" s="28"/>
      <c r="T1237" s="28"/>
      <c r="V1237" s="28"/>
      <c r="W1237" s="5"/>
      <c r="X1237" s="5"/>
      <c r="Z1237" s="28"/>
      <c r="AA1237" s="28"/>
      <c r="AB1237" s="28"/>
      <c r="AC1237" s="28"/>
      <c r="AD1237" s="28"/>
      <c r="AE1237" s="28"/>
      <c r="AF1237" s="28"/>
      <c r="AG1237" s="28"/>
      <c r="AH1237" s="28"/>
      <c r="AI1237" s="28"/>
      <c r="AJ1237" s="28"/>
      <c r="AK1237" s="28"/>
      <c r="AL1237" s="28"/>
      <c r="AM1237" s="28"/>
      <c r="AN1237" s="28"/>
      <c r="AO1237" s="28"/>
      <c r="AP1237" s="28"/>
      <c r="AQ1237" s="28"/>
      <c r="AR1237" s="28"/>
      <c r="AS1237" s="28"/>
      <c r="AT1237" s="5"/>
      <c r="AU1237" s="28"/>
      <c r="AV1237" s="28"/>
      <c r="AX1237" s="28"/>
      <c r="AY1237" s="28"/>
      <c r="BA1237" s="28"/>
      <c r="BB1237" s="28"/>
      <c r="BF1237" s="28"/>
      <c r="BH1237" s="28"/>
      <c r="BI1237" s="28"/>
      <c r="BJ1237" s="38"/>
      <c r="BK1237" s="28"/>
    </row>
    <row r="1238" customFormat="false" ht="15.75" hidden="false" customHeight="false" outlineLevel="0" collapsed="false">
      <c r="A1238" s="28"/>
      <c r="B1238" s="28"/>
      <c r="C1238" s="28"/>
      <c r="D1238" s="5"/>
      <c r="E1238" s="38"/>
      <c r="F1238" s="28"/>
      <c r="G1238" s="28"/>
      <c r="H1238" s="38"/>
      <c r="I1238" s="28"/>
      <c r="J1238" s="40"/>
      <c r="K1238" s="40"/>
      <c r="L1238" s="5"/>
      <c r="M1238" s="5"/>
      <c r="N1238" s="28"/>
      <c r="O1238" s="28"/>
      <c r="P1238" s="28"/>
      <c r="Q1238" s="28"/>
      <c r="R1238" s="28"/>
      <c r="S1238" s="28"/>
      <c r="T1238" s="28"/>
      <c r="V1238" s="28"/>
      <c r="W1238" s="5"/>
      <c r="X1238" s="5"/>
      <c r="Z1238" s="28"/>
      <c r="AA1238" s="28"/>
      <c r="AB1238" s="28"/>
      <c r="AC1238" s="28"/>
      <c r="AD1238" s="28"/>
      <c r="AE1238" s="28"/>
      <c r="AF1238" s="28"/>
      <c r="AG1238" s="28"/>
      <c r="AH1238" s="28"/>
      <c r="AI1238" s="28"/>
      <c r="AJ1238" s="28"/>
      <c r="AK1238" s="28"/>
      <c r="AL1238" s="28"/>
      <c r="AM1238" s="28"/>
      <c r="AN1238" s="28"/>
      <c r="AO1238" s="28"/>
      <c r="AP1238" s="28"/>
      <c r="AQ1238" s="28"/>
      <c r="AR1238" s="28"/>
      <c r="AS1238" s="28"/>
      <c r="AT1238" s="5"/>
      <c r="AU1238" s="28"/>
      <c r="AV1238" s="28"/>
      <c r="AX1238" s="28"/>
      <c r="AY1238" s="28"/>
      <c r="BA1238" s="28"/>
      <c r="BB1238" s="28"/>
      <c r="BF1238" s="28"/>
      <c r="BH1238" s="28"/>
      <c r="BI1238" s="28"/>
      <c r="BJ1238" s="38"/>
      <c r="BK1238" s="28"/>
    </row>
    <row r="1239" customFormat="false" ht="15.75" hidden="false" customHeight="false" outlineLevel="0" collapsed="false">
      <c r="A1239" s="28"/>
      <c r="B1239" s="28"/>
      <c r="C1239" s="28"/>
      <c r="D1239" s="5"/>
      <c r="E1239" s="38"/>
      <c r="F1239" s="28"/>
      <c r="G1239" s="28"/>
      <c r="H1239" s="38"/>
      <c r="I1239" s="28"/>
      <c r="J1239" s="40"/>
      <c r="K1239" s="40"/>
      <c r="L1239" s="5"/>
      <c r="M1239" s="5"/>
      <c r="N1239" s="28"/>
      <c r="O1239" s="28"/>
      <c r="P1239" s="28"/>
      <c r="Q1239" s="28"/>
      <c r="R1239" s="28"/>
      <c r="S1239" s="28"/>
      <c r="T1239" s="28"/>
      <c r="V1239" s="28"/>
      <c r="W1239" s="5"/>
      <c r="X1239" s="5"/>
      <c r="Z1239" s="28"/>
      <c r="AA1239" s="28"/>
      <c r="AB1239" s="28"/>
      <c r="AC1239" s="28"/>
      <c r="AD1239" s="28"/>
      <c r="AE1239" s="28"/>
      <c r="AF1239" s="28"/>
      <c r="AG1239" s="28"/>
      <c r="AH1239" s="28"/>
      <c r="AI1239" s="28"/>
      <c r="AJ1239" s="28"/>
      <c r="AK1239" s="28"/>
      <c r="AL1239" s="28"/>
      <c r="AM1239" s="28"/>
      <c r="AN1239" s="28"/>
      <c r="AO1239" s="28"/>
      <c r="AP1239" s="28"/>
      <c r="AQ1239" s="28"/>
      <c r="AR1239" s="28"/>
      <c r="AS1239" s="28"/>
      <c r="AT1239" s="5"/>
      <c r="AU1239" s="28"/>
      <c r="AV1239" s="28"/>
      <c r="AX1239" s="28"/>
      <c r="AY1239" s="28"/>
      <c r="BA1239" s="28"/>
      <c r="BB1239" s="28"/>
      <c r="BF1239" s="28"/>
      <c r="BH1239" s="28"/>
      <c r="BI1239" s="28"/>
      <c r="BJ1239" s="38"/>
      <c r="BK1239" s="28"/>
    </row>
    <row r="1240" customFormat="false" ht="15.75" hidden="false" customHeight="false" outlineLevel="0" collapsed="false">
      <c r="A1240" s="28"/>
      <c r="B1240" s="28"/>
      <c r="C1240" s="28"/>
      <c r="D1240" s="5"/>
      <c r="E1240" s="38"/>
      <c r="F1240" s="28"/>
      <c r="G1240" s="28"/>
      <c r="H1240" s="38"/>
      <c r="I1240" s="28"/>
      <c r="J1240" s="40"/>
      <c r="K1240" s="40"/>
      <c r="L1240" s="5"/>
      <c r="M1240" s="5"/>
      <c r="N1240" s="28"/>
      <c r="O1240" s="28"/>
      <c r="P1240" s="28"/>
      <c r="Q1240" s="28"/>
      <c r="R1240" s="28"/>
      <c r="S1240" s="28"/>
      <c r="T1240" s="28"/>
      <c r="V1240" s="28"/>
      <c r="W1240" s="5"/>
      <c r="X1240" s="5"/>
      <c r="Z1240" s="28"/>
      <c r="AA1240" s="28"/>
      <c r="AB1240" s="28"/>
      <c r="AC1240" s="28"/>
      <c r="AD1240" s="28"/>
      <c r="AE1240" s="28"/>
      <c r="AF1240" s="28"/>
      <c r="AG1240" s="28"/>
      <c r="AH1240" s="28"/>
      <c r="AI1240" s="28"/>
      <c r="AJ1240" s="28"/>
      <c r="AK1240" s="28"/>
      <c r="AL1240" s="28"/>
      <c r="AM1240" s="28"/>
      <c r="AN1240" s="28"/>
      <c r="AO1240" s="28"/>
      <c r="AP1240" s="28"/>
      <c r="AQ1240" s="28"/>
      <c r="AR1240" s="28"/>
      <c r="AS1240" s="28"/>
      <c r="AT1240" s="5"/>
      <c r="AU1240" s="28"/>
      <c r="AV1240" s="28"/>
      <c r="AX1240" s="28"/>
      <c r="AY1240" s="28"/>
      <c r="BA1240" s="28"/>
      <c r="BB1240" s="28"/>
      <c r="BF1240" s="28"/>
      <c r="BH1240" s="28"/>
      <c r="BI1240" s="28"/>
      <c r="BJ1240" s="38"/>
      <c r="BK1240" s="28"/>
    </row>
    <row r="1241" customFormat="false" ht="15.75" hidden="false" customHeight="false" outlineLevel="0" collapsed="false">
      <c r="A1241" s="28"/>
      <c r="B1241" s="28"/>
      <c r="C1241" s="28"/>
      <c r="D1241" s="5"/>
      <c r="E1241" s="38"/>
      <c r="F1241" s="28"/>
      <c r="G1241" s="28"/>
      <c r="H1241" s="38"/>
      <c r="I1241" s="28"/>
      <c r="J1241" s="40"/>
      <c r="K1241" s="40"/>
      <c r="L1241" s="5"/>
      <c r="M1241" s="5"/>
      <c r="N1241" s="28"/>
      <c r="O1241" s="28"/>
      <c r="P1241" s="28"/>
      <c r="Q1241" s="28"/>
      <c r="R1241" s="28"/>
      <c r="S1241" s="28"/>
      <c r="T1241" s="28"/>
      <c r="V1241" s="28"/>
      <c r="W1241" s="5"/>
      <c r="X1241" s="5"/>
      <c r="Z1241" s="28"/>
      <c r="AA1241" s="28"/>
      <c r="AB1241" s="28"/>
      <c r="AC1241" s="28"/>
      <c r="AD1241" s="28"/>
      <c r="AE1241" s="28"/>
      <c r="AF1241" s="28"/>
      <c r="AG1241" s="28"/>
      <c r="AH1241" s="28"/>
      <c r="AI1241" s="28"/>
      <c r="AJ1241" s="28"/>
      <c r="AK1241" s="28"/>
      <c r="AL1241" s="28"/>
      <c r="AM1241" s="28"/>
      <c r="AN1241" s="28"/>
      <c r="AO1241" s="28"/>
      <c r="AP1241" s="28"/>
      <c r="AQ1241" s="28"/>
      <c r="AR1241" s="28"/>
      <c r="AS1241" s="28"/>
      <c r="AT1241" s="5"/>
      <c r="AU1241" s="28"/>
      <c r="AV1241" s="28"/>
      <c r="AX1241" s="28"/>
      <c r="AY1241" s="28"/>
      <c r="BA1241" s="28"/>
      <c r="BB1241" s="28"/>
      <c r="BF1241" s="28"/>
      <c r="BH1241" s="28"/>
      <c r="BI1241" s="28"/>
      <c r="BJ1241" s="38"/>
      <c r="BK1241" s="28"/>
    </row>
    <row r="1242" customFormat="false" ht="15.75" hidden="false" customHeight="false" outlineLevel="0" collapsed="false">
      <c r="A1242" s="28"/>
      <c r="B1242" s="28"/>
      <c r="C1242" s="28"/>
      <c r="D1242" s="5"/>
      <c r="E1242" s="38"/>
      <c r="F1242" s="28"/>
      <c r="G1242" s="28"/>
      <c r="H1242" s="38"/>
      <c r="I1242" s="28"/>
      <c r="J1242" s="40"/>
      <c r="K1242" s="40"/>
      <c r="L1242" s="5"/>
      <c r="M1242" s="5"/>
      <c r="N1242" s="28"/>
      <c r="O1242" s="28"/>
      <c r="P1242" s="28"/>
      <c r="Q1242" s="28"/>
      <c r="R1242" s="28"/>
      <c r="S1242" s="28"/>
      <c r="T1242" s="28"/>
      <c r="V1242" s="28"/>
      <c r="W1242" s="5"/>
      <c r="X1242" s="5"/>
      <c r="Z1242" s="28"/>
      <c r="AA1242" s="28"/>
      <c r="AB1242" s="28"/>
      <c r="AC1242" s="28"/>
      <c r="AD1242" s="28"/>
      <c r="AE1242" s="28"/>
      <c r="AF1242" s="28"/>
      <c r="AG1242" s="28"/>
      <c r="AH1242" s="28"/>
      <c r="AI1242" s="28"/>
      <c r="AJ1242" s="28"/>
      <c r="AK1242" s="28"/>
      <c r="AL1242" s="28"/>
      <c r="AM1242" s="28"/>
      <c r="AN1242" s="28"/>
      <c r="AO1242" s="28"/>
      <c r="AP1242" s="28"/>
      <c r="AQ1242" s="28"/>
      <c r="AR1242" s="28"/>
      <c r="AS1242" s="28"/>
      <c r="AT1242" s="5"/>
      <c r="AU1242" s="28"/>
      <c r="AV1242" s="28"/>
      <c r="AX1242" s="28"/>
      <c r="AY1242" s="28"/>
      <c r="BA1242" s="28"/>
      <c r="BB1242" s="28"/>
      <c r="BF1242" s="28"/>
      <c r="BH1242" s="28"/>
      <c r="BI1242" s="28"/>
      <c r="BJ1242" s="38"/>
      <c r="BK1242" s="28"/>
    </row>
    <row r="1243" customFormat="false" ht="15.75" hidden="false" customHeight="false" outlineLevel="0" collapsed="false">
      <c r="A1243" s="28"/>
      <c r="B1243" s="28"/>
      <c r="C1243" s="28"/>
      <c r="D1243" s="5"/>
      <c r="E1243" s="38"/>
      <c r="F1243" s="28"/>
      <c r="G1243" s="28"/>
      <c r="H1243" s="38"/>
      <c r="I1243" s="28"/>
      <c r="J1243" s="40"/>
      <c r="K1243" s="40"/>
      <c r="L1243" s="5"/>
      <c r="M1243" s="5"/>
      <c r="N1243" s="28"/>
      <c r="O1243" s="28"/>
      <c r="P1243" s="28"/>
      <c r="Q1243" s="28"/>
      <c r="R1243" s="28"/>
      <c r="S1243" s="28"/>
      <c r="T1243" s="28"/>
      <c r="V1243" s="28"/>
      <c r="W1243" s="5"/>
      <c r="X1243" s="5"/>
      <c r="Z1243" s="28"/>
      <c r="AA1243" s="28"/>
      <c r="AB1243" s="28"/>
      <c r="AC1243" s="28"/>
      <c r="AD1243" s="28"/>
      <c r="AE1243" s="28"/>
      <c r="AF1243" s="28"/>
      <c r="AG1243" s="28"/>
      <c r="AH1243" s="28"/>
      <c r="AI1243" s="28"/>
      <c r="AJ1243" s="28"/>
      <c r="AK1243" s="28"/>
      <c r="AL1243" s="28"/>
      <c r="AM1243" s="28"/>
      <c r="AN1243" s="28"/>
      <c r="AO1243" s="28"/>
      <c r="AP1243" s="28"/>
      <c r="AQ1243" s="28"/>
      <c r="AR1243" s="28"/>
      <c r="AS1243" s="28"/>
      <c r="AT1243" s="5"/>
      <c r="AU1243" s="28"/>
      <c r="AV1243" s="28"/>
      <c r="AX1243" s="28"/>
      <c r="AY1243" s="28"/>
      <c r="BA1243" s="28"/>
      <c r="BB1243" s="28"/>
      <c r="BF1243" s="28"/>
      <c r="BH1243" s="28"/>
      <c r="BI1243" s="28"/>
      <c r="BJ1243" s="38"/>
      <c r="BK1243" s="28"/>
    </row>
    <row r="1244" customFormat="false" ht="15.75" hidden="false" customHeight="false" outlineLevel="0" collapsed="false">
      <c r="A1244" s="28"/>
      <c r="B1244" s="28"/>
      <c r="C1244" s="28"/>
      <c r="D1244" s="5"/>
      <c r="E1244" s="38"/>
      <c r="F1244" s="28"/>
      <c r="G1244" s="28"/>
      <c r="H1244" s="38"/>
      <c r="I1244" s="28"/>
      <c r="J1244" s="40"/>
      <c r="K1244" s="40"/>
      <c r="L1244" s="5"/>
      <c r="M1244" s="5"/>
      <c r="N1244" s="28"/>
      <c r="O1244" s="28"/>
      <c r="P1244" s="28"/>
      <c r="Q1244" s="28"/>
      <c r="R1244" s="28"/>
      <c r="S1244" s="28"/>
      <c r="T1244" s="28"/>
      <c r="V1244" s="28"/>
      <c r="W1244" s="5"/>
      <c r="X1244" s="5"/>
      <c r="Z1244" s="28"/>
      <c r="AA1244" s="28"/>
      <c r="AB1244" s="28"/>
      <c r="AC1244" s="28"/>
      <c r="AD1244" s="28"/>
      <c r="AE1244" s="28"/>
      <c r="AF1244" s="28"/>
      <c r="AG1244" s="28"/>
      <c r="AH1244" s="28"/>
      <c r="AI1244" s="28"/>
      <c r="AJ1244" s="28"/>
      <c r="AK1244" s="28"/>
      <c r="AL1244" s="28"/>
      <c r="AM1244" s="28"/>
      <c r="AN1244" s="28"/>
      <c r="AO1244" s="28"/>
      <c r="AP1244" s="28"/>
      <c r="AQ1244" s="28"/>
      <c r="AR1244" s="28"/>
      <c r="AS1244" s="28"/>
      <c r="AT1244" s="5"/>
      <c r="AU1244" s="28"/>
      <c r="AV1244" s="28"/>
      <c r="AX1244" s="28"/>
      <c r="AY1244" s="28"/>
      <c r="BA1244" s="28"/>
      <c r="BB1244" s="28"/>
      <c r="BF1244" s="28"/>
      <c r="BH1244" s="28"/>
      <c r="BI1244" s="28"/>
      <c r="BJ1244" s="38"/>
      <c r="BK1244" s="28"/>
    </row>
    <row r="1245" customFormat="false" ht="15.75" hidden="false" customHeight="false" outlineLevel="0" collapsed="false">
      <c r="A1245" s="28"/>
      <c r="B1245" s="28"/>
      <c r="C1245" s="28"/>
      <c r="D1245" s="5"/>
      <c r="E1245" s="38"/>
      <c r="F1245" s="28"/>
      <c r="G1245" s="28"/>
      <c r="H1245" s="38"/>
      <c r="I1245" s="28"/>
      <c r="J1245" s="40"/>
      <c r="K1245" s="40"/>
      <c r="L1245" s="5"/>
      <c r="M1245" s="5"/>
      <c r="N1245" s="28"/>
      <c r="O1245" s="28"/>
      <c r="P1245" s="28"/>
      <c r="Q1245" s="28"/>
      <c r="R1245" s="28"/>
      <c r="S1245" s="28"/>
      <c r="T1245" s="28"/>
      <c r="V1245" s="28"/>
      <c r="W1245" s="5"/>
      <c r="X1245" s="5"/>
      <c r="Z1245" s="28"/>
      <c r="AA1245" s="28"/>
      <c r="AB1245" s="28"/>
      <c r="AC1245" s="28"/>
      <c r="AD1245" s="28"/>
      <c r="AE1245" s="28"/>
      <c r="AF1245" s="28"/>
      <c r="AG1245" s="28"/>
      <c r="AH1245" s="28"/>
      <c r="AI1245" s="28"/>
      <c r="AJ1245" s="28"/>
      <c r="AK1245" s="28"/>
      <c r="AL1245" s="28"/>
      <c r="AM1245" s="28"/>
      <c r="AN1245" s="28"/>
      <c r="AO1245" s="28"/>
      <c r="AP1245" s="28"/>
      <c r="AQ1245" s="28"/>
      <c r="AR1245" s="28"/>
      <c r="AS1245" s="28"/>
      <c r="AT1245" s="5"/>
      <c r="AU1245" s="28"/>
      <c r="AV1245" s="28"/>
      <c r="AX1245" s="28"/>
      <c r="AY1245" s="28"/>
      <c r="BA1245" s="28"/>
      <c r="BB1245" s="28"/>
      <c r="BF1245" s="28"/>
      <c r="BH1245" s="28"/>
      <c r="BI1245" s="28"/>
      <c r="BJ1245" s="38"/>
      <c r="BK1245" s="28"/>
    </row>
    <row r="1246" customFormat="false" ht="15.75" hidden="false" customHeight="false" outlineLevel="0" collapsed="false">
      <c r="A1246" s="28"/>
      <c r="B1246" s="28"/>
      <c r="C1246" s="28"/>
      <c r="D1246" s="5"/>
      <c r="E1246" s="38"/>
      <c r="F1246" s="28"/>
      <c r="G1246" s="28"/>
      <c r="H1246" s="38"/>
      <c r="I1246" s="28"/>
      <c r="J1246" s="40"/>
      <c r="K1246" s="40"/>
      <c r="L1246" s="5"/>
      <c r="M1246" s="5"/>
      <c r="N1246" s="28"/>
      <c r="O1246" s="28"/>
      <c r="P1246" s="28"/>
      <c r="Q1246" s="28"/>
      <c r="R1246" s="28"/>
      <c r="S1246" s="28"/>
      <c r="T1246" s="28"/>
      <c r="V1246" s="28"/>
      <c r="W1246" s="5"/>
      <c r="X1246" s="5"/>
      <c r="Z1246" s="28"/>
      <c r="AA1246" s="28"/>
      <c r="AB1246" s="28"/>
      <c r="AC1246" s="28"/>
      <c r="AD1246" s="28"/>
      <c r="AE1246" s="28"/>
      <c r="AF1246" s="28"/>
      <c r="AG1246" s="28"/>
      <c r="AH1246" s="28"/>
      <c r="AI1246" s="28"/>
      <c r="AJ1246" s="28"/>
      <c r="AK1246" s="28"/>
      <c r="AL1246" s="28"/>
      <c r="AM1246" s="28"/>
      <c r="AN1246" s="28"/>
      <c r="AO1246" s="28"/>
      <c r="AP1246" s="28"/>
      <c r="AQ1246" s="28"/>
      <c r="AR1246" s="28"/>
      <c r="AS1246" s="28"/>
      <c r="AT1246" s="5"/>
      <c r="AU1246" s="28"/>
      <c r="AV1246" s="28"/>
      <c r="AX1246" s="28"/>
      <c r="AY1246" s="28"/>
      <c r="BA1246" s="28"/>
      <c r="BB1246" s="28"/>
      <c r="BF1246" s="28"/>
      <c r="BH1246" s="28"/>
      <c r="BI1246" s="28"/>
      <c r="BJ1246" s="38"/>
      <c r="BK1246" s="28"/>
    </row>
    <row r="1247" customFormat="false" ht="15.75" hidden="false" customHeight="false" outlineLevel="0" collapsed="false">
      <c r="A1247" s="28"/>
      <c r="B1247" s="28"/>
      <c r="C1247" s="28"/>
      <c r="D1247" s="5"/>
      <c r="E1247" s="38"/>
      <c r="F1247" s="28"/>
      <c r="G1247" s="28"/>
      <c r="H1247" s="38"/>
      <c r="I1247" s="28"/>
      <c r="J1247" s="40"/>
      <c r="K1247" s="40"/>
      <c r="L1247" s="5"/>
      <c r="M1247" s="5"/>
      <c r="N1247" s="28"/>
      <c r="O1247" s="28"/>
      <c r="P1247" s="28"/>
      <c r="Q1247" s="28"/>
      <c r="R1247" s="28"/>
      <c r="S1247" s="28"/>
      <c r="T1247" s="28"/>
      <c r="V1247" s="28"/>
      <c r="W1247" s="5"/>
      <c r="X1247" s="5"/>
      <c r="Z1247" s="28"/>
      <c r="AA1247" s="28"/>
      <c r="AB1247" s="28"/>
      <c r="AC1247" s="28"/>
      <c r="AD1247" s="28"/>
      <c r="AE1247" s="28"/>
      <c r="AF1247" s="28"/>
      <c r="AG1247" s="28"/>
      <c r="AH1247" s="28"/>
      <c r="AI1247" s="28"/>
      <c r="AJ1247" s="28"/>
      <c r="AK1247" s="28"/>
      <c r="AL1247" s="28"/>
      <c r="AM1247" s="28"/>
      <c r="AN1247" s="28"/>
      <c r="AO1247" s="28"/>
      <c r="AP1247" s="28"/>
      <c r="AQ1247" s="28"/>
      <c r="AR1247" s="28"/>
      <c r="AS1247" s="28"/>
      <c r="AT1247" s="5"/>
      <c r="AU1247" s="28"/>
      <c r="AV1247" s="28"/>
      <c r="AX1247" s="28"/>
      <c r="AY1247" s="28"/>
      <c r="BA1247" s="28"/>
      <c r="BB1247" s="28"/>
      <c r="BF1247" s="28"/>
      <c r="BH1247" s="28"/>
      <c r="BI1247" s="28"/>
      <c r="BJ1247" s="38"/>
      <c r="BK1247" s="28"/>
    </row>
    <row r="1248" customFormat="false" ht="15.75" hidden="false" customHeight="false" outlineLevel="0" collapsed="false">
      <c r="A1248" s="28"/>
      <c r="B1248" s="28"/>
      <c r="C1248" s="28"/>
      <c r="D1248" s="5"/>
      <c r="E1248" s="38"/>
      <c r="F1248" s="28"/>
      <c r="G1248" s="28"/>
      <c r="H1248" s="38"/>
      <c r="I1248" s="28"/>
      <c r="J1248" s="40"/>
      <c r="K1248" s="40"/>
      <c r="L1248" s="5"/>
      <c r="M1248" s="5"/>
      <c r="N1248" s="28"/>
      <c r="O1248" s="28"/>
      <c r="P1248" s="28"/>
      <c r="Q1248" s="28"/>
      <c r="R1248" s="28"/>
      <c r="S1248" s="28"/>
      <c r="T1248" s="28"/>
      <c r="V1248" s="28"/>
      <c r="W1248" s="5"/>
      <c r="X1248" s="5"/>
      <c r="Z1248" s="28"/>
      <c r="AA1248" s="28"/>
      <c r="AB1248" s="28"/>
      <c r="AC1248" s="28"/>
      <c r="AD1248" s="28"/>
      <c r="AE1248" s="28"/>
      <c r="AF1248" s="28"/>
      <c r="AG1248" s="28"/>
      <c r="AH1248" s="28"/>
      <c r="AI1248" s="28"/>
      <c r="AJ1248" s="28"/>
      <c r="AK1248" s="28"/>
      <c r="AL1248" s="28"/>
      <c r="AM1248" s="28"/>
      <c r="AN1248" s="28"/>
      <c r="AO1248" s="28"/>
      <c r="AP1248" s="28"/>
      <c r="AQ1248" s="28"/>
      <c r="AR1248" s="28"/>
      <c r="AS1248" s="28"/>
      <c r="AT1248" s="5"/>
      <c r="AU1248" s="28"/>
      <c r="AV1248" s="28"/>
      <c r="AX1248" s="28"/>
      <c r="AY1248" s="28"/>
      <c r="BA1248" s="28"/>
      <c r="BB1248" s="28"/>
      <c r="BF1248" s="28"/>
      <c r="BH1248" s="28"/>
      <c r="BI1248" s="28"/>
      <c r="BJ1248" s="38"/>
      <c r="BK1248" s="28"/>
    </row>
    <row r="1249" customFormat="false" ht="15.75" hidden="false" customHeight="false" outlineLevel="0" collapsed="false">
      <c r="A1249" s="28"/>
      <c r="B1249" s="28"/>
      <c r="C1249" s="28"/>
      <c r="D1249" s="5"/>
      <c r="E1249" s="38"/>
      <c r="F1249" s="28"/>
      <c r="G1249" s="28"/>
      <c r="H1249" s="38"/>
      <c r="I1249" s="28"/>
      <c r="J1249" s="40"/>
      <c r="K1249" s="40"/>
      <c r="L1249" s="5"/>
      <c r="M1249" s="5"/>
      <c r="N1249" s="28"/>
      <c r="O1249" s="28"/>
      <c r="P1249" s="28"/>
      <c r="Q1249" s="28"/>
      <c r="R1249" s="28"/>
      <c r="S1249" s="28"/>
      <c r="T1249" s="28"/>
      <c r="V1249" s="28"/>
      <c r="W1249" s="5"/>
      <c r="X1249" s="5"/>
      <c r="Z1249" s="28"/>
      <c r="AA1249" s="28"/>
      <c r="AB1249" s="28"/>
      <c r="AC1249" s="28"/>
      <c r="AD1249" s="28"/>
      <c r="AE1249" s="28"/>
      <c r="AF1249" s="28"/>
      <c r="AG1249" s="28"/>
      <c r="AH1249" s="28"/>
      <c r="AI1249" s="28"/>
      <c r="AJ1249" s="28"/>
      <c r="AK1249" s="28"/>
      <c r="AL1249" s="28"/>
      <c r="AM1249" s="28"/>
      <c r="AN1249" s="28"/>
      <c r="AO1249" s="28"/>
      <c r="AP1249" s="28"/>
      <c r="AQ1249" s="28"/>
      <c r="AR1249" s="28"/>
      <c r="AS1249" s="28"/>
      <c r="AT1249" s="5"/>
      <c r="AU1249" s="28"/>
      <c r="AV1249" s="28"/>
      <c r="AX1249" s="28"/>
      <c r="AY1249" s="28"/>
      <c r="BA1249" s="28"/>
      <c r="BB1249" s="28"/>
      <c r="BF1249" s="28"/>
      <c r="BH1249" s="28"/>
      <c r="BI1249" s="28"/>
      <c r="BJ1249" s="38"/>
      <c r="BK1249" s="28"/>
    </row>
    <row r="1250" customFormat="false" ht="15.75" hidden="false" customHeight="false" outlineLevel="0" collapsed="false">
      <c r="A1250" s="28"/>
      <c r="B1250" s="28"/>
      <c r="C1250" s="28"/>
      <c r="D1250" s="5"/>
      <c r="E1250" s="38"/>
      <c r="F1250" s="28"/>
      <c r="G1250" s="28"/>
      <c r="H1250" s="38"/>
      <c r="I1250" s="28"/>
      <c r="J1250" s="40"/>
      <c r="K1250" s="40"/>
      <c r="L1250" s="5"/>
      <c r="M1250" s="5"/>
      <c r="N1250" s="28"/>
      <c r="O1250" s="28"/>
      <c r="P1250" s="28"/>
      <c r="Q1250" s="28"/>
      <c r="R1250" s="28"/>
      <c r="S1250" s="28"/>
      <c r="T1250" s="28"/>
      <c r="V1250" s="28"/>
      <c r="W1250" s="5"/>
      <c r="X1250" s="5"/>
      <c r="Z1250" s="28"/>
      <c r="AA1250" s="28"/>
      <c r="AB1250" s="28"/>
      <c r="AC1250" s="28"/>
      <c r="AD1250" s="28"/>
      <c r="AE1250" s="28"/>
      <c r="AF1250" s="28"/>
      <c r="AG1250" s="28"/>
      <c r="AH1250" s="28"/>
      <c r="AI1250" s="28"/>
      <c r="AJ1250" s="28"/>
      <c r="AK1250" s="28"/>
      <c r="AL1250" s="28"/>
      <c r="AM1250" s="28"/>
      <c r="AN1250" s="28"/>
      <c r="AO1250" s="28"/>
      <c r="AP1250" s="28"/>
      <c r="AQ1250" s="28"/>
      <c r="AR1250" s="28"/>
      <c r="AS1250" s="28"/>
      <c r="AT1250" s="5"/>
      <c r="AU1250" s="28"/>
      <c r="AV1250" s="28"/>
      <c r="AX1250" s="28"/>
      <c r="AY1250" s="28"/>
      <c r="BA1250" s="28"/>
      <c r="BB1250" s="28"/>
      <c r="BF1250" s="28"/>
      <c r="BH1250" s="28"/>
      <c r="BI1250" s="28"/>
      <c r="BJ1250" s="38"/>
      <c r="BK1250" s="28"/>
    </row>
    <row r="1251" customFormat="false" ht="15.75" hidden="false" customHeight="false" outlineLevel="0" collapsed="false">
      <c r="A1251" s="28"/>
      <c r="B1251" s="28"/>
      <c r="C1251" s="28"/>
      <c r="D1251" s="5"/>
      <c r="E1251" s="38"/>
      <c r="F1251" s="28"/>
      <c r="G1251" s="28"/>
      <c r="H1251" s="38"/>
      <c r="I1251" s="28"/>
      <c r="J1251" s="40"/>
      <c r="K1251" s="40"/>
      <c r="L1251" s="5"/>
      <c r="M1251" s="5"/>
      <c r="N1251" s="28"/>
      <c r="O1251" s="28"/>
      <c r="P1251" s="28"/>
      <c r="Q1251" s="28"/>
      <c r="R1251" s="28"/>
      <c r="S1251" s="28"/>
      <c r="T1251" s="28"/>
      <c r="V1251" s="28"/>
      <c r="W1251" s="5"/>
      <c r="X1251" s="5"/>
      <c r="Z1251" s="28"/>
      <c r="AA1251" s="28"/>
      <c r="AB1251" s="28"/>
      <c r="AC1251" s="28"/>
      <c r="AD1251" s="28"/>
      <c r="AE1251" s="28"/>
      <c r="AF1251" s="28"/>
      <c r="AG1251" s="28"/>
      <c r="AH1251" s="28"/>
      <c r="AI1251" s="28"/>
      <c r="AJ1251" s="28"/>
      <c r="AK1251" s="28"/>
      <c r="AL1251" s="28"/>
      <c r="AM1251" s="28"/>
      <c r="AN1251" s="28"/>
      <c r="AO1251" s="28"/>
      <c r="AP1251" s="28"/>
      <c r="AQ1251" s="28"/>
      <c r="AR1251" s="28"/>
      <c r="AS1251" s="28"/>
      <c r="AT1251" s="5"/>
      <c r="AU1251" s="28"/>
      <c r="AV1251" s="28"/>
      <c r="AX1251" s="28"/>
      <c r="AY1251" s="28"/>
      <c r="BA1251" s="28"/>
      <c r="BB1251" s="28"/>
      <c r="BF1251" s="28"/>
      <c r="BH1251" s="28"/>
      <c r="BI1251" s="28"/>
      <c r="BJ1251" s="38"/>
      <c r="BK1251" s="28"/>
    </row>
    <row r="1252" customFormat="false" ht="15.75" hidden="false" customHeight="false" outlineLevel="0" collapsed="false">
      <c r="A1252" s="28"/>
      <c r="B1252" s="28"/>
      <c r="C1252" s="28"/>
      <c r="D1252" s="5"/>
      <c r="E1252" s="38"/>
      <c r="F1252" s="28"/>
      <c r="G1252" s="28"/>
      <c r="H1252" s="38"/>
      <c r="I1252" s="28"/>
      <c r="J1252" s="40"/>
      <c r="K1252" s="40"/>
      <c r="L1252" s="5"/>
      <c r="M1252" s="5"/>
      <c r="N1252" s="28"/>
      <c r="O1252" s="28"/>
      <c r="P1252" s="28"/>
      <c r="Q1252" s="28"/>
      <c r="R1252" s="28"/>
      <c r="S1252" s="28"/>
      <c r="T1252" s="28"/>
      <c r="V1252" s="28"/>
      <c r="W1252" s="5"/>
      <c r="X1252" s="5"/>
      <c r="Z1252" s="28"/>
      <c r="AA1252" s="28"/>
      <c r="AB1252" s="28"/>
      <c r="AC1252" s="28"/>
      <c r="AD1252" s="28"/>
      <c r="AE1252" s="28"/>
      <c r="AF1252" s="28"/>
      <c r="AG1252" s="28"/>
      <c r="AH1252" s="28"/>
      <c r="AI1252" s="28"/>
      <c r="AJ1252" s="28"/>
      <c r="AK1252" s="28"/>
      <c r="AL1252" s="28"/>
      <c r="AM1252" s="28"/>
      <c r="AN1252" s="28"/>
      <c r="AO1252" s="28"/>
      <c r="AP1252" s="28"/>
      <c r="AQ1252" s="28"/>
      <c r="AR1252" s="28"/>
      <c r="AS1252" s="28"/>
      <c r="AT1252" s="5"/>
      <c r="AU1252" s="28"/>
      <c r="AV1252" s="28"/>
      <c r="AX1252" s="28"/>
      <c r="AY1252" s="28"/>
      <c r="BA1252" s="28"/>
      <c r="BB1252" s="28"/>
      <c r="BF1252" s="28"/>
      <c r="BH1252" s="28"/>
      <c r="BI1252" s="28"/>
      <c r="BJ1252" s="38"/>
      <c r="BK1252" s="28"/>
    </row>
    <row r="1253" customFormat="false" ht="15.75" hidden="false" customHeight="false" outlineLevel="0" collapsed="false">
      <c r="A1253" s="28"/>
      <c r="B1253" s="28"/>
      <c r="C1253" s="28"/>
      <c r="D1253" s="5"/>
      <c r="E1253" s="38"/>
      <c r="F1253" s="28"/>
      <c r="G1253" s="28"/>
      <c r="H1253" s="38"/>
      <c r="I1253" s="28"/>
      <c r="J1253" s="40"/>
      <c r="K1253" s="40"/>
      <c r="L1253" s="5"/>
      <c r="M1253" s="5"/>
      <c r="N1253" s="28"/>
      <c r="O1253" s="28"/>
      <c r="P1253" s="28"/>
      <c r="Q1253" s="28"/>
      <c r="R1253" s="28"/>
      <c r="S1253" s="28"/>
      <c r="T1253" s="28"/>
      <c r="V1253" s="28"/>
      <c r="W1253" s="5"/>
      <c r="X1253" s="5"/>
      <c r="Z1253" s="28"/>
      <c r="AA1253" s="28"/>
      <c r="AB1253" s="28"/>
      <c r="AC1253" s="28"/>
      <c r="AD1253" s="28"/>
      <c r="AE1253" s="28"/>
      <c r="AF1253" s="28"/>
      <c r="AG1253" s="28"/>
      <c r="AH1253" s="28"/>
      <c r="AI1253" s="28"/>
      <c r="AJ1253" s="28"/>
      <c r="AK1253" s="28"/>
      <c r="AL1253" s="28"/>
      <c r="AM1253" s="28"/>
      <c r="AN1253" s="28"/>
      <c r="AO1253" s="28"/>
      <c r="AP1253" s="28"/>
      <c r="AQ1253" s="28"/>
      <c r="AR1253" s="28"/>
      <c r="AS1253" s="28"/>
      <c r="AT1253" s="5"/>
      <c r="AU1253" s="28"/>
      <c r="AV1253" s="28"/>
      <c r="AX1253" s="28"/>
      <c r="AY1253" s="28"/>
      <c r="BA1253" s="28"/>
      <c r="BB1253" s="28"/>
      <c r="BF1253" s="28"/>
      <c r="BH1253" s="28"/>
      <c r="BI1253" s="28"/>
      <c r="BJ1253" s="38"/>
      <c r="BK1253" s="28"/>
    </row>
    <row r="1254" customFormat="false" ht="15.75" hidden="false" customHeight="false" outlineLevel="0" collapsed="false">
      <c r="A1254" s="28"/>
      <c r="B1254" s="28"/>
      <c r="C1254" s="28"/>
      <c r="D1254" s="5"/>
      <c r="E1254" s="38"/>
      <c r="F1254" s="28"/>
      <c r="G1254" s="28"/>
      <c r="H1254" s="38"/>
      <c r="I1254" s="28"/>
      <c r="J1254" s="40"/>
      <c r="K1254" s="40"/>
      <c r="L1254" s="5"/>
      <c r="M1254" s="5"/>
      <c r="N1254" s="28"/>
      <c r="O1254" s="28"/>
      <c r="P1254" s="28"/>
      <c r="Q1254" s="28"/>
      <c r="R1254" s="28"/>
      <c r="S1254" s="28"/>
      <c r="T1254" s="28"/>
      <c r="V1254" s="28"/>
      <c r="W1254" s="5"/>
      <c r="X1254" s="5"/>
      <c r="Z1254" s="28"/>
      <c r="AA1254" s="28"/>
      <c r="AB1254" s="28"/>
      <c r="AC1254" s="28"/>
      <c r="AD1254" s="28"/>
      <c r="AE1254" s="28"/>
      <c r="AF1254" s="28"/>
      <c r="AG1254" s="28"/>
      <c r="AH1254" s="28"/>
      <c r="AI1254" s="28"/>
      <c r="AJ1254" s="28"/>
      <c r="AK1254" s="28"/>
      <c r="AL1254" s="28"/>
      <c r="AM1254" s="28"/>
      <c r="AN1254" s="28"/>
      <c r="AO1254" s="28"/>
      <c r="AP1254" s="28"/>
      <c r="AQ1254" s="28"/>
      <c r="AR1254" s="28"/>
      <c r="AS1254" s="28"/>
      <c r="AT1254" s="5"/>
      <c r="AU1254" s="28"/>
      <c r="AV1254" s="28"/>
      <c r="AX1254" s="28"/>
      <c r="AY1254" s="28"/>
      <c r="BA1254" s="28"/>
      <c r="BB1254" s="28"/>
      <c r="BF1254" s="28"/>
      <c r="BH1254" s="28"/>
      <c r="BI1254" s="28"/>
      <c r="BJ1254" s="38"/>
      <c r="BK1254" s="28"/>
    </row>
    <row r="1255" customFormat="false" ht="15.75" hidden="false" customHeight="false" outlineLevel="0" collapsed="false">
      <c r="A1255" s="28"/>
      <c r="B1255" s="28"/>
      <c r="C1255" s="28"/>
      <c r="D1255" s="5"/>
      <c r="E1255" s="38"/>
      <c r="F1255" s="28"/>
      <c r="G1255" s="28"/>
      <c r="H1255" s="38"/>
      <c r="I1255" s="28"/>
      <c r="J1255" s="40"/>
      <c r="K1255" s="40"/>
      <c r="L1255" s="5"/>
      <c r="M1255" s="5"/>
      <c r="N1255" s="28"/>
      <c r="O1255" s="28"/>
      <c r="P1255" s="28"/>
      <c r="Q1255" s="28"/>
      <c r="R1255" s="28"/>
      <c r="S1255" s="28"/>
      <c r="T1255" s="28"/>
      <c r="V1255" s="28"/>
      <c r="W1255" s="5"/>
      <c r="X1255" s="5"/>
      <c r="Z1255" s="28"/>
      <c r="AA1255" s="28"/>
      <c r="AB1255" s="28"/>
      <c r="AC1255" s="28"/>
      <c r="AD1255" s="28"/>
      <c r="AE1255" s="28"/>
      <c r="AF1255" s="28"/>
      <c r="AG1255" s="28"/>
      <c r="AH1255" s="28"/>
      <c r="AI1255" s="28"/>
      <c r="AJ1255" s="28"/>
      <c r="AK1255" s="28"/>
      <c r="AL1255" s="28"/>
      <c r="AM1255" s="28"/>
      <c r="AN1255" s="28"/>
      <c r="AO1255" s="28"/>
      <c r="AP1255" s="28"/>
      <c r="AQ1255" s="28"/>
      <c r="AR1255" s="28"/>
      <c r="AS1255" s="28"/>
      <c r="AT1255" s="5"/>
      <c r="AU1255" s="28"/>
      <c r="AV1255" s="28"/>
      <c r="AX1255" s="28"/>
      <c r="AY1255" s="28"/>
      <c r="BA1255" s="28"/>
      <c r="BB1255" s="28"/>
      <c r="BF1255" s="28"/>
      <c r="BH1255" s="28"/>
      <c r="BI1255" s="28"/>
      <c r="BJ1255" s="38"/>
      <c r="BK1255" s="28"/>
    </row>
    <row r="1256" customFormat="false" ht="15.75" hidden="false" customHeight="false" outlineLevel="0" collapsed="false">
      <c r="A1256" s="28"/>
      <c r="B1256" s="28"/>
      <c r="C1256" s="28"/>
      <c r="D1256" s="5"/>
      <c r="E1256" s="38"/>
      <c r="F1256" s="28"/>
      <c r="G1256" s="28"/>
      <c r="H1256" s="38"/>
      <c r="I1256" s="28"/>
      <c r="J1256" s="40"/>
      <c r="K1256" s="40"/>
      <c r="L1256" s="5"/>
      <c r="M1256" s="5"/>
      <c r="N1256" s="28"/>
      <c r="O1256" s="28"/>
      <c r="P1256" s="28"/>
      <c r="Q1256" s="28"/>
      <c r="R1256" s="28"/>
      <c r="S1256" s="28"/>
      <c r="T1256" s="28"/>
      <c r="V1256" s="28"/>
      <c r="W1256" s="5"/>
      <c r="X1256" s="5"/>
      <c r="Z1256" s="28"/>
      <c r="AA1256" s="28"/>
      <c r="AB1256" s="28"/>
      <c r="AC1256" s="28"/>
      <c r="AD1256" s="28"/>
      <c r="AE1256" s="28"/>
      <c r="AF1256" s="28"/>
      <c r="AG1256" s="28"/>
      <c r="AH1256" s="28"/>
      <c r="AI1256" s="28"/>
      <c r="AJ1256" s="28"/>
      <c r="AK1256" s="28"/>
      <c r="AL1256" s="28"/>
      <c r="AM1256" s="28"/>
      <c r="AN1256" s="28"/>
      <c r="AO1256" s="28"/>
      <c r="AP1256" s="28"/>
      <c r="AQ1256" s="28"/>
      <c r="AR1256" s="28"/>
      <c r="AS1256" s="28"/>
      <c r="AT1256" s="5"/>
      <c r="AU1256" s="28"/>
      <c r="AV1256" s="28"/>
      <c r="AX1256" s="28"/>
      <c r="AY1256" s="28"/>
      <c r="BA1256" s="28"/>
      <c r="BB1256" s="28"/>
      <c r="BF1256" s="28"/>
      <c r="BH1256" s="28"/>
      <c r="BI1256" s="28"/>
      <c r="BJ1256" s="38"/>
      <c r="BK1256" s="28"/>
    </row>
    <row r="1257" customFormat="false" ht="15.75" hidden="false" customHeight="false" outlineLevel="0" collapsed="false">
      <c r="A1257" s="28"/>
      <c r="B1257" s="28"/>
      <c r="C1257" s="28"/>
      <c r="D1257" s="5"/>
      <c r="E1257" s="38"/>
      <c r="F1257" s="28"/>
      <c r="G1257" s="28"/>
      <c r="H1257" s="38"/>
      <c r="I1257" s="28"/>
      <c r="J1257" s="40"/>
      <c r="K1257" s="40"/>
      <c r="L1257" s="5"/>
      <c r="M1257" s="5"/>
      <c r="N1257" s="28"/>
      <c r="O1257" s="28"/>
      <c r="P1257" s="28"/>
      <c r="Q1257" s="28"/>
      <c r="R1257" s="28"/>
      <c r="S1257" s="28"/>
      <c r="T1257" s="28"/>
      <c r="V1257" s="28"/>
      <c r="W1257" s="5"/>
      <c r="X1257" s="5"/>
      <c r="Z1257" s="28"/>
      <c r="AA1257" s="28"/>
      <c r="AB1257" s="28"/>
      <c r="AC1257" s="28"/>
      <c r="AD1257" s="28"/>
      <c r="AE1257" s="28"/>
      <c r="AF1257" s="28"/>
      <c r="AG1257" s="28"/>
      <c r="AH1257" s="28"/>
      <c r="AI1257" s="28"/>
      <c r="AJ1257" s="28"/>
      <c r="AK1257" s="28"/>
      <c r="AL1257" s="28"/>
      <c r="AM1257" s="28"/>
      <c r="AN1257" s="28"/>
      <c r="AO1257" s="28"/>
      <c r="AP1257" s="28"/>
      <c r="AQ1257" s="28"/>
      <c r="AR1257" s="28"/>
      <c r="AS1257" s="28"/>
      <c r="AT1257" s="5"/>
      <c r="AU1257" s="28"/>
      <c r="AV1257" s="28"/>
      <c r="AX1257" s="28"/>
      <c r="AY1257" s="28"/>
      <c r="BA1257" s="28"/>
      <c r="BB1257" s="28"/>
      <c r="BF1257" s="28"/>
      <c r="BH1257" s="28"/>
      <c r="BI1257" s="28"/>
      <c r="BJ1257" s="38"/>
      <c r="BK1257" s="28"/>
    </row>
    <row r="1258" customFormat="false" ht="15.75" hidden="false" customHeight="false" outlineLevel="0" collapsed="false">
      <c r="A1258" s="28"/>
      <c r="B1258" s="28"/>
      <c r="C1258" s="28"/>
      <c r="D1258" s="5"/>
      <c r="E1258" s="38"/>
      <c r="F1258" s="28"/>
      <c r="G1258" s="28"/>
      <c r="H1258" s="38"/>
      <c r="I1258" s="28"/>
      <c r="J1258" s="40"/>
      <c r="K1258" s="40"/>
      <c r="L1258" s="5"/>
      <c r="M1258" s="5"/>
      <c r="N1258" s="28"/>
      <c r="O1258" s="28"/>
      <c r="P1258" s="28"/>
      <c r="Q1258" s="28"/>
      <c r="R1258" s="28"/>
      <c r="S1258" s="28"/>
      <c r="T1258" s="28"/>
      <c r="V1258" s="28"/>
      <c r="W1258" s="5"/>
      <c r="X1258" s="5"/>
      <c r="Z1258" s="28"/>
      <c r="AA1258" s="28"/>
      <c r="AB1258" s="28"/>
      <c r="AC1258" s="28"/>
      <c r="AD1258" s="28"/>
      <c r="AE1258" s="28"/>
      <c r="AF1258" s="28"/>
      <c r="AG1258" s="28"/>
      <c r="AH1258" s="28"/>
      <c r="AI1258" s="28"/>
      <c r="AJ1258" s="28"/>
      <c r="AK1258" s="28"/>
      <c r="AL1258" s="28"/>
      <c r="AM1258" s="28"/>
      <c r="AN1258" s="28"/>
      <c r="AO1258" s="28"/>
      <c r="AP1258" s="28"/>
      <c r="AQ1258" s="28"/>
      <c r="AR1258" s="28"/>
      <c r="AS1258" s="28"/>
      <c r="AT1258" s="5"/>
      <c r="AU1258" s="28"/>
      <c r="AV1258" s="28"/>
      <c r="AX1258" s="28"/>
      <c r="AY1258" s="28"/>
      <c r="BA1258" s="28"/>
      <c r="BB1258" s="28"/>
      <c r="BF1258" s="28"/>
      <c r="BH1258" s="28"/>
      <c r="BI1258" s="28"/>
      <c r="BJ1258" s="38"/>
      <c r="BK1258" s="28"/>
    </row>
    <row r="1259" customFormat="false" ht="15.75" hidden="false" customHeight="false" outlineLevel="0" collapsed="false">
      <c r="A1259" s="28"/>
      <c r="B1259" s="28"/>
      <c r="C1259" s="28"/>
      <c r="D1259" s="5"/>
      <c r="E1259" s="38"/>
      <c r="F1259" s="28"/>
      <c r="G1259" s="28"/>
      <c r="H1259" s="38"/>
      <c r="I1259" s="28"/>
      <c r="J1259" s="40"/>
      <c r="K1259" s="40"/>
      <c r="L1259" s="5"/>
      <c r="M1259" s="5"/>
      <c r="N1259" s="28"/>
      <c r="O1259" s="28"/>
      <c r="P1259" s="28"/>
      <c r="Q1259" s="28"/>
      <c r="R1259" s="28"/>
      <c r="S1259" s="28"/>
      <c r="T1259" s="28"/>
      <c r="V1259" s="28"/>
      <c r="W1259" s="5"/>
      <c r="X1259" s="5"/>
      <c r="Z1259" s="28"/>
      <c r="AA1259" s="28"/>
      <c r="AB1259" s="28"/>
      <c r="AC1259" s="28"/>
      <c r="AD1259" s="28"/>
      <c r="AE1259" s="28"/>
      <c r="AF1259" s="28"/>
      <c r="AG1259" s="28"/>
      <c r="AH1259" s="28"/>
      <c r="AI1259" s="28"/>
      <c r="AJ1259" s="28"/>
      <c r="AK1259" s="28"/>
      <c r="AL1259" s="28"/>
      <c r="AM1259" s="28"/>
      <c r="AN1259" s="28"/>
      <c r="AO1259" s="28"/>
      <c r="AP1259" s="28"/>
      <c r="AQ1259" s="28"/>
      <c r="AR1259" s="28"/>
      <c r="AS1259" s="28"/>
      <c r="AT1259" s="5"/>
      <c r="AU1259" s="28"/>
      <c r="AV1259" s="28"/>
      <c r="AX1259" s="28"/>
      <c r="AY1259" s="28"/>
      <c r="BA1259" s="28"/>
      <c r="BB1259" s="28"/>
      <c r="BF1259" s="28"/>
      <c r="BH1259" s="28"/>
      <c r="BI1259" s="28"/>
      <c r="BJ1259" s="38"/>
      <c r="BK1259" s="28"/>
    </row>
    <row r="1260" customFormat="false" ht="15.75" hidden="false" customHeight="false" outlineLevel="0" collapsed="false">
      <c r="A1260" s="28"/>
      <c r="B1260" s="28"/>
      <c r="C1260" s="28"/>
      <c r="D1260" s="5"/>
      <c r="E1260" s="38"/>
      <c r="F1260" s="28"/>
      <c r="G1260" s="28"/>
      <c r="H1260" s="38"/>
      <c r="I1260" s="28"/>
      <c r="J1260" s="40"/>
      <c r="K1260" s="40"/>
      <c r="L1260" s="5"/>
      <c r="M1260" s="5"/>
      <c r="N1260" s="28"/>
      <c r="O1260" s="28"/>
      <c r="P1260" s="28"/>
      <c r="Q1260" s="28"/>
      <c r="R1260" s="28"/>
      <c r="S1260" s="28"/>
      <c r="T1260" s="28"/>
      <c r="V1260" s="28"/>
      <c r="W1260" s="5"/>
      <c r="X1260" s="5"/>
      <c r="Z1260" s="28"/>
      <c r="AA1260" s="28"/>
      <c r="AB1260" s="28"/>
      <c r="AC1260" s="28"/>
      <c r="AD1260" s="28"/>
      <c r="AE1260" s="28"/>
      <c r="AF1260" s="28"/>
      <c r="AG1260" s="28"/>
      <c r="AH1260" s="28"/>
      <c r="AI1260" s="28"/>
      <c r="AJ1260" s="28"/>
      <c r="AK1260" s="28"/>
      <c r="AL1260" s="28"/>
      <c r="AM1260" s="28"/>
      <c r="AN1260" s="28"/>
      <c r="AO1260" s="28"/>
      <c r="AP1260" s="28"/>
      <c r="AQ1260" s="28"/>
      <c r="AR1260" s="28"/>
      <c r="AS1260" s="28"/>
      <c r="AT1260" s="5"/>
      <c r="AU1260" s="28"/>
      <c r="AV1260" s="28"/>
      <c r="AX1260" s="28"/>
      <c r="AY1260" s="28"/>
      <c r="BA1260" s="28"/>
      <c r="BB1260" s="28"/>
      <c r="BF1260" s="28"/>
      <c r="BH1260" s="28"/>
      <c r="BI1260" s="28"/>
      <c r="BJ1260" s="38"/>
      <c r="BK1260" s="28"/>
    </row>
    <row r="1261" customFormat="false" ht="15.75" hidden="false" customHeight="false" outlineLevel="0" collapsed="false">
      <c r="A1261" s="28"/>
      <c r="B1261" s="28"/>
      <c r="C1261" s="28"/>
      <c r="D1261" s="5"/>
      <c r="E1261" s="38"/>
      <c r="F1261" s="28"/>
      <c r="G1261" s="28"/>
      <c r="H1261" s="38"/>
      <c r="I1261" s="28"/>
      <c r="J1261" s="40"/>
      <c r="K1261" s="40"/>
      <c r="L1261" s="5"/>
      <c r="M1261" s="5"/>
      <c r="N1261" s="28"/>
      <c r="O1261" s="28"/>
      <c r="P1261" s="28"/>
      <c r="Q1261" s="28"/>
      <c r="R1261" s="28"/>
      <c r="S1261" s="28"/>
      <c r="T1261" s="28"/>
      <c r="V1261" s="28"/>
      <c r="W1261" s="5"/>
      <c r="X1261" s="5"/>
      <c r="Z1261" s="28"/>
      <c r="AA1261" s="28"/>
      <c r="AB1261" s="28"/>
      <c r="AC1261" s="28"/>
      <c r="AD1261" s="28"/>
      <c r="AE1261" s="28"/>
      <c r="AF1261" s="28"/>
      <c r="AG1261" s="28"/>
      <c r="AH1261" s="28"/>
      <c r="AI1261" s="28"/>
      <c r="AJ1261" s="28"/>
      <c r="AK1261" s="28"/>
      <c r="AL1261" s="28"/>
      <c r="AM1261" s="28"/>
      <c r="AN1261" s="28"/>
      <c r="AO1261" s="28"/>
      <c r="AP1261" s="28"/>
      <c r="AQ1261" s="28"/>
      <c r="AR1261" s="28"/>
      <c r="AS1261" s="28"/>
      <c r="AT1261" s="5"/>
      <c r="AU1261" s="28"/>
      <c r="AV1261" s="28"/>
      <c r="AX1261" s="28"/>
      <c r="AY1261" s="28"/>
      <c r="BA1261" s="28"/>
      <c r="BB1261" s="28"/>
      <c r="BF1261" s="28"/>
      <c r="BH1261" s="28"/>
      <c r="BI1261" s="28"/>
      <c r="BJ1261" s="38"/>
      <c r="BK1261" s="28"/>
    </row>
    <row r="1262" customFormat="false" ht="15.75" hidden="false" customHeight="false" outlineLevel="0" collapsed="false">
      <c r="A1262" s="28"/>
      <c r="B1262" s="28"/>
      <c r="C1262" s="28"/>
      <c r="D1262" s="5"/>
      <c r="E1262" s="38"/>
      <c r="F1262" s="28"/>
      <c r="G1262" s="28"/>
      <c r="H1262" s="38"/>
      <c r="I1262" s="28"/>
      <c r="J1262" s="40"/>
      <c r="K1262" s="40"/>
      <c r="L1262" s="5"/>
      <c r="M1262" s="5"/>
      <c r="N1262" s="28"/>
      <c r="O1262" s="28"/>
      <c r="P1262" s="28"/>
      <c r="Q1262" s="28"/>
      <c r="R1262" s="28"/>
      <c r="S1262" s="28"/>
      <c r="T1262" s="28"/>
      <c r="V1262" s="28"/>
      <c r="W1262" s="5"/>
      <c r="X1262" s="5"/>
      <c r="Z1262" s="28"/>
      <c r="AA1262" s="28"/>
      <c r="AB1262" s="28"/>
      <c r="AC1262" s="28"/>
      <c r="AD1262" s="28"/>
      <c r="AE1262" s="28"/>
      <c r="AF1262" s="28"/>
      <c r="AG1262" s="28"/>
      <c r="AH1262" s="28"/>
      <c r="AI1262" s="28"/>
      <c r="AJ1262" s="28"/>
      <c r="AK1262" s="28"/>
      <c r="AL1262" s="28"/>
      <c r="AM1262" s="28"/>
      <c r="AN1262" s="28"/>
      <c r="AO1262" s="28"/>
      <c r="AP1262" s="28"/>
      <c r="AQ1262" s="28"/>
      <c r="AR1262" s="28"/>
      <c r="AS1262" s="28"/>
      <c r="AT1262" s="5"/>
      <c r="AU1262" s="28"/>
      <c r="AV1262" s="28"/>
      <c r="AX1262" s="28"/>
      <c r="AY1262" s="28"/>
      <c r="BA1262" s="28"/>
      <c r="BB1262" s="28"/>
      <c r="BF1262" s="28"/>
      <c r="BH1262" s="28"/>
      <c r="BI1262" s="28"/>
      <c r="BJ1262" s="38"/>
      <c r="BK1262" s="28"/>
    </row>
    <row r="1263" customFormat="false" ht="15.75" hidden="false" customHeight="false" outlineLevel="0" collapsed="false">
      <c r="A1263" s="28"/>
      <c r="B1263" s="28"/>
      <c r="C1263" s="28"/>
      <c r="D1263" s="5"/>
      <c r="E1263" s="38"/>
      <c r="F1263" s="28"/>
      <c r="G1263" s="28"/>
      <c r="H1263" s="38"/>
      <c r="I1263" s="28"/>
      <c r="J1263" s="40"/>
      <c r="K1263" s="40"/>
      <c r="L1263" s="5"/>
      <c r="M1263" s="5"/>
      <c r="N1263" s="28"/>
      <c r="O1263" s="28"/>
      <c r="P1263" s="28"/>
      <c r="Q1263" s="28"/>
      <c r="R1263" s="28"/>
      <c r="S1263" s="28"/>
      <c r="T1263" s="28"/>
      <c r="V1263" s="28"/>
      <c r="W1263" s="5"/>
      <c r="X1263" s="5"/>
      <c r="Z1263" s="28"/>
      <c r="AA1263" s="28"/>
      <c r="AB1263" s="28"/>
      <c r="AC1263" s="28"/>
      <c r="AD1263" s="28"/>
      <c r="AE1263" s="28"/>
      <c r="AF1263" s="28"/>
      <c r="AG1263" s="28"/>
      <c r="AH1263" s="28"/>
      <c r="AI1263" s="28"/>
      <c r="AJ1263" s="28"/>
      <c r="AK1263" s="28"/>
      <c r="AL1263" s="28"/>
      <c r="AM1263" s="28"/>
      <c r="AN1263" s="28"/>
      <c r="AO1263" s="28"/>
      <c r="AP1263" s="28"/>
      <c r="AQ1263" s="28"/>
      <c r="AR1263" s="28"/>
      <c r="AS1263" s="28"/>
      <c r="AT1263" s="5"/>
      <c r="AU1263" s="28"/>
      <c r="AV1263" s="28"/>
      <c r="AX1263" s="28"/>
      <c r="AY1263" s="28"/>
      <c r="BA1263" s="28"/>
      <c r="BB1263" s="28"/>
      <c r="BF1263" s="28"/>
      <c r="BH1263" s="28"/>
      <c r="BI1263" s="28"/>
      <c r="BJ1263" s="38"/>
      <c r="BK1263" s="28"/>
    </row>
    <row r="1264" customFormat="false" ht="15.75" hidden="false" customHeight="false" outlineLevel="0" collapsed="false">
      <c r="A1264" s="28"/>
      <c r="B1264" s="28"/>
      <c r="C1264" s="28"/>
      <c r="D1264" s="5"/>
      <c r="E1264" s="38"/>
      <c r="F1264" s="28"/>
      <c r="G1264" s="28"/>
      <c r="H1264" s="38"/>
      <c r="I1264" s="28"/>
      <c r="J1264" s="40"/>
      <c r="K1264" s="40"/>
      <c r="L1264" s="5"/>
      <c r="M1264" s="5"/>
      <c r="N1264" s="28"/>
      <c r="O1264" s="28"/>
      <c r="P1264" s="28"/>
      <c r="Q1264" s="28"/>
      <c r="R1264" s="28"/>
      <c r="S1264" s="28"/>
      <c r="T1264" s="28"/>
      <c r="V1264" s="28"/>
      <c r="W1264" s="5"/>
      <c r="X1264" s="5"/>
      <c r="Z1264" s="28"/>
      <c r="AA1264" s="28"/>
      <c r="AB1264" s="28"/>
      <c r="AC1264" s="28"/>
      <c r="AD1264" s="28"/>
      <c r="AE1264" s="28"/>
      <c r="AF1264" s="28"/>
      <c r="AG1264" s="28"/>
      <c r="AH1264" s="28"/>
      <c r="AI1264" s="28"/>
      <c r="AJ1264" s="28"/>
      <c r="AK1264" s="28"/>
      <c r="AL1264" s="28"/>
      <c r="AM1264" s="28"/>
      <c r="AN1264" s="28"/>
      <c r="AO1264" s="28"/>
      <c r="AP1264" s="28"/>
      <c r="AQ1264" s="28"/>
      <c r="AR1264" s="28"/>
      <c r="AS1264" s="28"/>
      <c r="AT1264" s="5"/>
      <c r="AU1264" s="28"/>
      <c r="AV1264" s="28"/>
      <c r="AX1264" s="28"/>
      <c r="AY1264" s="28"/>
      <c r="BA1264" s="28"/>
      <c r="BB1264" s="28"/>
      <c r="BF1264" s="28"/>
      <c r="BH1264" s="28"/>
      <c r="BI1264" s="28"/>
      <c r="BJ1264" s="38"/>
      <c r="BK1264" s="28"/>
    </row>
    <row r="1265" customFormat="false" ht="15.75" hidden="false" customHeight="false" outlineLevel="0" collapsed="false">
      <c r="A1265" s="28"/>
      <c r="B1265" s="28"/>
      <c r="C1265" s="28"/>
      <c r="D1265" s="5"/>
      <c r="E1265" s="38"/>
      <c r="F1265" s="28"/>
      <c r="G1265" s="28"/>
      <c r="H1265" s="38"/>
      <c r="I1265" s="28"/>
      <c r="J1265" s="40"/>
      <c r="K1265" s="40"/>
      <c r="L1265" s="5"/>
      <c r="M1265" s="5"/>
      <c r="N1265" s="28"/>
      <c r="O1265" s="28"/>
      <c r="P1265" s="28"/>
      <c r="Q1265" s="28"/>
      <c r="R1265" s="28"/>
      <c r="S1265" s="28"/>
      <c r="T1265" s="28"/>
      <c r="V1265" s="28"/>
      <c r="W1265" s="5"/>
      <c r="X1265" s="5"/>
      <c r="Z1265" s="28"/>
      <c r="AA1265" s="28"/>
      <c r="AB1265" s="28"/>
      <c r="AC1265" s="28"/>
      <c r="AD1265" s="28"/>
      <c r="AE1265" s="28"/>
      <c r="AF1265" s="28"/>
      <c r="AG1265" s="28"/>
      <c r="AH1265" s="28"/>
      <c r="AI1265" s="28"/>
      <c r="AJ1265" s="28"/>
      <c r="AK1265" s="28"/>
      <c r="AL1265" s="28"/>
      <c r="AM1265" s="28"/>
      <c r="AN1265" s="28"/>
      <c r="AO1265" s="28"/>
      <c r="AP1265" s="28"/>
      <c r="AQ1265" s="28"/>
      <c r="AR1265" s="28"/>
      <c r="AS1265" s="28"/>
      <c r="AT1265" s="5"/>
      <c r="AU1265" s="28"/>
      <c r="AV1265" s="28"/>
      <c r="AX1265" s="28"/>
      <c r="AY1265" s="28"/>
      <c r="BA1265" s="28"/>
      <c r="BB1265" s="28"/>
      <c r="BF1265" s="28"/>
      <c r="BH1265" s="28"/>
      <c r="BI1265" s="28"/>
      <c r="BJ1265" s="38"/>
      <c r="BK1265" s="28"/>
    </row>
    <row r="1266" customFormat="false" ht="15.75" hidden="false" customHeight="false" outlineLevel="0" collapsed="false">
      <c r="A1266" s="28"/>
      <c r="B1266" s="28"/>
      <c r="C1266" s="28"/>
      <c r="D1266" s="5"/>
      <c r="E1266" s="38"/>
      <c r="F1266" s="28"/>
      <c r="G1266" s="28"/>
      <c r="H1266" s="38"/>
      <c r="I1266" s="28"/>
      <c r="J1266" s="40"/>
      <c r="K1266" s="40"/>
      <c r="L1266" s="5"/>
      <c r="M1266" s="5"/>
      <c r="N1266" s="28"/>
      <c r="O1266" s="28"/>
      <c r="P1266" s="28"/>
      <c r="Q1266" s="28"/>
      <c r="R1266" s="28"/>
      <c r="S1266" s="28"/>
      <c r="T1266" s="28"/>
      <c r="V1266" s="28"/>
      <c r="W1266" s="5"/>
      <c r="X1266" s="5"/>
      <c r="Z1266" s="28"/>
      <c r="AA1266" s="28"/>
      <c r="AB1266" s="28"/>
      <c r="AC1266" s="28"/>
      <c r="AD1266" s="28"/>
      <c r="AE1266" s="28"/>
      <c r="AF1266" s="28"/>
      <c r="AG1266" s="28"/>
      <c r="AH1266" s="28"/>
      <c r="AI1266" s="28"/>
      <c r="AJ1266" s="28"/>
      <c r="AK1266" s="28"/>
      <c r="AL1266" s="28"/>
      <c r="AM1266" s="28"/>
      <c r="AN1266" s="28"/>
      <c r="AO1266" s="28"/>
      <c r="AP1266" s="28"/>
      <c r="AQ1266" s="28"/>
      <c r="AR1266" s="28"/>
      <c r="AS1266" s="28"/>
      <c r="AT1266" s="5"/>
      <c r="AU1266" s="28"/>
      <c r="AV1266" s="28"/>
      <c r="AX1266" s="28"/>
      <c r="AY1266" s="28"/>
      <c r="BA1266" s="28"/>
      <c r="BB1266" s="28"/>
      <c r="BF1266" s="28"/>
      <c r="BH1266" s="28"/>
      <c r="BI1266" s="28"/>
      <c r="BJ1266" s="38"/>
      <c r="BK1266" s="28"/>
    </row>
    <row r="1267" customFormat="false" ht="15.75" hidden="false" customHeight="false" outlineLevel="0" collapsed="false">
      <c r="A1267" s="28"/>
      <c r="B1267" s="28"/>
      <c r="C1267" s="28"/>
      <c r="D1267" s="5"/>
      <c r="E1267" s="38"/>
      <c r="F1267" s="28"/>
      <c r="G1267" s="28"/>
      <c r="H1267" s="38"/>
      <c r="I1267" s="28"/>
      <c r="J1267" s="40"/>
      <c r="K1267" s="40"/>
      <c r="L1267" s="5"/>
      <c r="M1267" s="5"/>
      <c r="N1267" s="28"/>
      <c r="O1267" s="28"/>
      <c r="P1267" s="28"/>
      <c r="Q1267" s="28"/>
      <c r="R1267" s="28"/>
      <c r="S1267" s="28"/>
      <c r="T1267" s="28"/>
      <c r="V1267" s="28"/>
      <c r="W1267" s="5"/>
      <c r="X1267" s="5"/>
      <c r="Z1267" s="28"/>
      <c r="AA1267" s="28"/>
      <c r="AB1267" s="28"/>
      <c r="AC1267" s="28"/>
      <c r="AD1267" s="28"/>
      <c r="AE1267" s="28"/>
      <c r="AF1267" s="28"/>
      <c r="AG1267" s="28"/>
      <c r="AH1267" s="28"/>
      <c r="AI1267" s="28"/>
      <c r="AJ1267" s="28"/>
      <c r="AK1267" s="28"/>
      <c r="AL1267" s="28"/>
      <c r="AM1267" s="28"/>
      <c r="AN1267" s="28"/>
      <c r="AO1267" s="28"/>
      <c r="AP1267" s="28"/>
      <c r="AQ1267" s="28"/>
      <c r="AR1267" s="28"/>
      <c r="AS1267" s="28"/>
      <c r="AT1267" s="5"/>
      <c r="AU1267" s="28"/>
      <c r="AV1267" s="28"/>
      <c r="AX1267" s="28"/>
      <c r="AY1267" s="28"/>
      <c r="BA1267" s="28"/>
      <c r="BB1267" s="28"/>
      <c r="BF1267" s="28"/>
      <c r="BH1267" s="28"/>
      <c r="BI1267" s="28"/>
      <c r="BJ1267" s="38"/>
      <c r="BK1267" s="28"/>
    </row>
    <row r="1268" customFormat="false" ht="15.75" hidden="false" customHeight="false" outlineLevel="0" collapsed="false">
      <c r="A1268" s="28"/>
      <c r="B1268" s="28"/>
      <c r="C1268" s="28"/>
      <c r="D1268" s="5"/>
      <c r="E1268" s="38"/>
      <c r="F1268" s="28"/>
      <c r="G1268" s="28"/>
      <c r="H1268" s="38"/>
      <c r="I1268" s="28"/>
      <c r="J1268" s="40"/>
      <c r="K1268" s="40"/>
      <c r="L1268" s="5"/>
      <c r="M1268" s="5"/>
      <c r="N1268" s="28"/>
      <c r="O1268" s="28"/>
      <c r="P1268" s="28"/>
      <c r="Q1268" s="28"/>
      <c r="R1268" s="28"/>
      <c r="S1268" s="28"/>
      <c r="T1268" s="28"/>
      <c r="V1268" s="28"/>
      <c r="W1268" s="5"/>
      <c r="X1268" s="5"/>
      <c r="Z1268" s="28"/>
      <c r="AA1268" s="28"/>
      <c r="AB1268" s="28"/>
      <c r="AC1268" s="28"/>
      <c r="AD1268" s="28"/>
      <c r="AE1268" s="28"/>
      <c r="AF1268" s="28"/>
      <c r="AG1268" s="28"/>
      <c r="AH1268" s="28"/>
      <c r="AI1268" s="28"/>
      <c r="AJ1268" s="28"/>
      <c r="AK1268" s="28"/>
      <c r="AL1268" s="28"/>
      <c r="AM1268" s="28"/>
      <c r="AN1268" s="28"/>
      <c r="AO1268" s="28"/>
      <c r="AP1268" s="28"/>
      <c r="AQ1268" s="28"/>
      <c r="AR1268" s="28"/>
      <c r="AS1268" s="28"/>
      <c r="AT1268" s="5"/>
      <c r="AU1268" s="28"/>
      <c r="AV1268" s="28"/>
      <c r="AX1268" s="28"/>
      <c r="AY1268" s="28"/>
      <c r="BA1268" s="28"/>
      <c r="BB1268" s="28"/>
      <c r="BF1268" s="28"/>
      <c r="BH1268" s="28"/>
      <c r="BI1268" s="28"/>
      <c r="BJ1268" s="38"/>
      <c r="BK1268" s="28"/>
    </row>
    <row r="1269" customFormat="false" ht="15.75" hidden="false" customHeight="false" outlineLevel="0" collapsed="false">
      <c r="A1269" s="28"/>
      <c r="B1269" s="28"/>
      <c r="C1269" s="28"/>
      <c r="D1269" s="5"/>
      <c r="E1269" s="38"/>
      <c r="F1269" s="28"/>
      <c r="G1269" s="28"/>
      <c r="H1269" s="38"/>
      <c r="I1269" s="28"/>
      <c r="J1269" s="40"/>
      <c r="K1269" s="40"/>
      <c r="L1269" s="5"/>
      <c r="M1269" s="5"/>
      <c r="N1269" s="28"/>
      <c r="O1269" s="28"/>
      <c r="P1269" s="28"/>
      <c r="Q1269" s="28"/>
      <c r="R1269" s="28"/>
      <c r="S1269" s="28"/>
      <c r="T1269" s="28"/>
      <c r="V1269" s="28"/>
      <c r="W1269" s="5"/>
      <c r="X1269" s="5"/>
      <c r="Z1269" s="28"/>
      <c r="AA1269" s="28"/>
      <c r="AB1269" s="28"/>
      <c r="AC1269" s="28"/>
      <c r="AD1269" s="28"/>
      <c r="AE1269" s="28"/>
      <c r="AF1269" s="28"/>
      <c r="AG1269" s="28"/>
      <c r="AH1269" s="28"/>
      <c r="AI1269" s="28"/>
      <c r="AJ1269" s="28"/>
      <c r="AK1269" s="28"/>
      <c r="AL1269" s="28"/>
      <c r="AM1269" s="28"/>
      <c r="AN1269" s="28"/>
      <c r="AO1269" s="28"/>
      <c r="AP1269" s="28"/>
      <c r="AQ1269" s="28"/>
      <c r="AR1269" s="28"/>
      <c r="AS1269" s="28"/>
      <c r="AT1269" s="5"/>
      <c r="AU1269" s="28"/>
      <c r="AV1269" s="28"/>
      <c r="AX1269" s="28"/>
      <c r="AY1269" s="28"/>
      <c r="BA1269" s="28"/>
      <c r="BB1269" s="28"/>
      <c r="BF1269" s="28"/>
      <c r="BH1269" s="28"/>
      <c r="BI1269" s="28"/>
      <c r="BJ1269" s="38"/>
      <c r="BK1269" s="28"/>
    </row>
    <row r="1270" customFormat="false" ht="15.75" hidden="false" customHeight="false" outlineLevel="0" collapsed="false">
      <c r="A1270" s="28"/>
      <c r="B1270" s="28"/>
      <c r="C1270" s="28"/>
      <c r="D1270" s="5"/>
      <c r="E1270" s="38"/>
      <c r="F1270" s="28"/>
      <c r="G1270" s="28"/>
      <c r="H1270" s="38"/>
      <c r="I1270" s="28"/>
      <c r="J1270" s="40"/>
      <c r="K1270" s="40"/>
      <c r="L1270" s="5"/>
      <c r="M1270" s="5"/>
      <c r="N1270" s="28"/>
      <c r="O1270" s="28"/>
      <c r="P1270" s="28"/>
      <c r="Q1270" s="28"/>
      <c r="R1270" s="28"/>
      <c r="S1270" s="28"/>
      <c r="T1270" s="28"/>
      <c r="V1270" s="28"/>
      <c r="W1270" s="5"/>
      <c r="X1270" s="5"/>
      <c r="Z1270" s="28"/>
      <c r="AA1270" s="28"/>
      <c r="AB1270" s="28"/>
      <c r="AC1270" s="28"/>
      <c r="AD1270" s="28"/>
      <c r="AE1270" s="28"/>
      <c r="AF1270" s="28"/>
      <c r="AG1270" s="28"/>
      <c r="AH1270" s="28"/>
      <c r="AI1270" s="28"/>
      <c r="AJ1270" s="28"/>
      <c r="AK1270" s="28"/>
      <c r="AL1270" s="28"/>
      <c r="AM1270" s="28"/>
      <c r="AN1270" s="28"/>
      <c r="AO1270" s="28"/>
      <c r="AP1270" s="28"/>
      <c r="AQ1270" s="28"/>
      <c r="AR1270" s="28"/>
      <c r="AS1270" s="28"/>
      <c r="AT1270" s="5"/>
      <c r="AU1270" s="28"/>
      <c r="AV1270" s="28"/>
      <c r="AX1270" s="28"/>
      <c r="AY1270" s="28"/>
      <c r="BA1270" s="28"/>
      <c r="BB1270" s="28"/>
      <c r="BF1270" s="28"/>
      <c r="BH1270" s="28"/>
      <c r="BI1270" s="28"/>
      <c r="BJ1270" s="38"/>
      <c r="BK1270" s="28"/>
    </row>
    <row r="1271" customFormat="false" ht="15.75" hidden="false" customHeight="false" outlineLevel="0" collapsed="false">
      <c r="A1271" s="28"/>
      <c r="B1271" s="28"/>
      <c r="C1271" s="28"/>
      <c r="D1271" s="5"/>
      <c r="E1271" s="38"/>
      <c r="F1271" s="28"/>
      <c r="G1271" s="28"/>
      <c r="H1271" s="38"/>
      <c r="I1271" s="28"/>
      <c r="J1271" s="40"/>
      <c r="K1271" s="40"/>
      <c r="L1271" s="5"/>
      <c r="M1271" s="5"/>
      <c r="N1271" s="28"/>
      <c r="O1271" s="28"/>
      <c r="P1271" s="28"/>
      <c r="Q1271" s="28"/>
      <c r="R1271" s="28"/>
      <c r="S1271" s="28"/>
      <c r="T1271" s="28"/>
      <c r="V1271" s="28"/>
      <c r="W1271" s="5"/>
      <c r="X1271" s="5"/>
      <c r="Z1271" s="28"/>
      <c r="AA1271" s="28"/>
      <c r="AB1271" s="28"/>
      <c r="AC1271" s="28"/>
      <c r="AD1271" s="28"/>
      <c r="AE1271" s="28"/>
      <c r="AF1271" s="28"/>
      <c r="AG1271" s="28"/>
      <c r="AH1271" s="28"/>
      <c r="AI1271" s="28"/>
      <c r="AJ1271" s="28"/>
      <c r="AK1271" s="28"/>
      <c r="AL1271" s="28"/>
      <c r="AM1271" s="28"/>
      <c r="AN1271" s="28"/>
      <c r="AO1271" s="28"/>
      <c r="AP1271" s="28"/>
      <c r="AQ1271" s="28"/>
      <c r="AR1271" s="28"/>
      <c r="AS1271" s="28"/>
      <c r="AT1271" s="5"/>
      <c r="AU1271" s="28"/>
      <c r="AV1271" s="28"/>
      <c r="AX1271" s="28"/>
      <c r="AY1271" s="28"/>
      <c r="BA1271" s="28"/>
      <c r="BB1271" s="28"/>
      <c r="BF1271" s="28"/>
      <c r="BH1271" s="28"/>
      <c r="BI1271" s="28"/>
      <c r="BJ1271" s="38"/>
      <c r="BK1271" s="28"/>
    </row>
    <row r="1272" customFormat="false" ht="15.75" hidden="false" customHeight="false" outlineLevel="0" collapsed="false">
      <c r="A1272" s="28"/>
      <c r="B1272" s="28"/>
      <c r="C1272" s="28"/>
      <c r="D1272" s="5"/>
      <c r="E1272" s="38"/>
      <c r="F1272" s="28"/>
      <c r="G1272" s="28"/>
      <c r="H1272" s="38"/>
      <c r="I1272" s="28"/>
      <c r="J1272" s="40"/>
      <c r="K1272" s="40"/>
      <c r="L1272" s="5"/>
      <c r="M1272" s="5"/>
      <c r="N1272" s="28"/>
      <c r="O1272" s="28"/>
      <c r="P1272" s="28"/>
      <c r="Q1272" s="28"/>
      <c r="R1272" s="28"/>
      <c r="S1272" s="28"/>
      <c r="T1272" s="28"/>
      <c r="V1272" s="28"/>
      <c r="W1272" s="5"/>
      <c r="X1272" s="5"/>
      <c r="Z1272" s="28"/>
      <c r="AA1272" s="28"/>
      <c r="AB1272" s="28"/>
      <c r="AC1272" s="28"/>
      <c r="AD1272" s="28"/>
      <c r="AE1272" s="28"/>
      <c r="AF1272" s="28"/>
      <c r="AG1272" s="28"/>
      <c r="AH1272" s="28"/>
      <c r="AI1272" s="28"/>
      <c r="AJ1272" s="28"/>
      <c r="AK1272" s="28"/>
      <c r="AL1272" s="28"/>
      <c r="AM1272" s="28"/>
      <c r="AN1272" s="28"/>
      <c r="AO1272" s="28"/>
      <c r="AP1272" s="28"/>
      <c r="AQ1272" s="28"/>
      <c r="AR1272" s="28"/>
      <c r="AS1272" s="28"/>
      <c r="AT1272" s="5"/>
      <c r="AU1272" s="28"/>
      <c r="AV1272" s="28"/>
      <c r="AX1272" s="28"/>
      <c r="AY1272" s="28"/>
      <c r="BA1272" s="28"/>
      <c r="BB1272" s="28"/>
      <c r="BF1272" s="28"/>
      <c r="BH1272" s="28"/>
      <c r="BI1272" s="28"/>
      <c r="BJ1272" s="38"/>
      <c r="BK1272" s="28"/>
    </row>
    <row r="1273" customFormat="false" ht="15.75" hidden="false" customHeight="false" outlineLevel="0" collapsed="false">
      <c r="A1273" s="28"/>
      <c r="B1273" s="28"/>
      <c r="C1273" s="28"/>
      <c r="D1273" s="5"/>
      <c r="E1273" s="38"/>
      <c r="F1273" s="28"/>
      <c r="G1273" s="28"/>
      <c r="H1273" s="38"/>
      <c r="I1273" s="28"/>
      <c r="J1273" s="40"/>
      <c r="K1273" s="40"/>
      <c r="L1273" s="5"/>
      <c r="M1273" s="5"/>
      <c r="N1273" s="28"/>
      <c r="O1273" s="28"/>
      <c r="P1273" s="28"/>
      <c r="Q1273" s="28"/>
      <c r="R1273" s="28"/>
      <c r="S1273" s="28"/>
      <c r="T1273" s="28"/>
      <c r="V1273" s="28"/>
      <c r="W1273" s="5"/>
      <c r="X1273" s="5"/>
      <c r="Z1273" s="28"/>
      <c r="AA1273" s="28"/>
      <c r="AB1273" s="28"/>
      <c r="AC1273" s="28"/>
      <c r="AD1273" s="28"/>
      <c r="AE1273" s="28"/>
      <c r="AF1273" s="28"/>
      <c r="AG1273" s="28"/>
      <c r="AH1273" s="28"/>
      <c r="AI1273" s="28"/>
      <c r="AJ1273" s="28"/>
      <c r="AK1273" s="28"/>
      <c r="AL1273" s="28"/>
      <c r="AM1273" s="28"/>
      <c r="AN1273" s="28"/>
      <c r="AO1273" s="28"/>
      <c r="AP1273" s="28"/>
      <c r="AQ1273" s="28"/>
      <c r="AR1273" s="28"/>
      <c r="AS1273" s="28"/>
      <c r="AT1273" s="5"/>
      <c r="AU1273" s="28"/>
      <c r="AV1273" s="28"/>
      <c r="AX1273" s="28"/>
      <c r="AY1273" s="28"/>
      <c r="BA1273" s="28"/>
      <c r="BB1273" s="28"/>
      <c r="BF1273" s="28"/>
      <c r="BH1273" s="28"/>
      <c r="BI1273" s="28"/>
      <c r="BJ1273" s="38"/>
      <c r="BK1273" s="28"/>
    </row>
    <row r="1274" customFormat="false" ht="15.75" hidden="false" customHeight="false" outlineLevel="0" collapsed="false">
      <c r="A1274" s="28"/>
      <c r="B1274" s="28"/>
      <c r="C1274" s="28"/>
      <c r="D1274" s="5"/>
      <c r="E1274" s="38"/>
      <c r="F1274" s="28"/>
      <c r="G1274" s="28"/>
      <c r="H1274" s="38"/>
      <c r="I1274" s="28"/>
      <c r="J1274" s="40"/>
      <c r="K1274" s="40"/>
      <c r="L1274" s="5"/>
      <c r="M1274" s="5"/>
      <c r="N1274" s="28"/>
      <c r="O1274" s="28"/>
      <c r="P1274" s="28"/>
      <c r="Q1274" s="28"/>
      <c r="R1274" s="28"/>
      <c r="S1274" s="28"/>
      <c r="T1274" s="28"/>
      <c r="V1274" s="28"/>
      <c r="W1274" s="5"/>
      <c r="X1274" s="5"/>
      <c r="Z1274" s="28"/>
      <c r="AA1274" s="28"/>
      <c r="AB1274" s="28"/>
      <c r="AC1274" s="28"/>
      <c r="AD1274" s="28"/>
      <c r="AE1274" s="28"/>
      <c r="AF1274" s="28"/>
      <c r="AG1274" s="28"/>
      <c r="AH1274" s="28"/>
      <c r="AI1274" s="28"/>
      <c r="AJ1274" s="28"/>
      <c r="AK1274" s="28"/>
      <c r="AL1274" s="28"/>
      <c r="AM1274" s="28"/>
      <c r="AN1274" s="28"/>
      <c r="AO1274" s="28"/>
      <c r="AP1274" s="28"/>
      <c r="AQ1274" s="28"/>
      <c r="AR1274" s="28"/>
      <c r="AS1274" s="28"/>
      <c r="AT1274" s="5"/>
      <c r="AU1274" s="28"/>
      <c r="AV1274" s="28"/>
      <c r="AX1274" s="28"/>
      <c r="AY1274" s="28"/>
      <c r="BA1274" s="28"/>
      <c r="BB1274" s="28"/>
      <c r="BF1274" s="28"/>
      <c r="BH1274" s="28"/>
      <c r="BI1274" s="28"/>
      <c r="BJ1274" s="38"/>
      <c r="BK1274" s="28"/>
    </row>
    <row r="1275" customFormat="false" ht="15.75" hidden="false" customHeight="false" outlineLevel="0" collapsed="false">
      <c r="A1275" s="28"/>
      <c r="B1275" s="28"/>
      <c r="C1275" s="28"/>
      <c r="D1275" s="5"/>
      <c r="E1275" s="38"/>
      <c r="F1275" s="28"/>
      <c r="G1275" s="28"/>
      <c r="H1275" s="38"/>
      <c r="I1275" s="28"/>
      <c r="J1275" s="40"/>
      <c r="K1275" s="40"/>
      <c r="L1275" s="5"/>
      <c r="M1275" s="5"/>
      <c r="N1275" s="28"/>
      <c r="O1275" s="28"/>
      <c r="P1275" s="28"/>
      <c r="Q1275" s="28"/>
      <c r="R1275" s="28"/>
      <c r="S1275" s="28"/>
      <c r="T1275" s="28"/>
      <c r="V1275" s="28"/>
      <c r="W1275" s="5"/>
      <c r="X1275" s="5"/>
      <c r="Z1275" s="28"/>
      <c r="AA1275" s="28"/>
      <c r="AB1275" s="28"/>
      <c r="AC1275" s="28"/>
      <c r="AD1275" s="28"/>
      <c r="AE1275" s="28"/>
      <c r="AF1275" s="28"/>
      <c r="AG1275" s="28"/>
      <c r="AH1275" s="28"/>
      <c r="AI1275" s="28"/>
      <c r="AJ1275" s="28"/>
      <c r="AK1275" s="28"/>
      <c r="AL1275" s="28"/>
      <c r="AM1275" s="28"/>
      <c r="AN1275" s="28"/>
      <c r="AO1275" s="28"/>
      <c r="AP1275" s="28"/>
      <c r="AQ1275" s="28"/>
      <c r="AR1275" s="28"/>
      <c r="AS1275" s="28"/>
      <c r="AT1275" s="5"/>
      <c r="AU1275" s="28"/>
      <c r="AV1275" s="28"/>
      <c r="AX1275" s="28"/>
      <c r="AY1275" s="28"/>
      <c r="BA1275" s="28"/>
      <c r="BB1275" s="28"/>
      <c r="BF1275" s="28"/>
      <c r="BH1275" s="28"/>
      <c r="BI1275" s="28"/>
      <c r="BJ1275" s="38"/>
      <c r="BK1275" s="28"/>
    </row>
    <row r="1276" customFormat="false" ht="15.75" hidden="false" customHeight="false" outlineLevel="0" collapsed="false">
      <c r="A1276" s="28"/>
      <c r="B1276" s="28"/>
      <c r="C1276" s="28"/>
      <c r="D1276" s="5"/>
      <c r="E1276" s="38"/>
      <c r="F1276" s="28"/>
      <c r="G1276" s="28"/>
      <c r="H1276" s="38"/>
      <c r="I1276" s="28"/>
      <c r="J1276" s="40"/>
      <c r="K1276" s="40"/>
      <c r="L1276" s="5"/>
      <c r="M1276" s="5"/>
      <c r="N1276" s="28"/>
      <c r="O1276" s="28"/>
      <c r="P1276" s="28"/>
      <c r="Q1276" s="28"/>
      <c r="R1276" s="28"/>
      <c r="S1276" s="28"/>
      <c r="T1276" s="28"/>
      <c r="V1276" s="28"/>
      <c r="W1276" s="5"/>
      <c r="X1276" s="5"/>
      <c r="Z1276" s="28"/>
      <c r="AA1276" s="28"/>
      <c r="AB1276" s="28"/>
      <c r="AC1276" s="28"/>
      <c r="AD1276" s="28"/>
      <c r="AE1276" s="28"/>
      <c r="AF1276" s="28"/>
      <c r="AG1276" s="28"/>
      <c r="AH1276" s="28"/>
      <c r="AI1276" s="28"/>
      <c r="AJ1276" s="28"/>
      <c r="AK1276" s="28"/>
      <c r="AL1276" s="28"/>
      <c r="AM1276" s="28"/>
      <c r="AN1276" s="28"/>
      <c r="AO1276" s="28"/>
      <c r="AP1276" s="28"/>
      <c r="AQ1276" s="28"/>
      <c r="AR1276" s="28"/>
      <c r="AS1276" s="28"/>
      <c r="AT1276" s="5"/>
      <c r="AU1276" s="28"/>
      <c r="AV1276" s="28"/>
      <c r="AX1276" s="28"/>
      <c r="AY1276" s="28"/>
      <c r="BA1276" s="28"/>
      <c r="BB1276" s="28"/>
      <c r="BF1276" s="28"/>
      <c r="BH1276" s="28"/>
      <c r="BI1276" s="28"/>
      <c r="BJ1276" s="38"/>
      <c r="BK1276" s="28"/>
    </row>
    <row r="1277" customFormat="false" ht="15.75" hidden="false" customHeight="false" outlineLevel="0" collapsed="false">
      <c r="A1277" s="28"/>
      <c r="B1277" s="28"/>
      <c r="C1277" s="28"/>
      <c r="D1277" s="5"/>
      <c r="E1277" s="38"/>
      <c r="F1277" s="28"/>
      <c r="G1277" s="28"/>
      <c r="H1277" s="38"/>
      <c r="I1277" s="28"/>
      <c r="J1277" s="40"/>
      <c r="K1277" s="40"/>
      <c r="L1277" s="5"/>
      <c r="M1277" s="5"/>
      <c r="N1277" s="28"/>
      <c r="O1277" s="28"/>
      <c r="P1277" s="28"/>
      <c r="Q1277" s="28"/>
      <c r="R1277" s="28"/>
      <c r="S1277" s="28"/>
      <c r="T1277" s="28"/>
      <c r="V1277" s="28"/>
      <c r="W1277" s="5"/>
      <c r="X1277" s="5"/>
      <c r="Z1277" s="28"/>
      <c r="AA1277" s="28"/>
      <c r="AB1277" s="28"/>
      <c r="AC1277" s="28"/>
      <c r="AD1277" s="28"/>
      <c r="AE1277" s="28"/>
      <c r="AF1277" s="28"/>
      <c r="AG1277" s="28"/>
      <c r="AH1277" s="28"/>
      <c r="AI1277" s="28"/>
      <c r="AJ1277" s="28"/>
      <c r="AK1277" s="28"/>
      <c r="AL1277" s="28"/>
      <c r="AM1277" s="28"/>
      <c r="AN1277" s="28"/>
      <c r="AO1277" s="28"/>
      <c r="AP1277" s="28"/>
      <c r="AQ1277" s="28"/>
      <c r="AR1277" s="28"/>
      <c r="AS1277" s="28"/>
      <c r="AT1277" s="5"/>
      <c r="AU1277" s="28"/>
      <c r="AV1277" s="28"/>
      <c r="AX1277" s="28"/>
      <c r="AY1277" s="28"/>
      <c r="BA1277" s="28"/>
      <c r="BB1277" s="28"/>
      <c r="BF1277" s="28"/>
      <c r="BH1277" s="28"/>
      <c r="BI1277" s="28"/>
      <c r="BJ1277" s="38"/>
      <c r="BK1277" s="28"/>
    </row>
    <row r="1278" customFormat="false" ht="15.75" hidden="false" customHeight="false" outlineLevel="0" collapsed="false">
      <c r="A1278" s="28"/>
      <c r="B1278" s="28"/>
      <c r="C1278" s="28"/>
      <c r="D1278" s="5"/>
      <c r="E1278" s="38"/>
      <c r="F1278" s="28"/>
      <c r="G1278" s="28"/>
      <c r="H1278" s="38"/>
      <c r="I1278" s="28"/>
      <c r="J1278" s="40"/>
      <c r="K1278" s="40"/>
      <c r="L1278" s="5"/>
      <c r="M1278" s="5"/>
      <c r="N1278" s="28"/>
      <c r="O1278" s="28"/>
      <c r="P1278" s="28"/>
      <c r="Q1278" s="28"/>
      <c r="R1278" s="28"/>
      <c r="S1278" s="28"/>
      <c r="T1278" s="28"/>
      <c r="V1278" s="28"/>
      <c r="W1278" s="5"/>
      <c r="X1278" s="5"/>
      <c r="Z1278" s="28"/>
      <c r="AA1278" s="28"/>
      <c r="AB1278" s="28"/>
      <c r="AC1278" s="28"/>
      <c r="AD1278" s="28"/>
      <c r="AE1278" s="28"/>
      <c r="AF1278" s="28"/>
      <c r="AG1278" s="28"/>
      <c r="AH1278" s="28"/>
      <c r="AI1278" s="28"/>
      <c r="AJ1278" s="28"/>
      <c r="AK1278" s="28"/>
      <c r="AL1278" s="28"/>
      <c r="AM1278" s="28"/>
      <c r="AN1278" s="28"/>
      <c r="AO1278" s="28"/>
      <c r="AP1278" s="28"/>
      <c r="AQ1278" s="28"/>
      <c r="AR1278" s="28"/>
      <c r="AS1278" s="28"/>
      <c r="AT1278" s="5"/>
      <c r="AU1278" s="28"/>
      <c r="AV1278" s="28"/>
      <c r="AX1278" s="28"/>
      <c r="AY1278" s="28"/>
      <c r="BA1278" s="28"/>
      <c r="BB1278" s="28"/>
      <c r="BF1278" s="28"/>
      <c r="BH1278" s="28"/>
      <c r="BI1278" s="28"/>
      <c r="BJ1278" s="38"/>
      <c r="BK1278" s="28"/>
    </row>
    <row r="1279" customFormat="false" ht="15.75" hidden="false" customHeight="false" outlineLevel="0" collapsed="false">
      <c r="A1279" s="28"/>
      <c r="B1279" s="28"/>
      <c r="C1279" s="28"/>
      <c r="D1279" s="5"/>
      <c r="E1279" s="38"/>
      <c r="F1279" s="28"/>
      <c r="G1279" s="28"/>
      <c r="H1279" s="38"/>
      <c r="I1279" s="28"/>
      <c r="J1279" s="40"/>
      <c r="K1279" s="40"/>
      <c r="L1279" s="5"/>
      <c r="M1279" s="5"/>
      <c r="N1279" s="28"/>
      <c r="O1279" s="28"/>
      <c r="P1279" s="28"/>
      <c r="Q1279" s="28"/>
      <c r="R1279" s="28"/>
      <c r="S1279" s="28"/>
      <c r="T1279" s="28"/>
      <c r="V1279" s="28"/>
      <c r="W1279" s="5"/>
      <c r="X1279" s="5"/>
      <c r="Z1279" s="28"/>
      <c r="AA1279" s="28"/>
      <c r="AB1279" s="28"/>
      <c r="AC1279" s="28"/>
      <c r="AD1279" s="28"/>
      <c r="AE1279" s="28"/>
      <c r="AF1279" s="28"/>
      <c r="AG1279" s="28"/>
      <c r="AH1279" s="28"/>
      <c r="AI1279" s="28"/>
      <c r="AJ1279" s="28"/>
      <c r="AK1279" s="28"/>
      <c r="AL1279" s="28"/>
      <c r="AM1279" s="28"/>
      <c r="AN1279" s="28"/>
      <c r="AO1279" s="28"/>
      <c r="AP1279" s="28"/>
      <c r="AQ1279" s="28"/>
      <c r="AR1279" s="28"/>
      <c r="AS1279" s="28"/>
      <c r="AT1279" s="5"/>
      <c r="AU1279" s="28"/>
      <c r="AV1279" s="28"/>
      <c r="AX1279" s="28"/>
      <c r="AY1279" s="28"/>
      <c r="BA1279" s="28"/>
      <c r="BB1279" s="28"/>
      <c r="BF1279" s="28"/>
      <c r="BH1279" s="28"/>
      <c r="BI1279" s="28"/>
      <c r="BJ1279" s="38"/>
      <c r="BK1279" s="28"/>
    </row>
    <row r="1280" customFormat="false" ht="15.75" hidden="false" customHeight="false" outlineLevel="0" collapsed="false">
      <c r="A1280" s="28"/>
      <c r="B1280" s="28"/>
      <c r="C1280" s="28"/>
      <c r="D1280" s="5"/>
      <c r="E1280" s="38"/>
      <c r="F1280" s="28"/>
      <c r="G1280" s="28"/>
      <c r="H1280" s="38"/>
      <c r="I1280" s="28"/>
      <c r="J1280" s="40"/>
      <c r="K1280" s="40"/>
      <c r="L1280" s="5"/>
      <c r="M1280" s="5"/>
      <c r="N1280" s="28"/>
      <c r="O1280" s="28"/>
      <c r="P1280" s="28"/>
      <c r="Q1280" s="28"/>
      <c r="R1280" s="28"/>
      <c r="S1280" s="28"/>
      <c r="T1280" s="28"/>
      <c r="V1280" s="28"/>
      <c r="W1280" s="5"/>
      <c r="X1280" s="5"/>
      <c r="Z1280" s="28"/>
      <c r="AA1280" s="28"/>
      <c r="AB1280" s="28"/>
      <c r="AC1280" s="28"/>
      <c r="AD1280" s="28"/>
      <c r="AE1280" s="28"/>
      <c r="AF1280" s="28"/>
      <c r="AG1280" s="28"/>
      <c r="AH1280" s="28"/>
      <c r="AI1280" s="28"/>
      <c r="AJ1280" s="28"/>
      <c r="AK1280" s="28"/>
      <c r="AL1280" s="28"/>
      <c r="AM1280" s="28"/>
      <c r="AN1280" s="28"/>
      <c r="AO1280" s="28"/>
      <c r="AP1280" s="28"/>
      <c r="AQ1280" s="28"/>
      <c r="AR1280" s="28"/>
      <c r="AS1280" s="28"/>
      <c r="AT1280" s="5"/>
      <c r="AU1280" s="28"/>
      <c r="AV1280" s="28"/>
      <c r="AX1280" s="28"/>
      <c r="AY1280" s="28"/>
      <c r="BA1280" s="28"/>
      <c r="BB1280" s="28"/>
      <c r="BF1280" s="28"/>
      <c r="BH1280" s="28"/>
      <c r="BI1280" s="28"/>
      <c r="BJ1280" s="38"/>
      <c r="BK1280" s="28"/>
    </row>
    <row r="1281" customFormat="false" ht="15.75" hidden="false" customHeight="false" outlineLevel="0" collapsed="false">
      <c r="A1281" s="28"/>
      <c r="B1281" s="28"/>
      <c r="C1281" s="28"/>
      <c r="D1281" s="5"/>
      <c r="E1281" s="38"/>
      <c r="F1281" s="28"/>
      <c r="G1281" s="28"/>
      <c r="H1281" s="38"/>
      <c r="I1281" s="28"/>
      <c r="J1281" s="40"/>
      <c r="K1281" s="40"/>
      <c r="L1281" s="5"/>
      <c r="M1281" s="5"/>
      <c r="N1281" s="28"/>
      <c r="O1281" s="28"/>
      <c r="P1281" s="28"/>
      <c r="Q1281" s="28"/>
      <c r="R1281" s="28"/>
      <c r="S1281" s="28"/>
      <c r="T1281" s="28"/>
      <c r="V1281" s="28"/>
      <c r="W1281" s="5"/>
      <c r="X1281" s="5"/>
      <c r="Z1281" s="28"/>
      <c r="AA1281" s="28"/>
      <c r="AB1281" s="28"/>
      <c r="AC1281" s="28"/>
      <c r="AD1281" s="28"/>
      <c r="AE1281" s="28"/>
      <c r="AF1281" s="28"/>
      <c r="AG1281" s="28"/>
      <c r="AH1281" s="28"/>
      <c r="AI1281" s="28"/>
      <c r="AJ1281" s="28"/>
      <c r="AK1281" s="28"/>
      <c r="AL1281" s="28"/>
      <c r="AM1281" s="28"/>
      <c r="AN1281" s="28"/>
      <c r="AO1281" s="28"/>
      <c r="AP1281" s="28"/>
      <c r="AQ1281" s="28"/>
      <c r="AR1281" s="28"/>
      <c r="AS1281" s="28"/>
      <c r="AT1281" s="5"/>
      <c r="AU1281" s="28"/>
      <c r="AV1281" s="28"/>
      <c r="AX1281" s="28"/>
      <c r="AY1281" s="28"/>
      <c r="BA1281" s="28"/>
      <c r="BB1281" s="28"/>
      <c r="BF1281" s="28"/>
      <c r="BH1281" s="28"/>
      <c r="BI1281" s="28"/>
      <c r="BJ1281" s="38"/>
      <c r="BK1281" s="28"/>
    </row>
    <row r="1282" customFormat="false" ht="15.75" hidden="false" customHeight="false" outlineLevel="0" collapsed="false">
      <c r="A1282" s="28"/>
      <c r="B1282" s="28"/>
      <c r="C1282" s="28"/>
      <c r="D1282" s="5"/>
      <c r="E1282" s="38"/>
      <c r="F1282" s="28"/>
      <c r="G1282" s="28"/>
      <c r="H1282" s="38"/>
      <c r="I1282" s="28"/>
      <c r="J1282" s="40"/>
      <c r="K1282" s="40"/>
      <c r="L1282" s="5"/>
      <c r="M1282" s="5"/>
      <c r="N1282" s="28"/>
      <c r="O1282" s="28"/>
      <c r="P1282" s="28"/>
      <c r="Q1282" s="28"/>
      <c r="R1282" s="28"/>
      <c r="S1282" s="28"/>
      <c r="T1282" s="28"/>
      <c r="V1282" s="28"/>
      <c r="W1282" s="5"/>
      <c r="X1282" s="5"/>
      <c r="Z1282" s="28"/>
      <c r="AA1282" s="28"/>
      <c r="AB1282" s="28"/>
      <c r="AC1282" s="28"/>
      <c r="AD1282" s="28"/>
      <c r="AE1282" s="28"/>
      <c r="AF1282" s="28"/>
      <c r="AG1282" s="28"/>
      <c r="AH1282" s="28"/>
      <c r="AI1282" s="28"/>
      <c r="AJ1282" s="28"/>
      <c r="AK1282" s="28"/>
      <c r="AL1282" s="28"/>
      <c r="AM1282" s="28"/>
      <c r="AN1282" s="28"/>
      <c r="AO1282" s="28"/>
      <c r="AP1282" s="28"/>
      <c r="AQ1282" s="28"/>
      <c r="AR1282" s="28"/>
      <c r="AS1282" s="28"/>
      <c r="AT1282" s="5"/>
      <c r="AU1282" s="28"/>
      <c r="AV1282" s="28"/>
      <c r="AX1282" s="28"/>
      <c r="AY1282" s="28"/>
      <c r="BA1282" s="28"/>
      <c r="BB1282" s="28"/>
      <c r="BF1282" s="28"/>
      <c r="BH1282" s="28"/>
      <c r="BI1282" s="28"/>
      <c r="BJ1282" s="38"/>
      <c r="BK1282" s="28"/>
    </row>
    <row r="1283" customFormat="false" ht="15.75" hidden="false" customHeight="false" outlineLevel="0" collapsed="false">
      <c r="A1283" s="28"/>
      <c r="B1283" s="28"/>
      <c r="C1283" s="28"/>
      <c r="D1283" s="5"/>
      <c r="E1283" s="38"/>
      <c r="F1283" s="28"/>
      <c r="G1283" s="28"/>
      <c r="H1283" s="38"/>
      <c r="I1283" s="28"/>
      <c r="J1283" s="40"/>
      <c r="K1283" s="40"/>
      <c r="L1283" s="5"/>
      <c r="M1283" s="5"/>
      <c r="N1283" s="28"/>
      <c r="O1283" s="28"/>
      <c r="P1283" s="28"/>
      <c r="Q1283" s="28"/>
      <c r="R1283" s="28"/>
      <c r="S1283" s="28"/>
      <c r="T1283" s="28"/>
      <c r="V1283" s="28"/>
      <c r="W1283" s="5"/>
      <c r="X1283" s="5"/>
      <c r="Z1283" s="28"/>
      <c r="AA1283" s="28"/>
      <c r="AB1283" s="28"/>
      <c r="AC1283" s="28"/>
      <c r="AD1283" s="28"/>
      <c r="AE1283" s="28"/>
      <c r="AF1283" s="28"/>
      <c r="AG1283" s="28"/>
      <c r="AH1283" s="28"/>
      <c r="AI1283" s="28"/>
      <c r="AJ1283" s="28"/>
      <c r="AK1283" s="28"/>
      <c r="AL1283" s="28"/>
      <c r="AM1283" s="28"/>
      <c r="AN1283" s="28"/>
      <c r="AO1283" s="28"/>
      <c r="AP1283" s="28"/>
      <c r="AQ1283" s="28"/>
      <c r="AR1283" s="28"/>
      <c r="AS1283" s="28"/>
      <c r="AT1283" s="5"/>
      <c r="AU1283" s="28"/>
      <c r="AV1283" s="28"/>
      <c r="AX1283" s="28"/>
      <c r="AY1283" s="28"/>
      <c r="BA1283" s="28"/>
      <c r="BB1283" s="28"/>
      <c r="BF1283" s="28"/>
      <c r="BH1283" s="28"/>
      <c r="BI1283" s="28"/>
      <c r="BJ1283" s="38"/>
      <c r="BK1283" s="28"/>
    </row>
    <row r="1284" customFormat="false" ht="15.75" hidden="false" customHeight="false" outlineLevel="0" collapsed="false">
      <c r="A1284" s="28"/>
      <c r="B1284" s="28"/>
      <c r="C1284" s="28"/>
      <c r="D1284" s="5"/>
      <c r="E1284" s="38"/>
      <c r="F1284" s="28"/>
      <c r="G1284" s="28"/>
      <c r="H1284" s="38"/>
      <c r="I1284" s="28"/>
      <c r="J1284" s="40"/>
      <c r="K1284" s="40"/>
      <c r="L1284" s="5"/>
      <c r="M1284" s="5"/>
      <c r="N1284" s="28"/>
      <c r="O1284" s="28"/>
      <c r="P1284" s="28"/>
      <c r="Q1284" s="28"/>
      <c r="R1284" s="28"/>
      <c r="S1284" s="28"/>
      <c r="T1284" s="28"/>
      <c r="V1284" s="28"/>
      <c r="W1284" s="5"/>
      <c r="X1284" s="5"/>
      <c r="Z1284" s="28"/>
      <c r="AA1284" s="28"/>
      <c r="AB1284" s="28"/>
      <c r="AC1284" s="28"/>
      <c r="AD1284" s="28"/>
      <c r="AE1284" s="28"/>
      <c r="AF1284" s="28"/>
      <c r="AG1284" s="28"/>
      <c r="AH1284" s="28"/>
      <c r="AI1284" s="28"/>
      <c r="AJ1284" s="28"/>
      <c r="AK1284" s="28"/>
      <c r="AL1284" s="28"/>
      <c r="AM1284" s="28"/>
      <c r="AN1284" s="28"/>
      <c r="AO1284" s="28"/>
      <c r="AP1284" s="28"/>
      <c r="AQ1284" s="28"/>
      <c r="AR1284" s="28"/>
      <c r="AS1284" s="28"/>
      <c r="AT1284" s="5"/>
      <c r="AU1284" s="28"/>
      <c r="AV1284" s="28"/>
      <c r="AX1284" s="28"/>
      <c r="AY1284" s="28"/>
      <c r="BA1284" s="28"/>
      <c r="BB1284" s="28"/>
      <c r="BF1284" s="28"/>
      <c r="BH1284" s="28"/>
      <c r="BI1284" s="28"/>
      <c r="BJ1284" s="38"/>
      <c r="BK1284" s="28"/>
    </row>
    <row r="1285" customFormat="false" ht="15.75" hidden="false" customHeight="false" outlineLevel="0" collapsed="false">
      <c r="A1285" s="28"/>
      <c r="B1285" s="28"/>
      <c r="C1285" s="28"/>
      <c r="D1285" s="5"/>
      <c r="E1285" s="38"/>
      <c r="F1285" s="28"/>
      <c r="G1285" s="28"/>
      <c r="H1285" s="38"/>
      <c r="I1285" s="28"/>
      <c r="J1285" s="40"/>
      <c r="K1285" s="40"/>
      <c r="L1285" s="5"/>
      <c r="M1285" s="5"/>
      <c r="N1285" s="28"/>
      <c r="O1285" s="28"/>
      <c r="P1285" s="28"/>
      <c r="Q1285" s="28"/>
      <c r="R1285" s="28"/>
      <c r="S1285" s="28"/>
      <c r="T1285" s="28"/>
      <c r="V1285" s="28"/>
      <c r="W1285" s="5"/>
      <c r="X1285" s="5"/>
      <c r="Z1285" s="28"/>
      <c r="AA1285" s="28"/>
      <c r="AB1285" s="28"/>
      <c r="AC1285" s="28"/>
      <c r="AD1285" s="28"/>
      <c r="AE1285" s="28"/>
      <c r="AF1285" s="28"/>
      <c r="AG1285" s="28"/>
      <c r="AH1285" s="28"/>
      <c r="AI1285" s="28"/>
      <c r="AJ1285" s="28"/>
      <c r="AK1285" s="28"/>
      <c r="AL1285" s="28"/>
      <c r="AM1285" s="28"/>
      <c r="AN1285" s="28"/>
      <c r="AO1285" s="28"/>
      <c r="AP1285" s="28"/>
      <c r="AQ1285" s="28"/>
      <c r="AR1285" s="28"/>
      <c r="AS1285" s="28"/>
      <c r="AT1285" s="5"/>
      <c r="AU1285" s="28"/>
      <c r="AV1285" s="28"/>
      <c r="AX1285" s="28"/>
      <c r="AY1285" s="28"/>
      <c r="BA1285" s="28"/>
      <c r="BB1285" s="28"/>
      <c r="BF1285" s="28"/>
      <c r="BH1285" s="28"/>
      <c r="BI1285" s="28"/>
      <c r="BJ1285" s="38"/>
      <c r="BK1285" s="28"/>
    </row>
    <row r="1286" customFormat="false" ht="15.75" hidden="false" customHeight="false" outlineLevel="0" collapsed="false">
      <c r="A1286" s="28"/>
      <c r="B1286" s="28"/>
      <c r="C1286" s="28"/>
      <c r="D1286" s="5"/>
      <c r="E1286" s="38"/>
      <c r="F1286" s="28"/>
      <c r="G1286" s="28"/>
      <c r="H1286" s="38"/>
      <c r="I1286" s="28"/>
      <c r="J1286" s="40"/>
      <c r="K1286" s="40"/>
      <c r="L1286" s="5"/>
      <c r="M1286" s="5"/>
      <c r="N1286" s="28"/>
      <c r="O1286" s="28"/>
      <c r="P1286" s="28"/>
      <c r="Q1286" s="28"/>
      <c r="R1286" s="28"/>
      <c r="S1286" s="28"/>
      <c r="T1286" s="28"/>
      <c r="V1286" s="28"/>
      <c r="W1286" s="5"/>
      <c r="X1286" s="5"/>
      <c r="Z1286" s="28"/>
      <c r="AA1286" s="28"/>
      <c r="AB1286" s="28"/>
      <c r="AC1286" s="28"/>
      <c r="AD1286" s="28"/>
      <c r="AE1286" s="28"/>
      <c r="AF1286" s="28"/>
      <c r="AG1286" s="28"/>
      <c r="AH1286" s="28"/>
      <c r="AI1286" s="28"/>
      <c r="AJ1286" s="28"/>
      <c r="AK1286" s="28"/>
      <c r="AL1286" s="28"/>
      <c r="AM1286" s="28"/>
      <c r="AN1286" s="28"/>
      <c r="AO1286" s="28"/>
      <c r="AP1286" s="28"/>
      <c r="AQ1286" s="28"/>
      <c r="AR1286" s="28"/>
      <c r="AS1286" s="28"/>
      <c r="AT1286" s="5"/>
      <c r="AU1286" s="28"/>
      <c r="AV1286" s="28"/>
      <c r="AX1286" s="28"/>
      <c r="AY1286" s="28"/>
      <c r="BA1286" s="28"/>
      <c r="BB1286" s="28"/>
      <c r="BF1286" s="28"/>
      <c r="BH1286" s="28"/>
      <c r="BI1286" s="28"/>
      <c r="BJ1286" s="38"/>
      <c r="BK1286" s="28"/>
    </row>
    <row r="1287" customFormat="false" ht="15.75" hidden="false" customHeight="false" outlineLevel="0" collapsed="false">
      <c r="A1287" s="28"/>
      <c r="B1287" s="28"/>
      <c r="C1287" s="28"/>
      <c r="D1287" s="5"/>
      <c r="E1287" s="38"/>
      <c r="F1287" s="28"/>
      <c r="G1287" s="28"/>
      <c r="H1287" s="38"/>
      <c r="I1287" s="28"/>
      <c r="J1287" s="40"/>
      <c r="K1287" s="40"/>
      <c r="L1287" s="5"/>
      <c r="M1287" s="5"/>
      <c r="N1287" s="28"/>
      <c r="O1287" s="28"/>
      <c r="P1287" s="28"/>
      <c r="Q1287" s="28"/>
      <c r="R1287" s="28"/>
      <c r="S1287" s="28"/>
      <c r="T1287" s="28"/>
      <c r="V1287" s="28"/>
      <c r="W1287" s="5"/>
      <c r="X1287" s="5"/>
      <c r="Z1287" s="28"/>
      <c r="AA1287" s="28"/>
      <c r="AB1287" s="28"/>
      <c r="AC1287" s="28"/>
      <c r="AD1287" s="28"/>
      <c r="AE1287" s="28"/>
      <c r="AF1287" s="28"/>
      <c r="AG1287" s="28"/>
      <c r="AH1287" s="28"/>
      <c r="AI1287" s="28"/>
      <c r="AJ1287" s="28"/>
      <c r="AK1287" s="28"/>
      <c r="AL1287" s="28"/>
      <c r="AM1287" s="28"/>
      <c r="AN1287" s="28"/>
      <c r="AO1287" s="28"/>
      <c r="AP1287" s="28"/>
      <c r="AQ1287" s="28"/>
      <c r="AR1287" s="28"/>
      <c r="AS1287" s="28"/>
      <c r="AT1287" s="5"/>
      <c r="AU1287" s="28"/>
      <c r="AV1287" s="28"/>
      <c r="AX1287" s="28"/>
      <c r="AY1287" s="28"/>
      <c r="BA1287" s="28"/>
      <c r="BB1287" s="28"/>
      <c r="BF1287" s="28"/>
      <c r="BH1287" s="28"/>
      <c r="BI1287" s="28"/>
      <c r="BJ1287" s="38"/>
      <c r="BK1287" s="28"/>
    </row>
    <row r="1288" customFormat="false" ht="15.75" hidden="false" customHeight="false" outlineLevel="0" collapsed="false">
      <c r="A1288" s="28"/>
      <c r="B1288" s="28"/>
      <c r="C1288" s="28"/>
      <c r="D1288" s="5"/>
      <c r="E1288" s="38"/>
      <c r="F1288" s="28"/>
      <c r="G1288" s="28"/>
      <c r="H1288" s="38"/>
      <c r="I1288" s="28"/>
      <c r="J1288" s="40"/>
      <c r="K1288" s="40"/>
      <c r="L1288" s="5"/>
      <c r="M1288" s="5"/>
      <c r="N1288" s="28"/>
      <c r="O1288" s="28"/>
      <c r="P1288" s="28"/>
      <c r="Q1288" s="28"/>
      <c r="R1288" s="28"/>
      <c r="S1288" s="28"/>
      <c r="T1288" s="28"/>
      <c r="V1288" s="28"/>
      <c r="W1288" s="5"/>
      <c r="X1288" s="5"/>
      <c r="Z1288" s="28"/>
      <c r="AA1288" s="28"/>
      <c r="AB1288" s="28"/>
      <c r="AC1288" s="28"/>
      <c r="AD1288" s="28"/>
      <c r="AE1288" s="28"/>
      <c r="AF1288" s="28"/>
      <c r="AG1288" s="28"/>
      <c r="AH1288" s="28"/>
      <c r="AI1288" s="28"/>
      <c r="AJ1288" s="28"/>
      <c r="AK1288" s="28"/>
      <c r="AL1288" s="28"/>
      <c r="AM1288" s="28"/>
      <c r="AN1288" s="28"/>
      <c r="AO1288" s="28"/>
      <c r="AP1288" s="28"/>
      <c r="AQ1288" s="28"/>
      <c r="AR1288" s="28"/>
      <c r="AS1288" s="28"/>
      <c r="AT1288" s="5"/>
      <c r="AU1288" s="28"/>
      <c r="AV1288" s="28"/>
      <c r="AX1288" s="28"/>
      <c r="AY1288" s="28"/>
      <c r="BA1288" s="28"/>
      <c r="BB1288" s="28"/>
      <c r="BF1288" s="28"/>
      <c r="BH1288" s="28"/>
      <c r="BI1288" s="28"/>
      <c r="BJ1288" s="38"/>
      <c r="BK1288" s="28"/>
    </row>
    <row r="1289" customFormat="false" ht="15.75" hidden="false" customHeight="false" outlineLevel="0" collapsed="false">
      <c r="A1289" s="28"/>
      <c r="B1289" s="28"/>
      <c r="C1289" s="28"/>
      <c r="D1289" s="5"/>
      <c r="E1289" s="38"/>
      <c r="F1289" s="28"/>
      <c r="G1289" s="28"/>
      <c r="H1289" s="38"/>
      <c r="I1289" s="28"/>
      <c r="J1289" s="40"/>
      <c r="K1289" s="40"/>
      <c r="L1289" s="5"/>
      <c r="M1289" s="5"/>
      <c r="N1289" s="28"/>
      <c r="O1289" s="28"/>
      <c r="P1289" s="28"/>
      <c r="Q1289" s="28"/>
      <c r="R1289" s="28"/>
      <c r="S1289" s="28"/>
      <c r="T1289" s="28"/>
      <c r="V1289" s="28"/>
      <c r="W1289" s="5"/>
      <c r="X1289" s="5"/>
      <c r="Z1289" s="28"/>
      <c r="AA1289" s="28"/>
      <c r="AB1289" s="28"/>
      <c r="AC1289" s="28"/>
      <c r="AD1289" s="28"/>
      <c r="AE1289" s="28"/>
      <c r="AF1289" s="28"/>
      <c r="AG1289" s="28"/>
      <c r="AH1289" s="28"/>
      <c r="AI1289" s="28"/>
      <c r="AJ1289" s="28"/>
      <c r="AK1289" s="28"/>
      <c r="AL1289" s="28"/>
      <c r="AM1289" s="28"/>
      <c r="AN1289" s="28"/>
      <c r="AO1289" s="28"/>
      <c r="AP1289" s="28"/>
      <c r="AQ1289" s="28"/>
      <c r="AR1289" s="28"/>
      <c r="AS1289" s="28"/>
      <c r="AT1289" s="5"/>
      <c r="AU1289" s="28"/>
      <c r="AV1289" s="28"/>
      <c r="AX1289" s="28"/>
      <c r="AY1289" s="28"/>
      <c r="BA1289" s="28"/>
      <c r="BB1289" s="28"/>
      <c r="BF1289" s="28"/>
      <c r="BH1289" s="28"/>
      <c r="BI1289" s="28"/>
      <c r="BJ1289" s="38"/>
      <c r="BK1289" s="28"/>
    </row>
    <row r="1290" customFormat="false" ht="15.75" hidden="false" customHeight="false" outlineLevel="0" collapsed="false">
      <c r="A1290" s="28"/>
      <c r="B1290" s="28"/>
      <c r="C1290" s="28"/>
      <c r="D1290" s="5"/>
      <c r="E1290" s="38"/>
      <c r="F1290" s="28"/>
      <c r="G1290" s="28"/>
      <c r="H1290" s="38"/>
      <c r="I1290" s="28"/>
      <c r="J1290" s="40"/>
      <c r="K1290" s="40"/>
      <c r="L1290" s="5"/>
      <c r="M1290" s="5"/>
      <c r="N1290" s="28"/>
      <c r="O1290" s="28"/>
      <c r="P1290" s="28"/>
      <c r="Q1290" s="28"/>
      <c r="R1290" s="28"/>
      <c r="S1290" s="28"/>
      <c r="T1290" s="28"/>
      <c r="V1290" s="28"/>
      <c r="W1290" s="5"/>
      <c r="X1290" s="5"/>
      <c r="Z1290" s="28"/>
      <c r="AA1290" s="28"/>
      <c r="AB1290" s="28"/>
      <c r="AC1290" s="28"/>
      <c r="AD1290" s="28"/>
      <c r="AE1290" s="28"/>
      <c r="AF1290" s="28"/>
      <c r="AG1290" s="28"/>
      <c r="AH1290" s="28"/>
      <c r="AI1290" s="28"/>
      <c r="AJ1290" s="28"/>
      <c r="AK1290" s="28"/>
      <c r="AL1290" s="28"/>
      <c r="AM1290" s="28"/>
      <c r="AN1290" s="28"/>
      <c r="AO1290" s="28"/>
      <c r="AP1290" s="28"/>
      <c r="AQ1290" s="28"/>
      <c r="AR1290" s="28"/>
      <c r="AS1290" s="28"/>
      <c r="AT1290" s="5"/>
      <c r="AU1290" s="28"/>
      <c r="AV1290" s="28"/>
      <c r="AX1290" s="28"/>
      <c r="AY1290" s="28"/>
      <c r="BA1290" s="28"/>
      <c r="BB1290" s="28"/>
      <c r="BF1290" s="28"/>
      <c r="BH1290" s="28"/>
      <c r="BI1290" s="28"/>
      <c r="BJ1290" s="38"/>
      <c r="BK1290" s="28"/>
    </row>
    <row r="1291" customFormat="false" ht="15.75" hidden="false" customHeight="false" outlineLevel="0" collapsed="false">
      <c r="A1291" s="28"/>
      <c r="B1291" s="28"/>
      <c r="C1291" s="28"/>
      <c r="D1291" s="5"/>
      <c r="E1291" s="38"/>
      <c r="F1291" s="28"/>
      <c r="G1291" s="28"/>
      <c r="H1291" s="38"/>
      <c r="I1291" s="28"/>
      <c r="J1291" s="40"/>
      <c r="K1291" s="40"/>
      <c r="L1291" s="5"/>
      <c r="M1291" s="5"/>
      <c r="N1291" s="28"/>
      <c r="O1291" s="28"/>
      <c r="P1291" s="28"/>
      <c r="Q1291" s="28"/>
      <c r="R1291" s="28"/>
      <c r="S1291" s="28"/>
      <c r="T1291" s="28"/>
      <c r="V1291" s="28"/>
      <c r="W1291" s="5"/>
      <c r="X1291" s="5"/>
      <c r="Z1291" s="28"/>
      <c r="AA1291" s="28"/>
      <c r="AB1291" s="28"/>
      <c r="AC1291" s="28"/>
      <c r="AD1291" s="28"/>
      <c r="AE1291" s="28"/>
      <c r="AF1291" s="28"/>
      <c r="AG1291" s="28"/>
      <c r="AH1291" s="28"/>
      <c r="AI1291" s="28"/>
      <c r="AJ1291" s="28"/>
      <c r="AK1291" s="28"/>
      <c r="AL1291" s="28"/>
      <c r="AM1291" s="28"/>
      <c r="AN1291" s="28"/>
      <c r="AO1291" s="28"/>
      <c r="AP1291" s="28"/>
      <c r="AQ1291" s="28"/>
      <c r="AR1291" s="28"/>
      <c r="AS1291" s="28"/>
      <c r="AT1291" s="5"/>
      <c r="AU1291" s="28"/>
      <c r="AV1291" s="28"/>
      <c r="AX1291" s="28"/>
      <c r="AY1291" s="28"/>
      <c r="BA1291" s="28"/>
      <c r="BB1291" s="28"/>
      <c r="BF1291" s="28"/>
      <c r="BH1291" s="28"/>
      <c r="BI1291" s="28"/>
      <c r="BJ1291" s="38"/>
      <c r="BK1291" s="28"/>
    </row>
    <row r="1292" customFormat="false" ht="15.75" hidden="false" customHeight="false" outlineLevel="0" collapsed="false">
      <c r="A1292" s="28"/>
      <c r="B1292" s="28"/>
      <c r="C1292" s="28"/>
      <c r="D1292" s="5"/>
      <c r="E1292" s="38"/>
      <c r="F1292" s="28"/>
      <c r="G1292" s="28"/>
      <c r="H1292" s="38"/>
      <c r="I1292" s="28"/>
      <c r="J1292" s="40"/>
      <c r="K1292" s="40"/>
      <c r="L1292" s="5"/>
      <c r="M1292" s="5"/>
      <c r="N1292" s="28"/>
      <c r="O1292" s="28"/>
      <c r="P1292" s="28"/>
      <c r="Q1292" s="28"/>
      <c r="R1292" s="28"/>
      <c r="S1292" s="28"/>
      <c r="T1292" s="28"/>
      <c r="V1292" s="28"/>
      <c r="W1292" s="5"/>
      <c r="X1292" s="5"/>
      <c r="Z1292" s="28"/>
      <c r="AA1292" s="28"/>
      <c r="AB1292" s="28"/>
      <c r="AC1292" s="28"/>
      <c r="AD1292" s="28"/>
      <c r="AE1292" s="28"/>
      <c r="AF1292" s="28"/>
      <c r="AG1292" s="28"/>
      <c r="AH1292" s="28"/>
      <c r="AI1292" s="28"/>
      <c r="AJ1292" s="28"/>
      <c r="AK1292" s="28"/>
      <c r="AL1292" s="28"/>
      <c r="AM1292" s="28"/>
      <c r="AN1292" s="28"/>
      <c r="AO1292" s="28"/>
      <c r="AP1292" s="28"/>
      <c r="AQ1292" s="28"/>
      <c r="AR1292" s="28"/>
      <c r="AS1292" s="28"/>
      <c r="AT1292" s="5"/>
      <c r="AU1292" s="28"/>
      <c r="AV1292" s="28"/>
      <c r="AX1292" s="28"/>
      <c r="AY1292" s="28"/>
      <c r="BA1292" s="28"/>
      <c r="BB1292" s="28"/>
      <c r="BF1292" s="28"/>
      <c r="BH1292" s="28"/>
      <c r="BI1292" s="28"/>
      <c r="BJ1292" s="38"/>
      <c r="BK1292" s="28"/>
    </row>
    <row r="1293" customFormat="false" ht="15.75" hidden="false" customHeight="false" outlineLevel="0" collapsed="false">
      <c r="A1293" s="28"/>
      <c r="B1293" s="28"/>
      <c r="C1293" s="28"/>
      <c r="D1293" s="5"/>
      <c r="E1293" s="38"/>
      <c r="F1293" s="28"/>
      <c r="G1293" s="28"/>
      <c r="H1293" s="38"/>
      <c r="I1293" s="28"/>
      <c r="J1293" s="40"/>
      <c r="K1293" s="40"/>
      <c r="L1293" s="5"/>
      <c r="M1293" s="5"/>
      <c r="N1293" s="28"/>
      <c r="O1293" s="28"/>
      <c r="P1293" s="28"/>
      <c r="Q1293" s="28"/>
      <c r="R1293" s="28"/>
      <c r="S1293" s="28"/>
      <c r="T1293" s="28"/>
      <c r="V1293" s="28"/>
      <c r="W1293" s="5"/>
      <c r="X1293" s="5"/>
      <c r="Z1293" s="28"/>
      <c r="AA1293" s="28"/>
      <c r="AB1293" s="28"/>
      <c r="AC1293" s="28"/>
      <c r="AD1293" s="28"/>
      <c r="AE1293" s="28"/>
      <c r="AF1293" s="28"/>
      <c r="AG1293" s="28"/>
      <c r="AH1293" s="28"/>
      <c r="AI1293" s="28"/>
      <c r="AJ1293" s="28"/>
      <c r="AK1293" s="28"/>
      <c r="AL1293" s="28"/>
      <c r="AM1293" s="28"/>
      <c r="AN1293" s="28"/>
      <c r="AO1293" s="28"/>
      <c r="AP1293" s="28"/>
      <c r="AQ1293" s="28"/>
      <c r="AR1293" s="28"/>
      <c r="AS1293" s="28"/>
      <c r="AT1293" s="5"/>
      <c r="AU1293" s="28"/>
      <c r="AV1293" s="28"/>
      <c r="AX1293" s="28"/>
      <c r="AY1293" s="28"/>
      <c r="BA1293" s="28"/>
      <c r="BB1293" s="28"/>
      <c r="BF1293" s="28"/>
      <c r="BH1293" s="28"/>
      <c r="BI1293" s="28"/>
      <c r="BJ1293" s="38"/>
      <c r="BK1293" s="28"/>
    </row>
    <row r="1294" customFormat="false" ht="15.75" hidden="false" customHeight="false" outlineLevel="0" collapsed="false">
      <c r="A1294" s="28"/>
      <c r="B1294" s="28"/>
      <c r="C1294" s="28"/>
      <c r="D1294" s="5"/>
      <c r="E1294" s="38"/>
      <c r="F1294" s="28"/>
      <c r="G1294" s="28"/>
      <c r="H1294" s="38"/>
      <c r="I1294" s="28"/>
      <c r="J1294" s="40"/>
      <c r="K1294" s="40"/>
      <c r="L1294" s="5"/>
      <c r="M1294" s="5"/>
      <c r="N1294" s="28"/>
      <c r="O1294" s="28"/>
      <c r="P1294" s="28"/>
      <c r="Q1294" s="28"/>
      <c r="R1294" s="28"/>
      <c r="S1294" s="28"/>
      <c r="T1294" s="28"/>
      <c r="V1294" s="28"/>
      <c r="W1294" s="5"/>
      <c r="X1294" s="5"/>
      <c r="Z1294" s="28"/>
      <c r="AA1294" s="28"/>
      <c r="AB1294" s="28"/>
      <c r="AC1294" s="28"/>
      <c r="AD1294" s="28"/>
      <c r="AE1294" s="28"/>
      <c r="AF1294" s="28"/>
      <c r="AG1294" s="28"/>
      <c r="AH1294" s="28"/>
      <c r="AI1294" s="28"/>
      <c r="AJ1294" s="28"/>
      <c r="AK1294" s="28"/>
      <c r="AL1294" s="28"/>
      <c r="AM1294" s="28"/>
      <c r="AN1294" s="28"/>
      <c r="AO1294" s="28"/>
      <c r="AP1294" s="28"/>
      <c r="AQ1294" s="28"/>
      <c r="AR1294" s="28"/>
      <c r="AS1294" s="28"/>
      <c r="AT1294" s="5"/>
      <c r="AU1294" s="28"/>
      <c r="AV1294" s="28"/>
      <c r="AX1294" s="28"/>
      <c r="AY1294" s="28"/>
      <c r="BA1294" s="28"/>
      <c r="BB1294" s="28"/>
      <c r="BF1294" s="28"/>
      <c r="BH1294" s="28"/>
      <c r="BI1294" s="28"/>
      <c r="BJ1294" s="38"/>
      <c r="BK1294" s="28"/>
    </row>
    <row r="1295" customFormat="false" ht="15.75" hidden="false" customHeight="false" outlineLevel="0" collapsed="false">
      <c r="A1295" s="28"/>
      <c r="B1295" s="28"/>
      <c r="C1295" s="28"/>
      <c r="D1295" s="5"/>
      <c r="E1295" s="38"/>
      <c r="F1295" s="28"/>
      <c r="G1295" s="28"/>
      <c r="H1295" s="38"/>
      <c r="I1295" s="28"/>
      <c r="J1295" s="40"/>
      <c r="K1295" s="40"/>
      <c r="L1295" s="5"/>
      <c r="M1295" s="5"/>
      <c r="N1295" s="28"/>
      <c r="O1295" s="28"/>
      <c r="P1295" s="28"/>
      <c r="Q1295" s="28"/>
      <c r="R1295" s="28"/>
      <c r="S1295" s="28"/>
      <c r="T1295" s="28"/>
      <c r="V1295" s="28"/>
      <c r="W1295" s="5"/>
      <c r="X1295" s="5"/>
      <c r="Z1295" s="28"/>
      <c r="AA1295" s="28"/>
      <c r="AB1295" s="28"/>
      <c r="AC1295" s="28"/>
      <c r="AD1295" s="28"/>
      <c r="AE1295" s="28"/>
      <c r="AF1295" s="28"/>
      <c r="AG1295" s="28"/>
      <c r="AH1295" s="28"/>
      <c r="AI1295" s="28"/>
      <c r="AJ1295" s="28"/>
      <c r="AK1295" s="28"/>
      <c r="AL1295" s="28"/>
      <c r="AM1295" s="28"/>
      <c r="AN1295" s="28"/>
      <c r="AO1295" s="28"/>
      <c r="AP1295" s="28"/>
      <c r="AQ1295" s="28"/>
      <c r="AR1295" s="28"/>
      <c r="AS1295" s="28"/>
      <c r="AT1295" s="5"/>
      <c r="AU1295" s="28"/>
      <c r="AV1295" s="28"/>
      <c r="AX1295" s="28"/>
      <c r="AY1295" s="28"/>
      <c r="BA1295" s="28"/>
      <c r="BB1295" s="28"/>
      <c r="BF1295" s="28"/>
      <c r="BH1295" s="28"/>
      <c r="BI1295" s="28"/>
      <c r="BJ1295" s="38"/>
      <c r="BK1295" s="28"/>
    </row>
    <row r="1296" customFormat="false" ht="15.75" hidden="false" customHeight="false" outlineLevel="0" collapsed="false">
      <c r="A1296" s="28"/>
      <c r="B1296" s="28"/>
      <c r="C1296" s="28"/>
      <c r="D1296" s="5"/>
      <c r="E1296" s="38"/>
      <c r="F1296" s="28"/>
      <c r="G1296" s="28"/>
      <c r="H1296" s="38"/>
      <c r="I1296" s="28"/>
      <c r="J1296" s="40"/>
      <c r="K1296" s="40"/>
      <c r="L1296" s="5"/>
      <c r="M1296" s="5"/>
      <c r="N1296" s="28"/>
      <c r="O1296" s="28"/>
      <c r="P1296" s="28"/>
      <c r="Q1296" s="28"/>
      <c r="R1296" s="28"/>
      <c r="S1296" s="28"/>
      <c r="T1296" s="28"/>
      <c r="V1296" s="28"/>
      <c r="W1296" s="5"/>
      <c r="X1296" s="5"/>
      <c r="Z1296" s="28"/>
      <c r="AA1296" s="28"/>
      <c r="AB1296" s="28"/>
      <c r="AC1296" s="28"/>
      <c r="AD1296" s="28"/>
      <c r="AE1296" s="28"/>
      <c r="AF1296" s="28"/>
      <c r="AG1296" s="28"/>
      <c r="AH1296" s="28"/>
      <c r="AI1296" s="28"/>
      <c r="AJ1296" s="28"/>
      <c r="AK1296" s="28"/>
      <c r="AL1296" s="28"/>
      <c r="AM1296" s="28"/>
      <c r="AN1296" s="28"/>
      <c r="AO1296" s="28"/>
      <c r="AP1296" s="28"/>
      <c r="AQ1296" s="28"/>
      <c r="AR1296" s="28"/>
      <c r="AS1296" s="28"/>
      <c r="AT1296" s="5"/>
      <c r="AU1296" s="28"/>
      <c r="AV1296" s="28"/>
      <c r="AX1296" s="28"/>
      <c r="AY1296" s="28"/>
      <c r="BA1296" s="28"/>
      <c r="BB1296" s="28"/>
      <c r="BF1296" s="28"/>
      <c r="BH1296" s="28"/>
      <c r="BI1296" s="28"/>
      <c r="BJ1296" s="38"/>
      <c r="BK1296" s="28"/>
    </row>
    <row r="1297" customFormat="false" ht="15.75" hidden="false" customHeight="false" outlineLevel="0" collapsed="false">
      <c r="A1297" s="28"/>
      <c r="B1297" s="28"/>
      <c r="C1297" s="28"/>
      <c r="D1297" s="5"/>
      <c r="E1297" s="38"/>
      <c r="F1297" s="28"/>
      <c r="G1297" s="28"/>
      <c r="H1297" s="38"/>
      <c r="I1297" s="28"/>
      <c r="J1297" s="40"/>
      <c r="K1297" s="40"/>
      <c r="L1297" s="5"/>
      <c r="M1297" s="5"/>
      <c r="N1297" s="28"/>
      <c r="O1297" s="28"/>
      <c r="P1297" s="28"/>
      <c r="Q1297" s="28"/>
      <c r="R1297" s="28"/>
      <c r="S1297" s="28"/>
      <c r="T1297" s="28"/>
      <c r="V1297" s="28"/>
      <c r="W1297" s="5"/>
      <c r="X1297" s="5"/>
      <c r="Z1297" s="28"/>
      <c r="AA1297" s="28"/>
      <c r="AB1297" s="28"/>
      <c r="AC1297" s="28"/>
      <c r="AD1297" s="28"/>
      <c r="AE1297" s="28"/>
      <c r="AF1297" s="28"/>
      <c r="AG1297" s="28"/>
      <c r="AH1297" s="28"/>
      <c r="AI1297" s="28"/>
      <c r="AJ1297" s="28"/>
      <c r="AK1297" s="28"/>
      <c r="AL1297" s="28"/>
      <c r="AM1297" s="28"/>
      <c r="AN1297" s="28"/>
      <c r="AO1297" s="28"/>
      <c r="AP1297" s="28"/>
      <c r="AQ1297" s="28"/>
      <c r="AR1297" s="28"/>
      <c r="AS1297" s="28"/>
      <c r="AT1297" s="5"/>
      <c r="AU1297" s="28"/>
      <c r="AV1297" s="28"/>
      <c r="AX1297" s="28"/>
      <c r="AY1297" s="28"/>
      <c r="BA1297" s="28"/>
      <c r="BB1297" s="28"/>
      <c r="BF1297" s="28"/>
      <c r="BH1297" s="28"/>
      <c r="BI1297" s="28"/>
      <c r="BJ1297" s="38"/>
      <c r="BK1297" s="28"/>
    </row>
    <row r="1298" customFormat="false" ht="15.75" hidden="false" customHeight="false" outlineLevel="0" collapsed="false">
      <c r="A1298" s="28"/>
      <c r="B1298" s="28"/>
      <c r="C1298" s="28"/>
      <c r="D1298" s="5"/>
      <c r="E1298" s="38"/>
      <c r="F1298" s="28"/>
      <c r="G1298" s="28"/>
      <c r="H1298" s="38"/>
      <c r="I1298" s="28"/>
      <c r="J1298" s="40"/>
      <c r="K1298" s="40"/>
      <c r="L1298" s="5"/>
      <c r="M1298" s="5"/>
      <c r="N1298" s="28"/>
      <c r="O1298" s="28"/>
      <c r="P1298" s="28"/>
      <c r="Q1298" s="28"/>
      <c r="R1298" s="28"/>
      <c r="S1298" s="28"/>
      <c r="T1298" s="28"/>
      <c r="V1298" s="28"/>
      <c r="W1298" s="5"/>
      <c r="X1298" s="5"/>
      <c r="Z1298" s="28"/>
      <c r="AA1298" s="28"/>
      <c r="AB1298" s="28"/>
      <c r="AC1298" s="28"/>
      <c r="AD1298" s="28"/>
      <c r="AE1298" s="28"/>
      <c r="AF1298" s="28"/>
      <c r="AG1298" s="28"/>
      <c r="AH1298" s="28"/>
      <c r="AI1298" s="28"/>
      <c r="AJ1298" s="28"/>
      <c r="AK1298" s="28"/>
      <c r="AL1298" s="28"/>
      <c r="AM1298" s="28"/>
      <c r="AN1298" s="28"/>
      <c r="AO1298" s="28"/>
      <c r="AP1298" s="28"/>
      <c r="AQ1298" s="28"/>
      <c r="AR1298" s="28"/>
      <c r="AS1298" s="28"/>
      <c r="AT1298" s="5"/>
      <c r="AU1298" s="28"/>
      <c r="AV1298" s="28"/>
      <c r="AX1298" s="28"/>
      <c r="AY1298" s="28"/>
      <c r="BA1298" s="28"/>
      <c r="BB1298" s="28"/>
      <c r="BF1298" s="28"/>
      <c r="BH1298" s="28"/>
      <c r="BI1298" s="28"/>
      <c r="BJ1298" s="38"/>
      <c r="BK1298" s="28"/>
    </row>
    <row r="1299" customFormat="false" ht="15.75" hidden="false" customHeight="false" outlineLevel="0" collapsed="false">
      <c r="A1299" s="28"/>
      <c r="B1299" s="28"/>
      <c r="C1299" s="28"/>
      <c r="D1299" s="5"/>
      <c r="E1299" s="38"/>
      <c r="F1299" s="28"/>
      <c r="G1299" s="28"/>
      <c r="H1299" s="38"/>
      <c r="I1299" s="28"/>
      <c r="J1299" s="40"/>
      <c r="K1299" s="40"/>
      <c r="L1299" s="5"/>
      <c r="M1299" s="5"/>
      <c r="N1299" s="28"/>
      <c r="O1299" s="28"/>
      <c r="P1299" s="28"/>
      <c r="Q1299" s="28"/>
      <c r="R1299" s="28"/>
      <c r="S1299" s="28"/>
      <c r="T1299" s="28"/>
      <c r="V1299" s="28"/>
      <c r="W1299" s="5"/>
      <c r="X1299" s="5"/>
      <c r="Z1299" s="28"/>
      <c r="AA1299" s="28"/>
      <c r="AB1299" s="28"/>
      <c r="AC1299" s="28"/>
      <c r="AD1299" s="28"/>
      <c r="AE1299" s="28"/>
      <c r="AF1299" s="28"/>
      <c r="AG1299" s="28"/>
      <c r="AH1299" s="28"/>
      <c r="AI1299" s="28"/>
      <c r="AJ1299" s="28"/>
      <c r="AK1299" s="28"/>
      <c r="AL1299" s="28"/>
      <c r="AM1299" s="28"/>
      <c r="AN1299" s="28"/>
      <c r="AO1299" s="28"/>
      <c r="AP1299" s="28"/>
      <c r="AQ1299" s="28"/>
      <c r="AR1299" s="28"/>
      <c r="AS1299" s="28"/>
      <c r="AT1299" s="5"/>
      <c r="AU1299" s="28"/>
      <c r="AV1299" s="28"/>
      <c r="AX1299" s="28"/>
      <c r="AY1299" s="28"/>
      <c r="BA1299" s="28"/>
      <c r="BB1299" s="28"/>
      <c r="BF1299" s="28"/>
      <c r="BH1299" s="28"/>
      <c r="BI1299" s="28"/>
      <c r="BJ1299" s="38"/>
      <c r="BK1299" s="28"/>
    </row>
    <row r="1300" customFormat="false" ht="15.75" hidden="false" customHeight="false" outlineLevel="0" collapsed="false">
      <c r="A1300" s="28"/>
      <c r="B1300" s="28"/>
      <c r="C1300" s="28"/>
      <c r="D1300" s="5"/>
      <c r="E1300" s="38"/>
      <c r="F1300" s="28"/>
      <c r="G1300" s="28"/>
      <c r="H1300" s="38"/>
      <c r="I1300" s="28"/>
      <c r="J1300" s="40"/>
      <c r="K1300" s="40"/>
      <c r="L1300" s="5"/>
      <c r="M1300" s="5"/>
      <c r="N1300" s="28"/>
      <c r="O1300" s="28"/>
      <c r="P1300" s="28"/>
      <c r="Q1300" s="28"/>
      <c r="R1300" s="28"/>
      <c r="S1300" s="28"/>
      <c r="T1300" s="28"/>
      <c r="V1300" s="28"/>
      <c r="W1300" s="5"/>
      <c r="X1300" s="5"/>
      <c r="Z1300" s="28"/>
      <c r="AA1300" s="28"/>
      <c r="AB1300" s="28"/>
      <c r="AC1300" s="28"/>
      <c r="AD1300" s="28"/>
      <c r="AE1300" s="28"/>
      <c r="AF1300" s="28"/>
      <c r="AG1300" s="28"/>
      <c r="AH1300" s="28"/>
      <c r="AI1300" s="28"/>
      <c r="AJ1300" s="28"/>
      <c r="AK1300" s="28"/>
      <c r="AL1300" s="28"/>
      <c r="AM1300" s="28"/>
      <c r="AN1300" s="28"/>
      <c r="AO1300" s="28"/>
      <c r="AP1300" s="28"/>
      <c r="AQ1300" s="28"/>
      <c r="AR1300" s="28"/>
      <c r="AS1300" s="28"/>
      <c r="AT1300" s="5"/>
      <c r="AU1300" s="28"/>
      <c r="AV1300" s="28"/>
      <c r="AX1300" s="28"/>
      <c r="AY1300" s="28"/>
      <c r="BA1300" s="28"/>
      <c r="BB1300" s="28"/>
      <c r="BF1300" s="28"/>
      <c r="BH1300" s="28"/>
      <c r="BI1300" s="28"/>
      <c r="BJ1300" s="38"/>
      <c r="BK1300" s="28"/>
    </row>
    <row r="1301" customFormat="false" ht="15.75" hidden="false" customHeight="false" outlineLevel="0" collapsed="false">
      <c r="A1301" s="28"/>
      <c r="B1301" s="28"/>
      <c r="C1301" s="28"/>
      <c r="D1301" s="5"/>
      <c r="E1301" s="38"/>
      <c r="F1301" s="28"/>
      <c r="G1301" s="28"/>
      <c r="H1301" s="38"/>
      <c r="I1301" s="28"/>
      <c r="J1301" s="40"/>
      <c r="K1301" s="40"/>
      <c r="L1301" s="5"/>
      <c r="M1301" s="5"/>
      <c r="N1301" s="28"/>
      <c r="O1301" s="28"/>
      <c r="P1301" s="28"/>
      <c r="Q1301" s="28"/>
      <c r="R1301" s="28"/>
      <c r="S1301" s="28"/>
      <c r="T1301" s="28"/>
      <c r="V1301" s="28"/>
      <c r="W1301" s="5"/>
      <c r="X1301" s="5"/>
      <c r="Z1301" s="28"/>
      <c r="AA1301" s="28"/>
      <c r="AB1301" s="28"/>
      <c r="AC1301" s="28"/>
      <c r="AD1301" s="28"/>
      <c r="AE1301" s="28"/>
      <c r="AF1301" s="28"/>
      <c r="AG1301" s="28"/>
      <c r="AH1301" s="28"/>
      <c r="AI1301" s="28"/>
      <c r="AJ1301" s="28"/>
      <c r="AK1301" s="28"/>
      <c r="AL1301" s="28"/>
      <c r="AM1301" s="28"/>
      <c r="AN1301" s="28"/>
      <c r="AO1301" s="28"/>
      <c r="AP1301" s="28"/>
      <c r="AQ1301" s="28"/>
      <c r="AR1301" s="28"/>
      <c r="AS1301" s="28"/>
      <c r="AT1301" s="5"/>
      <c r="AU1301" s="28"/>
      <c r="AV1301" s="28"/>
      <c r="AX1301" s="28"/>
      <c r="AY1301" s="28"/>
      <c r="BA1301" s="28"/>
      <c r="BB1301" s="28"/>
      <c r="BF1301" s="28"/>
      <c r="BH1301" s="28"/>
      <c r="BI1301" s="28"/>
      <c r="BJ1301" s="38"/>
      <c r="BK1301" s="28"/>
    </row>
    <row r="1302" customFormat="false" ht="15.75" hidden="false" customHeight="false" outlineLevel="0" collapsed="false">
      <c r="A1302" s="28"/>
      <c r="B1302" s="28"/>
      <c r="C1302" s="28"/>
      <c r="D1302" s="5"/>
      <c r="E1302" s="38"/>
      <c r="F1302" s="28"/>
      <c r="G1302" s="28"/>
      <c r="H1302" s="38"/>
      <c r="I1302" s="28"/>
      <c r="J1302" s="40"/>
      <c r="K1302" s="40"/>
      <c r="L1302" s="5"/>
      <c r="M1302" s="5"/>
      <c r="N1302" s="28"/>
      <c r="O1302" s="28"/>
      <c r="P1302" s="28"/>
      <c r="Q1302" s="28"/>
      <c r="R1302" s="28"/>
      <c r="S1302" s="28"/>
      <c r="T1302" s="28"/>
      <c r="V1302" s="28"/>
      <c r="W1302" s="5"/>
      <c r="X1302" s="5"/>
      <c r="Z1302" s="28"/>
      <c r="AA1302" s="28"/>
      <c r="AB1302" s="28"/>
      <c r="AC1302" s="28"/>
      <c r="AD1302" s="28"/>
      <c r="AE1302" s="28"/>
      <c r="AF1302" s="28"/>
      <c r="AG1302" s="28"/>
      <c r="AH1302" s="28"/>
      <c r="AI1302" s="28"/>
      <c r="AJ1302" s="28"/>
      <c r="AK1302" s="28"/>
      <c r="AL1302" s="28"/>
      <c r="AM1302" s="28"/>
      <c r="AN1302" s="28"/>
      <c r="AO1302" s="28"/>
      <c r="AP1302" s="28"/>
      <c r="AQ1302" s="28"/>
      <c r="AR1302" s="28"/>
      <c r="AS1302" s="28"/>
      <c r="AT1302" s="5"/>
      <c r="AU1302" s="28"/>
      <c r="AV1302" s="28"/>
      <c r="AX1302" s="28"/>
      <c r="AY1302" s="28"/>
      <c r="BA1302" s="28"/>
      <c r="BB1302" s="28"/>
      <c r="BF1302" s="28"/>
      <c r="BH1302" s="28"/>
      <c r="BI1302" s="28"/>
      <c r="BJ1302" s="38"/>
      <c r="BK1302" s="28"/>
    </row>
    <row r="1303" customFormat="false" ht="15.75" hidden="false" customHeight="false" outlineLevel="0" collapsed="false">
      <c r="A1303" s="28"/>
      <c r="B1303" s="28"/>
      <c r="C1303" s="28"/>
      <c r="D1303" s="5"/>
      <c r="E1303" s="38"/>
      <c r="F1303" s="28"/>
      <c r="G1303" s="28"/>
      <c r="H1303" s="38"/>
      <c r="I1303" s="28"/>
      <c r="J1303" s="40"/>
      <c r="K1303" s="40"/>
      <c r="L1303" s="5"/>
      <c r="M1303" s="5"/>
      <c r="N1303" s="28"/>
      <c r="O1303" s="28"/>
      <c r="P1303" s="28"/>
      <c r="Q1303" s="28"/>
      <c r="R1303" s="28"/>
      <c r="S1303" s="28"/>
      <c r="T1303" s="28"/>
      <c r="V1303" s="28"/>
      <c r="W1303" s="5"/>
      <c r="X1303" s="5"/>
      <c r="Z1303" s="28"/>
      <c r="AA1303" s="28"/>
      <c r="AB1303" s="28"/>
      <c r="AC1303" s="28"/>
      <c r="AD1303" s="28"/>
      <c r="AE1303" s="28"/>
      <c r="AF1303" s="28"/>
      <c r="AG1303" s="28"/>
      <c r="AH1303" s="28"/>
      <c r="AI1303" s="28"/>
      <c r="AJ1303" s="28"/>
      <c r="AK1303" s="28"/>
      <c r="AL1303" s="28"/>
      <c r="AM1303" s="28"/>
      <c r="AN1303" s="28"/>
      <c r="AO1303" s="28"/>
      <c r="AP1303" s="28"/>
      <c r="AQ1303" s="28"/>
      <c r="AR1303" s="28"/>
      <c r="AS1303" s="28"/>
      <c r="AT1303" s="5"/>
      <c r="AU1303" s="28"/>
      <c r="AV1303" s="28"/>
      <c r="AX1303" s="28"/>
      <c r="AY1303" s="28"/>
      <c r="BA1303" s="28"/>
      <c r="BB1303" s="28"/>
      <c r="BF1303" s="28"/>
      <c r="BH1303" s="28"/>
      <c r="BI1303" s="28"/>
      <c r="BJ1303" s="38"/>
      <c r="BK1303" s="28"/>
    </row>
    <row r="1304" customFormat="false" ht="15.75" hidden="false" customHeight="false" outlineLevel="0" collapsed="false">
      <c r="A1304" s="28"/>
      <c r="B1304" s="28"/>
      <c r="C1304" s="28"/>
      <c r="D1304" s="5"/>
      <c r="E1304" s="38"/>
      <c r="F1304" s="28"/>
      <c r="G1304" s="28"/>
      <c r="H1304" s="38"/>
      <c r="I1304" s="28"/>
      <c r="J1304" s="40"/>
      <c r="K1304" s="40"/>
      <c r="L1304" s="5"/>
      <c r="M1304" s="5"/>
      <c r="N1304" s="28"/>
      <c r="O1304" s="28"/>
      <c r="P1304" s="28"/>
      <c r="Q1304" s="28"/>
      <c r="R1304" s="28"/>
      <c r="S1304" s="28"/>
      <c r="T1304" s="28"/>
      <c r="V1304" s="28"/>
      <c r="W1304" s="5"/>
      <c r="X1304" s="5"/>
      <c r="Z1304" s="28"/>
      <c r="AA1304" s="28"/>
      <c r="AB1304" s="28"/>
      <c r="AC1304" s="28"/>
      <c r="AD1304" s="28"/>
      <c r="AE1304" s="28"/>
      <c r="AF1304" s="28"/>
      <c r="AG1304" s="28"/>
      <c r="AH1304" s="28"/>
      <c r="AI1304" s="28"/>
      <c r="AJ1304" s="28"/>
      <c r="AK1304" s="28"/>
      <c r="AL1304" s="28"/>
      <c r="AM1304" s="28"/>
      <c r="AN1304" s="28"/>
      <c r="AO1304" s="28"/>
      <c r="AP1304" s="28"/>
      <c r="AQ1304" s="28"/>
      <c r="AR1304" s="28"/>
      <c r="AS1304" s="28"/>
      <c r="AT1304" s="5"/>
      <c r="AU1304" s="28"/>
      <c r="AV1304" s="28"/>
      <c r="AX1304" s="28"/>
      <c r="AY1304" s="28"/>
      <c r="BA1304" s="28"/>
      <c r="BB1304" s="28"/>
      <c r="BF1304" s="28"/>
      <c r="BH1304" s="28"/>
      <c r="BI1304" s="28"/>
      <c r="BJ1304" s="38"/>
      <c r="BK1304" s="28"/>
    </row>
    <row r="1305" customFormat="false" ht="15.75" hidden="false" customHeight="false" outlineLevel="0" collapsed="false">
      <c r="A1305" s="28"/>
      <c r="B1305" s="28"/>
      <c r="C1305" s="28"/>
      <c r="D1305" s="5"/>
      <c r="E1305" s="38"/>
      <c r="F1305" s="28"/>
      <c r="G1305" s="28"/>
      <c r="H1305" s="38"/>
      <c r="I1305" s="28"/>
      <c r="J1305" s="40"/>
      <c r="K1305" s="40"/>
      <c r="L1305" s="5"/>
      <c r="M1305" s="5"/>
      <c r="N1305" s="28"/>
      <c r="O1305" s="28"/>
      <c r="P1305" s="28"/>
      <c r="Q1305" s="28"/>
      <c r="R1305" s="28"/>
      <c r="S1305" s="28"/>
      <c r="T1305" s="28"/>
      <c r="V1305" s="28"/>
      <c r="W1305" s="5"/>
      <c r="X1305" s="5"/>
      <c r="Z1305" s="28"/>
      <c r="AA1305" s="28"/>
      <c r="AB1305" s="28"/>
      <c r="AC1305" s="28"/>
      <c r="AD1305" s="28"/>
      <c r="AE1305" s="28"/>
      <c r="AF1305" s="28"/>
      <c r="AG1305" s="28"/>
      <c r="AH1305" s="28"/>
      <c r="AI1305" s="28"/>
      <c r="AJ1305" s="28"/>
      <c r="AK1305" s="28"/>
      <c r="AL1305" s="28"/>
      <c r="AM1305" s="28"/>
      <c r="AN1305" s="28"/>
      <c r="AO1305" s="28"/>
      <c r="AP1305" s="28"/>
      <c r="AQ1305" s="28"/>
      <c r="AR1305" s="28"/>
      <c r="AS1305" s="28"/>
      <c r="AT1305" s="5"/>
      <c r="AU1305" s="28"/>
      <c r="AV1305" s="28"/>
      <c r="AX1305" s="28"/>
      <c r="AY1305" s="28"/>
      <c r="BA1305" s="28"/>
      <c r="BB1305" s="28"/>
      <c r="BF1305" s="28"/>
      <c r="BH1305" s="28"/>
      <c r="BI1305" s="28"/>
      <c r="BJ1305" s="38"/>
      <c r="BK1305" s="28"/>
    </row>
    <row r="1306" customFormat="false" ht="15.75" hidden="false" customHeight="false" outlineLevel="0" collapsed="false">
      <c r="A1306" s="28"/>
      <c r="B1306" s="28"/>
      <c r="C1306" s="28"/>
      <c r="D1306" s="5"/>
      <c r="E1306" s="38"/>
      <c r="F1306" s="28"/>
      <c r="G1306" s="28"/>
      <c r="H1306" s="38"/>
      <c r="I1306" s="28"/>
      <c r="J1306" s="40"/>
      <c r="K1306" s="40"/>
      <c r="L1306" s="5"/>
      <c r="M1306" s="5"/>
      <c r="N1306" s="28"/>
      <c r="O1306" s="28"/>
      <c r="P1306" s="28"/>
      <c r="Q1306" s="28"/>
      <c r="R1306" s="28"/>
      <c r="S1306" s="28"/>
      <c r="T1306" s="28"/>
      <c r="V1306" s="28"/>
      <c r="W1306" s="5"/>
      <c r="X1306" s="5"/>
      <c r="Z1306" s="28"/>
      <c r="AA1306" s="28"/>
      <c r="AB1306" s="28"/>
      <c r="AC1306" s="28"/>
      <c r="AD1306" s="28"/>
      <c r="AE1306" s="28"/>
      <c r="AF1306" s="28"/>
      <c r="AG1306" s="28"/>
      <c r="AH1306" s="28"/>
      <c r="AI1306" s="28"/>
      <c r="AJ1306" s="28"/>
      <c r="AK1306" s="28"/>
      <c r="AL1306" s="28"/>
      <c r="AM1306" s="28"/>
      <c r="AN1306" s="28"/>
      <c r="AO1306" s="28"/>
      <c r="AP1306" s="28"/>
      <c r="AQ1306" s="28"/>
      <c r="AR1306" s="28"/>
      <c r="AS1306" s="28"/>
      <c r="AT1306" s="5"/>
      <c r="AU1306" s="28"/>
      <c r="AV1306" s="28"/>
      <c r="AX1306" s="28"/>
      <c r="AY1306" s="28"/>
      <c r="BA1306" s="28"/>
      <c r="BB1306" s="28"/>
      <c r="BF1306" s="28"/>
      <c r="BH1306" s="28"/>
      <c r="BI1306" s="28"/>
      <c r="BJ1306" s="38"/>
      <c r="BK1306" s="28"/>
    </row>
    <row r="1307" customFormat="false" ht="15.75" hidden="false" customHeight="false" outlineLevel="0" collapsed="false">
      <c r="A1307" s="28"/>
      <c r="B1307" s="28"/>
      <c r="C1307" s="28"/>
      <c r="D1307" s="5"/>
      <c r="E1307" s="38"/>
      <c r="F1307" s="28"/>
      <c r="G1307" s="28"/>
      <c r="H1307" s="38"/>
      <c r="I1307" s="28"/>
      <c r="J1307" s="40"/>
      <c r="K1307" s="40"/>
      <c r="L1307" s="5"/>
      <c r="M1307" s="5"/>
      <c r="N1307" s="28"/>
      <c r="O1307" s="28"/>
      <c r="P1307" s="28"/>
      <c r="Q1307" s="28"/>
      <c r="R1307" s="28"/>
      <c r="S1307" s="28"/>
      <c r="T1307" s="28"/>
      <c r="V1307" s="28"/>
      <c r="W1307" s="5"/>
      <c r="X1307" s="5"/>
      <c r="Z1307" s="28"/>
      <c r="AA1307" s="28"/>
      <c r="AB1307" s="28"/>
      <c r="AC1307" s="28"/>
      <c r="AD1307" s="28"/>
      <c r="AE1307" s="28"/>
      <c r="AF1307" s="28"/>
      <c r="AG1307" s="28"/>
      <c r="AH1307" s="28"/>
      <c r="AI1307" s="28"/>
      <c r="AJ1307" s="28"/>
      <c r="AK1307" s="28"/>
      <c r="AL1307" s="28"/>
      <c r="AM1307" s="28"/>
      <c r="AN1307" s="28"/>
      <c r="AO1307" s="28"/>
      <c r="AP1307" s="28"/>
      <c r="AQ1307" s="28"/>
      <c r="AR1307" s="28"/>
      <c r="AS1307" s="28"/>
      <c r="AT1307" s="5"/>
      <c r="AU1307" s="28"/>
      <c r="AV1307" s="28"/>
      <c r="AX1307" s="28"/>
      <c r="AY1307" s="28"/>
      <c r="BA1307" s="28"/>
      <c r="BB1307" s="28"/>
      <c r="BF1307" s="28"/>
      <c r="BH1307" s="28"/>
      <c r="BI1307" s="28"/>
      <c r="BJ1307" s="38"/>
      <c r="BK1307" s="28"/>
    </row>
    <row r="1308" customFormat="false" ht="15.75" hidden="false" customHeight="false" outlineLevel="0" collapsed="false">
      <c r="A1308" s="28"/>
      <c r="B1308" s="28"/>
      <c r="C1308" s="28"/>
      <c r="D1308" s="5"/>
      <c r="E1308" s="38"/>
      <c r="F1308" s="28"/>
      <c r="G1308" s="28"/>
      <c r="H1308" s="38"/>
      <c r="I1308" s="28"/>
      <c r="J1308" s="40"/>
      <c r="K1308" s="40"/>
      <c r="L1308" s="5"/>
      <c r="M1308" s="5"/>
      <c r="N1308" s="28"/>
      <c r="O1308" s="28"/>
      <c r="P1308" s="28"/>
      <c r="Q1308" s="28"/>
      <c r="R1308" s="28"/>
      <c r="S1308" s="28"/>
      <c r="T1308" s="28"/>
      <c r="V1308" s="28"/>
      <c r="W1308" s="5"/>
      <c r="X1308" s="5"/>
      <c r="Z1308" s="28"/>
      <c r="AA1308" s="28"/>
      <c r="AB1308" s="28"/>
      <c r="AC1308" s="28"/>
      <c r="AD1308" s="28"/>
      <c r="AE1308" s="28"/>
      <c r="AF1308" s="28"/>
      <c r="AG1308" s="28"/>
      <c r="AH1308" s="28"/>
      <c r="AI1308" s="28"/>
      <c r="AJ1308" s="28"/>
      <c r="AK1308" s="28"/>
      <c r="AL1308" s="28"/>
      <c r="AM1308" s="28"/>
      <c r="AN1308" s="28"/>
      <c r="AO1308" s="28"/>
      <c r="AP1308" s="28"/>
      <c r="AQ1308" s="28"/>
      <c r="AR1308" s="28"/>
      <c r="AS1308" s="28"/>
      <c r="AT1308" s="5"/>
      <c r="AU1308" s="28"/>
      <c r="AV1308" s="28"/>
      <c r="AX1308" s="28"/>
      <c r="AY1308" s="28"/>
      <c r="BA1308" s="28"/>
      <c r="BB1308" s="28"/>
      <c r="BF1308" s="28"/>
      <c r="BH1308" s="28"/>
      <c r="BI1308" s="28"/>
      <c r="BJ1308" s="38"/>
      <c r="BK1308" s="28"/>
    </row>
    <row r="1309" customFormat="false" ht="15.75" hidden="false" customHeight="false" outlineLevel="0" collapsed="false">
      <c r="A1309" s="28"/>
      <c r="B1309" s="28"/>
      <c r="C1309" s="28"/>
      <c r="D1309" s="5"/>
      <c r="E1309" s="38"/>
      <c r="F1309" s="28"/>
      <c r="G1309" s="28"/>
      <c r="H1309" s="38"/>
      <c r="I1309" s="28"/>
      <c r="J1309" s="40"/>
      <c r="K1309" s="40"/>
      <c r="L1309" s="5"/>
      <c r="M1309" s="5"/>
      <c r="N1309" s="28"/>
      <c r="O1309" s="28"/>
      <c r="P1309" s="28"/>
      <c r="Q1309" s="28"/>
      <c r="R1309" s="28"/>
      <c r="S1309" s="28"/>
      <c r="T1309" s="28"/>
      <c r="V1309" s="28"/>
      <c r="W1309" s="5"/>
      <c r="X1309" s="5"/>
      <c r="Z1309" s="28"/>
      <c r="AA1309" s="28"/>
      <c r="AB1309" s="28"/>
      <c r="AC1309" s="28"/>
      <c r="AD1309" s="28"/>
      <c r="AE1309" s="28"/>
      <c r="AF1309" s="28"/>
      <c r="AG1309" s="28"/>
      <c r="AH1309" s="28"/>
      <c r="AI1309" s="28"/>
      <c r="AJ1309" s="28"/>
      <c r="AK1309" s="28"/>
      <c r="AL1309" s="28"/>
      <c r="AM1309" s="28"/>
      <c r="AN1309" s="28"/>
      <c r="AO1309" s="28"/>
      <c r="AP1309" s="28"/>
      <c r="AQ1309" s="28"/>
      <c r="AR1309" s="28"/>
      <c r="AS1309" s="28"/>
      <c r="AT1309" s="5"/>
      <c r="AU1309" s="28"/>
      <c r="AV1309" s="28"/>
      <c r="AX1309" s="28"/>
      <c r="AY1309" s="28"/>
      <c r="BA1309" s="28"/>
      <c r="BB1309" s="28"/>
      <c r="BF1309" s="28"/>
      <c r="BH1309" s="28"/>
      <c r="BI1309" s="28"/>
      <c r="BJ1309" s="38"/>
      <c r="BK1309" s="28"/>
    </row>
    <row r="1310" customFormat="false" ht="15.75" hidden="false" customHeight="false" outlineLevel="0" collapsed="false">
      <c r="A1310" s="28"/>
      <c r="B1310" s="28"/>
      <c r="C1310" s="28"/>
      <c r="D1310" s="5"/>
      <c r="E1310" s="38"/>
      <c r="F1310" s="28"/>
      <c r="G1310" s="28"/>
      <c r="H1310" s="38"/>
      <c r="I1310" s="28"/>
      <c r="J1310" s="40"/>
      <c r="K1310" s="40"/>
      <c r="L1310" s="5"/>
      <c r="M1310" s="5"/>
      <c r="N1310" s="28"/>
      <c r="O1310" s="28"/>
      <c r="P1310" s="28"/>
      <c r="Q1310" s="28"/>
      <c r="R1310" s="28"/>
      <c r="S1310" s="28"/>
      <c r="T1310" s="28"/>
      <c r="V1310" s="28"/>
      <c r="W1310" s="5"/>
      <c r="X1310" s="5"/>
      <c r="Z1310" s="28"/>
      <c r="AA1310" s="28"/>
      <c r="AB1310" s="28"/>
      <c r="AC1310" s="28"/>
      <c r="AD1310" s="28"/>
      <c r="AE1310" s="28"/>
      <c r="AF1310" s="28"/>
      <c r="AG1310" s="28"/>
      <c r="AH1310" s="28"/>
      <c r="AI1310" s="28"/>
      <c r="AJ1310" s="28"/>
      <c r="AK1310" s="28"/>
      <c r="AL1310" s="28"/>
      <c r="AM1310" s="28"/>
      <c r="AN1310" s="28"/>
      <c r="AO1310" s="28"/>
      <c r="AP1310" s="28"/>
      <c r="AQ1310" s="28"/>
      <c r="AR1310" s="28"/>
      <c r="AS1310" s="28"/>
      <c r="AT1310" s="5"/>
      <c r="AU1310" s="28"/>
      <c r="AV1310" s="28"/>
      <c r="AX1310" s="28"/>
      <c r="AY1310" s="28"/>
      <c r="BA1310" s="28"/>
      <c r="BB1310" s="28"/>
      <c r="BF1310" s="28"/>
      <c r="BH1310" s="28"/>
      <c r="BI1310" s="28"/>
      <c r="BJ1310" s="38"/>
      <c r="BK1310" s="28"/>
    </row>
    <row r="1311" customFormat="false" ht="15.75" hidden="false" customHeight="false" outlineLevel="0" collapsed="false">
      <c r="A1311" s="28"/>
      <c r="B1311" s="28"/>
      <c r="C1311" s="28"/>
      <c r="D1311" s="5"/>
      <c r="E1311" s="38"/>
      <c r="F1311" s="28"/>
      <c r="G1311" s="28"/>
      <c r="H1311" s="38"/>
      <c r="I1311" s="28"/>
      <c r="J1311" s="40"/>
      <c r="K1311" s="40"/>
      <c r="L1311" s="5"/>
      <c r="M1311" s="5"/>
      <c r="N1311" s="28"/>
      <c r="O1311" s="28"/>
      <c r="P1311" s="28"/>
      <c r="Q1311" s="28"/>
      <c r="R1311" s="28"/>
      <c r="S1311" s="28"/>
      <c r="T1311" s="28"/>
      <c r="V1311" s="28"/>
      <c r="W1311" s="5"/>
      <c r="X1311" s="5"/>
      <c r="Z1311" s="28"/>
      <c r="AA1311" s="28"/>
      <c r="AB1311" s="28"/>
      <c r="AC1311" s="28"/>
      <c r="AD1311" s="28"/>
      <c r="AE1311" s="28"/>
      <c r="AF1311" s="28"/>
      <c r="AG1311" s="28"/>
      <c r="AH1311" s="28"/>
      <c r="AI1311" s="28"/>
      <c r="AJ1311" s="28"/>
      <c r="AK1311" s="28"/>
      <c r="AL1311" s="28"/>
      <c r="AM1311" s="28"/>
      <c r="AN1311" s="28"/>
      <c r="AO1311" s="28"/>
      <c r="AP1311" s="28"/>
      <c r="AQ1311" s="28"/>
      <c r="AR1311" s="28"/>
      <c r="AS1311" s="28"/>
      <c r="AT1311" s="5"/>
      <c r="AU1311" s="28"/>
      <c r="AV1311" s="28"/>
      <c r="AX1311" s="28"/>
      <c r="AY1311" s="28"/>
      <c r="BA1311" s="28"/>
      <c r="BB1311" s="28"/>
      <c r="BF1311" s="28"/>
      <c r="BH1311" s="28"/>
      <c r="BI1311" s="28"/>
      <c r="BJ1311" s="38"/>
      <c r="BK1311" s="28"/>
    </row>
    <row r="1312" customFormat="false" ht="15.75" hidden="false" customHeight="false" outlineLevel="0" collapsed="false">
      <c r="A1312" s="28"/>
      <c r="B1312" s="28"/>
      <c r="C1312" s="28"/>
      <c r="D1312" s="5"/>
      <c r="E1312" s="38"/>
      <c r="F1312" s="28"/>
      <c r="G1312" s="28"/>
      <c r="H1312" s="38"/>
      <c r="I1312" s="28"/>
      <c r="J1312" s="40"/>
      <c r="K1312" s="40"/>
      <c r="L1312" s="5"/>
      <c r="M1312" s="5"/>
      <c r="N1312" s="28"/>
      <c r="O1312" s="28"/>
      <c r="P1312" s="28"/>
      <c r="Q1312" s="28"/>
      <c r="R1312" s="28"/>
      <c r="S1312" s="28"/>
      <c r="T1312" s="28"/>
      <c r="V1312" s="28"/>
      <c r="W1312" s="5"/>
      <c r="X1312" s="5"/>
      <c r="Z1312" s="28"/>
      <c r="AA1312" s="28"/>
      <c r="AB1312" s="28"/>
      <c r="AC1312" s="28"/>
      <c r="AD1312" s="28"/>
      <c r="AE1312" s="28"/>
      <c r="AF1312" s="28"/>
      <c r="AG1312" s="28"/>
      <c r="AH1312" s="28"/>
      <c r="AI1312" s="28"/>
      <c r="AJ1312" s="28"/>
      <c r="AK1312" s="28"/>
      <c r="AL1312" s="28"/>
      <c r="AM1312" s="28"/>
      <c r="AN1312" s="28"/>
      <c r="AO1312" s="28"/>
      <c r="AP1312" s="28"/>
      <c r="AQ1312" s="28"/>
      <c r="AR1312" s="28"/>
      <c r="AS1312" s="28"/>
      <c r="AT1312" s="5"/>
      <c r="AU1312" s="28"/>
      <c r="AV1312" s="28"/>
      <c r="AX1312" s="28"/>
      <c r="AY1312" s="28"/>
      <c r="BA1312" s="28"/>
      <c r="BB1312" s="28"/>
      <c r="BF1312" s="28"/>
      <c r="BH1312" s="28"/>
      <c r="BI1312" s="28"/>
      <c r="BJ1312" s="38"/>
      <c r="BK1312" s="28"/>
    </row>
    <row r="1313" customFormat="false" ht="15.75" hidden="false" customHeight="false" outlineLevel="0" collapsed="false">
      <c r="A1313" s="28"/>
      <c r="B1313" s="28"/>
      <c r="C1313" s="28"/>
      <c r="D1313" s="5"/>
      <c r="E1313" s="38"/>
      <c r="F1313" s="28"/>
      <c r="G1313" s="28"/>
      <c r="H1313" s="38"/>
      <c r="I1313" s="28"/>
      <c r="J1313" s="40"/>
      <c r="K1313" s="40"/>
      <c r="L1313" s="5"/>
      <c r="M1313" s="5"/>
      <c r="N1313" s="28"/>
      <c r="O1313" s="28"/>
      <c r="P1313" s="28"/>
      <c r="Q1313" s="28"/>
      <c r="R1313" s="28"/>
      <c r="S1313" s="28"/>
      <c r="T1313" s="28"/>
      <c r="V1313" s="28"/>
      <c r="W1313" s="5"/>
      <c r="X1313" s="5"/>
      <c r="Z1313" s="28"/>
      <c r="AA1313" s="28"/>
      <c r="AB1313" s="28"/>
      <c r="AC1313" s="28"/>
      <c r="AD1313" s="28"/>
      <c r="AE1313" s="28"/>
      <c r="AF1313" s="28"/>
      <c r="AG1313" s="28"/>
      <c r="AH1313" s="28"/>
      <c r="AI1313" s="28"/>
      <c r="AJ1313" s="28"/>
      <c r="AK1313" s="28"/>
      <c r="AL1313" s="28"/>
      <c r="AM1313" s="28"/>
      <c r="AN1313" s="28"/>
      <c r="AO1313" s="28"/>
      <c r="AP1313" s="28"/>
      <c r="AQ1313" s="28"/>
      <c r="AR1313" s="28"/>
      <c r="AS1313" s="28"/>
      <c r="AT1313" s="5"/>
      <c r="AU1313" s="28"/>
      <c r="AV1313" s="28"/>
      <c r="AX1313" s="28"/>
      <c r="AY1313" s="28"/>
      <c r="BA1313" s="28"/>
      <c r="BB1313" s="28"/>
      <c r="BF1313" s="28"/>
      <c r="BH1313" s="28"/>
      <c r="BI1313" s="28"/>
      <c r="BJ1313" s="38"/>
      <c r="BK1313" s="28"/>
    </row>
    <row r="1314" customFormat="false" ht="15.75" hidden="false" customHeight="false" outlineLevel="0" collapsed="false">
      <c r="A1314" s="28"/>
      <c r="B1314" s="28"/>
      <c r="C1314" s="28"/>
      <c r="D1314" s="5"/>
      <c r="E1314" s="38"/>
      <c r="F1314" s="28"/>
      <c r="G1314" s="28"/>
      <c r="H1314" s="38"/>
      <c r="I1314" s="28"/>
      <c r="J1314" s="40"/>
      <c r="K1314" s="40"/>
      <c r="L1314" s="5"/>
      <c r="M1314" s="5"/>
      <c r="N1314" s="28"/>
      <c r="O1314" s="28"/>
      <c r="P1314" s="28"/>
      <c r="Q1314" s="28"/>
      <c r="R1314" s="28"/>
      <c r="S1314" s="28"/>
      <c r="T1314" s="28"/>
      <c r="V1314" s="28"/>
      <c r="W1314" s="5"/>
      <c r="X1314" s="5"/>
      <c r="Z1314" s="28"/>
      <c r="AA1314" s="28"/>
      <c r="AB1314" s="28"/>
      <c r="AC1314" s="28"/>
      <c r="AD1314" s="28"/>
      <c r="AE1314" s="28"/>
      <c r="AF1314" s="28"/>
      <c r="AG1314" s="28"/>
      <c r="AH1314" s="28"/>
      <c r="AI1314" s="28"/>
      <c r="AJ1314" s="28"/>
      <c r="AK1314" s="28"/>
      <c r="AL1314" s="28"/>
      <c r="AM1314" s="28"/>
      <c r="AN1314" s="28"/>
      <c r="AO1314" s="28"/>
      <c r="AP1314" s="28"/>
      <c r="AQ1314" s="28"/>
      <c r="AR1314" s="28"/>
      <c r="AS1314" s="28"/>
      <c r="AT1314" s="5"/>
      <c r="AU1314" s="28"/>
      <c r="AV1314" s="28"/>
      <c r="AX1314" s="28"/>
      <c r="AY1314" s="28"/>
      <c r="BA1314" s="28"/>
      <c r="BB1314" s="28"/>
      <c r="BF1314" s="28"/>
      <c r="BH1314" s="28"/>
      <c r="BI1314" s="28"/>
      <c r="BJ1314" s="38"/>
      <c r="BK1314" s="28"/>
    </row>
    <row r="1315" customFormat="false" ht="15.75" hidden="false" customHeight="false" outlineLevel="0" collapsed="false">
      <c r="A1315" s="28"/>
      <c r="B1315" s="28"/>
      <c r="C1315" s="28"/>
      <c r="D1315" s="5"/>
      <c r="E1315" s="38"/>
      <c r="F1315" s="28"/>
      <c r="G1315" s="28"/>
      <c r="H1315" s="38"/>
      <c r="I1315" s="28"/>
      <c r="J1315" s="40"/>
      <c r="K1315" s="40"/>
      <c r="L1315" s="5"/>
      <c r="M1315" s="5"/>
      <c r="N1315" s="28"/>
      <c r="O1315" s="28"/>
      <c r="P1315" s="28"/>
      <c r="Q1315" s="28"/>
      <c r="R1315" s="28"/>
      <c r="S1315" s="28"/>
      <c r="T1315" s="28"/>
      <c r="V1315" s="28"/>
      <c r="W1315" s="5"/>
      <c r="X1315" s="5"/>
      <c r="Z1315" s="28"/>
      <c r="AA1315" s="28"/>
      <c r="AB1315" s="28"/>
      <c r="AC1315" s="28"/>
      <c r="AD1315" s="28"/>
      <c r="AE1315" s="28"/>
      <c r="AF1315" s="28"/>
      <c r="AG1315" s="28"/>
      <c r="AH1315" s="28"/>
      <c r="AI1315" s="28"/>
      <c r="AJ1315" s="28"/>
      <c r="AK1315" s="28"/>
      <c r="AL1315" s="28"/>
      <c r="AM1315" s="28"/>
      <c r="AN1315" s="28"/>
      <c r="AO1315" s="28"/>
      <c r="AP1315" s="28"/>
      <c r="AQ1315" s="28"/>
      <c r="AR1315" s="28"/>
      <c r="AS1315" s="28"/>
      <c r="AT1315" s="5"/>
      <c r="AU1315" s="28"/>
      <c r="AV1315" s="28"/>
      <c r="AX1315" s="28"/>
      <c r="AY1315" s="28"/>
      <c r="BA1315" s="28"/>
      <c r="BB1315" s="28"/>
      <c r="BF1315" s="28"/>
      <c r="BH1315" s="28"/>
      <c r="BI1315" s="28"/>
      <c r="BJ1315" s="38"/>
      <c r="BK1315" s="28"/>
    </row>
    <row r="1316" customFormat="false" ht="15.75" hidden="false" customHeight="false" outlineLevel="0" collapsed="false">
      <c r="A1316" s="28"/>
      <c r="B1316" s="28"/>
      <c r="C1316" s="28"/>
      <c r="D1316" s="5"/>
      <c r="E1316" s="38"/>
      <c r="F1316" s="28"/>
      <c r="G1316" s="28"/>
      <c r="H1316" s="38"/>
      <c r="I1316" s="28"/>
      <c r="J1316" s="40"/>
      <c r="K1316" s="40"/>
      <c r="L1316" s="5"/>
      <c r="M1316" s="5"/>
      <c r="N1316" s="28"/>
      <c r="O1316" s="28"/>
      <c r="P1316" s="28"/>
      <c r="Q1316" s="28"/>
      <c r="R1316" s="28"/>
      <c r="S1316" s="28"/>
      <c r="T1316" s="28"/>
      <c r="V1316" s="28"/>
      <c r="W1316" s="5"/>
      <c r="X1316" s="5"/>
      <c r="Z1316" s="28"/>
      <c r="AA1316" s="28"/>
      <c r="AB1316" s="28"/>
      <c r="AC1316" s="28"/>
      <c r="AD1316" s="28"/>
      <c r="AE1316" s="28"/>
      <c r="AF1316" s="28"/>
      <c r="AG1316" s="28"/>
      <c r="AH1316" s="28"/>
      <c r="AI1316" s="28"/>
      <c r="AJ1316" s="28"/>
      <c r="AK1316" s="28"/>
      <c r="AL1316" s="28"/>
      <c r="AM1316" s="28"/>
      <c r="AN1316" s="28"/>
      <c r="AO1316" s="28"/>
      <c r="AP1316" s="28"/>
      <c r="AQ1316" s="28"/>
      <c r="AR1316" s="28"/>
      <c r="AS1316" s="28"/>
      <c r="AT1316" s="5"/>
      <c r="AU1316" s="28"/>
      <c r="AV1316" s="28"/>
      <c r="AX1316" s="28"/>
      <c r="AY1316" s="28"/>
      <c r="BA1316" s="28"/>
      <c r="BB1316" s="28"/>
      <c r="BF1316" s="28"/>
      <c r="BH1316" s="28"/>
      <c r="BI1316" s="28"/>
      <c r="BJ1316" s="38"/>
      <c r="BK1316" s="28"/>
    </row>
    <row r="1317" customFormat="false" ht="15.75" hidden="false" customHeight="false" outlineLevel="0" collapsed="false">
      <c r="A1317" s="28"/>
      <c r="B1317" s="28"/>
      <c r="C1317" s="28"/>
      <c r="D1317" s="5"/>
      <c r="E1317" s="38"/>
      <c r="F1317" s="28"/>
      <c r="G1317" s="28"/>
      <c r="H1317" s="38"/>
      <c r="I1317" s="28"/>
      <c r="J1317" s="40"/>
      <c r="K1317" s="40"/>
      <c r="L1317" s="5"/>
      <c r="M1317" s="5"/>
      <c r="N1317" s="28"/>
      <c r="O1317" s="28"/>
      <c r="P1317" s="28"/>
      <c r="Q1317" s="28"/>
      <c r="R1317" s="28"/>
      <c r="S1317" s="28"/>
      <c r="T1317" s="28"/>
      <c r="V1317" s="28"/>
      <c r="W1317" s="5"/>
      <c r="X1317" s="5"/>
      <c r="Z1317" s="28"/>
      <c r="AA1317" s="28"/>
      <c r="AB1317" s="28"/>
      <c r="AC1317" s="28"/>
      <c r="AD1317" s="28"/>
      <c r="AE1317" s="28"/>
      <c r="AF1317" s="28"/>
      <c r="AG1317" s="28"/>
      <c r="AH1317" s="28"/>
      <c r="AI1317" s="28"/>
      <c r="AJ1317" s="28"/>
      <c r="AK1317" s="28"/>
      <c r="AL1317" s="28"/>
      <c r="AM1317" s="28"/>
      <c r="AN1317" s="28"/>
      <c r="AO1317" s="28"/>
      <c r="AP1317" s="28"/>
      <c r="AQ1317" s="28"/>
      <c r="AR1317" s="28"/>
      <c r="AS1317" s="28"/>
      <c r="AT1317" s="5"/>
      <c r="AU1317" s="28"/>
      <c r="AV1317" s="28"/>
      <c r="AX1317" s="28"/>
      <c r="AY1317" s="28"/>
      <c r="BA1317" s="28"/>
      <c r="BB1317" s="28"/>
      <c r="BF1317" s="28"/>
      <c r="BH1317" s="28"/>
      <c r="BI1317" s="28"/>
      <c r="BJ1317" s="38"/>
      <c r="BK1317" s="28"/>
    </row>
    <row r="1318" customFormat="false" ht="15.75" hidden="false" customHeight="false" outlineLevel="0" collapsed="false">
      <c r="A1318" s="28"/>
      <c r="B1318" s="28"/>
      <c r="C1318" s="28"/>
      <c r="D1318" s="5"/>
      <c r="E1318" s="38"/>
      <c r="F1318" s="28"/>
      <c r="G1318" s="28"/>
      <c r="H1318" s="38"/>
      <c r="I1318" s="28"/>
      <c r="J1318" s="40"/>
      <c r="K1318" s="40"/>
      <c r="L1318" s="5"/>
      <c r="M1318" s="5"/>
      <c r="N1318" s="28"/>
      <c r="O1318" s="28"/>
      <c r="P1318" s="28"/>
      <c r="Q1318" s="28"/>
      <c r="R1318" s="28"/>
      <c r="S1318" s="28"/>
      <c r="T1318" s="28"/>
      <c r="V1318" s="28"/>
      <c r="W1318" s="5"/>
      <c r="X1318" s="5"/>
      <c r="Z1318" s="28"/>
      <c r="AA1318" s="28"/>
      <c r="AB1318" s="28"/>
      <c r="AC1318" s="28"/>
      <c r="AD1318" s="28"/>
      <c r="AE1318" s="28"/>
      <c r="AF1318" s="28"/>
      <c r="AG1318" s="28"/>
      <c r="AH1318" s="28"/>
      <c r="AI1318" s="28"/>
      <c r="AJ1318" s="28"/>
      <c r="AK1318" s="28"/>
      <c r="AL1318" s="28"/>
      <c r="AM1318" s="28"/>
      <c r="AN1318" s="28"/>
      <c r="AO1318" s="28"/>
      <c r="AP1318" s="28"/>
      <c r="AQ1318" s="28"/>
      <c r="AR1318" s="28"/>
      <c r="AS1318" s="28"/>
      <c r="AT1318" s="5"/>
      <c r="AU1318" s="28"/>
      <c r="AV1318" s="28"/>
      <c r="AX1318" s="28"/>
      <c r="AY1318" s="28"/>
      <c r="BA1318" s="28"/>
      <c r="BB1318" s="28"/>
      <c r="BF1318" s="28"/>
      <c r="BH1318" s="28"/>
      <c r="BI1318" s="28"/>
      <c r="BJ1318" s="38"/>
      <c r="BK1318" s="28"/>
    </row>
    <row r="1319" customFormat="false" ht="15.75" hidden="false" customHeight="false" outlineLevel="0" collapsed="false">
      <c r="A1319" s="28"/>
      <c r="B1319" s="28"/>
      <c r="C1319" s="28"/>
      <c r="D1319" s="5"/>
      <c r="E1319" s="38"/>
      <c r="F1319" s="28"/>
      <c r="G1319" s="28"/>
      <c r="H1319" s="38"/>
      <c r="I1319" s="28"/>
      <c r="J1319" s="40"/>
      <c r="K1319" s="40"/>
      <c r="L1319" s="5"/>
      <c r="M1319" s="5"/>
      <c r="N1319" s="28"/>
      <c r="O1319" s="28"/>
      <c r="P1319" s="28"/>
      <c r="Q1319" s="28"/>
      <c r="R1319" s="28"/>
      <c r="S1319" s="28"/>
      <c r="T1319" s="28"/>
      <c r="V1319" s="28"/>
      <c r="W1319" s="5"/>
      <c r="X1319" s="5"/>
      <c r="Z1319" s="28"/>
      <c r="AA1319" s="28"/>
      <c r="AB1319" s="28"/>
      <c r="AC1319" s="28"/>
      <c r="AD1319" s="28"/>
      <c r="AE1319" s="28"/>
      <c r="AF1319" s="28"/>
      <c r="AG1319" s="28"/>
      <c r="AH1319" s="28"/>
      <c r="AI1319" s="28"/>
      <c r="AJ1319" s="28"/>
      <c r="AK1319" s="28"/>
      <c r="AL1319" s="28"/>
      <c r="AM1319" s="28"/>
      <c r="AN1319" s="28"/>
      <c r="AO1319" s="28"/>
      <c r="AP1319" s="28"/>
      <c r="AQ1319" s="28"/>
      <c r="AR1319" s="28"/>
      <c r="AS1319" s="28"/>
      <c r="AT1319" s="5"/>
      <c r="AU1319" s="28"/>
      <c r="AV1319" s="28"/>
      <c r="AX1319" s="28"/>
      <c r="AY1319" s="28"/>
      <c r="BA1319" s="28"/>
      <c r="BB1319" s="28"/>
      <c r="BF1319" s="28"/>
      <c r="BH1319" s="28"/>
      <c r="BI1319" s="28"/>
      <c r="BJ1319" s="38"/>
      <c r="BK1319" s="28"/>
    </row>
    <row r="1320" customFormat="false" ht="15.75" hidden="false" customHeight="false" outlineLevel="0" collapsed="false">
      <c r="A1320" s="28"/>
      <c r="B1320" s="28"/>
      <c r="C1320" s="28"/>
      <c r="D1320" s="5"/>
      <c r="E1320" s="38"/>
      <c r="F1320" s="28"/>
      <c r="G1320" s="28"/>
      <c r="H1320" s="38"/>
      <c r="I1320" s="28"/>
      <c r="J1320" s="40"/>
      <c r="K1320" s="40"/>
      <c r="L1320" s="5"/>
      <c r="M1320" s="5"/>
      <c r="N1320" s="28"/>
      <c r="O1320" s="28"/>
      <c r="P1320" s="28"/>
      <c r="Q1320" s="28"/>
      <c r="R1320" s="28"/>
      <c r="S1320" s="28"/>
      <c r="T1320" s="28"/>
      <c r="V1320" s="28"/>
      <c r="W1320" s="5"/>
      <c r="X1320" s="5"/>
      <c r="Z1320" s="28"/>
      <c r="AA1320" s="28"/>
      <c r="AB1320" s="28"/>
      <c r="AC1320" s="28"/>
      <c r="AD1320" s="28"/>
      <c r="AE1320" s="28"/>
      <c r="AF1320" s="28"/>
      <c r="AG1320" s="28"/>
      <c r="AH1320" s="28"/>
      <c r="AI1320" s="28"/>
      <c r="AJ1320" s="28"/>
      <c r="AK1320" s="28"/>
      <c r="AL1320" s="28"/>
      <c r="AM1320" s="28"/>
      <c r="AN1320" s="28"/>
      <c r="AO1320" s="28"/>
      <c r="AP1320" s="28"/>
      <c r="AQ1320" s="28"/>
      <c r="AR1320" s="28"/>
      <c r="AS1320" s="28"/>
      <c r="AT1320" s="5"/>
      <c r="AU1320" s="28"/>
      <c r="AV1320" s="28"/>
      <c r="AX1320" s="28"/>
      <c r="AY1320" s="28"/>
      <c r="BA1320" s="28"/>
      <c r="BB1320" s="28"/>
      <c r="BF1320" s="28"/>
      <c r="BH1320" s="28"/>
      <c r="BI1320" s="28"/>
      <c r="BJ1320" s="38"/>
      <c r="BK1320" s="28"/>
    </row>
    <row r="1321" customFormat="false" ht="15.75" hidden="false" customHeight="false" outlineLevel="0" collapsed="false">
      <c r="A1321" s="28"/>
      <c r="B1321" s="28"/>
      <c r="C1321" s="28"/>
      <c r="D1321" s="5"/>
      <c r="E1321" s="38"/>
      <c r="F1321" s="28"/>
      <c r="G1321" s="28"/>
      <c r="H1321" s="38"/>
      <c r="I1321" s="28"/>
      <c r="J1321" s="40"/>
      <c r="K1321" s="40"/>
      <c r="L1321" s="5"/>
      <c r="M1321" s="5"/>
      <c r="N1321" s="28"/>
      <c r="O1321" s="28"/>
      <c r="P1321" s="28"/>
      <c r="Q1321" s="28"/>
      <c r="R1321" s="28"/>
      <c r="S1321" s="28"/>
      <c r="T1321" s="28"/>
      <c r="V1321" s="28"/>
      <c r="W1321" s="5"/>
      <c r="X1321" s="5"/>
      <c r="Z1321" s="28"/>
      <c r="AA1321" s="28"/>
      <c r="AB1321" s="28"/>
      <c r="AC1321" s="28"/>
      <c r="AD1321" s="28"/>
      <c r="AE1321" s="28"/>
      <c r="AF1321" s="28"/>
      <c r="AG1321" s="28"/>
      <c r="AH1321" s="28"/>
      <c r="AI1321" s="28"/>
      <c r="AJ1321" s="28"/>
      <c r="AK1321" s="28"/>
      <c r="AL1321" s="28"/>
      <c r="AM1321" s="28"/>
      <c r="AN1321" s="28"/>
      <c r="AO1321" s="28"/>
      <c r="AP1321" s="28"/>
      <c r="AQ1321" s="28"/>
      <c r="AR1321" s="28"/>
      <c r="AS1321" s="28"/>
      <c r="AT1321" s="5"/>
      <c r="AU1321" s="28"/>
      <c r="AV1321" s="28"/>
      <c r="AX1321" s="28"/>
      <c r="AY1321" s="28"/>
      <c r="BA1321" s="28"/>
      <c r="BB1321" s="28"/>
      <c r="BF1321" s="28"/>
      <c r="BH1321" s="28"/>
      <c r="BI1321" s="28"/>
      <c r="BJ1321" s="38"/>
      <c r="BK1321" s="28"/>
    </row>
    <row r="1322" customFormat="false" ht="15.75" hidden="false" customHeight="false" outlineLevel="0" collapsed="false">
      <c r="A1322" s="28"/>
      <c r="B1322" s="28"/>
      <c r="C1322" s="28"/>
      <c r="D1322" s="5"/>
      <c r="E1322" s="38"/>
      <c r="F1322" s="28"/>
      <c r="G1322" s="28"/>
      <c r="H1322" s="38"/>
      <c r="I1322" s="28"/>
      <c r="J1322" s="40"/>
      <c r="K1322" s="40"/>
      <c r="L1322" s="5"/>
      <c r="M1322" s="5"/>
      <c r="N1322" s="28"/>
      <c r="O1322" s="28"/>
      <c r="P1322" s="28"/>
      <c r="Q1322" s="28"/>
      <c r="R1322" s="28"/>
      <c r="S1322" s="28"/>
      <c r="T1322" s="28"/>
      <c r="V1322" s="28"/>
      <c r="W1322" s="5"/>
      <c r="X1322" s="5"/>
      <c r="Z1322" s="28"/>
      <c r="AA1322" s="28"/>
      <c r="AB1322" s="28"/>
      <c r="AC1322" s="28"/>
      <c r="AD1322" s="28"/>
      <c r="AE1322" s="28"/>
      <c r="AF1322" s="28"/>
      <c r="AG1322" s="28"/>
      <c r="AH1322" s="28"/>
      <c r="AI1322" s="28"/>
      <c r="AJ1322" s="28"/>
      <c r="AK1322" s="28"/>
      <c r="AL1322" s="28"/>
      <c r="AM1322" s="28"/>
      <c r="AN1322" s="28"/>
      <c r="AO1322" s="28"/>
      <c r="AP1322" s="28"/>
      <c r="AQ1322" s="28"/>
      <c r="AR1322" s="28"/>
      <c r="AS1322" s="28"/>
      <c r="AT1322" s="5"/>
      <c r="AU1322" s="28"/>
      <c r="AV1322" s="28"/>
      <c r="AX1322" s="28"/>
      <c r="AY1322" s="28"/>
      <c r="BA1322" s="28"/>
      <c r="BB1322" s="28"/>
      <c r="BF1322" s="28"/>
      <c r="BH1322" s="28"/>
      <c r="BI1322" s="28"/>
      <c r="BJ1322" s="38"/>
      <c r="BK1322" s="28"/>
    </row>
    <row r="1323" customFormat="false" ht="15.75" hidden="false" customHeight="false" outlineLevel="0" collapsed="false">
      <c r="A1323" s="28"/>
      <c r="B1323" s="28"/>
      <c r="C1323" s="28"/>
      <c r="D1323" s="5"/>
      <c r="E1323" s="38"/>
      <c r="F1323" s="28"/>
      <c r="G1323" s="28"/>
      <c r="H1323" s="38"/>
      <c r="I1323" s="28"/>
      <c r="J1323" s="40"/>
      <c r="K1323" s="40"/>
      <c r="L1323" s="5"/>
      <c r="M1323" s="5"/>
      <c r="N1323" s="28"/>
      <c r="O1323" s="28"/>
      <c r="P1323" s="28"/>
      <c r="Q1323" s="28"/>
      <c r="R1323" s="28"/>
      <c r="S1323" s="28"/>
      <c r="T1323" s="28"/>
      <c r="V1323" s="28"/>
      <c r="W1323" s="5"/>
      <c r="X1323" s="5"/>
      <c r="Z1323" s="28"/>
      <c r="AA1323" s="28"/>
      <c r="AB1323" s="28"/>
      <c r="AC1323" s="28"/>
      <c r="AD1323" s="28"/>
      <c r="AE1323" s="28"/>
      <c r="AF1323" s="28"/>
      <c r="AG1323" s="28"/>
      <c r="AH1323" s="28"/>
      <c r="AI1323" s="28"/>
      <c r="AJ1323" s="28"/>
      <c r="AK1323" s="28"/>
      <c r="AL1323" s="28"/>
      <c r="AM1323" s="28"/>
      <c r="AN1323" s="28"/>
      <c r="AO1323" s="28"/>
      <c r="AP1323" s="28"/>
      <c r="AQ1323" s="28"/>
      <c r="AR1323" s="28"/>
      <c r="AS1323" s="28"/>
      <c r="AT1323" s="5"/>
      <c r="AU1323" s="28"/>
      <c r="AV1323" s="28"/>
      <c r="AX1323" s="28"/>
      <c r="AY1323" s="28"/>
      <c r="BA1323" s="28"/>
      <c r="BB1323" s="28"/>
      <c r="BF1323" s="28"/>
      <c r="BH1323" s="28"/>
      <c r="BI1323" s="28"/>
      <c r="BJ1323" s="38"/>
      <c r="BK1323" s="28"/>
    </row>
    <row r="1324" customFormat="false" ht="15.75" hidden="false" customHeight="false" outlineLevel="0" collapsed="false">
      <c r="A1324" s="28"/>
      <c r="B1324" s="28"/>
      <c r="C1324" s="28"/>
      <c r="D1324" s="5"/>
      <c r="E1324" s="38"/>
      <c r="F1324" s="28"/>
      <c r="G1324" s="28"/>
      <c r="H1324" s="38"/>
      <c r="I1324" s="28"/>
      <c r="J1324" s="40"/>
      <c r="K1324" s="40"/>
      <c r="L1324" s="5"/>
      <c r="M1324" s="5"/>
      <c r="N1324" s="28"/>
      <c r="O1324" s="28"/>
      <c r="P1324" s="28"/>
      <c r="Q1324" s="28"/>
      <c r="R1324" s="28"/>
      <c r="S1324" s="28"/>
      <c r="T1324" s="28"/>
      <c r="V1324" s="28"/>
      <c r="W1324" s="5"/>
      <c r="X1324" s="5"/>
      <c r="Z1324" s="28"/>
      <c r="AA1324" s="28"/>
      <c r="AB1324" s="28"/>
      <c r="AC1324" s="28"/>
      <c r="AD1324" s="28"/>
      <c r="AE1324" s="28"/>
      <c r="AF1324" s="28"/>
      <c r="AG1324" s="28"/>
      <c r="AH1324" s="28"/>
      <c r="AI1324" s="28"/>
      <c r="AJ1324" s="28"/>
      <c r="AK1324" s="28"/>
      <c r="AL1324" s="28"/>
      <c r="AM1324" s="28"/>
      <c r="AN1324" s="28"/>
      <c r="AO1324" s="28"/>
      <c r="AP1324" s="28"/>
      <c r="AQ1324" s="28"/>
      <c r="AR1324" s="28"/>
      <c r="AS1324" s="28"/>
      <c r="AT1324" s="5"/>
      <c r="AU1324" s="28"/>
      <c r="AV1324" s="28"/>
      <c r="AX1324" s="28"/>
      <c r="AY1324" s="28"/>
      <c r="BA1324" s="28"/>
      <c r="BB1324" s="28"/>
      <c r="BF1324" s="28"/>
      <c r="BH1324" s="28"/>
      <c r="BI1324" s="28"/>
      <c r="BJ1324" s="38"/>
      <c r="BK1324" s="28"/>
    </row>
    <row r="1325" customFormat="false" ht="15.75" hidden="false" customHeight="false" outlineLevel="0" collapsed="false">
      <c r="A1325" s="28"/>
      <c r="B1325" s="28"/>
      <c r="C1325" s="28"/>
      <c r="D1325" s="5"/>
      <c r="E1325" s="38"/>
      <c r="F1325" s="28"/>
      <c r="G1325" s="28"/>
      <c r="H1325" s="38"/>
      <c r="I1325" s="28"/>
      <c r="J1325" s="40"/>
      <c r="K1325" s="40"/>
      <c r="L1325" s="5"/>
      <c r="M1325" s="5"/>
      <c r="N1325" s="28"/>
      <c r="O1325" s="28"/>
      <c r="P1325" s="28"/>
      <c r="Q1325" s="28"/>
      <c r="R1325" s="28"/>
      <c r="S1325" s="28"/>
      <c r="T1325" s="28"/>
      <c r="V1325" s="28"/>
      <c r="W1325" s="5"/>
      <c r="X1325" s="5"/>
      <c r="Z1325" s="28"/>
      <c r="AA1325" s="28"/>
      <c r="AB1325" s="28"/>
      <c r="AC1325" s="28"/>
      <c r="AD1325" s="28"/>
      <c r="AE1325" s="28"/>
      <c r="AF1325" s="28"/>
      <c r="AG1325" s="28"/>
      <c r="AH1325" s="28"/>
      <c r="AI1325" s="28"/>
      <c r="AJ1325" s="28"/>
      <c r="AK1325" s="28"/>
      <c r="AL1325" s="28"/>
      <c r="AM1325" s="28"/>
      <c r="AN1325" s="28"/>
      <c r="AO1325" s="28"/>
      <c r="AP1325" s="28"/>
      <c r="AQ1325" s="28"/>
      <c r="AR1325" s="28"/>
      <c r="AS1325" s="28"/>
      <c r="AT1325" s="5"/>
      <c r="AU1325" s="28"/>
      <c r="AV1325" s="28"/>
      <c r="AX1325" s="28"/>
      <c r="AY1325" s="28"/>
      <c r="BA1325" s="28"/>
      <c r="BB1325" s="28"/>
      <c r="BF1325" s="28"/>
      <c r="BH1325" s="28"/>
      <c r="BI1325" s="28"/>
      <c r="BJ1325" s="38"/>
      <c r="BK1325" s="28"/>
    </row>
    <row r="1326" customFormat="false" ht="15.75" hidden="false" customHeight="false" outlineLevel="0" collapsed="false">
      <c r="A1326" s="28"/>
      <c r="B1326" s="28"/>
      <c r="C1326" s="28"/>
      <c r="D1326" s="5"/>
      <c r="E1326" s="38"/>
      <c r="F1326" s="28"/>
      <c r="G1326" s="28"/>
      <c r="H1326" s="38"/>
      <c r="I1326" s="28"/>
      <c r="J1326" s="40"/>
      <c r="K1326" s="40"/>
      <c r="L1326" s="5"/>
      <c r="M1326" s="5"/>
      <c r="N1326" s="28"/>
      <c r="O1326" s="28"/>
      <c r="P1326" s="28"/>
      <c r="Q1326" s="28"/>
      <c r="R1326" s="28"/>
      <c r="S1326" s="28"/>
      <c r="T1326" s="28"/>
      <c r="V1326" s="28"/>
      <c r="W1326" s="5"/>
      <c r="X1326" s="5"/>
      <c r="Z1326" s="28"/>
      <c r="AA1326" s="28"/>
      <c r="AB1326" s="28"/>
      <c r="AC1326" s="28"/>
      <c r="AD1326" s="28"/>
      <c r="AE1326" s="28"/>
      <c r="AF1326" s="28"/>
      <c r="AG1326" s="28"/>
      <c r="AH1326" s="28"/>
      <c r="AI1326" s="28"/>
      <c r="AJ1326" s="28"/>
      <c r="AK1326" s="28"/>
      <c r="AL1326" s="28"/>
      <c r="AM1326" s="28"/>
      <c r="AN1326" s="28"/>
      <c r="AO1326" s="28"/>
      <c r="AP1326" s="28"/>
      <c r="AQ1326" s="28"/>
      <c r="AR1326" s="28"/>
      <c r="AS1326" s="28"/>
      <c r="AT1326" s="5"/>
      <c r="AU1326" s="28"/>
      <c r="AV1326" s="28"/>
      <c r="AX1326" s="28"/>
      <c r="AY1326" s="28"/>
      <c r="BA1326" s="28"/>
      <c r="BB1326" s="28"/>
      <c r="BF1326" s="28"/>
      <c r="BH1326" s="28"/>
      <c r="BI1326" s="28"/>
      <c r="BJ1326" s="38"/>
      <c r="BK1326" s="28"/>
    </row>
    <row r="1327" customFormat="false" ht="15.75" hidden="false" customHeight="false" outlineLevel="0" collapsed="false">
      <c r="A1327" s="28"/>
      <c r="B1327" s="28"/>
      <c r="C1327" s="28"/>
      <c r="D1327" s="5"/>
      <c r="E1327" s="38"/>
      <c r="F1327" s="28"/>
      <c r="G1327" s="28"/>
      <c r="H1327" s="38"/>
      <c r="I1327" s="28"/>
      <c r="J1327" s="40"/>
      <c r="K1327" s="40"/>
      <c r="L1327" s="5"/>
      <c r="M1327" s="5"/>
      <c r="N1327" s="28"/>
      <c r="O1327" s="28"/>
      <c r="P1327" s="28"/>
      <c r="Q1327" s="28"/>
      <c r="R1327" s="28"/>
      <c r="S1327" s="28"/>
      <c r="T1327" s="28"/>
      <c r="V1327" s="28"/>
      <c r="W1327" s="5"/>
      <c r="X1327" s="5"/>
      <c r="Z1327" s="28"/>
      <c r="AA1327" s="28"/>
      <c r="AB1327" s="28"/>
      <c r="AC1327" s="28"/>
      <c r="AD1327" s="28"/>
      <c r="AE1327" s="28"/>
      <c r="AF1327" s="28"/>
      <c r="AG1327" s="28"/>
      <c r="AH1327" s="28"/>
      <c r="AI1327" s="28"/>
      <c r="AJ1327" s="28"/>
      <c r="AK1327" s="28"/>
      <c r="AL1327" s="28"/>
      <c r="AM1327" s="28"/>
      <c r="AN1327" s="28"/>
      <c r="AO1327" s="28"/>
      <c r="AP1327" s="28"/>
      <c r="AQ1327" s="28"/>
      <c r="AR1327" s="28"/>
      <c r="AS1327" s="28"/>
      <c r="AT1327" s="5"/>
      <c r="AU1327" s="28"/>
      <c r="AV1327" s="28"/>
      <c r="AX1327" s="28"/>
      <c r="AY1327" s="28"/>
      <c r="BA1327" s="28"/>
      <c r="BB1327" s="28"/>
      <c r="BF1327" s="28"/>
      <c r="BH1327" s="28"/>
      <c r="BI1327" s="28"/>
      <c r="BJ1327" s="38"/>
      <c r="BK1327" s="28"/>
    </row>
    <row r="1328" customFormat="false" ht="15.75" hidden="false" customHeight="false" outlineLevel="0" collapsed="false">
      <c r="A1328" s="28"/>
      <c r="B1328" s="28"/>
      <c r="C1328" s="28"/>
      <c r="D1328" s="5"/>
      <c r="E1328" s="38"/>
      <c r="F1328" s="28"/>
      <c r="G1328" s="28"/>
      <c r="H1328" s="38"/>
      <c r="I1328" s="28"/>
      <c r="J1328" s="40"/>
      <c r="K1328" s="40"/>
      <c r="L1328" s="5"/>
      <c r="M1328" s="5"/>
      <c r="N1328" s="28"/>
      <c r="O1328" s="28"/>
      <c r="P1328" s="28"/>
      <c r="Q1328" s="28"/>
      <c r="R1328" s="28"/>
      <c r="S1328" s="28"/>
      <c r="T1328" s="28"/>
      <c r="V1328" s="28"/>
      <c r="W1328" s="5"/>
      <c r="X1328" s="5"/>
      <c r="Z1328" s="28"/>
      <c r="AA1328" s="28"/>
      <c r="AB1328" s="28"/>
      <c r="AC1328" s="28"/>
      <c r="AD1328" s="28"/>
      <c r="AE1328" s="28"/>
      <c r="AF1328" s="28"/>
      <c r="AG1328" s="28"/>
      <c r="AH1328" s="28"/>
      <c r="AI1328" s="28"/>
      <c r="AJ1328" s="28"/>
      <c r="AK1328" s="28"/>
      <c r="AL1328" s="28"/>
      <c r="AM1328" s="28"/>
      <c r="AN1328" s="28"/>
      <c r="AO1328" s="28"/>
      <c r="AP1328" s="28"/>
      <c r="AQ1328" s="28"/>
      <c r="AR1328" s="28"/>
      <c r="AS1328" s="28"/>
      <c r="AT1328" s="5"/>
      <c r="AU1328" s="28"/>
      <c r="AV1328" s="28"/>
      <c r="AX1328" s="28"/>
      <c r="AY1328" s="28"/>
      <c r="BA1328" s="28"/>
      <c r="BB1328" s="28"/>
      <c r="BF1328" s="28"/>
      <c r="BH1328" s="28"/>
      <c r="BI1328" s="28"/>
      <c r="BJ1328" s="38"/>
      <c r="BK1328" s="28"/>
    </row>
    <row r="1329" customFormat="false" ht="15.75" hidden="false" customHeight="false" outlineLevel="0" collapsed="false">
      <c r="A1329" s="28"/>
      <c r="B1329" s="28"/>
      <c r="C1329" s="28"/>
      <c r="D1329" s="5"/>
      <c r="E1329" s="38"/>
      <c r="F1329" s="28"/>
      <c r="G1329" s="28"/>
      <c r="H1329" s="38"/>
      <c r="I1329" s="28"/>
      <c r="J1329" s="40"/>
      <c r="K1329" s="40"/>
      <c r="L1329" s="5"/>
      <c r="M1329" s="5"/>
      <c r="N1329" s="28"/>
      <c r="O1329" s="28"/>
      <c r="P1329" s="28"/>
      <c r="Q1329" s="28"/>
      <c r="R1329" s="28"/>
      <c r="S1329" s="28"/>
      <c r="T1329" s="28"/>
      <c r="V1329" s="28"/>
      <c r="W1329" s="5"/>
      <c r="X1329" s="5"/>
      <c r="Z1329" s="28"/>
      <c r="AA1329" s="28"/>
      <c r="AB1329" s="28"/>
      <c r="AC1329" s="28"/>
      <c r="AD1329" s="28"/>
      <c r="AE1329" s="28"/>
      <c r="AF1329" s="28"/>
      <c r="AG1329" s="28"/>
      <c r="AH1329" s="28"/>
      <c r="AI1329" s="28"/>
      <c r="AJ1329" s="28"/>
      <c r="AK1329" s="28"/>
      <c r="AL1329" s="28"/>
      <c r="AM1329" s="28"/>
      <c r="AN1329" s="28"/>
      <c r="AO1329" s="28"/>
      <c r="AP1329" s="28"/>
      <c r="AQ1329" s="28"/>
      <c r="AR1329" s="28"/>
      <c r="AS1329" s="28"/>
      <c r="AT1329" s="5"/>
      <c r="AU1329" s="28"/>
      <c r="AV1329" s="28"/>
      <c r="AX1329" s="28"/>
      <c r="AY1329" s="28"/>
      <c r="BA1329" s="28"/>
      <c r="BB1329" s="28"/>
      <c r="BF1329" s="28"/>
      <c r="BH1329" s="28"/>
      <c r="BI1329" s="28"/>
      <c r="BJ1329" s="38"/>
      <c r="BK1329" s="28"/>
    </row>
    <row r="1330" customFormat="false" ht="15.75" hidden="false" customHeight="false" outlineLevel="0" collapsed="false">
      <c r="A1330" s="28"/>
      <c r="B1330" s="28"/>
      <c r="C1330" s="28"/>
      <c r="D1330" s="5"/>
      <c r="E1330" s="38"/>
      <c r="F1330" s="28"/>
      <c r="G1330" s="28"/>
      <c r="H1330" s="38"/>
      <c r="I1330" s="28"/>
      <c r="J1330" s="40"/>
      <c r="K1330" s="40"/>
      <c r="L1330" s="5"/>
      <c r="M1330" s="5"/>
      <c r="N1330" s="28"/>
      <c r="O1330" s="28"/>
      <c r="P1330" s="28"/>
      <c r="Q1330" s="28"/>
      <c r="R1330" s="28"/>
      <c r="S1330" s="28"/>
      <c r="T1330" s="28"/>
      <c r="V1330" s="28"/>
      <c r="W1330" s="5"/>
      <c r="X1330" s="5"/>
      <c r="Z1330" s="28"/>
      <c r="AA1330" s="28"/>
      <c r="AB1330" s="28"/>
      <c r="AC1330" s="28"/>
      <c r="AD1330" s="28"/>
      <c r="AE1330" s="28"/>
      <c r="AF1330" s="28"/>
      <c r="AG1330" s="28"/>
      <c r="AH1330" s="28"/>
      <c r="AI1330" s="28"/>
      <c r="AJ1330" s="28"/>
      <c r="AK1330" s="28"/>
      <c r="AL1330" s="28"/>
      <c r="AM1330" s="28"/>
      <c r="AN1330" s="28"/>
      <c r="AO1330" s="28"/>
      <c r="AP1330" s="28"/>
      <c r="AQ1330" s="28"/>
      <c r="AR1330" s="28"/>
      <c r="AS1330" s="28"/>
      <c r="AT1330" s="5"/>
      <c r="AU1330" s="28"/>
      <c r="AV1330" s="28"/>
      <c r="AX1330" s="28"/>
      <c r="AY1330" s="28"/>
      <c r="BA1330" s="28"/>
      <c r="BB1330" s="28"/>
      <c r="BF1330" s="28"/>
      <c r="BH1330" s="28"/>
      <c r="BI1330" s="28"/>
      <c r="BJ1330" s="38"/>
      <c r="BK1330" s="28"/>
    </row>
    <row r="1331" customFormat="false" ht="15.75" hidden="false" customHeight="false" outlineLevel="0" collapsed="false">
      <c r="A1331" s="28"/>
      <c r="B1331" s="28"/>
      <c r="C1331" s="28"/>
      <c r="D1331" s="5"/>
      <c r="E1331" s="38"/>
      <c r="F1331" s="28"/>
      <c r="G1331" s="28"/>
      <c r="H1331" s="38"/>
      <c r="I1331" s="28"/>
      <c r="J1331" s="40"/>
      <c r="K1331" s="40"/>
      <c r="L1331" s="5"/>
      <c r="M1331" s="5"/>
      <c r="N1331" s="28"/>
      <c r="O1331" s="28"/>
      <c r="P1331" s="28"/>
      <c r="Q1331" s="28"/>
      <c r="R1331" s="28"/>
      <c r="S1331" s="28"/>
      <c r="T1331" s="28"/>
      <c r="V1331" s="28"/>
      <c r="W1331" s="5"/>
      <c r="X1331" s="5"/>
      <c r="Z1331" s="28"/>
      <c r="AA1331" s="28"/>
      <c r="AB1331" s="28"/>
      <c r="AC1331" s="28"/>
      <c r="AD1331" s="28"/>
      <c r="AE1331" s="28"/>
      <c r="AF1331" s="28"/>
      <c r="AG1331" s="28"/>
      <c r="AH1331" s="28"/>
      <c r="AI1331" s="28"/>
      <c r="AJ1331" s="28"/>
      <c r="AK1331" s="28"/>
      <c r="AL1331" s="28"/>
      <c r="AM1331" s="28"/>
      <c r="AN1331" s="28"/>
      <c r="AO1331" s="28"/>
      <c r="AP1331" s="28"/>
      <c r="AQ1331" s="28"/>
      <c r="AR1331" s="28"/>
      <c r="AS1331" s="28"/>
      <c r="AT1331" s="5"/>
      <c r="AU1331" s="28"/>
      <c r="AV1331" s="28"/>
      <c r="AX1331" s="28"/>
      <c r="AY1331" s="28"/>
      <c r="BA1331" s="28"/>
      <c r="BB1331" s="28"/>
      <c r="BF1331" s="28"/>
      <c r="BH1331" s="28"/>
      <c r="BI1331" s="28"/>
      <c r="BJ1331" s="38"/>
      <c r="BK1331" s="28"/>
    </row>
    <row r="1332" customFormat="false" ht="15.75" hidden="false" customHeight="false" outlineLevel="0" collapsed="false">
      <c r="A1332" s="28"/>
      <c r="B1332" s="28"/>
      <c r="C1332" s="28"/>
      <c r="D1332" s="5"/>
      <c r="E1332" s="38"/>
      <c r="F1332" s="28"/>
      <c r="G1332" s="28"/>
      <c r="H1332" s="38"/>
      <c r="I1332" s="28"/>
      <c r="J1332" s="40"/>
      <c r="K1332" s="40"/>
      <c r="L1332" s="5"/>
      <c r="M1332" s="5"/>
      <c r="N1332" s="28"/>
      <c r="O1332" s="28"/>
      <c r="P1332" s="28"/>
      <c r="Q1332" s="28"/>
      <c r="R1332" s="28"/>
      <c r="S1332" s="28"/>
      <c r="T1332" s="28"/>
      <c r="V1332" s="28"/>
      <c r="W1332" s="5"/>
      <c r="X1332" s="5"/>
      <c r="Z1332" s="28"/>
      <c r="AA1332" s="28"/>
      <c r="AB1332" s="28"/>
      <c r="AC1332" s="28"/>
      <c r="AD1332" s="28"/>
      <c r="AE1332" s="28"/>
      <c r="AF1332" s="28"/>
      <c r="AG1332" s="28"/>
      <c r="AH1332" s="28"/>
      <c r="AI1332" s="28"/>
      <c r="AJ1332" s="28"/>
      <c r="AK1332" s="28"/>
      <c r="AL1332" s="28"/>
      <c r="AM1332" s="28"/>
      <c r="AN1332" s="28"/>
      <c r="AO1332" s="28"/>
      <c r="AP1332" s="28"/>
      <c r="AQ1332" s="28"/>
      <c r="AR1332" s="28"/>
      <c r="AS1332" s="28"/>
      <c r="AT1332" s="5"/>
      <c r="AU1332" s="28"/>
      <c r="AV1332" s="28"/>
      <c r="AX1332" s="28"/>
      <c r="AY1332" s="28"/>
      <c r="BA1332" s="28"/>
      <c r="BB1332" s="28"/>
      <c r="BF1332" s="28"/>
      <c r="BH1332" s="28"/>
      <c r="BI1332" s="28"/>
      <c r="BJ1332" s="38"/>
      <c r="BK1332" s="28"/>
    </row>
    <row r="1333" customFormat="false" ht="15.75" hidden="false" customHeight="false" outlineLevel="0" collapsed="false">
      <c r="A1333" s="28"/>
      <c r="B1333" s="28"/>
      <c r="C1333" s="28"/>
      <c r="D1333" s="5"/>
      <c r="E1333" s="38"/>
      <c r="F1333" s="28"/>
      <c r="G1333" s="28"/>
      <c r="H1333" s="38"/>
      <c r="I1333" s="28"/>
      <c r="J1333" s="40"/>
      <c r="K1333" s="40"/>
      <c r="L1333" s="5"/>
      <c r="M1333" s="5"/>
      <c r="N1333" s="28"/>
      <c r="O1333" s="28"/>
      <c r="P1333" s="28"/>
      <c r="Q1333" s="28"/>
      <c r="R1333" s="28"/>
      <c r="S1333" s="28"/>
      <c r="T1333" s="28"/>
      <c r="V1333" s="28"/>
      <c r="W1333" s="5"/>
      <c r="X1333" s="5"/>
      <c r="Z1333" s="28"/>
      <c r="AA1333" s="28"/>
      <c r="AB1333" s="28"/>
      <c r="AC1333" s="28"/>
      <c r="AD1333" s="28"/>
      <c r="AE1333" s="28"/>
      <c r="AF1333" s="28"/>
      <c r="AG1333" s="28"/>
      <c r="AH1333" s="28"/>
      <c r="AI1333" s="28"/>
      <c r="AJ1333" s="28"/>
      <c r="AK1333" s="28"/>
      <c r="AL1333" s="28"/>
      <c r="AM1333" s="28"/>
      <c r="AN1333" s="28"/>
      <c r="AO1333" s="28"/>
      <c r="AP1333" s="28"/>
      <c r="AQ1333" s="28"/>
      <c r="AR1333" s="28"/>
      <c r="AS1333" s="28"/>
      <c r="AT1333" s="5"/>
      <c r="AU1333" s="28"/>
      <c r="AV1333" s="28"/>
      <c r="AX1333" s="28"/>
      <c r="AY1333" s="28"/>
      <c r="BA1333" s="28"/>
      <c r="BB1333" s="28"/>
      <c r="BF1333" s="28"/>
      <c r="BH1333" s="28"/>
      <c r="BI1333" s="28"/>
      <c r="BJ1333" s="38"/>
      <c r="BK1333" s="28"/>
    </row>
    <row r="1334" customFormat="false" ht="15.75" hidden="false" customHeight="false" outlineLevel="0" collapsed="false">
      <c r="A1334" s="28"/>
      <c r="B1334" s="28"/>
      <c r="C1334" s="28"/>
      <c r="D1334" s="5"/>
      <c r="E1334" s="38"/>
      <c r="F1334" s="28"/>
      <c r="G1334" s="28"/>
      <c r="H1334" s="38"/>
      <c r="I1334" s="28"/>
      <c r="J1334" s="40"/>
      <c r="K1334" s="40"/>
      <c r="L1334" s="5"/>
      <c r="M1334" s="5"/>
      <c r="N1334" s="28"/>
      <c r="O1334" s="28"/>
      <c r="P1334" s="28"/>
      <c r="Q1334" s="28"/>
      <c r="R1334" s="28"/>
      <c r="S1334" s="28"/>
      <c r="T1334" s="28"/>
      <c r="V1334" s="28"/>
      <c r="W1334" s="5"/>
      <c r="X1334" s="5"/>
      <c r="Z1334" s="28"/>
      <c r="AA1334" s="28"/>
      <c r="AB1334" s="28"/>
      <c r="AC1334" s="28"/>
      <c r="AD1334" s="28"/>
      <c r="AE1334" s="28"/>
      <c r="AF1334" s="28"/>
      <c r="AG1334" s="28"/>
      <c r="AH1334" s="28"/>
      <c r="AI1334" s="28"/>
      <c r="AJ1334" s="28"/>
      <c r="AK1334" s="28"/>
      <c r="AL1334" s="28"/>
      <c r="AM1334" s="28"/>
      <c r="AN1334" s="28"/>
      <c r="AO1334" s="28"/>
      <c r="AP1334" s="28"/>
      <c r="AQ1334" s="28"/>
      <c r="AR1334" s="28"/>
      <c r="AS1334" s="28"/>
      <c r="AT1334" s="5"/>
      <c r="AU1334" s="28"/>
      <c r="AV1334" s="28"/>
      <c r="AX1334" s="28"/>
      <c r="AY1334" s="28"/>
      <c r="BA1334" s="28"/>
      <c r="BB1334" s="28"/>
      <c r="BF1334" s="28"/>
      <c r="BH1334" s="28"/>
      <c r="BI1334" s="28"/>
      <c r="BJ1334" s="38"/>
      <c r="BK1334" s="28"/>
    </row>
    <row r="1335" customFormat="false" ht="15.75" hidden="false" customHeight="false" outlineLevel="0" collapsed="false">
      <c r="A1335" s="28"/>
      <c r="B1335" s="28"/>
      <c r="C1335" s="28"/>
      <c r="D1335" s="5"/>
      <c r="E1335" s="38"/>
      <c r="F1335" s="28"/>
      <c r="G1335" s="28"/>
      <c r="H1335" s="38"/>
      <c r="I1335" s="28"/>
      <c r="J1335" s="40"/>
      <c r="K1335" s="40"/>
      <c r="L1335" s="5"/>
      <c r="M1335" s="5"/>
      <c r="N1335" s="28"/>
      <c r="O1335" s="28"/>
      <c r="P1335" s="28"/>
      <c r="Q1335" s="28"/>
      <c r="R1335" s="28"/>
      <c r="S1335" s="28"/>
      <c r="T1335" s="28"/>
      <c r="V1335" s="28"/>
      <c r="W1335" s="5"/>
      <c r="X1335" s="5"/>
      <c r="Z1335" s="28"/>
      <c r="AA1335" s="28"/>
      <c r="AB1335" s="28"/>
      <c r="AC1335" s="28"/>
      <c r="AD1335" s="28"/>
      <c r="AE1335" s="28"/>
      <c r="AF1335" s="28"/>
      <c r="AG1335" s="28"/>
      <c r="AH1335" s="28"/>
      <c r="AI1335" s="28"/>
      <c r="AJ1335" s="28"/>
      <c r="AK1335" s="28"/>
      <c r="AL1335" s="28"/>
      <c r="AM1335" s="28"/>
      <c r="AN1335" s="28"/>
      <c r="AO1335" s="28"/>
      <c r="AP1335" s="28"/>
      <c r="AQ1335" s="28"/>
      <c r="AR1335" s="28"/>
      <c r="AS1335" s="28"/>
      <c r="AT1335" s="5"/>
      <c r="AU1335" s="28"/>
      <c r="AV1335" s="28"/>
      <c r="AX1335" s="28"/>
      <c r="AY1335" s="28"/>
      <c r="BA1335" s="28"/>
      <c r="BB1335" s="28"/>
      <c r="BF1335" s="28"/>
      <c r="BH1335" s="28"/>
      <c r="BI1335" s="28"/>
      <c r="BJ1335" s="38"/>
      <c r="BK1335" s="28"/>
    </row>
    <row r="1336" customFormat="false" ht="15.75" hidden="false" customHeight="false" outlineLevel="0" collapsed="false">
      <c r="A1336" s="28"/>
      <c r="B1336" s="28"/>
      <c r="C1336" s="28"/>
      <c r="D1336" s="5"/>
      <c r="E1336" s="38"/>
      <c r="F1336" s="28"/>
      <c r="G1336" s="28"/>
      <c r="H1336" s="38"/>
      <c r="I1336" s="28"/>
      <c r="J1336" s="40"/>
      <c r="K1336" s="40"/>
      <c r="L1336" s="5"/>
      <c r="M1336" s="5"/>
      <c r="N1336" s="28"/>
      <c r="O1336" s="28"/>
      <c r="P1336" s="28"/>
      <c r="Q1336" s="28"/>
      <c r="R1336" s="28"/>
      <c r="S1336" s="28"/>
      <c r="T1336" s="28"/>
      <c r="V1336" s="28"/>
      <c r="W1336" s="5"/>
      <c r="X1336" s="5"/>
      <c r="Z1336" s="28"/>
      <c r="AA1336" s="28"/>
      <c r="AB1336" s="28"/>
      <c r="AC1336" s="28"/>
      <c r="AD1336" s="28"/>
      <c r="AE1336" s="28"/>
      <c r="AF1336" s="28"/>
      <c r="AG1336" s="28"/>
      <c r="AH1336" s="28"/>
      <c r="AI1336" s="28"/>
      <c r="AJ1336" s="28"/>
      <c r="AK1336" s="28"/>
      <c r="AL1336" s="28"/>
      <c r="AM1336" s="28"/>
      <c r="AN1336" s="28"/>
      <c r="AO1336" s="28"/>
      <c r="AP1336" s="28"/>
      <c r="AQ1336" s="28"/>
      <c r="AR1336" s="28"/>
      <c r="AS1336" s="28"/>
      <c r="AT1336" s="5"/>
      <c r="AU1336" s="28"/>
      <c r="AV1336" s="28"/>
      <c r="AX1336" s="28"/>
      <c r="AY1336" s="28"/>
      <c r="BA1336" s="28"/>
      <c r="BB1336" s="28"/>
      <c r="BF1336" s="28"/>
      <c r="BH1336" s="28"/>
      <c r="BI1336" s="28"/>
      <c r="BJ1336" s="38"/>
      <c r="BK1336" s="28"/>
    </row>
    <row r="1337" customFormat="false" ht="15.75" hidden="false" customHeight="false" outlineLevel="0" collapsed="false">
      <c r="A1337" s="28"/>
      <c r="B1337" s="28"/>
      <c r="C1337" s="28"/>
      <c r="D1337" s="5"/>
      <c r="E1337" s="38"/>
      <c r="F1337" s="28"/>
      <c r="G1337" s="28"/>
      <c r="H1337" s="38"/>
      <c r="I1337" s="28"/>
      <c r="J1337" s="40"/>
      <c r="K1337" s="40"/>
      <c r="L1337" s="5"/>
      <c r="M1337" s="5"/>
      <c r="N1337" s="28"/>
      <c r="O1337" s="28"/>
      <c r="P1337" s="28"/>
      <c r="Q1337" s="28"/>
      <c r="R1337" s="28"/>
      <c r="S1337" s="28"/>
      <c r="T1337" s="28"/>
      <c r="V1337" s="28"/>
      <c r="W1337" s="5"/>
      <c r="X1337" s="5"/>
      <c r="Z1337" s="28"/>
      <c r="AA1337" s="28"/>
      <c r="AB1337" s="28"/>
      <c r="AC1337" s="28"/>
      <c r="AD1337" s="28"/>
      <c r="AE1337" s="28"/>
      <c r="AF1337" s="28"/>
      <c r="AG1337" s="28"/>
      <c r="AH1337" s="28"/>
      <c r="AI1337" s="28"/>
      <c r="AJ1337" s="28"/>
      <c r="AK1337" s="28"/>
      <c r="AL1337" s="28"/>
      <c r="AM1337" s="28"/>
      <c r="AN1337" s="28"/>
      <c r="AO1337" s="28"/>
      <c r="AP1337" s="28"/>
      <c r="AQ1337" s="28"/>
      <c r="AR1337" s="28"/>
      <c r="AS1337" s="28"/>
      <c r="AT1337" s="5"/>
      <c r="AU1337" s="28"/>
      <c r="AV1337" s="28"/>
      <c r="AX1337" s="28"/>
      <c r="AY1337" s="28"/>
      <c r="BA1337" s="28"/>
      <c r="BB1337" s="28"/>
      <c r="BF1337" s="28"/>
      <c r="BH1337" s="28"/>
      <c r="BI1337" s="28"/>
      <c r="BJ1337" s="38"/>
      <c r="BK1337" s="28"/>
    </row>
    <row r="1338" customFormat="false" ht="15.75" hidden="false" customHeight="false" outlineLevel="0" collapsed="false">
      <c r="A1338" s="28"/>
      <c r="B1338" s="28"/>
      <c r="C1338" s="28"/>
      <c r="D1338" s="5"/>
      <c r="E1338" s="38"/>
      <c r="F1338" s="28"/>
      <c r="G1338" s="28"/>
      <c r="H1338" s="38"/>
      <c r="I1338" s="28"/>
      <c r="J1338" s="40"/>
      <c r="K1338" s="40"/>
      <c r="L1338" s="5"/>
      <c r="M1338" s="5"/>
      <c r="N1338" s="28"/>
      <c r="O1338" s="28"/>
      <c r="P1338" s="28"/>
      <c r="Q1338" s="28"/>
      <c r="R1338" s="28"/>
      <c r="S1338" s="28"/>
      <c r="T1338" s="28"/>
      <c r="V1338" s="28"/>
      <c r="W1338" s="5"/>
      <c r="X1338" s="5"/>
      <c r="Z1338" s="28"/>
      <c r="AA1338" s="28"/>
      <c r="AB1338" s="28"/>
      <c r="AC1338" s="28"/>
      <c r="AD1338" s="28"/>
      <c r="AE1338" s="28"/>
      <c r="AF1338" s="28"/>
      <c r="AG1338" s="28"/>
      <c r="AH1338" s="28"/>
      <c r="AI1338" s="28"/>
      <c r="AJ1338" s="28"/>
      <c r="AK1338" s="28"/>
      <c r="AL1338" s="28"/>
      <c r="AM1338" s="28"/>
      <c r="AN1338" s="28"/>
      <c r="AO1338" s="28"/>
      <c r="AP1338" s="28"/>
      <c r="AQ1338" s="28"/>
      <c r="AR1338" s="28"/>
      <c r="AS1338" s="28"/>
      <c r="AT1338" s="5"/>
      <c r="AU1338" s="28"/>
      <c r="AV1338" s="28"/>
      <c r="AX1338" s="28"/>
      <c r="AY1338" s="28"/>
      <c r="BA1338" s="28"/>
      <c r="BB1338" s="28"/>
      <c r="BF1338" s="28"/>
      <c r="BH1338" s="28"/>
      <c r="BI1338" s="28"/>
      <c r="BJ1338" s="38"/>
      <c r="BK1338" s="28"/>
    </row>
    <row r="1339" customFormat="false" ht="15.75" hidden="false" customHeight="false" outlineLevel="0" collapsed="false">
      <c r="A1339" s="28"/>
      <c r="B1339" s="28"/>
      <c r="C1339" s="28"/>
      <c r="D1339" s="5"/>
      <c r="E1339" s="38"/>
      <c r="F1339" s="28"/>
      <c r="G1339" s="28"/>
      <c r="H1339" s="38"/>
      <c r="I1339" s="28"/>
      <c r="J1339" s="40"/>
      <c r="K1339" s="40"/>
      <c r="L1339" s="5"/>
      <c r="M1339" s="5"/>
      <c r="N1339" s="28"/>
      <c r="O1339" s="28"/>
      <c r="P1339" s="28"/>
      <c r="Q1339" s="28"/>
      <c r="R1339" s="28"/>
      <c r="S1339" s="28"/>
      <c r="T1339" s="28"/>
      <c r="V1339" s="28"/>
      <c r="W1339" s="5"/>
      <c r="X1339" s="5"/>
      <c r="Z1339" s="28"/>
      <c r="AA1339" s="28"/>
      <c r="AB1339" s="28"/>
      <c r="AC1339" s="28"/>
      <c r="AD1339" s="28"/>
      <c r="AE1339" s="28"/>
      <c r="AF1339" s="28"/>
      <c r="AG1339" s="28"/>
      <c r="AH1339" s="28"/>
      <c r="AI1339" s="28"/>
      <c r="AJ1339" s="28"/>
      <c r="AK1339" s="28"/>
      <c r="AL1339" s="28"/>
      <c r="AM1339" s="28"/>
      <c r="AN1339" s="28"/>
      <c r="AO1339" s="28"/>
      <c r="AP1339" s="28"/>
      <c r="AQ1339" s="28"/>
      <c r="AR1339" s="28"/>
      <c r="AS1339" s="28"/>
      <c r="AT1339" s="5"/>
      <c r="AU1339" s="28"/>
      <c r="AV1339" s="28"/>
      <c r="AX1339" s="28"/>
      <c r="AY1339" s="28"/>
      <c r="BA1339" s="28"/>
      <c r="BB1339" s="28"/>
      <c r="BF1339" s="28"/>
      <c r="BH1339" s="28"/>
      <c r="BI1339" s="28"/>
      <c r="BJ1339" s="38"/>
      <c r="BK1339" s="28"/>
    </row>
    <row r="1340" customFormat="false" ht="15.75" hidden="false" customHeight="false" outlineLevel="0" collapsed="false">
      <c r="A1340" s="28"/>
      <c r="B1340" s="28"/>
      <c r="C1340" s="28"/>
      <c r="D1340" s="5"/>
      <c r="E1340" s="38"/>
      <c r="F1340" s="28"/>
      <c r="G1340" s="28"/>
      <c r="H1340" s="38"/>
      <c r="I1340" s="28"/>
      <c r="J1340" s="40"/>
      <c r="K1340" s="40"/>
      <c r="L1340" s="5"/>
      <c r="M1340" s="5"/>
      <c r="N1340" s="28"/>
      <c r="O1340" s="28"/>
      <c r="P1340" s="28"/>
      <c r="Q1340" s="28"/>
      <c r="R1340" s="28"/>
      <c r="S1340" s="28"/>
      <c r="T1340" s="28"/>
      <c r="V1340" s="28"/>
      <c r="W1340" s="5"/>
      <c r="X1340" s="5"/>
      <c r="Z1340" s="28"/>
      <c r="AA1340" s="28"/>
      <c r="AB1340" s="28"/>
      <c r="AC1340" s="28"/>
      <c r="AD1340" s="28"/>
      <c r="AE1340" s="28"/>
      <c r="AF1340" s="28"/>
      <c r="AG1340" s="28"/>
      <c r="AH1340" s="28"/>
      <c r="AI1340" s="28"/>
      <c r="AJ1340" s="28"/>
      <c r="AK1340" s="28"/>
      <c r="AL1340" s="28"/>
      <c r="AM1340" s="28"/>
      <c r="AN1340" s="28"/>
      <c r="AO1340" s="28"/>
      <c r="AP1340" s="28"/>
      <c r="AQ1340" s="28"/>
      <c r="AR1340" s="28"/>
      <c r="AS1340" s="28"/>
      <c r="AT1340" s="5"/>
      <c r="AU1340" s="28"/>
      <c r="AV1340" s="28"/>
      <c r="AX1340" s="28"/>
      <c r="AY1340" s="28"/>
      <c r="BA1340" s="28"/>
      <c r="BB1340" s="28"/>
      <c r="BF1340" s="28"/>
      <c r="BH1340" s="28"/>
      <c r="BI1340" s="28"/>
      <c r="BJ1340" s="38"/>
      <c r="BK1340" s="28"/>
    </row>
    <row r="1341" customFormat="false" ht="15.75" hidden="false" customHeight="false" outlineLevel="0" collapsed="false">
      <c r="A1341" s="28"/>
      <c r="B1341" s="28"/>
      <c r="C1341" s="28"/>
      <c r="D1341" s="5"/>
      <c r="E1341" s="38"/>
      <c r="F1341" s="28"/>
      <c r="G1341" s="28"/>
      <c r="H1341" s="38"/>
      <c r="I1341" s="28"/>
      <c r="J1341" s="40"/>
      <c r="K1341" s="40"/>
      <c r="L1341" s="5"/>
      <c r="M1341" s="5"/>
      <c r="N1341" s="28"/>
      <c r="O1341" s="28"/>
      <c r="P1341" s="28"/>
      <c r="Q1341" s="28"/>
      <c r="R1341" s="28"/>
      <c r="S1341" s="28"/>
      <c r="T1341" s="28"/>
      <c r="V1341" s="28"/>
      <c r="W1341" s="5"/>
      <c r="X1341" s="5"/>
      <c r="Z1341" s="28"/>
      <c r="AA1341" s="28"/>
      <c r="AB1341" s="28"/>
      <c r="AC1341" s="28"/>
      <c r="AD1341" s="28"/>
      <c r="AE1341" s="28"/>
      <c r="AF1341" s="28"/>
      <c r="AG1341" s="28"/>
      <c r="AH1341" s="28"/>
      <c r="AI1341" s="28"/>
      <c r="AJ1341" s="28"/>
      <c r="AK1341" s="28"/>
      <c r="AL1341" s="28"/>
      <c r="AM1341" s="28"/>
      <c r="AN1341" s="28"/>
      <c r="AO1341" s="28"/>
      <c r="AP1341" s="28"/>
      <c r="AQ1341" s="28"/>
      <c r="AR1341" s="28"/>
      <c r="AS1341" s="28"/>
      <c r="AT1341" s="5"/>
      <c r="AU1341" s="28"/>
      <c r="AV1341" s="28"/>
      <c r="AX1341" s="28"/>
      <c r="AY1341" s="28"/>
      <c r="BA1341" s="28"/>
      <c r="BB1341" s="28"/>
      <c r="BF1341" s="28"/>
      <c r="BH1341" s="28"/>
      <c r="BI1341" s="28"/>
      <c r="BJ1341" s="38"/>
      <c r="BK1341" s="28"/>
    </row>
    <row r="1342" customFormat="false" ht="15.75" hidden="false" customHeight="false" outlineLevel="0" collapsed="false">
      <c r="A1342" s="28"/>
      <c r="B1342" s="28"/>
      <c r="C1342" s="28"/>
      <c r="D1342" s="5"/>
      <c r="E1342" s="38"/>
      <c r="F1342" s="28"/>
      <c r="G1342" s="28"/>
      <c r="H1342" s="38"/>
      <c r="I1342" s="28"/>
      <c r="J1342" s="40"/>
      <c r="K1342" s="40"/>
      <c r="L1342" s="5"/>
      <c r="M1342" s="5"/>
      <c r="N1342" s="28"/>
      <c r="O1342" s="28"/>
      <c r="P1342" s="28"/>
      <c r="Q1342" s="28"/>
      <c r="R1342" s="28"/>
      <c r="S1342" s="28"/>
      <c r="T1342" s="28"/>
      <c r="V1342" s="28"/>
      <c r="W1342" s="5"/>
      <c r="X1342" s="5"/>
      <c r="Z1342" s="28"/>
      <c r="AA1342" s="28"/>
      <c r="AB1342" s="28"/>
      <c r="AC1342" s="28"/>
      <c r="AD1342" s="28"/>
      <c r="AE1342" s="28"/>
      <c r="AF1342" s="28"/>
      <c r="AG1342" s="28"/>
      <c r="AH1342" s="28"/>
      <c r="AI1342" s="28"/>
      <c r="AJ1342" s="28"/>
      <c r="AK1342" s="28"/>
      <c r="AL1342" s="28"/>
      <c r="AM1342" s="28"/>
      <c r="AN1342" s="28"/>
      <c r="AO1342" s="28"/>
      <c r="AP1342" s="28"/>
      <c r="AQ1342" s="28"/>
      <c r="AR1342" s="28"/>
      <c r="AS1342" s="28"/>
      <c r="AT1342" s="5"/>
      <c r="AU1342" s="28"/>
      <c r="AV1342" s="28"/>
      <c r="AX1342" s="28"/>
      <c r="AY1342" s="28"/>
      <c r="BA1342" s="28"/>
      <c r="BB1342" s="28"/>
      <c r="BF1342" s="28"/>
      <c r="BH1342" s="28"/>
      <c r="BI1342" s="28"/>
      <c r="BJ1342" s="38"/>
      <c r="BK1342" s="28"/>
    </row>
    <row r="1343" customFormat="false" ht="15.75" hidden="false" customHeight="false" outlineLevel="0" collapsed="false">
      <c r="A1343" s="28"/>
      <c r="B1343" s="28"/>
      <c r="C1343" s="28"/>
      <c r="D1343" s="5"/>
      <c r="E1343" s="38"/>
      <c r="F1343" s="28"/>
      <c r="G1343" s="28"/>
      <c r="H1343" s="38"/>
      <c r="I1343" s="28"/>
      <c r="J1343" s="40"/>
      <c r="K1343" s="40"/>
      <c r="L1343" s="5"/>
      <c r="M1343" s="5"/>
      <c r="N1343" s="28"/>
      <c r="O1343" s="28"/>
      <c r="P1343" s="28"/>
      <c r="Q1343" s="28"/>
      <c r="R1343" s="28"/>
      <c r="S1343" s="28"/>
      <c r="T1343" s="28"/>
      <c r="V1343" s="28"/>
      <c r="W1343" s="5"/>
      <c r="X1343" s="5"/>
      <c r="Z1343" s="28"/>
      <c r="AA1343" s="28"/>
      <c r="AB1343" s="28"/>
      <c r="AC1343" s="28"/>
      <c r="AD1343" s="28"/>
      <c r="AE1343" s="28"/>
      <c r="AF1343" s="28"/>
      <c r="AG1343" s="28"/>
      <c r="AH1343" s="28"/>
      <c r="AI1343" s="28"/>
      <c r="AJ1343" s="28"/>
      <c r="AK1343" s="28"/>
      <c r="AL1343" s="28"/>
      <c r="AM1343" s="28"/>
      <c r="AN1343" s="28"/>
      <c r="AO1343" s="28"/>
      <c r="AP1343" s="28"/>
      <c r="AQ1343" s="28"/>
      <c r="AR1343" s="28"/>
      <c r="AS1343" s="28"/>
      <c r="AT1343" s="5"/>
      <c r="AU1343" s="28"/>
      <c r="AV1343" s="28"/>
      <c r="AX1343" s="28"/>
      <c r="AY1343" s="28"/>
      <c r="BA1343" s="28"/>
      <c r="BB1343" s="28"/>
      <c r="BF1343" s="28"/>
      <c r="BH1343" s="28"/>
      <c r="BI1343" s="28"/>
      <c r="BJ1343" s="38"/>
      <c r="BK1343" s="28"/>
    </row>
    <row r="1344" customFormat="false" ht="15.75" hidden="false" customHeight="false" outlineLevel="0" collapsed="false">
      <c r="A1344" s="28"/>
      <c r="B1344" s="28"/>
      <c r="C1344" s="28"/>
      <c r="D1344" s="5"/>
      <c r="E1344" s="38"/>
      <c r="F1344" s="28"/>
      <c r="G1344" s="28"/>
      <c r="H1344" s="38"/>
      <c r="I1344" s="28"/>
      <c r="J1344" s="40"/>
      <c r="K1344" s="40"/>
      <c r="L1344" s="5"/>
      <c r="M1344" s="5"/>
      <c r="N1344" s="28"/>
      <c r="O1344" s="28"/>
      <c r="P1344" s="28"/>
      <c r="Q1344" s="28"/>
      <c r="R1344" s="28"/>
      <c r="S1344" s="28"/>
      <c r="T1344" s="28"/>
      <c r="V1344" s="28"/>
      <c r="W1344" s="5"/>
      <c r="X1344" s="5"/>
      <c r="Z1344" s="28"/>
      <c r="AA1344" s="28"/>
      <c r="AB1344" s="28"/>
      <c r="AC1344" s="28"/>
      <c r="AD1344" s="28"/>
      <c r="AE1344" s="28"/>
      <c r="AF1344" s="28"/>
      <c r="AG1344" s="28"/>
      <c r="AH1344" s="28"/>
      <c r="AI1344" s="28"/>
      <c r="AJ1344" s="28"/>
      <c r="AK1344" s="28"/>
      <c r="AL1344" s="28"/>
      <c r="AM1344" s="28"/>
      <c r="AN1344" s="28"/>
      <c r="AO1344" s="28"/>
      <c r="AP1344" s="28"/>
      <c r="AQ1344" s="28"/>
      <c r="AR1344" s="28"/>
      <c r="AS1344" s="28"/>
      <c r="AT1344" s="5"/>
      <c r="AU1344" s="28"/>
      <c r="AV1344" s="28"/>
      <c r="AX1344" s="28"/>
      <c r="AY1344" s="28"/>
      <c r="BA1344" s="28"/>
      <c r="BB1344" s="28"/>
      <c r="BF1344" s="28"/>
      <c r="BH1344" s="28"/>
      <c r="BI1344" s="28"/>
      <c r="BJ1344" s="38"/>
      <c r="BK1344" s="28"/>
    </row>
    <row r="1345" customFormat="false" ht="15.75" hidden="false" customHeight="false" outlineLevel="0" collapsed="false">
      <c r="A1345" s="28"/>
      <c r="B1345" s="28"/>
      <c r="C1345" s="28"/>
      <c r="D1345" s="5"/>
      <c r="E1345" s="38"/>
      <c r="F1345" s="28"/>
      <c r="G1345" s="28"/>
      <c r="H1345" s="38"/>
      <c r="I1345" s="28"/>
      <c r="J1345" s="40"/>
      <c r="K1345" s="40"/>
      <c r="L1345" s="5"/>
      <c r="M1345" s="5"/>
      <c r="N1345" s="28"/>
      <c r="O1345" s="28"/>
      <c r="P1345" s="28"/>
      <c r="Q1345" s="28"/>
      <c r="R1345" s="28"/>
      <c r="S1345" s="28"/>
      <c r="T1345" s="28"/>
      <c r="V1345" s="28"/>
      <c r="W1345" s="5"/>
      <c r="X1345" s="5"/>
      <c r="Z1345" s="28"/>
      <c r="AA1345" s="28"/>
      <c r="AB1345" s="28"/>
      <c r="AC1345" s="28"/>
      <c r="AD1345" s="28"/>
      <c r="AE1345" s="28"/>
      <c r="AF1345" s="28"/>
      <c r="AG1345" s="28"/>
      <c r="AH1345" s="28"/>
      <c r="AI1345" s="28"/>
      <c r="AJ1345" s="28"/>
      <c r="AK1345" s="28"/>
      <c r="AL1345" s="28"/>
      <c r="AM1345" s="28"/>
      <c r="AN1345" s="28"/>
      <c r="AO1345" s="28"/>
      <c r="AP1345" s="28"/>
      <c r="AQ1345" s="28"/>
      <c r="AR1345" s="28"/>
      <c r="AS1345" s="28"/>
      <c r="AT1345" s="5"/>
      <c r="AU1345" s="28"/>
      <c r="AV1345" s="28"/>
      <c r="AX1345" s="28"/>
      <c r="AY1345" s="28"/>
      <c r="BA1345" s="28"/>
      <c r="BB1345" s="28"/>
      <c r="BF1345" s="28"/>
      <c r="BH1345" s="28"/>
      <c r="BI1345" s="28"/>
      <c r="BJ1345" s="38"/>
      <c r="BK1345" s="28"/>
    </row>
    <row r="1346" customFormat="false" ht="15.75" hidden="false" customHeight="false" outlineLevel="0" collapsed="false">
      <c r="A1346" s="28"/>
      <c r="B1346" s="28"/>
      <c r="C1346" s="28"/>
      <c r="D1346" s="5"/>
      <c r="E1346" s="38"/>
      <c r="F1346" s="28"/>
      <c r="G1346" s="28"/>
      <c r="H1346" s="38"/>
      <c r="I1346" s="28"/>
      <c r="J1346" s="40"/>
      <c r="K1346" s="40"/>
      <c r="L1346" s="5"/>
      <c r="M1346" s="5"/>
      <c r="N1346" s="28"/>
      <c r="O1346" s="28"/>
      <c r="P1346" s="28"/>
      <c r="Q1346" s="28"/>
      <c r="R1346" s="28"/>
      <c r="S1346" s="28"/>
      <c r="T1346" s="28"/>
      <c r="V1346" s="28"/>
      <c r="W1346" s="5"/>
      <c r="X1346" s="5"/>
      <c r="Z1346" s="28"/>
      <c r="AA1346" s="28"/>
      <c r="AB1346" s="28"/>
      <c r="AC1346" s="28"/>
      <c r="AD1346" s="28"/>
      <c r="AE1346" s="28"/>
      <c r="AF1346" s="28"/>
      <c r="AG1346" s="28"/>
      <c r="AH1346" s="28"/>
      <c r="AI1346" s="28"/>
      <c r="AJ1346" s="28"/>
      <c r="AK1346" s="28"/>
      <c r="AL1346" s="28"/>
      <c r="AM1346" s="28"/>
      <c r="AN1346" s="28"/>
      <c r="AO1346" s="28"/>
      <c r="AP1346" s="28"/>
      <c r="AQ1346" s="28"/>
      <c r="AR1346" s="28"/>
      <c r="AS1346" s="28"/>
      <c r="AT1346" s="5"/>
      <c r="AU1346" s="28"/>
      <c r="AV1346" s="28"/>
      <c r="AX1346" s="28"/>
      <c r="AY1346" s="28"/>
      <c r="BA1346" s="28"/>
      <c r="BB1346" s="28"/>
      <c r="BF1346" s="28"/>
      <c r="BH1346" s="28"/>
      <c r="BI1346" s="28"/>
      <c r="BJ1346" s="38"/>
      <c r="BK1346" s="28"/>
    </row>
    <row r="1347" customFormat="false" ht="15.75" hidden="false" customHeight="false" outlineLevel="0" collapsed="false">
      <c r="A1347" s="28"/>
      <c r="B1347" s="28"/>
      <c r="C1347" s="28"/>
      <c r="D1347" s="5"/>
      <c r="E1347" s="38"/>
      <c r="F1347" s="28"/>
      <c r="G1347" s="28"/>
      <c r="H1347" s="38"/>
      <c r="I1347" s="28"/>
      <c r="J1347" s="40"/>
      <c r="K1347" s="40"/>
      <c r="L1347" s="5"/>
      <c r="M1347" s="5"/>
      <c r="N1347" s="28"/>
      <c r="O1347" s="28"/>
      <c r="P1347" s="28"/>
      <c r="Q1347" s="28"/>
      <c r="R1347" s="28"/>
      <c r="S1347" s="28"/>
      <c r="T1347" s="28"/>
      <c r="V1347" s="28"/>
      <c r="W1347" s="5"/>
      <c r="X1347" s="5"/>
      <c r="Z1347" s="28"/>
      <c r="AA1347" s="28"/>
      <c r="AB1347" s="28"/>
      <c r="AC1347" s="28"/>
      <c r="AD1347" s="28"/>
      <c r="AE1347" s="28"/>
      <c r="AF1347" s="28"/>
      <c r="AG1347" s="28"/>
      <c r="AH1347" s="28"/>
      <c r="AI1347" s="28"/>
      <c r="AJ1347" s="28"/>
      <c r="AK1347" s="28"/>
      <c r="AL1347" s="28"/>
      <c r="AM1347" s="28"/>
      <c r="AN1347" s="28"/>
      <c r="AO1347" s="28"/>
      <c r="AP1347" s="28"/>
      <c r="AQ1347" s="28"/>
      <c r="AR1347" s="28"/>
      <c r="AS1347" s="28"/>
      <c r="AT1347" s="5"/>
      <c r="AU1347" s="28"/>
      <c r="AV1347" s="28"/>
      <c r="AX1347" s="28"/>
      <c r="AY1347" s="28"/>
      <c r="BA1347" s="28"/>
      <c r="BB1347" s="28"/>
      <c r="BF1347" s="28"/>
      <c r="BH1347" s="28"/>
      <c r="BI1347" s="28"/>
      <c r="BJ1347" s="38"/>
      <c r="BK1347" s="28"/>
    </row>
    <row r="1348" customFormat="false" ht="15.75" hidden="false" customHeight="false" outlineLevel="0" collapsed="false">
      <c r="A1348" s="28"/>
      <c r="B1348" s="28"/>
      <c r="C1348" s="28"/>
      <c r="D1348" s="5"/>
      <c r="E1348" s="38"/>
      <c r="F1348" s="28"/>
      <c r="G1348" s="28"/>
      <c r="H1348" s="38"/>
      <c r="I1348" s="28"/>
      <c r="J1348" s="40"/>
      <c r="K1348" s="40"/>
      <c r="L1348" s="5"/>
      <c r="M1348" s="5"/>
      <c r="N1348" s="28"/>
      <c r="O1348" s="28"/>
      <c r="P1348" s="28"/>
      <c r="Q1348" s="28"/>
      <c r="R1348" s="28"/>
      <c r="S1348" s="28"/>
      <c r="T1348" s="28"/>
      <c r="V1348" s="28"/>
      <c r="W1348" s="5"/>
      <c r="X1348" s="5"/>
      <c r="Z1348" s="28"/>
      <c r="AA1348" s="28"/>
      <c r="AB1348" s="28"/>
      <c r="AC1348" s="28"/>
      <c r="AD1348" s="28"/>
      <c r="AE1348" s="28"/>
      <c r="AF1348" s="28"/>
      <c r="AG1348" s="28"/>
      <c r="AH1348" s="28"/>
      <c r="AI1348" s="28"/>
      <c r="AJ1348" s="28"/>
      <c r="AK1348" s="28"/>
      <c r="AL1348" s="28"/>
      <c r="AM1348" s="28"/>
      <c r="AN1348" s="28"/>
      <c r="AO1348" s="28"/>
      <c r="AP1348" s="28"/>
      <c r="AQ1348" s="28"/>
      <c r="AR1348" s="28"/>
      <c r="AS1348" s="28"/>
      <c r="AT1348" s="5"/>
      <c r="AU1348" s="28"/>
      <c r="AV1348" s="28"/>
      <c r="AX1348" s="28"/>
      <c r="AY1348" s="28"/>
      <c r="BA1348" s="28"/>
      <c r="BB1348" s="28"/>
      <c r="BF1348" s="28"/>
      <c r="BH1348" s="28"/>
      <c r="BI1348" s="28"/>
      <c r="BJ1348" s="38"/>
      <c r="BK1348" s="28"/>
    </row>
    <row r="1349" customFormat="false" ht="15.75" hidden="false" customHeight="false" outlineLevel="0" collapsed="false">
      <c r="A1349" s="28"/>
      <c r="B1349" s="28"/>
      <c r="C1349" s="28"/>
      <c r="D1349" s="5"/>
      <c r="E1349" s="38"/>
      <c r="F1349" s="28"/>
      <c r="G1349" s="28"/>
      <c r="H1349" s="38"/>
      <c r="I1349" s="28"/>
      <c r="J1349" s="40"/>
      <c r="K1349" s="40"/>
      <c r="L1349" s="5"/>
      <c r="M1349" s="5"/>
      <c r="N1349" s="28"/>
      <c r="O1349" s="28"/>
      <c r="P1349" s="28"/>
      <c r="Q1349" s="28"/>
      <c r="R1349" s="28"/>
      <c r="S1349" s="28"/>
      <c r="T1349" s="28"/>
      <c r="V1349" s="28"/>
      <c r="W1349" s="5"/>
      <c r="X1349" s="5"/>
      <c r="Z1349" s="28"/>
      <c r="AA1349" s="28"/>
      <c r="AB1349" s="28"/>
      <c r="AC1349" s="28"/>
      <c r="AD1349" s="28"/>
      <c r="AE1349" s="28"/>
      <c r="AF1349" s="28"/>
      <c r="AG1349" s="28"/>
      <c r="AH1349" s="28"/>
      <c r="AI1349" s="28"/>
      <c r="AJ1349" s="28"/>
      <c r="AK1349" s="28"/>
      <c r="AL1349" s="28"/>
      <c r="AM1349" s="28"/>
      <c r="AN1349" s="28"/>
      <c r="AO1349" s="28"/>
      <c r="AP1349" s="28"/>
      <c r="AQ1349" s="28"/>
      <c r="AR1349" s="28"/>
      <c r="AS1349" s="28"/>
      <c r="AT1349" s="5"/>
      <c r="AU1349" s="28"/>
      <c r="AV1349" s="28"/>
      <c r="AX1349" s="28"/>
      <c r="AY1349" s="28"/>
      <c r="BA1349" s="28"/>
      <c r="BB1349" s="28"/>
      <c r="BF1349" s="28"/>
      <c r="BH1349" s="28"/>
      <c r="BI1349" s="28"/>
      <c r="BJ1349" s="38"/>
      <c r="BK1349" s="28"/>
    </row>
    <row r="1350" customFormat="false" ht="15.75" hidden="false" customHeight="false" outlineLevel="0" collapsed="false">
      <c r="A1350" s="28"/>
      <c r="B1350" s="28"/>
      <c r="C1350" s="28"/>
      <c r="D1350" s="5"/>
      <c r="E1350" s="38"/>
      <c r="F1350" s="28"/>
      <c r="G1350" s="28"/>
      <c r="H1350" s="38"/>
      <c r="I1350" s="28"/>
      <c r="J1350" s="40"/>
      <c r="K1350" s="40"/>
      <c r="L1350" s="5"/>
      <c r="M1350" s="5"/>
      <c r="N1350" s="28"/>
      <c r="O1350" s="28"/>
      <c r="P1350" s="28"/>
      <c r="Q1350" s="28"/>
      <c r="R1350" s="28"/>
      <c r="S1350" s="28"/>
      <c r="T1350" s="28"/>
      <c r="V1350" s="28"/>
      <c r="W1350" s="5"/>
      <c r="X1350" s="5"/>
      <c r="Z1350" s="28"/>
      <c r="AA1350" s="28"/>
      <c r="AB1350" s="28"/>
      <c r="AC1350" s="28"/>
      <c r="AD1350" s="28"/>
      <c r="AE1350" s="28"/>
      <c r="AF1350" s="28"/>
      <c r="AG1350" s="28"/>
      <c r="AH1350" s="28"/>
      <c r="AI1350" s="28"/>
      <c r="AJ1350" s="28"/>
      <c r="AK1350" s="28"/>
      <c r="AL1350" s="28"/>
      <c r="AM1350" s="28"/>
      <c r="AN1350" s="28"/>
      <c r="AO1350" s="28"/>
      <c r="AP1350" s="28"/>
      <c r="AQ1350" s="28"/>
      <c r="AR1350" s="28"/>
      <c r="AS1350" s="28"/>
      <c r="AT1350" s="5"/>
      <c r="AU1350" s="28"/>
      <c r="AV1350" s="28"/>
      <c r="AX1350" s="28"/>
      <c r="AY1350" s="28"/>
      <c r="BA1350" s="28"/>
      <c r="BB1350" s="28"/>
      <c r="BF1350" s="28"/>
      <c r="BH1350" s="28"/>
      <c r="BI1350" s="28"/>
      <c r="BJ1350" s="38"/>
      <c r="BK1350" s="28"/>
    </row>
    <row r="1351" customFormat="false" ht="15.75" hidden="false" customHeight="false" outlineLevel="0" collapsed="false">
      <c r="A1351" s="28"/>
      <c r="B1351" s="28"/>
      <c r="C1351" s="28"/>
      <c r="D1351" s="5"/>
      <c r="E1351" s="38"/>
      <c r="F1351" s="28"/>
      <c r="G1351" s="28"/>
      <c r="H1351" s="38"/>
      <c r="I1351" s="28"/>
      <c r="J1351" s="40"/>
      <c r="K1351" s="40"/>
      <c r="L1351" s="5"/>
      <c r="M1351" s="5"/>
      <c r="N1351" s="28"/>
      <c r="O1351" s="28"/>
      <c r="P1351" s="28"/>
      <c r="Q1351" s="28"/>
      <c r="R1351" s="28"/>
      <c r="S1351" s="28"/>
      <c r="T1351" s="28"/>
      <c r="V1351" s="28"/>
      <c r="W1351" s="5"/>
      <c r="X1351" s="5"/>
      <c r="Z1351" s="28"/>
      <c r="AA1351" s="28"/>
      <c r="AB1351" s="28"/>
      <c r="AC1351" s="28"/>
      <c r="AD1351" s="28"/>
      <c r="AE1351" s="28"/>
      <c r="AF1351" s="28"/>
      <c r="AG1351" s="28"/>
      <c r="AH1351" s="28"/>
      <c r="AI1351" s="28"/>
      <c r="AJ1351" s="28"/>
      <c r="AK1351" s="28"/>
      <c r="AL1351" s="28"/>
      <c r="AM1351" s="28"/>
      <c r="AN1351" s="28"/>
      <c r="AO1351" s="28"/>
      <c r="AP1351" s="28"/>
      <c r="AQ1351" s="28"/>
      <c r="AR1351" s="28"/>
      <c r="AS1351" s="28"/>
      <c r="AT1351" s="5"/>
      <c r="AU1351" s="28"/>
      <c r="AV1351" s="28"/>
      <c r="AX1351" s="28"/>
      <c r="AY1351" s="28"/>
      <c r="BA1351" s="28"/>
      <c r="BB1351" s="28"/>
      <c r="BF1351" s="28"/>
      <c r="BH1351" s="28"/>
      <c r="BI1351" s="28"/>
      <c r="BJ1351" s="38"/>
      <c r="BK1351" s="28"/>
    </row>
    <row r="1352" customFormat="false" ht="15.75" hidden="false" customHeight="false" outlineLevel="0" collapsed="false">
      <c r="A1352" s="28"/>
      <c r="B1352" s="28"/>
      <c r="C1352" s="28"/>
      <c r="D1352" s="5"/>
      <c r="E1352" s="38"/>
      <c r="F1352" s="28"/>
      <c r="G1352" s="28"/>
      <c r="H1352" s="38"/>
      <c r="I1352" s="28"/>
      <c r="J1352" s="40"/>
      <c r="K1352" s="40"/>
      <c r="L1352" s="5"/>
      <c r="M1352" s="5"/>
      <c r="N1352" s="28"/>
      <c r="O1352" s="28"/>
      <c r="P1352" s="28"/>
      <c r="Q1352" s="28"/>
      <c r="R1352" s="28"/>
      <c r="S1352" s="28"/>
      <c r="T1352" s="28"/>
      <c r="V1352" s="28"/>
      <c r="W1352" s="5"/>
      <c r="X1352" s="5"/>
      <c r="Z1352" s="28"/>
      <c r="AA1352" s="28"/>
      <c r="AB1352" s="28"/>
      <c r="AC1352" s="28"/>
      <c r="AD1352" s="28"/>
      <c r="AE1352" s="28"/>
      <c r="AF1352" s="28"/>
      <c r="AG1352" s="28"/>
      <c r="AH1352" s="28"/>
      <c r="AI1352" s="28"/>
      <c r="AJ1352" s="28"/>
      <c r="AK1352" s="28"/>
      <c r="AL1352" s="28"/>
      <c r="AM1352" s="28"/>
      <c r="AN1352" s="28"/>
      <c r="AO1352" s="28"/>
      <c r="AP1352" s="28"/>
      <c r="AQ1352" s="28"/>
      <c r="AR1352" s="28"/>
      <c r="AS1352" s="28"/>
      <c r="AT1352" s="5"/>
      <c r="AU1352" s="28"/>
      <c r="AV1352" s="28"/>
      <c r="AX1352" s="28"/>
      <c r="AY1352" s="28"/>
      <c r="BA1352" s="28"/>
      <c r="BB1352" s="28"/>
      <c r="BF1352" s="28"/>
      <c r="BH1352" s="28"/>
      <c r="BI1352" s="28"/>
      <c r="BJ1352" s="38"/>
      <c r="BK1352" s="28"/>
    </row>
    <row r="1353" customFormat="false" ht="15.75" hidden="false" customHeight="false" outlineLevel="0" collapsed="false">
      <c r="A1353" s="28"/>
      <c r="B1353" s="28"/>
      <c r="C1353" s="28"/>
      <c r="D1353" s="5"/>
      <c r="E1353" s="38"/>
      <c r="F1353" s="28"/>
      <c r="G1353" s="28"/>
      <c r="H1353" s="38"/>
      <c r="I1353" s="28"/>
      <c r="J1353" s="40"/>
      <c r="K1353" s="40"/>
      <c r="L1353" s="5"/>
      <c r="M1353" s="5"/>
      <c r="N1353" s="28"/>
      <c r="O1353" s="28"/>
      <c r="P1353" s="28"/>
      <c r="Q1353" s="28"/>
      <c r="R1353" s="28"/>
      <c r="S1353" s="28"/>
      <c r="T1353" s="28"/>
      <c r="V1353" s="28"/>
      <c r="W1353" s="5"/>
      <c r="X1353" s="5"/>
      <c r="Z1353" s="28"/>
      <c r="AA1353" s="28"/>
      <c r="AB1353" s="28"/>
      <c r="AC1353" s="28"/>
      <c r="AD1353" s="28"/>
      <c r="AE1353" s="28"/>
      <c r="AF1353" s="28"/>
      <c r="AG1353" s="28"/>
      <c r="AH1353" s="28"/>
      <c r="AI1353" s="28"/>
      <c r="AJ1353" s="28"/>
      <c r="AK1353" s="28"/>
      <c r="AL1353" s="28"/>
      <c r="AM1353" s="28"/>
      <c r="AN1353" s="28"/>
      <c r="AO1353" s="28"/>
      <c r="AP1353" s="28"/>
      <c r="AQ1353" s="28"/>
      <c r="AR1353" s="28"/>
      <c r="AS1353" s="28"/>
      <c r="AT1353" s="5"/>
      <c r="AU1353" s="28"/>
      <c r="AV1353" s="28"/>
      <c r="AX1353" s="28"/>
      <c r="AY1353" s="28"/>
      <c r="BA1353" s="28"/>
      <c r="BB1353" s="28"/>
      <c r="BF1353" s="28"/>
      <c r="BH1353" s="28"/>
      <c r="BI1353" s="28"/>
      <c r="BJ1353" s="38"/>
      <c r="BK1353" s="28"/>
    </row>
    <row r="1354" customFormat="false" ht="15.75" hidden="false" customHeight="false" outlineLevel="0" collapsed="false">
      <c r="A1354" s="28"/>
      <c r="B1354" s="28"/>
      <c r="C1354" s="28"/>
      <c r="D1354" s="5"/>
      <c r="E1354" s="38"/>
      <c r="F1354" s="28"/>
      <c r="G1354" s="28"/>
      <c r="H1354" s="38"/>
      <c r="I1354" s="28"/>
      <c r="J1354" s="40"/>
      <c r="K1354" s="40"/>
      <c r="L1354" s="5"/>
      <c r="M1354" s="5"/>
      <c r="N1354" s="28"/>
      <c r="O1354" s="28"/>
      <c r="P1354" s="28"/>
      <c r="Q1354" s="28"/>
      <c r="R1354" s="28"/>
      <c r="S1354" s="28"/>
      <c r="T1354" s="28"/>
      <c r="V1354" s="28"/>
      <c r="W1354" s="5"/>
      <c r="X1354" s="5"/>
      <c r="Z1354" s="28"/>
      <c r="AA1354" s="28"/>
      <c r="AB1354" s="28"/>
      <c r="AC1354" s="28"/>
      <c r="AD1354" s="28"/>
      <c r="AE1354" s="28"/>
      <c r="AF1354" s="28"/>
      <c r="AG1354" s="28"/>
      <c r="AH1354" s="28"/>
      <c r="AI1354" s="28"/>
      <c r="AJ1354" s="28"/>
      <c r="AK1354" s="28"/>
      <c r="AL1354" s="28"/>
      <c r="AM1354" s="28"/>
      <c r="AN1354" s="28"/>
      <c r="AO1354" s="28"/>
      <c r="AP1354" s="28"/>
      <c r="AQ1354" s="28"/>
      <c r="AR1354" s="28"/>
      <c r="AS1354" s="28"/>
      <c r="AT1354" s="5"/>
      <c r="AU1354" s="28"/>
      <c r="AV1354" s="28"/>
      <c r="AX1354" s="28"/>
      <c r="AY1354" s="28"/>
      <c r="BA1354" s="28"/>
      <c r="BB1354" s="28"/>
      <c r="BF1354" s="28"/>
      <c r="BH1354" s="28"/>
      <c r="BI1354" s="28"/>
      <c r="BJ1354" s="38"/>
      <c r="BK1354" s="28"/>
    </row>
    <row r="1355" customFormat="false" ht="15.75" hidden="false" customHeight="false" outlineLevel="0" collapsed="false">
      <c r="A1355" s="28"/>
      <c r="B1355" s="28"/>
      <c r="C1355" s="28"/>
      <c r="D1355" s="5"/>
      <c r="E1355" s="38"/>
      <c r="F1355" s="28"/>
      <c r="G1355" s="28"/>
      <c r="H1355" s="38"/>
      <c r="I1355" s="28"/>
      <c r="J1355" s="40"/>
      <c r="K1355" s="40"/>
      <c r="L1355" s="5"/>
      <c r="M1355" s="5"/>
      <c r="N1355" s="28"/>
      <c r="O1355" s="28"/>
      <c r="P1355" s="28"/>
      <c r="Q1355" s="28"/>
      <c r="R1355" s="28"/>
      <c r="S1355" s="28"/>
      <c r="T1355" s="28"/>
      <c r="V1355" s="28"/>
      <c r="W1355" s="5"/>
      <c r="X1355" s="5"/>
      <c r="Z1355" s="28"/>
      <c r="AA1355" s="28"/>
      <c r="AB1355" s="28"/>
      <c r="AC1355" s="28"/>
      <c r="AD1355" s="28"/>
      <c r="AE1355" s="28"/>
      <c r="AF1355" s="28"/>
      <c r="AG1355" s="28"/>
      <c r="AH1355" s="28"/>
      <c r="AI1355" s="28"/>
      <c r="AJ1355" s="28"/>
      <c r="AK1355" s="28"/>
      <c r="AL1355" s="28"/>
      <c r="AM1355" s="28"/>
      <c r="AN1355" s="28"/>
      <c r="AO1355" s="28"/>
      <c r="AP1355" s="28"/>
      <c r="AQ1355" s="28"/>
      <c r="AR1355" s="28"/>
      <c r="AS1355" s="28"/>
      <c r="AT1355" s="5"/>
      <c r="AU1355" s="28"/>
      <c r="AV1355" s="28"/>
      <c r="AX1355" s="28"/>
      <c r="AY1355" s="28"/>
      <c r="BA1355" s="28"/>
      <c r="BB1355" s="28"/>
      <c r="BF1355" s="28"/>
      <c r="BH1355" s="28"/>
      <c r="BI1355" s="28"/>
      <c r="BJ1355" s="38"/>
      <c r="BK1355" s="28"/>
    </row>
    <row r="1356" customFormat="false" ht="15.75" hidden="false" customHeight="false" outlineLevel="0" collapsed="false">
      <c r="A1356" s="28"/>
      <c r="B1356" s="28"/>
      <c r="C1356" s="28"/>
      <c r="D1356" s="5"/>
      <c r="E1356" s="38"/>
      <c r="F1356" s="28"/>
      <c r="G1356" s="28"/>
      <c r="H1356" s="38"/>
      <c r="I1356" s="28"/>
      <c r="J1356" s="40"/>
      <c r="K1356" s="40"/>
      <c r="L1356" s="5"/>
      <c r="M1356" s="5"/>
      <c r="N1356" s="28"/>
      <c r="O1356" s="28"/>
      <c r="P1356" s="28"/>
      <c r="Q1356" s="28"/>
      <c r="R1356" s="28"/>
      <c r="S1356" s="28"/>
      <c r="T1356" s="28"/>
      <c r="V1356" s="28"/>
      <c r="W1356" s="5"/>
      <c r="X1356" s="5"/>
      <c r="Z1356" s="28"/>
      <c r="AA1356" s="28"/>
      <c r="AB1356" s="28"/>
      <c r="AC1356" s="28"/>
      <c r="AD1356" s="28"/>
      <c r="AE1356" s="28"/>
      <c r="AF1356" s="28"/>
      <c r="AG1356" s="28"/>
      <c r="AH1356" s="28"/>
      <c r="AI1356" s="28"/>
      <c r="AJ1356" s="28"/>
      <c r="AK1356" s="28"/>
      <c r="AL1356" s="28"/>
      <c r="AM1356" s="28"/>
      <c r="AN1356" s="28"/>
      <c r="AO1356" s="28"/>
      <c r="AP1356" s="28"/>
      <c r="AQ1356" s="28"/>
      <c r="AR1356" s="28"/>
      <c r="AS1356" s="28"/>
      <c r="AT1356" s="5"/>
      <c r="AU1356" s="28"/>
      <c r="AV1356" s="28"/>
      <c r="AX1356" s="28"/>
      <c r="AY1356" s="28"/>
      <c r="BA1356" s="28"/>
      <c r="BB1356" s="28"/>
      <c r="BF1356" s="28"/>
      <c r="BH1356" s="28"/>
      <c r="BI1356" s="28"/>
      <c r="BJ1356" s="38"/>
      <c r="BK1356" s="28"/>
    </row>
    <row r="1357" customFormat="false" ht="15.75" hidden="false" customHeight="false" outlineLevel="0" collapsed="false">
      <c r="A1357" s="28"/>
      <c r="B1357" s="28"/>
      <c r="C1357" s="28"/>
      <c r="D1357" s="5"/>
      <c r="E1357" s="38"/>
      <c r="F1357" s="28"/>
      <c r="G1357" s="28"/>
      <c r="H1357" s="38"/>
      <c r="I1357" s="28"/>
      <c r="J1357" s="40"/>
      <c r="K1357" s="40"/>
      <c r="L1357" s="5"/>
      <c r="M1357" s="5"/>
      <c r="N1357" s="28"/>
      <c r="O1357" s="28"/>
      <c r="P1357" s="28"/>
      <c r="Q1357" s="28"/>
      <c r="R1357" s="28"/>
      <c r="S1357" s="28"/>
      <c r="T1357" s="28"/>
      <c r="V1357" s="28"/>
      <c r="W1357" s="5"/>
      <c r="X1357" s="5"/>
      <c r="Z1357" s="28"/>
      <c r="AA1357" s="28"/>
      <c r="AB1357" s="28"/>
      <c r="AC1357" s="28"/>
      <c r="AD1357" s="28"/>
      <c r="AE1357" s="28"/>
      <c r="AF1357" s="28"/>
      <c r="AG1357" s="28"/>
      <c r="AH1357" s="28"/>
      <c r="AI1357" s="28"/>
      <c r="AJ1357" s="28"/>
      <c r="AK1357" s="28"/>
      <c r="AL1357" s="28"/>
      <c r="AM1357" s="28"/>
      <c r="AN1357" s="28"/>
      <c r="AO1357" s="28"/>
      <c r="AP1357" s="28"/>
      <c r="AQ1357" s="28"/>
      <c r="AR1357" s="28"/>
      <c r="AS1357" s="28"/>
      <c r="AT1357" s="5"/>
      <c r="AU1357" s="28"/>
      <c r="AV1357" s="28"/>
      <c r="AX1357" s="28"/>
      <c r="AY1357" s="28"/>
      <c r="BA1357" s="28"/>
      <c r="BB1357" s="28"/>
      <c r="BF1357" s="28"/>
      <c r="BH1357" s="28"/>
      <c r="BI1357" s="28"/>
      <c r="BJ1357" s="38"/>
      <c r="BK1357" s="28"/>
    </row>
    <row r="1358" customFormat="false" ht="15.75" hidden="false" customHeight="false" outlineLevel="0" collapsed="false">
      <c r="A1358" s="28"/>
      <c r="B1358" s="28"/>
      <c r="C1358" s="28"/>
      <c r="D1358" s="5"/>
      <c r="E1358" s="38"/>
      <c r="F1358" s="28"/>
      <c r="G1358" s="28"/>
      <c r="H1358" s="38"/>
      <c r="I1358" s="28"/>
      <c r="J1358" s="40"/>
      <c r="K1358" s="40"/>
      <c r="L1358" s="5"/>
      <c r="M1358" s="5"/>
      <c r="N1358" s="28"/>
      <c r="O1358" s="28"/>
      <c r="P1358" s="28"/>
      <c r="Q1358" s="28"/>
      <c r="R1358" s="28"/>
      <c r="S1358" s="28"/>
      <c r="T1358" s="28"/>
      <c r="V1358" s="28"/>
      <c r="W1358" s="5"/>
      <c r="X1358" s="5"/>
      <c r="Z1358" s="28"/>
      <c r="AA1358" s="28"/>
      <c r="AB1358" s="28"/>
      <c r="AC1358" s="28"/>
      <c r="AD1358" s="28"/>
      <c r="AE1358" s="28"/>
      <c r="AF1358" s="28"/>
      <c r="AG1358" s="28"/>
      <c r="AH1358" s="28"/>
      <c r="AI1358" s="28"/>
      <c r="AJ1358" s="28"/>
      <c r="AK1358" s="28"/>
      <c r="AL1358" s="28"/>
      <c r="AM1358" s="28"/>
      <c r="AN1358" s="28"/>
      <c r="AO1358" s="28"/>
      <c r="AP1358" s="28"/>
      <c r="AQ1358" s="28"/>
      <c r="AR1358" s="28"/>
      <c r="AS1358" s="28"/>
      <c r="AT1358" s="5"/>
      <c r="AU1358" s="28"/>
      <c r="AV1358" s="28"/>
      <c r="AX1358" s="28"/>
      <c r="AY1358" s="28"/>
      <c r="BA1358" s="28"/>
      <c r="BB1358" s="28"/>
      <c r="BF1358" s="28"/>
      <c r="BH1358" s="28"/>
      <c r="BI1358" s="28"/>
      <c r="BJ1358" s="38"/>
      <c r="BK1358" s="28"/>
    </row>
    <row r="1359" customFormat="false" ht="15.75" hidden="false" customHeight="false" outlineLevel="0" collapsed="false">
      <c r="A1359" s="28"/>
      <c r="B1359" s="28"/>
      <c r="C1359" s="28"/>
      <c r="D1359" s="5"/>
      <c r="E1359" s="38"/>
      <c r="F1359" s="28"/>
      <c r="G1359" s="28"/>
      <c r="H1359" s="38"/>
      <c r="I1359" s="28"/>
      <c r="J1359" s="40"/>
      <c r="K1359" s="40"/>
      <c r="L1359" s="5"/>
      <c r="M1359" s="5"/>
      <c r="N1359" s="28"/>
      <c r="O1359" s="28"/>
      <c r="P1359" s="28"/>
      <c r="Q1359" s="28"/>
      <c r="R1359" s="28"/>
      <c r="S1359" s="28"/>
      <c r="T1359" s="28"/>
      <c r="V1359" s="28"/>
      <c r="W1359" s="5"/>
      <c r="X1359" s="5"/>
      <c r="Z1359" s="28"/>
      <c r="AA1359" s="28"/>
      <c r="AB1359" s="28"/>
      <c r="AC1359" s="28"/>
      <c r="AD1359" s="28"/>
      <c r="AE1359" s="28"/>
      <c r="AF1359" s="28"/>
      <c r="AG1359" s="28"/>
      <c r="AH1359" s="28"/>
      <c r="AI1359" s="28"/>
      <c r="AJ1359" s="28"/>
      <c r="AK1359" s="28"/>
      <c r="AL1359" s="28"/>
      <c r="AM1359" s="28"/>
      <c r="AN1359" s="28"/>
      <c r="AO1359" s="28"/>
      <c r="AP1359" s="28"/>
      <c r="AQ1359" s="28"/>
      <c r="AR1359" s="28"/>
      <c r="AS1359" s="28"/>
      <c r="AT1359" s="5"/>
      <c r="AU1359" s="28"/>
      <c r="AV1359" s="28"/>
      <c r="AX1359" s="28"/>
      <c r="AY1359" s="28"/>
      <c r="BA1359" s="28"/>
      <c r="BB1359" s="28"/>
      <c r="BF1359" s="28"/>
      <c r="BH1359" s="28"/>
      <c r="BI1359" s="28"/>
      <c r="BJ1359" s="38"/>
      <c r="BK1359" s="28"/>
    </row>
    <row r="1360" customFormat="false" ht="15.75" hidden="false" customHeight="false" outlineLevel="0" collapsed="false">
      <c r="A1360" s="28"/>
      <c r="B1360" s="28"/>
      <c r="C1360" s="28"/>
      <c r="D1360" s="5"/>
      <c r="E1360" s="38"/>
      <c r="F1360" s="28"/>
      <c r="G1360" s="28"/>
      <c r="H1360" s="38"/>
      <c r="I1360" s="28"/>
      <c r="J1360" s="40"/>
      <c r="K1360" s="40"/>
      <c r="L1360" s="5"/>
      <c r="M1360" s="5"/>
      <c r="N1360" s="28"/>
      <c r="O1360" s="28"/>
      <c r="P1360" s="28"/>
      <c r="Q1360" s="28"/>
      <c r="R1360" s="28"/>
      <c r="S1360" s="28"/>
      <c r="T1360" s="28"/>
      <c r="V1360" s="28"/>
      <c r="W1360" s="5"/>
      <c r="X1360" s="5"/>
      <c r="Z1360" s="28"/>
      <c r="AA1360" s="28"/>
      <c r="AB1360" s="28"/>
      <c r="AC1360" s="28"/>
      <c r="AD1360" s="28"/>
      <c r="AE1360" s="28"/>
      <c r="AF1360" s="28"/>
      <c r="AG1360" s="28"/>
      <c r="AH1360" s="28"/>
      <c r="AI1360" s="28"/>
      <c r="AJ1360" s="28"/>
      <c r="AK1360" s="28"/>
      <c r="AL1360" s="28"/>
      <c r="AM1360" s="28"/>
      <c r="AN1360" s="28"/>
      <c r="AO1360" s="28"/>
      <c r="AP1360" s="28"/>
      <c r="AQ1360" s="28"/>
      <c r="AR1360" s="28"/>
      <c r="AS1360" s="28"/>
      <c r="AT1360" s="5"/>
      <c r="AU1360" s="28"/>
      <c r="AV1360" s="28"/>
      <c r="AX1360" s="28"/>
      <c r="AY1360" s="28"/>
      <c r="BA1360" s="28"/>
      <c r="BB1360" s="28"/>
      <c r="BF1360" s="28"/>
      <c r="BH1360" s="28"/>
      <c r="BI1360" s="28"/>
      <c r="BJ1360" s="38"/>
      <c r="BK1360" s="28"/>
    </row>
    <row r="1361" customFormat="false" ht="15.75" hidden="false" customHeight="false" outlineLevel="0" collapsed="false">
      <c r="A1361" s="28"/>
      <c r="B1361" s="28"/>
      <c r="C1361" s="28"/>
      <c r="D1361" s="5"/>
      <c r="E1361" s="38"/>
      <c r="F1361" s="28"/>
      <c r="G1361" s="28"/>
      <c r="H1361" s="38"/>
      <c r="I1361" s="28"/>
      <c r="J1361" s="40"/>
      <c r="K1361" s="40"/>
      <c r="L1361" s="5"/>
      <c r="M1361" s="5"/>
      <c r="N1361" s="28"/>
      <c r="O1361" s="28"/>
      <c r="P1361" s="28"/>
      <c r="Q1361" s="28"/>
      <c r="R1361" s="28"/>
      <c r="S1361" s="28"/>
      <c r="T1361" s="28"/>
      <c r="V1361" s="28"/>
      <c r="W1361" s="5"/>
      <c r="X1361" s="5"/>
      <c r="Z1361" s="28"/>
      <c r="AA1361" s="28"/>
      <c r="AB1361" s="28"/>
      <c r="AC1361" s="28"/>
      <c r="AD1361" s="28"/>
      <c r="AE1361" s="28"/>
      <c r="AF1361" s="28"/>
      <c r="AG1361" s="28"/>
      <c r="AH1361" s="28"/>
      <c r="AI1361" s="28"/>
      <c r="AJ1361" s="28"/>
      <c r="AK1361" s="28"/>
      <c r="AL1361" s="28"/>
      <c r="AM1361" s="28"/>
      <c r="AN1361" s="28"/>
      <c r="AO1361" s="28"/>
      <c r="AP1361" s="28"/>
      <c r="AQ1361" s="28"/>
      <c r="AR1361" s="28"/>
      <c r="AS1361" s="28"/>
      <c r="AT1361" s="5"/>
      <c r="AU1361" s="28"/>
      <c r="AV1361" s="28"/>
      <c r="AX1361" s="28"/>
      <c r="AY1361" s="28"/>
      <c r="BA1361" s="28"/>
      <c r="BB1361" s="28"/>
      <c r="BF1361" s="28"/>
      <c r="BH1361" s="28"/>
      <c r="BI1361" s="28"/>
      <c r="BJ1361" s="38"/>
      <c r="BK1361" s="28"/>
    </row>
    <row r="1362" customFormat="false" ht="15.75" hidden="false" customHeight="false" outlineLevel="0" collapsed="false">
      <c r="A1362" s="28"/>
      <c r="B1362" s="28"/>
      <c r="C1362" s="28"/>
      <c r="D1362" s="5"/>
      <c r="E1362" s="38"/>
      <c r="F1362" s="28"/>
      <c r="G1362" s="28"/>
      <c r="H1362" s="38"/>
      <c r="I1362" s="28"/>
      <c r="J1362" s="40"/>
      <c r="K1362" s="40"/>
      <c r="L1362" s="5"/>
      <c r="M1362" s="5"/>
      <c r="N1362" s="28"/>
      <c r="O1362" s="28"/>
      <c r="P1362" s="28"/>
      <c r="Q1362" s="28"/>
      <c r="R1362" s="28"/>
      <c r="S1362" s="28"/>
      <c r="T1362" s="28"/>
      <c r="V1362" s="28"/>
      <c r="W1362" s="5"/>
      <c r="X1362" s="5"/>
      <c r="Z1362" s="28"/>
      <c r="AA1362" s="28"/>
      <c r="AB1362" s="28"/>
      <c r="AC1362" s="28"/>
      <c r="AD1362" s="28"/>
      <c r="AE1362" s="28"/>
      <c r="AF1362" s="28"/>
      <c r="AG1362" s="28"/>
      <c r="AH1362" s="28"/>
      <c r="AI1362" s="28"/>
      <c r="AJ1362" s="28"/>
      <c r="AK1362" s="28"/>
      <c r="AL1362" s="28"/>
      <c r="AM1362" s="28"/>
      <c r="AN1362" s="28"/>
      <c r="AO1362" s="28"/>
      <c r="AP1362" s="28"/>
      <c r="AQ1362" s="28"/>
      <c r="AR1362" s="28"/>
      <c r="AS1362" s="28"/>
      <c r="AT1362" s="5"/>
      <c r="AU1362" s="28"/>
      <c r="AV1362" s="28"/>
      <c r="AX1362" s="28"/>
      <c r="AY1362" s="28"/>
      <c r="BA1362" s="28"/>
      <c r="BB1362" s="28"/>
      <c r="BF1362" s="28"/>
      <c r="BH1362" s="28"/>
      <c r="BI1362" s="28"/>
      <c r="BJ1362" s="38"/>
      <c r="BK1362" s="28"/>
    </row>
    <row r="1363" customFormat="false" ht="15.75" hidden="false" customHeight="false" outlineLevel="0" collapsed="false">
      <c r="A1363" s="28"/>
      <c r="B1363" s="28"/>
      <c r="C1363" s="28"/>
      <c r="D1363" s="5"/>
      <c r="E1363" s="38"/>
      <c r="F1363" s="28"/>
      <c r="G1363" s="28"/>
      <c r="H1363" s="38"/>
      <c r="I1363" s="28"/>
      <c r="J1363" s="40"/>
      <c r="K1363" s="40"/>
      <c r="L1363" s="5"/>
      <c r="M1363" s="5"/>
      <c r="N1363" s="28"/>
      <c r="O1363" s="28"/>
      <c r="P1363" s="28"/>
      <c r="Q1363" s="28"/>
      <c r="R1363" s="28"/>
      <c r="S1363" s="28"/>
      <c r="T1363" s="28"/>
      <c r="V1363" s="28"/>
      <c r="W1363" s="5"/>
      <c r="X1363" s="5"/>
      <c r="Z1363" s="28"/>
      <c r="AA1363" s="28"/>
      <c r="AB1363" s="28"/>
      <c r="AC1363" s="28"/>
      <c r="AD1363" s="28"/>
      <c r="AE1363" s="28"/>
      <c r="AF1363" s="28"/>
      <c r="AG1363" s="28"/>
      <c r="AH1363" s="28"/>
      <c r="AI1363" s="28"/>
      <c r="AJ1363" s="28"/>
      <c r="AK1363" s="28"/>
      <c r="AL1363" s="28"/>
      <c r="AM1363" s="28"/>
      <c r="AN1363" s="28"/>
      <c r="AO1363" s="28"/>
      <c r="AP1363" s="28"/>
      <c r="AQ1363" s="28"/>
      <c r="AR1363" s="28"/>
      <c r="AS1363" s="28"/>
      <c r="AT1363" s="5"/>
      <c r="AU1363" s="28"/>
      <c r="AV1363" s="28"/>
      <c r="AX1363" s="28"/>
      <c r="AY1363" s="28"/>
      <c r="BA1363" s="28"/>
      <c r="BB1363" s="28"/>
      <c r="BF1363" s="28"/>
      <c r="BH1363" s="28"/>
      <c r="BI1363" s="28"/>
      <c r="BJ1363" s="38"/>
      <c r="BK1363" s="28"/>
    </row>
    <row r="1364" customFormat="false" ht="15.75" hidden="false" customHeight="false" outlineLevel="0" collapsed="false">
      <c r="A1364" s="28"/>
      <c r="B1364" s="28"/>
      <c r="C1364" s="28"/>
      <c r="D1364" s="5"/>
      <c r="E1364" s="38"/>
      <c r="F1364" s="28"/>
      <c r="G1364" s="28"/>
      <c r="H1364" s="38"/>
      <c r="I1364" s="28"/>
      <c r="J1364" s="40"/>
      <c r="K1364" s="40"/>
      <c r="L1364" s="5"/>
      <c r="M1364" s="5"/>
      <c r="N1364" s="28"/>
      <c r="O1364" s="28"/>
      <c r="P1364" s="28"/>
      <c r="Q1364" s="28"/>
      <c r="R1364" s="28"/>
      <c r="S1364" s="28"/>
      <c r="T1364" s="28"/>
      <c r="V1364" s="28"/>
      <c r="W1364" s="5"/>
      <c r="X1364" s="5"/>
      <c r="Z1364" s="28"/>
      <c r="AA1364" s="28"/>
      <c r="AB1364" s="28"/>
      <c r="AC1364" s="28"/>
      <c r="AD1364" s="28"/>
      <c r="AE1364" s="28"/>
      <c r="AF1364" s="28"/>
      <c r="AG1364" s="28"/>
      <c r="AH1364" s="28"/>
      <c r="AI1364" s="28"/>
      <c r="AJ1364" s="28"/>
      <c r="AK1364" s="28"/>
      <c r="AL1364" s="28"/>
      <c r="AM1364" s="28"/>
      <c r="AN1364" s="28"/>
      <c r="AO1364" s="28"/>
      <c r="AP1364" s="28"/>
      <c r="AQ1364" s="28"/>
      <c r="AR1364" s="28"/>
      <c r="AS1364" s="28"/>
      <c r="AT1364" s="5"/>
      <c r="AU1364" s="28"/>
      <c r="AV1364" s="28"/>
      <c r="AX1364" s="28"/>
      <c r="AY1364" s="28"/>
      <c r="BA1364" s="28"/>
      <c r="BB1364" s="28"/>
      <c r="BF1364" s="28"/>
      <c r="BH1364" s="28"/>
      <c r="BI1364" s="28"/>
      <c r="BJ1364" s="38"/>
      <c r="BK1364" s="28"/>
    </row>
    <row r="1365" customFormat="false" ht="15.75" hidden="false" customHeight="false" outlineLevel="0" collapsed="false">
      <c r="A1365" s="28"/>
      <c r="B1365" s="28"/>
      <c r="C1365" s="28"/>
      <c r="D1365" s="5"/>
      <c r="E1365" s="38"/>
      <c r="F1365" s="28"/>
      <c r="G1365" s="28"/>
      <c r="H1365" s="38"/>
      <c r="I1365" s="28"/>
      <c r="J1365" s="40"/>
      <c r="K1365" s="40"/>
      <c r="L1365" s="5"/>
      <c r="M1365" s="5"/>
      <c r="N1365" s="28"/>
      <c r="O1365" s="28"/>
      <c r="P1365" s="28"/>
      <c r="Q1365" s="28"/>
      <c r="R1365" s="28"/>
      <c r="S1365" s="28"/>
      <c r="T1365" s="28"/>
      <c r="V1365" s="28"/>
      <c r="W1365" s="5"/>
      <c r="X1365" s="5"/>
      <c r="Z1365" s="28"/>
      <c r="AA1365" s="28"/>
      <c r="AB1365" s="28"/>
      <c r="AC1365" s="28"/>
      <c r="AD1365" s="28"/>
      <c r="AE1365" s="28"/>
      <c r="AF1365" s="28"/>
      <c r="AG1365" s="28"/>
      <c r="AH1365" s="28"/>
      <c r="AI1365" s="28"/>
      <c r="AJ1365" s="28"/>
      <c r="AK1365" s="28"/>
      <c r="AL1365" s="28"/>
      <c r="AM1365" s="28"/>
      <c r="AN1365" s="28"/>
      <c r="AO1365" s="28"/>
      <c r="AP1365" s="28"/>
      <c r="AQ1365" s="28"/>
      <c r="AR1365" s="28"/>
      <c r="AS1365" s="28"/>
      <c r="AT1365" s="5"/>
      <c r="AU1365" s="28"/>
      <c r="AV1365" s="28"/>
      <c r="AX1365" s="28"/>
      <c r="AY1365" s="28"/>
      <c r="BA1365" s="28"/>
      <c r="BB1365" s="28"/>
      <c r="BF1365" s="28"/>
      <c r="BH1365" s="28"/>
      <c r="BI1365" s="28"/>
      <c r="BJ1365" s="38"/>
      <c r="BK1365" s="28"/>
    </row>
    <row r="1366" customFormat="false" ht="15.75" hidden="false" customHeight="false" outlineLevel="0" collapsed="false">
      <c r="A1366" s="28"/>
      <c r="B1366" s="28"/>
      <c r="C1366" s="28"/>
      <c r="D1366" s="5"/>
      <c r="E1366" s="38"/>
      <c r="F1366" s="28"/>
      <c r="G1366" s="28"/>
      <c r="H1366" s="38"/>
      <c r="I1366" s="28"/>
      <c r="J1366" s="40"/>
      <c r="K1366" s="40"/>
      <c r="L1366" s="5"/>
      <c r="M1366" s="5"/>
      <c r="N1366" s="28"/>
      <c r="O1366" s="28"/>
      <c r="P1366" s="28"/>
      <c r="Q1366" s="28"/>
      <c r="R1366" s="28"/>
      <c r="S1366" s="28"/>
      <c r="T1366" s="28"/>
      <c r="V1366" s="28"/>
      <c r="W1366" s="5"/>
      <c r="X1366" s="5"/>
      <c r="Z1366" s="28"/>
      <c r="AA1366" s="28"/>
      <c r="AB1366" s="28"/>
      <c r="AC1366" s="28"/>
      <c r="AD1366" s="28"/>
      <c r="AE1366" s="28"/>
      <c r="AF1366" s="28"/>
      <c r="AG1366" s="28"/>
      <c r="AH1366" s="28"/>
      <c r="AI1366" s="28"/>
      <c r="AJ1366" s="28"/>
      <c r="AK1366" s="28"/>
      <c r="AL1366" s="28"/>
      <c r="AM1366" s="28"/>
      <c r="AN1366" s="28"/>
      <c r="AO1366" s="28"/>
      <c r="AP1366" s="28"/>
      <c r="AQ1366" s="28"/>
      <c r="AR1366" s="28"/>
      <c r="AS1366" s="28"/>
      <c r="AT1366" s="5"/>
      <c r="AU1366" s="28"/>
      <c r="AV1366" s="28"/>
      <c r="AX1366" s="28"/>
      <c r="AY1366" s="28"/>
      <c r="BA1366" s="28"/>
      <c r="BB1366" s="28"/>
      <c r="BF1366" s="28"/>
      <c r="BH1366" s="28"/>
      <c r="BI1366" s="28"/>
      <c r="BJ1366" s="38"/>
      <c r="BK1366" s="28"/>
    </row>
    <row r="1367" customFormat="false" ht="15.75" hidden="false" customHeight="false" outlineLevel="0" collapsed="false">
      <c r="A1367" s="28"/>
      <c r="B1367" s="28"/>
      <c r="C1367" s="28"/>
      <c r="D1367" s="5"/>
      <c r="E1367" s="38"/>
      <c r="F1367" s="28"/>
      <c r="G1367" s="28"/>
      <c r="H1367" s="38"/>
      <c r="I1367" s="28"/>
      <c r="J1367" s="40"/>
      <c r="K1367" s="40"/>
      <c r="L1367" s="5"/>
      <c r="M1367" s="5"/>
      <c r="N1367" s="28"/>
      <c r="O1367" s="28"/>
      <c r="P1367" s="28"/>
      <c r="Q1367" s="28"/>
      <c r="R1367" s="28"/>
      <c r="S1367" s="28"/>
      <c r="T1367" s="28"/>
      <c r="V1367" s="28"/>
      <c r="W1367" s="5"/>
      <c r="X1367" s="5"/>
      <c r="Z1367" s="28"/>
      <c r="AA1367" s="28"/>
      <c r="AB1367" s="28"/>
      <c r="AC1367" s="28"/>
      <c r="AD1367" s="28"/>
      <c r="AE1367" s="28"/>
      <c r="AF1367" s="28"/>
      <c r="AG1367" s="28"/>
      <c r="AH1367" s="28"/>
      <c r="AI1367" s="28"/>
      <c r="AJ1367" s="28"/>
      <c r="AK1367" s="28"/>
      <c r="AL1367" s="28"/>
      <c r="AM1367" s="28"/>
      <c r="AN1367" s="28"/>
      <c r="AO1367" s="28"/>
      <c r="AP1367" s="28"/>
      <c r="AQ1367" s="28"/>
      <c r="AR1367" s="28"/>
      <c r="AS1367" s="28"/>
      <c r="AT1367" s="5"/>
      <c r="AU1367" s="28"/>
      <c r="AV1367" s="28"/>
      <c r="AX1367" s="28"/>
      <c r="AY1367" s="28"/>
      <c r="BA1367" s="28"/>
      <c r="BB1367" s="28"/>
      <c r="BF1367" s="28"/>
      <c r="BH1367" s="28"/>
      <c r="BI1367" s="28"/>
      <c r="BJ1367" s="38"/>
      <c r="BK1367" s="28"/>
    </row>
    <row r="1368" customFormat="false" ht="15.75" hidden="false" customHeight="false" outlineLevel="0" collapsed="false">
      <c r="A1368" s="28"/>
      <c r="B1368" s="28"/>
      <c r="C1368" s="28"/>
      <c r="D1368" s="5"/>
      <c r="E1368" s="38"/>
      <c r="F1368" s="28"/>
      <c r="G1368" s="28"/>
      <c r="H1368" s="38"/>
      <c r="I1368" s="28"/>
      <c r="J1368" s="40"/>
      <c r="K1368" s="40"/>
      <c r="L1368" s="5"/>
      <c r="M1368" s="5"/>
      <c r="N1368" s="28"/>
      <c r="O1368" s="28"/>
      <c r="P1368" s="28"/>
      <c r="Q1368" s="28"/>
      <c r="R1368" s="28"/>
      <c r="S1368" s="28"/>
      <c r="T1368" s="28"/>
      <c r="V1368" s="28"/>
      <c r="W1368" s="5"/>
      <c r="X1368" s="5"/>
      <c r="Z1368" s="28"/>
      <c r="AA1368" s="28"/>
      <c r="AB1368" s="28"/>
      <c r="AC1368" s="28"/>
      <c r="AD1368" s="28"/>
      <c r="AE1368" s="28"/>
      <c r="AF1368" s="28"/>
      <c r="AG1368" s="28"/>
      <c r="AH1368" s="28"/>
      <c r="AI1368" s="28"/>
      <c r="AJ1368" s="28"/>
      <c r="AK1368" s="28"/>
      <c r="AL1368" s="28"/>
      <c r="AM1368" s="28"/>
      <c r="AN1368" s="28"/>
      <c r="AO1368" s="28"/>
      <c r="AP1368" s="28"/>
      <c r="AQ1368" s="28"/>
      <c r="AR1368" s="28"/>
      <c r="AS1368" s="28"/>
      <c r="AT1368" s="5"/>
      <c r="AU1368" s="28"/>
      <c r="AV1368" s="28"/>
      <c r="AX1368" s="28"/>
      <c r="AY1368" s="28"/>
      <c r="BA1368" s="28"/>
      <c r="BB1368" s="28"/>
      <c r="BF1368" s="28"/>
      <c r="BH1368" s="28"/>
      <c r="BI1368" s="28"/>
      <c r="BJ1368" s="38"/>
      <c r="BK1368" s="28"/>
    </row>
    <row r="1369" customFormat="false" ht="15.75" hidden="false" customHeight="false" outlineLevel="0" collapsed="false">
      <c r="A1369" s="28"/>
      <c r="B1369" s="28"/>
      <c r="C1369" s="28"/>
      <c r="D1369" s="5"/>
      <c r="E1369" s="38"/>
      <c r="F1369" s="28"/>
      <c r="G1369" s="28"/>
      <c r="H1369" s="38"/>
      <c r="I1369" s="28"/>
      <c r="J1369" s="40"/>
      <c r="K1369" s="40"/>
      <c r="L1369" s="5"/>
      <c r="M1369" s="5"/>
      <c r="N1369" s="28"/>
      <c r="O1369" s="28"/>
      <c r="P1369" s="28"/>
      <c r="Q1369" s="28"/>
      <c r="R1369" s="28"/>
      <c r="S1369" s="28"/>
      <c r="T1369" s="28"/>
      <c r="V1369" s="28"/>
      <c r="W1369" s="5"/>
      <c r="X1369" s="5"/>
      <c r="Z1369" s="28"/>
      <c r="AA1369" s="28"/>
      <c r="AB1369" s="28"/>
      <c r="AC1369" s="28"/>
      <c r="AD1369" s="28"/>
      <c r="AE1369" s="28"/>
      <c r="AF1369" s="28"/>
      <c r="AG1369" s="28"/>
      <c r="AH1369" s="28"/>
      <c r="AI1369" s="28"/>
      <c r="AJ1369" s="28"/>
      <c r="AK1369" s="28"/>
      <c r="AL1369" s="28"/>
      <c r="AM1369" s="28"/>
      <c r="AN1369" s="28"/>
      <c r="AO1369" s="28"/>
      <c r="AP1369" s="28"/>
      <c r="AQ1369" s="28"/>
      <c r="AR1369" s="28"/>
      <c r="AS1369" s="28"/>
      <c r="AT1369" s="5"/>
      <c r="AU1369" s="28"/>
      <c r="AV1369" s="28"/>
      <c r="AX1369" s="28"/>
      <c r="AY1369" s="28"/>
      <c r="BA1369" s="28"/>
      <c r="BB1369" s="28"/>
      <c r="BF1369" s="28"/>
      <c r="BH1369" s="28"/>
      <c r="BI1369" s="28"/>
      <c r="BJ1369" s="38"/>
      <c r="BK1369" s="28"/>
    </row>
    <row r="1370" customFormat="false" ht="15.75" hidden="false" customHeight="false" outlineLevel="0" collapsed="false">
      <c r="A1370" s="28"/>
      <c r="B1370" s="28"/>
      <c r="C1370" s="28"/>
      <c r="D1370" s="5"/>
      <c r="E1370" s="38"/>
      <c r="F1370" s="28"/>
      <c r="G1370" s="28"/>
      <c r="H1370" s="38"/>
      <c r="I1370" s="28"/>
      <c r="J1370" s="40"/>
      <c r="K1370" s="40"/>
      <c r="L1370" s="5"/>
      <c r="M1370" s="5"/>
      <c r="N1370" s="28"/>
      <c r="O1370" s="28"/>
      <c r="P1370" s="28"/>
      <c r="Q1370" s="28"/>
      <c r="R1370" s="28"/>
      <c r="S1370" s="28"/>
      <c r="T1370" s="28"/>
      <c r="V1370" s="28"/>
      <c r="W1370" s="5"/>
      <c r="X1370" s="5"/>
      <c r="Z1370" s="28"/>
      <c r="AA1370" s="28"/>
      <c r="AB1370" s="28"/>
      <c r="AC1370" s="28"/>
      <c r="AD1370" s="28"/>
      <c r="AE1370" s="28"/>
      <c r="AF1370" s="28"/>
      <c r="AG1370" s="28"/>
      <c r="AH1370" s="28"/>
      <c r="AI1370" s="28"/>
      <c r="AJ1370" s="28"/>
      <c r="AK1370" s="28"/>
      <c r="AL1370" s="28"/>
      <c r="AM1370" s="28"/>
      <c r="AN1370" s="28"/>
      <c r="AO1370" s="28"/>
      <c r="AP1370" s="28"/>
      <c r="AQ1370" s="28"/>
      <c r="AR1370" s="28"/>
      <c r="AS1370" s="28"/>
      <c r="AT1370" s="5"/>
      <c r="AU1370" s="28"/>
      <c r="AV1370" s="28"/>
      <c r="AX1370" s="28"/>
      <c r="AY1370" s="28"/>
      <c r="BA1370" s="28"/>
      <c r="BB1370" s="28"/>
      <c r="BF1370" s="28"/>
      <c r="BH1370" s="28"/>
      <c r="BI1370" s="28"/>
      <c r="BJ1370" s="38"/>
      <c r="BK1370" s="28"/>
    </row>
    <row r="1371" customFormat="false" ht="15.75" hidden="false" customHeight="false" outlineLevel="0" collapsed="false">
      <c r="A1371" s="28"/>
      <c r="B1371" s="28"/>
      <c r="C1371" s="28"/>
      <c r="D1371" s="5"/>
      <c r="E1371" s="38"/>
      <c r="F1371" s="28"/>
      <c r="G1371" s="28"/>
      <c r="H1371" s="38"/>
      <c r="I1371" s="28"/>
      <c r="J1371" s="40"/>
      <c r="K1371" s="40"/>
      <c r="L1371" s="5"/>
      <c r="M1371" s="5"/>
      <c r="N1371" s="28"/>
      <c r="O1371" s="28"/>
      <c r="P1371" s="28"/>
      <c r="Q1371" s="28"/>
      <c r="R1371" s="28"/>
      <c r="S1371" s="28"/>
      <c r="T1371" s="28"/>
      <c r="V1371" s="28"/>
      <c r="W1371" s="5"/>
      <c r="X1371" s="5"/>
      <c r="Z1371" s="28"/>
      <c r="AA1371" s="28"/>
      <c r="AB1371" s="28"/>
      <c r="AC1371" s="28"/>
      <c r="AD1371" s="28"/>
      <c r="AE1371" s="28"/>
      <c r="AF1371" s="28"/>
      <c r="AG1371" s="28"/>
      <c r="AH1371" s="28"/>
      <c r="AI1371" s="28"/>
      <c r="AJ1371" s="28"/>
      <c r="AK1371" s="28"/>
      <c r="AL1371" s="28"/>
      <c r="AM1371" s="28"/>
      <c r="AN1371" s="28"/>
      <c r="AO1371" s="28"/>
      <c r="AP1371" s="28"/>
      <c r="AQ1371" s="28"/>
      <c r="AR1371" s="28"/>
      <c r="AS1371" s="28"/>
      <c r="AT1371" s="5"/>
      <c r="AU1371" s="28"/>
      <c r="AV1371" s="28"/>
      <c r="AX1371" s="28"/>
      <c r="AY1371" s="28"/>
      <c r="BA1371" s="28"/>
      <c r="BB1371" s="28"/>
      <c r="BF1371" s="28"/>
      <c r="BH1371" s="28"/>
      <c r="BI1371" s="28"/>
      <c r="BJ1371" s="38"/>
      <c r="BK1371" s="28"/>
    </row>
    <row r="1372" customFormat="false" ht="15.75" hidden="false" customHeight="false" outlineLevel="0" collapsed="false">
      <c r="A1372" s="28"/>
      <c r="B1372" s="28"/>
      <c r="C1372" s="28"/>
      <c r="D1372" s="5"/>
      <c r="E1372" s="38"/>
      <c r="F1372" s="28"/>
      <c r="G1372" s="28"/>
      <c r="H1372" s="38"/>
      <c r="I1372" s="28"/>
      <c r="J1372" s="40"/>
      <c r="K1372" s="40"/>
      <c r="L1372" s="5"/>
      <c r="M1372" s="5"/>
      <c r="N1372" s="28"/>
      <c r="O1372" s="28"/>
      <c r="P1372" s="28"/>
      <c r="Q1372" s="28"/>
      <c r="R1372" s="28"/>
      <c r="S1372" s="28"/>
      <c r="T1372" s="28"/>
      <c r="V1372" s="28"/>
      <c r="W1372" s="5"/>
      <c r="X1372" s="5"/>
      <c r="Z1372" s="28"/>
      <c r="AA1372" s="28"/>
      <c r="AB1372" s="28"/>
      <c r="AC1372" s="28"/>
      <c r="AD1372" s="28"/>
      <c r="AE1372" s="28"/>
      <c r="AF1372" s="28"/>
      <c r="AG1372" s="28"/>
      <c r="AH1372" s="28"/>
      <c r="AI1372" s="28"/>
      <c r="AJ1372" s="28"/>
      <c r="AK1372" s="28"/>
      <c r="AL1372" s="28"/>
      <c r="AM1372" s="28"/>
      <c r="AN1372" s="28"/>
      <c r="AO1372" s="28"/>
      <c r="AP1372" s="28"/>
      <c r="AQ1372" s="28"/>
      <c r="AR1372" s="28"/>
      <c r="AS1372" s="28"/>
      <c r="AT1372" s="5"/>
      <c r="AU1372" s="28"/>
      <c r="AV1372" s="28"/>
      <c r="AX1372" s="28"/>
      <c r="AY1372" s="28"/>
      <c r="BA1372" s="28"/>
      <c r="BB1372" s="28"/>
      <c r="BF1372" s="28"/>
      <c r="BH1372" s="28"/>
      <c r="BI1372" s="28"/>
      <c r="BJ1372" s="38"/>
      <c r="BK1372" s="28"/>
    </row>
    <row r="1373" customFormat="false" ht="15.75" hidden="false" customHeight="false" outlineLevel="0" collapsed="false">
      <c r="A1373" s="28"/>
      <c r="B1373" s="28"/>
      <c r="C1373" s="28"/>
      <c r="D1373" s="5"/>
      <c r="E1373" s="38"/>
      <c r="F1373" s="28"/>
      <c r="G1373" s="28"/>
      <c r="H1373" s="38"/>
      <c r="I1373" s="28"/>
      <c r="J1373" s="40"/>
      <c r="K1373" s="40"/>
      <c r="L1373" s="5"/>
      <c r="M1373" s="5"/>
      <c r="N1373" s="28"/>
      <c r="O1373" s="28"/>
      <c r="P1373" s="28"/>
      <c r="Q1373" s="28"/>
      <c r="R1373" s="28"/>
      <c r="S1373" s="28"/>
      <c r="T1373" s="28"/>
      <c r="V1373" s="28"/>
      <c r="W1373" s="5"/>
      <c r="X1373" s="5"/>
      <c r="Z1373" s="28"/>
      <c r="AA1373" s="28"/>
      <c r="AB1373" s="28"/>
      <c r="AC1373" s="28"/>
      <c r="AD1373" s="28"/>
      <c r="AE1373" s="28"/>
      <c r="AF1373" s="28"/>
      <c r="AG1373" s="28"/>
      <c r="AH1373" s="28"/>
      <c r="AI1373" s="28"/>
      <c r="AJ1373" s="28"/>
      <c r="AK1373" s="28"/>
      <c r="AL1373" s="28"/>
      <c r="AM1373" s="28"/>
      <c r="AN1373" s="28"/>
      <c r="AO1373" s="28"/>
      <c r="AP1373" s="28"/>
      <c r="AQ1373" s="28"/>
      <c r="AR1373" s="28"/>
      <c r="AS1373" s="28"/>
      <c r="AT1373" s="5"/>
      <c r="AU1373" s="28"/>
      <c r="AV1373" s="28"/>
      <c r="AX1373" s="28"/>
      <c r="AY1373" s="28"/>
      <c r="BA1373" s="28"/>
      <c r="BB1373" s="28"/>
      <c r="BF1373" s="28"/>
      <c r="BH1373" s="28"/>
      <c r="BI1373" s="28"/>
      <c r="BJ1373" s="38"/>
      <c r="BK1373" s="28"/>
    </row>
    <row r="1374" customFormat="false" ht="15.75" hidden="false" customHeight="false" outlineLevel="0" collapsed="false">
      <c r="A1374" s="28"/>
      <c r="B1374" s="28"/>
      <c r="C1374" s="28"/>
      <c r="D1374" s="5"/>
      <c r="E1374" s="38"/>
      <c r="F1374" s="28"/>
      <c r="G1374" s="28"/>
      <c r="H1374" s="38"/>
      <c r="I1374" s="28"/>
      <c r="J1374" s="40"/>
      <c r="K1374" s="40"/>
      <c r="L1374" s="5"/>
      <c r="M1374" s="5"/>
      <c r="N1374" s="28"/>
      <c r="O1374" s="28"/>
      <c r="P1374" s="28"/>
      <c r="Q1374" s="28"/>
      <c r="R1374" s="28"/>
      <c r="S1374" s="28"/>
      <c r="T1374" s="28"/>
      <c r="V1374" s="28"/>
      <c r="W1374" s="5"/>
      <c r="X1374" s="5"/>
      <c r="Z1374" s="28"/>
      <c r="AA1374" s="28"/>
      <c r="AB1374" s="28"/>
      <c r="AC1374" s="28"/>
      <c r="AD1374" s="28"/>
      <c r="AE1374" s="28"/>
      <c r="AF1374" s="28"/>
      <c r="AG1374" s="28"/>
      <c r="AH1374" s="28"/>
      <c r="AI1374" s="28"/>
      <c r="AJ1374" s="28"/>
      <c r="AK1374" s="28"/>
      <c r="AL1374" s="28"/>
      <c r="AM1374" s="28"/>
      <c r="AN1374" s="28"/>
      <c r="AO1374" s="28"/>
      <c r="AP1374" s="28"/>
      <c r="AQ1374" s="28"/>
      <c r="AR1374" s="28"/>
      <c r="AS1374" s="28"/>
      <c r="AT1374" s="5"/>
      <c r="AU1374" s="28"/>
      <c r="AV1374" s="28"/>
      <c r="AX1374" s="28"/>
      <c r="AY1374" s="28"/>
      <c r="BA1374" s="28"/>
      <c r="BB1374" s="28"/>
      <c r="BF1374" s="28"/>
      <c r="BH1374" s="28"/>
      <c r="BI1374" s="28"/>
      <c r="BJ1374" s="38"/>
      <c r="BK1374" s="28"/>
    </row>
    <row r="1375" customFormat="false" ht="15.75" hidden="false" customHeight="false" outlineLevel="0" collapsed="false">
      <c r="A1375" s="28"/>
      <c r="B1375" s="28"/>
      <c r="C1375" s="28"/>
      <c r="D1375" s="5"/>
      <c r="E1375" s="38"/>
      <c r="F1375" s="28"/>
      <c r="G1375" s="28"/>
      <c r="H1375" s="38"/>
      <c r="I1375" s="28"/>
      <c r="J1375" s="40"/>
      <c r="K1375" s="40"/>
      <c r="L1375" s="5"/>
      <c r="M1375" s="5"/>
      <c r="N1375" s="28"/>
      <c r="O1375" s="28"/>
      <c r="P1375" s="28"/>
      <c r="Q1375" s="28"/>
      <c r="R1375" s="28"/>
      <c r="S1375" s="28"/>
      <c r="T1375" s="28"/>
      <c r="V1375" s="28"/>
      <c r="W1375" s="5"/>
      <c r="X1375" s="5"/>
      <c r="Z1375" s="28"/>
      <c r="AA1375" s="28"/>
      <c r="AB1375" s="28"/>
      <c r="AC1375" s="28"/>
      <c r="AD1375" s="28"/>
      <c r="AE1375" s="28"/>
      <c r="AF1375" s="28"/>
      <c r="AG1375" s="28"/>
      <c r="AH1375" s="28"/>
      <c r="AI1375" s="28"/>
      <c r="AJ1375" s="28"/>
      <c r="AK1375" s="28"/>
      <c r="AL1375" s="28"/>
      <c r="AM1375" s="28"/>
      <c r="AN1375" s="28"/>
      <c r="AO1375" s="28"/>
      <c r="AP1375" s="28"/>
      <c r="AQ1375" s="28"/>
      <c r="AR1375" s="28"/>
      <c r="AS1375" s="28"/>
      <c r="AT1375" s="5"/>
      <c r="AU1375" s="28"/>
      <c r="AV1375" s="28"/>
      <c r="AX1375" s="28"/>
      <c r="AY1375" s="28"/>
      <c r="BA1375" s="28"/>
      <c r="BB1375" s="28"/>
      <c r="BF1375" s="28"/>
      <c r="BH1375" s="28"/>
      <c r="BI1375" s="28"/>
      <c r="BJ1375" s="38"/>
      <c r="BK1375" s="28"/>
    </row>
    <row r="1376" customFormat="false" ht="15.75" hidden="false" customHeight="false" outlineLevel="0" collapsed="false">
      <c r="A1376" s="28"/>
      <c r="B1376" s="28"/>
      <c r="C1376" s="28"/>
      <c r="D1376" s="5"/>
      <c r="E1376" s="38"/>
      <c r="F1376" s="28"/>
      <c r="G1376" s="28"/>
      <c r="H1376" s="38"/>
      <c r="I1376" s="28"/>
      <c r="J1376" s="40"/>
      <c r="K1376" s="40"/>
      <c r="L1376" s="5"/>
      <c r="M1376" s="5"/>
      <c r="N1376" s="28"/>
      <c r="O1376" s="28"/>
      <c r="P1376" s="28"/>
      <c r="Q1376" s="28"/>
      <c r="R1376" s="28"/>
      <c r="S1376" s="28"/>
      <c r="T1376" s="28"/>
      <c r="V1376" s="28"/>
      <c r="W1376" s="5"/>
      <c r="X1376" s="5"/>
      <c r="Z1376" s="28"/>
      <c r="AA1376" s="28"/>
      <c r="AB1376" s="28"/>
      <c r="AC1376" s="28"/>
      <c r="AD1376" s="28"/>
      <c r="AE1376" s="28"/>
      <c r="AF1376" s="28"/>
      <c r="AG1376" s="28"/>
      <c r="AH1376" s="28"/>
      <c r="AI1376" s="28"/>
      <c r="AJ1376" s="28"/>
      <c r="AK1376" s="28"/>
      <c r="AL1376" s="28"/>
      <c r="AM1376" s="28"/>
      <c r="AN1376" s="28"/>
      <c r="AO1376" s="28"/>
      <c r="AP1376" s="28"/>
      <c r="AQ1376" s="28"/>
      <c r="AR1376" s="28"/>
      <c r="AS1376" s="28"/>
      <c r="AT1376" s="5"/>
      <c r="AU1376" s="28"/>
      <c r="AV1376" s="28"/>
      <c r="AX1376" s="28"/>
      <c r="AY1376" s="28"/>
      <c r="BA1376" s="28"/>
      <c r="BB1376" s="28"/>
      <c r="BF1376" s="28"/>
      <c r="BH1376" s="28"/>
      <c r="BI1376" s="28"/>
      <c r="BJ1376" s="38"/>
      <c r="BK1376" s="28"/>
    </row>
    <row r="1377" customFormat="false" ht="15.75" hidden="false" customHeight="false" outlineLevel="0" collapsed="false">
      <c r="A1377" s="28"/>
      <c r="B1377" s="28"/>
      <c r="C1377" s="28"/>
      <c r="D1377" s="5"/>
      <c r="E1377" s="38"/>
      <c r="F1377" s="28"/>
      <c r="G1377" s="28"/>
      <c r="H1377" s="38"/>
      <c r="I1377" s="28"/>
      <c r="J1377" s="40"/>
      <c r="K1377" s="40"/>
      <c r="L1377" s="5"/>
      <c r="M1377" s="5"/>
      <c r="N1377" s="28"/>
      <c r="O1377" s="28"/>
      <c r="P1377" s="28"/>
      <c r="Q1377" s="28"/>
      <c r="R1377" s="28"/>
      <c r="S1377" s="28"/>
      <c r="T1377" s="28"/>
      <c r="V1377" s="28"/>
      <c r="W1377" s="5"/>
      <c r="X1377" s="5"/>
      <c r="Z1377" s="28"/>
      <c r="AA1377" s="28"/>
      <c r="AB1377" s="28"/>
      <c r="AC1377" s="28"/>
      <c r="AD1377" s="28"/>
      <c r="AE1377" s="28"/>
      <c r="AF1377" s="28"/>
      <c r="AG1377" s="28"/>
      <c r="AH1377" s="28"/>
      <c r="AI1377" s="28"/>
      <c r="AJ1377" s="28"/>
      <c r="AK1377" s="28"/>
      <c r="AL1377" s="28"/>
      <c r="AM1377" s="28"/>
      <c r="AN1377" s="28"/>
      <c r="AO1377" s="28"/>
      <c r="AP1377" s="28"/>
      <c r="AQ1377" s="28"/>
      <c r="AR1377" s="28"/>
      <c r="AS1377" s="28"/>
      <c r="AT1377" s="5"/>
      <c r="AU1377" s="28"/>
      <c r="AV1377" s="28"/>
      <c r="AX1377" s="28"/>
      <c r="AY1377" s="28"/>
      <c r="BA1377" s="28"/>
      <c r="BB1377" s="28"/>
      <c r="BF1377" s="28"/>
      <c r="BH1377" s="28"/>
      <c r="BI1377" s="28"/>
      <c r="BJ1377" s="38"/>
      <c r="BK1377" s="28"/>
    </row>
    <row r="1378" customFormat="false" ht="15.75" hidden="false" customHeight="false" outlineLevel="0" collapsed="false">
      <c r="A1378" s="28"/>
      <c r="B1378" s="28"/>
      <c r="C1378" s="28"/>
      <c r="D1378" s="5"/>
      <c r="E1378" s="38"/>
      <c r="F1378" s="28"/>
      <c r="G1378" s="28"/>
      <c r="H1378" s="38"/>
      <c r="I1378" s="28"/>
      <c r="J1378" s="40"/>
      <c r="K1378" s="40"/>
      <c r="L1378" s="5"/>
      <c r="M1378" s="5"/>
      <c r="N1378" s="28"/>
      <c r="O1378" s="28"/>
      <c r="P1378" s="28"/>
      <c r="Q1378" s="28"/>
      <c r="R1378" s="28"/>
      <c r="S1378" s="28"/>
      <c r="T1378" s="28"/>
      <c r="V1378" s="28"/>
      <c r="W1378" s="5"/>
      <c r="X1378" s="5"/>
      <c r="Z1378" s="28"/>
      <c r="AA1378" s="28"/>
      <c r="AB1378" s="28"/>
      <c r="AC1378" s="28"/>
      <c r="AD1378" s="28"/>
      <c r="AE1378" s="28"/>
      <c r="AF1378" s="28"/>
      <c r="AG1378" s="28"/>
      <c r="AH1378" s="28"/>
      <c r="AI1378" s="28"/>
      <c r="AJ1378" s="28"/>
      <c r="AK1378" s="28"/>
      <c r="AL1378" s="28"/>
      <c r="AM1378" s="28"/>
      <c r="AN1378" s="28"/>
      <c r="AO1378" s="28"/>
      <c r="AP1378" s="28"/>
      <c r="AQ1378" s="28"/>
      <c r="AR1378" s="28"/>
      <c r="AS1378" s="28"/>
      <c r="AT1378" s="5"/>
      <c r="AU1378" s="28"/>
      <c r="AV1378" s="28"/>
      <c r="AX1378" s="28"/>
      <c r="AY1378" s="28"/>
      <c r="BA1378" s="28"/>
      <c r="BB1378" s="28"/>
      <c r="BF1378" s="28"/>
      <c r="BH1378" s="28"/>
      <c r="BI1378" s="28"/>
      <c r="BJ1378" s="38"/>
      <c r="BK1378" s="28"/>
    </row>
    <row r="1379" customFormat="false" ht="15.75" hidden="false" customHeight="false" outlineLevel="0" collapsed="false">
      <c r="A1379" s="28"/>
      <c r="B1379" s="28"/>
      <c r="C1379" s="28"/>
      <c r="D1379" s="5"/>
      <c r="E1379" s="38"/>
      <c r="F1379" s="28"/>
      <c r="G1379" s="28"/>
      <c r="H1379" s="38"/>
      <c r="I1379" s="28"/>
      <c r="J1379" s="40"/>
      <c r="K1379" s="40"/>
      <c r="L1379" s="5"/>
      <c r="M1379" s="5"/>
      <c r="N1379" s="28"/>
      <c r="O1379" s="28"/>
      <c r="P1379" s="28"/>
      <c r="Q1379" s="28"/>
      <c r="R1379" s="28"/>
      <c r="S1379" s="28"/>
      <c r="T1379" s="28"/>
      <c r="V1379" s="28"/>
      <c r="W1379" s="5"/>
      <c r="X1379" s="5"/>
      <c r="Z1379" s="28"/>
      <c r="AA1379" s="28"/>
      <c r="AB1379" s="28"/>
      <c r="AC1379" s="28"/>
      <c r="AD1379" s="28"/>
      <c r="AE1379" s="28"/>
      <c r="AF1379" s="28"/>
      <c r="AG1379" s="28"/>
      <c r="AH1379" s="28"/>
      <c r="AI1379" s="28"/>
      <c r="AJ1379" s="28"/>
      <c r="AK1379" s="28"/>
      <c r="AL1379" s="28"/>
      <c r="AM1379" s="28"/>
      <c r="AN1379" s="28"/>
      <c r="AO1379" s="28"/>
      <c r="AP1379" s="28"/>
      <c r="AQ1379" s="28"/>
      <c r="AR1379" s="28"/>
      <c r="AS1379" s="28"/>
      <c r="AT1379" s="5"/>
      <c r="AU1379" s="28"/>
      <c r="AV1379" s="28"/>
      <c r="AX1379" s="28"/>
      <c r="AY1379" s="28"/>
      <c r="BA1379" s="28"/>
      <c r="BB1379" s="28"/>
      <c r="BF1379" s="28"/>
      <c r="BH1379" s="28"/>
      <c r="BI1379" s="28"/>
      <c r="BJ1379" s="38"/>
      <c r="BK1379" s="28"/>
    </row>
    <row r="1380" customFormat="false" ht="15.75" hidden="false" customHeight="false" outlineLevel="0" collapsed="false">
      <c r="A1380" s="28"/>
      <c r="B1380" s="28"/>
      <c r="C1380" s="28"/>
      <c r="D1380" s="5"/>
      <c r="E1380" s="38"/>
      <c r="F1380" s="28"/>
      <c r="G1380" s="28"/>
      <c r="H1380" s="38"/>
      <c r="I1380" s="28"/>
      <c r="J1380" s="40"/>
      <c r="K1380" s="40"/>
      <c r="L1380" s="5"/>
      <c r="M1380" s="5"/>
      <c r="N1380" s="28"/>
      <c r="O1380" s="28"/>
      <c r="P1380" s="28"/>
      <c r="Q1380" s="28"/>
      <c r="R1380" s="28"/>
      <c r="S1380" s="28"/>
      <c r="T1380" s="28"/>
      <c r="V1380" s="28"/>
      <c r="W1380" s="5"/>
      <c r="X1380" s="5"/>
      <c r="Z1380" s="28"/>
      <c r="AA1380" s="28"/>
      <c r="AB1380" s="28"/>
      <c r="AC1380" s="28"/>
      <c r="AD1380" s="28"/>
      <c r="AE1380" s="28"/>
      <c r="AF1380" s="28"/>
      <c r="AG1380" s="28"/>
      <c r="AH1380" s="28"/>
      <c r="AI1380" s="28"/>
      <c r="AJ1380" s="28"/>
      <c r="AK1380" s="28"/>
      <c r="AL1380" s="28"/>
      <c r="AM1380" s="28"/>
      <c r="AN1380" s="28"/>
      <c r="AO1380" s="28"/>
      <c r="AP1380" s="28"/>
      <c r="AQ1380" s="28"/>
      <c r="AR1380" s="28"/>
      <c r="AS1380" s="28"/>
      <c r="AT1380" s="5"/>
      <c r="AU1380" s="28"/>
      <c r="AV1380" s="28"/>
      <c r="AX1380" s="28"/>
      <c r="AY1380" s="28"/>
      <c r="BA1380" s="28"/>
      <c r="BB1380" s="28"/>
      <c r="BF1380" s="28"/>
      <c r="BH1380" s="28"/>
      <c r="BI1380" s="28"/>
      <c r="BJ1380" s="38"/>
      <c r="BK1380" s="28"/>
    </row>
    <row r="1381" customFormat="false" ht="15.75" hidden="false" customHeight="false" outlineLevel="0" collapsed="false">
      <c r="A1381" s="28"/>
      <c r="B1381" s="28"/>
      <c r="C1381" s="28"/>
      <c r="D1381" s="5"/>
      <c r="E1381" s="38"/>
      <c r="F1381" s="28"/>
      <c r="G1381" s="28"/>
      <c r="H1381" s="38"/>
      <c r="I1381" s="28"/>
      <c r="J1381" s="40"/>
      <c r="K1381" s="40"/>
      <c r="L1381" s="5"/>
      <c r="M1381" s="5"/>
      <c r="N1381" s="28"/>
      <c r="O1381" s="28"/>
      <c r="P1381" s="28"/>
      <c r="Q1381" s="28"/>
      <c r="R1381" s="28"/>
      <c r="S1381" s="28"/>
      <c r="T1381" s="28"/>
      <c r="V1381" s="28"/>
      <c r="W1381" s="5"/>
      <c r="X1381" s="5"/>
      <c r="Z1381" s="28"/>
      <c r="AA1381" s="28"/>
      <c r="AB1381" s="28"/>
      <c r="AC1381" s="28"/>
      <c r="AD1381" s="28"/>
      <c r="AE1381" s="28"/>
      <c r="AF1381" s="28"/>
      <c r="AG1381" s="28"/>
      <c r="AH1381" s="28"/>
      <c r="AI1381" s="28"/>
      <c r="AJ1381" s="28"/>
      <c r="AK1381" s="28"/>
      <c r="AL1381" s="28"/>
      <c r="AM1381" s="28"/>
      <c r="AN1381" s="28"/>
      <c r="AO1381" s="28"/>
      <c r="AP1381" s="28"/>
      <c r="AQ1381" s="28"/>
      <c r="AR1381" s="28"/>
      <c r="AS1381" s="28"/>
      <c r="AT1381" s="5"/>
      <c r="AU1381" s="28"/>
      <c r="AV1381" s="28"/>
      <c r="AX1381" s="28"/>
      <c r="AY1381" s="28"/>
      <c r="BA1381" s="28"/>
      <c r="BB1381" s="28"/>
      <c r="BF1381" s="28"/>
      <c r="BH1381" s="28"/>
      <c r="BI1381" s="28"/>
      <c r="BJ1381" s="38"/>
      <c r="BK1381" s="28"/>
    </row>
    <row r="1382" customFormat="false" ht="15.75" hidden="false" customHeight="false" outlineLevel="0" collapsed="false">
      <c r="A1382" s="28"/>
      <c r="B1382" s="28"/>
      <c r="C1382" s="28"/>
      <c r="D1382" s="5"/>
      <c r="E1382" s="38"/>
      <c r="F1382" s="28"/>
      <c r="G1382" s="28"/>
      <c r="H1382" s="38"/>
      <c r="I1382" s="28"/>
      <c r="J1382" s="40"/>
      <c r="K1382" s="40"/>
      <c r="L1382" s="5"/>
      <c r="M1382" s="5"/>
      <c r="N1382" s="28"/>
      <c r="O1382" s="28"/>
      <c r="P1382" s="28"/>
      <c r="Q1382" s="28"/>
      <c r="R1382" s="28"/>
      <c r="S1382" s="28"/>
      <c r="T1382" s="28"/>
      <c r="V1382" s="28"/>
      <c r="W1382" s="5"/>
      <c r="X1382" s="5"/>
      <c r="Z1382" s="28"/>
      <c r="AA1382" s="28"/>
      <c r="AB1382" s="28"/>
      <c r="AC1382" s="28"/>
      <c r="AD1382" s="28"/>
      <c r="AE1382" s="28"/>
      <c r="AF1382" s="28"/>
      <c r="AG1382" s="28"/>
      <c r="AH1382" s="28"/>
      <c r="AI1382" s="28"/>
      <c r="AJ1382" s="28"/>
      <c r="AK1382" s="28"/>
      <c r="AL1382" s="28"/>
      <c r="AM1382" s="28"/>
      <c r="AN1382" s="28"/>
      <c r="AO1382" s="28"/>
      <c r="AP1382" s="28"/>
      <c r="AQ1382" s="28"/>
      <c r="AR1382" s="28"/>
      <c r="AS1382" s="28"/>
      <c r="AT1382" s="5"/>
      <c r="AU1382" s="28"/>
      <c r="AV1382" s="28"/>
      <c r="AX1382" s="28"/>
      <c r="AY1382" s="28"/>
      <c r="BA1382" s="28"/>
      <c r="BB1382" s="28"/>
      <c r="BF1382" s="28"/>
      <c r="BH1382" s="28"/>
      <c r="BI1382" s="28"/>
      <c r="BJ1382" s="38"/>
      <c r="BK1382" s="28"/>
    </row>
    <row r="1383" customFormat="false" ht="15.75" hidden="false" customHeight="false" outlineLevel="0" collapsed="false">
      <c r="A1383" s="28"/>
      <c r="B1383" s="28"/>
      <c r="C1383" s="28"/>
      <c r="D1383" s="5"/>
      <c r="E1383" s="38"/>
      <c r="F1383" s="28"/>
      <c r="G1383" s="28"/>
      <c r="H1383" s="38"/>
      <c r="I1383" s="28"/>
      <c r="J1383" s="40"/>
      <c r="K1383" s="40"/>
      <c r="L1383" s="5"/>
      <c r="M1383" s="5"/>
      <c r="N1383" s="28"/>
      <c r="O1383" s="28"/>
      <c r="P1383" s="28"/>
      <c r="Q1383" s="28"/>
      <c r="R1383" s="28"/>
      <c r="S1383" s="28"/>
      <c r="T1383" s="28"/>
      <c r="V1383" s="28"/>
      <c r="W1383" s="5"/>
      <c r="X1383" s="5"/>
      <c r="Z1383" s="28"/>
      <c r="AA1383" s="28"/>
      <c r="AB1383" s="28"/>
      <c r="AC1383" s="28"/>
      <c r="AD1383" s="28"/>
      <c r="AE1383" s="28"/>
      <c r="AF1383" s="28"/>
      <c r="AG1383" s="28"/>
      <c r="AH1383" s="28"/>
      <c r="AI1383" s="28"/>
      <c r="AJ1383" s="28"/>
      <c r="AK1383" s="28"/>
      <c r="AL1383" s="28"/>
      <c r="AM1383" s="28"/>
      <c r="AN1383" s="28"/>
      <c r="AO1383" s="28"/>
      <c r="AP1383" s="28"/>
      <c r="AQ1383" s="28"/>
      <c r="AR1383" s="28"/>
      <c r="AS1383" s="28"/>
      <c r="AT1383" s="5"/>
      <c r="AU1383" s="28"/>
      <c r="AV1383" s="28"/>
      <c r="AX1383" s="28"/>
      <c r="AY1383" s="28"/>
      <c r="BA1383" s="28"/>
      <c r="BB1383" s="28"/>
      <c r="BF1383" s="28"/>
      <c r="BH1383" s="28"/>
      <c r="BI1383" s="28"/>
      <c r="BJ1383" s="38"/>
      <c r="BK1383" s="28"/>
    </row>
    <row r="1384" customFormat="false" ht="15.75" hidden="false" customHeight="false" outlineLevel="0" collapsed="false">
      <c r="A1384" s="28"/>
      <c r="B1384" s="28"/>
      <c r="C1384" s="28"/>
      <c r="D1384" s="5"/>
      <c r="E1384" s="38"/>
      <c r="F1384" s="28"/>
      <c r="G1384" s="28"/>
      <c r="H1384" s="38"/>
      <c r="I1384" s="28"/>
      <c r="J1384" s="40"/>
      <c r="K1384" s="40"/>
      <c r="L1384" s="5"/>
      <c r="M1384" s="5"/>
      <c r="N1384" s="28"/>
      <c r="O1384" s="28"/>
      <c r="P1384" s="28"/>
      <c r="Q1384" s="28"/>
      <c r="R1384" s="28"/>
      <c r="S1384" s="28"/>
      <c r="T1384" s="28"/>
      <c r="V1384" s="28"/>
      <c r="W1384" s="5"/>
      <c r="X1384" s="5"/>
      <c r="Z1384" s="28"/>
      <c r="AA1384" s="28"/>
      <c r="AB1384" s="28"/>
      <c r="AC1384" s="28"/>
      <c r="AD1384" s="28"/>
      <c r="AE1384" s="28"/>
      <c r="AF1384" s="28"/>
      <c r="AG1384" s="28"/>
      <c r="AH1384" s="28"/>
      <c r="AI1384" s="28"/>
      <c r="AJ1384" s="28"/>
      <c r="AK1384" s="28"/>
      <c r="AL1384" s="28"/>
      <c r="AM1384" s="28"/>
      <c r="AN1384" s="28"/>
      <c r="AO1384" s="28"/>
      <c r="AP1384" s="28"/>
      <c r="AQ1384" s="28"/>
      <c r="AR1384" s="28"/>
      <c r="AS1384" s="28"/>
      <c r="AT1384" s="5"/>
      <c r="AU1384" s="28"/>
      <c r="AV1384" s="28"/>
      <c r="AX1384" s="28"/>
      <c r="AY1384" s="28"/>
      <c r="BA1384" s="28"/>
      <c r="BB1384" s="28"/>
      <c r="BF1384" s="28"/>
      <c r="BH1384" s="28"/>
      <c r="BI1384" s="28"/>
      <c r="BJ1384" s="38"/>
      <c r="BK1384" s="28"/>
    </row>
    <row r="1385" customFormat="false" ht="15.75" hidden="false" customHeight="false" outlineLevel="0" collapsed="false">
      <c r="A1385" s="28"/>
      <c r="B1385" s="28"/>
      <c r="C1385" s="28"/>
      <c r="D1385" s="5"/>
      <c r="E1385" s="38"/>
      <c r="F1385" s="28"/>
      <c r="G1385" s="28"/>
      <c r="H1385" s="38"/>
      <c r="I1385" s="28"/>
      <c r="J1385" s="40"/>
      <c r="K1385" s="40"/>
      <c r="L1385" s="5"/>
      <c r="M1385" s="5"/>
      <c r="N1385" s="28"/>
      <c r="O1385" s="28"/>
      <c r="P1385" s="28"/>
      <c r="Q1385" s="28"/>
      <c r="R1385" s="28"/>
      <c r="S1385" s="28"/>
      <c r="T1385" s="28"/>
      <c r="V1385" s="28"/>
      <c r="W1385" s="5"/>
      <c r="X1385" s="5"/>
      <c r="Z1385" s="28"/>
      <c r="AA1385" s="28"/>
      <c r="AB1385" s="28"/>
      <c r="AC1385" s="28"/>
      <c r="AD1385" s="28"/>
      <c r="AE1385" s="28"/>
      <c r="AF1385" s="28"/>
      <c r="AG1385" s="28"/>
      <c r="AH1385" s="28"/>
      <c r="AI1385" s="28"/>
      <c r="AJ1385" s="28"/>
      <c r="AK1385" s="28"/>
      <c r="AL1385" s="28"/>
      <c r="AM1385" s="28"/>
      <c r="AN1385" s="28"/>
      <c r="AO1385" s="28"/>
      <c r="AP1385" s="28"/>
      <c r="AQ1385" s="28"/>
      <c r="AR1385" s="28"/>
      <c r="AS1385" s="28"/>
      <c r="AT1385" s="5"/>
      <c r="AU1385" s="28"/>
      <c r="AV1385" s="28"/>
      <c r="AX1385" s="28"/>
      <c r="AY1385" s="28"/>
      <c r="BA1385" s="28"/>
      <c r="BB1385" s="28"/>
      <c r="BF1385" s="28"/>
      <c r="BH1385" s="28"/>
      <c r="BI1385" s="28"/>
      <c r="BJ1385" s="38"/>
      <c r="BK1385" s="28"/>
    </row>
    <row r="1386" customFormat="false" ht="15.75" hidden="false" customHeight="false" outlineLevel="0" collapsed="false">
      <c r="A1386" s="28"/>
      <c r="B1386" s="28"/>
      <c r="C1386" s="28"/>
      <c r="D1386" s="5"/>
      <c r="E1386" s="38"/>
      <c r="F1386" s="28"/>
      <c r="G1386" s="28"/>
      <c r="H1386" s="38"/>
      <c r="I1386" s="28"/>
      <c r="J1386" s="40"/>
      <c r="K1386" s="40"/>
      <c r="L1386" s="5"/>
      <c r="M1386" s="5"/>
      <c r="N1386" s="28"/>
      <c r="O1386" s="28"/>
      <c r="P1386" s="28"/>
      <c r="Q1386" s="28"/>
      <c r="R1386" s="28"/>
      <c r="S1386" s="28"/>
      <c r="T1386" s="28"/>
      <c r="V1386" s="28"/>
      <c r="W1386" s="5"/>
      <c r="X1386" s="5"/>
      <c r="Z1386" s="28"/>
      <c r="AA1386" s="28"/>
      <c r="AB1386" s="28"/>
      <c r="AC1386" s="28"/>
      <c r="AD1386" s="28"/>
      <c r="AE1386" s="28"/>
      <c r="AF1386" s="28"/>
      <c r="AG1386" s="28"/>
      <c r="AH1386" s="28"/>
      <c r="AI1386" s="28"/>
      <c r="AJ1386" s="28"/>
      <c r="AK1386" s="28"/>
      <c r="AL1386" s="28"/>
      <c r="AM1386" s="28"/>
      <c r="AN1386" s="28"/>
      <c r="AO1386" s="28"/>
      <c r="AP1386" s="28"/>
      <c r="AQ1386" s="28"/>
      <c r="AR1386" s="28"/>
      <c r="AS1386" s="28"/>
      <c r="AT1386" s="5"/>
      <c r="AU1386" s="28"/>
      <c r="AV1386" s="28"/>
      <c r="AX1386" s="28"/>
      <c r="AY1386" s="28"/>
      <c r="BA1386" s="28"/>
      <c r="BB1386" s="28"/>
      <c r="BF1386" s="28"/>
      <c r="BH1386" s="28"/>
      <c r="BI1386" s="28"/>
      <c r="BJ1386" s="38"/>
      <c r="BK1386" s="28"/>
    </row>
    <row r="1387" customFormat="false" ht="15.75" hidden="false" customHeight="false" outlineLevel="0" collapsed="false">
      <c r="A1387" s="28"/>
      <c r="B1387" s="28"/>
      <c r="C1387" s="28"/>
      <c r="D1387" s="5"/>
      <c r="E1387" s="38"/>
      <c r="F1387" s="28"/>
      <c r="G1387" s="28"/>
      <c r="H1387" s="38"/>
      <c r="I1387" s="28"/>
      <c r="J1387" s="40"/>
      <c r="K1387" s="40"/>
      <c r="L1387" s="5"/>
      <c r="M1387" s="5"/>
      <c r="N1387" s="28"/>
      <c r="O1387" s="28"/>
      <c r="P1387" s="28"/>
      <c r="Q1387" s="28"/>
      <c r="R1387" s="28"/>
      <c r="S1387" s="28"/>
      <c r="T1387" s="28"/>
      <c r="V1387" s="28"/>
      <c r="W1387" s="5"/>
      <c r="X1387" s="5"/>
      <c r="Z1387" s="28"/>
      <c r="AA1387" s="28"/>
      <c r="AB1387" s="28"/>
      <c r="AC1387" s="28"/>
      <c r="AD1387" s="28"/>
      <c r="AE1387" s="28"/>
      <c r="AF1387" s="28"/>
      <c r="AG1387" s="28"/>
      <c r="AH1387" s="28"/>
      <c r="AI1387" s="28"/>
      <c r="AJ1387" s="28"/>
      <c r="AK1387" s="28"/>
      <c r="AL1387" s="28"/>
      <c r="AM1387" s="28"/>
      <c r="AN1387" s="28"/>
      <c r="AO1387" s="28"/>
      <c r="AP1387" s="28"/>
      <c r="AQ1387" s="28"/>
      <c r="AR1387" s="28"/>
      <c r="AS1387" s="28"/>
      <c r="AT1387" s="5"/>
      <c r="AU1387" s="28"/>
      <c r="AV1387" s="28"/>
      <c r="AX1387" s="28"/>
      <c r="AY1387" s="28"/>
      <c r="BA1387" s="28"/>
      <c r="BB1387" s="28"/>
      <c r="BF1387" s="28"/>
      <c r="BH1387" s="28"/>
      <c r="BI1387" s="28"/>
      <c r="BJ1387" s="38"/>
      <c r="BK1387" s="28"/>
    </row>
    <row r="1388" customFormat="false" ht="15.75" hidden="false" customHeight="false" outlineLevel="0" collapsed="false">
      <c r="A1388" s="28"/>
      <c r="B1388" s="28"/>
      <c r="C1388" s="28"/>
      <c r="D1388" s="5"/>
      <c r="E1388" s="38"/>
      <c r="F1388" s="28"/>
      <c r="G1388" s="28"/>
      <c r="H1388" s="38"/>
      <c r="I1388" s="28"/>
      <c r="J1388" s="40"/>
      <c r="K1388" s="40"/>
      <c r="L1388" s="5"/>
      <c r="M1388" s="5"/>
      <c r="N1388" s="28"/>
      <c r="O1388" s="28"/>
      <c r="P1388" s="28"/>
      <c r="Q1388" s="28"/>
      <c r="R1388" s="28"/>
      <c r="S1388" s="28"/>
      <c r="T1388" s="28"/>
      <c r="V1388" s="28"/>
      <c r="W1388" s="5"/>
      <c r="X1388" s="5"/>
      <c r="Z1388" s="28"/>
      <c r="AA1388" s="28"/>
      <c r="AB1388" s="28"/>
      <c r="AC1388" s="28"/>
      <c r="AD1388" s="28"/>
      <c r="AE1388" s="28"/>
      <c r="AF1388" s="28"/>
      <c r="AG1388" s="28"/>
      <c r="AH1388" s="28"/>
      <c r="AI1388" s="28"/>
      <c r="AJ1388" s="28"/>
      <c r="AK1388" s="28"/>
      <c r="AL1388" s="28"/>
      <c r="AM1388" s="28"/>
      <c r="AN1388" s="28"/>
      <c r="AO1388" s="28"/>
      <c r="AP1388" s="28"/>
      <c r="AQ1388" s="28"/>
      <c r="AR1388" s="28"/>
      <c r="AS1388" s="28"/>
      <c r="AT1388" s="5"/>
      <c r="AU1388" s="28"/>
      <c r="AV1388" s="28"/>
      <c r="AX1388" s="28"/>
      <c r="AY1388" s="28"/>
      <c r="BA1388" s="28"/>
      <c r="BB1388" s="28"/>
      <c r="BF1388" s="28"/>
      <c r="BH1388" s="28"/>
      <c r="BI1388" s="28"/>
      <c r="BJ1388" s="38"/>
      <c r="BK1388" s="28"/>
    </row>
    <row r="1389" customFormat="false" ht="15.75" hidden="false" customHeight="false" outlineLevel="0" collapsed="false">
      <c r="A1389" s="28"/>
      <c r="B1389" s="28"/>
      <c r="C1389" s="28"/>
      <c r="D1389" s="5"/>
      <c r="E1389" s="38"/>
      <c r="F1389" s="28"/>
      <c r="G1389" s="28"/>
      <c r="H1389" s="38"/>
      <c r="I1389" s="28"/>
      <c r="J1389" s="40"/>
      <c r="K1389" s="40"/>
      <c r="L1389" s="5"/>
      <c r="M1389" s="5"/>
      <c r="N1389" s="28"/>
      <c r="O1389" s="28"/>
      <c r="P1389" s="28"/>
      <c r="Q1389" s="28"/>
      <c r="R1389" s="28"/>
      <c r="S1389" s="28"/>
      <c r="T1389" s="28"/>
      <c r="V1389" s="28"/>
      <c r="W1389" s="5"/>
      <c r="X1389" s="5"/>
      <c r="Z1389" s="28"/>
      <c r="AA1389" s="28"/>
      <c r="AB1389" s="28"/>
      <c r="AC1389" s="28"/>
      <c r="AD1389" s="28"/>
      <c r="AE1389" s="28"/>
      <c r="AF1389" s="28"/>
      <c r="AG1389" s="28"/>
      <c r="AH1389" s="28"/>
      <c r="AI1389" s="28"/>
      <c r="AJ1389" s="28"/>
      <c r="AK1389" s="28"/>
      <c r="AL1389" s="28"/>
      <c r="AM1389" s="28"/>
      <c r="AN1389" s="28"/>
      <c r="AO1389" s="28"/>
      <c r="AP1389" s="28"/>
      <c r="AQ1389" s="28"/>
      <c r="AR1389" s="28"/>
      <c r="AS1389" s="28"/>
      <c r="AT1389" s="5"/>
      <c r="AU1389" s="28"/>
      <c r="AV1389" s="28"/>
      <c r="AX1389" s="28"/>
      <c r="AY1389" s="28"/>
      <c r="BA1389" s="28"/>
      <c r="BB1389" s="28"/>
      <c r="BF1389" s="28"/>
      <c r="BH1389" s="28"/>
      <c r="BI1389" s="28"/>
      <c r="BJ1389" s="38"/>
      <c r="BK1389" s="28"/>
    </row>
    <row r="1390" customFormat="false" ht="15.75" hidden="false" customHeight="false" outlineLevel="0" collapsed="false">
      <c r="A1390" s="28"/>
      <c r="B1390" s="28"/>
      <c r="C1390" s="28"/>
      <c r="D1390" s="5"/>
      <c r="E1390" s="38"/>
      <c r="F1390" s="28"/>
      <c r="G1390" s="28"/>
      <c r="H1390" s="38"/>
      <c r="I1390" s="28"/>
      <c r="J1390" s="40"/>
      <c r="K1390" s="40"/>
      <c r="L1390" s="5"/>
      <c r="M1390" s="5"/>
      <c r="N1390" s="28"/>
      <c r="O1390" s="28"/>
      <c r="P1390" s="28"/>
      <c r="Q1390" s="28"/>
      <c r="R1390" s="28"/>
      <c r="S1390" s="28"/>
      <c r="T1390" s="28"/>
      <c r="V1390" s="28"/>
      <c r="W1390" s="5"/>
      <c r="X1390" s="5"/>
      <c r="Z1390" s="28"/>
      <c r="AA1390" s="28"/>
      <c r="AB1390" s="28"/>
      <c r="AC1390" s="28"/>
      <c r="AD1390" s="28"/>
      <c r="AE1390" s="28"/>
      <c r="AF1390" s="28"/>
      <c r="AG1390" s="28"/>
      <c r="AH1390" s="28"/>
      <c r="AI1390" s="28"/>
      <c r="AJ1390" s="28"/>
      <c r="AK1390" s="28"/>
      <c r="AL1390" s="28"/>
      <c r="AM1390" s="28"/>
      <c r="AN1390" s="28"/>
      <c r="AO1390" s="28"/>
      <c r="AP1390" s="28"/>
      <c r="AQ1390" s="28"/>
      <c r="AR1390" s="28"/>
      <c r="AS1390" s="28"/>
      <c r="AT1390" s="5"/>
      <c r="AU1390" s="28"/>
      <c r="AV1390" s="28"/>
      <c r="AX1390" s="28"/>
      <c r="AY1390" s="28"/>
      <c r="BA1390" s="28"/>
      <c r="BB1390" s="28"/>
      <c r="BF1390" s="28"/>
      <c r="BH1390" s="28"/>
      <c r="BI1390" s="28"/>
      <c r="BJ1390" s="38"/>
      <c r="BK1390" s="28"/>
    </row>
    <row r="1391" customFormat="false" ht="15.75" hidden="false" customHeight="false" outlineLevel="0" collapsed="false">
      <c r="A1391" s="28"/>
      <c r="B1391" s="28"/>
      <c r="C1391" s="28"/>
      <c r="D1391" s="5"/>
      <c r="E1391" s="38"/>
      <c r="F1391" s="28"/>
      <c r="G1391" s="28"/>
      <c r="H1391" s="38"/>
      <c r="I1391" s="28"/>
      <c r="J1391" s="40"/>
      <c r="K1391" s="40"/>
      <c r="L1391" s="5"/>
      <c r="M1391" s="5"/>
      <c r="N1391" s="28"/>
      <c r="O1391" s="28"/>
      <c r="P1391" s="28"/>
      <c r="Q1391" s="28"/>
      <c r="R1391" s="28"/>
      <c r="S1391" s="28"/>
      <c r="T1391" s="28"/>
      <c r="V1391" s="28"/>
      <c r="W1391" s="5"/>
      <c r="X1391" s="5"/>
      <c r="Z1391" s="28"/>
      <c r="AA1391" s="28"/>
      <c r="AB1391" s="28"/>
      <c r="AC1391" s="28"/>
      <c r="AD1391" s="28"/>
      <c r="AE1391" s="28"/>
      <c r="AF1391" s="28"/>
      <c r="AG1391" s="28"/>
      <c r="AH1391" s="28"/>
      <c r="AI1391" s="28"/>
      <c r="AJ1391" s="28"/>
      <c r="AK1391" s="28"/>
      <c r="AL1391" s="28"/>
      <c r="AM1391" s="28"/>
      <c r="AN1391" s="28"/>
      <c r="AO1391" s="28"/>
      <c r="AP1391" s="28"/>
      <c r="AQ1391" s="28"/>
      <c r="AR1391" s="28"/>
      <c r="AS1391" s="28"/>
      <c r="AT1391" s="5"/>
      <c r="AU1391" s="28"/>
      <c r="AV1391" s="28"/>
      <c r="AX1391" s="28"/>
      <c r="AY1391" s="28"/>
      <c r="BA1391" s="28"/>
      <c r="BB1391" s="28"/>
      <c r="BF1391" s="28"/>
      <c r="BH1391" s="28"/>
      <c r="BI1391" s="28"/>
      <c r="BJ1391" s="38"/>
      <c r="BK1391" s="28"/>
    </row>
    <row r="1392" customFormat="false" ht="15.75" hidden="false" customHeight="false" outlineLevel="0" collapsed="false">
      <c r="A1392" s="28"/>
      <c r="B1392" s="28"/>
      <c r="C1392" s="28"/>
      <c r="D1392" s="5"/>
      <c r="E1392" s="38"/>
      <c r="F1392" s="28"/>
      <c r="G1392" s="28"/>
      <c r="H1392" s="38"/>
      <c r="I1392" s="28"/>
      <c r="J1392" s="40"/>
      <c r="K1392" s="40"/>
      <c r="L1392" s="5"/>
      <c r="M1392" s="5"/>
      <c r="N1392" s="28"/>
      <c r="O1392" s="28"/>
      <c r="P1392" s="28"/>
      <c r="Q1392" s="28"/>
      <c r="R1392" s="28"/>
      <c r="S1392" s="28"/>
      <c r="T1392" s="28"/>
      <c r="V1392" s="28"/>
      <c r="W1392" s="5"/>
      <c r="X1392" s="5"/>
      <c r="Z1392" s="28"/>
      <c r="AA1392" s="28"/>
      <c r="AB1392" s="28"/>
      <c r="AC1392" s="28"/>
      <c r="AD1392" s="28"/>
      <c r="AE1392" s="28"/>
      <c r="AF1392" s="28"/>
      <c r="AG1392" s="28"/>
      <c r="AH1392" s="28"/>
      <c r="AI1392" s="28"/>
      <c r="AJ1392" s="28"/>
      <c r="AK1392" s="28"/>
      <c r="AL1392" s="28"/>
      <c r="AM1392" s="28"/>
      <c r="AN1392" s="28"/>
      <c r="AO1392" s="28"/>
      <c r="AP1392" s="28"/>
      <c r="AQ1392" s="28"/>
      <c r="AR1392" s="28"/>
      <c r="AS1392" s="28"/>
      <c r="AT1392" s="5"/>
      <c r="AU1392" s="28"/>
      <c r="AV1392" s="28"/>
      <c r="AX1392" s="28"/>
      <c r="AY1392" s="28"/>
      <c r="BA1392" s="28"/>
      <c r="BB1392" s="28"/>
      <c r="BF1392" s="28"/>
      <c r="BH1392" s="28"/>
      <c r="BI1392" s="28"/>
      <c r="BJ1392" s="38"/>
      <c r="BK1392" s="28"/>
    </row>
    <row r="1393" customFormat="false" ht="15.75" hidden="false" customHeight="false" outlineLevel="0" collapsed="false">
      <c r="A1393" s="28"/>
      <c r="B1393" s="28"/>
      <c r="C1393" s="28"/>
      <c r="D1393" s="5"/>
      <c r="E1393" s="38"/>
      <c r="F1393" s="28"/>
      <c r="G1393" s="28"/>
      <c r="H1393" s="38"/>
      <c r="I1393" s="28"/>
      <c r="J1393" s="40"/>
      <c r="K1393" s="40"/>
      <c r="L1393" s="5"/>
      <c r="M1393" s="5"/>
      <c r="N1393" s="28"/>
      <c r="O1393" s="28"/>
      <c r="P1393" s="28"/>
      <c r="Q1393" s="28"/>
      <c r="R1393" s="28"/>
      <c r="S1393" s="28"/>
      <c r="T1393" s="28"/>
      <c r="V1393" s="28"/>
      <c r="W1393" s="5"/>
      <c r="X1393" s="5"/>
      <c r="Z1393" s="28"/>
      <c r="AA1393" s="28"/>
      <c r="AB1393" s="28"/>
      <c r="AC1393" s="28"/>
      <c r="AD1393" s="28"/>
      <c r="AE1393" s="28"/>
      <c r="AF1393" s="28"/>
      <c r="AG1393" s="28"/>
      <c r="AH1393" s="28"/>
      <c r="AI1393" s="28"/>
      <c r="AJ1393" s="28"/>
      <c r="AK1393" s="28"/>
      <c r="AL1393" s="28"/>
      <c r="AM1393" s="28"/>
      <c r="AN1393" s="28"/>
      <c r="AO1393" s="28"/>
      <c r="AP1393" s="28"/>
      <c r="AQ1393" s="28"/>
      <c r="AR1393" s="28"/>
      <c r="AS1393" s="28"/>
      <c r="AT1393" s="5"/>
      <c r="AU1393" s="28"/>
      <c r="AV1393" s="28"/>
      <c r="AX1393" s="28"/>
      <c r="AY1393" s="28"/>
      <c r="BA1393" s="28"/>
      <c r="BB1393" s="28"/>
      <c r="BF1393" s="28"/>
      <c r="BH1393" s="28"/>
      <c r="BI1393" s="28"/>
      <c r="BJ1393" s="38"/>
      <c r="BK1393" s="28"/>
    </row>
    <row r="1394" customFormat="false" ht="15.75" hidden="false" customHeight="false" outlineLevel="0" collapsed="false">
      <c r="A1394" s="28"/>
      <c r="B1394" s="28"/>
      <c r="C1394" s="28"/>
      <c r="D1394" s="5"/>
      <c r="E1394" s="38"/>
      <c r="F1394" s="28"/>
      <c r="G1394" s="28"/>
      <c r="H1394" s="38"/>
      <c r="I1394" s="28"/>
      <c r="J1394" s="40"/>
      <c r="K1394" s="40"/>
      <c r="L1394" s="5"/>
      <c r="M1394" s="5"/>
      <c r="N1394" s="28"/>
      <c r="O1394" s="28"/>
      <c r="P1394" s="28"/>
      <c r="Q1394" s="28"/>
      <c r="R1394" s="28"/>
      <c r="S1394" s="28"/>
      <c r="T1394" s="28"/>
      <c r="V1394" s="28"/>
      <c r="W1394" s="5"/>
      <c r="X1394" s="5"/>
      <c r="Z1394" s="28"/>
      <c r="AA1394" s="28"/>
      <c r="AB1394" s="28"/>
      <c r="AC1394" s="28"/>
      <c r="AD1394" s="28"/>
      <c r="AE1394" s="28"/>
      <c r="AF1394" s="28"/>
      <c r="AG1394" s="28"/>
      <c r="AH1394" s="28"/>
      <c r="AI1394" s="28"/>
      <c r="AJ1394" s="28"/>
      <c r="AK1394" s="28"/>
      <c r="AL1394" s="28"/>
      <c r="AM1394" s="28"/>
      <c r="AN1394" s="28"/>
      <c r="AO1394" s="28"/>
      <c r="AP1394" s="28"/>
      <c r="AQ1394" s="28"/>
      <c r="AR1394" s="28"/>
      <c r="AS1394" s="28"/>
      <c r="AT1394" s="5"/>
      <c r="AU1394" s="28"/>
      <c r="AV1394" s="28"/>
      <c r="AX1394" s="28"/>
      <c r="AY1394" s="28"/>
      <c r="BA1394" s="28"/>
      <c r="BB1394" s="28"/>
      <c r="BF1394" s="28"/>
      <c r="BH1394" s="28"/>
      <c r="BI1394" s="28"/>
      <c r="BJ1394" s="38"/>
      <c r="BK1394" s="28"/>
    </row>
    <row r="1395" customFormat="false" ht="15.75" hidden="false" customHeight="false" outlineLevel="0" collapsed="false">
      <c r="A1395" s="28"/>
      <c r="B1395" s="28"/>
      <c r="C1395" s="28"/>
      <c r="D1395" s="5"/>
      <c r="E1395" s="38"/>
      <c r="F1395" s="28"/>
      <c r="G1395" s="28"/>
      <c r="H1395" s="38"/>
      <c r="I1395" s="28"/>
      <c r="J1395" s="40"/>
      <c r="K1395" s="40"/>
      <c r="L1395" s="5"/>
      <c r="M1395" s="5"/>
      <c r="N1395" s="28"/>
      <c r="O1395" s="28"/>
      <c r="P1395" s="28"/>
      <c r="Q1395" s="28"/>
      <c r="R1395" s="28"/>
      <c r="S1395" s="28"/>
      <c r="T1395" s="28"/>
      <c r="V1395" s="28"/>
      <c r="W1395" s="5"/>
      <c r="X1395" s="5"/>
      <c r="Z1395" s="28"/>
      <c r="AA1395" s="28"/>
      <c r="AB1395" s="28"/>
      <c r="AC1395" s="28"/>
      <c r="AD1395" s="28"/>
      <c r="AE1395" s="28"/>
      <c r="AF1395" s="28"/>
      <c r="AG1395" s="28"/>
      <c r="AH1395" s="28"/>
      <c r="AI1395" s="28"/>
      <c r="AJ1395" s="28"/>
      <c r="AK1395" s="28"/>
      <c r="AL1395" s="28"/>
      <c r="AM1395" s="28"/>
      <c r="AN1395" s="28"/>
      <c r="AO1395" s="28"/>
      <c r="AP1395" s="28"/>
      <c r="AQ1395" s="28"/>
      <c r="AR1395" s="28"/>
      <c r="AS1395" s="28"/>
      <c r="AT1395" s="5"/>
      <c r="AU1395" s="28"/>
      <c r="AV1395" s="28"/>
      <c r="AX1395" s="28"/>
      <c r="AY1395" s="28"/>
      <c r="BA1395" s="28"/>
      <c r="BB1395" s="28"/>
      <c r="BF1395" s="28"/>
      <c r="BH1395" s="28"/>
      <c r="BI1395" s="28"/>
      <c r="BJ1395" s="38"/>
      <c r="BK1395" s="28"/>
    </row>
    <row r="1396" customFormat="false" ht="15.75" hidden="false" customHeight="false" outlineLevel="0" collapsed="false">
      <c r="A1396" s="28"/>
      <c r="B1396" s="28"/>
      <c r="C1396" s="28"/>
      <c r="D1396" s="5"/>
      <c r="E1396" s="38"/>
      <c r="F1396" s="28"/>
      <c r="G1396" s="28"/>
      <c r="H1396" s="38"/>
      <c r="I1396" s="28"/>
      <c r="J1396" s="40"/>
      <c r="K1396" s="40"/>
      <c r="L1396" s="5"/>
      <c r="M1396" s="5"/>
      <c r="N1396" s="28"/>
      <c r="O1396" s="28"/>
      <c r="P1396" s="28"/>
      <c r="Q1396" s="28"/>
      <c r="R1396" s="28"/>
      <c r="S1396" s="28"/>
      <c r="T1396" s="28"/>
      <c r="V1396" s="28"/>
      <c r="W1396" s="5"/>
      <c r="X1396" s="5"/>
      <c r="Z1396" s="28"/>
      <c r="AA1396" s="28"/>
      <c r="AB1396" s="28"/>
      <c r="AC1396" s="28"/>
      <c r="AD1396" s="28"/>
      <c r="AE1396" s="28"/>
      <c r="AF1396" s="28"/>
      <c r="AG1396" s="28"/>
      <c r="AH1396" s="28"/>
      <c r="AI1396" s="28"/>
      <c r="AJ1396" s="28"/>
      <c r="AK1396" s="28"/>
      <c r="AL1396" s="28"/>
      <c r="AM1396" s="28"/>
      <c r="AN1396" s="28"/>
      <c r="AO1396" s="28"/>
      <c r="AP1396" s="28"/>
      <c r="AQ1396" s="28"/>
      <c r="AR1396" s="28"/>
      <c r="AS1396" s="28"/>
      <c r="AT1396" s="5"/>
      <c r="AU1396" s="28"/>
      <c r="AV1396" s="28"/>
      <c r="AX1396" s="28"/>
      <c r="AY1396" s="28"/>
      <c r="BA1396" s="28"/>
      <c r="BB1396" s="28"/>
      <c r="BF1396" s="28"/>
      <c r="BH1396" s="28"/>
      <c r="BI1396" s="28"/>
      <c r="BJ1396" s="38"/>
      <c r="BK1396" s="28"/>
    </row>
    <row r="1397" customFormat="false" ht="15.75" hidden="false" customHeight="false" outlineLevel="0" collapsed="false">
      <c r="A1397" s="28"/>
      <c r="B1397" s="28"/>
      <c r="C1397" s="28"/>
      <c r="D1397" s="5"/>
      <c r="E1397" s="38"/>
      <c r="F1397" s="28"/>
      <c r="G1397" s="28"/>
      <c r="H1397" s="38"/>
      <c r="I1397" s="28"/>
      <c r="J1397" s="40"/>
      <c r="K1397" s="40"/>
      <c r="L1397" s="5"/>
      <c r="M1397" s="5"/>
      <c r="N1397" s="28"/>
      <c r="O1397" s="28"/>
      <c r="P1397" s="28"/>
      <c r="Q1397" s="28"/>
      <c r="R1397" s="28"/>
      <c r="S1397" s="28"/>
      <c r="T1397" s="28"/>
      <c r="V1397" s="28"/>
      <c r="W1397" s="5"/>
      <c r="X1397" s="5"/>
      <c r="Z1397" s="28"/>
      <c r="AA1397" s="28"/>
      <c r="AB1397" s="28"/>
      <c r="AC1397" s="28"/>
      <c r="AD1397" s="28"/>
      <c r="AE1397" s="28"/>
      <c r="AF1397" s="28"/>
      <c r="AG1397" s="28"/>
      <c r="AH1397" s="28"/>
      <c r="AI1397" s="28"/>
      <c r="AJ1397" s="28"/>
      <c r="AK1397" s="28"/>
      <c r="AL1397" s="28"/>
      <c r="AM1397" s="28"/>
      <c r="AN1397" s="28"/>
      <c r="AO1397" s="28"/>
      <c r="AP1397" s="28"/>
      <c r="AQ1397" s="28"/>
      <c r="AR1397" s="28"/>
      <c r="AS1397" s="28"/>
      <c r="AT1397" s="5"/>
      <c r="AU1397" s="28"/>
      <c r="AV1397" s="28"/>
      <c r="AX1397" s="28"/>
      <c r="AY1397" s="28"/>
      <c r="BA1397" s="28"/>
      <c r="BB1397" s="28"/>
      <c r="BF1397" s="28"/>
      <c r="BH1397" s="28"/>
      <c r="BI1397" s="28"/>
      <c r="BJ1397" s="38"/>
      <c r="BK1397" s="28"/>
    </row>
    <row r="1398" customFormat="false" ht="15.75" hidden="false" customHeight="false" outlineLevel="0" collapsed="false">
      <c r="A1398" s="28"/>
      <c r="B1398" s="28"/>
      <c r="C1398" s="28"/>
      <c r="D1398" s="5"/>
      <c r="E1398" s="38"/>
      <c r="F1398" s="28"/>
      <c r="G1398" s="28"/>
      <c r="H1398" s="38"/>
      <c r="I1398" s="28"/>
      <c r="J1398" s="40"/>
      <c r="K1398" s="40"/>
      <c r="L1398" s="5"/>
      <c r="M1398" s="5"/>
      <c r="N1398" s="28"/>
      <c r="O1398" s="28"/>
      <c r="P1398" s="28"/>
      <c r="Q1398" s="28"/>
      <c r="R1398" s="28"/>
      <c r="S1398" s="28"/>
      <c r="T1398" s="28"/>
      <c r="V1398" s="28"/>
      <c r="W1398" s="5"/>
      <c r="X1398" s="5"/>
      <c r="Z1398" s="28"/>
      <c r="AA1398" s="28"/>
      <c r="AB1398" s="28"/>
      <c r="AC1398" s="28"/>
      <c r="AD1398" s="28"/>
      <c r="AE1398" s="28"/>
      <c r="AF1398" s="28"/>
      <c r="AG1398" s="28"/>
      <c r="AH1398" s="28"/>
      <c r="AI1398" s="28"/>
      <c r="AJ1398" s="28"/>
      <c r="AK1398" s="28"/>
      <c r="AL1398" s="28"/>
      <c r="AM1398" s="28"/>
      <c r="AN1398" s="28"/>
      <c r="AO1398" s="28"/>
      <c r="AP1398" s="28"/>
      <c r="AQ1398" s="28"/>
      <c r="AR1398" s="28"/>
      <c r="AS1398" s="28"/>
      <c r="AT1398" s="5"/>
      <c r="AU1398" s="28"/>
      <c r="AV1398" s="28"/>
      <c r="AX1398" s="28"/>
      <c r="AY1398" s="28"/>
      <c r="BA1398" s="28"/>
      <c r="BB1398" s="28"/>
      <c r="BF1398" s="28"/>
      <c r="BH1398" s="28"/>
      <c r="BI1398" s="28"/>
      <c r="BJ1398" s="38"/>
      <c r="BK1398" s="28"/>
    </row>
    <row r="1399" customFormat="false" ht="15.75" hidden="false" customHeight="false" outlineLevel="0" collapsed="false">
      <c r="A1399" s="28"/>
      <c r="B1399" s="28"/>
      <c r="C1399" s="28"/>
      <c r="D1399" s="5"/>
      <c r="E1399" s="38"/>
      <c r="F1399" s="28"/>
      <c r="G1399" s="28"/>
      <c r="H1399" s="38"/>
      <c r="I1399" s="28"/>
      <c r="J1399" s="40"/>
      <c r="K1399" s="40"/>
      <c r="L1399" s="5"/>
      <c r="M1399" s="5"/>
      <c r="N1399" s="28"/>
      <c r="O1399" s="28"/>
      <c r="P1399" s="28"/>
      <c r="Q1399" s="28"/>
      <c r="R1399" s="28"/>
      <c r="S1399" s="28"/>
      <c r="T1399" s="28"/>
      <c r="V1399" s="28"/>
      <c r="W1399" s="5"/>
      <c r="X1399" s="5"/>
      <c r="Z1399" s="28"/>
      <c r="AA1399" s="28"/>
      <c r="AB1399" s="28"/>
      <c r="AC1399" s="28"/>
      <c r="AD1399" s="28"/>
      <c r="AE1399" s="28"/>
      <c r="AF1399" s="28"/>
      <c r="AG1399" s="28"/>
      <c r="AH1399" s="28"/>
      <c r="AI1399" s="28"/>
      <c r="AJ1399" s="28"/>
      <c r="AK1399" s="28"/>
      <c r="AL1399" s="28"/>
      <c r="AM1399" s="28"/>
      <c r="AN1399" s="28"/>
      <c r="AO1399" s="28"/>
      <c r="AP1399" s="28"/>
      <c r="AQ1399" s="28"/>
      <c r="AR1399" s="28"/>
      <c r="AS1399" s="28"/>
      <c r="AT1399" s="5"/>
      <c r="AU1399" s="28"/>
      <c r="AV1399" s="28"/>
      <c r="AX1399" s="28"/>
      <c r="AY1399" s="28"/>
      <c r="BA1399" s="28"/>
      <c r="BB1399" s="28"/>
      <c r="BF1399" s="28"/>
      <c r="BH1399" s="28"/>
      <c r="BI1399" s="28"/>
      <c r="BJ1399" s="38"/>
      <c r="BK1399" s="28"/>
    </row>
    <row r="1400" customFormat="false" ht="15.75" hidden="false" customHeight="false" outlineLevel="0" collapsed="false">
      <c r="A1400" s="28"/>
      <c r="B1400" s="28"/>
      <c r="C1400" s="28"/>
      <c r="D1400" s="5"/>
      <c r="E1400" s="38"/>
      <c r="F1400" s="28"/>
      <c r="G1400" s="28"/>
      <c r="H1400" s="38"/>
      <c r="I1400" s="28"/>
      <c r="J1400" s="40"/>
      <c r="K1400" s="40"/>
      <c r="L1400" s="5"/>
      <c r="M1400" s="5"/>
      <c r="N1400" s="28"/>
      <c r="O1400" s="28"/>
      <c r="P1400" s="28"/>
      <c r="Q1400" s="28"/>
      <c r="R1400" s="28"/>
      <c r="S1400" s="28"/>
      <c r="T1400" s="28"/>
      <c r="V1400" s="28"/>
      <c r="W1400" s="5"/>
      <c r="X1400" s="5"/>
      <c r="Z1400" s="28"/>
      <c r="AA1400" s="28"/>
      <c r="AB1400" s="28"/>
      <c r="AC1400" s="28"/>
      <c r="AD1400" s="28"/>
      <c r="AE1400" s="28"/>
      <c r="AF1400" s="28"/>
      <c r="AG1400" s="28"/>
      <c r="AH1400" s="28"/>
      <c r="AI1400" s="28"/>
      <c r="AJ1400" s="28"/>
      <c r="AK1400" s="28"/>
      <c r="AL1400" s="28"/>
      <c r="AM1400" s="28"/>
      <c r="AN1400" s="28"/>
      <c r="AO1400" s="28"/>
      <c r="AP1400" s="28"/>
      <c r="AQ1400" s="28"/>
      <c r="AR1400" s="28"/>
      <c r="AS1400" s="28"/>
      <c r="AT1400" s="5"/>
      <c r="AU1400" s="28"/>
      <c r="AV1400" s="28"/>
      <c r="AX1400" s="28"/>
      <c r="AY1400" s="28"/>
      <c r="BA1400" s="28"/>
      <c r="BB1400" s="28"/>
      <c r="BF1400" s="28"/>
      <c r="BH1400" s="28"/>
      <c r="BI1400" s="28"/>
      <c r="BJ1400" s="38"/>
      <c r="BK1400" s="28"/>
    </row>
    <row r="1401" customFormat="false" ht="15.75" hidden="false" customHeight="false" outlineLevel="0" collapsed="false">
      <c r="A1401" s="28"/>
      <c r="B1401" s="28"/>
      <c r="C1401" s="28"/>
      <c r="D1401" s="5"/>
      <c r="E1401" s="38"/>
      <c r="F1401" s="28"/>
      <c r="G1401" s="28"/>
      <c r="H1401" s="38"/>
      <c r="I1401" s="28"/>
      <c r="J1401" s="40"/>
      <c r="K1401" s="40"/>
      <c r="L1401" s="5"/>
      <c r="M1401" s="5"/>
      <c r="N1401" s="28"/>
      <c r="O1401" s="28"/>
      <c r="P1401" s="28"/>
      <c r="Q1401" s="28"/>
      <c r="R1401" s="28"/>
      <c r="S1401" s="28"/>
      <c r="T1401" s="28"/>
      <c r="V1401" s="28"/>
      <c r="W1401" s="5"/>
      <c r="X1401" s="5"/>
      <c r="Z1401" s="28"/>
      <c r="AA1401" s="28"/>
      <c r="AB1401" s="28"/>
      <c r="AC1401" s="28"/>
      <c r="AD1401" s="28"/>
      <c r="AE1401" s="28"/>
      <c r="AF1401" s="28"/>
      <c r="AG1401" s="28"/>
      <c r="AH1401" s="28"/>
      <c r="AI1401" s="28"/>
      <c r="AJ1401" s="28"/>
      <c r="AK1401" s="28"/>
      <c r="AL1401" s="28"/>
      <c r="AM1401" s="28"/>
      <c r="AN1401" s="28"/>
      <c r="AO1401" s="28"/>
      <c r="AP1401" s="28"/>
      <c r="AQ1401" s="28"/>
      <c r="AR1401" s="28"/>
      <c r="AS1401" s="28"/>
      <c r="AT1401" s="5"/>
      <c r="AU1401" s="28"/>
      <c r="AV1401" s="28"/>
      <c r="AX1401" s="28"/>
      <c r="AY1401" s="28"/>
      <c r="BA1401" s="28"/>
      <c r="BB1401" s="28"/>
      <c r="BF1401" s="28"/>
      <c r="BH1401" s="28"/>
      <c r="BI1401" s="28"/>
      <c r="BJ1401" s="38"/>
      <c r="BK1401" s="28"/>
    </row>
    <row r="1402" customFormat="false" ht="15.75" hidden="false" customHeight="false" outlineLevel="0" collapsed="false">
      <c r="A1402" s="28"/>
      <c r="B1402" s="28"/>
      <c r="C1402" s="28"/>
      <c r="D1402" s="5"/>
      <c r="E1402" s="38"/>
      <c r="F1402" s="28"/>
      <c r="G1402" s="28"/>
      <c r="H1402" s="38"/>
      <c r="I1402" s="28"/>
      <c r="J1402" s="40"/>
      <c r="K1402" s="40"/>
      <c r="L1402" s="5"/>
      <c r="M1402" s="5"/>
      <c r="N1402" s="28"/>
      <c r="O1402" s="28"/>
      <c r="P1402" s="28"/>
      <c r="Q1402" s="28"/>
      <c r="R1402" s="28"/>
      <c r="S1402" s="28"/>
      <c r="T1402" s="28"/>
      <c r="V1402" s="28"/>
      <c r="W1402" s="5"/>
      <c r="X1402" s="5"/>
      <c r="Z1402" s="28"/>
      <c r="AA1402" s="28"/>
      <c r="AB1402" s="28"/>
      <c r="AC1402" s="28"/>
      <c r="AD1402" s="28"/>
      <c r="AE1402" s="28"/>
      <c r="AF1402" s="28"/>
      <c r="AG1402" s="28"/>
      <c r="AH1402" s="28"/>
      <c r="AI1402" s="28"/>
      <c r="AJ1402" s="28"/>
      <c r="AK1402" s="28"/>
      <c r="AL1402" s="28"/>
      <c r="AM1402" s="28"/>
      <c r="AN1402" s="28"/>
      <c r="AO1402" s="28"/>
      <c r="AP1402" s="28"/>
      <c r="AQ1402" s="28"/>
      <c r="AR1402" s="28"/>
      <c r="AS1402" s="28"/>
      <c r="AT1402" s="5"/>
      <c r="AU1402" s="28"/>
      <c r="AV1402" s="28"/>
      <c r="AX1402" s="28"/>
      <c r="AY1402" s="28"/>
      <c r="BA1402" s="28"/>
      <c r="BB1402" s="28"/>
      <c r="BF1402" s="28"/>
      <c r="BH1402" s="28"/>
      <c r="BI1402" s="28"/>
      <c r="BJ1402" s="38"/>
      <c r="BK1402" s="28"/>
    </row>
    <row r="1403" customFormat="false" ht="15.75" hidden="false" customHeight="false" outlineLevel="0" collapsed="false">
      <c r="A1403" s="28"/>
      <c r="B1403" s="28"/>
      <c r="C1403" s="28"/>
      <c r="D1403" s="5"/>
      <c r="E1403" s="38"/>
      <c r="F1403" s="28"/>
      <c r="G1403" s="28"/>
      <c r="H1403" s="38"/>
      <c r="I1403" s="28"/>
      <c r="J1403" s="40"/>
      <c r="K1403" s="40"/>
      <c r="L1403" s="5"/>
      <c r="M1403" s="5"/>
      <c r="N1403" s="28"/>
      <c r="O1403" s="28"/>
      <c r="P1403" s="28"/>
      <c r="Q1403" s="28"/>
      <c r="R1403" s="28"/>
      <c r="S1403" s="28"/>
      <c r="T1403" s="28"/>
      <c r="V1403" s="28"/>
      <c r="W1403" s="5"/>
      <c r="X1403" s="5"/>
      <c r="Z1403" s="28"/>
      <c r="AA1403" s="28"/>
      <c r="AB1403" s="28"/>
      <c r="AC1403" s="28"/>
      <c r="AD1403" s="28"/>
      <c r="AE1403" s="28"/>
      <c r="AF1403" s="28"/>
      <c r="AG1403" s="28"/>
      <c r="AH1403" s="28"/>
      <c r="AI1403" s="28"/>
      <c r="AJ1403" s="28"/>
      <c r="AK1403" s="28"/>
      <c r="AL1403" s="28"/>
      <c r="AM1403" s="28"/>
      <c r="AN1403" s="28"/>
      <c r="AO1403" s="28"/>
      <c r="AP1403" s="28"/>
      <c r="AQ1403" s="28"/>
      <c r="AR1403" s="28"/>
      <c r="AS1403" s="28"/>
      <c r="AT1403" s="5"/>
      <c r="AU1403" s="28"/>
      <c r="AV1403" s="28"/>
      <c r="AX1403" s="28"/>
      <c r="AY1403" s="28"/>
      <c r="BA1403" s="28"/>
      <c r="BB1403" s="28"/>
      <c r="BF1403" s="28"/>
      <c r="BH1403" s="28"/>
      <c r="BI1403" s="28"/>
      <c r="BJ1403" s="38"/>
      <c r="BK1403" s="28"/>
    </row>
    <row r="1404" customFormat="false" ht="15.75" hidden="false" customHeight="false" outlineLevel="0" collapsed="false">
      <c r="A1404" s="28"/>
      <c r="B1404" s="28"/>
      <c r="C1404" s="28"/>
      <c r="D1404" s="5"/>
      <c r="E1404" s="38"/>
      <c r="F1404" s="28"/>
      <c r="G1404" s="28"/>
      <c r="H1404" s="38"/>
      <c r="I1404" s="28"/>
      <c r="J1404" s="40"/>
      <c r="K1404" s="40"/>
      <c r="L1404" s="5"/>
      <c r="M1404" s="5"/>
      <c r="N1404" s="28"/>
      <c r="O1404" s="28"/>
      <c r="P1404" s="28"/>
      <c r="Q1404" s="28"/>
      <c r="R1404" s="28"/>
      <c r="S1404" s="28"/>
      <c r="T1404" s="28"/>
      <c r="V1404" s="28"/>
      <c r="W1404" s="5"/>
      <c r="X1404" s="5"/>
      <c r="Z1404" s="28"/>
      <c r="AA1404" s="28"/>
      <c r="AB1404" s="28"/>
      <c r="AC1404" s="28"/>
      <c r="AD1404" s="28"/>
      <c r="AE1404" s="28"/>
      <c r="AF1404" s="28"/>
      <c r="AG1404" s="28"/>
      <c r="AH1404" s="28"/>
      <c r="AI1404" s="28"/>
      <c r="AJ1404" s="28"/>
      <c r="AK1404" s="28"/>
      <c r="AL1404" s="28"/>
      <c r="AM1404" s="28"/>
      <c r="AN1404" s="28"/>
      <c r="AO1404" s="28"/>
      <c r="AP1404" s="28"/>
      <c r="AQ1404" s="28"/>
      <c r="AR1404" s="28"/>
      <c r="AS1404" s="28"/>
      <c r="AT1404" s="5"/>
      <c r="AU1404" s="28"/>
      <c r="AV1404" s="28"/>
      <c r="AX1404" s="28"/>
      <c r="AY1404" s="28"/>
      <c r="BA1404" s="28"/>
      <c r="BB1404" s="28"/>
      <c r="BF1404" s="28"/>
      <c r="BH1404" s="28"/>
      <c r="BI1404" s="28"/>
      <c r="BJ1404" s="38"/>
      <c r="BK1404" s="28"/>
    </row>
    <row r="1405" customFormat="false" ht="15.75" hidden="false" customHeight="false" outlineLevel="0" collapsed="false">
      <c r="A1405" s="28"/>
      <c r="B1405" s="28"/>
      <c r="C1405" s="28"/>
      <c r="D1405" s="5"/>
      <c r="E1405" s="38"/>
      <c r="F1405" s="28"/>
      <c r="G1405" s="28"/>
      <c r="H1405" s="38"/>
      <c r="I1405" s="28"/>
      <c r="J1405" s="40"/>
      <c r="K1405" s="40"/>
      <c r="L1405" s="5"/>
      <c r="M1405" s="5"/>
      <c r="N1405" s="28"/>
      <c r="O1405" s="28"/>
      <c r="P1405" s="28"/>
      <c r="Q1405" s="28"/>
      <c r="R1405" s="28"/>
      <c r="S1405" s="28"/>
      <c r="T1405" s="28"/>
      <c r="V1405" s="28"/>
      <c r="W1405" s="5"/>
      <c r="X1405" s="5"/>
      <c r="Z1405" s="28"/>
      <c r="AA1405" s="28"/>
      <c r="AB1405" s="28"/>
      <c r="AC1405" s="28"/>
      <c r="AD1405" s="28"/>
      <c r="AE1405" s="28"/>
      <c r="AF1405" s="28"/>
      <c r="AG1405" s="28"/>
      <c r="AH1405" s="28"/>
      <c r="AI1405" s="28"/>
      <c r="AJ1405" s="28"/>
      <c r="AK1405" s="28"/>
      <c r="AL1405" s="28"/>
      <c r="AM1405" s="28"/>
      <c r="AN1405" s="28"/>
      <c r="AO1405" s="28"/>
      <c r="AP1405" s="28"/>
      <c r="AQ1405" s="28"/>
      <c r="AR1405" s="28"/>
      <c r="AS1405" s="28"/>
      <c r="AT1405" s="5"/>
      <c r="AU1405" s="28"/>
      <c r="AV1405" s="28"/>
      <c r="AX1405" s="28"/>
      <c r="AY1405" s="28"/>
      <c r="BA1405" s="28"/>
      <c r="BB1405" s="28"/>
      <c r="BF1405" s="28"/>
      <c r="BH1405" s="28"/>
      <c r="BI1405" s="28"/>
      <c r="BJ1405" s="38"/>
      <c r="BK1405" s="28"/>
    </row>
    <row r="1406" customFormat="false" ht="15.75" hidden="false" customHeight="false" outlineLevel="0" collapsed="false">
      <c r="A1406" s="28"/>
      <c r="B1406" s="28"/>
      <c r="C1406" s="28"/>
      <c r="D1406" s="5"/>
      <c r="E1406" s="38"/>
      <c r="F1406" s="28"/>
      <c r="G1406" s="28"/>
      <c r="H1406" s="38"/>
      <c r="I1406" s="28"/>
      <c r="J1406" s="40"/>
      <c r="K1406" s="40"/>
      <c r="L1406" s="5"/>
      <c r="M1406" s="5"/>
      <c r="N1406" s="28"/>
      <c r="O1406" s="28"/>
      <c r="P1406" s="28"/>
      <c r="Q1406" s="28"/>
      <c r="R1406" s="28"/>
      <c r="S1406" s="28"/>
      <c r="T1406" s="28"/>
      <c r="V1406" s="28"/>
      <c r="W1406" s="5"/>
      <c r="X1406" s="5"/>
      <c r="Z1406" s="28"/>
      <c r="AA1406" s="28"/>
      <c r="AB1406" s="28"/>
      <c r="AC1406" s="28"/>
      <c r="AD1406" s="28"/>
      <c r="AE1406" s="28"/>
      <c r="AF1406" s="28"/>
      <c r="AG1406" s="28"/>
      <c r="AH1406" s="28"/>
      <c r="AI1406" s="28"/>
      <c r="AJ1406" s="28"/>
      <c r="AK1406" s="28"/>
      <c r="AL1406" s="28"/>
      <c r="AM1406" s="28"/>
      <c r="AN1406" s="28"/>
      <c r="AO1406" s="28"/>
      <c r="AP1406" s="28"/>
      <c r="AQ1406" s="28"/>
      <c r="AR1406" s="28"/>
      <c r="AS1406" s="28"/>
      <c r="AT1406" s="5"/>
      <c r="AU1406" s="28"/>
      <c r="AV1406" s="28"/>
      <c r="AX1406" s="28"/>
      <c r="AY1406" s="28"/>
      <c r="BA1406" s="28"/>
      <c r="BB1406" s="28"/>
      <c r="BF1406" s="28"/>
      <c r="BH1406" s="28"/>
      <c r="BI1406" s="28"/>
      <c r="BJ1406" s="38"/>
      <c r="BK1406" s="28"/>
    </row>
    <row r="1407" customFormat="false" ht="15.75" hidden="false" customHeight="false" outlineLevel="0" collapsed="false">
      <c r="A1407" s="28"/>
      <c r="B1407" s="28"/>
      <c r="C1407" s="28"/>
      <c r="D1407" s="5"/>
      <c r="E1407" s="38"/>
      <c r="F1407" s="28"/>
      <c r="G1407" s="28"/>
      <c r="H1407" s="38"/>
      <c r="I1407" s="28"/>
      <c r="J1407" s="40"/>
      <c r="K1407" s="40"/>
      <c r="L1407" s="5"/>
      <c r="M1407" s="5"/>
      <c r="N1407" s="28"/>
      <c r="O1407" s="28"/>
      <c r="P1407" s="28"/>
      <c r="Q1407" s="28"/>
      <c r="R1407" s="28"/>
      <c r="S1407" s="28"/>
      <c r="T1407" s="28"/>
      <c r="V1407" s="28"/>
      <c r="W1407" s="5"/>
      <c r="X1407" s="5"/>
      <c r="Z1407" s="28"/>
      <c r="AA1407" s="28"/>
      <c r="AB1407" s="28"/>
      <c r="AC1407" s="28"/>
      <c r="AD1407" s="28"/>
      <c r="AE1407" s="28"/>
      <c r="AF1407" s="28"/>
      <c r="AG1407" s="28"/>
      <c r="AH1407" s="28"/>
      <c r="AI1407" s="28"/>
      <c r="AJ1407" s="28"/>
      <c r="AK1407" s="28"/>
      <c r="AL1407" s="28"/>
      <c r="AM1407" s="28"/>
      <c r="AN1407" s="28"/>
      <c r="AO1407" s="28"/>
      <c r="AP1407" s="28"/>
      <c r="AQ1407" s="28"/>
      <c r="AR1407" s="28"/>
      <c r="AS1407" s="28"/>
      <c r="AT1407" s="5"/>
      <c r="AU1407" s="28"/>
      <c r="AV1407" s="28"/>
      <c r="AX1407" s="28"/>
      <c r="AY1407" s="28"/>
      <c r="BA1407" s="28"/>
      <c r="BB1407" s="28"/>
      <c r="BF1407" s="28"/>
      <c r="BH1407" s="28"/>
      <c r="BI1407" s="28"/>
      <c r="BJ1407" s="38"/>
      <c r="BK1407" s="28"/>
    </row>
    <row r="1408" customFormat="false" ht="15.75" hidden="false" customHeight="false" outlineLevel="0" collapsed="false">
      <c r="A1408" s="28"/>
      <c r="B1408" s="28"/>
      <c r="C1408" s="28"/>
      <c r="D1408" s="5"/>
      <c r="E1408" s="38"/>
      <c r="F1408" s="28"/>
      <c r="G1408" s="28"/>
      <c r="H1408" s="38"/>
      <c r="I1408" s="28"/>
      <c r="J1408" s="40"/>
      <c r="K1408" s="40"/>
      <c r="L1408" s="5"/>
      <c r="M1408" s="5"/>
      <c r="N1408" s="28"/>
      <c r="O1408" s="28"/>
      <c r="P1408" s="28"/>
      <c r="Q1408" s="28"/>
      <c r="R1408" s="28"/>
      <c r="S1408" s="28"/>
      <c r="T1408" s="28"/>
      <c r="V1408" s="28"/>
      <c r="W1408" s="5"/>
      <c r="X1408" s="5"/>
      <c r="Z1408" s="28"/>
      <c r="AA1408" s="28"/>
      <c r="AB1408" s="28"/>
      <c r="AC1408" s="28"/>
      <c r="AD1408" s="28"/>
      <c r="AE1408" s="28"/>
      <c r="AF1408" s="28"/>
      <c r="AG1408" s="28"/>
      <c r="AH1408" s="28"/>
      <c r="AI1408" s="28"/>
      <c r="AJ1408" s="28"/>
      <c r="AK1408" s="28"/>
      <c r="AL1408" s="28"/>
      <c r="AM1408" s="28"/>
      <c r="AN1408" s="28"/>
      <c r="AO1408" s="28"/>
      <c r="AP1408" s="28"/>
      <c r="AQ1408" s="28"/>
      <c r="AR1408" s="28"/>
      <c r="AS1408" s="28"/>
      <c r="AT1408" s="5"/>
      <c r="AU1408" s="28"/>
      <c r="AV1408" s="28"/>
      <c r="AX1408" s="28"/>
      <c r="AY1408" s="28"/>
      <c r="BA1408" s="28"/>
      <c r="BB1408" s="28"/>
      <c r="BF1408" s="28"/>
      <c r="BH1408" s="28"/>
      <c r="BI1408" s="28"/>
      <c r="BJ1408" s="38"/>
      <c r="BK1408" s="28"/>
    </row>
    <row r="1409" customFormat="false" ht="15.75" hidden="false" customHeight="false" outlineLevel="0" collapsed="false">
      <c r="A1409" s="28"/>
      <c r="B1409" s="28"/>
      <c r="C1409" s="28"/>
      <c r="D1409" s="5"/>
      <c r="E1409" s="38"/>
      <c r="F1409" s="28"/>
      <c r="G1409" s="28"/>
      <c r="H1409" s="38"/>
      <c r="I1409" s="28"/>
      <c r="J1409" s="40"/>
      <c r="K1409" s="40"/>
      <c r="L1409" s="5"/>
      <c r="M1409" s="5"/>
      <c r="N1409" s="28"/>
      <c r="O1409" s="28"/>
      <c r="P1409" s="28"/>
      <c r="Q1409" s="28"/>
      <c r="R1409" s="28"/>
      <c r="S1409" s="28"/>
      <c r="T1409" s="28"/>
      <c r="V1409" s="28"/>
      <c r="W1409" s="5"/>
      <c r="X1409" s="5"/>
      <c r="Z1409" s="28"/>
      <c r="AA1409" s="28"/>
      <c r="AB1409" s="28"/>
      <c r="AC1409" s="28"/>
      <c r="AD1409" s="28"/>
      <c r="AE1409" s="28"/>
      <c r="AF1409" s="28"/>
      <c r="AG1409" s="28"/>
      <c r="AH1409" s="28"/>
      <c r="AI1409" s="28"/>
      <c r="AJ1409" s="28"/>
      <c r="AK1409" s="28"/>
      <c r="AL1409" s="28"/>
      <c r="AM1409" s="28"/>
      <c r="AN1409" s="28"/>
      <c r="AO1409" s="28"/>
      <c r="AP1409" s="28"/>
      <c r="AQ1409" s="28"/>
      <c r="AR1409" s="28"/>
      <c r="AS1409" s="28"/>
      <c r="AT1409" s="5"/>
      <c r="AU1409" s="28"/>
      <c r="AV1409" s="28"/>
      <c r="AX1409" s="28"/>
      <c r="AY1409" s="28"/>
      <c r="BA1409" s="28"/>
      <c r="BB1409" s="28"/>
      <c r="BF1409" s="28"/>
      <c r="BH1409" s="28"/>
      <c r="BI1409" s="28"/>
      <c r="BJ1409" s="38"/>
      <c r="BK1409" s="28"/>
    </row>
    <row r="1410" customFormat="false" ht="15.75" hidden="false" customHeight="false" outlineLevel="0" collapsed="false">
      <c r="A1410" s="28"/>
      <c r="B1410" s="28"/>
      <c r="C1410" s="28"/>
      <c r="D1410" s="5"/>
      <c r="E1410" s="38"/>
      <c r="F1410" s="28"/>
      <c r="G1410" s="28"/>
      <c r="H1410" s="38"/>
      <c r="I1410" s="28"/>
      <c r="J1410" s="40"/>
      <c r="K1410" s="40"/>
      <c r="L1410" s="5"/>
      <c r="M1410" s="5"/>
      <c r="N1410" s="28"/>
      <c r="O1410" s="28"/>
      <c r="P1410" s="28"/>
      <c r="Q1410" s="28"/>
      <c r="R1410" s="28"/>
      <c r="S1410" s="28"/>
      <c r="T1410" s="28"/>
      <c r="V1410" s="28"/>
      <c r="W1410" s="5"/>
      <c r="X1410" s="5"/>
      <c r="Z1410" s="28"/>
      <c r="AA1410" s="28"/>
      <c r="AB1410" s="28"/>
      <c r="AC1410" s="28"/>
      <c r="AD1410" s="28"/>
      <c r="AE1410" s="28"/>
      <c r="AF1410" s="28"/>
      <c r="AG1410" s="28"/>
      <c r="AH1410" s="28"/>
      <c r="AI1410" s="28"/>
      <c r="AJ1410" s="28"/>
      <c r="AK1410" s="28"/>
      <c r="AL1410" s="28"/>
      <c r="AM1410" s="28"/>
      <c r="AN1410" s="28"/>
      <c r="AO1410" s="28"/>
      <c r="AP1410" s="28"/>
      <c r="AQ1410" s="28"/>
      <c r="AR1410" s="28"/>
      <c r="AS1410" s="28"/>
      <c r="AT1410" s="5"/>
      <c r="AU1410" s="28"/>
      <c r="AV1410" s="28"/>
      <c r="AX1410" s="28"/>
      <c r="AY1410" s="28"/>
      <c r="BA1410" s="28"/>
      <c r="BB1410" s="28"/>
      <c r="BF1410" s="28"/>
      <c r="BH1410" s="28"/>
      <c r="BI1410" s="28"/>
      <c r="BJ1410" s="38"/>
      <c r="BK1410" s="28"/>
    </row>
    <row r="1411" customFormat="false" ht="15.75" hidden="false" customHeight="false" outlineLevel="0" collapsed="false">
      <c r="A1411" s="28"/>
      <c r="B1411" s="28"/>
      <c r="C1411" s="28"/>
      <c r="D1411" s="5"/>
      <c r="E1411" s="38"/>
      <c r="F1411" s="28"/>
      <c r="G1411" s="28"/>
      <c r="H1411" s="38"/>
      <c r="I1411" s="28"/>
      <c r="J1411" s="40"/>
      <c r="K1411" s="40"/>
      <c r="L1411" s="5"/>
      <c r="M1411" s="5"/>
      <c r="N1411" s="28"/>
      <c r="O1411" s="28"/>
      <c r="P1411" s="28"/>
      <c r="Q1411" s="28"/>
      <c r="R1411" s="28"/>
      <c r="S1411" s="28"/>
      <c r="T1411" s="28"/>
      <c r="V1411" s="28"/>
      <c r="W1411" s="5"/>
      <c r="X1411" s="5"/>
      <c r="Z1411" s="28"/>
      <c r="AA1411" s="28"/>
      <c r="AB1411" s="28"/>
      <c r="AC1411" s="28"/>
      <c r="AD1411" s="28"/>
      <c r="AE1411" s="28"/>
      <c r="AF1411" s="28"/>
      <c r="AG1411" s="28"/>
      <c r="AH1411" s="28"/>
      <c r="AI1411" s="28"/>
      <c r="AJ1411" s="28"/>
      <c r="AK1411" s="28"/>
      <c r="AL1411" s="28"/>
      <c r="AM1411" s="28"/>
      <c r="AN1411" s="28"/>
      <c r="AO1411" s="28"/>
      <c r="AP1411" s="28"/>
      <c r="AQ1411" s="28"/>
      <c r="AR1411" s="28"/>
      <c r="AS1411" s="28"/>
      <c r="AT1411" s="5"/>
      <c r="AU1411" s="28"/>
      <c r="AV1411" s="28"/>
      <c r="AX1411" s="28"/>
      <c r="AY1411" s="28"/>
      <c r="BA1411" s="28"/>
      <c r="BB1411" s="28"/>
      <c r="BF1411" s="28"/>
      <c r="BH1411" s="28"/>
      <c r="BI1411" s="28"/>
      <c r="BJ1411" s="38"/>
      <c r="BK1411" s="28"/>
    </row>
    <row r="1412" customFormat="false" ht="15.75" hidden="false" customHeight="false" outlineLevel="0" collapsed="false">
      <c r="A1412" s="28"/>
      <c r="B1412" s="28"/>
      <c r="C1412" s="28"/>
      <c r="D1412" s="5"/>
      <c r="E1412" s="38"/>
      <c r="F1412" s="28"/>
      <c r="G1412" s="28"/>
      <c r="H1412" s="38"/>
      <c r="I1412" s="28"/>
      <c r="J1412" s="40"/>
      <c r="K1412" s="40"/>
      <c r="L1412" s="5"/>
      <c r="M1412" s="5"/>
      <c r="N1412" s="28"/>
      <c r="O1412" s="28"/>
      <c r="P1412" s="28"/>
      <c r="Q1412" s="28"/>
      <c r="R1412" s="28"/>
      <c r="S1412" s="28"/>
      <c r="T1412" s="28"/>
      <c r="V1412" s="28"/>
      <c r="W1412" s="5"/>
      <c r="X1412" s="5"/>
      <c r="Z1412" s="28"/>
      <c r="AA1412" s="28"/>
      <c r="AB1412" s="28"/>
      <c r="AC1412" s="28"/>
      <c r="AD1412" s="28"/>
      <c r="AE1412" s="28"/>
      <c r="AF1412" s="28"/>
      <c r="AG1412" s="28"/>
      <c r="AH1412" s="28"/>
      <c r="AI1412" s="28"/>
      <c r="AJ1412" s="28"/>
      <c r="AK1412" s="28"/>
      <c r="AL1412" s="28"/>
      <c r="AM1412" s="28"/>
      <c r="AN1412" s="28"/>
      <c r="AO1412" s="28"/>
      <c r="AP1412" s="28"/>
      <c r="AQ1412" s="28"/>
      <c r="AR1412" s="28"/>
      <c r="AS1412" s="28"/>
      <c r="AT1412" s="5"/>
      <c r="AU1412" s="28"/>
      <c r="AV1412" s="28"/>
      <c r="AX1412" s="28"/>
      <c r="AY1412" s="28"/>
      <c r="BA1412" s="28"/>
      <c r="BB1412" s="28"/>
      <c r="BF1412" s="28"/>
      <c r="BH1412" s="28"/>
      <c r="BI1412" s="28"/>
      <c r="BJ1412" s="38"/>
      <c r="BK1412" s="28"/>
    </row>
    <row r="1413" customFormat="false" ht="15.75" hidden="false" customHeight="false" outlineLevel="0" collapsed="false">
      <c r="A1413" s="28"/>
      <c r="B1413" s="28"/>
      <c r="C1413" s="28"/>
      <c r="D1413" s="5"/>
      <c r="E1413" s="38"/>
      <c r="F1413" s="28"/>
      <c r="G1413" s="28"/>
      <c r="H1413" s="38"/>
      <c r="I1413" s="28"/>
      <c r="J1413" s="40"/>
      <c r="K1413" s="40"/>
      <c r="L1413" s="5"/>
      <c r="M1413" s="5"/>
      <c r="N1413" s="28"/>
      <c r="O1413" s="28"/>
      <c r="P1413" s="28"/>
      <c r="Q1413" s="28"/>
      <c r="R1413" s="28"/>
      <c r="S1413" s="28"/>
      <c r="T1413" s="28"/>
      <c r="V1413" s="28"/>
      <c r="W1413" s="5"/>
      <c r="X1413" s="5"/>
      <c r="Z1413" s="28"/>
      <c r="AA1413" s="28"/>
      <c r="AB1413" s="28"/>
      <c r="AC1413" s="28"/>
      <c r="AD1413" s="28"/>
      <c r="AE1413" s="28"/>
      <c r="AF1413" s="28"/>
      <c r="AG1413" s="28"/>
      <c r="AH1413" s="28"/>
      <c r="AI1413" s="28"/>
      <c r="AJ1413" s="28"/>
      <c r="AK1413" s="28"/>
      <c r="AL1413" s="28"/>
      <c r="AM1413" s="28"/>
      <c r="AN1413" s="28"/>
      <c r="AO1413" s="28"/>
      <c r="AP1413" s="28"/>
      <c r="AQ1413" s="28"/>
      <c r="AR1413" s="28"/>
      <c r="AS1413" s="28"/>
      <c r="AT1413" s="5"/>
      <c r="AU1413" s="28"/>
      <c r="AV1413" s="28"/>
      <c r="AX1413" s="28"/>
      <c r="AY1413" s="28"/>
      <c r="BA1413" s="28"/>
      <c r="BB1413" s="28"/>
      <c r="BF1413" s="28"/>
      <c r="BH1413" s="28"/>
      <c r="BI1413" s="28"/>
      <c r="BJ1413" s="38"/>
      <c r="BK1413" s="28"/>
    </row>
    <row r="1414" customFormat="false" ht="15.75" hidden="false" customHeight="false" outlineLevel="0" collapsed="false">
      <c r="A1414" s="28"/>
      <c r="B1414" s="28"/>
      <c r="C1414" s="28"/>
      <c r="D1414" s="5"/>
      <c r="E1414" s="38"/>
      <c r="F1414" s="28"/>
      <c r="G1414" s="28"/>
      <c r="H1414" s="38"/>
      <c r="I1414" s="28"/>
      <c r="J1414" s="40"/>
      <c r="K1414" s="40"/>
      <c r="L1414" s="5"/>
      <c r="M1414" s="5"/>
      <c r="N1414" s="28"/>
      <c r="O1414" s="28"/>
      <c r="P1414" s="28"/>
      <c r="Q1414" s="28"/>
      <c r="R1414" s="28"/>
      <c r="S1414" s="28"/>
      <c r="T1414" s="28"/>
      <c r="V1414" s="28"/>
      <c r="W1414" s="5"/>
      <c r="X1414" s="5"/>
      <c r="Z1414" s="28"/>
      <c r="AA1414" s="28"/>
      <c r="AB1414" s="28"/>
      <c r="AC1414" s="28"/>
      <c r="AD1414" s="28"/>
      <c r="AE1414" s="28"/>
      <c r="AF1414" s="28"/>
      <c r="AG1414" s="28"/>
      <c r="AH1414" s="28"/>
      <c r="AI1414" s="28"/>
      <c r="AJ1414" s="28"/>
      <c r="AK1414" s="28"/>
      <c r="AL1414" s="28"/>
      <c r="AM1414" s="28"/>
      <c r="AN1414" s="28"/>
      <c r="AO1414" s="28"/>
      <c r="AP1414" s="28"/>
      <c r="AQ1414" s="28"/>
      <c r="AR1414" s="28"/>
      <c r="AS1414" s="28"/>
      <c r="AT1414" s="5"/>
      <c r="AU1414" s="28"/>
      <c r="AV1414" s="28"/>
      <c r="AX1414" s="28"/>
      <c r="AY1414" s="28"/>
      <c r="BA1414" s="28"/>
      <c r="BB1414" s="28"/>
      <c r="BF1414" s="28"/>
      <c r="BH1414" s="28"/>
      <c r="BI1414" s="28"/>
      <c r="BJ1414" s="38"/>
      <c r="BK1414" s="28"/>
    </row>
    <row r="1415" customFormat="false" ht="15.75" hidden="false" customHeight="false" outlineLevel="0" collapsed="false">
      <c r="A1415" s="28"/>
      <c r="B1415" s="28"/>
      <c r="C1415" s="28"/>
      <c r="D1415" s="5"/>
      <c r="E1415" s="38"/>
      <c r="F1415" s="28"/>
      <c r="G1415" s="28"/>
      <c r="H1415" s="38"/>
      <c r="I1415" s="28"/>
      <c r="J1415" s="40"/>
      <c r="K1415" s="40"/>
      <c r="L1415" s="5"/>
      <c r="M1415" s="5"/>
      <c r="N1415" s="28"/>
      <c r="O1415" s="28"/>
      <c r="P1415" s="28"/>
      <c r="Q1415" s="28"/>
      <c r="R1415" s="28"/>
      <c r="S1415" s="28"/>
      <c r="T1415" s="28"/>
      <c r="V1415" s="28"/>
      <c r="W1415" s="5"/>
      <c r="X1415" s="5"/>
      <c r="Z1415" s="28"/>
      <c r="AA1415" s="28"/>
      <c r="AB1415" s="28"/>
      <c r="AC1415" s="28"/>
      <c r="AD1415" s="28"/>
      <c r="AE1415" s="28"/>
      <c r="AF1415" s="28"/>
      <c r="AG1415" s="28"/>
      <c r="AH1415" s="28"/>
      <c r="AI1415" s="28"/>
      <c r="AJ1415" s="28"/>
      <c r="AK1415" s="28"/>
      <c r="AL1415" s="28"/>
      <c r="AM1415" s="28"/>
      <c r="AN1415" s="28"/>
      <c r="AO1415" s="28"/>
      <c r="AP1415" s="28"/>
      <c r="AQ1415" s="28"/>
      <c r="AR1415" s="28"/>
      <c r="AS1415" s="28"/>
      <c r="AT1415" s="5"/>
      <c r="AU1415" s="28"/>
      <c r="AV1415" s="28"/>
      <c r="AX1415" s="28"/>
      <c r="AY1415" s="28"/>
      <c r="BA1415" s="28"/>
      <c r="BB1415" s="28"/>
      <c r="BF1415" s="28"/>
      <c r="BH1415" s="28"/>
      <c r="BI1415" s="28"/>
      <c r="BJ1415" s="38"/>
      <c r="BK1415" s="28"/>
    </row>
    <row r="1416" customFormat="false" ht="15.75" hidden="false" customHeight="false" outlineLevel="0" collapsed="false">
      <c r="A1416" s="28"/>
      <c r="B1416" s="28"/>
      <c r="C1416" s="28"/>
      <c r="D1416" s="5"/>
      <c r="E1416" s="38"/>
      <c r="F1416" s="28"/>
      <c r="G1416" s="28"/>
      <c r="H1416" s="38"/>
      <c r="I1416" s="28"/>
      <c r="J1416" s="40"/>
      <c r="K1416" s="40"/>
      <c r="L1416" s="5"/>
      <c r="M1416" s="5"/>
      <c r="N1416" s="28"/>
      <c r="O1416" s="28"/>
      <c r="P1416" s="28"/>
      <c r="Q1416" s="28"/>
      <c r="R1416" s="28"/>
      <c r="S1416" s="28"/>
      <c r="T1416" s="28"/>
      <c r="V1416" s="28"/>
      <c r="W1416" s="5"/>
      <c r="X1416" s="5"/>
      <c r="Z1416" s="28"/>
      <c r="AA1416" s="28"/>
      <c r="AB1416" s="28"/>
      <c r="AC1416" s="28"/>
      <c r="AD1416" s="28"/>
      <c r="AE1416" s="28"/>
      <c r="AF1416" s="28"/>
      <c r="AG1416" s="28"/>
      <c r="AH1416" s="28"/>
      <c r="AI1416" s="28"/>
      <c r="AJ1416" s="28"/>
      <c r="AK1416" s="28"/>
      <c r="AL1416" s="28"/>
      <c r="AM1416" s="28"/>
      <c r="AN1416" s="28"/>
      <c r="AO1416" s="28"/>
      <c r="AP1416" s="28"/>
      <c r="AQ1416" s="28"/>
      <c r="AR1416" s="28"/>
      <c r="AS1416" s="28"/>
      <c r="AT1416" s="5"/>
      <c r="AU1416" s="28"/>
      <c r="AV1416" s="28"/>
      <c r="AX1416" s="28"/>
      <c r="AY1416" s="28"/>
      <c r="BA1416" s="28"/>
      <c r="BB1416" s="28"/>
      <c r="BF1416" s="28"/>
      <c r="BH1416" s="28"/>
      <c r="BI1416" s="28"/>
      <c r="BJ1416" s="38"/>
      <c r="BK1416" s="28"/>
    </row>
    <row r="1417" customFormat="false" ht="15.75" hidden="false" customHeight="false" outlineLevel="0" collapsed="false">
      <c r="A1417" s="28"/>
      <c r="B1417" s="28"/>
      <c r="C1417" s="28"/>
      <c r="D1417" s="5"/>
      <c r="E1417" s="38"/>
      <c r="F1417" s="28"/>
      <c r="G1417" s="28"/>
      <c r="H1417" s="38"/>
      <c r="I1417" s="28"/>
      <c r="J1417" s="40"/>
      <c r="K1417" s="40"/>
      <c r="L1417" s="5"/>
      <c r="M1417" s="5"/>
      <c r="N1417" s="28"/>
      <c r="O1417" s="28"/>
      <c r="P1417" s="28"/>
      <c r="Q1417" s="28"/>
      <c r="R1417" s="28"/>
      <c r="S1417" s="28"/>
      <c r="T1417" s="28"/>
      <c r="V1417" s="28"/>
      <c r="W1417" s="5"/>
      <c r="X1417" s="5"/>
      <c r="Z1417" s="28"/>
      <c r="AA1417" s="28"/>
      <c r="AB1417" s="28"/>
      <c r="AC1417" s="28"/>
      <c r="AD1417" s="28"/>
      <c r="AE1417" s="28"/>
      <c r="AF1417" s="28"/>
      <c r="AG1417" s="28"/>
      <c r="AH1417" s="28"/>
      <c r="AI1417" s="28"/>
      <c r="AJ1417" s="28"/>
      <c r="AK1417" s="28"/>
      <c r="AL1417" s="28"/>
      <c r="AM1417" s="28"/>
      <c r="AN1417" s="28"/>
      <c r="AO1417" s="28"/>
      <c r="AP1417" s="28"/>
      <c r="AQ1417" s="28"/>
      <c r="AR1417" s="28"/>
      <c r="AS1417" s="28"/>
      <c r="AT1417" s="5"/>
      <c r="AU1417" s="28"/>
      <c r="AV1417" s="28"/>
      <c r="AX1417" s="28"/>
      <c r="AY1417" s="28"/>
      <c r="BA1417" s="28"/>
      <c r="BB1417" s="28"/>
      <c r="BF1417" s="28"/>
      <c r="BH1417" s="28"/>
      <c r="BI1417" s="28"/>
      <c r="BJ1417" s="38"/>
      <c r="BK1417" s="28"/>
    </row>
    <row r="1418" customFormat="false" ht="15.75" hidden="false" customHeight="false" outlineLevel="0" collapsed="false">
      <c r="A1418" s="28"/>
      <c r="B1418" s="28"/>
      <c r="C1418" s="28"/>
      <c r="D1418" s="5"/>
      <c r="E1418" s="38"/>
      <c r="F1418" s="28"/>
      <c r="G1418" s="28"/>
      <c r="H1418" s="38"/>
      <c r="I1418" s="28"/>
      <c r="J1418" s="40"/>
      <c r="K1418" s="40"/>
      <c r="L1418" s="5"/>
      <c r="M1418" s="5"/>
      <c r="N1418" s="28"/>
      <c r="O1418" s="28"/>
      <c r="P1418" s="28"/>
      <c r="Q1418" s="28"/>
      <c r="R1418" s="28"/>
      <c r="S1418" s="28"/>
      <c r="T1418" s="28"/>
      <c r="V1418" s="28"/>
      <c r="W1418" s="5"/>
      <c r="X1418" s="5"/>
      <c r="Z1418" s="28"/>
      <c r="AA1418" s="28"/>
      <c r="AB1418" s="28"/>
      <c r="AC1418" s="28"/>
      <c r="AD1418" s="28"/>
      <c r="AE1418" s="28"/>
      <c r="AF1418" s="28"/>
      <c r="AG1418" s="28"/>
      <c r="AH1418" s="28"/>
      <c r="AI1418" s="28"/>
      <c r="AJ1418" s="28"/>
      <c r="AK1418" s="28"/>
      <c r="AL1418" s="28"/>
      <c r="AM1418" s="28"/>
      <c r="AN1418" s="28"/>
      <c r="AO1418" s="28"/>
      <c r="AP1418" s="28"/>
      <c r="AQ1418" s="28"/>
      <c r="AR1418" s="28"/>
      <c r="AS1418" s="28"/>
      <c r="AT1418" s="5"/>
      <c r="AU1418" s="28"/>
      <c r="AV1418" s="28"/>
      <c r="AX1418" s="28"/>
      <c r="AY1418" s="28"/>
      <c r="BA1418" s="28"/>
      <c r="BB1418" s="28"/>
      <c r="BF1418" s="28"/>
      <c r="BH1418" s="28"/>
      <c r="BI1418" s="28"/>
      <c r="BJ1418" s="38"/>
      <c r="BK1418" s="28"/>
    </row>
    <row r="1419" customFormat="false" ht="15.75" hidden="false" customHeight="false" outlineLevel="0" collapsed="false">
      <c r="A1419" s="28"/>
      <c r="B1419" s="28"/>
      <c r="C1419" s="28"/>
      <c r="D1419" s="5"/>
      <c r="E1419" s="38"/>
      <c r="F1419" s="28"/>
      <c r="G1419" s="28"/>
      <c r="H1419" s="38"/>
      <c r="I1419" s="28"/>
      <c r="J1419" s="40"/>
      <c r="K1419" s="40"/>
      <c r="L1419" s="5"/>
      <c r="M1419" s="5"/>
      <c r="N1419" s="28"/>
      <c r="O1419" s="28"/>
      <c r="P1419" s="28"/>
      <c r="Q1419" s="28"/>
      <c r="R1419" s="28"/>
      <c r="S1419" s="28"/>
      <c r="T1419" s="28"/>
      <c r="V1419" s="28"/>
      <c r="W1419" s="5"/>
      <c r="X1419" s="5"/>
      <c r="Z1419" s="28"/>
      <c r="AA1419" s="28"/>
      <c r="AB1419" s="28"/>
      <c r="AC1419" s="28"/>
      <c r="AD1419" s="28"/>
      <c r="AE1419" s="28"/>
      <c r="AF1419" s="28"/>
      <c r="AG1419" s="28"/>
      <c r="AH1419" s="28"/>
      <c r="AI1419" s="28"/>
      <c r="AJ1419" s="28"/>
      <c r="AK1419" s="28"/>
      <c r="AL1419" s="28"/>
      <c r="AM1419" s="28"/>
      <c r="AN1419" s="28"/>
      <c r="AO1419" s="28"/>
      <c r="AP1419" s="28"/>
      <c r="AQ1419" s="28"/>
      <c r="AR1419" s="28"/>
      <c r="AS1419" s="28"/>
      <c r="AT1419" s="5"/>
      <c r="AU1419" s="28"/>
      <c r="AV1419" s="28"/>
      <c r="AX1419" s="28"/>
      <c r="AY1419" s="28"/>
      <c r="BA1419" s="28"/>
      <c r="BB1419" s="28"/>
      <c r="BF1419" s="28"/>
      <c r="BH1419" s="28"/>
      <c r="BI1419" s="28"/>
      <c r="BJ1419" s="38"/>
      <c r="BK1419" s="28"/>
    </row>
    <row r="1420" customFormat="false" ht="15.75" hidden="false" customHeight="false" outlineLevel="0" collapsed="false">
      <c r="A1420" s="28"/>
      <c r="B1420" s="28"/>
      <c r="C1420" s="28"/>
      <c r="D1420" s="5"/>
      <c r="E1420" s="38"/>
      <c r="F1420" s="28"/>
      <c r="G1420" s="28"/>
      <c r="H1420" s="38"/>
      <c r="I1420" s="28"/>
      <c r="J1420" s="40"/>
      <c r="K1420" s="40"/>
      <c r="L1420" s="5"/>
      <c r="M1420" s="5"/>
      <c r="N1420" s="28"/>
      <c r="O1420" s="28"/>
      <c r="P1420" s="28"/>
      <c r="Q1420" s="28"/>
      <c r="R1420" s="28"/>
      <c r="S1420" s="28"/>
      <c r="T1420" s="28"/>
      <c r="V1420" s="28"/>
      <c r="W1420" s="5"/>
      <c r="X1420" s="5"/>
      <c r="Z1420" s="28"/>
      <c r="AA1420" s="28"/>
      <c r="AB1420" s="28"/>
      <c r="AC1420" s="28"/>
      <c r="AD1420" s="28"/>
      <c r="AE1420" s="28"/>
      <c r="AF1420" s="28"/>
      <c r="AG1420" s="28"/>
      <c r="AH1420" s="28"/>
      <c r="AI1420" s="28"/>
      <c r="AJ1420" s="28"/>
      <c r="AK1420" s="28"/>
      <c r="AL1420" s="28"/>
      <c r="AM1420" s="28"/>
      <c r="AN1420" s="28"/>
      <c r="AO1420" s="28"/>
      <c r="AP1420" s="28"/>
      <c r="AQ1420" s="28"/>
      <c r="AR1420" s="28"/>
      <c r="AS1420" s="28"/>
      <c r="AT1420" s="5"/>
      <c r="AU1420" s="28"/>
      <c r="AV1420" s="28"/>
      <c r="AX1420" s="28"/>
      <c r="AY1420" s="28"/>
      <c r="BA1420" s="28"/>
      <c r="BB1420" s="28"/>
      <c r="BF1420" s="28"/>
      <c r="BH1420" s="28"/>
      <c r="BI1420" s="28"/>
      <c r="BJ1420" s="38"/>
      <c r="BK1420" s="28"/>
    </row>
    <row r="1421" customFormat="false" ht="15.75" hidden="false" customHeight="false" outlineLevel="0" collapsed="false">
      <c r="A1421" s="28"/>
      <c r="B1421" s="28"/>
      <c r="C1421" s="28"/>
      <c r="D1421" s="5"/>
      <c r="E1421" s="38"/>
      <c r="F1421" s="28"/>
      <c r="G1421" s="28"/>
      <c r="H1421" s="38"/>
      <c r="I1421" s="28"/>
      <c r="J1421" s="40"/>
      <c r="K1421" s="40"/>
      <c r="L1421" s="5"/>
      <c r="M1421" s="5"/>
      <c r="N1421" s="28"/>
      <c r="O1421" s="28"/>
      <c r="P1421" s="28"/>
      <c r="Q1421" s="28"/>
      <c r="R1421" s="28"/>
      <c r="S1421" s="28"/>
      <c r="T1421" s="28"/>
      <c r="V1421" s="28"/>
      <c r="W1421" s="5"/>
      <c r="X1421" s="5"/>
      <c r="Z1421" s="28"/>
      <c r="AA1421" s="28"/>
      <c r="AB1421" s="28"/>
      <c r="AC1421" s="28"/>
      <c r="AD1421" s="28"/>
      <c r="AE1421" s="28"/>
      <c r="AF1421" s="28"/>
      <c r="AG1421" s="28"/>
      <c r="AH1421" s="28"/>
      <c r="AI1421" s="28"/>
      <c r="AJ1421" s="28"/>
      <c r="AK1421" s="28"/>
      <c r="AL1421" s="28"/>
      <c r="AM1421" s="28"/>
      <c r="AN1421" s="28"/>
      <c r="AO1421" s="28"/>
      <c r="AP1421" s="28"/>
      <c r="AQ1421" s="28"/>
      <c r="AR1421" s="28"/>
      <c r="AS1421" s="28"/>
      <c r="AT1421" s="5"/>
      <c r="AU1421" s="28"/>
      <c r="AV1421" s="28"/>
      <c r="AX1421" s="28"/>
      <c r="AY1421" s="28"/>
      <c r="BA1421" s="28"/>
      <c r="BB1421" s="28"/>
      <c r="BF1421" s="28"/>
      <c r="BH1421" s="28"/>
      <c r="BI1421" s="28"/>
      <c r="BJ1421" s="38"/>
      <c r="BK1421" s="28"/>
    </row>
    <row r="1422" customFormat="false" ht="15.75" hidden="false" customHeight="false" outlineLevel="0" collapsed="false">
      <c r="A1422" s="28"/>
      <c r="B1422" s="28"/>
      <c r="C1422" s="28"/>
      <c r="D1422" s="5"/>
      <c r="E1422" s="38"/>
      <c r="F1422" s="28"/>
      <c r="G1422" s="28"/>
      <c r="H1422" s="38"/>
      <c r="I1422" s="28"/>
      <c r="J1422" s="40"/>
      <c r="K1422" s="40"/>
      <c r="L1422" s="5"/>
      <c r="M1422" s="5"/>
      <c r="N1422" s="28"/>
      <c r="O1422" s="28"/>
      <c r="P1422" s="28"/>
      <c r="Q1422" s="28"/>
      <c r="R1422" s="28"/>
      <c r="S1422" s="28"/>
      <c r="T1422" s="28"/>
      <c r="V1422" s="28"/>
      <c r="W1422" s="5"/>
      <c r="X1422" s="5"/>
      <c r="Z1422" s="28"/>
      <c r="AA1422" s="28"/>
      <c r="AB1422" s="28"/>
      <c r="AC1422" s="28"/>
      <c r="AD1422" s="28"/>
      <c r="AE1422" s="28"/>
      <c r="AF1422" s="28"/>
      <c r="AG1422" s="28"/>
      <c r="AH1422" s="28"/>
      <c r="AI1422" s="28"/>
      <c r="AJ1422" s="28"/>
      <c r="AK1422" s="28"/>
      <c r="AL1422" s="28"/>
      <c r="AM1422" s="28"/>
      <c r="AN1422" s="28"/>
      <c r="AO1422" s="28"/>
      <c r="AP1422" s="28"/>
      <c r="AQ1422" s="28"/>
      <c r="AR1422" s="28"/>
      <c r="AS1422" s="28"/>
      <c r="AT1422" s="5"/>
      <c r="AU1422" s="28"/>
      <c r="AV1422" s="28"/>
      <c r="AX1422" s="28"/>
      <c r="AY1422" s="28"/>
      <c r="BA1422" s="28"/>
      <c r="BB1422" s="28"/>
      <c r="BF1422" s="28"/>
      <c r="BH1422" s="28"/>
      <c r="BI1422" s="28"/>
      <c r="BJ1422" s="38"/>
      <c r="BK1422" s="28"/>
    </row>
    <row r="1423" customFormat="false" ht="15.75" hidden="false" customHeight="false" outlineLevel="0" collapsed="false">
      <c r="A1423" s="28"/>
      <c r="B1423" s="28"/>
      <c r="C1423" s="28"/>
      <c r="D1423" s="5"/>
      <c r="E1423" s="38"/>
      <c r="F1423" s="28"/>
      <c r="G1423" s="28"/>
      <c r="H1423" s="38"/>
      <c r="I1423" s="28"/>
      <c r="J1423" s="40"/>
      <c r="K1423" s="40"/>
      <c r="L1423" s="5"/>
      <c r="M1423" s="5"/>
      <c r="N1423" s="28"/>
      <c r="O1423" s="28"/>
      <c r="P1423" s="28"/>
      <c r="Q1423" s="28"/>
      <c r="R1423" s="28"/>
      <c r="S1423" s="28"/>
      <c r="T1423" s="28"/>
      <c r="V1423" s="28"/>
      <c r="W1423" s="5"/>
      <c r="X1423" s="5"/>
      <c r="Z1423" s="28"/>
      <c r="AA1423" s="28"/>
      <c r="AB1423" s="28"/>
      <c r="AC1423" s="28"/>
      <c r="AD1423" s="28"/>
      <c r="AE1423" s="28"/>
      <c r="AF1423" s="28"/>
      <c r="AG1423" s="28"/>
      <c r="AH1423" s="28"/>
      <c r="AI1423" s="28"/>
      <c r="AJ1423" s="28"/>
      <c r="AK1423" s="28"/>
      <c r="AL1423" s="28"/>
      <c r="AM1423" s="28"/>
      <c r="AN1423" s="28"/>
      <c r="AO1423" s="28"/>
      <c r="AP1423" s="28"/>
      <c r="AQ1423" s="28"/>
      <c r="AR1423" s="28"/>
      <c r="AS1423" s="28"/>
      <c r="AT1423" s="5"/>
      <c r="AU1423" s="28"/>
      <c r="AV1423" s="28"/>
      <c r="AX1423" s="28"/>
      <c r="AY1423" s="28"/>
      <c r="BA1423" s="28"/>
      <c r="BB1423" s="28"/>
      <c r="BF1423" s="28"/>
      <c r="BH1423" s="28"/>
      <c r="BI1423" s="28"/>
      <c r="BJ1423" s="38"/>
      <c r="BK1423" s="28"/>
    </row>
    <row r="1424" customFormat="false" ht="15.75" hidden="false" customHeight="false" outlineLevel="0" collapsed="false">
      <c r="A1424" s="28"/>
      <c r="B1424" s="28"/>
      <c r="C1424" s="28"/>
      <c r="D1424" s="5"/>
      <c r="E1424" s="38"/>
      <c r="F1424" s="28"/>
      <c r="G1424" s="28"/>
      <c r="H1424" s="38"/>
      <c r="I1424" s="28"/>
      <c r="J1424" s="40"/>
      <c r="K1424" s="40"/>
      <c r="L1424" s="5"/>
      <c r="M1424" s="5"/>
      <c r="N1424" s="28"/>
      <c r="O1424" s="28"/>
      <c r="P1424" s="28"/>
      <c r="Q1424" s="28"/>
      <c r="R1424" s="28"/>
      <c r="S1424" s="28"/>
      <c r="T1424" s="28"/>
      <c r="V1424" s="28"/>
      <c r="W1424" s="5"/>
      <c r="X1424" s="5"/>
      <c r="Z1424" s="28"/>
      <c r="AA1424" s="28"/>
      <c r="AB1424" s="28"/>
      <c r="AC1424" s="28"/>
      <c r="AD1424" s="28"/>
      <c r="AE1424" s="28"/>
      <c r="AF1424" s="28"/>
      <c r="AG1424" s="28"/>
      <c r="AH1424" s="28"/>
      <c r="AI1424" s="28"/>
      <c r="AJ1424" s="28"/>
      <c r="AK1424" s="28"/>
      <c r="AL1424" s="28"/>
      <c r="AM1424" s="28"/>
      <c r="AN1424" s="28"/>
      <c r="AO1424" s="28"/>
      <c r="AP1424" s="28"/>
      <c r="AQ1424" s="28"/>
      <c r="AR1424" s="28"/>
      <c r="AS1424" s="28"/>
      <c r="AT1424" s="5"/>
      <c r="AU1424" s="28"/>
      <c r="AV1424" s="28"/>
      <c r="AX1424" s="28"/>
      <c r="AY1424" s="28"/>
      <c r="BA1424" s="28"/>
      <c r="BB1424" s="28"/>
      <c r="BF1424" s="28"/>
      <c r="BH1424" s="28"/>
      <c r="BI1424" s="28"/>
      <c r="BJ1424" s="38"/>
      <c r="BK1424" s="28"/>
    </row>
    <row r="1425" customFormat="false" ht="15.75" hidden="false" customHeight="false" outlineLevel="0" collapsed="false">
      <c r="A1425" s="28"/>
      <c r="B1425" s="28"/>
      <c r="C1425" s="28"/>
      <c r="D1425" s="5"/>
      <c r="E1425" s="38"/>
      <c r="F1425" s="28"/>
      <c r="G1425" s="28"/>
      <c r="H1425" s="38"/>
      <c r="I1425" s="28"/>
      <c r="J1425" s="40"/>
      <c r="K1425" s="40"/>
      <c r="L1425" s="5"/>
      <c r="M1425" s="5"/>
      <c r="N1425" s="28"/>
      <c r="O1425" s="28"/>
      <c r="P1425" s="28"/>
      <c r="Q1425" s="28"/>
      <c r="R1425" s="28"/>
      <c r="S1425" s="28"/>
      <c r="T1425" s="28"/>
      <c r="V1425" s="28"/>
      <c r="W1425" s="5"/>
      <c r="X1425" s="5"/>
      <c r="Z1425" s="28"/>
      <c r="AA1425" s="28"/>
      <c r="AB1425" s="28"/>
      <c r="AC1425" s="28"/>
      <c r="AD1425" s="28"/>
      <c r="AE1425" s="28"/>
      <c r="AF1425" s="28"/>
      <c r="AG1425" s="28"/>
      <c r="AH1425" s="28"/>
      <c r="AI1425" s="28"/>
      <c r="AJ1425" s="28"/>
      <c r="AK1425" s="28"/>
      <c r="AL1425" s="28"/>
      <c r="AM1425" s="28"/>
      <c r="AN1425" s="28"/>
      <c r="AO1425" s="28"/>
      <c r="AP1425" s="28"/>
      <c r="AQ1425" s="28"/>
      <c r="AR1425" s="28"/>
      <c r="AS1425" s="28"/>
      <c r="AT1425" s="5"/>
      <c r="AU1425" s="28"/>
      <c r="AV1425" s="28"/>
      <c r="AX1425" s="28"/>
      <c r="AY1425" s="28"/>
      <c r="BA1425" s="28"/>
      <c r="BB1425" s="28"/>
      <c r="BF1425" s="28"/>
      <c r="BH1425" s="28"/>
      <c r="BI1425" s="28"/>
      <c r="BJ1425" s="38"/>
      <c r="BK1425" s="28"/>
    </row>
    <row r="1426" customFormat="false" ht="15.75" hidden="false" customHeight="false" outlineLevel="0" collapsed="false">
      <c r="A1426" s="28"/>
      <c r="B1426" s="28"/>
      <c r="C1426" s="28"/>
      <c r="D1426" s="5"/>
      <c r="E1426" s="38"/>
      <c r="F1426" s="28"/>
      <c r="G1426" s="28"/>
      <c r="H1426" s="38"/>
      <c r="I1426" s="28"/>
      <c r="J1426" s="40"/>
      <c r="K1426" s="40"/>
      <c r="L1426" s="5"/>
      <c r="M1426" s="5"/>
      <c r="N1426" s="28"/>
      <c r="O1426" s="28"/>
      <c r="P1426" s="28"/>
      <c r="Q1426" s="28"/>
      <c r="R1426" s="28"/>
      <c r="S1426" s="28"/>
      <c r="T1426" s="28"/>
      <c r="V1426" s="28"/>
      <c r="W1426" s="5"/>
      <c r="X1426" s="5"/>
      <c r="Z1426" s="28"/>
      <c r="AA1426" s="28"/>
      <c r="AB1426" s="28"/>
      <c r="AC1426" s="28"/>
      <c r="AD1426" s="28"/>
      <c r="AE1426" s="28"/>
      <c r="AF1426" s="28"/>
      <c r="AG1426" s="28"/>
      <c r="AH1426" s="28"/>
      <c r="AI1426" s="28"/>
      <c r="AJ1426" s="28"/>
      <c r="AK1426" s="28"/>
      <c r="AL1426" s="28"/>
      <c r="AM1426" s="28"/>
      <c r="AN1426" s="28"/>
      <c r="AO1426" s="28"/>
      <c r="AP1426" s="28"/>
      <c r="AQ1426" s="28"/>
      <c r="AR1426" s="28"/>
      <c r="AS1426" s="28"/>
      <c r="AT1426" s="5"/>
      <c r="AU1426" s="28"/>
      <c r="AV1426" s="28"/>
      <c r="AX1426" s="28"/>
      <c r="AY1426" s="28"/>
      <c r="BA1426" s="28"/>
      <c r="BB1426" s="28"/>
      <c r="BF1426" s="28"/>
      <c r="BH1426" s="28"/>
      <c r="BI1426" s="28"/>
      <c r="BJ1426" s="38"/>
      <c r="BK1426" s="28"/>
    </row>
    <row r="1427" customFormat="false" ht="15.75" hidden="false" customHeight="false" outlineLevel="0" collapsed="false">
      <c r="A1427" s="28"/>
      <c r="B1427" s="28"/>
      <c r="C1427" s="28"/>
      <c r="D1427" s="5"/>
      <c r="E1427" s="38"/>
      <c r="F1427" s="28"/>
      <c r="G1427" s="28"/>
      <c r="H1427" s="38"/>
      <c r="I1427" s="28"/>
      <c r="J1427" s="40"/>
      <c r="K1427" s="40"/>
      <c r="L1427" s="5"/>
      <c r="M1427" s="5"/>
      <c r="N1427" s="28"/>
      <c r="O1427" s="28"/>
      <c r="P1427" s="28"/>
      <c r="Q1427" s="28"/>
      <c r="R1427" s="28"/>
      <c r="S1427" s="28"/>
      <c r="T1427" s="28"/>
      <c r="V1427" s="28"/>
      <c r="W1427" s="5"/>
      <c r="X1427" s="5"/>
      <c r="Z1427" s="28"/>
      <c r="AA1427" s="28"/>
      <c r="AB1427" s="28"/>
      <c r="AC1427" s="28"/>
      <c r="AD1427" s="28"/>
      <c r="AE1427" s="28"/>
      <c r="AF1427" s="28"/>
      <c r="AG1427" s="28"/>
      <c r="AH1427" s="28"/>
      <c r="AI1427" s="28"/>
      <c r="AJ1427" s="28"/>
      <c r="AK1427" s="28"/>
      <c r="AL1427" s="28"/>
      <c r="AM1427" s="28"/>
      <c r="AN1427" s="28"/>
      <c r="AO1427" s="28"/>
      <c r="AP1427" s="28"/>
      <c r="AQ1427" s="28"/>
      <c r="AR1427" s="28"/>
      <c r="AS1427" s="28"/>
      <c r="AT1427" s="5"/>
      <c r="AU1427" s="28"/>
      <c r="AV1427" s="28"/>
      <c r="AX1427" s="28"/>
      <c r="AY1427" s="28"/>
      <c r="BA1427" s="28"/>
      <c r="BB1427" s="28"/>
      <c r="BF1427" s="28"/>
      <c r="BH1427" s="28"/>
      <c r="BI1427" s="28"/>
      <c r="BJ1427" s="38"/>
      <c r="BK1427" s="28"/>
    </row>
    <row r="1428" customFormat="false" ht="15.75" hidden="false" customHeight="false" outlineLevel="0" collapsed="false">
      <c r="A1428" s="28"/>
      <c r="B1428" s="28"/>
      <c r="C1428" s="28"/>
      <c r="D1428" s="5"/>
      <c r="E1428" s="38"/>
      <c r="F1428" s="28"/>
      <c r="G1428" s="28"/>
      <c r="H1428" s="38"/>
      <c r="I1428" s="28"/>
      <c r="J1428" s="40"/>
      <c r="K1428" s="40"/>
      <c r="L1428" s="5"/>
      <c r="M1428" s="5"/>
      <c r="N1428" s="28"/>
      <c r="O1428" s="28"/>
      <c r="P1428" s="28"/>
      <c r="Q1428" s="28"/>
      <c r="R1428" s="28"/>
      <c r="S1428" s="28"/>
      <c r="T1428" s="28"/>
      <c r="V1428" s="28"/>
      <c r="W1428" s="5"/>
      <c r="X1428" s="5"/>
      <c r="Z1428" s="28"/>
      <c r="AA1428" s="28"/>
      <c r="AB1428" s="28"/>
      <c r="AC1428" s="28"/>
      <c r="AD1428" s="28"/>
      <c r="AE1428" s="28"/>
      <c r="AF1428" s="28"/>
      <c r="AG1428" s="28"/>
      <c r="AH1428" s="28"/>
      <c r="AI1428" s="28"/>
      <c r="AJ1428" s="28"/>
      <c r="AK1428" s="28"/>
      <c r="AL1428" s="28"/>
      <c r="AM1428" s="28"/>
      <c r="AN1428" s="28"/>
      <c r="AO1428" s="28"/>
      <c r="AP1428" s="28"/>
      <c r="AQ1428" s="28"/>
      <c r="AR1428" s="28"/>
      <c r="AS1428" s="28"/>
      <c r="AT1428" s="5"/>
      <c r="AU1428" s="28"/>
      <c r="AV1428" s="28"/>
      <c r="AX1428" s="28"/>
      <c r="AY1428" s="28"/>
      <c r="BA1428" s="28"/>
      <c r="BB1428" s="28"/>
      <c r="BF1428" s="28"/>
      <c r="BH1428" s="28"/>
      <c r="BI1428" s="28"/>
      <c r="BJ1428" s="38"/>
      <c r="BK1428" s="28"/>
    </row>
    <row r="1429" customFormat="false" ht="15.75" hidden="false" customHeight="false" outlineLevel="0" collapsed="false">
      <c r="A1429" s="28"/>
      <c r="B1429" s="28"/>
      <c r="C1429" s="28"/>
      <c r="D1429" s="5"/>
      <c r="E1429" s="38"/>
      <c r="F1429" s="28"/>
      <c r="G1429" s="28"/>
      <c r="H1429" s="38"/>
      <c r="I1429" s="28"/>
      <c r="J1429" s="40"/>
      <c r="K1429" s="40"/>
      <c r="L1429" s="5"/>
      <c r="M1429" s="5"/>
      <c r="N1429" s="28"/>
      <c r="O1429" s="28"/>
      <c r="P1429" s="28"/>
      <c r="Q1429" s="28"/>
      <c r="R1429" s="28"/>
      <c r="S1429" s="28"/>
      <c r="T1429" s="28"/>
      <c r="V1429" s="28"/>
      <c r="W1429" s="5"/>
      <c r="X1429" s="5"/>
      <c r="Z1429" s="28"/>
      <c r="AA1429" s="28"/>
      <c r="AB1429" s="28"/>
      <c r="AC1429" s="28"/>
      <c r="AD1429" s="28"/>
      <c r="AE1429" s="28"/>
      <c r="AF1429" s="28"/>
      <c r="AG1429" s="28"/>
      <c r="AH1429" s="28"/>
      <c r="AI1429" s="28"/>
      <c r="AJ1429" s="28"/>
      <c r="AK1429" s="28"/>
      <c r="AL1429" s="28"/>
      <c r="AM1429" s="28"/>
      <c r="AN1429" s="28"/>
      <c r="AO1429" s="28"/>
      <c r="AP1429" s="28"/>
      <c r="AQ1429" s="28"/>
      <c r="AR1429" s="28"/>
      <c r="AS1429" s="28"/>
      <c r="AT1429" s="5"/>
      <c r="AU1429" s="28"/>
      <c r="AV1429" s="28"/>
      <c r="AX1429" s="28"/>
      <c r="AY1429" s="28"/>
      <c r="BA1429" s="28"/>
      <c r="BB1429" s="28"/>
      <c r="BF1429" s="28"/>
      <c r="BH1429" s="28"/>
      <c r="BI1429" s="28"/>
      <c r="BJ1429" s="38"/>
      <c r="BK1429" s="28"/>
    </row>
    <row r="1430" customFormat="false" ht="15.75" hidden="false" customHeight="false" outlineLevel="0" collapsed="false">
      <c r="A1430" s="28"/>
      <c r="B1430" s="28"/>
      <c r="C1430" s="28"/>
      <c r="D1430" s="5"/>
      <c r="E1430" s="38"/>
      <c r="F1430" s="28"/>
      <c r="G1430" s="28"/>
      <c r="H1430" s="38"/>
      <c r="I1430" s="28"/>
      <c r="J1430" s="40"/>
      <c r="K1430" s="40"/>
      <c r="L1430" s="5"/>
      <c r="M1430" s="5"/>
      <c r="N1430" s="28"/>
      <c r="O1430" s="28"/>
      <c r="P1430" s="28"/>
      <c r="Q1430" s="28"/>
      <c r="R1430" s="28"/>
      <c r="S1430" s="28"/>
      <c r="T1430" s="28"/>
      <c r="V1430" s="28"/>
      <c r="W1430" s="5"/>
      <c r="X1430" s="5"/>
      <c r="Z1430" s="28"/>
      <c r="AA1430" s="28"/>
      <c r="AB1430" s="28"/>
      <c r="AC1430" s="28"/>
      <c r="AD1430" s="28"/>
      <c r="AE1430" s="28"/>
      <c r="AF1430" s="28"/>
      <c r="AG1430" s="28"/>
      <c r="AH1430" s="28"/>
      <c r="AI1430" s="28"/>
      <c r="AJ1430" s="28"/>
      <c r="AK1430" s="28"/>
      <c r="AL1430" s="28"/>
      <c r="AM1430" s="28"/>
      <c r="AN1430" s="28"/>
      <c r="AO1430" s="28"/>
      <c r="AP1430" s="28"/>
      <c r="AQ1430" s="28"/>
      <c r="AR1430" s="28"/>
      <c r="AS1430" s="28"/>
      <c r="AT1430" s="5"/>
      <c r="AU1430" s="28"/>
      <c r="AV1430" s="28"/>
      <c r="AX1430" s="28"/>
      <c r="AY1430" s="28"/>
      <c r="BA1430" s="28"/>
      <c r="BB1430" s="28"/>
      <c r="BF1430" s="28"/>
      <c r="BH1430" s="28"/>
      <c r="BI1430" s="28"/>
      <c r="BJ1430" s="38"/>
      <c r="BK1430" s="28"/>
    </row>
    <row r="1431" customFormat="false" ht="15.75" hidden="false" customHeight="false" outlineLevel="0" collapsed="false">
      <c r="A1431" s="28"/>
      <c r="B1431" s="28"/>
      <c r="C1431" s="28"/>
      <c r="D1431" s="5"/>
      <c r="E1431" s="38"/>
      <c r="F1431" s="28"/>
      <c r="G1431" s="28"/>
      <c r="H1431" s="38"/>
      <c r="I1431" s="28"/>
      <c r="J1431" s="40"/>
      <c r="K1431" s="40"/>
      <c r="L1431" s="5"/>
      <c r="M1431" s="5"/>
      <c r="N1431" s="28"/>
      <c r="O1431" s="28"/>
      <c r="P1431" s="28"/>
      <c r="Q1431" s="28"/>
      <c r="R1431" s="28"/>
      <c r="S1431" s="28"/>
      <c r="T1431" s="28"/>
      <c r="V1431" s="28"/>
      <c r="W1431" s="5"/>
      <c r="X1431" s="5"/>
      <c r="Z1431" s="28"/>
      <c r="AA1431" s="28"/>
      <c r="AB1431" s="28"/>
      <c r="AC1431" s="28"/>
      <c r="AD1431" s="28"/>
      <c r="AE1431" s="28"/>
      <c r="AF1431" s="28"/>
      <c r="AG1431" s="28"/>
      <c r="AH1431" s="28"/>
      <c r="AI1431" s="28"/>
      <c r="AJ1431" s="28"/>
      <c r="AK1431" s="28"/>
      <c r="AL1431" s="28"/>
      <c r="AM1431" s="28"/>
      <c r="AN1431" s="28"/>
      <c r="AO1431" s="28"/>
      <c r="AP1431" s="28"/>
      <c r="AQ1431" s="28"/>
      <c r="AR1431" s="28"/>
      <c r="AS1431" s="28"/>
      <c r="AT1431" s="5"/>
      <c r="AU1431" s="28"/>
      <c r="AV1431" s="28"/>
      <c r="AX1431" s="28"/>
      <c r="AY1431" s="28"/>
      <c r="BA1431" s="28"/>
      <c r="BB1431" s="28"/>
      <c r="BF1431" s="28"/>
      <c r="BH1431" s="28"/>
      <c r="BI1431" s="28"/>
      <c r="BJ1431" s="38"/>
      <c r="BK1431" s="28"/>
    </row>
    <row r="1432" customFormat="false" ht="15.75" hidden="false" customHeight="false" outlineLevel="0" collapsed="false">
      <c r="A1432" s="28"/>
      <c r="B1432" s="28"/>
      <c r="C1432" s="28"/>
      <c r="D1432" s="5"/>
      <c r="E1432" s="38"/>
      <c r="F1432" s="28"/>
      <c r="G1432" s="28"/>
      <c r="H1432" s="38"/>
      <c r="I1432" s="28"/>
      <c r="J1432" s="40"/>
      <c r="K1432" s="40"/>
      <c r="L1432" s="5"/>
      <c r="M1432" s="5"/>
      <c r="N1432" s="28"/>
      <c r="O1432" s="28"/>
      <c r="P1432" s="28"/>
      <c r="Q1432" s="28"/>
      <c r="R1432" s="28"/>
      <c r="S1432" s="28"/>
      <c r="T1432" s="28"/>
      <c r="V1432" s="28"/>
      <c r="W1432" s="5"/>
      <c r="X1432" s="5"/>
      <c r="Z1432" s="28"/>
      <c r="AA1432" s="28"/>
      <c r="AB1432" s="28"/>
      <c r="AC1432" s="28"/>
      <c r="AD1432" s="28"/>
      <c r="AE1432" s="28"/>
      <c r="AF1432" s="28"/>
      <c r="AG1432" s="28"/>
      <c r="AH1432" s="28"/>
      <c r="AI1432" s="28"/>
      <c r="AJ1432" s="28"/>
      <c r="AK1432" s="28"/>
      <c r="AL1432" s="28"/>
      <c r="AM1432" s="28"/>
      <c r="AN1432" s="28"/>
      <c r="AO1432" s="28"/>
      <c r="AP1432" s="28"/>
      <c r="AQ1432" s="28"/>
      <c r="AR1432" s="28"/>
      <c r="AS1432" s="28"/>
      <c r="AT1432" s="5"/>
      <c r="AU1432" s="28"/>
      <c r="AV1432" s="28"/>
      <c r="AX1432" s="28"/>
      <c r="AY1432" s="28"/>
      <c r="BA1432" s="28"/>
      <c r="BB1432" s="28"/>
      <c r="BF1432" s="28"/>
      <c r="BH1432" s="28"/>
      <c r="BI1432" s="28"/>
      <c r="BJ1432" s="38"/>
      <c r="BK1432" s="28"/>
    </row>
    <row r="1433" customFormat="false" ht="15.75" hidden="false" customHeight="false" outlineLevel="0" collapsed="false">
      <c r="A1433" s="28"/>
      <c r="B1433" s="28"/>
      <c r="C1433" s="28"/>
      <c r="D1433" s="5"/>
      <c r="E1433" s="38"/>
      <c r="F1433" s="28"/>
      <c r="G1433" s="28"/>
      <c r="H1433" s="38"/>
      <c r="I1433" s="28"/>
      <c r="J1433" s="40"/>
      <c r="K1433" s="40"/>
      <c r="L1433" s="5"/>
      <c r="M1433" s="5"/>
      <c r="N1433" s="28"/>
      <c r="O1433" s="28"/>
      <c r="P1433" s="28"/>
      <c r="Q1433" s="28"/>
      <c r="R1433" s="28"/>
      <c r="S1433" s="28"/>
      <c r="T1433" s="28"/>
      <c r="V1433" s="28"/>
      <c r="W1433" s="5"/>
      <c r="X1433" s="5"/>
      <c r="Z1433" s="28"/>
      <c r="AA1433" s="28"/>
      <c r="AB1433" s="28"/>
      <c r="AC1433" s="28"/>
      <c r="AD1433" s="28"/>
      <c r="AE1433" s="28"/>
      <c r="AF1433" s="28"/>
      <c r="AG1433" s="28"/>
      <c r="AH1433" s="28"/>
      <c r="AI1433" s="28"/>
      <c r="AJ1433" s="28"/>
      <c r="AK1433" s="28"/>
      <c r="AL1433" s="28"/>
      <c r="AM1433" s="28"/>
      <c r="AN1433" s="28"/>
      <c r="AO1433" s="28"/>
      <c r="AP1433" s="28"/>
      <c r="AQ1433" s="28"/>
      <c r="AR1433" s="28"/>
      <c r="AS1433" s="28"/>
      <c r="AT1433" s="5"/>
      <c r="AU1433" s="28"/>
      <c r="AV1433" s="28"/>
      <c r="AX1433" s="28"/>
      <c r="AY1433" s="28"/>
      <c r="BA1433" s="28"/>
      <c r="BB1433" s="28"/>
      <c r="BF1433" s="28"/>
      <c r="BH1433" s="28"/>
      <c r="BI1433" s="28"/>
      <c r="BJ1433" s="38"/>
      <c r="BK1433" s="28"/>
    </row>
    <row r="1434" customFormat="false" ht="15.75" hidden="false" customHeight="false" outlineLevel="0" collapsed="false">
      <c r="A1434" s="28"/>
      <c r="B1434" s="28"/>
      <c r="C1434" s="28"/>
      <c r="D1434" s="5"/>
      <c r="E1434" s="38"/>
      <c r="F1434" s="28"/>
      <c r="G1434" s="28"/>
      <c r="H1434" s="38"/>
      <c r="I1434" s="28"/>
      <c r="J1434" s="40"/>
      <c r="K1434" s="40"/>
      <c r="L1434" s="5"/>
      <c r="M1434" s="5"/>
      <c r="N1434" s="28"/>
      <c r="O1434" s="28"/>
      <c r="P1434" s="28"/>
      <c r="Q1434" s="28"/>
      <c r="R1434" s="28"/>
      <c r="S1434" s="28"/>
      <c r="T1434" s="28"/>
      <c r="V1434" s="28"/>
      <c r="W1434" s="5"/>
      <c r="X1434" s="5"/>
      <c r="Z1434" s="28"/>
      <c r="AA1434" s="28"/>
      <c r="AB1434" s="28"/>
      <c r="AC1434" s="28"/>
      <c r="AD1434" s="28"/>
      <c r="AE1434" s="28"/>
      <c r="AF1434" s="28"/>
      <c r="AG1434" s="28"/>
      <c r="AH1434" s="28"/>
      <c r="AI1434" s="28"/>
      <c r="AJ1434" s="28"/>
      <c r="AK1434" s="28"/>
      <c r="AL1434" s="28"/>
      <c r="AM1434" s="28"/>
      <c r="AN1434" s="28"/>
      <c r="AO1434" s="28"/>
      <c r="AP1434" s="28"/>
      <c r="AQ1434" s="28"/>
      <c r="AR1434" s="28"/>
      <c r="AS1434" s="28"/>
      <c r="AT1434" s="5"/>
      <c r="AU1434" s="28"/>
      <c r="AV1434" s="28"/>
      <c r="AX1434" s="28"/>
      <c r="AY1434" s="28"/>
      <c r="BA1434" s="28"/>
      <c r="BB1434" s="28"/>
      <c r="BF1434" s="28"/>
      <c r="BH1434" s="28"/>
      <c r="BI1434" s="28"/>
      <c r="BJ1434" s="38"/>
      <c r="BK1434" s="28"/>
    </row>
    <row r="1435" customFormat="false" ht="15.75" hidden="false" customHeight="false" outlineLevel="0" collapsed="false">
      <c r="A1435" s="28"/>
      <c r="B1435" s="28"/>
      <c r="C1435" s="28"/>
      <c r="D1435" s="5"/>
      <c r="E1435" s="38"/>
      <c r="F1435" s="28"/>
      <c r="G1435" s="28"/>
      <c r="H1435" s="38"/>
      <c r="I1435" s="28"/>
      <c r="J1435" s="40"/>
      <c r="K1435" s="40"/>
      <c r="L1435" s="5"/>
      <c r="M1435" s="5"/>
      <c r="N1435" s="28"/>
      <c r="O1435" s="28"/>
      <c r="P1435" s="28"/>
      <c r="Q1435" s="28"/>
      <c r="R1435" s="28"/>
      <c r="S1435" s="28"/>
      <c r="T1435" s="28"/>
      <c r="V1435" s="28"/>
      <c r="W1435" s="5"/>
      <c r="X1435" s="5"/>
      <c r="Z1435" s="28"/>
      <c r="AA1435" s="28"/>
      <c r="AB1435" s="28"/>
      <c r="AC1435" s="28"/>
      <c r="AD1435" s="28"/>
      <c r="AE1435" s="28"/>
      <c r="AF1435" s="28"/>
      <c r="AG1435" s="28"/>
      <c r="AH1435" s="28"/>
      <c r="AI1435" s="28"/>
      <c r="AJ1435" s="28"/>
      <c r="AK1435" s="28"/>
      <c r="AL1435" s="28"/>
      <c r="AM1435" s="28"/>
      <c r="AN1435" s="28"/>
      <c r="AO1435" s="28"/>
      <c r="AP1435" s="28"/>
      <c r="AQ1435" s="28"/>
      <c r="AR1435" s="28"/>
      <c r="AS1435" s="28"/>
      <c r="AT1435" s="5"/>
      <c r="AU1435" s="28"/>
      <c r="AV1435" s="28"/>
      <c r="AX1435" s="28"/>
      <c r="AY1435" s="28"/>
      <c r="BA1435" s="28"/>
      <c r="BB1435" s="28"/>
      <c r="BF1435" s="28"/>
      <c r="BH1435" s="28"/>
      <c r="BI1435" s="28"/>
      <c r="BJ1435" s="38"/>
      <c r="BK1435" s="28"/>
    </row>
    <row r="1436" customFormat="false" ht="15.75" hidden="false" customHeight="false" outlineLevel="0" collapsed="false">
      <c r="A1436" s="28"/>
      <c r="B1436" s="28"/>
      <c r="C1436" s="28"/>
      <c r="D1436" s="5"/>
      <c r="E1436" s="38"/>
      <c r="F1436" s="28"/>
      <c r="G1436" s="28"/>
      <c r="H1436" s="38"/>
      <c r="I1436" s="28"/>
      <c r="J1436" s="40"/>
      <c r="K1436" s="40"/>
      <c r="L1436" s="5"/>
      <c r="M1436" s="5"/>
      <c r="N1436" s="28"/>
      <c r="O1436" s="28"/>
      <c r="P1436" s="28"/>
      <c r="Q1436" s="28"/>
      <c r="R1436" s="28"/>
      <c r="S1436" s="28"/>
      <c r="T1436" s="28"/>
      <c r="V1436" s="28"/>
      <c r="W1436" s="5"/>
      <c r="X1436" s="5"/>
      <c r="Z1436" s="28"/>
      <c r="AA1436" s="28"/>
      <c r="AB1436" s="28"/>
      <c r="AC1436" s="28"/>
      <c r="AD1436" s="28"/>
      <c r="AE1436" s="28"/>
      <c r="AF1436" s="28"/>
      <c r="AG1436" s="28"/>
      <c r="AH1436" s="28"/>
      <c r="AI1436" s="28"/>
      <c r="AJ1436" s="28"/>
      <c r="AK1436" s="28"/>
      <c r="AL1436" s="28"/>
      <c r="AM1436" s="28"/>
      <c r="AN1436" s="28"/>
      <c r="AO1436" s="28"/>
      <c r="AP1436" s="28"/>
      <c r="AQ1436" s="28"/>
      <c r="AR1436" s="28"/>
      <c r="AS1436" s="28"/>
      <c r="AT1436" s="5"/>
      <c r="AU1436" s="28"/>
      <c r="AV1436" s="28"/>
      <c r="AX1436" s="28"/>
      <c r="AY1436" s="28"/>
      <c r="BA1436" s="28"/>
      <c r="BB1436" s="28"/>
      <c r="BF1436" s="28"/>
      <c r="BH1436" s="28"/>
      <c r="BI1436" s="28"/>
      <c r="BJ1436" s="38"/>
      <c r="BK1436" s="28"/>
    </row>
    <row r="1437" customFormat="false" ht="15.75" hidden="false" customHeight="false" outlineLevel="0" collapsed="false">
      <c r="A1437" s="28"/>
      <c r="B1437" s="28"/>
      <c r="C1437" s="28"/>
      <c r="D1437" s="5"/>
      <c r="E1437" s="38"/>
      <c r="F1437" s="28"/>
      <c r="G1437" s="28"/>
      <c r="H1437" s="38"/>
      <c r="I1437" s="28"/>
      <c r="J1437" s="40"/>
      <c r="K1437" s="40"/>
      <c r="L1437" s="5"/>
      <c r="M1437" s="5"/>
      <c r="N1437" s="28"/>
      <c r="O1437" s="28"/>
      <c r="P1437" s="28"/>
      <c r="Q1437" s="28"/>
      <c r="R1437" s="28"/>
      <c r="S1437" s="28"/>
      <c r="T1437" s="28"/>
      <c r="V1437" s="28"/>
      <c r="W1437" s="5"/>
      <c r="X1437" s="5"/>
      <c r="Z1437" s="28"/>
      <c r="AA1437" s="28"/>
      <c r="AB1437" s="28"/>
      <c r="AC1437" s="28"/>
      <c r="AD1437" s="28"/>
      <c r="AE1437" s="28"/>
      <c r="AF1437" s="28"/>
      <c r="AG1437" s="28"/>
      <c r="AH1437" s="28"/>
      <c r="AI1437" s="28"/>
      <c r="AJ1437" s="28"/>
      <c r="AK1437" s="28"/>
      <c r="AL1437" s="28"/>
      <c r="AM1437" s="28"/>
      <c r="AN1437" s="28"/>
      <c r="AO1437" s="28"/>
      <c r="AP1437" s="28"/>
      <c r="AQ1437" s="28"/>
      <c r="AR1437" s="28"/>
      <c r="AS1437" s="28"/>
      <c r="AT1437" s="5"/>
      <c r="AU1437" s="28"/>
      <c r="AV1437" s="28"/>
      <c r="AX1437" s="28"/>
      <c r="AY1437" s="28"/>
      <c r="BA1437" s="28"/>
      <c r="BB1437" s="28"/>
      <c r="BF1437" s="28"/>
      <c r="BH1437" s="28"/>
      <c r="BI1437" s="28"/>
      <c r="BJ1437" s="38"/>
      <c r="BK1437" s="28"/>
    </row>
    <row r="1438" customFormat="false" ht="15.75" hidden="false" customHeight="false" outlineLevel="0" collapsed="false">
      <c r="A1438" s="28"/>
      <c r="B1438" s="28"/>
      <c r="C1438" s="28"/>
      <c r="D1438" s="5"/>
      <c r="E1438" s="38"/>
      <c r="F1438" s="28"/>
      <c r="G1438" s="28"/>
      <c r="H1438" s="38"/>
      <c r="I1438" s="28"/>
      <c r="J1438" s="40"/>
      <c r="K1438" s="40"/>
      <c r="L1438" s="5"/>
      <c r="M1438" s="5"/>
      <c r="N1438" s="28"/>
      <c r="O1438" s="28"/>
      <c r="P1438" s="28"/>
      <c r="Q1438" s="28"/>
      <c r="R1438" s="28"/>
      <c r="S1438" s="28"/>
      <c r="T1438" s="28"/>
      <c r="V1438" s="28"/>
      <c r="W1438" s="5"/>
      <c r="X1438" s="5"/>
      <c r="Z1438" s="28"/>
      <c r="AA1438" s="28"/>
      <c r="AB1438" s="28"/>
      <c r="AC1438" s="28"/>
      <c r="AD1438" s="28"/>
      <c r="AE1438" s="28"/>
      <c r="AF1438" s="28"/>
      <c r="AG1438" s="28"/>
      <c r="AH1438" s="28"/>
      <c r="AI1438" s="28"/>
      <c r="AJ1438" s="28"/>
      <c r="AK1438" s="28"/>
      <c r="AL1438" s="28"/>
      <c r="AM1438" s="28"/>
      <c r="AN1438" s="28"/>
      <c r="AO1438" s="28"/>
      <c r="AP1438" s="28"/>
      <c r="AQ1438" s="28"/>
      <c r="AR1438" s="28"/>
      <c r="AS1438" s="28"/>
      <c r="AT1438" s="5"/>
      <c r="AU1438" s="28"/>
      <c r="AV1438" s="28"/>
      <c r="AX1438" s="28"/>
      <c r="AY1438" s="28"/>
      <c r="BA1438" s="28"/>
      <c r="BB1438" s="28"/>
      <c r="BF1438" s="28"/>
      <c r="BH1438" s="28"/>
      <c r="BI1438" s="28"/>
      <c r="BJ1438" s="38"/>
      <c r="BK1438" s="28"/>
    </row>
    <row r="1439" customFormat="false" ht="15.75" hidden="false" customHeight="false" outlineLevel="0" collapsed="false">
      <c r="A1439" s="28"/>
      <c r="B1439" s="28"/>
      <c r="C1439" s="28"/>
      <c r="D1439" s="5"/>
      <c r="E1439" s="38"/>
      <c r="F1439" s="28"/>
      <c r="G1439" s="28"/>
      <c r="H1439" s="38"/>
      <c r="I1439" s="28"/>
      <c r="J1439" s="40"/>
      <c r="K1439" s="40"/>
      <c r="L1439" s="5"/>
      <c r="M1439" s="5"/>
      <c r="N1439" s="28"/>
      <c r="O1439" s="28"/>
      <c r="P1439" s="28"/>
      <c r="Q1439" s="28"/>
      <c r="R1439" s="28"/>
      <c r="S1439" s="28"/>
      <c r="T1439" s="28"/>
      <c r="V1439" s="28"/>
      <c r="W1439" s="5"/>
      <c r="X1439" s="5"/>
      <c r="Z1439" s="28"/>
      <c r="AA1439" s="28"/>
      <c r="AB1439" s="28"/>
      <c r="AC1439" s="28"/>
      <c r="AD1439" s="28"/>
      <c r="AE1439" s="28"/>
      <c r="AF1439" s="28"/>
      <c r="AG1439" s="28"/>
      <c r="AH1439" s="28"/>
      <c r="AI1439" s="28"/>
      <c r="AJ1439" s="28"/>
      <c r="AK1439" s="28"/>
      <c r="AL1439" s="28"/>
      <c r="AM1439" s="28"/>
      <c r="AN1439" s="28"/>
      <c r="AO1439" s="28"/>
      <c r="AP1439" s="28"/>
      <c r="AQ1439" s="28"/>
      <c r="AR1439" s="28"/>
      <c r="AS1439" s="28"/>
      <c r="AT1439" s="5"/>
      <c r="AU1439" s="28"/>
      <c r="AV1439" s="28"/>
      <c r="AX1439" s="28"/>
      <c r="AY1439" s="28"/>
      <c r="BA1439" s="28"/>
      <c r="BB1439" s="28"/>
      <c r="BF1439" s="28"/>
      <c r="BH1439" s="28"/>
      <c r="BI1439" s="28"/>
      <c r="BJ1439" s="38"/>
      <c r="BK1439" s="28"/>
    </row>
    <row r="1440" customFormat="false" ht="15.75" hidden="false" customHeight="false" outlineLevel="0" collapsed="false">
      <c r="A1440" s="28"/>
      <c r="B1440" s="28"/>
      <c r="C1440" s="28"/>
      <c r="D1440" s="5"/>
      <c r="E1440" s="38"/>
      <c r="F1440" s="28"/>
      <c r="G1440" s="28"/>
      <c r="H1440" s="38"/>
      <c r="I1440" s="28"/>
      <c r="J1440" s="40"/>
      <c r="K1440" s="40"/>
      <c r="L1440" s="5"/>
      <c r="M1440" s="5"/>
      <c r="N1440" s="28"/>
      <c r="O1440" s="28"/>
      <c r="P1440" s="28"/>
      <c r="Q1440" s="28"/>
      <c r="R1440" s="28"/>
      <c r="S1440" s="28"/>
      <c r="T1440" s="28"/>
      <c r="V1440" s="28"/>
      <c r="W1440" s="5"/>
      <c r="X1440" s="5"/>
      <c r="Z1440" s="28"/>
      <c r="AA1440" s="28"/>
      <c r="AB1440" s="28"/>
      <c r="AC1440" s="28"/>
      <c r="AD1440" s="28"/>
      <c r="AE1440" s="28"/>
      <c r="AF1440" s="28"/>
      <c r="AG1440" s="28"/>
      <c r="AH1440" s="28"/>
      <c r="AI1440" s="28"/>
      <c r="AJ1440" s="28"/>
      <c r="AK1440" s="28"/>
      <c r="AL1440" s="28"/>
      <c r="AM1440" s="28"/>
      <c r="AN1440" s="28"/>
      <c r="AO1440" s="28"/>
      <c r="AP1440" s="28"/>
      <c r="AQ1440" s="28"/>
      <c r="AR1440" s="28"/>
      <c r="AS1440" s="28"/>
      <c r="AT1440" s="5"/>
      <c r="AU1440" s="28"/>
      <c r="AV1440" s="28"/>
      <c r="AX1440" s="28"/>
      <c r="AY1440" s="28"/>
      <c r="BA1440" s="28"/>
      <c r="BB1440" s="28"/>
      <c r="BF1440" s="28"/>
      <c r="BH1440" s="28"/>
      <c r="BI1440" s="28"/>
      <c r="BJ1440" s="38"/>
      <c r="BK1440" s="28"/>
    </row>
    <row r="1441" customFormat="false" ht="15.75" hidden="false" customHeight="false" outlineLevel="0" collapsed="false">
      <c r="A1441" s="28"/>
      <c r="B1441" s="28"/>
      <c r="C1441" s="28"/>
      <c r="D1441" s="5"/>
      <c r="E1441" s="38"/>
      <c r="F1441" s="28"/>
      <c r="G1441" s="28"/>
      <c r="H1441" s="38"/>
      <c r="I1441" s="28"/>
      <c r="J1441" s="40"/>
      <c r="K1441" s="40"/>
      <c r="L1441" s="5"/>
      <c r="M1441" s="5"/>
      <c r="N1441" s="28"/>
      <c r="O1441" s="28"/>
      <c r="P1441" s="28"/>
      <c r="Q1441" s="28"/>
      <c r="R1441" s="28"/>
      <c r="S1441" s="28"/>
      <c r="T1441" s="28"/>
      <c r="V1441" s="28"/>
      <c r="W1441" s="5"/>
      <c r="X1441" s="5"/>
      <c r="Z1441" s="28"/>
      <c r="AA1441" s="28"/>
      <c r="AB1441" s="28"/>
      <c r="AC1441" s="28"/>
      <c r="AD1441" s="28"/>
      <c r="AE1441" s="28"/>
      <c r="AF1441" s="28"/>
      <c r="AG1441" s="28"/>
      <c r="AH1441" s="28"/>
      <c r="AI1441" s="28"/>
      <c r="AJ1441" s="28"/>
      <c r="AK1441" s="28"/>
      <c r="AL1441" s="28"/>
      <c r="AM1441" s="28"/>
      <c r="AN1441" s="28"/>
      <c r="AO1441" s="28"/>
      <c r="AP1441" s="28"/>
      <c r="AQ1441" s="28"/>
      <c r="AR1441" s="28"/>
      <c r="AS1441" s="28"/>
      <c r="AT1441" s="5"/>
      <c r="AU1441" s="28"/>
      <c r="AV1441" s="28"/>
      <c r="AX1441" s="28"/>
      <c r="AY1441" s="28"/>
      <c r="BA1441" s="28"/>
      <c r="BB1441" s="28"/>
      <c r="BF1441" s="28"/>
      <c r="BH1441" s="28"/>
      <c r="BI1441" s="28"/>
      <c r="BJ1441" s="38"/>
      <c r="BK1441" s="28"/>
    </row>
    <row r="1442" customFormat="false" ht="15.75" hidden="false" customHeight="false" outlineLevel="0" collapsed="false">
      <c r="A1442" s="28"/>
      <c r="B1442" s="28"/>
      <c r="C1442" s="28"/>
      <c r="D1442" s="5"/>
      <c r="E1442" s="38"/>
      <c r="F1442" s="28"/>
      <c r="G1442" s="28"/>
      <c r="H1442" s="38"/>
      <c r="I1442" s="28"/>
      <c r="J1442" s="40"/>
      <c r="K1442" s="40"/>
      <c r="L1442" s="5"/>
      <c r="M1442" s="5"/>
      <c r="N1442" s="28"/>
      <c r="O1442" s="28"/>
      <c r="P1442" s="28"/>
      <c r="Q1442" s="28"/>
      <c r="R1442" s="28"/>
      <c r="S1442" s="28"/>
      <c r="T1442" s="28"/>
      <c r="V1442" s="28"/>
      <c r="W1442" s="5"/>
      <c r="X1442" s="5"/>
      <c r="Z1442" s="28"/>
      <c r="AA1442" s="28"/>
      <c r="AB1442" s="28"/>
      <c r="AC1442" s="28"/>
      <c r="AD1442" s="28"/>
      <c r="AE1442" s="28"/>
      <c r="AF1442" s="28"/>
      <c r="AG1442" s="28"/>
      <c r="AH1442" s="28"/>
      <c r="AI1442" s="28"/>
      <c r="AJ1442" s="28"/>
      <c r="AK1442" s="28"/>
      <c r="AL1442" s="28"/>
      <c r="AM1442" s="28"/>
      <c r="AN1442" s="28"/>
      <c r="AO1442" s="28"/>
      <c r="AP1442" s="28"/>
      <c r="AQ1442" s="28"/>
      <c r="AR1442" s="28"/>
      <c r="AS1442" s="28"/>
      <c r="AT1442" s="5"/>
      <c r="AU1442" s="28"/>
      <c r="AV1442" s="28"/>
      <c r="AX1442" s="28"/>
      <c r="AY1442" s="28"/>
      <c r="BA1442" s="28"/>
      <c r="BB1442" s="28"/>
      <c r="BF1442" s="28"/>
      <c r="BH1442" s="28"/>
      <c r="BI1442" s="28"/>
      <c r="BJ1442" s="38"/>
      <c r="BK1442" s="28"/>
    </row>
    <row r="1443" customFormat="false" ht="15.75" hidden="false" customHeight="false" outlineLevel="0" collapsed="false">
      <c r="A1443" s="28"/>
      <c r="B1443" s="28"/>
      <c r="C1443" s="28"/>
      <c r="D1443" s="5"/>
      <c r="E1443" s="38"/>
      <c r="F1443" s="28"/>
      <c r="G1443" s="28"/>
      <c r="H1443" s="38"/>
      <c r="I1443" s="28"/>
      <c r="J1443" s="40"/>
      <c r="K1443" s="40"/>
      <c r="L1443" s="5"/>
      <c r="M1443" s="5"/>
      <c r="N1443" s="28"/>
      <c r="O1443" s="28"/>
      <c r="P1443" s="28"/>
      <c r="Q1443" s="28"/>
      <c r="R1443" s="28"/>
      <c r="S1443" s="28"/>
      <c r="T1443" s="28"/>
      <c r="V1443" s="28"/>
      <c r="W1443" s="5"/>
      <c r="X1443" s="5"/>
      <c r="Z1443" s="28"/>
      <c r="AA1443" s="28"/>
      <c r="AB1443" s="28"/>
      <c r="AC1443" s="28"/>
      <c r="AD1443" s="28"/>
      <c r="AE1443" s="28"/>
      <c r="AF1443" s="28"/>
      <c r="AG1443" s="28"/>
      <c r="AH1443" s="28"/>
      <c r="AI1443" s="28"/>
      <c r="AJ1443" s="28"/>
      <c r="AK1443" s="28"/>
      <c r="AL1443" s="28"/>
      <c r="AM1443" s="28"/>
      <c r="AN1443" s="28"/>
      <c r="AO1443" s="28"/>
      <c r="AP1443" s="28"/>
      <c r="AQ1443" s="28"/>
      <c r="AR1443" s="28"/>
      <c r="AS1443" s="28"/>
      <c r="AT1443" s="5"/>
      <c r="AU1443" s="28"/>
      <c r="AV1443" s="28"/>
      <c r="AX1443" s="28"/>
      <c r="AY1443" s="28"/>
      <c r="BA1443" s="28"/>
      <c r="BB1443" s="28"/>
      <c r="BF1443" s="28"/>
      <c r="BH1443" s="28"/>
      <c r="BI1443" s="28"/>
      <c r="BJ1443" s="38"/>
      <c r="BK1443" s="28"/>
    </row>
    <row r="1444" customFormat="false" ht="15.75" hidden="false" customHeight="false" outlineLevel="0" collapsed="false">
      <c r="A1444" s="28"/>
      <c r="B1444" s="28"/>
      <c r="C1444" s="28"/>
      <c r="D1444" s="5"/>
      <c r="E1444" s="38"/>
      <c r="F1444" s="28"/>
      <c r="G1444" s="28"/>
      <c r="H1444" s="38"/>
      <c r="I1444" s="28"/>
      <c r="J1444" s="40"/>
      <c r="K1444" s="40"/>
      <c r="L1444" s="5"/>
      <c r="M1444" s="5"/>
      <c r="N1444" s="28"/>
      <c r="O1444" s="28"/>
      <c r="P1444" s="28"/>
      <c r="Q1444" s="28"/>
      <c r="R1444" s="28"/>
      <c r="S1444" s="28"/>
      <c r="T1444" s="28"/>
      <c r="V1444" s="28"/>
      <c r="W1444" s="5"/>
      <c r="X1444" s="5"/>
      <c r="Z1444" s="28"/>
      <c r="AA1444" s="28"/>
      <c r="AB1444" s="28"/>
      <c r="AC1444" s="28"/>
      <c r="AD1444" s="28"/>
      <c r="AE1444" s="28"/>
      <c r="AF1444" s="28"/>
      <c r="AG1444" s="28"/>
      <c r="AH1444" s="28"/>
      <c r="AI1444" s="28"/>
      <c r="AJ1444" s="28"/>
      <c r="AK1444" s="28"/>
      <c r="AL1444" s="28"/>
      <c r="AM1444" s="28"/>
      <c r="AN1444" s="28"/>
      <c r="AO1444" s="28"/>
      <c r="AP1444" s="28"/>
      <c r="AQ1444" s="28"/>
      <c r="AR1444" s="28"/>
      <c r="AS1444" s="28"/>
      <c r="AT1444" s="5"/>
      <c r="AU1444" s="28"/>
      <c r="AV1444" s="28"/>
      <c r="AX1444" s="28"/>
      <c r="AY1444" s="28"/>
      <c r="BA1444" s="28"/>
      <c r="BB1444" s="28"/>
      <c r="BF1444" s="28"/>
      <c r="BH1444" s="28"/>
      <c r="BI1444" s="28"/>
      <c r="BJ1444" s="38"/>
      <c r="BK1444" s="28"/>
    </row>
    <row r="1445" customFormat="false" ht="15.75" hidden="false" customHeight="false" outlineLevel="0" collapsed="false">
      <c r="A1445" s="28"/>
      <c r="B1445" s="28"/>
      <c r="C1445" s="28"/>
      <c r="D1445" s="5"/>
      <c r="E1445" s="38"/>
      <c r="F1445" s="28"/>
      <c r="G1445" s="28"/>
      <c r="H1445" s="38"/>
      <c r="I1445" s="28"/>
      <c r="J1445" s="40"/>
      <c r="K1445" s="40"/>
      <c r="L1445" s="5"/>
      <c r="M1445" s="5"/>
      <c r="N1445" s="28"/>
      <c r="O1445" s="28"/>
      <c r="P1445" s="28"/>
      <c r="Q1445" s="28"/>
      <c r="R1445" s="28"/>
      <c r="S1445" s="28"/>
      <c r="T1445" s="28"/>
      <c r="V1445" s="28"/>
      <c r="W1445" s="5"/>
      <c r="X1445" s="5"/>
      <c r="Z1445" s="28"/>
      <c r="AA1445" s="28"/>
      <c r="AB1445" s="28"/>
      <c r="AC1445" s="28"/>
      <c r="AD1445" s="28"/>
      <c r="AE1445" s="28"/>
      <c r="AF1445" s="28"/>
      <c r="AG1445" s="28"/>
      <c r="AH1445" s="28"/>
      <c r="AI1445" s="28"/>
      <c r="AJ1445" s="28"/>
      <c r="AK1445" s="28"/>
      <c r="AL1445" s="28"/>
      <c r="AM1445" s="28"/>
      <c r="AN1445" s="28"/>
      <c r="AO1445" s="28"/>
      <c r="AP1445" s="28"/>
      <c r="AQ1445" s="28"/>
      <c r="AR1445" s="28"/>
      <c r="AS1445" s="28"/>
      <c r="AT1445" s="5"/>
      <c r="AU1445" s="28"/>
      <c r="AV1445" s="28"/>
      <c r="AX1445" s="28"/>
      <c r="AY1445" s="28"/>
      <c r="BA1445" s="28"/>
      <c r="BB1445" s="28"/>
      <c r="BF1445" s="28"/>
      <c r="BH1445" s="28"/>
      <c r="BI1445" s="28"/>
      <c r="BJ1445" s="38"/>
      <c r="BK1445" s="28"/>
    </row>
    <row r="1446" customFormat="false" ht="15.75" hidden="false" customHeight="false" outlineLevel="0" collapsed="false">
      <c r="A1446" s="28"/>
      <c r="B1446" s="28"/>
      <c r="C1446" s="28"/>
      <c r="D1446" s="5"/>
      <c r="E1446" s="38"/>
      <c r="F1446" s="28"/>
      <c r="G1446" s="28"/>
      <c r="H1446" s="38"/>
      <c r="I1446" s="28"/>
      <c r="J1446" s="40"/>
      <c r="K1446" s="40"/>
      <c r="L1446" s="5"/>
      <c r="M1446" s="5"/>
      <c r="N1446" s="28"/>
      <c r="O1446" s="28"/>
      <c r="P1446" s="28"/>
      <c r="Q1446" s="28"/>
      <c r="R1446" s="28"/>
      <c r="S1446" s="28"/>
      <c r="T1446" s="28"/>
      <c r="V1446" s="28"/>
      <c r="W1446" s="5"/>
      <c r="X1446" s="5"/>
      <c r="Z1446" s="28"/>
      <c r="AA1446" s="28"/>
      <c r="AB1446" s="28"/>
      <c r="AC1446" s="28"/>
      <c r="AD1446" s="28"/>
      <c r="AE1446" s="28"/>
      <c r="AF1446" s="28"/>
      <c r="AG1446" s="28"/>
      <c r="AH1446" s="28"/>
      <c r="AI1446" s="28"/>
      <c r="AJ1446" s="28"/>
      <c r="AK1446" s="28"/>
      <c r="AL1446" s="28"/>
      <c r="AM1446" s="28"/>
      <c r="AN1446" s="28"/>
      <c r="AO1446" s="28"/>
      <c r="AP1446" s="28"/>
      <c r="AQ1446" s="28"/>
      <c r="AR1446" s="28"/>
      <c r="AS1446" s="28"/>
      <c r="AT1446" s="5"/>
      <c r="AU1446" s="28"/>
      <c r="AV1446" s="28"/>
      <c r="AX1446" s="28"/>
      <c r="AY1446" s="28"/>
      <c r="BA1446" s="28"/>
      <c r="BB1446" s="28"/>
      <c r="BF1446" s="28"/>
      <c r="BH1446" s="28"/>
      <c r="BI1446" s="28"/>
      <c r="BJ1446" s="38"/>
      <c r="BK1446" s="28"/>
    </row>
    <row r="1447" customFormat="false" ht="15.75" hidden="false" customHeight="false" outlineLevel="0" collapsed="false">
      <c r="A1447" s="28"/>
      <c r="B1447" s="28"/>
      <c r="C1447" s="28"/>
      <c r="D1447" s="5"/>
      <c r="E1447" s="38"/>
      <c r="F1447" s="28"/>
      <c r="G1447" s="28"/>
      <c r="H1447" s="38"/>
      <c r="I1447" s="28"/>
      <c r="J1447" s="40"/>
      <c r="K1447" s="40"/>
      <c r="L1447" s="5"/>
      <c r="M1447" s="5"/>
      <c r="N1447" s="28"/>
      <c r="O1447" s="28"/>
      <c r="P1447" s="28"/>
      <c r="Q1447" s="28"/>
      <c r="R1447" s="28"/>
      <c r="S1447" s="28"/>
      <c r="T1447" s="28"/>
      <c r="V1447" s="28"/>
      <c r="W1447" s="5"/>
      <c r="X1447" s="5"/>
      <c r="Z1447" s="28"/>
      <c r="AA1447" s="28"/>
      <c r="AB1447" s="28"/>
      <c r="AC1447" s="28"/>
      <c r="AD1447" s="28"/>
      <c r="AE1447" s="28"/>
      <c r="AF1447" s="28"/>
      <c r="AG1447" s="28"/>
      <c r="AH1447" s="28"/>
      <c r="AI1447" s="28"/>
      <c r="AJ1447" s="28"/>
      <c r="AK1447" s="28"/>
      <c r="AL1447" s="28"/>
      <c r="AM1447" s="28"/>
      <c r="AN1447" s="28"/>
      <c r="AO1447" s="28"/>
      <c r="AP1447" s="28"/>
      <c r="AQ1447" s="28"/>
      <c r="AR1447" s="28"/>
      <c r="AS1447" s="28"/>
      <c r="AT1447" s="5"/>
      <c r="AU1447" s="28"/>
      <c r="AV1447" s="28"/>
      <c r="AX1447" s="28"/>
      <c r="AY1447" s="28"/>
      <c r="BA1447" s="28"/>
      <c r="BB1447" s="28"/>
      <c r="BF1447" s="28"/>
      <c r="BH1447" s="28"/>
      <c r="BI1447" s="28"/>
      <c r="BJ1447" s="38"/>
      <c r="BK1447" s="28"/>
    </row>
    <row r="1448" customFormat="false" ht="15.75" hidden="false" customHeight="false" outlineLevel="0" collapsed="false">
      <c r="A1448" s="28"/>
      <c r="B1448" s="28"/>
      <c r="C1448" s="28"/>
      <c r="D1448" s="5"/>
      <c r="E1448" s="38"/>
      <c r="F1448" s="28"/>
      <c r="G1448" s="28"/>
      <c r="H1448" s="38"/>
      <c r="I1448" s="28"/>
      <c r="J1448" s="40"/>
      <c r="K1448" s="40"/>
      <c r="L1448" s="5"/>
      <c r="M1448" s="5"/>
      <c r="N1448" s="28"/>
      <c r="O1448" s="28"/>
      <c r="P1448" s="28"/>
      <c r="Q1448" s="28"/>
      <c r="R1448" s="28"/>
      <c r="S1448" s="28"/>
      <c r="T1448" s="28"/>
      <c r="V1448" s="28"/>
      <c r="W1448" s="5"/>
      <c r="X1448" s="5"/>
      <c r="Z1448" s="28"/>
      <c r="AA1448" s="28"/>
      <c r="AB1448" s="28"/>
      <c r="AC1448" s="28"/>
      <c r="AD1448" s="28"/>
      <c r="AE1448" s="28"/>
      <c r="AF1448" s="28"/>
      <c r="AG1448" s="28"/>
      <c r="AH1448" s="28"/>
      <c r="AI1448" s="28"/>
      <c r="AJ1448" s="28"/>
      <c r="AK1448" s="28"/>
      <c r="AL1448" s="28"/>
      <c r="AM1448" s="28"/>
      <c r="AN1448" s="28"/>
      <c r="AO1448" s="28"/>
      <c r="AP1448" s="28"/>
      <c r="AQ1448" s="28"/>
      <c r="AR1448" s="28"/>
      <c r="AS1448" s="28"/>
      <c r="AT1448" s="5"/>
      <c r="AU1448" s="28"/>
      <c r="AV1448" s="28"/>
      <c r="AX1448" s="28"/>
      <c r="AY1448" s="28"/>
      <c r="BA1448" s="28"/>
      <c r="BB1448" s="28"/>
      <c r="BF1448" s="28"/>
      <c r="BH1448" s="28"/>
      <c r="BI1448" s="28"/>
      <c r="BJ1448" s="38"/>
      <c r="BK1448" s="28"/>
    </row>
    <row r="1449" customFormat="false" ht="15.75" hidden="false" customHeight="false" outlineLevel="0" collapsed="false">
      <c r="A1449" s="28"/>
      <c r="B1449" s="28"/>
      <c r="C1449" s="28"/>
      <c r="D1449" s="5"/>
      <c r="E1449" s="38"/>
      <c r="F1449" s="28"/>
      <c r="G1449" s="28"/>
      <c r="H1449" s="38"/>
      <c r="I1449" s="28"/>
      <c r="J1449" s="40"/>
      <c r="K1449" s="40"/>
      <c r="L1449" s="5"/>
      <c r="M1449" s="5"/>
      <c r="N1449" s="28"/>
      <c r="O1449" s="28"/>
      <c r="P1449" s="28"/>
      <c r="Q1449" s="28"/>
      <c r="R1449" s="28"/>
      <c r="S1449" s="28"/>
      <c r="T1449" s="28"/>
      <c r="V1449" s="28"/>
      <c r="W1449" s="5"/>
      <c r="X1449" s="5"/>
      <c r="Z1449" s="28"/>
      <c r="AA1449" s="28"/>
      <c r="AB1449" s="28"/>
      <c r="AC1449" s="28"/>
      <c r="AD1449" s="28"/>
      <c r="AE1449" s="28"/>
      <c r="AF1449" s="28"/>
      <c r="AG1449" s="28"/>
      <c r="AH1449" s="28"/>
      <c r="AI1449" s="28"/>
      <c r="AJ1449" s="28"/>
      <c r="AK1449" s="28"/>
      <c r="AL1449" s="28"/>
      <c r="AM1449" s="28"/>
      <c r="AN1449" s="28"/>
      <c r="AO1449" s="28"/>
      <c r="AP1449" s="28"/>
      <c r="AQ1449" s="28"/>
      <c r="AR1449" s="28"/>
      <c r="AS1449" s="28"/>
      <c r="AT1449" s="5"/>
      <c r="AU1449" s="28"/>
      <c r="AV1449" s="28"/>
      <c r="AX1449" s="28"/>
      <c r="AY1449" s="28"/>
      <c r="BA1449" s="28"/>
      <c r="BB1449" s="28"/>
      <c r="BF1449" s="28"/>
      <c r="BH1449" s="28"/>
      <c r="BI1449" s="28"/>
      <c r="BJ1449" s="38"/>
      <c r="BK1449" s="28"/>
    </row>
    <row r="1450" customFormat="false" ht="15.75" hidden="false" customHeight="false" outlineLevel="0" collapsed="false">
      <c r="A1450" s="28"/>
      <c r="B1450" s="28"/>
      <c r="C1450" s="28"/>
      <c r="D1450" s="5"/>
      <c r="E1450" s="38"/>
      <c r="F1450" s="28"/>
      <c r="G1450" s="28"/>
      <c r="H1450" s="38"/>
      <c r="I1450" s="28"/>
      <c r="J1450" s="40"/>
      <c r="K1450" s="40"/>
      <c r="L1450" s="5"/>
      <c r="M1450" s="5"/>
      <c r="N1450" s="28"/>
      <c r="O1450" s="28"/>
      <c r="P1450" s="28"/>
      <c r="Q1450" s="28"/>
      <c r="R1450" s="28"/>
      <c r="S1450" s="28"/>
      <c r="T1450" s="28"/>
      <c r="V1450" s="28"/>
      <c r="W1450" s="5"/>
      <c r="X1450" s="5"/>
      <c r="Z1450" s="28"/>
      <c r="AA1450" s="28"/>
      <c r="AB1450" s="28"/>
      <c r="AC1450" s="28"/>
      <c r="AD1450" s="28"/>
      <c r="AE1450" s="28"/>
      <c r="AF1450" s="28"/>
      <c r="AG1450" s="28"/>
      <c r="AH1450" s="28"/>
      <c r="AI1450" s="28"/>
      <c r="AJ1450" s="28"/>
      <c r="AK1450" s="28"/>
      <c r="AL1450" s="28"/>
      <c r="AM1450" s="28"/>
      <c r="AN1450" s="28"/>
      <c r="AO1450" s="28"/>
      <c r="AP1450" s="28"/>
      <c r="AQ1450" s="28"/>
      <c r="AR1450" s="28"/>
      <c r="AS1450" s="28"/>
      <c r="AT1450" s="5"/>
      <c r="AU1450" s="28"/>
      <c r="AV1450" s="28"/>
      <c r="AX1450" s="28"/>
      <c r="AY1450" s="28"/>
      <c r="BA1450" s="28"/>
      <c r="BB1450" s="28"/>
      <c r="BF1450" s="28"/>
      <c r="BH1450" s="28"/>
      <c r="BI1450" s="28"/>
      <c r="BJ1450" s="38"/>
      <c r="BK1450" s="28"/>
    </row>
    <row r="1451" customFormat="false" ht="15.75" hidden="false" customHeight="false" outlineLevel="0" collapsed="false">
      <c r="A1451" s="28"/>
      <c r="B1451" s="28"/>
      <c r="C1451" s="28"/>
      <c r="D1451" s="5"/>
      <c r="E1451" s="38"/>
      <c r="F1451" s="28"/>
      <c r="G1451" s="28"/>
      <c r="H1451" s="38"/>
      <c r="I1451" s="28"/>
      <c r="J1451" s="40"/>
      <c r="K1451" s="40"/>
      <c r="L1451" s="5"/>
      <c r="M1451" s="5"/>
      <c r="N1451" s="28"/>
      <c r="O1451" s="28"/>
      <c r="P1451" s="28"/>
      <c r="Q1451" s="28"/>
      <c r="R1451" s="28"/>
      <c r="S1451" s="28"/>
      <c r="T1451" s="28"/>
      <c r="V1451" s="28"/>
      <c r="W1451" s="5"/>
      <c r="X1451" s="5"/>
      <c r="Z1451" s="28"/>
      <c r="AA1451" s="28"/>
      <c r="AB1451" s="28"/>
      <c r="AC1451" s="28"/>
      <c r="AD1451" s="28"/>
      <c r="AE1451" s="28"/>
      <c r="AF1451" s="28"/>
      <c r="AG1451" s="28"/>
      <c r="AH1451" s="28"/>
      <c r="AI1451" s="28"/>
      <c r="AJ1451" s="28"/>
      <c r="AK1451" s="28"/>
      <c r="AL1451" s="28"/>
      <c r="AM1451" s="28"/>
      <c r="AN1451" s="28"/>
      <c r="AO1451" s="28"/>
      <c r="AP1451" s="28"/>
      <c r="AQ1451" s="28"/>
      <c r="AR1451" s="28"/>
      <c r="AS1451" s="28"/>
      <c r="AT1451" s="5"/>
      <c r="AU1451" s="28"/>
      <c r="AV1451" s="28"/>
      <c r="AX1451" s="28"/>
      <c r="AY1451" s="28"/>
      <c r="BA1451" s="28"/>
      <c r="BB1451" s="28"/>
      <c r="BF1451" s="28"/>
      <c r="BH1451" s="28"/>
      <c r="BI1451" s="28"/>
      <c r="BJ1451" s="38"/>
      <c r="BK1451" s="28"/>
    </row>
    <row r="1452" customFormat="false" ht="15.75" hidden="false" customHeight="false" outlineLevel="0" collapsed="false">
      <c r="A1452" s="28"/>
      <c r="B1452" s="28"/>
      <c r="C1452" s="28"/>
      <c r="D1452" s="5"/>
      <c r="E1452" s="38"/>
      <c r="F1452" s="28"/>
      <c r="G1452" s="28"/>
      <c r="H1452" s="38"/>
      <c r="I1452" s="28"/>
      <c r="J1452" s="40"/>
      <c r="K1452" s="40"/>
      <c r="L1452" s="5"/>
      <c r="M1452" s="5"/>
      <c r="N1452" s="28"/>
      <c r="O1452" s="28"/>
      <c r="P1452" s="28"/>
      <c r="Q1452" s="28"/>
      <c r="R1452" s="28"/>
      <c r="S1452" s="28"/>
      <c r="T1452" s="28"/>
      <c r="V1452" s="28"/>
      <c r="W1452" s="5"/>
      <c r="X1452" s="5"/>
      <c r="Z1452" s="28"/>
      <c r="AA1452" s="28"/>
      <c r="AB1452" s="28"/>
      <c r="AC1452" s="28"/>
      <c r="AD1452" s="28"/>
      <c r="AE1452" s="28"/>
      <c r="AF1452" s="28"/>
      <c r="AG1452" s="28"/>
      <c r="AH1452" s="28"/>
      <c r="AI1452" s="28"/>
      <c r="AJ1452" s="28"/>
      <c r="AK1452" s="28"/>
      <c r="AL1452" s="28"/>
      <c r="AM1452" s="28"/>
      <c r="AN1452" s="28"/>
      <c r="AO1452" s="28"/>
      <c r="AP1452" s="28"/>
      <c r="AQ1452" s="28"/>
      <c r="AR1452" s="28"/>
      <c r="AS1452" s="28"/>
      <c r="AT1452" s="5"/>
      <c r="AU1452" s="28"/>
      <c r="AV1452" s="28"/>
      <c r="AX1452" s="28"/>
      <c r="AY1452" s="28"/>
      <c r="BA1452" s="28"/>
      <c r="BB1452" s="28"/>
      <c r="BF1452" s="28"/>
      <c r="BH1452" s="28"/>
      <c r="BI1452" s="28"/>
      <c r="BJ1452" s="38"/>
      <c r="BK1452" s="28"/>
    </row>
    <row r="1453" customFormat="false" ht="15.75" hidden="false" customHeight="false" outlineLevel="0" collapsed="false">
      <c r="A1453" s="28"/>
      <c r="B1453" s="28"/>
      <c r="C1453" s="28"/>
      <c r="D1453" s="5"/>
      <c r="E1453" s="38"/>
      <c r="F1453" s="28"/>
      <c r="G1453" s="28"/>
      <c r="H1453" s="38"/>
      <c r="I1453" s="28"/>
      <c r="J1453" s="40"/>
      <c r="K1453" s="40"/>
      <c r="L1453" s="5"/>
      <c r="M1453" s="5"/>
      <c r="N1453" s="28"/>
      <c r="O1453" s="28"/>
      <c r="P1453" s="28"/>
      <c r="Q1453" s="28"/>
      <c r="R1453" s="28"/>
      <c r="S1453" s="28"/>
      <c r="T1453" s="28"/>
      <c r="V1453" s="28"/>
      <c r="W1453" s="5"/>
      <c r="X1453" s="5"/>
      <c r="Z1453" s="28"/>
      <c r="AA1453" s="28"/>
      <c r="AB1453" s="28"/>
      <c r="AC1453" s="28"/>
      <c r="AD1453" s="28"/>
      <c r="AE1453" s="28"/>
      <c r="AF1453" s="28"/>
      <c r="AG1453" s="28"/>
      <c r="AH1453" s="28"/>
      <c r="AI1453" s="28"/>
      <c r="AJ1453" s="28"/>
      <c r="AK1453" s="28"/>
      <c r="AL1453" s="28"/>
      <c r="AM1453" s="28"/>
      <c r="AN1453" s="28"/>
      <c r="AO1453" s="28"/>
      <c r="AP1453" s="28"/>
      <c r="AQ1453" s="28"/>
      <c r="AR1453" s="28"/>
      <c r="AS1453" s="28"/>
      <c r="AT1453" s="5"/>
      <c r="AU1453" s="28"/>
      <c r="AV1453" s="28"/>
      <c r="AX1453" s="28"/>
      <c r="AY1453" s="28"/>
      <c r="BA1453" s="28"/>
      <c r="BB1453" s="28"/>
      <c r="BF1453" s="28"/>
      <c r="BH1453" s="28"/>
      <c r="BI1453" s="28"/>
      <c r="BJ1453" s="38"/>
      <c r="BK1453" s="28"/>
    </row>
    <row r="1454" customFormat="false" ht="15.75" hidden="false" customHeight="false" outlineLevel="0" collapsed="false">
      <c r="A1454" s="28"/>
      <c r="B1454" s="28"/>
      <c r="C1454" s="28"/>
      <c r="D1454" s="5"/>
      <c r="E1454" s="38"/>
      <c r="F1454" s="28"/>
      <c r="G1454" s="28"/>
      <c r="H1454" s="38"/>
      <c r="I1454" s="28"/>
      <c r="J1454" s="40"/>
      <c r="K1454" s="40"/>
      <c r="L1454" s="5"/>
      <c r="M1454" s="5"/>
      <c r="N1454" s="28"/>
      <c r="O1454" s="28"/>
      <c r="P1454" s="28"/>
      <c r="Q1454" s="28"/>
      <c r="R1454" s="28"/>
      <c r="S1454" s="28"/>
      <c r="T1454" s="28"/>
      <c r="V1454" s="28"/>
      <c r="W1454" s="5"/>
      <c r="X1454" s="5"/>
      <c r="Z1454" s="28"/>
      <c r="AA1454" s="28"/>
      <c r="AB1454" s="28"/>
      <c r="AC1454" s="28"/>
      <c r="AD1454" s="28"/>
      <c r="AE1454" s="28"/>
      <c r="AF1454" s="28"/>
      <c r="AG1454" s="28"/>
      <c r="AH1454" s="28"/>
      <c r="AI1454" s="28"/>
      <c r="AJ1454" s="28"/>
      <c r="AK1454" s="28"/>
      <c r="AL1454" s="28"/>
      <c r="AM1454" s="28"/>
      <c r="AN1454" s="28"/>
      <c r="AO1454" s="28"/>
      <c r="AP1454" s="28"/>
      <c r="AQ1454" s="28"/>
      <c r="AR1454" s="28"/>
      <c r="AS1454" s="28"/>
      <c r="AT1454" s="5"/>
      <c r="AU1454" s="28"/>
      <c r="AV1454" s="28"/>
      <c r="AX1454" s="28"/>
      <c r="AY1454" s="28"/>
      <c r="BA1454" s="28"/>
      <c r="BB1454" s="28"/>
      <c r="BF1454" s="28"/>
      <c r="BH1454" s="28"/>
      <c r="BI1454" s="28"/>
      <c r="BJ1454" s="38"/>
      <c r="BK1454" s="28"/>
    </row>
    <row r="1455" customFormat="false" ht="15.75" hidden="false" customHeight="false" outlineLevel="0" collapsed="false">
      <c r="A1455" s="28"/>
      <c r="B1455" s="28"/>
      <c r="C1455" s="28"/>
      <c r="D1455" s="5"/>
      <c r="E1455" s="38"/>
      <c r="F1455" s="28"/>
      <c r="G1455" s="28"/>
      <c r="H1455" s="38"/>
      <c r="I1455" s="28"/>
      <c r="J1455" s="40"/>
      <c r="K1455" s="40"/>
      <c r="L1455" s="5"/>
      <c r="M1455" s="5"/>
      <c r="N1455" s="28"/>
      <c r="O1455" s="28"/>
      <c r="P1455" s="28"/>
      <c r="Q1455" s="28"/>
      <c r="R1455" s="28"/>
      <c r="S1455" s="28"/>
      <c r="T1455" s="28"/>
      <c r="V1455" s="28"/>
      <c r="W1455" s="5"/>
      <c r="X1455" s="5"/>
      <c r="Z1455" s="28"/>
      <c r="AA1455" s="28"/>
      <c r="AB1455" s="28"/>
      <c r="AC1455" s="28"/>
      <c r="AD1455" s="28"/>
      <c r="AE1455" s="28"/>
      <c r="AF1455" s="28"/>
      <c r="AG1455" s="28"/>
      <c r="AH1455" s="28"/>
      <c r="AI1455" s="28"/>
      <c r="AJ1455" s="28"/>
      <c r="AK1455" s="28"/>
      <c r="AL1455" s="28"/>
      <c r="AM1455" s="28"/>
      <c r="AN1455" s="28"/>
      <c r="AO1455" s="28"/>
      <c r="AP1455" s="28"/>
      <c r="AQ1455" s="28"/>
      <c r="AR1455" s="28"/>
      <c r="AS1455" s="28"/>
      <c r="AT1455" s="5"/>
      <c r="AU1455" s="28"/>
      <c r="AV1455" s="28"/>
      <c r="AX1455" s="28"/>
      <c r="AY1455" s="28"/>
      <c r="BA1455" s="28"/>
      <c r="BB1455" s="28"/>
      <c r="BF1455" s="28"/>
      <c r="BH1455" s="28"/>
      <c r="BI1455" s="28"/>
      <c r="BJ1455" s="38"/>
      <c r="BK1455" s="28"/>
    </row>
    <row r="1456" customFormat="false" ht="15.75" hidden="false" customHeight="false" outlineLevel="0" collapsed="false">
      <c r="A1456" s="28"/>
      <c r="B1456" s="28"/>
      <c r="C1456" s="28"/>
      <c r="D1456" s="5"/>
      <c r="E1456" s="38"/>
      <c r="F1456" s="28"/>
      <c r="G1456" s="28"/>
      <c r="H1456" s="38"/>
      <c r="I1456" s="28"/>
      <c r="J1456" s="40"/>
      <c r="K1456" s="40"/>
      <c r="L1456" s="5"/>
      <c r="M1456" s="5"/>
      <c r="N1456" s="28"/>
      <c r="O1456" s="28"/>
      <c r="P1456" s="28"/>
      <c r="Q1456" s="28"/>
      <c r="R1456" s="28"/>
      <c r="S1456" s="28"/>
      <c r="T1456" s="28"/>
      <c r="V1456" s="28"/>
      <c r="W1456" s="5"/>
      <c r="X1456" s="5"/>
      <c r="Z1456" s="28"/>
      <c r="AA1456" s="28"/>
      <c r="AB1456" s="28"/>
      <c r="AC1456" s="28"/>
      <c r="AD1456" s="28"/>
      <c r="AE1456" s="28"/>
      <c r="AF1456" s="28"/>
      <c r="AG1456" s="28"/>
      <c r="AH1456" s="28"/>
      <c r="AI1456" s="28"/>
      <c r="AJ1456" s="28"/>
      <c r="AK1456" s="28"/>
      <c r="AL1456" s="28"/>
      <c r="AM1456" s="28"/>
      <c r="AN1456" s="28"/>
      <c r="AO1456" s="28"/>
      <c r="AP1456" s="28"/>
      <c r="AQ1456" s="28"/>
      <c r="AR1456" s="28"/>
      <c r="AS1456" s="28"/>
      <c r="AT1456" s="5"/>
      <c r="AU1456" s="28"/>
      <c r="AV1456" s="28"/>
      <c r="AX1456" s="28"/>
      <c r="AY1456" s="28"/>
      <c r="BA1456" s="28"/>
      <c r="BB1456" s="28"/>
      <c r="BF1456" s="28"/>
      <c r="BH1456" s="28"/>
      <c r="BI1456" s="28"/>
      <c r="BJ1456" s="38"/>
      <c r="BK1456" s="28"/>
    </row>
    <row r="1457" customFormat="false" ht="15.75" hidden="false" customHeight="false" outlineLevel="0" collapsed="false">
      <c r="A1457" s="28"/>
      <c r="B1457" s="28"/>
      <c r="C1457" s="28"/>
      <c r="D1457" s="5"/>
      <c r="E1457" s="38"/>
      <c r="F1457" s="28"/>
      <c r="G1457" s="28"/>
      <c r="H1457" s="38"/>
      <c r="I1457" s="28"/>
      <c r="J1457" s="40"/>
      <c r="K1457" s="40"/>
      <c r="L1457" s="5"/>
      <c r="M1457" s="5"/>
      <c r="N1457" s="28"/>
      <c r="O1457" s="28"/>
      <c r="P1457" s="28"/>
      <c r="Q1457" s="28"/>
      <c r="R1457" s="28"/>
      <c r="S1457" s="28"/>
      <c r="T1457" s="28"/>
      <c r="V1457" s="28"/>
      <c r="W1457" s="5"/>
      <c r="X1457" s="5"/>
      <c r="Z1457" s="28"/>
      <c r="AA1457" s="28"/>
      <c r="AB1457" s="28"/>
      <c r="AC1457" s="28"/>
      <c r="AD1457" s="28"/>
      <c r="AE1457" s="28"/>
      <c r="AF1457" s="28"/>
      <c r="AG1457" s="28"/>
      <c r="AH1457" s="28"/>
      <c r="AI1457" s="28"/>
      <c r="AJ1457" s="28"/>
      <c r="AK1457" s="28"/>
      <c r="AL1457" s="28"/>
      <c r="AM1457" s="28"/>
      <c r="AN1457" s="28"/>
      <c r="AO1457" s="28"/>
      <c r="AP1457" s="28"/>
      <c r="AQ1457" s="28"/>
      <c r="AR1457" s="28"/>
      <c r="AS1457" s="28"/>
      <c r="AT1457" s="5"/>
      <c r="AU1457" s="28"/>
      <c r="AV1457" s="28"/>
      <c r="AX1457" s="28"/>
      <c r="AY1457" s="28"/>
      <c r="BA1457" s="28"/>
      <c r="BB1457" s="28"/>
      <c r="BF1457" s="28"/>
      <c r="BH1457" s="28"/>
      <c r="BI1457" s="28"/>
      <c r="BJ1457" s="38"/>
      <c r="BK1457" s="28"/>
    </row>
    <row r="1458" customFormat="false" ht="15.75" hidden="false" customHeight="false" outlineLevel="0" collapsed="false">
      <c r="A1458" s="28"/>
      <c r="B1458" s="28"/>
      <c r="C1458" s="28"/>
      <c r="D1458" s="5"/>
      <c r="E1458" s="38"/>
      <c r="F1458" s="28"/>
      <c r="G1458" s="28"/>
      <c r="H1458" s="38"/>
      <c r="I1458" s="28"/>
      <c r="J1458" s="40"/>
      <c r="K1458" s="40"/>
      <c r="L1458" s="5"/>
      <c r="M1458" s="5"/>
      <c r="N1458" s="28"/>
      <c r="O1458" s="28"/>
      <c r="P1458" s="28"/>
      <c r="Q1458" s="28"/>
      <c r="R1458" s="28"/>
      <c r="S1458" s="28"/>
      <c r="T1458" s="28"/>
      <c r="V1458" s="28"/>
      <c r="W1458" s="5"/>
      <c r="X1458" s="5"/>
      <c r="Z1458" s="28"/>
      <c r="AA1458" s="28"/>
      <c r="AB1458" s="28"/>
      <c r="AC1458" s="28"/>
      <c r="AD1458" s="28"/>
      <c r="AE1458" s="28"/>
      <c r="AF1458" s="28"/>
      <c r="AG1458" s="28"/>
      <c r="AH1458" s="28"/>
      <c r="AI1458" s="28"/>
      <c r="AJ1458" s="28"/>
      <c r="AK1458" s="28"/>
      <c r="AL1458" s="28"/>
      <c r="AM1458" s="28"/>
      <c r="AN1458" s="28"/>
      <c r="AO1458" s="28"/>
      <c r="AP1458" s="28"/>
      <c r="AQ1458" s="28"/>
      <c r="AR1458" s="28"/>
      <c r="AS1458" s="28"/>
      <c r="AT1458" s="5"/>
      <c r="AU1458" s="28"/>
      <c r="AV1458" s="28"/>
      <c r="AX1458" s="28"/>
      <c r="AY1458" s="28"/>
      <c r="BA1458" s="28"/>
      <c r="BB1458" s="28"/>
      <c r="BF1458" s="28"/>
      <c r="BH1458" s="28"/>
      <c r="BI1458" s="28"/>
      <c r="BJ1458" s="38"/>
      <c r="BK1458" s="28"/>
    </row>
    <row r="1459" customFormat="false" ht="15.75" hidden="false" customHeight="false" outlineLevel="0" collapsed="false">
      <c r="A1459" s="28"/>
      <c r="B1459" s="28"/>
      <c r="C1459" s="28"/>
      <c r="D1459" s="5"/>
      <c r="E1459" s="38"/>
      <c r="F1459" s="28"/>
      <c r="G1459" s="28"/>
      <c r="H1459" s="38"/>
      <c r="I1459" s="28"/>
      <c r="J1459" s="40"/>
      <c r="K1459" s="40"/>
      <c r="L1459" s="5"/>
      <c r="M1459" s="5"/>
      <c r="N1459" s="28"/>
      <c r="O1459" s="28"/>
      <c r="P1459" s="28"/>
      <c r="Q1459" s="28"/>
      <c r="R1459" s="28"/>
      <c r="S1459" s="28"/>
      <c r="T1459" s="28"/>
      <c r="V1459" s="28"/>
      <c r="W1459" s="5"/>
      <c r="X1459" s="5"/>
      <c r="Z1459" s="28"/>
      <c r="AA1459" s="28"/>
      <c r="AB1459" s="28"/>
      <c r="AC1459" s="28"/>
      <c r="AD1459" s="28"/>
      <c r="AE1459" s="28"/>
      <c r="AF1459" s="28"/>
      <c r="AG1459" s="28"/>
      <c r="AH1459" s="28"/>
      <c r="AI1459" s="28"/>
      <c r="AJ1459" s="28"/>
      <c r="AK1459" s="28"/>
      <c r="AL1459" s="28"/>
      <c r="AM1459" s="28"/>
      <c r="AN1459" s="28"/>
      <c r="AO1459" s="28"/>
      <c r="AP1459" s="28"/>
      <c r="AQ1459" s="28"/>
      <c r="AR1459" s="28"/>
      <c r="AS1459" s="28"/>
      <c r="AT1459" s="5"/>
      <c r="AU1459" s="28"/>
      <c r="AV1459" s="28"/>
      <c r="AX1459" s="28"/>
      <c r="AY1459" s="28"/>
      <c r="BA1459" s="28"/>
      <c r="BB1459" s="28"/>
      <c r="BF1459" s="28"/>
      <c r="BH1459" s="28"/>
      <c r="BI1459" s="28"/>
      <c r="BJ1459" s="38"/>
      <c r="BK1459" s="28"/>
    </row>
    <row r="1460" customFormat="false" ht="15.75" hidden="false" customHeight="false" outlineLevel="0" collapsed="false">
      <c r="A1460" s="28"/>
      <c r="B1460" s="28"/>
      <c r="C1460" s="28"/>
      <c r="D1460" s="5"/>
      <c r="E1460" s="38"/>
      <c r="F1460" s="28"/>
      <c r="G1460" s="28"/>
      <c r="H1460" s="38"/>
      <c r="I1460" s="28"/>
      <c r="J1460" s="40"/>
      <c r="K1460" s="40"/>
      <c r="L1460" s="5"/>
      <c r="M1460" s="5"/>
      <c r="N1460" s="28"/>
      <c r="O1460" s="28"/>
      <c r="P1460" s="28"/>
      <c r="Q1460" s="28"/>
      <c r="R1460" s="28"/>
      <c r="S1460" s="28"/>
      <c r="T1460" s="28"/>
      <c r="V1460" s="28"/>
      <c r="W1460" s="5"/>
      <c r="X1460" s="5"/>
      <c r="Z1460" s="28"/>
      <c r="AA1460" s="28"/>
      <c r="AB1460" s="28"/>
      <c r="AC1460" s="28"/>
      <c r="AD1460" s="28"/>
      <c r="AE1460" s="28"/>
      <c r="AF1460" s="28"/>
      <c r="AG1460" s="28"/>
      <c r="AH1460" s="28"/>
      <c r="AI1460" s="28"/>
      <c r="AJ1460" s="28"/>
      <c r="AK1460" s="28"/>
      <c r="AL1460" s="28"/>
      <c r="AM1460" s="28"/>
      <c r="AN1460" s="28"/>
      <c r="AO1460" s="28"/>
      <c r="AP1460" s="28"/>
      <c r="AQ1460" s="28"/>
      <c r="AR1460" s="28"/>
      <c r="AS1460" s="28"/>
      <c r="AT1460" s="5"/>
      <c r="AU1460" s="28"/>
      <c r="AV1460" s="28"/>
      <c r="AX1460" s="28"/>
      <c r="AY1460" s="28"/>
      <c r="BA1460" s="28"/>
      <c r="BB1460" s="28"/>
      <c r="BF1460" s="28"/>
      <c r="BH1460" s="28"/>
      <c r="BI1460" s="28"/>
      <c r="BJ1460" s="38"/>
      <c r="BK1460" s="28"/>
    </row>
    <row r="1461" customFormat="false" ht="15.75" hidden="false" customHeight="false" outlineLevel="0" collapsed="false">
      <c r="A1461" s="28"/>
      <c r="B1461" s="28"/>
      <c r="C1461" s="28"/>
      <c r="D1461" s="5"/>
      <c r="E1461" s="38"/>
      <c r="F1461" s="28"/>
      <c r="G1461" s="28"/>
      <c r="H1461" s="38"/>
      <c r="I1461" s="28"/>
      <c r="J1461" s="40"/>
      <c r="K1461" s="40"/>
      <c r="L1461" s="5"/>
      <c r="M1461" s="5"/>
      <c r="N1461" s="28"/>
      <c r="O1461" s="28"/>
      <c r="P1461" s="28"/>
      <c r="Q1461" s="28"/>
      <c r="R1461" s="28"/>
      <c r="S1461" s="28"/>
      <c r="T1461" s="28"/>
      <c r="V1461" s="28"/>
      <c r="W1461" s="5"/>
      <c r="X1461" s="5"/>
      <c r="Z1461" s="28"/>
      <c r="AA1461" s="28"/>
      <c r="AB1461" s="28"/>
      <c r="AC1461" s="28"/>
      <c r="AD1461" s="28"/>
      <c r="AE1461" s="28"/>
      <c r="AF1461" s="28"/>
      <c r="AG1461" s="28"/>
      <c r="AH1461" s="28"/>
      <c r="AI1461" s="28"/>
      <c r="AJ1461" s="28"/>
      <c r="AK1461" s="28"/>
      <c r="AL1461" s="28"/>
      <c r="AM1461" s="28"/>
      <c r="AN1461" s="28"/>
      <c r="AO1461" s="28"/>
      <c r="AP1461" s="28"/>
      <c r="AQ1461" s="28"/>
      <c r="AR1461" s="28"/>
      <c r="AS1461" s="28"/>
      <c r="AT1461" s="5"/>
      <c r="AU1461" s="28"/>
      <c r="AV1461" s="28"/>
      <c r="AX1461" s="28"/>
      <c r="AY1461" s="28"/>
      <c r="BA1461" s="28"/>
      <c r="BB1461" s="28"/>
      <c r="BF1461" s="28"/>
      <c r="BH1461" s="28"/>
      <c r="BI1461" s="28"/>
      <c r="BJ1461" s="38"/>
      <c r="BK1461" s="28"/>
    </row>
    <row r="1462" customFormat="false" ht="15.75" hidden="false" customHeight="false" outlineLevel="0" collapsed="false">
      <c r="A1462" s="28"/>
      <c r="B1462" s="28"/>
      <c r="C1462" s="28"/>
      <c r="D1462" s="5"/>
      <c r="E1462" s="38"/>
      <c r="F1462" s="28"/>
      <c r="G1462" s="28"/>
      <c r="H1462" s="38"/>
      <c r="I1462" s="28"/>
      <c r="J1462" s="40"/>
      <c r="K1462" s="40"/>
      <c r="L1462" s="5"/>
      <c r="M1462" s="5"/>
      <c r="N1462" s="28"/>
      <c r="O1462" s="28"/>
      <c r="P1462" s="28"/>
      <c r="Q1462" s="28"/>
      <c r="R1462" s="28"/>
      <c r="S1462" s="28"/>
      <c r="T1462" s="28"/>
      <c r="V1462" s="28"/>
      <c r="W1462" s="5"/>
      <c r="X1462" s="5"/>
      <c r="Z1462" s="28"/>
      <c r="AA1462" s="28"/>
      <c r="AB1462" s="28"/>
      <c r="AC1462" s="28"/>
      <c r="AD1462" s="28"/>
      <c r="AE1462" s="28"/>
      <c r="AF1462" s="28"/>
      <c r="AG1462" s="28"/>
      <c r="AH1462" s="28"/>
      <c r="AI1462" s="28"/>
      <c r="AJ1462" s="28"/>
      <c r="AK1462" s="28"/>
      <c r="AL1462" s="28"/>
      <c r="AM1462" s="28"/>
      <c r="AN1462" s="28"/>
      <c r="AO1462" s="28"/>
      <c r="AP1462" s="28"/>
      <c r="AQ1462" s="28"/>
      <c r="AR1462" s="28"/>
      <c r="AS1462" s="28"/>
      <c r="AT1462" s="5"/>
      <c r="AU1462" s="28"/>
      <c r="AV1462" s="28"/>
      <c r="AX1462" s="28"/>
      <c r="AY1462" s="28"/>
      <c r="BA1462" s="28"/>
      <c r="BB1462" s="28"/>
      <c r="BF1462" s="28"/>
      <c r="BH1462" s="28"/>
      <c r="BI1462" s="28"/>
      <c r="BJ1462" s="38"/>
      <c r="BK1462" s="28"/>
    </row>
    <row r="1463" customFormat="false" ht="15.75" hidden="false" customHeight="false" outlineLevel="0" collapsed="false">
      <c r="A1463" s="28"/>
      <c r="B1463" s="28"/>
      <c r="C1463" s="28"/>
      <c r="D1463" s="5"/>
      <c r="E1463" s="38"/>
      <c r="F1463" s="28"/>
      <c r="G1463" s="28"/>
      <c r="H1463" s="38"/>
      <c r="I1463" s="28"/>
      <c r="J1463" s="40"/>
      <c r="K1463" s="40"/>
      <c r="L1463" s="5"/>
      <c r="M1463" s="5"/>
      <c r="N1463" s="28"/>
      <c r="O1463" s="28"/>
      <c r="P1463" s="28"/>
      <c r="Q1463" s="28"/>
      <c r="R1463" s="28"/>
      <c r="S1463" s="28"/>
      <c r="T1463" s="28"/>
      <c r="V1463" s="28"/>
      <c r="W1463" s="5"/>
      <c r="X1463" s="5"/>
      <c r="Z1463" s="28"/>
      <c r="AA1463" s="28"/>
      <c r="AB1463" s="28"/>
      <c r="AC1463" s="28"/>
      <c r="AD1463" s="28"/>
      <c r="AE1463" s="28"/>
      <c r="AF1463" s="28"/>
      <c r="AG1463" s="28"/>
      <c r="AH1463" s="28"/>
      <c r="AI1463" s="28"/>
      <c r="AJ1463" s="28"/>
      <c r="AK1463" s="28"/>
      <c r="AL1463" s="28"/>
      <c r="AM1463" s="28"/>
      <c r="AN1463" s="28"/>
      <c r="AO1463" s="28"/>
      <c r="AP1463" s="28"/>
      <c r="AQ1463" s="28"/>
      <c r="AR1463" s="28"/>
      <c r="AS1463" s="28"/>
      <c r="AT1463" s="5"/>
      <c r="AU1463" s="28"/>
      <c r="AV1463" s="28"/>
      <c r="AX1463" s="28"/>
      <c r="AY1463" s="28"/>
      <c r="BA1463" s="28"/>
      <c r="BB1463" s="28"/>
      <c r="BF1463" s="28"/>
      <c r="BH1463" s="28"/>
      <c r="BI1463" s="28"/>
      <c r="BJ1463" s="38"/>
      <c r="BK1463" s="28"/>
    </row>
    <row r="1464" customFormat="false" ht="15.75" hidden="false" customHeight="false" outlineLevel="0" collapsed="false">
      <c r="A1464" s="28"/>
      <c r="B1464" s="28"/>
      <c r="C1464" s="28"/>
      <c r="D1464" s="5"/>
      <c r="E1464" s="38"/>
      <c r="F1464" s="28"/>
      <c r="G1464" s="28"/>
      <c r="H1464" s="38"/>
      <c r="I1464" s="28"/>
      <c r="J1464" s="40"/>
      <c r="K1464" s="40"/>
      <c r="L1464" s="5"/>
      <c r="M1464" s="5"/>
      <c r="N1464" s="28"/>
      <c r="O1464" s="28"/>
      <c r="P1464" s="28"/>
      <c r="Q1464" s="28"/>
      <c r="R1464" s="28"/>
      <c r="S1464" s="28"/>
      <c r="T1464" s="28"/>
      <c r="V1464" s="28"/>
      <c r="W1464" s="5"/>
      <c r="X1464" s="5"/>
      <c r="Z1464" s="28"/>
      <c r="AA1464" s="28"/>
      <c r="AB1464" s="28"/>
      <c r="AC1464" s="28"/>
      <c r="AD1464" s="28"/>
      <c r="AE1464" s="28"/>
      <c r="AF1464" s="28"/>
      <c r="AG1464" s="28"/>
      <c r="AH1464" s="28"/>
      <c r="AI1464" s="28"/>
      <c r="AJ1464" s="28"/>
      <c r="AK1464" s="28"/>
      <c r="AL1464" s="28"/>
      <c r="AM1464" s="28"/>
      <c r="AN1464" s="28"/>
      <c r="AO1464" s="28"/>
      <c r="AP1464" s="28"/>
      <c r="AQ1464" s="28"/>
      <c r="AR1464" s="28"/>
      <c r="AS1464" s="28"/>
      <c r="AT1464" s="5"/>
      <c r="AU1464" s="28"/>
      <c r="AV1464" s="28"/>
      <c r="AX1464" s="28"/>
      <c r="AY1464" s="28"/>
      <c r="BA1464" s="28"/>
      <c r="BB1464" s="28"/>
      <c r="BF1464" s="28"/>
      <c r="BH1464" s="28"/>
      <c r="BI1464" s="28"/>
      <c r="BJ1464" s="38"/>
      <c r="BK1464" s="28"/>
    </row>
    <row r="1465" customFormat="false" ht="15.75" hidden="false" customHeight="false" outlineLevel="0" collapsed="false">
      <c r="A1465" s="28"/>
      <c r="B1465" s="28"/>
      <c r="C1465" s="28"/>
      <c r="D1465" s="5"/>
      <c r="E1465" s="38"/>
      <c r="F1465" s="28"/>
      <c r="G1465" s="28"/>
      <c r="H1465" s="38"/>
      <c r="I1465" s="28"/>
      <c r="J1465" s="40"/>
      <c r="K1465" s="40"/>
      <c r="L1465" s="5"/>
      <c r="M1465" s="5"/>
      <c r="N1465" s="28"/>
      <c r="O1465" s="28"/>
      <c r="P1465" s="28"/>
      <c r="Q1465" s="28"/>
      <c r="R1465" s="28"/>
      <c r="S1465" s="28"/>
      <c r="T1465" s="28"/>
      <c r="V1465" s="28"/>
      <c r="W1465" s="5"/>
      <c r="X1465" s="5"/>
      <c r="Z1465" s="28"/>
      <c r="AA1465" s="28"/>
      <c r="AB1465" s="28"/>
      <c r="AC1465" s="28"/>
      <c r="AD1465" s="28"/>
      <c r="AE1465" s="28"/>
      <c r="AF1465" s="28"/>
      <c r="AG1465" s="28"/>
      <c r="AH1465" s="28"/>
      <c r="AI1465" s="28"/>
      <c r="AJ1465" s="28"/>
      <c r="AK1465" s="28"/>
      <c r="AL1465" s="28"/>
      <c r="AM1465" s="28"/>
      <c r="AN1465" s="28"/>
      <c r="AO1465" s="28"/>
      <c r="AP1465" s="28"/>
      <c r="AQ1465" s="28"/>
      <c r="AR1465" s="28"/>
      <c r="AS1465" s="28"/>
      <c r="AT1465" s="5"/>
      <c r="AU1465" s="28"/>
      <c r="AV1465" s="28"/>
      <c r="AX1465" s="28"/>
      <c r="AY1465" s="28"/>
      <c r="BA1465" s="28"/>
      <c r="BB1465" s="28"/>
      <c r="BF1465" s="28"/>
      <c r="BH1465" s="28"/>
      <c r="BI1465" s="28"/>
      <c r="BJ1465" s="38"/>
      <c r="BK1465" s="28"/>
    </row>
    <row r="1466" customFormat="false" ht="15.75" hidden="false" customHeight="false" outlineLevel="0" collapsed="false">
      <c r="A1466" s="28"/>
      <c r="B1466" s="28"/>
      <c r="C1466" s="28"/>
      <c r="D1466" s="5"/>
      <c r="E1466" s="38"/>
      <c r="F1466" s="28"/>
      <c r="G1466" s="28"/>
      <c r="H1466" s="38"/>
      <c r="I1466" s="28"/>
      <c r="J1466" s="40"/>
      <c r="K1466" s="40"/>
      <c r="L1466" s="5"/>
      <c r="M1466" s="5"/>
      <c r="N1466" s="28"/>
      <c r="O1466" s="28"/>
      <c r="P1466" s="28"/>
      <c r="Q1466" s="28"/>
      <c r="R1466" s="28"/>
      <c r="S1466" s="28"/>
      <c r="T1466" s="28"/>
      <c r="V1466" s="28"/>
      <c r="W1466" s="5"/>
      <c r="X1466" s="5"/>
      <c r="Z1466" s="28"/>
      <c r="AA1466" s="28"/>
      <c r="AB1466" s="28"/>
      <c r="AC1466" s="28"/>
      <c r="AD1466" s="28"/>
      <c r="AE1466" s="28"/>
      <c r="AF1466" s="28"/>
      <c r="AG1466" s="28"/>
      <c r="AH1466" s="28"/>
      <c r="AI1466" s="28"/>
      <c r="AJ1466" s="28"/>
      <c r="AK1466" s="28"/>
      <c r="AL1466" s="28"/>
      <c r="AM1466" s="28"/>
      <c r="AN1466" s="28"/>
      <c r="AO1466" s="28"/>
      <c r="AP1466" s="28"/>
      <c r="AQ1466" s="28"/>
      <c r="AR1466" s="28"/>
      <c r="AS1466" s="28"/>
      <c r="AT1466" s="5"/>
      <c r="AU1466" s="28"/>
      <c r="AV1466" s="28"/>
      <c r="AX1466" s="28"/>
      <c r="AY1466" s="28"/>
      <c r="BA1466" s="28"/>
      <c r="BB1466" s="28"/>
      <c r="BF1466" s="28"/>
      <c r="BH1466" s="28"/>
      <c r="BI1466" s="28"/>
      <c r="BJ1466" s="38"/>
      <c r="BK1466" s="28"/>
    </row>
    <row r="1467" customFormat="false" ht="15.75" hidden="false" customHeight="false" outlineLevel="0" collapsed="false">
      <c r="A1467" s="28"/>
      <c r="B1467" s="28"/>
      <c r="C1467" s="28"/>
      <c r="D1467" s="5"/>
      <c r="E1467" s="38"/>
      <c r="F1467" s="28"/>
      <c r="G1467" s="28"/>
      <c r="H1467" s="38"/>
      <c r="I1467" s="28"/>
      <c r="J1467" s="40"/>
      <c r="K1467" s="40"/>
      <c r="L1467" s="5"/>
      <c r="M1467" s="5"/>
      <c r="N1467" s="28"/>
      <c r="O1467" s="28"/>
      <c r="P1467" s="28"/>
      <c r="Q1467" s="28"/>
      <c r="R1467" s="28"/>
      <c r="S1467" s="28"/>
      <c r="T1467" s="28"/>
      <c r="V1467" s="28"/>
      <c r="W1467" s="5"/>
      <c r="X1467" s="5"/>
      <c r="Z1467" s="28"/>
      <c r="AA1467" s="28"/>
      <c r="AB1467" s="28"/>
      <c r="AC1467" s="28"/>
      <c r="AD1467" s="28"/>
      <c r="AE1467" s="28"/>
      <c r="AF1467" s="28"/>
      <c r="AG1467" s="28"/>
      <c r="AH1467" s="28"/>
      <c r="AI1467" s="28"/>
      <c r="AJ1467" s="28"/>
      <c r="AK1467" s="28"/>
      <c r="AL1467" s="28"/>
      <c r="AM1467" s="28"/>
      <c r="AN1467" s="28"/>
      <c r="AO1467" s="28"/>
      <c r="AP1467" s="28"/>
      <c r="AQ1467" s="28"/>
      <c r="AR1467" s="28"/>
      <c r="AS1467" s="28"/>
      <c r="AT1467" s="5"/>
      <c r="AU1467" s="28"/>
      <c r="AV1467" s="28"/>
      <c r="AX1467" s="28"/>
      <c r="AY1467" s="28"/>
      <c r="BA1467" s="28"/>
      <c r="BB1467" s="28"/>
      <c r="BF1467" s="28"/>
      <c r="BH1467" s="28"/>
      <c r="BI1467" s="28"/>
      <c r="BJ1467" s="38"/>
      <c r="BK1467" s="28"/>
    </row>
    <row r="1468" customFormat="false" ht="15.75" hidden="false" customHeight="false" outlineLevel="0" collapsed="false">
      <c r="A1468" s="28"/>
      <c r="B1468" s="28"/>
      <c r="C1468" s="28"/>
      <c r="D1468" s="5"/>
      <c r="E1468" s="38"/>
      <c r="F1468" s="28"/>
      <c r="G1468" s="28"/>
      <c r="H1468" s="38"/>
      <c r="I1468" s="28"/>
      <c r="J1468" s="40"/>
      <c r="K1468" s="40"/>
      <c r="L1468" s="5"/>
      <c r="M1468" s="5"/>
      <c r="N1468" s="28"/>
      <c r="O1468" s="28"/>
      <c r="P1468" s="28"/>
      <c r="Q1468" s="28"/>
      <c r="R1468" s="28"/>
      <c r="S1468" s="28"/>
      <c r="T1468" s="28"/>
      <c r="V1468" s="28"/>
      <c r="W1468" s="5"/>
      <c r="X1468" s="5"/>
      <c r="Z1468" s="28"/>
      <c r="AA1468" s="28"/>
      <c r="AB1468" s="28"/>
      <c r="AC1468" s="28"/>
      <c r="AD1468" s="28"/>
      <c r="AE1468" s="28"/>
      <c r="AF1468" s="28"/>
      <c r="AG1468" s="28"/>
      <c r="AH1468" s="28"/>
      <c r="AI1468" s="28"/>
      <c r="AJ1468" s="28"/>
      <c r="AK1468" s="28"/>
      <c r="AL1468" s="28"/>
      <c r="AM1468" s="28"/>
      <c r="AN1468" s="28"/>
      <c r="AO1468" s="28"/>
      <c r="AP1468" s="28"/>
      <c r="AQ1468" s="28"/>
      <c r="AR1468" s="28"/>
      <c r="AS1468" s="28"/>
      <c r="AT1468" s="5"/>
      <c r="AU1468" s="28"/>
      <c r="AV1468" s="28"/>
      <c r="AX1468" s="28"/>
      <c r="AY1468" s="28"/>
      <c r="BA1468" s="28"/>
      <c r="BB1468" s="28"/>
      <c r="BF1468" s="28"/>
      <c r="BH1468" s="28"/>
      <c r="BI1468" s="28"/>
      <c r="BJ1468" s="38"/>
      <c r="BK1468" s="28"/>
    </row>
    <row r="1469" customFormat="false" ht="15.75" hidden="false" customHeight="false" outlineLevel="0" collapsed="false">
      <c r="A1469" s="28"/>
      <c r="B1469" s="28"/>
      <c r="C1469" s="28"/>
      <c r="D1469" s="5"/>
      <c r="E1469" s="38"/>
      <c r="F1469" s="28"/>
      <c r="G1469" s="28"/>
      <c r="H1469" s="38"/>
      <c r="I1469" s="28"/>
      <c r="J1469" s="40"/>
      <c r="K1469" s="40"/>
      <c r="L1469" s="5"/>
      <c r="M1469" s="5"/>
      <c r="N1469" s="28"/>
      <c r="O1469" s="28"/>
      <c r="P1469" s="28"/>
      <c r="Q1469" s="28"/>
      <c r="R1469" s="28"/>
      <c r="S1469" s="28"/>
      <c r="T1469" s="28"/>
      <c r="V1469" s="28"/>
      <c r="W1469" s="5"/>
      <c r="X1469" s="5"/>
      <c r="Z1469" s="28"/>
      <c r="AA1469" s="28"/>
      <c r="AB1469" s="28"/>
      <c r="AC1469" s="28"/>
      <c r="AD1469" s="28"/>
      <c r="AE1469" s="28"/>
      <c r="AF1469" s="28"/>
      <c r="AG1469" s="28"/>
      <c r="AH1469" s="28"/>
      <c r="AI1469" s="28"/>
      <c r="AJ1469" s="28"/>
      <c r="AK1469" s="28"/>
      <c r="AL1469" s="28"/>
      <c r="AM1469" s="28"/>
      <c r="AN1469" s="28"/>
      <c r="AO1469" s="28"/>
      <c r="AP1469" s="28"/>
      <c r="AQ1469" s="28"/>
      <c r="AR1469" s="28"/>
      <c r="AS1469" s="28"/>
      <c r="AT1469" s="5"/>
      <c r="AU1469" s="28"/>
      <c r="AV1469" s="28"/>
      <c r="AX1469" s="28"/>
      <c r="AY1469" s="28"/>
      <c r="BA1469" s="28"/>
      <c r="BB1469" s="28"/>
      <c r="BF1469" s="28"/>
      <c r="BH1469" s="28"/>
      <c r="BI1469" s="28"/>
      <c r="BJ1469" s="38"/>
      <c r="BK1469" s="28"/>
    </row>
    <row r="1470" customFormat="false" ht="15.75" hidden="false" customHeight="false" outlineLevel="0" collapsed="false">
      <c r="A1470" s="28"/>
      <c r="B1470" s="28"/>
      <c r="C1470" s="28"/>
      <c r="D1470" s="5"/>
      <c r="E1470" s="38"/>
      <c r="F1470" s="28"/>
      <c r="G1470" s="28"/>
      <c r="H1470" s="38"/>
      <c r="I1470" s="28"/>
      <c r="J1470" s="40"/>
      <c r="K1470" s="40"/>
      <c r="L1470" s="5"/>
      <c r="M1470" s="5"/>
      <c r="N1470" s="28"/>
      <c r="O1470" s="28"/>
      <c r="P1470" s="28"/>
      <c r="Q1470" s="28"/>
      <c r="R1470" s="28"/>
      <c r="S1470" s="28"/>
      <c r="T1470" s="28"/>
      <c r="V1470" s="28"/>
      <c r="W1470" s="5"/>
      <c r="X1470" s="5"/>
      <c r="Z1470" s="28"/>
      <c r="AA1470" s="28"/>
      <c r="AB1470" s="28"/>
      <c r="AC1470" s="28"/>
      <c r="AD1470" s="28"/>
      <c r="AE1470" s="28"/>
      <c r="AF1470" s="28"/>
      <c r="AG1470" s="28"/>
      <c r="AH1470" s="28"/>
      <c r="AI1470" s="28"/>
      <c r="AJ1470" s="28"/>
      <c r="AK1470" s="28"/>
      <c r="AL1470" s="28"/>
      <c r="AM1470" s="28"/>
      <c r="AN1470" s="28"/>
      <c r="AO1470" s="28"/>
      <c r="AP1470" s="28"/>
      <c r="AQ1470" s="28"/>
      <c r="AR1470" s="28"/>
      <c r="AS1470" s="28"/>
      <c r="AT1470" s="5"/>
      <c r="AU1470" s="28"/>
      <c r="AV1470" s="28"/>
      <c r="AX1470" s="28"/>
      <c r="AY1470" s="28"/>
      <c r="BA1470" s="28"/>
      <c r="BB1470" s="28"/>
      <c r="BF1470" s="28"/>
      <c r="BH1470" s="28"/>
      <c r="BI1470" s="28"/>
      <c r="BJ1470" s="38"/>
      <c r="BK1470" s="28"/>
    </row>
    <row r="1471" customFormat="false" ht="15.75" hidden="false" customHeight="false" outlineLevel="0" collapsed="false">
      <c r="A1471" s="28"/>
      <c r="B1471" s="28"/>
      <c r="C1471" s="28"/>
      <c r="D1471" s="5"/>
      <c r="E1471" s="38"/>
      <c r="F1471" s="28"/>
      <c r="G1471" s="28"/>
      <c r="H1471" s="38"/>
      <c r="I1471" s="28"/>
      <c r="J1471" s="40"/>
      <c r="K1471" s="40"/>
      <c r="L1471" s="5"/>
      <c r="M1471" s="5"/>
      <c r="N1471" s="28"/>
      <c r="O1471" s="28"/>
      <c r="P1471" s="28"/>
      <c r="Q1471" s="28"/>
      <c r="R1471" s="28"/>
      <c r="S1471" s="28"/>
      <c r="T1471" s="28"/>
      <c r="V1471" s="28"/>
      <c r="W1471" s="5"/>
      <c r="X1471" s="5"/>
      <c r="Z1471" s="28"/>
      <c r="AA1471" s="28"/>
      <c r="AB1471" s="28"/>
      <c r="AC1471" s="28"/>
      <c r="AD1471" s="28"/>
      <c r="AE1471" s="28"/>
      <c r="AF1471" s="28"/>
      <c r="AG1471" s="28"/>
      <c r="AH1471" s="28"/>
      <c r="AI1471" s="28"/>
      <c r="AJ1471" s="28"/>
      <c r="AK1471" s="28"/>
      <c r="AL1471" s="28"/>
      <c r="AM1471" s="28"/>
      <c r="AN1471" s="28"/>
      <c r="AO1471" s="28"/>
      <c r="AP1471" s="28"/>
      <c r="AQ1471" s="28"/>
      <c r="AR1471" s="28"/>
      <c r="AS1471" s="28"/>
      <c r="AT1471" s="5"/>
      <c r="AU1471" s="28"/>
      <c r="AV1471" s="28"/>
      <c r="AX1471" s="28"/>
      <c r="AY1471" s="28"/>
      <c r="BA1471" s="28"/>
      <c r="BB1471" s="28"/>
      <c r="BF1471" s="28"/>
      <c r="BH1471" s="28"/>
      <c r="BI1471" s="28"/>
      <c r="BJ1471" s="38"/>
      <c r="BK1471" s="28"/>
    </row>
    <row r="1472" customFormat="false" ht="15.75" hidden="false" customHeight="false" outlineLevel="0" collapsed="false">
      <c r="A1472" s="28"/>
      <c r="B1472" s="28"/>
      <c r="C1472" s="28"/>
      <c r="D1472" s="5"/>
      <c r="E1472" s="38"/>
      <c r="F1472" s="28"/>
      <c r="G1472" s="28"/>
      <c r="H1472" s="38"/>
      <c r="I1472" s="28"/>
      <c r="J1472" s="40"/>
      <c r="K1472" s="40"/>
      <c r="L1472" s="5"/>
      <c r="M1472" s="5"/>
      <c r="N1472" s="28"/>
      <c r="O1472" s="28"/>
      <c r="P1472" s="28"/>
      <c r="Q1472" s="28"/>
      <c r="R1472" s="28"/>
      <c r="S1472" s="28"/>
      <c r="T1472" s="28"/>
      <c r="V1472" s="28"/>
      <c r="W1472" s="5"/>
      <c r="X1472" s="5"/>
      <c r="Z1472" s="28"/>
      <c r="AA1472" s="28"/>
      <c r="AB1472" s="28"/>
      <c r="AC1472" s="28"/>
      <c r="AD1472" s="28"/>
      <c r="AE1472" s="28"/>
      <c r="AF1472" s="28"/>
      <c r="AG1472" s="28"/>
      <c r="AH1472" s="28"/>
      <c r="AI1472" s="28"/>
      <c r="AJ1472" s="28"/>
      <c r="AK1472" s="28"/>
      <c r="AL1472" s="28"/>
      <c r="AM1472" s="28"/>
      <c r="AN1472" s="28"/>
      <c r="AO1472" s="28"/>
      <c r="AP1472" s="28"/>
      <c r="AQ1472" s="28"/>
      <c r="AR1472" s="28"/>
      <c r="AS1472" s="28"/>
      <c r="AT1472" s="5"/>
      <c r="AU1472" s="28"/>
      <c r="AV1472" s="28"/>
      <c r="AX1472" s="28"/>
      <c r="AY1472" s="28"/>
      <c r="BA1472" s="28"/>
      <c r="BB1472" s="28"/>
      <c r="BF1472" s="28"/>
      <c r="BH1472" s="28"/>
      <c r="BI1472" s="28"/>
      <c r="BJ1472" s="38"/>
      <c r="BK1472" s="28"/>
    </row>
    <row r="1473" customFormat="false" ht="15.75" hidden="false" customHeight="false" outlineLevel="0" collapsed="false">
      <c r="A1473" s="28"/>
      <c r="B1473" s="28"/>
      <c r="C1473" s="28"/>
      <c r="D1473" s="5"/>
      <c r="E1473" s="38"/>
      <c r="F1473" s="28"/>
      <c r="G1473" s="28"/>
      <c r="H1473" s="38"/>
      <c r="I1473" s="28"/>
      <c r="J1473" s="40"/>
      <c r="K1473" s="40"/>
      <c r="L1473" s="5"/>
      <c r="M1473" s="5"/>
      <c r="N1473" s="28"/>
      <c r="O1473" s="28"/>
      <c r="P1473" s="28"/>
      <c r="Q1473" s="28"/>
      <c r="R1473" s="28"/>
      <c r="S1473" s="28"/>
      <c r="T1473" s="28"/>
      <c r="V1473" s="28"/>
      <c r="W1473" s="5"/>
      <c r="X1473" s="5"/>
      <c r="Z1473" s="28"/>
      <c r="AA1473" s="28"/>
      <c r="AB1473" s="28"/>
      <c r="AC1473" s="28"/>
      <c r="AD1473" s="28"/>
      <c r="AE1473" s="28"/>
      <c r="AF1473" s="28"/>
      <c r="AG1473" s="28"/>
      <c r="AH1473" s="28"/>
      <c r="AI1473" s="28"/>
      <c r="AJ1473" s="28"/>
      <c r="AK1473" s="28"/>
      <c r="AL1473" s="28"/>
      <c r="AM1473" s="28"/>
      <c r="AN1473" s="28"/>
      <c r="AO1473" s="28"/>
      <c r="AP1473" s="28"/>
      <c r="AQ1473" s="28"/>
      <c r="AR1473" s="28"/>
      <c r="AS1473" s="28"/>
      <c r="AT1473" s="5"/>
      <c r="AU1473" s="28"/>
      <c r="AV1473" s="28"/>
      <c r="AX1473" s="28"/>
      <c r="AY1473" s="28"/>
      <c r="BA1473" s="28"/>
      <c r="BB1473" s="28"/>
      <c r="BF1473" s="28"/>
      <c r="BH1473" s="28"/>
      <c r="BI1473" s="28"/>
      <c r="BJ1473" s="38"/>
      <c r="BK1473" s="28"/>
    </row>
    <row r="1474" customFormat="false" ht="15.75" hidden="false" customHeight="false" outlineLevel="0" collapsed="false">
      <c r="A1474" s="28"/>
      <c r="B1474" s="28"/>
      <c r="C1474" s="28"/>
      <c r="D1474" s="5"/>
      <c r="E1474" s="38"/>
      <c r="F1474" s="28"/>
      <c r="G1474" s="28"/>
      <c r="H1474" s="38"/>
      <c r="I1474" s="28"/>
      <c r="J1474" s="40"/>
      <c r="K1474" s="40"/>
      <c r="L1474" s="5"/>
      <c r="M1474" s="5"/>
      <c r="N1474" s="28"/>
      <c r="O1474" s="28"/>
      <c r="P1474" s="28"/>
      <c r="Q1474" s="28"/>
      <c r="R1474" s="28"/>
      <c r="S1474" s="28"/>
      <c r="T1474" s="28"/>
      <c r="V1474" s="28"/>
      <c r="W1474" s="5"/>
      <c r="X1474" s="5"/>
      <c r="Z1474" s="28"/>
      <c r="AA1474" s="28"/>
      <c r="AB1474" s="28"/>
      <c r="AC1474" s="28"/>
      <c r="AD1474" s="28"/>
      <c r="AE1474" s="28"/>
      <c r="AF1474" s="28"/>
      <c r="AG1474" s="28"/>
      <c r="AH1474" s="28"/>
      <c r="AI1474" s="28"/>
      <c r="AJ1474" s="28"/>
      <c r="AK1474" s="28"/>
      <c r="AL1474" s="28"/>
      <c r="AM1474" s="28"/>
      <c r="AN1474" s="28"/>
      <c r="AO1474" s="28"/>
      <c r="AP1474" s="28"/>
      <c r="AQ1474" s="28"/>
      <c r="AR1474" s="28"/>
      <c r="AS1474" s="28"/>
      <c r="AT1474" s="5"/>
      <c r="AU1474" s="28"/>
      <c r="AV1474" s="28"/>
      <c r="AX1474" s="28"/>
      <c r="AY1474" s="28"/>
      <c r="BA1474" s="28"/>
      <c r="BB1474" s="28"/>
      <c r="BF1474" s="28"/>
      <c r="BH1474" s="28"/>
      <c r="BI1474" s="28"/>
      <c r="BJ1474" s="38"/>
      <c r="BK1474" s="28"/>
    </row>
    <row r="1475" customFormat="false" ht="15.75" hidden="false" customHeight="false" outlineLevel="0" collapsed="false">
      <c r="A1475" s="28"/>
      <c r="B1475" s="28"/>
      <c r="C1475" s="28"/>
      <c r="D1475" s="5"/>
      <c r="E1475" s="38"/>
      <c r="F1475" s="28"/>
      <c r="G1475" s="28"/>
      <c r="H1475" s="38"/>
      <c r="I1475" s="28"/>
      <c r="J1475" s="40"/>
      <c r="K1475" s="40"/>
      <c r="L1475" s="5"/>
      <c r="M1475" s="5"/>
      <c r="N1475" s="28"/>
      <c r="O1475" s="28"/>
      <c r="P1475" s="28"/>
      <c r="Q1475" s="28"/>
      <c r="R1475" s="28"/>
      <c r="S1475" s="28"/>
      <c r="T1475" s="28"/>
      <c r="V1475" s="28"/>
      <c r="W1475" s="5"/>
      <c r="X1475" s="5"/>
      <c r="Z1475" s="28"/>
      <c r="AA1475" s="28"/>
      <c r="AB1475" s="28"/>
      <c r="AC1475" s="28"/>
      <c r="AD1475" s="28"/>
      <c r="AE1475" s="28"/>
      <c r="AF1475" s="28"/>
      <c r="AG1475" s="28"/>
      <c r="AH1475" s="28"/>
      <c r="AI1475" s="28"/>
      <c r="AJ1475" s="28"/>
      <c r="AK1475" s="28"/>
      <c r="AL1475" s="28"/>
      <c r="AM1475" s="28"/>
      <c r="AN1475" s="28"/>
      <c r="AO1475" s="28"/>
      <c r="AP1475" s="28"/>
      <c r="AQ1475" s="28"/>
      <c r="AR1475" s="28"/>
      <c r="AS1475" s="28"/>
      <c r="AT1475" s="5"/>
      <c r="AU1475" s="28"/>
      <c r="AV1475" s="28"/>
      <c r="AX1475" s="28"/>
      <c r="AY1475" s="28"/>
      <c r="BA1475" s="28"/>
      <c r="BB1475" s="28"/>
      <c r="BF1475" s="28"/>
      <c r="BH1475" s="28"/>
      <c r="BI1475" s="28"/>
      <c r="BJ1475" s="38"/>
      <c r="BK1475" s="28"/>
    </row>
    <row r="1476" customFormat="false" ht="15.75" hidden="false" customHeight="false" outlineLevel="0" collapsed="false">
      <c r="A1476" s="28"/>
      <c r="B1476" s="28"/>
      <c r="C1476" s="28"/>
      <c r="D1476" s="5"/>
      <c r="E1476" s="38"/>
      <c r="F1476" s="28"/>
      <c r="G1476" s="28"/>
      <c r="H1476" s="38"/>
      <c r="I1476" s="28"/>
      <c r="J1476" s="40"/>
      <c r="K1476" s="40"/>
      <c r="L1476" s="5"/>
      <c r="M1476" s="5"/>
      <c r="N1476" s="28"/>
      <c r="O1476" s="28"/>
      <c r="P1476" s="28"/>
      <c r="Q1476" s="28"/>
      <c r="R1476" s="28"/>
      <c r="S1476" s="28"/>
      <c r="T1476" s="28"/>
      <c r="V1476" s="28"/>
      <c r="W1476" s="5"/>
      <c r="X1476" s="5"/>
      <c r="Z1476" s="28"/>
      <c r="AA1476" s="28"/>
      <c r="AB1476" s="28"/>
      <c r="AC1476" s="28"/>
      <c r="AD1476" s="28"/>
      <c r="AE1476" s="28"/>
      <c r="AF1476" s="28"/>
      <c r="AG1476" s="28"/>
      <c r="AH1476" s="28"/>
      <c r="AI1476" s="28"/>
      <c r="AJ1476" s="28"/>
      <c r="AK1476" s="28"/>
      <c r="AL1476" s="28"/>
      <c r="AM1476" s="28"/>
      <c r="AN1476" s="28"/>
      <c r="AO1476" s="28"/>
      <c r="AP1476" s="28"/>
      <c r="AQ1476" s="28"/>
      <c r="AR1476" s="28"/>
      <c r="AS1476" s="28"/>
      <c r="AT1476" s="5"/>
      <c r="AU1476" s="28"/>
      <c r="AV1476" s="28"/>
      <c r="AX1476" s="28"/>
      <c r="AY1476" s="28"/>
      <c r="BA1476" s="28"/>
      <c r="BB1476" s="28"/>
      <c r="BF1476" s="28"/>
      <c r="BH1476" s="28"/>
      <c r="BI1476" s="28"/>
      <c r="BJ1476" s="38"/>
      <c r="BK1476" s="28"/>
    </row>
    <row r="1477" customFormat="false" ht="15.75" hidden="false" customHeight="false" outlineLevel="0" collapsed="false">
      <c r="A1477" s="28"/>
      <c r="B1477" s="28"/>
      <c r="C1477" s="28"/>
      <c r="D1477" s="5"/>
      <c r="E1477" s="38"/>
      <c r="F1477" s="28"/>
      <c r="G1477" s="28"/>
      <c r="H1477" s="38"/>
      <c r="I1477" s="28"/>
      <c r="J1477" s="40"/>
      <c r="K1477" s="40"/>
      <c r="L1477" s="5"/>
      <c r="M1477" s="5"/>
      <c r="N1477" s="28"/>
      <c r="O1477" s="28"/>
      <c r="P1477" s="28"/>
      <c r="Q1477" s="28"/>
      <c r="R1477" s="28"/>
      <c r="S1477" s="28"/>
      <c r="T1477" s="28"/>
      <c r="V1477" s="28"/>
      <c r="W1477" s="5"/>
      <c r="X1477" s="5"/>
      <c r="Z1477" s="28"/>
      <c r="AA1477" s="28"/>
      <c r="AB1477" s="28"/>
      <c r="AC1477" s="28"/>
      <c r="AD1477" s="28"/>
      <c r="AE1477" s="28"/>
      <c r="AF1477" s="28"/>
      <c r="AG1477" s="28"/>
      <c r="AH1477" s="28"/>
      <c r="AI1477" s="28"/>
      <c r="AJ1477" s="28"/>
      <c r="AK1477" s="28"/>
      <c r="AL1477" s="28"/>
      <c r="AM1477" s="28"/>
      <c r="AN1477" s="28"/>
      <c r="AO1477" s="28"/>
      <c r="AP1477" s="28"/>
      <c r="AQ1477" s="28"/>
      <c r="AR1477" s="28"/>
      <c r="AS1477" s="28"/>
      <c r="AT1477" s="5"/>
      <c r="AU1477" s="28"/>
      <c r="AV1477" s="28"/>
      <c r="AX1477" s="28"/>
      <c r="AY1477" s="28"/>
      <c r="BA1477" s="28"/>
      <c r="BB1477" s="28"/>
      <c r="BF1477" s="28"/>
      <c r="BH1477" s="28"/>
      <c r="BI1477" s="28"/>
      <c r="BJ1477" s="38"/>
      <c r="BK1477" s="28"/>
    </row>
    <row r="1478" customFormat="false" ht="15.75" hidden="false" customHeight="false" outlineLevel="0" collapsed="false">
      <c r="A1478" s="28"/>
      <c r="B1478" s="28"/>
      <c r="C1478" s="28"/>
      <c r="D1478" s="5"/>
      <c r="E1478" s="38"/>
      <c r="F1478" s="28"/>
      <c r="G1478" s="28"/>
      <c r="H1478" s="38"/>
      <c r="I1478" s="28"/>
      <c r="J1478" s="40"/>
      <c r="K1478" s="40"/>
      <c r="L1478" s="5"/>
      <c r="M1478" s="5"/>
      <c r="N1478" s="28"/>
      <c r="O1478" s="28"/>
      <c r="P1478" s="28"/>
      <c r="Q1478" s="28"/>
      <c r="R1478" s="28"/>
      <c r="S1478" s="28"/>
      <c r="T1478" s="28"/>
      <c r="V1478" s="28"/>
      <c r="W1478" s="5"/>
      <c r="X1478" s="5"/>
      <c r="Z1478" s="28"/>
      <c r="AA1478" s="28"/>
      <c r="AB1478" s="28"/>
      <c r="AC1478" s="28"/>
      <c r="AD1478" s="28"/>
      <c r="AE1478" s="28"/>
      <c r="AF1478" s="28"/>
      <c r="AG1478" s="28"/>
      <c r="AH1478" s="28"/>
      <c r="AI1478" s="28"/>
      <c r="AJ1478" s="28"/>
      <c r="AK1478" s="28"/>
      <c r="AL1478" s="28"/>
      <c r="AM1478" s="28"/>
      <c r="AN1478" s="28"/>
      <c r="AO1478" s="28"/>
      <c r="AP1478" s="28"/>
      <c r="AQ1478" s="28"/>
      <c r="AR1478" s="28"/>
      <c r="AS1478" s="28"/>
      <c r="AT1478" s="5"/>
      <c r="AU1478" s="28"/>
      <c r="AV1478" s="28"/>
      <c r="AX1478" s="28"/>
      <c r="AY1478" s="28"/>
      <c r="BA1478" s="28"/>
      <c r="BB1478" s="28"/>
      <c r="BF1478" s="28"/>
      <c r="BH1478" s="28"/>
      <c r="BI1478" s="28"/>
      <c r="BJ1478" s="38"/>
      <c r="BK1478" s="28"/>
    </row>
    <row r="1479" customFormat="false" ht="15.75" hidden="false" customHeight="false" outlineLevel="0" collapsed="false">
      <c r="A1479" s="28"/>
      <c r="B1479" s="28"/>
      <c r="C1479" s="28"/>
      <c r="D1479" s="5"/>
      <c r="E1479" s="38"/>
      <c r="F1479" s="28"/>
      <c r="G1479" s="28"/>
      <c r="H1479" s="38"/>
      <c r="I1479" s="28"/>
      <c r="J1479" s="40"/>
      <c r="K1479" s="40"/>
      <c r="L1479" s="5"/>
      <c r="M1479" s="5"/>
      <c r="N1479" s="28"/>
      <c r="O1479" s="28"/>
      <c r="P1479" s="28"/>
      <c r="Q1479" s="28"/>
      <c r="R1479" s="28"/>
      <c r="S1479" s="28"/>
      <c r="T1479" s="28"/>
      <c r="V1479" s="28"/>
      <c r="W1479" s="5"/>
      <c r="X1479" s="5"/>
      <c r="Z1479" s="28"/>
      <c r="AA1479" s="28"/>
      <c r="AB1479" s="28"/>
      <c r="AC1479" s="28"/>
      <c r="AD1479" s="28"/>
      <c r="AE1479" s="28"/>
      <c r="AF1479" s="28"/>
      <c r="AG1479" s="28"/>
      <c r="AH1479" s="28"/>
      <c r="AI1479" s="28"/>
      <c r="AJ1479" s="28"/>
      <c r="AK1479" s="28"/>
      <c r="AL1479" s="28"/>
      <c r="AM1479" s="28"/>
      <c r="AN1479" s="28"/>
      <c r="AO1479" s="28"/>
      <c r="AP1479" s="28"/>
      <c r="AQ1479" s="28"/>
      <c r="AR1479" s="28"/>
      <c r="AS1479" s="28"/>
      <c r="AT1479" s="5"/>
      <c r="AU1479" s="28"/>
      <c r="AV1479" s="28"/>
      <c r="AX1479" s="28"/>
      <c r="AY1479" s="28"/>
      <c r="BA1479" s="28"/>
      <c r="BB1479" s="28"/>
      <c r="BF1479" s="28"/>
      <c r="BH1479" s="28"/>
      <c r="BI1479" s="28"/>
      <c r="BJ1479" s="38"/>
      <c r="BK1479" s="28"/>
    </row>
    <row r="1480" customFormat="false" ht="15.75" hidden="false" customHeight="false" outlineLevel="0" collapsed="false">
      <c r="A1480" s="28"/>
      <c r="B1480" s="28"/>
      <c r="C1480" s="28"/>
      <c r="D1480" s="5"/>
      <c r="E1480" s="38"/>
      <c r="F1480" s="28"/>
      <c r="G1480" s="28"/>
      <c r="H1480" s="38"/>
      <c r="I1480" s="28"/>
      <c r="J1480" s="40"/>
      <c r="K1480" s="40"/>
      <c r="L1480" s="5"/>
      <c r="M1480" s="5"/>
      <c r="N1480" s="28"/>
      <c r="O1480" s="28"/>
      <c r="P1480" s="28"/>
      <c r="Q1480" s="28"/>
      <c r="R1480" s="28"/>
      <c r="S1480" s="28"/>
      <c r="T1480" s="28"/>
      <c r="V1480" s="28"/>
      <c r="W1480" s="5"/>
      <c r="X1480" s="5"/>
      <c r="Z1480" s="28"/>
      <c r="AA1480" s="28"/>
      <c r="AB1480" s="28"/>
      <c r="AC1480" s="28"/>
      <c r="AD1480" s="28"/>
      <c r="AE1480" s="28"/>
      <c r="AF1480" s="28"/>
      <c r="AG1480" s="28"/>
      <c r="AH1480" s="28"/>
      <c r="AI1480" s="28"/>
      <c r="AJ1480" s="28"/>
      <c r="AK1480" s="28"/>
      <c r="AL1480" s="28"/>
      <c r="AM1480" s="28"/>
      <c r="AN1480" s="28"/>
      <c r="AO1480" s="28"/>
      <c r="AP1480" s="28"/>
      <c r="AQ1480" s="28"/>
      <c r="AR1480" s="28"/>
      <c r="AS1480" s="28"/>
      <c r="AT1480" s="5"/>
      <c r="AU1480" s="28"/>
      <c r="AV1480" s="28"/>
      <c r="AX1480" s="28"/>
      <c r="AY1480" s="28"/>
      <c r="BA1480" s="28"/>
      <c r="BB1480" s="28"/>
      <c r="BF1480" s="28"/>
      <c r="BH1480" s="28"/>
      <c r="BI1480" s="28"/>
      <c r="BJ1480" s="38"/>
      <c r="BK1480" s="28"/>
    </row>
    <row r="1481" customFormat="false" ht="15.75" hidden="false" customHeight="false" outlineLevel="0" collapsed="false">
      <c r="A1481" s="28"/>
      <c r="B1481" s="28"/>
      <c r="C1481" s="28"/>
      <c r="D1481" s="5"/>
      <c r="E1481" s="38"/>
      <c r="F1481" s="28"/>
      <c r="G1481" s="28"/>
      <c r="H1481" s="38"/>
      <c r="I1481" s="28"/>
      <c r="J1481" s="40"/>
      <c r="K1481" s="40"/>
      <c r="L1481" s="5"/>
      <c r="M1481" s="5"/>
      <c r="N1481" s="28"/>
      <c r="O1481" s="28"/>
      <c r="P1481" s="28"/>
      <c r="Q1481" s="28"/>
      <c r="R1481" s="28"/>
      <c r="S1481" s="28"/>
      <c r="T1481" s="28"/>
      <c r="V1481" s="28"/>
      <c r="W1481" s="5"/>
      <c r="X1481" s="5"/>
      <c r="Z1481" s="28"/>
      <c r="AA1481" s="28"/>
      <c r="AB1481" s="28"/>
      <c r="AC1481" s="28"/>
      <c r="AD1481" s="28"/>
      <c r="AE1481" s="28"/>
      <c r="AF1481" s="28"/>
      <c r="AG1481" s="28"/>
      <c r="AH1481" s="28"/>
      <c r="AI1481" s="28"/>
      <c r="AJ1481" s="28"/>
      <c r="AK1481" s="28"/>
      <c r="AL1481" s="28"/>
      <c r="AM1481" s="28"/>
      <c r="AN1481" s="28"/>
      <c r="AO1481" s="28"/>
      <c r="AP1481" s="28"/>
      <c r="AQ1481" s="28"/>
      <c r="AR1481" s="28"/>
      <c r="AS1481" s="28"/>
      <c r="AT1481" s="5"/>
      <c r="AU1481" s="28"/>
      <c r="AV1481" s="28"/>
      <c r="AX1481" s="28"/>
      <c r="AY1481" s="28"/>
      <c r="BA1481" s="28"/>
      <c r="BB1481" s="28"/>
      <c r="BF1481" s="28"/>
      <c r="BH1481" s="28"/>
      <c r="BI1481" s="28"/>
      <c r="BJ1481" s="38"/>
      <c r="BK1481" s="28"/>
    </row>
    <row r="1482" customFormat="false" ht="15.75" hidden="false" customHeight="false" outlineLevel="0" collapsed="false">
      <c r="A1482" s="28"/>
      <c r="B1482" s="28"/>
      <c r="C1482" s="28"/>
      <c r="D1482" s="5"/>
      <c r="E1482" s="38"/>
      <c r="F1482" s="28"/>
      <c r="G1482" s="28"/>
      <c r="H1482" s="38"/>
      <c r="I1482" s="28"/>
      <c r="J1482" s="40"/>
      <c r="K1482" s="40"/>
      <c r="L1482" s="5"/>
      <c r="M1482" s="5"/>
      <c r="N1482" s="28"/>
      <c r="O1482" s="28"/>
      <c r="P1482" s="28"/>
      <c r="Q1482" s="28"/>
      <c r="R1482" s="28"/>
      <c r="S1482" s="28"/>
      <c r="T1482" s="28"/>
      <c r="V1482" s="28"/>
      <c r="W1482" s="5"/>
      <c r="X1482" s="5"/>
      <c r="Z1482" s="28"/>
      <c r="AA1482" s="28"/>
      <c r="AB1482" s="28"/>
      <c r="AC1482" s="28"/>
      <c r="AD1482" s="28"/>
      <c r="AE1482" s="28"/>
      <c r="AF1482" s="28"/>
      <c r="AG1482" s="28"/>
      <c r="AH1482" s="28"/>
      <c r="AI1482" s="28"/>
      <c r="AJ1482" s="28"/>
      <c r="AK1482" s="28"/>
      <c r="AL1482" s="28"/>
      <c r="AM1482" s="28"/>
      <c r="AN1482" s="28"/>
      <c r="AO1482" s="28"/>
      <c r="AP1482" s="28"/>
      <c r="AQ1482" s="28"/>
      <c r="AR1482" s="28"/>
      <c r="AS1482" s="28"/>
      <c r="AT1482" s="5"/>
      <c r="AU1482" s="28"/>
      <c r="AV1482" s="28"/>
      <c r="AX1482" s="28"/>
      <c r="AY1482" s="28"/>
      <c r="BA1482" s="28"/>
      <c r="BB1482" s="28"/>
      <c r="BF1482" s="28"/>
      <c r="BH1482" s="28"/>
      <c r="BI1482" s="28"/>
      <c r="BJ1482" s="38"/>
      <c r="BK1482" s="28"/>
    </row>
    <row r="1483" customFormat="false" ht="15.75" hidden="false" customHeight="false" outlineLevel="0" collapsed="false">
      <c r="A1483" s="28"/>
      <c r="B1483" s="28"/>
      <c r="C1483" s="28"/>
      <c r="D1483" s="5"/>
      <c r="E1483" s="38"/>
      <c r="F1483" s="28"/>
      <c r="G1483" s="28"/>
      <c r="H1483" s="38"/>
      <c r="I1483" s="28"/>
      <c r="J1483" s="40"/>
      <c r="K1483" s="40"/>
      <c r="L1483" s="5"/>
      <c r="M1483" s="5"/>
      <c r="N1483" s="28"/>
      <c r="O1483" s="28"/>
      <c r="P1483" s="28"/>
      <c r="Q1483" s="28"/>
      <c r="R1483" s="28"/>
      <c r="S1483" s="28"/>
      <c r="T1483" s="28"/>
      <c r="V1483" s="28"/>
      <c r="W1483" s="5"/>
      <c r="X1483" s="5"/>
      <c r="Z1483" s="28"/>
      <c r="AA1483" s="28"/>
      <c r="AB1483" s="28"/>
      <c r="AC1483" s="28"/>
      <c r="AD1483" s="28"/>
      <c r="AE1483" s="28"/>
      <c r="AF1483" s="28"/>
      <c r="AG1483" s="28"/>
      <c r="AH1483" s="28"/>
      <c r="AI1483" s="28"/>
      <c r="AJ1483" s="28"/>
      <c r="AK1483" s="28"/>
      <c r="AL1483" s="28"/>
      <c r="AM1483" s="28"/>
      <c r="AN1483" s="28"/>
      <c r="AO1483" s="28"/>
      <c r="AP1483" s="28"/>
      <c r="AQ1483" s="28"/>
      <c r="AR1483" s="28"/>
      <c r="AS1483" s="28"/>
      <c r="AT1483" s="5"/>
      <c r="AU1483" s="28"/>
      <c r="AV1483" s="28"/>
      <c r="AX1483" s="28"/>
      <c r="AY1483" s="28"/>
      <c r="BA1483" s="28"/>
      <c r="BB1483" s="28"/>
      <c r="BF1483" s="28"/>
      <c r="BH1483" s="28"/>
      <c r="BI1483" s="28"/>
      <c r="BJ1483" s="38"/>
      <c r="BK1483" s="28"/>
    </row>
    <row r="1484" customFormat="false" ht="15.75" hidden="false" customHeight="false" outlineLevel="0" collapsed="false">
      <c r="A1484" s="28"/>
      <c r="B1484" s="28"/>
      <c r="C1484" s="28"/>
      <c r="D1484" s="5"/>
      <c r="E1484" s="38"/>
      <c r="F1484" s="28"/>
      <c r="G1484" s="28"/>
      <c r="H1484" s="38"/>
      <c r="I1484" s="28"/>
      <c r="J1484" s="40"/>
      <c r="K1484" s="40"/>
      <c r="L1484" s="5"/>
      <c r="M1484" s="5"/>
      <c r="N1484" s="28"/>
      <c r="O1484" s="28"/>
      <c r="P1484" s="28"/>
      <c r="Q1484" s="28"/>
      <c r="R1484" s="28"/>
      <c r="S1484" s="28"/>
      <c r="T1484" s="28"/>
      <c r="V1484" s="28"/>
      <c r="W1484" s="5"/>
      <c r="X1484" s="5"/>
      <c r="Z1484" s="28"/>
      <c r="AA1484" s="28"/>
      <c r="AB1484" s="28"/>
      <c r="AC1484" s="28"/>
      <c r="AD1484" s="28"/>
      <c r="AE1484" s="28"/>
      <c r="AF1484" s="28"/>
      <c r="AG1484" s="28"/>
      <c r="AH1484" s="28"/>
      <c r="AI1484" s="28"/>
      <c r="AJ1484" s="28"/>
      <c r="AK1484" s="28"/>
      <c r="AL1484" s="28"/>
      <c r="AM1484" s="28"/>
      <c r="AN1484" s="28"/>
      <c r="AO1484" s="28"/>
      <c r="AP1484" s="28"/>
      <c r="AQ1484" s="28"/>
      <c r="AR1484" s="28"/>
      <c r="AS1484" s="28"/>
      <c r="AT1484" s="5"/>
      <c r="AU1484" s="28"/>
      <c r="AV1484" s="28"/>
      <c r="AX1484" s="28"/>
      <c r="AY1484" s="28"/>
      <c r="BA1484" s="28"/>
      <c r="BB1484" s="28"/>
      <c r="BF1484" s="28"/>
      <c r="BH1484" s="28"/>
      <c r="BI1484" s="28"/>
      <c r="BJ1484" s="38"/>
      <c r="BK1484" s="28"/>
    </row>
    <row r="1485" customFormat="false" ht="15.75" hidden="false" customHeight="false" outlineLevel="0" collapsed="false">
      <c r="A1485" s="28"/>
      <c r="B1485" s="28"/>
      <c r="C1485" s="28"/>
      <c r="D1485" s="5"/>
      <c r="E1485" s="38"/>
      <c r="F1485" s="28"/>
      <c r="G1485" s="28"/>
      <c r="H1485" s="38"/>
      <c r="I1485" s="28"/>
      <c r="J1485" s="40"/>
      <c r="K1485" s="40"/>
      <c r="L1485" s="5"/>
      <c r="M1485" s="5"/>
      <c r="N1485" s="28"/>
      <c r="O1485" s="28"/>
      <c r="P1485" s="28"/>
      <c r="Q1485" s="28"/>
      <c r="R1485" s="28"/>
      <c r="S1485" s="28"/>
      <c r="T1485" s="28"/>
      <c r="V1485" s="28"/>
      <c r="W1485" s="5"/>
      <c r="X1485" s="5"/>
      <c r="Z1485" s="28"/>
      <c r="AA1485" s="28"/>
      <c r="AB1485" s="28"/>
      <c r="AC1485" s="28"/>
      <c r="AD1485" s="28"/>
      <c r="AE1485" s="28"/>
      <c r="AF1485" s="28"/>
      <c r="AG1485" s="28"/>
      <c r="AH1485" s="28"/>
      <c r="AI1485" s="28"/>
      <c r="AJ1485" s="28"/>
      <c r="AK1485" s="28"/>
      <c r="AL1485" s="28"/>
      <c r="AM1485" s="28"/>
      <c r="AN1485" s="28"/>
      <c r="AO1485" s="28"/>
      <c r="AP1485" s="28"/>
      <c r="AQ1485" s="28"/>
      <c r="AR1485" s="28"/>
      <c r="AS1485" s="28"/>
      <c r="AT1485" s="5"/>
      <c r="AU1485" s="28"/>
      <c r="AV1485" s="28"/>
      <c r="AX1485" s="28"/>
      <c r="AY1485" s="28"/>
      <c r="BA1485" s="28"/>
      <c r="BB1485" s="28"/>
      <c r="BF1485" s="28"/>
      <c r="BH1485" s="28"/>
      <c r="BI1485" s="28"/>
      <c r="BJ1485" s="38"/>
      <c r="BK1485" s="28"/>
    </row>
    <row r="1486" customFormat="false" ht="15.75" hidden="false" customHeight="false" outlineLevel="0" collapsed="false">
      <c r="A1486" s="28"/>
      <c r="B1486" s="28"/>
      <c r="C1486" s="28"/>
      <c r="D1486" s="5"/>
      <c r="E1486" s="38"/>
      <c r="F1486" s="28"/>
      <c r="G1486" s="28"/>
      <c r="H1486" s="38"/>
      <c r="I1486" s="28"/>
      <c r="J1486" s="40"/>
      <c r="K1486" s="40"/>
      <c r="L1486" s="5"/>
      <c r="M1486" s="5"/>
      <c r="N1486" s="28"/>
      <c r="O1486" s="28"/>
      <c r="P1486" s="28"/>
      <c r="Q1486" s="28"/>
      <c r="R1486" s="28"/>
      <c r="S1486" s="28"/>
      <c r="T1486" s="28"/>
      <c r="V1486" s="28"/>
      <c r="W1486" s="5"/>
      <c r="X1486" s="5"/>
      <c r="Z1486" s="28"/>
      <c r="AA1486" s="28"/>
      <c r="AB1486" s="28"/>
      <c r="AC1486" s="28"/>
      <c r="AD1486" s="28"/>
      <c r="AE1486" s="28"/>
      <c r="AF1486" s="28"/>
      <c r="AG1486" s="28"/>
      <c r="AH1486" s="28"/>
      <c r="AI1486" s="28"/>
      <c r="AJ1486" s="28"/>
      <c r="AK1486" s="28"/>
      <c r="AL1486" s="28"/>
      <c r="AM1486" s="28"/>
      <c r="AN1486" s="28"/>
      <c r="AO1486" s="28"/>
      <c r="AP1486" s="28"/>
      <c r="AQ1486" s="28"/>
      <c r="AR1486" s="28"/>
      <c r="AS1486" s="28"/>
      <c r="AT1486" s="5"/>
      <c r="AU1486" s="28"/>
      <c r="AV1486" s="28"/>
      <c r="AX1486" s="28"/>
      <c r="AY1486" s="28"/>
      <c r="BA1486" s="28"/>
      <c r="BB1486" s="28"/>
      <c r="BF1486" s="28"/>
      <c r="BH1486" s="28"/>
      <c r="BI1486" s="28"/>
      <c r="BJ1486" s="38"/>
      <c r="BK1486" s="28"/>
    </row>
    <row r="1487" customFormat="false" ht="15.75" hidden="false" customHeight="false" outlineLevel="0" collapsed="false">
      <c r="A1487" s="28"/>
      <c r="B1487" s="28"/>
      <c r="C1487" s="28"/>
      <c r="D1487" s="5"/>
      <c r="E1487" s="38"/>
      <c r="F1487" s="28"/>
      <c r="G1487" s="28"/>
      <c r="H1487" s="38"/>
      <c r="I1487" s="28"/>
      <c r="J1487" s="40"/>
      <c r="K1487" s="40"/>
      <c r="L1487" s="5"/>
      <c r="M1487" s="5"/>
      <c r="N1487" s="28"/>
      <c r="O1487" s="28"/>
      <c r="P1487" s="28"/>
      <c r="Q1487" s="28"/>
      <c r="R1487" s="28"/>
      <c r="S1487" s="28"/>
      <c r="T1487" s="28"/>
      <c r="V1487" s="28"/>
      <c r="W1487" s="5"/>
      <c r="X1487" s="5"/>
      <c r="Z1487" s="28"/>
      <c r="AA1487" s="28"/>
      <c r="AB1487" s="28"/>
      <c r="AC1487" s="28"/>
      <c r="AD1487" s="28"/>
      <c r="AE1487" s="28"/>
      <c r="AF1487" s="28"/>
      <c r="AG1487" s="28"/>
      <c r="AH1487" s="28"/>
      <c r="AI1487" s="28"/>
      <c r="AJ1487" s="28"/>
      <c r="AK1487" s="28"/>
      <c r="AL1487" s="28"/>
      <c r="AM1487" s="28"/>
      <c r="AN1487" s="28"/>
      <c r="AO1487" s="28"/>
      <c r="AP1487" s="28"/>
      <c r="AQ1487" s="28"/>
      <c r="AR1487" s="28"/>
      <c r="AS1487" s="28"/>
      <c r="AT1487" s="5"/>
      <c r="AU1487" s="28"/>
      <c r="AV1487" s="28"/>
      <c r="AX1487" s="28"/>
      <c r="AY1487" s="28"/>
      <c r="BA1487" s="28"/>
      <c r="BB1487" s="28"/>
      <c r="BF1487" s="28"/>
      <c r="BH1487" s="28"/>
      <c r="BI1487" s="28"/>
      <c r="BJ1487" s="38"/>
      <c r="BK1487" s="28"/>
    </row>
    <row r="1488" customFormat="false" ht="15.75" hidden="false" customHeight="false" outlineLevel="0" collapsed="false">
      <c r="A1488" s="28"/>
      <c r="B1488" s="28"/>
      <c r="C1488" s="28"/>
      <c r="D1488" s="5"/>
      <c r="E1488" s="38"/>
      <c r="F1488" s="28"/>
      <c r="G1488" s="28"/>
      <c r="H1488" s="38"/>
      <c r="I1488" s="28"/>
      <c r="J1488" s="40"/>
      <c r="K1488" s="40"/>
      <c r="L1488" s="5"/>
      <c r="M1488" s="5"/>
      <c r="N1488" s="28"/>
      <c r="O1488" s="28"/>
      <c r="P1488" s="28"/>
      <c r="Q1488" s="28"/>
      <c r="R1488" s="28"/>
      <c r="S1488" s="28"/>
      <c r="T1488" s="28"/>
      <c r="V1488" s="28"/>
      <c r="W1488" s="5"/>
      <c r="X1488" s="5"/>
      <c r="Z1488" s="28"/>
      <c r="AA1488" s="28"/>
      <c r="AB1488" s="28"/>
      <c r="AC1488" s="28"/>
      <c r="AD1488" s="28"/>
      <c r="AE1488" s="28"/>
      <c r="AF1488" s="28"/>
      <c r="AG1488" s="28"/>
      <c r="AH1488" s="28"/>
      <c r="AI1488" s="28"/>
      <c r="AJ1488" s="28"/>
      <c r="AK1488" s="28"/>
      <c r="AL1488" s="28"/>
      <c r="AM1488" s="28"/>
      <c r="AN1488" s="28"/>
      <c r="AO1488" s="28"/>
      <c r="AP1488" s="28"/>
      <c r="AQ1488" s="28"/>
      <c r="AR1488" s="28"/>
      <c r="AS1488" s="28"/>
      <c r="AT1488" s="5"/>
      <c r="AU1488" s="28"/>
      <c r="AV1488" s="28"/>
      <c r="AX1488" s="28"/>
      <c r="AY1488" s="28"/>
      <c r="BA1488" s="28"/>
      <c r="BB1488" s="28"/>
      <c r="BF1488" s="28"/>
      <c r="BH1488" s="28"/>
      <c r="BI1488" s="28"/>
      <c r="BJ1488" s="38"/>
      <c r="BK1488" s="28"/>
    </row>
    <row r="1489" customFormat="false" ht="15.75" hidden="false" customHeight="false" outlineLevel="0" collapsed="false">
      <c r="A1489" s="28"/>
      <c r="B1489" s="28"/>
      <c r="C1489" s="28"/>
      <c r="D1489" s="5"/>
      <c r="E1489" s="38"/>
      <c r="F1489" s="28"/>
      <c r="G1489" s="28"/>
      <c r="H1489" s="38"/>
      <c r="I1489" s="28"/>
      <c r="J1489" s="40"/>
      <c r="K1489" s="40"/>
      <c r="L1489" s="5"/>
      <c r="M1489" s="5"/>
      <c r="N1489" s="28"/>
      <c r="O1489" s="28"/>
      <c r="P1489" s="28"/>
      <c r="Q1489" s="28"/>
      <c r="R1489" s="28"/>
      <c r="S1489" s="28"/>
      <c r="T1489" s="28"/>
      <c r="V1489" s="28"/>
      <c r="W1489" s="5"/>
      <c r="X1489" s="5"/>
      <c r="Z1489" s="28"/>
      <c r="AA1489" s="28"/>
      <c r="AB1489" s="28"/>
      <c r="AC1489" s="28"/>
      <c r="AD1489" s="28"/>
      <c r="AE1489" s="28"/>
      <c r="AF1489" s="28"/>
      <c r="AG1489" s="28"/>
      <c r="AH1489" s="28"/>
      <c r="AI1489" s="28"/>
      <c r="AJ1489" s="28"/>
      <c r="AK1489" s="28"/>
      <c r="AL1489" s="28"/>
      <c r="AM1489" s="28"/>
      <c r="AN1489" s="28"/>
      <c r="AO1489" s="28"/>
      <c r="AP1489" s="28"/>
      <c r="AQ1489" s="28"/>
      <c r="AR1489" s="28"/>
      <c r="AS1489" s="28"/>
      <c r="AT1489" s="5"/>
      <c r="AU1489" s="28"/>
      <c r="AV1489" s="28"/>
      <c r="AX1489" s="28"/>
      <c r="AY1489" s="28"/>
      <c r="BA1489" s="28"/>
      <c r="BB1489" s="28"/>
      <c r="BF1489" s="28"/>
      <c r="BH1489" s="28"/>
      <c r="BI1489" s="28"/>
      <c r="BJ1489" s="38"/>
      <c r="BK1489" s="28"/>
    </row>
    <row r="1490" customFormat="false" ht="15.75" hidden="false" customHeight="false" outlineLevel="0" collapsed="false">
      <c r="A1490" s="28"/>
      <c r="B1490" s="28"/>
      <c r="C1490" s="28"/>
      <c r="D1490" s="5"/>
      <c r="E1490" s="38"/>
      <c r="F1490" s="28"/>
      <c r="G1490" s="28"/>
      <c r="H1490" s="38"/>
      <c r="I1490" s="28"/>
      <c r="J1490" s="40"/>
      <c r="K1490" s="40"/>
      <c r="L1490" s="5"/>
      <c r="M1490" s="5"/>
      <c r="N1490" s="28"/>
      <c r="O1490" s="28"/>
      <c r="P1490" s="28"/>
      <c r="Q1490" s="28"/>
      <c r="R1490" s="28"/>
      <c r="S1490" s="28"/>
      <c r="T1490" s="28"/>
      <c r="V1490" s="28"/>
      <c r="W1490" s="5"/>
      <c r="X1490" s="5"/>
      <c r="Z1490" s="28"/>
      <c r="AA1490" s="28"/>
      <c r="AB1490" s="28"/>
      <c r="AC1490" s="28"/>
      <c r="AD1490" s="28"/>
      <c r="AE1490" s="28"/>
      <c r="AF1490" s="28"/>
      <c r="AG1490" s="28"/>
      <c r="AH1490" s="28"/>
      <c r="AI1490" s="28"/>
      <c r="AJ1490" s="28"/>
      <c r="AK1490" s="28"/>
      <c r="AL1490" s="28"/>
      <c r="AM1490" s="28"/>
      <c r="AN1490" s="28"/>
      <c r="AO1490" s="28"/>
      <c r="AP1490" s="28"/>
      <c r="AQ1490" s="28"/>
      <c r="AR1490" s="28"/>
      <c r="AS1490" s="28"/>
      <c r="AT1490" s="5"/>
      <c r="AU1490" s="28"/>
      <c r="AV1490" s="28"/>
      <c r="AX1490" s="28"/>
      <c r="AY1490" s="28"/>
      <c r="BA1490" s="28"/>
      <c r="BB1490" s="28"/>
      <c r="BF1490" s="28"/>
      <c r="BH1490" s="28"/>
      <c r="BI1490" s="28"/>
      <c r="BJ1490" s="38"/>
      <c r="BK1490" s="28"/>
    </row>
    <row r="1491" customFormat="false" ht="15.75" hidden="false" customHeight="false" outlineLevel="0" collapsed="false">
      <c r="A1491" s="28"/>
      <c r="B1491" s="28"/>
      <c r="C1491" s="28"/>
      <c r="D1491" s="5"/>
      <c r="E1491" s="38"/>
      <c r="F1491" s="28"/>
      <c r="G1491" s="28"/>
      <c r="H1491" s="38"/>
      <c r="I1491" s="28"/>
      <c r="J1491" s="40"/>
      <c r="K1491" s="40"/>
      <c r="L1491" s="5"/>
      <c r="M1491" s="5"/>
      <c r="N1491" s="28"/>
      <c r="O1491" s="28"/>
      <c r="P1491" s="28"/>
      <c r="Q1491" s="28"/>
      <c r="R1491" s="28"/>
      <c r="S1491" s="28"/>
      <c r="T1491" s="28"/>
      <c r="V1491" s="28"/>
      <c r="W1491" s="5"/>
      <c r="X1491" s="5"/>
      <c r="Z1491" s="28"/>
      <c r="AA1491" s="28"/>
      <c r="AB1491" s="28"/>
      <c r="AC1491" s="28"/>
      <c r="AD1491" s="28"/>
      <c r="AE1491" s="28"/>
      <c r="AF1491" s="28"/>
      <c r="AG1491" s="28"/>
      <c r="AH1491" s="28"/>
      <c r="AI1491" s="28"/>
      <c r="AJ1491" s="28"/>
      <c r="AK1491" s="28"/>
      <c r="AL1491" s="28"/>
      <c r="AM1491" s="28"/>
      <c r="AN1491" s="28"/>
      <c r="AO1491" s="28"/>
      <c r="AP1491" s="28"/>
      <c r="AQ1491" s="28"/>
      <c r="AR1491" s="28"/>
      <c r="AS1491" s="28"/>
      <c r="AT1491" s="5"/>
      <c r="AU1491" s="28"/>
      <c r="AV1491" s="28"/>
      <c r="AX1491" s="28"/>
      <c r="AY1491" s="28"/>
      <c r="BA1491" s="28"/>
      <c r="BB1491" s="28"/>
      <c r="BF1491" s="28"/>
      <c r="BH1491" s="28"/>
      <c r="BI1491" s="28"/>
      <c r="BJ1491" s="38"/>
      <c r="BK1491" s="28"/>
    </row>
    <row r="1492" customFormat="false" ht="15.75" hidden="false" customHeight="false" outlineLevel="0" collapsed="false">
      <c r="A1492" s="28"/>
      <c r="B1492" s="28"/>
      <c r="C1492" s="28"/>
      <c r="D1492" s="5"/>
      <c r="E1492" s="38"/>
      <c r="F1492" s="28"/>
      <c r="G1492" s="28"/>
      <c r="H1492" s="38"/>
      <c r="I1492" s="28"/>
      <c r="J1492" s="40"/>
      <c r="K1492" s="40"/>
      <c r="L1492" s="5"/>
      <c r="M1492" s="5"/>
      <c r="N1492" s="28"/>
      <c r="O1492" s="28"/>
      <c r="P1492" s="28"/>
      <c r="Q1492" s="28"/>
      <c r="R1492" s="28"/>
      <c r="S1492" s="28"/>
      <c r="T1492" s="28"/>
      <c r="V1492" s="28"/>
      <c r="W1492" s="5"/>
      <c r="X1492" s="5"/>
      <c r="Z1492" s="28"/>
      <c r="AA1492" s="28"/>
      <c r="AB1492" s="28"/>
      <c r="AC1492" s="28"/>
      <c r="AD1492" s="28"/>
      <c r="AE1492" s="28"/>
      <c r="AF1492" s="28"/>
      <c r="AG1492" s="28"/>
      <c r="AH1492" s="28"/>
      <c r="AI1492" s="28"/>
      <c r="AJ1492" s="28"/>
      <c r="AK1492" s="28"/>
      <c r="AL1492" s="28"/>
      <c r="AM1492" s="28"/>
      <c r="AN1492" s="28"/>
      <c r="AO1492" s="28"/>
      <c r="AP1492" s="28"/>
      <c r="AQ1492" s="28"/>
      <c r="AR1492" s="28"/>
      <c r="AS1492" s="28"/>
      <c r="AT1492" s="5"/>
      <c r="AU1492" s="28"/>
      <c r="AV1492" s="28"/>
      <c r="AX1492" s="28"/>
      <c r="AY1492" s="28"/>
      <c r="BA1492" s="28"/>
      <c r="BB1492" s="28"/>
      <c r="BF1492" s="28"/>
      <c r="BH1492" s="28"/>
      <c r="BI1492" s="28"/>
      <c r="BJ1492" s="38"/>
      <c r="BK1492" s="28"/>
    </row>
    <row r="1493" customFormat="false" ht="15.75" hidden="false" customHeight="false" outlineLevel="0" collapsed="false">
      <c r="A1493" s="28"/>
      <c r="B1493" s="28"/>
      <c r="C1493" s="28"/>
      <c r="D1493" s="5"/>
      <c r="E1493" s="38"/>
      <c r="F1493" s="28"/>
      <c r="G1493" s="28"/>
      <c r="H1493" s="38"/>
      <c r="I1493" s="28"/>
      <c r="J1493" s="40"/>
      <c r="K1493" s="40"/>
      <c r="L1493" s="5"/>
      <c r="M1493" s="5"/>
      <c r="N1493" s="28"/>
      <c r="O1493" s="28"/>
      <c r="P1493" s="28"/>
      <c r="Q1493" s="28"/>
      <c r="R1493" s="28"/>
      <c r="S1493" s="28"/>
      <c r="T1493" s="28"/>
      <c r="V1493" s="28"/>
      <c r="W1493" s="5"/>
      <c r="X1493" s="5"/>
      <c r="Z1493" s="28"/>
      <c r="AA1493" s="28"/>
      <c r="AB1493" s="28"/>
      <c r="AC1493" s="28"/>
      <c r="AD1493" s="28"/>
      <c r="AE1493" s="28"/>
      <c r="AF1493" s="28"/>
      <c r="AG1493" s="28"/>
      <c r="AH1493" s="28"/>
      <c r="AI1493" s="28"/>
      <c r="AJ1493" s="28"/>
      <c r="AK1493" s="28"/>
      <c r="AL1493" s="28"/>
      <c r="AM1493" s="28"/>
      <c r="AN1493" s="28"/>
      <c r="AO1493" s="28"/>
      <c r="AP1493" s="28"/>
      <c r="AQ1493" s="28"/>
      <c r="AR1493" s="28"/>
      <c r="AS1493" s="28"/>
      <c r="AT1493" s="5"/>
      <c r="AU1493" s="28"/>
      <c r="AV1493" s="28"/>
      <c r="AX1493" s="28"/>
      <c r="AY1493" s="28"/>
      <c r="BA1493" s="28"/>
      <c r="BB1493" s="28"/>
      <c r="BF1493" s="28"/>
      <c r="BH1493" s="28"/>
      <c r="BI1493" s="28"/>
      <c r="BJ1493" s="38"/>
      <c r="BK1493" s="28"/>
    </row>
    <row r="1494" customFormat="false" ht="15.75" hidden="false" customHeight="false" outlineLevel="0" collapsed="false">
      <c r="A1494" s="28"/>
      <c r="B1494" s="28"/>
      <c r="C1494" s="28"/>
      <c r="D1494" s="5"/>
      <c r="E1494" s="38"/>
      <c r="F1494" s="28"/>
      <c r="G1494" s="28"/>
      <c r="H1494" s="38"/>
      <c r="I1494" s="28"/>
      <c r="J1494" s="40"/>
      <c r="K1494" s="40"/>
      <c r="L1494" s="5"/>
      <c r="M1494" s="5"/>
      <c r="N1494" s="28"/>
      <c r="O1494" s="28"/>
      <c r="P1494" s="28"/>
      <c r="Q1494" s="28"/>
      <c r="R1494" s="28"/>
      <c r="S1494" s="28"/>
      <c r="T1494" s="28"/>
      <c r="V1494" s="28"/>
      <c r="W1494" s="5"/>
      <c r="X1494" s="5"/>
      <c r="Z1494" s="28"/>
      <c r="AA1494" s="28"/>
      <c r="AB1494" s="28"/>
      <c r="AC1494" s="28"/>
      <c r="AD1494" s="28"/>
      <c r="AE1494" s="28"/>
      <c r="AF1494" s="28"/>
      <c r="AG1494" s="28"/>
      <c r="AH1494" s="28"/>
      <c r="AI1494" s="28"/>
      <c r="AJ1494" s="28"/>
      <c r="AK1494" s="28"/>
      <c r="AL1494" s="28"/>
      <c r="AM1494" s="28"/>
      <c r="AN1494" s="28"/>
      <c r="AO1494" s="28"/>
      <c r="AP1494" s="28"/>
      <c r="AQ1494" s="28"/>
      <c r="AR1494" s="28"/>
      <c r="AS1494" s="28"/>
      <c r="AT1494" s="5"/>
      <c r="AU1494" s="28"/>
      <c r="AV1494" s="28"/>
      <c r="AX1494" s="28"/>
      <c r="AY1494" s="28"/>
      <c r="BA1494" s="28"/>
      <c r="BB1494" s="28"/>
      <c r="BF1494" s="28"/>
      <c r="BH1494" s="28"/>
      <c r="BI1494" s="28"/>
      <c r="BJ1494" s="38"/>
      <c r="BK1494" s="28"/>
    </row>
    <row r="1495" customFormat="false" ht="15.75" hidden="false" customHeight="false" outlineLevel="0" collapsed="false">
      <c r="A1495" s="28"/>
      <c r="B1495" s="28"/>
      <c r="C1495" s="28"/>
      <c r="D1495" s="5"/>
      <c r="E1495" s="38"/>
      <c r="F1495" s="28"/>
      <c r="G1495" s="28"/>
      <c r="H1495" s="38"/>
      <c r="I1495" s="28"/>
      <c r="J1495" s="40"/>
      <c r="K1495" s="40"/>
      <c r="L1495" s="5"/>
      <c r="M1495" s="5"/>
      <c r="N1495" s="28"/>
      <c r="O1495" s="28"/>
      <c r="P1495" s="28"/>
      <c r="Q1495" s="28"/>
      <c r="R1495" s="28"/>
      <c r="S1495" s="28"/>
      <c r="T1495" s="28"/>
      <c r="V1495" s="28"/>
      <c r="W1495" s="5"/>
      <c r="X1495" s="5"/>
      <c r="Z1495" s="28"/>
      <c r="AA1495" s="28"/>
      <c r="AB1495" s="28"/>
      <c r="AC1495" s="28"/>
      <c r="AD1495" s="28"/>
      <c r="AE1495" s="28"/>
      <c r="AF1495" s="28"/>
      <c r="AG1495" s="28"/>
      <c r="AH1495" s="28"/>
      <c r="AI1495" s="28"/>
      <c r="AJ1495" s="28"/>
      <c r="AK1495" s="28"/>
      <c r="AL1495" s="28"/>
      <c r="AM1495" s="28"/>
      <c r="AN1495" s="28"/>
      <c r="AO1495" s="28"/>
      <c r="AP1495" s="28"/>
      <c r="AQ1495" s="28"/>
      <c r="AR1495" s="28"/>
      <c r="AS1495" s="28"/>
      <c r="AT1495" s="5"/>
      <c r="AU1495" s="28"/>
      <c r="AV1495" s="28"/>
      <c r="AX1495" s="28"/>
      <c r="AY1495" s="28"/>
      <c r="BA1495" s="28"/>
      <c r="BB1495" s="28"/>
      <c r="BF1495" s="28"/>
      <c r="BH1495" s="28"/>
      <c r="BI1495" s="28"/>
      <c r="BJ1495" s="38"/>
      <c r="BK1495" s="28"/>
    </row>
    <row r="1496" customFormat="false" ht="15.75" hidden="false" customHeight="false" outlineLevel="0" collapsed="false">
      <c r="A1496" s="28"/>
      <c r="B1496" s="28"/>
      <c r="C1496" s="28"/>
      <c r="D1496" s="5"/>
      <c r="E1496" s="38"/>
      <c r="F1496" s="28"/>
      <c r="G1496" s="28"/>
      <c r="H1496" s="38"/>
      <c r="I1496" s="28"/>
      <c r="J1496" s="40"/>
      <c r="K1496" s="40"/>
      <c r="L1496" s="5"/>
      <c r="M1496" s="5"/>
      <c r="N1496" s="28"/>
      <c r="O1496" s="28"/>
      <c r="P1496" s="28"/>
      <c r="Q1496" s="28"/>
      <c r="R1496" s="28"/>
      <c r="S1496" s="28"/>
      <c r="T1496" s="28"/>
      <c r="V1496" s="28"/>
      <c r="W1496" s="5"/>
      <c r="X1496" s="5"/>
      <c r="Z1496" s="28"/>
      <c r="AA1496" s="28"/>
      <c r="AB1496" s="28"/>
      <c r="AC1496" s="28"/>
      <c r="AD1496" s="28"/>
      <c r="AE1496" s="28"/>
      <c r="AF1496" s="28"/>
      <c r="AG1496" s="28"/>
      <c r="AH1496" s="28"/>
      <c r="AI1496" s="28"/>
      <c r="AJ1496" s="28"/>
      <c r="AK1496" s="28"/>
      <c r="AL1496" s="28"/>
      <c r="AM1496" s="28"/>
      <c r="AN1496" s="28"/>
      <c r="AO1496" s="28"/>
      <c r="AP1496" s="28"/>
      <c r="AQ1496" s="28"/>
      <c r="AR1496" s="28"/>
      <c r="AS1496" s="28"/>
      <c r="AT1496" s="5"/>
      <c r="AU1496" s="28"/>
      <c r="AV1496" s="28"/>
      <c r="AX1496" s="28"/>
      <c r="AY1496" s="28"/>
      <c r="BA1496" s="28"/>
      <c r="BB1496" s="28"/>
      <c r="BF1496" s="28"/>
      <c r="BH1496" s="28"/>
      <c r="BI1496" s="28"/>
      <c r="BJ1496" s="38"/>
      <c r="BK1496" s="28"/>
    </row>
    <row r="1497" customFormat="false" ht="15.75" hidden="false" customHeight="false" outlineLevel="0" collapsed="false">
      <c r="A1497" s="28"/>
      <c r="B1497" s="28"/>
      <c r="C1497" s="28"/>
      <c r="D1497" s="5"/>
      <c r="E1497" s="38"/>
      <c r="F1497" s="28"/>
      <c r="G1497" s="28"/>
      <c r="H1497" s="38"/>
      <c r="I1497" s="28"/>
      <c r="J1497" s="40"/>
      <c r="K1497" s="40"/>
      <c r="L1497" s="5"/>
      <c r="M1497" s="5"/>
      <c r="N1497" s="28"/>
      <c r="O1497" s="28"/>
      <c r="P1497" s="28"/>
      <c r="Q1497" s="28"/>
      <c r="R1497" s="28"/>
      <c r="S1497" s="28"/>
      <c r="T1497" s="28"/>
      <c r="V1497" s="28"/>
      <c r="W1497" s="5"/>
      <c r="X1497" s="5"/>
      <c r="Z1497" s="28"/>
      <c r="AA1497" s="28"/>
      <c r="AB1497" s="28"/>
      <c r="AC1497" s="28"/>
      <c r="AD1497" s="28"/>
      <c r="AE1497" s="28"/>
      <c r="AF1497" s="28"/>
      <c r="AG1497" s="28"/>
      <c r="AH1497" s="28"/>
      <c r="AI1497" s="28"/>
      <c r="AJ1497" s="28"/>
      <c r="AK1497" s="28"/>
      <c r="AL1497" s="28"/>
      <c r="AM1497" s="28"/>
      <c r="AN1497" s="28"/>
      <c r="AO1497" s="28"/>
      <c r="AP1497" s="28"/>
      <c r="AQ1497" s="28"/>
      <c r="AR1497" s="28"/>
      <c r="AS1497" s="28"/>
      <c r="AT1497" s="5"/>
      <c r="AU1497" s="28"/>
      <c r="AV1497" s="28"/>
      <c r="AX1497" s="28"/>
      <c r="AY1497" s="28"/>
      <c r="BA1497" s="28"/>
      <c r="BB1497" s="28"/>
      <c r="BF1497" s="28"/>
      <c r="BH1497" s="28"/>
      <c r="BI1497" s="28"/>
      <c r="BJ1497" s="38"/>
      <c r="BK1497" s="28"/>
    </row>
    <row r="1498" customFormat="false" ht="15.75" hidden="false" customHeight="false" outlineLevel="0" collapsed="false">
      <c r="A1498" s="28"/>
      <c r="B1498" s="28"/>
      <c r="C1498" s="28"/>
      <c r="D1498" s="5"/>
      <c r="E1498" s="38"/>
      <c r="F1498" s="28"/>
      <c r="G1498" s="28"/>
      <c r="H1498" s="38"/>
      <c r="I1498" s="28"/>
      <c r="J1498" s="40"/>
      <c r="K1498" s="40"/>
      <c r="L1498" s="5"/>
      <c r="M1498" s="5"/>
      <c r="N1498" s="28"/>
      <c r="O1498" s="28"/>
      <c r="P1498" s="28"/>
      <c r="Q1498" s="28"/>
      <c r="R1498" s="28"/>
      <c r="S1498" s="28"/>
      <c r="T1498" s="28"/>
      <c r="V1498" s="28"/>
      <c r="W1498" s="5"/>
      <c r="X1498" s="5"/>
      <c r="Z1498" s="28"/>
      <c r="AA1498" s="28"/>
      <c r="AB1498" s="28"/>
      <c r="AC1498" s="28"/>
      <c r="AD1498" s="28"/>
      <c r="AE1498" s="28"/>
      <c r="AF1498" s="28"/>
      <c r="AG1498" s="28"/>
      <c r="AH1498" s="28"/>
      <c r="AI1498" s="28"/>
      <c r="AJ1498" s="28"/>
      <c r="AK1498" s="28"/>
      <c r="AL1498" s="28"/>
      <c r="AM1498" s="28"/>
      <c r="AN1498" s="28"/>
      <c r="AO1498" s="28"/>
      <c r="AP1498" s="28"/>
      <c r="AQ1498" s="28"/>
      <c r="AR1498" s="28"/>
      <c r="AS1498" s="28"/>
      <c r="AT1498" s="5"/>
      <c r="AU1498" s="28"/>
      <c r="AV1498" s="28"/>
      <c r="AX1498" s="28"/>
      <c r="AY1498" s="28"/>
      <c r="BA1498" s="28"/>
      <c r="BB1498" s="28"/>
      <c r="BF1498" s="28"/>
      <c r="BH1498" s="28"/>
      <c r="BI1498" s="28"/>
      <c r="BJ1498" s="38"/>
      <c r="BK1498" s="28"/>
    </row>
    <row r="1499" customFormat="false" ht="15.75" hidden="false" customHeight="false" outlineLevel="0" collapsed="false">
      <c r="A1499" s="28"/>
      <c r="B1499" s="28"/>
      <c r="C1499" s="28"/>
      <c r="D1499" s="5"/>
      <c r="E1499" s="38"/>
      <c r="F1499" s="28"/>
      <c r="G1499" s="28"/>
      <c r="H1499" s="38"/>
      <c r="I1499" s="28"/>
      <c r="J1499" s="40"/>
      <c r="K1499" s="40"/>
      <c r="L1499" s="5"/>
      <c r="M1499" s="5"/>
      <c r="N1499" s="28"/>
      <c r="O1499" s="28"/>
      <c r="P1499" s="28"/>
      <c r="Q1499" s="28"/>
      <c r="R1499" s="28"/>
      <c r="S1499" s="28"/>
      <c r="T1499" s="28"/>
      <c r="V1499" s="28"/>
      <c r="W1499" s="5"/>
      <c r="X1499" s="5"/>
      <c r="Z1499" s="28"/>
      <c r="AA1499" s="28"/>
      <c r="AB1499" s="28"/>
      <c r="AC1499" s="28"/>
      <c r="AD1499" s="28"/>
      <c r="AE1499" s="28"/>
      <c r="AF1499" s="28"/>
      <c r="AG1499" s="28"/>
      <c r="AH1499" s="28"/>
      <c r="AI1499" s="28"/>
      <c r="AJ1499" s="28"/>
      <c r="AK1499" s="28"/>
      <c r="AL1499" s="28"/>
      <c r="AM1499" s="28"/>
      <c r="AN1499" s="28"/>
      <c r="AO1499" s="28"/>
      <c r="AP1499" s="28"/>
      <c r="AQ1499" s="28"/>
      <c r="AR1499" s="28"/>
      <c r="AS1499" s="28"/>
      <c r="AT1499" s="5"/>
      <c r="AU1499" s="28"/>
      <c r="AV1499" s="28"/>
      <c r="AX1499" s="28"/>
      <c r="AY1499" s="28"/>
      <c r="BA1499" s="28"/>
      <c r="BB1499" s="28"/>
      <c r="BF1499" s="28"/>
      <c r="BH1499" s="28"/>
      <c r="BI1499" s="28"/>
      <c r="BJ1499" s="38"/>
      <c r="BK1499" s="28"/>
    </row>
    <row r="1500" customFormat="false" ht="15.75" hidden="false" customHeight="false" outlineLevel="0" collapsed="false">
      <c r="A1500" s="28"/>
      <c r="B1500" s="28"/>
      <c r="C1500" s="28"/>
      <c r="D1500" s="5"/>
      <c r="E1500" s="38"/>
      <c r="F1500" s="28"/>
      <c r="G1500" s="28"/>
      <c r="H1500" s="38"/>
      <c r="I1500" s="28"/>
      <c r="J1500" s="40"/>
      <c r="K1500" s="40"/>
      <c r="L1500" s="5"/>
      <c r="M1500" s="5"/>
      <c r="N1500" s="28"/>
      <c r="O1500" s="28"/>
      <c r="P1500" s="28"/>
      <c r="Q1500" s="28"/>
      <c r="R1500" s="28"/>
      <c r="S1500" s="28"/>
      <c r="T1500" s="28"/>
      <c r="V1500" s="28"/>
      <c r="W1500" s="5"/>
      <c r="X1500" s="5"/>
      <c r="Z1500" s="28"/>
      <c r="AA1500" s="28"/>
      <c r="AB1500" s="28"/>
      <c r="AC1500" s="28"/>
      <c r="AD1500" s="28"/>
      <c r="AE1500" s="28"/>
      <c r="AF1500" s="28"/>
      <c r="AG1500" s="28"/>
      <c r="AH1500" s="28"/>
      <c r="AI1500" s="28"/>
      <c r="AJ1500" s="28"/>
      <c r="AK1500" s="28"/>
      <c r="AL1500" s="28"/>
      <c r="AM1500" s="28"/>
      <c r="AN1500" s="28"/>
      <c r="AO1500" s="28"/>
      <c r="AP1500" s="28"/>
      <c r="AQ1500" s="28"/>
      <c r="AR1500" s="28"/>
      <c r="AS1500" s="28"/>
      <c r="AT1500" s="5"/>
      <c r="AU1500" s="28"/>
      <c r="AV1500" s="28"/>
      <c r="AX1500" s="28"/>
      <c r="AY1500" s="28"/>
      <c r="BA1500" s="28"/>
      <c r="BB1500" s="28"/>
      <c r="BF1500" s="28"/>
      <c r="BH1500" s="28"/>
      <c r="BI1500" s="28"/>
      <c r="BJ1500" s="38"/>
      <c r="BK1500" s="28"/>
    </row>
    <row r="1501" customFormat="false" ht="15.75" hidden="false" customHeight="false" outlineLevel="0" collapsed="false">
      <c r="A1501" s="28"/>
      <c r="B1501" s="28"/>
      <c r="C1501" s="28"/>
      <c r="D1501" s="5"/>
      <c r="E1501" s="38"/>
      <c r="F1501" s="28"/>
      <c r="G1501" s="28"/>
      <c r="H1501" s="38"/>
      <c r="I1501" s="28"/>
      <c r="J1501" s="40"/>
      <c r="K1501" s="40"/>
      <c r="L1501" s="5"/>
      <c r="M1501" s="5"/>
      <c r="N1501" s="28"/>
      <c r="O1501" s="28"/>
      <c r="P1501" s="28"/>
      <c r="Q1501" s="28"/>
      <c r="R1501" s="28"/>
      <c r="S1501" s="28"/>
      <c r="T1501" s="28"/>
      <c r="V1501" s="28"/>
      <c r="W1501" s="5"/>
      <c r="X1501" s="5"/>
      <c r="Z1501" s="28"/>
      <c r="AA1501" s="28"/>
      <c r="AB1501" s="28"/>
      <c r="AC1501" s="28"/>
      <c r="AD1501" s="28"/>
      <c r="AE1501" s="28"/>
      <c r="AF1501" s="28"/>
      <c r="AG1501" s="28"/>
      <c r="AH1501" s="28"/>
      <c r="AI1501" s="28"/>
      <c r="AJ1501" s="28"/>
      <c r="AK1501" s="28"/>
      <c r="AL1501" s="28"/>
      <c r="AM1501" s="28"/>
      <c r="AN1501" s="28"/>
      <c r="AO1501" s="28"/>
      <c r="AP1501" s="28"/>
      <c r="AQ1501" s="28"/>
      <c r="AR1501" s="28"/>
      <c r="AS1501" s="28"/>
      <c r="AT1501" s="5"/>
      <c r="AU1501" s="28"/>
      <c r="AV1501" s="28"/>
      <c r="AX1501" s="28"/>
      <c r="AY1501" s="28"/>
      <c r="BA1501" s="28"/>
      <c r="BB1501" s="28"/>
      <c r="BF1501" s="28"/>
      <c r="BH1501" s="28"/>
      <c r="BI1501" s="28"/>
      <c r="BJ1501" s="38"/>
      <c r="BK1501" s="28"/>
    </row>
    <row r="1502" customFormat="false" ht="15.75" hidden="false" customHeight="false" outlineLevel="0" collapsed="false">
      <c r="A1502" s="28"/>
      <c r="B1502" s="28"/>
      <c r="C1502" s="28"/>
      <c r="D1502" s="5"/>
      <c r="E1502" s="38"/>
      <c r="F1502" s="28"/>
      <c r="G1502" s="28"/>
      <c r="H1502" s="38"/>
      <c r="I1502" s="28"/>
      <c r="J1502" s="40"/>
      <c r="K1502" s="40"/>
      <c r="L1502" s="5"/>
      <c r="M1502" s="5"/>
      <c r="N1502" s="28"/>
      <c r="O1502" s="28"/>
      <c r="P1502" s="28"/>
      <c r="Q1502" s="28"/>
      <c r="R1502" s="28"/>
      <c r="S1502" s="28"/>
      <c r="T1502" s="28"/>
      <c r="V1502" s="28"/>
      <c r="W1502" s="5"/>
      <c r="X1502" s="5"/>
      <c r="Z1502" s="28"/>
      <c r="AA1502" s="28"/>
      <c r="AB1502" s="28"/>
      <c r="AC1502" s="28"/>
      <c r="AD1502" s="28"/>
      <c r="AE1502" s="28"/>
      <c r="AF1502" s="28"/>
      <c r="AG1502" s="28"/>
      <c r="AH1502" s="28"/>
      <c r="AI1502" s="28"/>
      <c r="AJ1502" s="28"/>
      <c r="AK1502" s="28"/>
      <c r="AL1502" s="28"/>
      <c r="AM1502" s="28"/>
      <c r="AN1502" s="28"/>
      <c r="AO1502" s="28"/>
      <c r="AP1502" s="28"/>
      <c r="AQ1502" s="28"/>
      <c r="AR1502" s="28"/>
      <c r="AS1502" s="28"/>
      <c r="AT1502" s="5"/>
      <c r="AU1502" s="28"/>
      <c r="AV1502" s="28"/>
      <c r="AX1502" s="28"/>
      <c r="AY1502" s="28"/>
      <c r="BA1502" s="28"/>
      <c r="BB1502" s="28"/>
      <c r="BF1502" s="28"/>
      <c r="BH1502" s="28"/>
      <c r="BI1502" s="28"/>
      <c r="BJ1502" s="38"/>
      <c r="BK1502" s="28"/>
    </row>
    <row r="1503" customFormat="false" ht="15.75" hidden="false" customHeight="false" outlineLevel="0" collapsed="false">
      <c r="A1503" s="28"/>
      <c r="B1503" s="28"/>
      <c r="C1503" s="28"/>
      <c r="D1503" s="5"/>
      <c r="E1503" s="38"/>
      <c r="F1503" s="28"/>
      <c r="G1503" s="28"/>
      <c r="H1503" s="38"/>
      <c r="I1503" s="28"/>
      <c r="J1503" s="40"/>
      <c r="K1503" s="40"/>
      <c r="L1503" s="5"/>
      <c r="M1503" s="5"/>
      <c r="N1503" s="28"/>
      <c r="O1503" s="28"/>
      <c r="P1503" s="28"/>
      <c r="Q1503" s="28"/>
      <c r="R1503" s="28"/>
      <c r="S1503" s="28"/>
      <c r="T1503" s="28"/>
      <c r="V1503" s="28"/>
      <c r="W1503" s="5"/>
      <c r="X1503" s="5"/>
      <c r="Z1503" s="28"/>
      <c r="AA1503" s="28"/>
      <c r="AB1503" s="28"/>
      <c r="AC1503" s="28"/>
      <c r="AD1503" s="28"/>
      <c r="AE1503" s="28"/>
      <c r="AF1503" s="28"/>
      <c r="AG1503" s="28"/>
      <c r="AH1503" s="28"/>
      <c r="AI1503" s="28"/>
      <c r="AJ1503" s="28"/>
      <c r="AK1503" s="28"/>
      <c r="AL1503" s="28"/>
      <c r="AM1503" s="28"/>
      <c r="AN1503" s="28"/>
      <c r="AO1503" s="28"/>
      <c r="AP1503" s="28"/>
      <c r="AQ1503" s="28"/>
      <c r="AR1503" s="28"/>
      <c r="AS1503" s="28"/>
      <c r="AT1503" s="5"/>
      <c r="AU1503" s="28"/>
      <c r="AV1503" s="28"/>
      <c r="AX1503" s="28"/>
      <c r="AY1503" s="28"/>
      <c r="BA1503" s="28"/>
      <c r="BB1503" s="28"/>
      <c r="BF1503" s="28"/>
      <c r="BH1503" s="28"/>
      <c r="BI1503" s="28"/>
      <c r="BJ1503" s="38"/>
      <c r="BK1503" s="28"/>
    </row>
    <row r="1504" customFormat="false" ht="15.75" hidden="false" customHeight="false" outlineLevel="0" collapsed="false">
      <c r="A1504" s="28"/>
      <c r="B1504" s="28"/>
      <c r="C1504" s="28"/>
      <c r="D1504" s="5"/>
      <c r="E1504" s="38"/>
      <c r="F1504" s="28"/>
      <c r="G1504" s="28"/>
      <c r="H1504" s="38"/>
      <c r="I1504" s="28"/>
      <c r="J1504" s="40"/>
      <c r="K1504" s="40"/>
      <c r="L1504" s="5"/>
      <c r="M1504" s="5"/>
      <c r="N1504" s="28"/>
      <c r="O1504" s="28"/>
      <c r="P1504" s="28"/>
      <c r="Q1504" s="28"/>
      <c r="R1504" s="28"/>
      <c r="S1504" s="28"/>
      <c r="T1504" s="28"/>
      <c r="V1504" s="28"/>
      <c r="W1504" s="5"/>
      <c r="X1504" s="5"/>
      <c r="Z1504" s="28"/>
      <c r="AA1504" s="28"/>
      <c r="AB1504" s="28"/>
      <c r="AC1504" s="28"/>
      <c r="AD1504" s="28"/>
      <c r="AE1504" s="28"/>
      <c r="AF1504" s="28"/>
      <c r="AG1504" s="28"/>
      <c r="AH1504" s="28"/>
      <c r="AI1504" s="28"/>
      <c r="AJ1504" s="28"/>
      <c r="AK1504" s="28"/>
      <c r="AL1504" s="28"/>
      <c r="AM1504" s="28"/>
      <c r="AN1504" s="28"/>
      <c r="AO1504" s="28"/>
      <c r="AP1504" s="28"/>
      <c r="AQ1504" s="28"/>
      <c r="AR1504" s="28"/>
      <c r="AS1504" s="28"/>
      <c r="AT1504" s="5"/>
      <c r="AU1504" s="28"/>
      <c r="AV1504" s="28"/>
      <c r="AX1504" s="28"/>
      <c r="AY1504" s="28"/>
      <c r="BA1504" s="28"/>
      <c r="BB1504" s="28"/>
      <c r="BF1504" s="28"/>
      <c r="BH1504" s="28"/>
      <c r="BI1504" s="28"/>
      <c r="BJ1504" s="38"/>
      <c r="BK1504" s="28"/>
    </row>
    <row r="1505" customFormat="false" ht="15.75" hidden="false" customHeight="false" outlineLevel="0" collapsed="false">
      <c r="A1505" s="28"/>
      <c r="B1505" s="28"/>
      <c r="C1505" s="28"/>
      <c r="D1505" s="5"/>
      <c r="E1505" s="38"/>
      <c r="F1505" s="28"/>
      <c r="G1505" s="28"/>
      <c r="H1505" s="38"/>
      <c r="I1505" s="28"/>
      <c r="J1505" s="40"/>
      <c r="K1505" s="40"/>
      <c r="L1505" s="5"/>
      <c r="M1505" s="5"/>
      <c r="N1505" s="28"/>
      <c r="O1505" s="28"/>
      <c r="P1505" s="28"/>
      <c r="Q1505" s="28"/>
      <c r="R1505" s="28"/>
      <c r="S1505" s="28"/>
      <c r="T1505" s="28"/>
      <c r="V1505" s="28"/>
      <c r="W1505" s="5"/>
      <c r="X1505" s="5"/>
      <c r="Z1505" s="28"/>
      <c r="AA1505" s="28"/>
      <c r="AB1505" s="28"/>
      <c r="AC1505" s="28"/>
      <c r="AD1505" s="28"/>
      <c r="AE1505" s="28"/>
      <c r="AF1505" s="28"/>
      <c r="AG1505" s="28"/>
      <c r="AH1505" s="28"/>
      <c r="AI1505" s="28"/>
      <c r="AJ1505" s="28"/>
      <c r="AK1505" s="28"/>
      <c r="AL1505" s="28"/>
      <c r="AM1505" s="28"/>
      <c r="AN1505" s="28"/>
      <c r="AO1505" s="28"/>
      <c r="AP1505" s="28"/>
      <c r="AQ1505" s="28"/>
      <c r="AR1505" s="28"/>
      <c r="AS1505" s="28"/>
      <c r="AT1505" s="5"/>
      <c r="AU1505" s="28"/>
      <c r="AV1505" s="28"/>
      <c r="AX1505" s="28"/>
      <c r="AY1505" s="28"/>
      <c r="BA1505" s="28"/>
      <c r="BB1505" s="28"/>
      <c r="BF1505" s="28"/>
      <c r="BH1505" s="28"/>
      <c r="BI1505" s="28"/>
      <c r="BJ1505" s="38"/>
      <c r="BK1505" s="28"/>
    </row>
    <row r="1506" customFormat="false" ht="15.75" hidden="false" customHeight="false" outlineLevel="0" collapsed="false">
      <c r="A1506" s="28"/>
      <c r="B1506" s="28"/>
      <c r="C1506" s="28"/>
      <c r="D1506" s="5"/>
      <c r="E1506" s="38"/>
      <c r="F1506" s="28"/>
      <c r="G1506" s="28"/>
      <c r="H1506" s="38"/>
      <c r="I1506" s="28"/>
      <c r="J1506" s="40"/>
      <c r="K1506" s="40"/>
      <c r="L1506" s="5"/>
      <c r="M1506" s="5"/>
      <c r="N1506" s="28"/>
      <c r="O1506" s="28"/>
      <c r="P1506" s="28"/>
      <c r="Q1506" s="28"/>
      <c r="R1506" s="28"/>
      <c r="S1506" s="28"/>
      <c r="T1506" s="28"/>
      <c r="V1506" s="28"/>
      <c r="W1506" s="5"/>
      <c r="X1506" s="5"/>
      <c r="Z1506" s="28"/>
      <c r="AA1506" s="28"/>
      <c r="AB1506" s="28"/>
      <c r="AC1506" s="28"/>
      <c r="AD1506" s="28"/>
      <c r="AE1506" s="28"/>
      <c r="AF1506" s="28"/>
      <c r="AG1506" s="28"/>
      <c r="AH1506" s="28"/>
      <c r="AI1506" s="28"/>
      <c r="AJ1506" s="28"/>
      <c r="AK1506" s="28"/>
      <c r="AL1506" s="28"/>
      <c r="AM1506" s="28"/>
      <c r="AN1506" s="28"/>
      <c r="AO1506" s="28"/>
      <c r="AP1506" s="28"/>
      <c r="AQ1506" s="28"/>
      <c r="AR1506" s="28"/>
      <c r="AS1506" s="28"/>
      <c r="AT1506" s="5"/>
      <c r="AU1506" s="28"/>
      <c r="AV1506" s="28"/>
      <c r="AX1506" s="28"/>
      <c r="AY1506" s="28"/>
      <c r="BA1506" s="28"/>
      <c r="BB1506" s="28"/>
      <c r="BF1506" s="28"/>
      <c r="BH1506" s="28"/>
      <c r="BI1506" s="28"/>
      <c r="BJ1506" s="38"/>
      <c r="BK1506" s="28"/>
    </row>
    <row r="1507" customFormat="false" ht="15.75" hidden="false" customHeight="false" outlineLevel="0" collapsed="false">
      <c r="A1507" s="28"/>
      <c r="B1507" s="28"/>
      <c r="C1507" s="28"/>
      <c r="D1507" s="5"/>
      <c r="E1507" s="38"/>
      <c r="F1507" s="28"/>
      <c r="G1507" s="28"/>
      <c r="H1507" s="38"/>
      <c r="I1507" s="28"/>
      <c r="J1507" s="40"/>
      <c r="K1507" s="40"/>
      <c r="L1507" s="5"/>
      <c r="M1507" s="5"/>
      <c r="N1507" s="28"/>
      <c r="O1507" s="28"/>
      <c r="P1507" s="28"/>
      <c r="Q1507" s="28"/>
      <c r="R1507" s="28"/>
      <c r="S1507" s="28"/>
      <c r="T1507" s="28"/>
      <c r="V1507" s="28"/>
      <c r="W1507" s="5"/>
      <c r="X1507" s="5"/>
      <c r="Z1507" s="28"/>
      <c r="AA1507" s="28"/>
      <c r="AB1507" s="28"/>
      <c r="AC1507" s="28"/>
      <c r="AD1507" s="28"/>
      <c r="AE1507" s="28"/>
      <c r="AF1507" s="28"/>
      <c r="AG1507" s="28"/>
      <c r="AH1507" s="28"/>
      <c r="AI1507" s="28"/>
      <c r="AJ1507" s="28"/>
      <c r="AK1507" s="28"/>
      <c r="AL1507" s="28"/>
      <c r="AM1507" s="28"/>
      <c r="AN1507" s="28"/>
      <c r="AO1507" s="28"/>
      <c r="AP1507" s="28"/>
      <c r="AQ1507" s="28"/>
      <c r="AR1507" s="28"/>
      <c r="AS1507" s="28"/>
      <c r="AT1507" s="5"/>
      <c r="AU1507" s="28"/>
      <c r="AV1507" s="28"/>
      <c r="AX1507" s="28"/>
      <c r="AY1507" s="28"/>
      <c r="BA1507" s="28"/>
      <c r="BB1507" s="28"/>
      <c r="BF1507" s="28"/>
      <c r="BH1507" s="28"/>
      <c r="BI1507" s="28"/>
      <c r="BJ1507" s="38"/>
      <c r="BK1507" s="28"/>
    </row>
    <row r="1508" customFormat="false" ht="15.75" hidden="false" customHeight="false" outlineLevel="0" collapsed="false">
      <c r="A1508" s="28"/>
      <c r="B1508" s="28"/>
      <c r="C1508" s="28"/>
      <c r="D1508" s="5"/>
      <c r="E1508" s="38"/>
      <c r="F1508" s="28"/>
      <c r="G1508" s="28"/>
      <c r="H1508" s="38"/>
      <c r="I1508" s="28"/>
      <c r="J1508" s="40"/>
      <c r="K1508" s="40"/>
      <c r="L1508" s="5"/>
      <c r="M1508" s="5"/>
      <c r="N1508" s="28"/>
      <c r="O1508" s="28"/>
      <c r="P1508" s="28"/>
      <c r="Q1508" s="28"/>
      <c r="R1508" s="28"/>
      <c r="S1508" s="28"/>
      <c r="T1508" s="28"/>
      <c r="V1508" s="28"/>
      <c r="W1508" s="5"/>
      <c r="X1508" s="5"/>
      <c r="Z1508" s="28"/>
      <c r="AA1508" s="28"/>
      <c r="AB1508" s="28"/>
      <c r="AC1508" s="28"/>
      <c r="AD1508" s="28"/>
      <c r="AE1508" s="28"/>
      <c r="AF1508" s="28"/>
      <c r="AG1508" s="28"/>
      <c r="AH1508" s="28"/>
      <c r="AI1508" s="28"/>
      <c r="AJ1508" s="28"/>
      <c r="AK1508" s="28"/>
      <c r="AL1508" s="28"/>
      <c r="AM1508" s="28"/>
      <c r="AN1508" s="28"/>
      <c r="AO1508" s="28"/>
      <c r="AP1508" s="28"/>
      <c r="AQ1508" s="28"/>
      <c r="AR1508" s="28"/>
      <c r="AS1508" s="28"/>
      <c r="AT1508" s="5"/>
      <c r="AU1508" s="28"/>
      <c r="AV1508" s="28"/>
      <c r="AX1508" s="28"/>
      <c r="AY1508" s="28"/>
      <c r="BA1508" s="28"/>
      <c r="BB1508" s="28"/>
      <c r="BF1508" s="28"/>
      <c r="BH1508" s="28"/>
      <c r="BI1508" s="28"/>
      <c r="BJ1508" s="38"/>
      <c r="BK1508" s="28"/>
    </row>
    <row r="1509" customFormat="false" ht="15.75" hidden="false" customHeight="false" outlineLevel="0" collapsed="false">
      <c r="A1509" s="28"/>
      <c r="B1509" s="28"/>
      <c r="C1509" s="28"/>
      <c r="D1509" s="5"/>
      <c r="E1509" s="38"/>
      <c r="F1509" s="28"/>
      <c r="G1509" s="28"/>
      <c r="H1509" s="38"/>
      <c r="I1509" s="28"/>
      <c r="J1509" s="40"/>
      <c r="K1509" s="40"/>
      <c r="L1509" s="5"/>
      <c r="M1509" s="5"/>
      <c r="N1509" s="28"/>
      <c r="O1509" s="28"/>
      <c r="P1509" s="28"/>
      <c r="Q1509" s="28"/>
      <c r="R1509" s="28"/>
      <c r="S1509" s="28"/>
      <c r="T1509" s="28"/>
      <c r="V1509" s="28"/>
      <c r="W1509" s="5"/>
      <c r="X1509" s="5"/>
      <c r="Z1509" s="28"/>
      <c r="AA1509" s="28"/>
      <c r="AB1509" s="28"/>
      <c r="AC1509" s="28"/>
      <c r="AD1509" s="28"/>
      <c r="AE1509" s="28"/>
      <c r="AF1509" s="28"/>
      <c r="AG1509" s="28"/>
      <c r="AH1509" s="28"/>
      <c r="AI1509" s="28"/>
      <c r="AJ1509" s="28"/>
      <c r="AK1509" s="28"/>
      <c r="AL1509" s="28"/>
      <c r="AM1509" s="28"/>
      <c r="AN1509" s="28"/>
      <c r="AO1509" s="28"/>
      <c r="AP1509" s="28"/>
      <c r="AQ1509" s="28"/>
      <c r="AR1509" s="28"/>
      <c r="AS1509" s="28"/>
      <c r="AT1509" s="5"/>
      <c r="AU1509" s="28"/>
      <c r="AV1509" s="28"/>
      <c r="AX1509" s="28"/>
      <c r="AY1509" s="28"/>
      <c r="BA1509" s="28"/>
      <c r="BB1509" s="28"/>
      <c r="BF1509" s="28"/>
      <c r="BH1509" s="28"/>
      <c r="BI1509" s="28"/>
      <c r="BJ1509" s="38"/>
      <c r="BK1509" s="28"/>
    </row>
    <row r="1510" customFormat="false" ht="15.75" hidden="false" customHeight="false" outlineLevel="0" collapsed="false">
      <c r="A1510" s="28"/>
      <c r="B1510" s="28"/>
      <c r="C1510" s="28"/>
      <c r="D1510" s="5"/>
      <c r="E1510" s="38"/>
      <c r="F1510" s="28"/>
      <c r="G1510" s="28"/>
      <c r="H1510" s="38"/>
      <c r="I1510" s="28"/>
      <c r="J1510" s="40"/>
      <c r="K1510" s="40"/>
      <c r="L1510" s="5"/>
      <c r="M1510" s="5"/>
      <c r="N1510" s="28"/>
      <c r="O1510" s="28"/>
      <c r="P1510" s="28"/>
      <c r="Q1510" s="28"/>
      <c r="R1510" s="28"/>
      <c r="S1510" s="28"/>
      <c r="T1510" s="28"/>
      <c r="V1510" s="28"/>
      <c r="W1510" s="5"/>
      <c r="X1510" s="5"/>
      <c r="Z1510" s="28"/>
      <c r="AA1510" s="28"/>
      <c r="AB1510" s="28"/>
      <c r="AC1510" s="28"/>
      <c r="AD1510" s="28"/>
      <c r="AE1510" s="28"/>
      <c r="AF1510" s="28"/>
      <c r="AG1510" s="28"/>
      <c r="AH1510" s="28"/>
      <c r="AI1510" s="28"/>
      <c r="AJ1510" s="28"/>
      <c r="AK1510" s="28"/>
      <c r="AL1510" s="28"/>
      <c r="AM1510" s="28"/>
      <c r="AN1510" s="28"/>
      <c r="AO1510" s="28"/>
      <c r="AP1510" s="28"/>
      <c r="AQ1510" s="28"/>
      <c r="AR1510" s="28"/>
      <c r="AS1510" s="28"/>
      <c r="AT1510" s="5"/>
      <c r="AU1510" s="28"/>
      <c r="AV1510" s="28"/>
      <c r="AX1510" s="28"/>
      <c r="AY1510" s="28"/>
      <c r="BA1510" s="28"/>
      <c r="BB1510" s="28"/>
      <c r="BF1510" s="28"/>
      <c r="BH1510" s="28"/>
      <c r="BI1510" s="28"/>
      <c r="BJ1510" s="38"/>
      <c r="BK1510" s="28"/>
    </row>
    <row r="1511" customFormat="false" ht="15.75" hidden="false" customHeight="false" outlineLevel="0" collapsed="false">
      <c r="A1511" s="28"/>
      <c r="B1511" s="28"/>
      <c r="C1511" s="28"/>
      <c r="D1511" s="5"/>
      <c r="E1511" s="38"/>
      <c r="F1511" s="28"/>
      <c r="G1511" s="28"/>
      <c r="H1511" s="38"/>
      <c r="I1511" s="28"/>
      <c r="J1511" s="40"/>
      <c r="K1511" s="40"/>
      <c r="L1511" s="5"/>
      <c r="M1511" s="5"/>
      <c r="N1511" s="28"/>
      <c r="O1511" s="28"/>
      <c r="P1511" s="28"/>
      <c r="Q1511" s="28"/>
      <c r="R1511" s="28"/>
      <c r="S1511" s="28"/>
      <c r="T1511" s="28"/>
      <c r="V1511" s="28"/>
      <c r="W1511" s="5"/>
      <c r="X1511" s="5"/>
      <c r="Z1511" s="28"/>
      <c r="AA1511" s="28"/>
      <c r="AB1511" s="28"/>
      <c r="AC1511" s="28"/>
      <c r="AD1511" s="28"/>
      <c r="AE1511" s="28"/>
      <c r="AF1511" s="28"/>
      <c r="AG1511" s="28"/>
      <c r="AH1511" s="28"/>
      <c r="AI1511" s="28"/>
      <c r="AJ1511" s="28"/>
      <c r="AK1511" s="28"/>
      <c r="AL1511" s="28"/>
      <c r="AM1511" s="28"/>
      <c r="AN1511" s="28"/>
      <c r="AO1511" s="28"/>
      <c r="AP1511" s="28"/>
      <c r="AQ1511" s="28"/>
      <c r="AR1511" s="28"/>
      <c r="AS1511" s="28"/>
      <c r="AT1511" s="5"/>
      <c r="AU1511" s="28"/>
      <c r="AV1511" s="28"/>
      <c r="AX1511" s="28"/>
      <c r="AY1511" s="28"/>
      <c r="BA1511" s="28"/>
      <c r="BB1511" s="28"/>
      <c r="BF1511" s="28"/>
      <c r="BH1511" s="28"/>
      <c r="BI1511" s="28"/>
      <c r="BJ1511" s="38"/>
      <c r="BK1511" s="28"/>
    </row>
    <row r="1512" customFormat="false" ht="15.75" hidden="false" customHeight="false" outlineLevel="0" collapsed="false">
      <c r="A1512" s="28"/>
      <c r="B1512" s="28"/>
      <c r="C1512" s="28"/>
      <c r="D1512" s="5"/>
      <c r="E1512" s="38"/>
      <c r="F1512" s="28"/>
      <c r="G1512" s="28"/>
      <c r="H1512" s="38"/>
      <c r="I1512" s="28"/>
      <c r="J1512" s="40"/>
      <c r="K1512" s="40"/>
      <c r="L1512" s="5"/>
      <c r="M1512" s="5"/>
      <c r="N1512" s="28"/>
      <c r="O1512" s="28"/>
      <c r="P1512" s="28"/>
      <c r="Q1512" s="28"/>
      <c r="R1512" s="28"/>
      <c r="S1512" s="28"/>
      <c r="T1512" s="28"/>
      <c r="V1512" s="28"/>
      <c r="W1512" s="5"/>
      <c r="X1512" s="5"/>
      <c r="Z1512" s="28"/>
      <c r="AA1512" s="28"/>
      <c r="AB1512" s="28"/>
      <c r="AC1512" s="28"/>
      <c r="AD1512" s="28"/>
      <c r="AE1512" s="28"/>
      <c r="AF1512" s="28"/>
      <c r="AG1512" s="28"/>
      <c r="AH1512" s="28"/>
      <c r="AI1512" s="28"/>
      <c r="AJ1512" s="28"/>
      <c r="AK1512" s="28"/>
      <c r="AL1512" s="28"/>
      <c r="AM1512" s="28"/>
      <c r="AN1512" s="28"/>
      <c r="AO1512" s="28"/>
      <c r="AP1512" s="28"/>
      <c r="AQ1512" s="28"/>
      <c r="AR1512" s="28"/>
      <c r="AS1512" s="28"/>
      <c r="AT1512" s="5"/>
      <c r="AU1512" s="28"/>
      <c r="AV1512" s="28"/>
      <c r="AX1512" s="28"/>
      <c r="AY1512" s="28"/>
      <c r="BA1512" s="28"/>
      <c r="BB1512" s="28"/>
      <c r="BF1512" s="28"/>
      <c r="BH1512" s="28"/>
      <c r="BI1512" s="28"/>
      <c r="BJ1512" s="38"/>
      <c r="BK1512" s="28"/>
    </row>
    <row r="1513" customFormat="false" ht="15.75" hidden="false" customHeight="false" outlineLevel="0" collapsed="false">
      <c r="A1513" s="28"/>
      <c r="B1513" s="28"/>
      <c r="C1513" s="28"/>
      <c r="D1513" s="5"/>
      <c r="E1513" s="38"/>
      <c r="F1513" s="28"/>
      <c r="G1513" s="28"/>
      <c r="H1513" s="38"/>
      <c r="I1513" s="28"/>
      <c r="J1513" s="40"/>
      <c r="K1513" s="40"/>
      <c r="L1513" s="5"/>
      <c r="M1513" s="5"/>
      <c r="N1513" s="28"/>
      <c r="O1513" s="28"/>
      <c r="P1513" s="28"/>
      <c r="Q1513" s="28"/>
      <c r="R1513" s="28"/>
      <c r="S1513" s="28"/>
      <c r="T1513" s="28"/>
      <c r="V1513" s="28"/>
      <c r="W1513" s="5"/>
      <c r="X1513" s="5"/>
      <c r="Z1513" s="28"/>
      <c r="AA1513" s="28"/>
      <c r="AB1513" s="28"/>
      <c r="AC1513" s="28"/>
      <c r="AD1513" s="28"/>
      <c r="AE1513" s="28"/>
      <c r="AF1513" s="28"/>
      <c r="AG1513" s="28"/>
      <c r="AH1513" s="28"/>
      <c r="AI1513" s="28"/>
      <c r="AJ1513" s="28"/>
      <c r="AK1513" s="28"/>
      <c r="AL1513" s="28"/>
      <c r="AM1513" s="28"/>
      <c r="AN1513" s="28"/>
      <c r="AO1513" s="28"/>
      <c r="AP1513" s="28"/>
      <c r="AQ1513" s="28"/>
      <c r="AR1513" s="28"/>
      <c r="AS1513" s="28"/>
      <c r="AT1513" s="5"/>
      <c r="AU1513" s="28"/>
      <c r="AV1513" s="28"/>
      <c r="AX1513" s="28"/>
      <c r="AY1513" s="28"/>
      <c r="BA1513" s="28"/>
      <c r="BB1513" s="28"/>
      <c r="BF1513" s="28"/>
      <c r="BH1513" s="28"/>
      <c r="BI1513" s="28"/>
      <c r="BJ1513" s="38"/>
      <c r="BK1513" s="28"/>
    </row>
    <row r="1514" customFormat="false" ht="15.75" hidden="false" customHeight="false" outlineLevel="0" collapsed="false">
      <c r="A1514" s="28"/>
      <c r="B1514" s="28"/>
      <c r="C1514" s="28"/>
      <c r="D1514" s="5"/>
      <c r="E1514" s="38"/>
      <c r="F1514" s="28"/>
      <c r="G1514" s="28"/>
      <c r="H1514" s="38"/>
      <c r="I1514" s="28"/>
      <c r="J1514" s="40"/>
      <c r="K1514" s="40"/>
      <c r="L1514" s="5"/>
      <c r="M1514" s="5"/>
      <c r="N1514" s="28"/>
      <c r="O1514" s="28"/>
      <c r="P1514" s="28"/>
      <c r="Q1514" s="28"/>
      <c r="R1514" s="28"/>
      <c r="S1514" s="28"/>
      <c r="T1514" s="28"/>
      <c r="V1514" s="28"/>
      <c r="W1514" s="5"/>
      <c r="X1514" s="5"/>
      <c r="Z1514" s="28"/>
      <c r="AA1514" s="28"/>
      <c r="AB1514" s="28"/>
      <c r="AC1514" s="28"/>
      <c r="AD1514" s="28"/>
      <c r="AE1514" s="28"/>
      <c r="AF1514" s="28"/>
      <c r="AG1514" s="28"/>
      <c r="AH1514" s="28"/>
      <c r="AI1514" s="28"/>
      <c r="AJ1514" s="28"/>
      <c r="AK1514" s="28"/>
      <c r="AL1514" s="28"/>
      <c r="AM1514" s="28"/>
      <c r="AN1514" s="28"/>
      <c r="AO1514" s="28"/>
      <c r="AP1514" s="28"/>
      <c r="AQ1514" s="28"/>
      <c r="AR1514" s="28"/>
      <c r="AS1514" s="28"/>
      <c r="AT1514" s="5"/>
      <c r="AU1514" s="28"/>
      <c r="AV1514" s="28"/>
      <c r="AX1514" s="28"/>
      <c r="AY1514" s="28"/>
      <c r="BA1514" s="28"/>
      <c r="BB1514" s="28"/>
      <c r="BF1514" s="28"/>
      <c r="BH1514" s="28"/>
      <c r="BI1514" s="28"/>
      <c r="BJ1514" s="38"/>
      <c r="BK1514" s="28"/>
    </row>
    <row r="1515" customFormat="false" ht="15.75" hidden="false" customHeight="false" outlineLevel="0" collapsed="false">
      <c r="A1515" s="28"/>
      <c r="B1515" s="28"/>
      <c r="C1515" s="28"/>
      <c r="D1515" s="5"/>
      <c r="E1515" s="38"/>
      <c r="F1515" s="28"/>
      <c r="G1515" s="28"/>
      <c r="H1515" s="38"/>
      <c r="I1515" s="28"/>
      <c r="J1515" s="40"/>
      <c r="K1515" s="40"/>
      <c r="L1515" s="5"/>
      <c r="M1515" s="5"/>
      <c r="N1515" s="28"/>
      <c r="O1515" s="28"/>
      <c r="P1515" s="28"/>
      <c r="Q1515" s="28"/>
      <c r="R1515" s="28"/>
      <c r="S1515" s="28"/>
      <c r="T1515" s="28"/>
      <c r="V1515" s="28"/>
      <c r="W1515" s="5"/>
      <c r="X1515" s="5"/>
      <c r="Z1515" s="28"/>
      <c r="AA1515" s="28"/>
      <c r="AB1515" s="28"/>
      <c r="AC1515" s="28"/>
      <c r="AD1515" s="28"/>
      <c r="AE1515" s="28"/>
      <c r="AF1515" s="28"/>
      <c r="AG1515" s="28"/>
      <c r="AH1515" s="28"/>
      <c r="AI1515" s="28"/>
      <c r="AJ1515" s="28"/>
      <c r="AK1515" s="28"/>
      <c r="AL1515" s="28"/>
      <c r="AM1515" s="28"/>
      <c r="AN1515" s="28"/>
      <c r="AO1515" s="28"/>
      <c r="AP1515" s="28"/>
      <c r="AQ1515" s="28"/>
      <c r="AR1515" s="28"/>
      <c r="AS1515" s="28"/>
      <c r="AT1515" s="5"/>
      <c r="AU1515" s="28"/>
      <c r="AV1515" s="28"/>
      <c r="AX1515" s="28"/>
      <c r="AY1515" s="28"/>
      <c r="BA1515" s="28"/>
      <c r="BB1515" s="28"/>
      <c r="BF1515" s="28"/>
      <c r="BH1515" s="28"/>
      <c r="BI1515" s="28"/>
      <c r="BJ1515" s="38"/>
      <c r="BK1515" s="28"/>
    </row>
    <row r="1516" customFormat="false" ht="15.75" hidden="false" customHeight="false" outlineLevel="0" collapsed="false">
      <c r="A1516" s="28"/>
      <c r="B1516" s="28"/>
      <c r="C1516" s="28"/>
      <c r="D1516" s="5"/>
      <c r="E1516" s="38"/>
      <c r="F1516" s="28"/>
      <c r="G1516" s="28"/>
      <c r="H1516" s="38"/>
      <c r="I1516" s="28"/>
      <c r="J1516" s="40"/>
      <c r="K1516" s="40"/>
      <c r="L1516" s="5"/>
      <c r="M1516" s="5"/>
      <c r="N1516" s="28"/>
      <c r="O1516" s="28"/>
      <c r="P1516" s="28"/>
      <c r="Q1516" s="28"/>
      <c r="R1516" s="28"/>
      <c r="S1516" s="28"/>
      <c r="T1516" s="28"/>
      <c r="V1516" s="28"/>
      <c r="W1516" s="5"/>
      <c r="X1516" s="5"/>
      <c r="Z1516" s="28"/>
      <c r="AA1516" s="28"/>
      <c r="AB1516" s="28"/>
      <c r="AC1516" s="28"/>
      <c r="AD1516" s="28"/>
      <c r="AE1516" s="28"/>
      <c r="AF1516" s="28"/>
      <c r="AG1516" s="28"/>
      <c r="AH1516" s="28"/>
      <c r="AI1516" s="28"/>
      <c r="AJ1516" s="28"/>
      <c r="AK1516" s="28"/>
      <c r="AL1516" s="28"/>
      <c r="AM1516" s="28"/>
      <c r="AN1516" s="28"/>
      <c r="AO1516" s="28"/>
      <c r="AP1516" s="28"/>
      <c r="AQ1516" s="28"/>
      <c r="AR1516" s="28"/>
      <c r="AS1516" s="28"/>
      <c r="AT1516" s="5"/>
      <c r="AU1516" s="28"/>
      <c r="AV1516" s="28"/>
      <c r="AX1516" s="28"/>
      <c r="AY1516" s="28"/>
      <c r="BA1516" s="28"/>
      <c r="BB1516" s="28"/>
      <c r="BF1516" s="28"/>
      <c r="BH1516" s="28"/>
      <c r="BI1516" s="28"/>
      <c r="BJ1516" s="38"/>
      <c r="BK1516" s="28"/>
    </row>
    <row r="1517" customFormat="false" ht="15.75" hidden="false" customHeight="false" outlineLevel="0" collapsed="false">
      <c r="A1517" s="28"/>
      <c r="B1517" s="28"/>
      <c r="C1517" s="28"/>
      <c r="D1517" s="5"/>
      <c r="E1517" s="38"/>
      <c r="F1517" s="28"/>
      <c r="G1517" s="28"/>
      <c r="H1517" s="38"/>
      <c r="I1517" s="28"/>
      <c r="J1517" s="40"/>
      <c r="K1517" s="40"/>
      <c r="L1517" s="5"/>
      <c r="M1517" s="5"/>
      <c r="N1517" s="28"/>
      <c r="O1517" s="28"/>
      <c r="P1517" s="28"/>
      <c r="Q1517" s="28"/>
      <c r="R1517" s="28"/>
      <c r="S1517" s="28"/>
      <c r="T1517" s="28"/>
      <c r="V1517" s="28"/>
      <c r="W1517" s="5"/>
      <c r="X1517" s="5"/>
      <c r="Z1517" s="28"/>
      <c r="AA1517" s="28"/>
      <c r="AB1517" s="28"/>
      <c r="AC1517" s="28"/>
      <c r="AD1517" s="28"/>
      <c r="AE1517" s="28"/>
      <c r="AF1517" s="28"/>
      <c r="AG1517" s="28"/>
      <c r="AH1517" s="28"/>
      <c r="AI1517" s="28"/>
      <c r="AJ1517" s="28"/>
      <c r="AK1517" s="28"/>
      <c r="AL1517" s="28"/>
      <c r="AM1517" s="28"/>
      <c r="AN1517" s="28"/>
      <c r="AO1517" s="28"/>
      <c r="AP1517" s="28"/>
      <c r="AQ1517" s="28"/>
      <c r="AR1517" s="28"/>
      <c r="AS1517" s="28"/>
      <c r="AT1517" s="5"/>
      <c r="AU1517" s="28"/>
      <c r="AV1517" s="28"/>
      <c r="AX1517" s="28"/>
      <c r="AY1517" s="28"/>
      <c r="BA1517" s="28"/>
      <c r="BB1517" s="28"/>
      <c r="BF1517" s="28"/>
      <c r="BH1517" s="28"/>
      <c r="BI1517" s="28"/>
      <c r="BJ1517" s="38"/>
      <c r="BK1517" s="28"/>
    </row>
    <row r="1518" customFormat="false" ht="15.75" hidden="false" customHeight="false" outlineLevel="0" collapsed="false">
      <c r="A1518" s="28"/>
      <c r="B1518" s="28"/>
      <c r="C1518" s="28"/>
      <c r="D1518" s="5"/>
      <c r="E1518" s="38"/>
      <c r="F1518" s="28"/>
      <c r="G1518" s="28"/>
      <c r="H1518" s="38"/>
      <c r="I1518" s="28"/>
      <c r="J1518" s="40"/>
      <c r="K1518" s="40"/>
      <c r="L1518" s="5"/>
      <c r="M1518" s="5"/>
      <c r="N1518" s="28"/>
      <c r="O1518" s="28"/>
      <c r="P1518" s="28"/>
      <c r="Q1518" s="28"/>
      <c r="R1518" s="28"/>
      <c r="S1518" s="28"/>
      <c r="T1518" s="28"/>
      <c r="V1518" s="28"/>
      <c r="W1518" s="5"/>
      <c r="X1518" s="5"/>
      <c r="Z1518" s="28"/>
      <c r="AA1518" s="28"/>
      <c r="AB1518" s="28"/>
      <c r="AC1518" s="28"/>
      <c r="AD1518" s="28"/>
      <c r="AE1518" s="28"/>
      <c r="AF1518" s="28"/>
      <c r="AG1518" s="28"/>
      <c r="AH1518" s="28"/>
      <c r="AI1518" s="28"/>
      <c r="AJ1518" s="28"/>
      <c r="AK1518" s="28"/>
      <c r="AL1518" s="28"/>
      <c r="AM1518" s="28"/>
      <c r="AN1518" s="28"/>
      <c r="AO1518" s="28"/>
      <c r="AP1518" s="28"/>
      <c r="AQ1518" s="28"/>
      <c r="AR1518" s="28"/>
      <c r="AS1518" s="28"/>
      <c r="AT1518" s="5"/>
      <c r="AU1518" s="28"/>
      <c r="AV1518" s="28"/>
      <c r="AX1518" s="28"/>
      <c r="AY1518" s="28"/>
      <c r="BA1518" s="28"/>
      <c r="BB1518" s="28"/>
      <c r="BF1518" s="28"/>
      <c r="BH1518" s="28"/>
      <c r="BI1518" s="28"/>
      <c r="BJ1518" s="38"/>
      <c r="BK1518" s="28"/>
    </row>
    <row r="1519" customFormat="false" ht="15.75" hidden="false" customHeight="false" outlineLevel="0" collapsed="false">
      <c r="A1519" s="28"/>
      <c r="B1519" s="28"/>
      <c r="C1519" s="28"/>
      <c r="D1519" s="5"/>
      <c r="E1519" s="38"/>
      <c r="F1519" s="28"/>
      <c r="G1519" s="28"/>
      <c r="H1519" s="38"/>
      <c r="I1519" s="28"/>
      <c r="J1519" s="40"/>
      <c r="K1519" s="40"/>
      <c r="L1519" s="5"/>
      <c r="M1519" s="5"/>
      <c r="N1519" s="28"/>
      <c r="O1519" s="28"/>
      <c r="P1519" s="28"/>
      <c r="Q1519" s="28"/>
      <c r="R1519" s="28"/>
      <c r="S1519" s="28"/>
      <c r="T1519" s="28"/>
      <c r="V1519" s="28"/>
      <c r="W1519" s="5"/>
      <c r="X1519" s="5"/>
      <c r="Z1519" s="28"/>
      <c r="AA1519" s="28"/>
      <c r="AB1519" s="28"/>
      <c r="AC1519" s="28"/>
      <c r="AD1519" s="28"/>
      <c r="AE1519" s="28"/>
      <c r="AF1519" s="28"/>
      <c r="AG1519" s="28"/>
      <c r="AH1519" s="28"/>
      <c r="AI1519" s="28"/>
      <c r="AJ1519" s="28"/>
      <c r="AK1519" s="28"/>
      <c r="AL1519" s="28"/>
      <c r="AM1519" s="28"/>
      <c r="AN1519" s="28"/>
      <c r="AO1519" s="28"/>
      <c r="AP1519" s="28"/>
      <c r="AQ1519" s="28"/>
      <c r="AR1519" s="28"/>
      <c r="AS1519" s="28"/>
      <c r="AT1519" s="5"/>
      <c r="AU1519" s="28"/>
      <c r="AV1519" s="28"/>
      <c r="AX1519" s="28"/>
      <c r="AY1519" s="28"/>
      <c r="BA1519" s="28"/>
      <c r="BB1519" s="28"/>
      <c r="BF1519" s="28"/>
      <c r="BH1519" s="28"/>
      <c r="BI1519" s="28"/>
      <c r="BJ1519" s="38"/>
      <c r="BK1519" s="28"/>
    </row>
    <row r="1520" customFormat="false" ht="15.75" hidden="false" customHeight="false" outlineLevel="0" collapsed="false">
      <c r="A1520" s="28"/>
      <c r="B1520" s="28"/>
      <c r="C1520" s="28"/>
      <c r="D1520" s="5"/>
      <c r="E1520" s="38"/>
      <c r="F1520" s="28"/>
      <c r="G1520" s="28"/>
      <c r="H1520" s="38"/>
      <c r="I1520" s="28"/>
      <c r="J1520" s="40"/>
      <c r="K1520" s="40"/>
      <c r="L1520" s="5"/>
      <c r="M1520" s="5"/>
      <c r="N1520" s="28"/>
      <c r="O1520" s="28"/>
      <c r="P1520" s="28"/>
      <c r="Q1520" s="28"/>
      <c r="R1520" s="28"/>
      <c r="S1520" s="28"/>
      <c r="T1520" s="28"/>
      <c r="V1520" s="28"/>
      <c r="W1520" s="5"/>
      <c r="X1520" s="5"/>
      <c r="Z1520" s="28"/>
      <c r="AA1520" s="28"/>
      <c r="AB1520" s="28"/>
      <c r="AC1520" s="28"/>
      <c r="AD1520" s="28"/>
      <c r="AE1520" s="28"/>
      <c r="AF1520" s="28"/>
      <c r="AG1520" s="28"/>
      <c r="AH1520" s="28"/>
      <c r="AI1520" s="28"/>
      <c r="AJ1520" s="28"/>
      <c r="AK1520" s="28"/>
      <c r="AL1520" s="28"/>
      <c r="AM1520" s="28"/>
      <c r="AN1520" s="28"/>
      <c r="AO1520" s="28"/>
      <c r="AP1520" s="28"/>
      <c r="AQ1520" s="28"/>
      <c r="AR1520" s="28"/>
      <c r="AS1520" s="28"/>
      <c r="AT1520" s="5"/>
      <c r="AU1520" s="28"/>
      <c r="AV1520" s="28"/>
      <c r="AX1520" s="28"/>
      <c r="AY1520" s="28"/>
      <c r="BA1520" s="28"/>
      <c r="BB1520" s="28"/>
      <c r="BF1520" s="28"/>
      <c r="BH1520" s="28"/>
      <c r="BI1520" s="28"/>
      <c r="BJ1520" s="38"/>
      <c r="BK1520" s="28"/>
    </row>
    <row r="1521" customFormat="false" ht="15.75" hidden="false" customHeight="false" outlineLevel="0" collapsed="false">
      <c r="A1521" s="28"/>
      <c r="B1521" s="28"/>
      <c r="C1521" s="28"/>
      <c r="D1521" s="5"/>
      <c r="E1521" s="38"/>
      <c r="F1521" s="28"/>
      <c r="G1521" s="28"/>
      <c r="H1521" s="38"/>
      <c r="I1521" s="28"/>
      <c r="J1521" s="40"/>
      <c r="K1521" s="40"/>
      <c r="L1521" s="5"/>
      <c r="M1521" s="5"/>
      <c r="N1521" s="28"/>
      <c r="O1521" s="28"/>
      <c r="P1521" s="28"/>
      <c r="Q1521" s="28"/>
      <c r="R1521" s="28"/>
      <c r="S1521" s="28"/>
      <c r="T1521" s="28"/>
      <c r="V1521" s="28"/>
      <c r="W1521" s="5"/>
      <c r="X1521" s="5"/>
      <c r="Z1521" s="28"/>
      <c r="AA1521" s="28"/>
      <c r="AB1521" s="28"/>
      <c r="AC1521" s="28"/>
      <c r="AD1521" s="28"/>
      <c r="AE1521" s="28"/>
      <c r="AF1521" s="28"/>
      <c r="AG1521" s="28"/>
      <c r="AH1521" s="28"/>
      <c r="AI1521" s="28"/>
      <c r="AJ1521" s="28"/>
      <c r="AK1521" s="28"/>
      <c r="AL1521" s="28"/>
      <c r="AM1521" s="28"/>
      <c r="AN1521" s="28"/>
      <c r="AO1521" s="28"/>
      <c r="AP1521" s="28"/>
      <c r="AQ1521" s="28"/>
      <c r="AR1521" s="28"/>
      <c r="AS1521" s="28"/>
      <c r="AT1521" s="5"/>
      <c r="AU1521" s="28"/>
      <c r="AV1521" s="28"/>
      <c r="AX1521" s="28"/>
      <c r="AY1521" s="28"/>
      <c r="BA1521" s="28"/>
      <c r="BB1521" s="28"/>
      <c r="BF1521" s="28"/>
      <c r="BH1521" s="28"/>
      <c r="BI1521" s="28"/>
      <c r="BJ1521" s="38"/>
      <c r="BK1521" s="28"/>
    </row>
    <row r="1522" customFormat="false" ht="15.75" hidden="false" customHeight="false" outlineLevel="0" collapsed="false">
      <c r="A1522" s="28"/>
      <c r="B1522" s="28"/>
      <c r="C1522" s="28"/>
      <c r="D1522" s="5"/>
      <c r="E1522" s="38"/>
      <c r="F1522" s="28"/>
      <c r="G1522" s="28"/>
      <c r="H1522" s="38"/>
      <c r="I1522" s="28"/>
      <c r="J1522" s="40"/>
      <c r="K1522" s="40"/>
      <c r="L1522" s="5"/>
      <c r="M1522" s="5"/>
      <c r="N1522" s="28"/>
      <c r="O1522" s="28"/>
      <c r="P1522" s="28"/>
      <c r="Q1522" s="28"/>
      <c r="R1522" s="28"/>
      <c r="S1522" s="28"/>
      <c r="T1522" s="28"/>
      <c r="V1522" s="28"/>
      <c r="W1522" s="5"/>
      <c r="X1522" s="5"/>
      <c r="Z1522" s="28"/>
      <c r="AA1522" s="28"/>
      <c r="AB1522" s="28"/>
      <c r="AC1522" s="28"/>
      <c r="AD1522" s="28"/>
      <c r="AE1522" s="28"/>
      <c r="AF1522" s="28"/>
      <c r="AG1522" s="28"/>
      <c r="AH1522" s="28"/>
      <c r="AI1522" s="28"/>
      <c r="AJ1522" s="28"/>
      <c r="AK1522" s="28"/>
      <c r="AL1522" s="28"/>
      <c r="AM1522" s="28"/>
      <c r="AN1522" s="28"/>
      <c r="AO1522" s="28"/>
      <c r="AP1522" s="28"/>
      <c r="AQ1522" s="28"/>
      <c r="AR1522" s="28"/>
      <c r="AS1522" s="28"/>
      <c r="AT1522" s="5"/>
      <c r="AU1522" s="28"/>
      <c r="AV1522" s="28"/>
      <c r="AX1522" s="28"/>
      <c r="AY1522" s="28"/>
      <c r="BA1522" s="28"/>
      <c r="BB1522" s="28"/>
      <c r="BF1522" s="28"/>
      <c r="BH1522" s="28"/>
      <c r="BI1522" s="28"/>
      <c r="BJ1522" s="38"/>
      <c r="BK1522" s="28"/>
    </row>
    <row r="1523" customFormat="false" ht="15.75" hidden="false" customHeight="false" outlineLevel="0" collapsed="false">
      <c r="A1523" s="28"/>
      <c r="B1523" s="28"/>
      <c r="C1523" s="28"/>
      <c r="D1523" s="5"/>
      <c r="E1523" s="38"/>
      <c r="F1523" s="28"/>
      <c r="G1523" s="28"/>
      <c r="H1523" s="38"/>
      <c r="I1523" s="28"/>
      <c r="J1523" s="40"/>
      <c r="K1523" s="40"/>
      <c r="L1523" s="5"/>
      <c r="M1523" s="5"/>
      <c r="N1523" s="28"/>
      <c r="O1523" s="28"/>
      <c r="P1523" s="28"/>
      <c r="Q1523" s="28"/>
      <c r="R1523" s="28"/>
      <c r="S1523" s="28"/>
      <c r="T1523" s="28"/>
      <c r="V1523" s="28"/>
      <c r="W1523" s="5"/>
      <c r="X1523" s="5"/>
      <c r="Z1523" s="28"/>
      <c r="AA1523" s="28"/>
      <c r="AB1523" s="28"/>
      <c r="AC1523" s="28"/>
      <c r="AD1523" s="28"/>
      <c r="AE1523" s="28"/>
      <c r="AF1523" s="28"/>
      <c r="AG1523" s="28"/>
      <c r="AH1523" s="28"/>
      <c r="AI1523" s="28"/>
      <c r="AJ1523" s="28"/>
      <c r="AK1523" s="28"/>
      <c r="AL1523" s="28"/>
      <c r="AM1523" s="28"/>
      <c r="AN1523" s="28"/>
      <c r="AO1523" s="28"/>
      <c r="AP1523" s="28"/>
      <c r="AQ1523" s="28"/>
      <c r="AR1523" s="28"/>
      <c r="AS1523" s="28"/>
      <c r="AT1523" s="5"/>
      <c r="AU1523" s="28"/>
      <c r="AV1523" s="28"/>
      <c r="AX1523" s="28"/>
      <c r="AY1523" s="28"/>
      <c r="BA1523" s="28"/>
      <c r="BB1523" s="28"/>
      <c r="BF1523" s="28"/>
      <c r="BH1523" s="28"/>
      <c r="BI1523" s="28"/>
      <c r="BJ1523" s="38"/>
      <c r="BK1523" s="28"/>
    </row>
    <row r="1524" customFormat="false" ht="15.75" hidden="false" customHeight="false" outlineLevel="0" collapsed="false">
      <c r="A1524" s="28"/>
      <c r="B1524" s="28"/>
      <c r="C1524" s="28"/>
      <c r="D1524" s="5"/>
      <c r="E1524" s="38"/>
      <c r="F1524" s="28"/>
      <c r="G1524" s="28"/>
      <c r="H1524" s="38"/>
      <c r="I1524" s="28"/>
      <c r="J1524" s="40"/>
      <c r="K1524" s="40"/>
      <c r="L1524" s="5"/>
      <c r="M1524" s="5"/>
      <c r="N1524" s="28"/>
      <c r="O1524" s="28"/>
      <c r="P1524" s="28"/>
      <c r="Q1524" s="28"/>
      <c r="R1524" s="28"/>
      <c r="S1524" s="28"/>
      <c r="T1524" s="28"/>
      <c r="V1524" s="28"/>
      <c r="W1524" s="5"/>
      <c r="X1524" s="5"/>
      <c r="Z1524" s="28"/>
      <c r="AA1524" s="28"/>
      <c r="AB1524" s="28"/>
      <c r="AC1524" s="28"/>
      <c r="AD1524" s="28"/>
      <c r="AE1524" s="28"/>
      <c r="AF1524" s="28"/>
      <c r="AG1524" s="28"/>
      <c r="AH1524" s="28"/>
      <c r="AI1524" s="28"/>
      <c r="AJ1524" s="28"/>
      <c r="AK1524" s="28"/>
      <c r="AL1524" s="28"/>
      <c r="AM1524" s="28"/>
      <c r="AN1524" s="28"/>
      <c r="AO1524" s="28"/>
      <c r="AP1524" s="28"/>
      <c r="AQ1524" s="28"/>
      <c r="AR1524" s="28"/>
      <c r="AS1524" s="28"/>
      <c r="AT1524" s="5"/>
      <c r="AU1524" s="28"/>
      <c r="AV1524" s="28"/>
      <c r="AX1524" s="28"/>
      <c r="AY1524" s="28"/>
      <c r="BA1524" s="28"/>
      <c r="BB1524" s="28"/>
      <c r="BF1524" s="28"/>
      <c r="BH1524" s="28"/>
      <c r="BI1524" s="28"/>
      <c r="BJ1524" s="38"/>
      <c r="BK1524" s="28"/>
    </row>
    <row r="1525" customFormat="false" ht="15.75" hidden="false" customHeight="false" outlineLevel="0" collapsed="false">
      <c r="A1525" s="28"/>
      <c r="B1525" s="28"/>
      <c r="C1525" s="28"/>
      <c r="D1525" s="5"/>
      <c r="E1525" s="38"/>
      <c r="F1525" s="28"/>
      <c r="G1525" s="28"/>
      <c r="H1525" s="38"/>
      <c r="I1525" s="28"/>
      <c r="J1525" s="40"/>
      <c r="K1525" s="40"/>
      <c r="L1525" s="5"/>
      <c r="M1525" s="5"/>
      <c r="N1525" s="28"/>
      <c r="O1525" s="28"/>
      <c r="P1525" s="28"/>
      <c r="Q1525" s="28"/>
      <c r="R1525" s="28"/>
      <c r="S1525" s="28"/>
      <c r="T1525" s="28"/>
      <c r="V1525" s="28"/>
      <c r="W1525" s="5"/>
      <c r="X1525" s="5"/>
      <c r="Z1525" s="28"/>
      <c r="AA1525" s="28"/>
      <c r="AB1525" s="28"/>
      <c r="AC1525" s="28"/>
      <c r="AD1525" s="28"/>
      <c r="AE1525" s="28"/>
      <c r="AF1525" s="28"/>
      <c r="AG1525" s="28"/>
      <c r="AH1525" s="28"/>
      <c r="AI1525" s="28"/>
      <c r="AJ1525" s="28"/>
      <c r="AK1525" s="28"/>
      <c r="AL1525" s="28"/>
      <c r="AM1525" s="28"/>
      <c r="AN1525" s="28"/>
      <c r="AO1525" s="28"/>
      <c r="AP1525" s="28"/>
      <c r="AQ1525" s="28"/>
      <c r="AR1525" s="28"/>
      <c r="AS1525" s="28"/>
      <c r="AT1525" s="5"/>
      <c r="AU1525" s="28"/>
      <c r="AV1525" s="28"/>
      <c r="AX1525" s="28"/>
      <c r="AY1525" s="28"/>
      <c r="BA1525" s="28"/>
      <c r="BB1525" s="28"/>
      <c r="BF1525" s="28"/>
      <c r="BH1525" s="28"/>
      <c r="BI1525" s="28"/>
      <c r="BJ1525" s="38"/>
      <c r="BK1525" s="28"/>
    </row>
    <row r="1526" customFormat="false" ht="15.75" hidden="false" customHeight="false" outlineLevel="0" collapsed="false">
      <c r="A1526" s="28"/>
      <c r="B1526" s="28"/>
      <c r="C1526" s="28"/>
      <c r="D1526" s="5"/>
      <c r="E1526" s="38"/>
      <c r="F1526" s="28"/>
      <c r="G1526" s="28"/>
      <c r="H1526" s="38"/>
      <c r="I1526" s="28"/>
      <c r="J1526" s="40"/>
      <c r="K1526" s="40"/>
      <c r="L1526" s="5"/>
      <c r="M1526" s="5"/>
      <c r="N1526" s="28"/>
      <c r="O1526" s="28"/>
      <c r="P1526" s="28"/>
      <c r="Q1526" s="28"/>
      <c r="R1526" s="28"/>
      <c r="S1526" s="28"/>
      <c r="T1526" s="28"/>
      <c r="V1526" s="28"/>
      <c r="W1526" s="5"/>
      <c r="X1526" s="5"/>
      <c r="Z1526" s="28"/>
      <c r="AA1526" s="28"/>
      <c r="AB1526" s="28"/>
      <c r="AC1526" s="28"/>
      <c r="AD1526" s="28"/>
      <c r="AE1526" s="28"/>
      <c r="AF1526" s="28"/>
      <c r="AG1526" s="28"/>
      <c r="AH1526" s="28"/>
      <c r="AI1526" s="28"/>
      <c r="AJ1526" s="28"/>
      <c r="AK1526" s="28"/>
      <c r="AL1526" s="28"/>
      <c r="AM1526" s="28"/>
      <c r="AN1526" s="28"/>
      <c r="AO1526" s="28"/>
      <c r="AP1526" s="28"/>
      <c r="AQ1526" s="28"/>
      <c r="AR1526" s="28"/>
      <c r="AS1526" s="28"/>
      <c r="AT1526" s="5"/>
      <c r="AU1526" s="28"/>
      <c r="AV1526" s="28"/>
      <c r="AX1526" s="28"/>
      <c r="AY1526" s="28"/>
      <c r="BA1526" s="28"/>
      <c r="BB1526" s="28"/>
      <c r="BF1526" s="28"/>
      <c r="BH1526" s="28"/>
      <c r="BI1526" s="28"/>
      <c r="BJ1526" s="38"/>
      <c r="BK1526" s="28"/>
    </row>
    <row r="1527" customFormat="false" ht="15.75" hidden="false" customHeight="false" outlineLevel="0" collapsed="false">
      <c r="A1527" s="28"/>
      <c r="B1527" s="28"/>
      <c r="C1527" s="28"/>
      <c r="D1527" s="5"/>
      <c r="E1527" s="38"/>
      <c r="F1527" s="28"/>
      <c r="G1527" s="28"/>
      <c r="H1527" s="38"/>
      <c r="I1527" s="28"/>
      <c r="J1527" s="40"/>
      <c r="K1527" s="40"/>
      <c r="L1527" s="5"/>
      <c r="M1527" s="5"/>
      <c r="N1527" s="28"/>
      <c r="O1527" s="28"/>
      <c r="P1527" s="28"/>
      <c r="Q1527" s="28"/>
      <c r="R1527" s="28"/>
      <c r="S1527" s="28"/>
      <c r="T1527" s="28"/>
      <c r="V1527" s="28"/>
      <c r="W1527" s="5"/>
      <c r="X1527" s="5"/>
      <c r="Z1527" s="28"/>
      <c r="AA1527" s="28"/>
      <c r="AB1527" s="28"/>
      <c r="AC1527" s="28"/>
      <c r="AD1527" s="28"/>
      <c r="AE1527" s="28"/>
      <c r="AF1527" s="28"/>
      <c r="AG1527" s="28"/>
      <c r="AH1527" s="28"/>
      <c r="AI1527" s="28"/>
      <c r="AJ1527" s="28"/>
      <c r="AK1527" s="28"/>
      <c r="AL1527" s="28"/>
      <c r="AM1527" s="28"/>
      <c r="AN1527" s="28"/>
      <c r="AO1527" s="28"/>
      <c r="AP1527" s="28"/>
      <c r="AQ1527" s="28"/>
      <c r="AR1527" s="28"/>
      <c r="AS1527" s="28"/>
      <c r="AT1527" s="5"/>
      <c r="AU1527" s="28"/>
      <c r="AV1527" s="28"/>
      <c r="AX1527" s="28"/>
      <c r="AY1527" s="28"/>
      <c r="BA1527" s="28"/>
      <c r="BB1527" s="28"/>
      <c r="BF1527" s="28"/>
      <c r="BH1527" s="28"/>
      <c r="BI1527" s="28"/>
      <c r="BJ1527" s="38"/>
      <c r="BK1527" s="28"/>
    </row>
    <row r="1528" customFormat="false" ht="15.75" hidden="false" customHeight="false" outlineLevel="0" collapsed="false">
      <c r="A1528" s="28"/>
      <c r="B1528" s="28"/>
      <c r="C1528" s="28"/>
      <c r="D1528" s="5"/>
      <c r="E1528" s="38"/>
      <c r="F1528" s="28"/>
      <c r="G1528" s="28"/>
      <c r="H1528" s="38"/>
      <c r="I1528" s="28"/>
      <c r="J1528" s="40"/>
      <c r="K1528" s="40"/>
      <c r="L1528" s="5"/>
      <c r="M1528" s="5"/>
      <c r="N1528" s="28"/>
      <c r="O1528" s="28"/>
      <c r="P1528" s="28"/>
      <c r="Q1528" s="28"/>
      <c r="R1528" s="28"/>
      <c r="S1528" s="28"/>
      <c r="T1528" s="28"/>
      <c r="V1528" s="28"/>
      <c r="W1528" s="5"/>
      <c r="X1528" s="5"/>
      <c r="Z1528" s="28"/>
      <c r="AA1528" s="28"/>
      <c r="AB1528" s="28"/>
      <c r="AC1528" s="28"/>
      <c r="AD1528" s="28"/>
      <c r="AE1528" s="28"/>
      <c r="AF1528" s="28"/>
      <c r="AG1528" s="28"/>
      <c r="AH1528" s="28"/>
      <c r="AI1528" s="28"/>
      <c r="AJ1528" s="28"/>
      <c r="AK1528" s="28"/>
      <c r="AL1528" s="28"/>
      <c r="AM1528" s="28"/>
      <c r="AN1528" s="28"/>
      <c r="AO1528" s="28"/>
      <c r="AP1528" s="28"/>
      <c r="AQ1528" s="28"/>
      <c r="AR1528" s="28"/>
      <c r="AS1528" s="28"/>
      <c r="AT1528" s="5"/>
      <c r="AU1528" s="28"/>
      <c r="AV1528" s="28"/>
      <c r="AX1528" s="28"/>
      <c r="AY1528" s="28"/>
      <c r="BA1528" s="28"/>
      <c r="BB1528" s="28"/>
      <c r="BF1528" s="28"/>
      <c r="BH1528" s="28"/>
      <c r="BI1528" s="28"/>
      <c r="BJ1528" s="38"/>
      <c r="BK1528" s="28"/>
    </row>
    <row r="1529" customFormat="false" ht="15.75" hidden="false" customHeight="false" outlineLevel="0" collapsed="false">
      <c r="A1529" s="28"/>
      <c r="B1529" s="28"/>
      <c r="C1529" s="28"/>
      <c r="D1529" s="5"/>
      <c r="E1529" s="38"/>
      <c r="F1529" s="28"/>
      <c r="G1529" s="28"/>
      <c r="H1529" s="38"/>
      <c r="I1529" s="28"/>
      <c r="J1529" s="40"/>
      <c r="K1529" s="40"/>
      <c r="L1529" s="5"/>
      <c r="M1529" s="5"/>
      <c r="N1529" s="28"/>
      <c r="O1529" s="28"/>
      <c r="P1529" s="28"/>
      <c r="Q1529" s="28"/>
      <c r="R1529" s="28"/>
      <c r="S1529" s="28"/>
      <c r="T1529" s="28"/>
      <c r="V1529" s="28"/>
      <c r="W1529" s="5"/>
      <c r="X1529" s="5"/>
      <c r="Z1529" s="28"/>
      <c r="AA1529" s="28"/>
      <c r="AB1529" s="28"/>
      <c r="AC1529" s="28"/>
      <c r="AD1529" s="28"/>
      <c r="AE1529" s="28"/>
      <c r="AF1529" s="28"/>
      <c r="AG1529" s="28"/>
      <c r="AH1529" s="28"/>
      <c r="AI1529" s="28"/>
      <c r="AJ1529" s="28"/>
      <c r="AK1529" s="28"/>
      <c r="AL1529" s="28"/>
      <c r="AM1529" s="28"/>
      <c r="AN1529" s="28"/>
      <c r="AO1529" s="28"/>
      <c r="AP1529" s="28"/>
      <c r="AQ1529" s="28"/>
      <c r="AR1529" s="28"/>
      <c r="AS1529" s="28"/>
      <c r="AT1529" s="5"/>
      <c r="AU1529" s="28"/>
      <c r="AV1529" s="28"/>
      <c r="AX1529" s="28"/>
      <c r="AY1529" s="28"/>
      <c r="BA1529" s="28"/>
      <c r="BB1529" s="28"/>
      <c r="BF1529" s="28"/>
      <c r="BH1529" s="28"/>
      <c r="BI1529" s="28"/>
      <c r="BJ1529" s="38"/>
      <c r="BK1529" s="28"/>
    </row>
    <row r="1530" customFormat="false" ht="15.75" hidden="false" customHeight="false" outlineLevel="0" collapsed="false">
      <c r="A1530" s="28"/>
      <c r="B1530" s="28"/>
      <c r="C1530" s="28"/>
      <c r="D1530" s="5"/>
      <c r="E1530" s="38"/>
      <c r="F1530" s="28"/>
      <c r="G1530" s="28"/>
      <c r="H1530" s="38"/>
      <c r="I1530" s="28"/>
      <c r="J1530" s="40"/>
      <c r="K1530" s="40"/>
      <c r="L1530" s="5"/>
      <c r="M1530" s="5"/>
      <c r="N1530" s="28"/>
      <c r="O1530" s="28"/>
      <c r="P1530" s="28"/>
      <c r="Q1530" s="28"/>
      <c r="R1530" s="28"/>
      <c r="S1530" s="28"/>
      <c r="T1530" s="28"/>
      <c r="V1530" s="28"/>
      <c r="W1530" s="5"/>
      <c r="X1530" s="5"/>
      <c r="Z1530" s="28"/>
      <c r="AA1530" s="28"/>
      <c r="AB1530" s="28"/>
      <c r="AC1530" s="28"/>
      <c r="AD1530" s="28"/>
      <c r="AE1530" s="28"/>
      <c r="AF1530" s="28"/>
      <c r="AG1530" s="28"/>
      <c r="AH1530" s="28"/>
      <c r="AI1530" s="28"/>
      <c r="AJ1530" s="28"/>
      <c r="AK1530" s="28"/>
      <c r="AL1530" s="28"/>
      <c r="AM1530" s="28"/>
      <c r="AN1530" s="28"/>
      <c r="AO1530" s="28"/>
      <c r="AP1530" s="28"/>
      <c r="AQ1530" s="28"/>
      <c r="AR1530" s="28"/>
      <c r="AS1530" s="28"/>
      <c r="AT1530" s="5"/>
      <c r="AU1530" s="28"/>
      <c r="AV1530" s="28"/>
      <c r="AX1530" s="28"/>
      <c r="AY1530" s="28"/>
      <c r="BA1530" s="28"/>
      <c r="BB1530" s="28"/>
      <c r="BF1530" s="28"/>
      <c r="BH1530" s="28"/>
      <c r="BI1530" s="28"/>
      <c r="BJ1530" s="38"/>
      <c r="BK1530" s="28"/>
    </row>
    <row r="1531" customFormat="false" ht="15.75" hidden="false" customHeight="false" outlineLevel="0" collapsed="false">
      <c r="A1531" s="28"/>
      <c r="B1531" s="28"/>
      <c r="C1531" s="28"/>
      <c r="D1531" s="5"/>
      <c r="E1531" s="38"/>
      <c r="F1531" s="28"/>
      <c r="G1531" s="28"/>
      <c r="H1531" s="38"/>
      <c r="I1531" s="28"/>
      <c r="J1531" s="40"/>
      <c r="K1531" s="40"/>
      <c r="L1531" s="5"/>
      <c r="M1531" s="5"/>
      <c r="N1531" s="28"/>
      <c r="O1531" s="28"/>
      <c r="P1531" s="28"/>
      <c r="Q1531" s="28"/>
      <c r="R1531" s="28"/>
      <c r="S1531" s="28"/>
      <c r="T1531" s="28"/>
      <c r="V1531" s="28"/>
      <c r="W1531" s="5"/>
      <c r="X1531" s="5"/>
      <c r="Z1531" s="28"/>
      <c r="AA1531" s="28"/>
      <c r="AB1531" s="28"/>
      <c r="AC1531" s="28"/>
      <c r="AD1531" s="28"/>
      <c r="AE1531" s="28"/>
      <c r="AF1531" s="28"/>
      <c r="AG1531" s="28"/>
      <c r="AH1531" s="28"/>
      <c r="AI1531" s="28"/>
      <c r="AJ1531" s="28"/>
      <c r="AK1531" s="28"/>
      <c r="AL1531" s="28"/>
      <c r="AM1531" s="28"/>
      <c r="AN1531" s="28"/>
      <c r="AO1531" s="28"/>
      <c r="AP1531" s="28"/>
      <c r="AQ1531" s="28"/>
      <c r="AR1531" s="28"/>
      <c r="AS1531" s="28"/>
      <c r="AT1531" s="5"/>
      <c r="AU1531" s="28"/>
      <c r="AV1531" s="28"/>
      <c r="AX1531" s="28"/>
      <c r="AY1531" s="28"/>
      <c r="BA1531" s="28"/>
      <c r="BB1531" s="28"/>
      <c r="BF1531" s="28"/>
      <c r="BH1531" s="28"/>
      <c r="BI1531" s="28"/>
      <c r="BJ1531" s="38"/>
      <c r="BK1531" s="28"/>
    </row>
    <row r="1532" customFormat="false" ht="15.75" hidden="false" customHeight="false" outlineLevel="0" collapsed="false">
      <c r="A1532" s="28"/>
      <c r="B1532" s="28"/>
      <c r="C1532" s="28"/>
      <c r="D1532" s="5"/>
      <c r="E1532" s="38"/>
      <c r="F1532" s="28"/>
      <c r="G1532" s="28"/>
      <c r="H1532" s="38"/>
      <c r="I1532" s="28"/>
      <c r="J1532" s="40"/>
      <c r="K1532" s="40"/>
      <c r="L1532" s="5"/>
      <c r="M1532" s="5"/>
      <c r="N1532" s="28"/>
      <c r="O1532" s="28"/>
      <c r="P1532" s="28"/>
      <c r="Q1532" s="28"/>
      <c r="R1532" s="28"/>
      <c r="S1532" s="28"/>
      <c r="T1532" s="28"/>
      <c r="V1532" s="28"/>
      <c r="W1532" s="5"/>
      <c r="X1532" s="5"/>
      <c r="Z1532" s="28"/>
      <c r="AA1532" s="28"/>
      <c r="AB1532" s="28"/>
      <c r="AC1532" s="28"/>
      <c r="AD1532" s="28"/>
      <c r="AE1532" s="28"/>
      <c r="AF1532" s="28"/>
      <c r="AG1532" s="28"/>
      <c r="AH1532" s="28"/>
      <c r="AI1532" s="28"/>
      <c r="AJ1532" s="28"/>
      <c r="AK1532" s="28"/>
      <c r="AL1532" s="28"/>
      <c r="AM1532" s="28"/>
      <c r="AN1532" s="28"/>
      <c r="AO1532" s="28"/>
      <c r="AP1532" s="28"/>
      <c r="AQ1532" s="28"/>
      <c r="AR1532" s="28"/>
      <c r="AS1532" s="28"/>
      <c r="AT1532" s="5"/>
      <c r="AU1532" s="28"/>
      <c r="AV1532" s="28"/>
      <c r="AX1532" s="28"/>
      <c r="AY1532" s="28"/>
      <c r="BA1532" s="28"/>
      <c r="BB1532" s="28"/>
      <c r="BF1532" s="28"/>
      <c r="BH1532" s="28"/>
      <c r="BI1532" s="28"/>
      <c r="BJ1532" s="38"/>
      <c r="BK1532" s="28"/>
    </row>
    <row r="1533" customFormat="false" ht="15.75" hidden="false" customHeight="false" outlineLevel="0" collapsed="false">
      <c r="A1533" s="28"/>
      <c r="B1533" s="28"/>
      <c r="C1533" s="28"/>
      <c r="D1533" s="5"/>
      <c r="E1533" s="38"/>
      <c r="F1533" s="28"/>
      <c r="G1533" s="28"/>
      <c r="H1533" s="38"/>
      <c r="I1533" s="28"/>
      <c r="J1533" s="40"/>
      <c r="K1533" s="40"/>
      <c r="L1533" s="5"/>
      <c r="M1533" s="5"/>
      <c r="N1533" s="28"/>
      <c r="O1533" s="28"/>
      <c r="P1533" s="28"/>
      <c r="Q1533" s="28"/>
      <c r="R1533" s="28"/>
      <c r="S1533" s="28"/>
      <c r="T1533" s="28"/>
      <c r="V1533" s="28"/>
      <c r="W1533" s="5"/>
      <c r="X1533" s="5"/>
      <c r="Z1533" s="28"/>
      <c r="AA1533" s="28"/>
      <c r="AB1533" s="28"/>
      <c r="AC1533" s="28"/>
      <c r="AD1533" s="28"/>
      <c r="AE1533" s="28"/>
      <c r="AF1533" s="28"/>
      <c r="AG1533" s="28"/>
      <c r="AH1533" s="28"/>
      <c r="AI1533" s="28"/>
      <c r="AJ1533" s="28"/>
      <c r="AK1533" s="28"/>
      <c r="AL1533" s="28"/>
      <c r="AM1533" s="28"/>
      <c r="AN1533" s="28"/>
      <c r="AO1533" s="28"/>
      <c r="AP1533" s="28"/>
      <c r="AQ1533" s="28"/>
      <c r="AR1533" s="28"/>
      <c r="AS1533" s="28"/>
      <c r="AT1533" s="5"/>
      <c r="AU1533" s="28"/>
      <c r="AV1533" s="28"/>
      <c r="AX1533" s="28"/>
      <c r="AY1533" s="28"/>
      <c r="BA1533" s="28"/>
      <c r="BB1533" s="28"/>
      <c r="BF1533" s="28"/>
      <c r="BH1533" s="28"/>
      <c r="BI1533" s="28"/>
      <c r="BJ1533" s="38"/>
      <c r="BK1533" s="28"/>
    </row>
    <row r="1534" customFormat="false" ht="15.75" hidden="false" customHeight="false" outlineLevel="0" collapsed="false">
      <c r="A1534" s="28"/>
      <c r="B1534" s="28"/>
      <c r="C1534" s="28"/>
      <c r="D1534" s="5"/>
      <c r="E1534" s="38"/>
      <c r="F1534" s="28"/>
      <c r="G1534" s="28"/>
      <c r="H1534" s="38"/>
      <c r="I1534" s="28"/>
      <c r="J1534" s="40"/>
      <c r="K1534" s="40"/>
      <c r="L1534" s="5"/>
      <c r="M1534" s="5"/>
      <c r="N1534" s="28"/>
      <c r="O1534" s="28"/>
      <c r="P1534" s="28"/>
      <c r="Q1534" s="28"/>
      <c r="R1534" s="28"/>
      <c r="S1534" s="28"/>
      <c r="T1534" s="28"/>
      <c r="V1534" s="28"/>
      <c r="W1534" s="5"/>
      <c r="X1534" s="5"/>
      <c r="Z1534" s="28"/>
      <c r="AA1534" s="28"/>
      <c r="AB1534" s="28"/>
      <c r="AC1534" s="28"/>
      <c r="AD1534" s="28"/>
      <c r="AE1534" s="28"/>
      <c r="AF1534" s="28"/>
      <c r="AG1534" s="28"/>
      <c r="AH1534" s="28"/>
      <c r="AI1534" s="28"/>
      <c r="AJ1534" s="28"/>
      <c r="AK1534" s="28"/>
      <c r="AL1534" s="28"/>
      <c r="AM1534" s="28"/>
      <c r="AN1534" s="28"/>
      <c r="AO1534" s="28"/>
      <c r="AP1534" s="28"/>
      <c r="AQ1534" s="28"/>
      <c r="AR1534" s="28"/>
      <c r="AS1534" s="28"/>
      <c r="AT1534" s="5"/>
      <c r="AU1534" s="28"/>
      <c r="AV1534" s="28"/>
      <c r="AX1534" s="28"/>
      <c r="AY1534" s="28"/>
      <c r="BA1534" s="28"/>
      <c r="BB1534" s="28"/>
      <c r="BF1534" s="28"/>
      <c r="BH1534" s="28"/>
      <c r="BI1534" s="28"/>
      <c r="BJ1534" s="38"/>
      <c r="BK1534" s="28"/>
    </row>
    <row r="1535" customFormat="false" ht="15.75" hidden="false" customHeight="false" outlineLevel="0" collapsed="false">
      <c r="A1535" s="28"/>
      <c r="B1535" s="28"/>
      <c r="C1535" s="28"/>
      <c r="D1535" s="5"/>
      <c r="E1535" s="38"/>
      <c r="F1535" s="28"/>
      <c r="G1535" s="28"/>
      <c r="H1535" s="38"/>
      <c r="I1535" s="28"/>
      <c r="J1535" s="40"/>
      <c r="K1535" s="40"/>
      <c r="L1535" s="5"/>
      <c r="M1535" s="5"/>
      <c r="N1535" s="28"/>
      <c r="O1535" s="28"/>
      <c r="P1535" s="28"/>
      <c r="Q1535" s="28"/>
      <c r="R1535" s="28"/>
      <c r="S1535" s="28"/>
      <c r="T1535" s="28"/>
      <c r="V1535" s="28"/>
      <c r="W1535" s="5"/>
      <c r="X1535" s="5"/>
      <c r="Z1535" s="28"/>
      <c r="AA1535" s="28"/>
      <c r="AB1535" s="28"/>
      <c r="AC1535" s="28"/>
      <c r="AD1535" s="28"/>
      <c r="AE1535" s="28"/>
      <c r="AF1535" s="28"/>
      <c r="AG1535" s="28"/>
      <c r="AH1535" s="28"/>
      <c r="AI1535" s="28"/>
      <c r="AJ1535" s="28"/>
      <c r="AK1535" s="28"/>
      <c r="AL1535" s="28"/>
      <c r="AM1535" s="28"/>
      <c r="AN1535" s="28"/>
      <c r="AO1535" s="28"/>
      <c r="AP1535" s="28"/>
      <c r="AQ1535" s="28"/>
      <c r="AR1535" s="28"/>
      <c r="AS1535" s="28"/>
      <c r="AT1535" s="5"/>
      <c r="AU1535" s="28"/>
      <c r="AV1535" s="28"/>
      <c r="AX1535" s="28"/>
      <c r="AY1535" s="28"/>
      <c r="BA1535" s="28"/>
      <c r="BB1535" s="28"/>
      <c r="BF1535" s="28"/>
      <c r="BH1535" s="28"/>
      <c r="BI1535" s="28"/>
      <c r="BJ1535" s="38"/>
      <c r="BK1535" s="28"/>
    </row>
    <row r="1536" customFormat="false" ht="15.75" hidden="false" customHeight="false" outlineLevel="0" collapsed="false">
      <c r="A1536" s="28"/>
      <c r="B1536" s="28"/>
      <c r="C1536" s="28"/>
      <c r="D1536" s="5"/>
      <c r="E1536" s="38"/>
      <c r="F1536" s="28"/>
      <c r="G1536" s="28"/>
      <c r="H1536" s="38"/>
      <c r="I1536" s="28"/>
      <c r="J1536" s="40"/>
      <c r="K1536" s="40"/>
      <c r="L1536" s="5"/>
      <c r="M1536" s="5"/>
      <c r="N1536" s="28"/>
      <c r="O1536" s="28"/>
      <c r="P1536" s="28"/>
      <c r="Q1536" s="28"/>
      <c r="R1536" s="28"/>
      <c r="S1536" s="28"/>
      <c r="T1536" s="28"/>
      <c r="V1536" s="28"/>
      <c r="W1536" s="5"/>
      <c r="X1536" s="5"/>
      <c r="Z1536" s="28"/>
      <c r="AA1536" s="28"/>
      <c r="AB1536" s="28"/>
      <c r="AC1536" s="28"/>
      <c r="AD1536" s="28"/>
      <c r="AE1536" s="28"/>
      <c r="AF1536" s="28"/>
      <c r="AG1536" s="28"/>
      <c r="AH1536" s="28"/>
      <c r="AI1536" s="28"/>
      <c r="AJ1536" s="28"/>
      <c r="AK1536" s="28"/>
      <c r="AL1536" s="28"/>
      <c r="AM1536" s="28"/>
      <c r="AN1536" s="28"/>
      <c r="AO1536" s="28"/>
      <c r="AP1536" s="28"/>
      <c r="AQ1536" s="28"/>
      <c r="AR1536" s="28"/>
      <c r="AS1536" s="28"/>
      <c r="AT1536" s="5"/>
      <c r="AU1536" s="28"/>
      <c r="AV1536" s="28"/>
      <c r="AX1536" s="28"/>
      <c r="AY1536" s="28"/>
      <c r="BA1536" s="28"/>
      <c r="BB1536" s="28"/>
      <c r="BF1536" s="28"/>
      <c r="BH1536" s="28"/>
      <c r="BI1536" s="28"/>
      <c r="BJ1536" s="38"/>
      <c r="BK1536" s="28"/>
    </row>
    <row r="1537" customFormat="false" ht="15.75" hidden="false" customHeight="false" outlineLevel="0" collapsed="false">
      <c r="A1537" s="28"/>
      <c r="B1537" s="28"/>
      <c r="C1537" s="28"/>
      <c r="D1537" s="5"/>
      <c r="E1537" s="38"/>
      <c r="F1537" s="28"/>
      <c r="G1537" s="28"/>
      <c r="H1537" s="38"/>
      <c r="I1537" s="28"/>
      <c r="J1537" s="40"/>
      <c r="K1537" s="40"/>
      <c r="L1537" s="5"/>
      <c r="M1537" s="5"/>
      <c r="N1537" s="28"/>
      <c r="O1537" s="28"/>
      <c r="P1537" s="28"/>
      <c r="Q1537" s="28"/>
      <c r="R1537" s="28"/>
      <c r="S1537" s="28"/>
      <c r="T1537" s="28"/>
      <c r="V1537" s="28"/>
      <c r="W1537" s="5"/>
      <c r="X1537" s="5"/>
      <c r="Z1537" s="28"/>
      <c r="AA1537" s="28"/>
      <c r="AB1537" s="28"/>
      <c r="AC1537" s="28"/>
      <c r="AD1537" s="28"/>
      <c r="AE1537" s="28"/>
      <c r="AF1537" s="28"/>
      <c r="AG1537" s="28"/>
      <c r="AH1537" s="28"/>
      <c r="AI1537" s="28"/>
      <c r="AJ1537" s="28"/>
      <c r="AK1537" s="28"/>
      <c r="AL1537" s="28"/>
      <c r="AM1537" s="28"/>
      <c r="AN1537" s="28"/>
      <c r="AO1537" s="28"/>
      <c r="AP1537" s="28"/>
      <c r="AQ1537" s="28"/>
      <c r="AR1537" s="28"/>
      <c r="AS1537" s="28"/>
      <c r="AT1537" s="5"/>
      <c r="AU1537" s="28"/>
      <c r="AV1537" s="28"/>
      <c r="AX1537" s="28"/>
      <c r="AY1537" s="28"/>
      <c r="BA1537" s="28"/>
      <c r="BB1537" s="28"/>
      <c r="BF1537" s="28"/>
      <c r="BH1537" s="28"/>
      <c r="BI1537" s="28"/>
      <c r="BJ1537" s="38"/>
      <c r="BK1537" s="28"/>
    </row>
    <row r="1538" customFormat="false" ht="15.75" hidden="false" customHeight="false" outlineLevel="0" collapsed="false">
      <c r="A1538" s="28"/>
      <c r="B1538" s="28"/>
      <c r="C1538" s="28"/>
      <c r="D1538" s="5"/>
      <c r="E1538" s="38"/>
      <c r="F1538" s="28"/>
      <c r="G1538" s="28"/>
      <c r="H1538" s="38"/>
      <c r="I1538" s="28"/>
      <c r="J1538" s="40"/>
      <c r="K1538" s="40"/>
      <c r="L1538" s="5"/>
      <c r="M1538" s="5"/>
      <c r="N1538" s="28"/>
      <c r="O1538" s="28"/>
      <c r="P1538" s="28"/>
      <c r="Q1538" s="28"/>
      <c r="R1538" s="28"/>
      <c r="S1538" s="28"/>
      <c r="T1538" s="28"/>
      <c r="V1538" s="28"/>
      <c r="W1538" s="5"/>
      <c r="X1538" s="5"/>
      <c r="Z1538" s="28"/>
      <c r="AA1538" s="28"/>
      <c r="AB1538" s="28"/>
      <c r="AC1538" s="28"/>
      <c r="AD1538" s="28"/>
      <c r="AE1538" s="28"/>
      <c r="AF1538" s="28"/>
      <c r="AG1538" s="28"/>
      <c r="AH1538" s="28"/>
      <c r="AI1538" s="28"/>
      <c r="AJ1538" s="28"/>
      <c r="AK1538" s="28"/>
      <c r="AL1538" s="28"/>
      <c r="AM1538" s="28"/>
      <c r="AN1538" s="28"/>
      <c r="AO1538" s="28"/>
      <c r="AP1538" s="28"/>
      <c r="AQ1538" s="28"/>
      <c r="AR1538" s="28"/>
      <c r="AS1538" s="28"/>
      <c r="AT1538" s="5"/>
      <c r="AU1538" s="28"/>
      <c r="AV1538" s="28"/>
      <c r="AX1538" s="28"/>
      <c r="AY1538" s="28"/>
      <c r="BA1538" s="28"/>
      <c r="BB1538" s="28"/>
      <c r="BF1538" s="28"/>
      <c r="BH1538" s="28"/>
      <c r="BI1538" s="28"/>
      <c r="BJ1538" s="38"/>
      <c r="BK1538" s="28"/>
    </row>
    <row r="1539" customFormat="false" ht="15.75" hidden="false" customHeight="false" outlineLevel="0" collapsed="false">
      <c r="A1539" s="28"/>
      <c r="B1539" s="28"/>
      <c r="C1539" s="28"/>
      <c r="D1539" s="5"/>
      <c r="E1539" s="38"/>
      <c r="F1539" s="28"/>
      <c r="G1539" s="28"/>
      <c r="H1539" s="38"/>
      <c r="I1539" s="28"/>
      <c r="J1539" s="40"/>
      <c r="K1539" s="40"/>
      <c r="L1539" s="5"/>
      <c r="M1539" s="5"/>
      <c r="N1539" s="28"/>
      <c r="O1539" s="28"/>
      <c r="P1539" s="28"/>
      <c r="Q1539" s="28"/>
      <c r="R1539" s="28"/>
      <c r="S1539" s="28"/>
      <c r="T1539" s="28"/>
      <c r="V1539" s="28"/>
      <c r="W1539" s="5"/>
      <c r="X1539" s="5"/>
      <c r="Z1539" s="28"/>
      <c r="AA1539" s="28"/>
      <c r="AB1539" s="28"/>
      <c r="AC1539" s="28"/>
      <c r="AD1539" s="28"/>
      <c r="AE1539" s="28"/>
      <c r="AF1539" s="28"/>
      <c r="AG1539" s="28"/>
      <c r="AH1539" s="28"/>
      <c r="AI1539" s="28"/>
      <c r="AJ1539" s="28"/>
      <c r="AK1539" s="28"/>
      <c r="AL1539" s="28"/>
      <c r="AM1539" s="28"/>
      <c r="AN1539" s="28"/>
      <c r="AO1539" s="28"/>
      <c r="AP1539" s="28"/>
      <c r="AQ1539" s="28"/>
      <c r="AR1539" s="28"/>
      <c r="AS1539" s="28"/>
      <c r="AT1539" s="5"/>
      <c r="AU1539" s="28"/>
      <c r="AV1539" s="28"/>
      <c r="AX1539" s="28"/>
      <c r="AY1539" s="28"/>
      <c r="BA1539" s="28"/>
      <c r="BB1539" s="28"/>
      <c r="BF1539" s="28"/>
      <c r="BH1539" s="28"/>
      <c r="BI1539" s="28"/>
      <c r="BJ1539" s="38"/>
      <c r="BK1539" s="28"/>
    </row>
    <row r="1540" customFormat="false" ht="15.75" hidden="false" customHeight="false" outlineLevel="0" collapsed="false">
      <c r="A1540" s="28"/>
      <c r="B1540" s="28"/>
      <c r="C1540" s="28"/>
      <c r="D1540" s="5"/>
      <c r="E1540" s="38"/>
      <c r="F1540" s="28"/>
      <c r="G1540" s="28"/>
      <c r="H1540" s="38"/>
      <c r="I1540" s="28"/>
      <c r="J1540" s="40"/>
      <c r="K1540" s="40"/>
      <c r="L1540" s="5"/>
      <c r="M1540" s="5"/>
      <c r="N1540" s="28"/>
      <c r="O1540" s="28"/>
      <c r="P1540" s="28"/>
      <c r="Q1540" s="28"/>
      <c r="R1540" s="28"/>
      <c r="S1540" s="28"/>
      <c r="T1540" s="28"/>
      <c r="V1540" s="28"/>
      <c r="W1540" s="5"/>
      <c r="X1540" s="5"/>
      <c r="Z1540" s="28"/>
      <c r="AA1540" s="28"/>
      <c r="AB1540" s="28"/>
      <c r="AC1540" s="28"/>
      <c r="AD1540" s="28"/>
      <c r="AE1540" s="28"/>
      <c r="AF1540" s="28"/>
      <c r="AG1540" s="28"/>
      <c r="AH1540" s="28"/>
      <c r="AI1540" s="28"/>
      <c r="AJ1540" s="28"/>
      <c r="AK1540" s="28"/>
      <c r="AL1540" s="28"/>
      <c r="AM1540" s="28"/>
      <c r="AN1540" s="28"/>
      <c r="AO1540" s="28"/>
      <c r="AP1540" s="28"/>
      <c r="AQ1540" s="28"/>
      <c r="AR1540" s="28"/>
      <c r="AS1540" s="28"/>
      <c r="AT1540" s="5"/>
      <c r="AU1540" s="28"/>
      <c r="AV1540" s="28"/>
      <c r="AX1540" s="28"/>
      <c r="AY1540" s="28"/>
      <c r="BA1540" s="28"/>
      <c r="BB1540" s="28"/>
      <c r="BF1540" s="28"/>
      <c r="BH1540" s="28"/>
      <c r="BI1540" s="28"/>
      <c r="BJ1540" s="38"/>
      <c r="BK1540" s="28"/>
    </row>
    <row r="1541" customFormat="false" ht="15.75" hidden="false" customHeight="false" outlineLevel="0" collapsed="false">
      <c r="A1541" s="28"/>
      <c r="B1541" s="28"/>
      <c r="C1541" s="28"/>
      <c r="D1541" s="5"/>
      <c r="E1541" s="38"/>
      <c r="F1541" s="28"/>
      <c r="G1541" s="28"/>
      <c r="H1541" s="38"/>
      <c r="I1541" s="28"/>
      <c r="J1541" s="40"/>
      <c r="K1541" s="40"/>
      <c r="L1541" s="5"/>
      <c r="M1541" s="5"/>
      <c r="N1541" s="28"/>
      <c r="O1541" s="28"/>
      <c r="P1541" s="28"/>
      <c r="Q1541" s="28"/>
      <c r="R1541" s="28"/>
      <c r="S1541" s="28"/>
      <c r="T1541" s="28"/>
      <c r="V1541" s="28"/>
      <c r="W1541" s="5"/>
      <c r="X1541" s="5"/>
      <c r="Z1541" s="28"/>
      <c r="AA1541" s="28"/>
      <c r="AB1541" s="28"/>
      <c r="AC1541" s="28"/>
      <c r="AD1541" s="28"/>
      <c r="AE1541" s="28"/>
      <c r="AF1541" s="28"/>
      <c r="AG1541" s="28"/>
      <c r="AH1541" s="28"/>
      <c r="AI1541" s="28"/>
      <c r="AJ1541" s="28"/>
      <c r="AK1541" s="28"/>
      <c r="AL1541" s="28"/>
      <c r="AM1541" s="28"/>
      <c r="AN1541" s="28"/>
      <c r="AO1541" s="28"/>
      <c r="AP1541" s="28"/>
      <c r="AQ1541" s="28"/>
      <c r="AR1541" s="28"/>
      <c r="AS1541" s="28"/>
      <c r="AT1541" s="5"/>
      <c r="AU1541" s="28"/>
      <c r="AV1541" s="28"/>
      <c r="AX1541" s="28"/>
      <c r="AY1541" s="28"/>
      <c r="BA1541" s="28"/>
      <c r="BB1541" s="28"/>
      <c r="BF1541" s="28"/>
      <c r="BH1541" s="28"/>
      <c r="BI1541" s="28"/>
      <c r="BJ1541" s="38"/>
      <c r="BK1541" s="28"/>
    </row>
    <row r="1542" customFormat="false" ht="15.75" hidden="false" customHeight="false" outlineLevel="0" collapsed="false">
      <c r="A1542" s="28"/>
      <c r="B1542" s="28"/>
      <c r="C1542" s="28"/>
      <c r="D1542" s="5"/>
      <c r="E1542" s="38"/>
      <c r="F1542" s="28"/>
      <c r="G1542" s="28"/>
      <c r="H1542" s="38"/>
      <c r="I1542" s="28"/>
      <c r="J1542" s="40"/>
      <c r="K1542" s="40"/>
      <c r="L1542" s="5"/>
      <c r="M1542" s="5"/>
      <c r="N1542" s="28"/>
      <c r="O1542" s="28"/>
      <c r="P1542" s="28"/>
      <c r="Q1542" s="28"/>
      <c r="R1542" s="28"/>
      <c r="S1542" s="28"/>
      <c r="T1542" s="28"/>
      <c r="V1542" s="28"/>
      <c r="W1542" s="5"/>
      <c r="X1542" s="5"/>
      <c r="Z1542" s="28"/>
      <c r="AA1542" s="28"/>
      <c r="AB1542" s="28"/>
      <c r="AC1542" s="28"/>
      <c r="AD1542" s="28"/>
      <c r="AE1542" s="28"/>
      <c r="AF1542" s="28"/>
      <c r="AG1542" s="28"/>
      <c r="AH1542" s="28"/>
      <c r="AI1542" s="28"/>
      <c r="AJ1542" s="28"/>
      <c r="AK1542" s="28"/>
      <c r="AL1542" s="28"/>
      <c r="AM1542" s="28"/>
      <c r="AN1542" s="28"/>
      <c r="AO1542" s="28"/>
      <c r="AP1542" s="28"/>
      <c r="AQ1542" s="28"/>
      <c r="AR1542" s="28"/>
      <c r="AS1542" s="28"/>
      <c r="AT1542" s="5"/>
      <c r="AU1542" s="28"/>
      <c r="AV1542" s="28"/>
      <c r="AX1542" s="28"/>
      <c r="AY1542" s="28"/>
      <c r="BA1542" s="28"/>
      <c r="BB1542" s="28"/>
      <c r="BF1542" s="28"/>
      <c r="BH1542" s="28"/>
      <c r="BI1542" s="28"/>
      <c r="BJ1542" s="38"/>
      <c r="BK1542" s="28"/>
    </row>
    <row r="1543" customFormat="false" ht="15.75" hidden="false" customHeight="false" outlineLevel="0" collapsed="false">
      <c r="A1543" s="28"/>
      <c r="B1543" s="28"/>
      <c r="C1543" s="28"/>
      <c r="D1543" s="5"/>
      <c r="E1543" s="38"/>
      <c r="F1543" s="28"/>
      <c r="G1543" s="28"/>
      <c r="H1543" s="38"/>
      <c r="I1543" s="28"/>
      <c r="J1543" s="40"/>
      <c r="K1543" s="40"/>
      <c r="L1543" s="5"/>
      <c r="M1543" s="5"/>
      <c r="N1543" s="28"/>
      <c r="O1543" s="28"/>
      <c r="P1543" s="28"/>
      <c r="Q1543" s="28"/>
      <c r="R1543" s="28"/>
      <c r="S1543" s="28"/>
      <c r="T1543" s="28"/>
      <c r="V1543" s="28"/>
      <c r="W1543" s="5"/>
      <c r="X1543" s="5"/>
      <c r="Z1543" s="28"/>
      <c r="AA1543" s="28"/>
      <c r="AB1543" s="28"/>
      <c r="AC1543" s="28"/>
      <c r="AD1543" s="28"/>
      <c r="AE1543" s="28"/>
      <c r="AF1543" s="28"/>
      <c r="AG1543" s="28"/>
      <c r="AH1543" s="28"/>
      <c r="AI1543" s="28"/>
      <c r="AJ1543" s="28"/>
      <c r="AK1543" s="28"/>
      <c r="AL1543" s="28"/>
      <c r="AM1543" s="28"/>
      <c r="AN1543" s="28"/>
      <c r="AO1543" s="28"/>
      <c r="AP1543" s="28"/>
      <c r="AQ1543" s="28"/>
      <c r="AR1543" s="28"/>
      <c r="AS1543" s="28"/>
      <c r="AT1543" s="5"/>
      <c r="AU1543" s="28"/>
      <c r="AV1543" s="28"/>
      <c r="AX1543" s="28"/>
      <c r="AY1543" s="28"/>
      <c r="BA1543" s="28"/>
      <c r="BB1543" s="28"/>
      <c r="BF1543" s="28"/>
      <c r="BH1543" s="28"/>
      <c r="BI1543" s="28"/>
      <c r="BJ1543" s="38"/>
      <c r="BK1543" s="28"/>
    </row>
    <row r="1544" customFormat="false" ht="15.75" hidden="false" customHeight="false" outlineLevel="0" collapsed="false">
      <c r="A1544" s="28"/>
      <c r="B1544" s="28"/>
      <c r="C1544" s="28"/>
      <c r="D1544" s="5"/>
      <c r="E1544" s="38"/>
      <c r="F1544" s="28"/>
      <c r="G1544" s="28"/>
      <c r="H1544" s="38"/>
      <c r="I1544" s="28"/>
      <c r="J1544" s="40"/>
      <c r="K1544" s="40"/>
      <c r="L1544" s="5"/>
      <c r="M1544" s="5"/>
      <c r="N1544" s="28"/>
      <c r="O1544" s="28"/>
      <c r="P1544" s="28"/>
      <c r="Q1544" s="28"/>
      <c r="R1544" s="28"/>
      <c r="S1544" s="28"/>
      <c r="T1544" s="28"/>
      <c r="V1544" s="28"/>
      <c r="W1544" s="5"/>
      <c r="X1544" s="5"/>
      <c r="Z1544" s="28"/>
      <c r="AA1544" s="28"/>
      <c r="AB1544" s="28"/>
      <c r="AC1544" s="28"/>
      <c r="AD1544" s="28"/>
      <c r="AE1544" s="28"/>
      <c r="AF1544" s="28"/>
      <c r="AG1544" s="28"/>
      <c r="AH1544" s="28"/>
      <c r="AI1544" s="28"/>
      <c r="AJ1544" s="28"/>
      <c r="AK1544" s="28"/>
      <c r="AL1544" s="28"/>
      <c r="AM1544" s="28"/>
      <c r="AN1544" s="28"/>
      <c r="AO1544" s="28"/>
      <c r="AP1544" s="28"/>
      <c r="AQ1544" s="28"/>
      <c r="AR1544" s="28"/>
      <c r="AS1544" s="28"/>
      <c r="AT1544" s="5"/>
      <c r="AU1544" s="28"/>
      <c r="AV1544" s="28"/>
      <c r="AX1544" s="28"/>
      <c r="AY1544" s="28"/>
      <c r="BA1544" s="28"/>
      <c r="BB1544" s="28"/>
      <c r="BF1544" s="28"/>
      <c r="BH1544" s="28"/>
      <c r="BI1544" s="28"/>
      <c r="BJ1544" s="38"/>
      <c r="BK1544" s="28"/>
    </row>
    <row r="1545" customFormat="false" ht="15.75" hidden="false" customHeight="false" outlineLevel="0" collapsed="false">
      <c r="A1545" s="28"/>
      <c r="B1545" s="28"/>
      <c r="C1545" s="28"/>
      <c r="D1545" s="5"/>
      <c r="E1545" s="38"/>
      <c r="F1545" s="28"/>
      <c r="G1545" s="28"/>
      <c r="H1545" s="38"/>
      <c r="I1545" s="28"/>
      <c r="J1545" s="40"/>
      <c r="K1545" s="40"/>
      <c r="L1545" s="5"/>
      <c r="M1545" s="5"/>
      <c r="N1545" s="28"/>
      <c r="O1545" s="28"/>
      <c r="P1545" s="28"/>
      <c r="Q1545" s="28"/>
      <c r="R1545" s="28"/>
      <c r="S1545" s="28"/>
      <c r="T1545" s="28"/>
      <c r="V1545" s="28"/>
      <c r="W1545" s="5"/>
      <c r="X1545" s="5"/>
      <c r="Z1545" s="28"/>
      <c r="AA1545" s="28"/>
      <c r="AB1545" s="28"/>
      <c r="AC1545" s="28"/>
      <c r="AD1545" s="28"/>
      <c r="AE1545" s="28"/>
      <c r="AF1545" s="28"/>
      <c r="AG1545" s="28"/>
      <c r="AH1545" s="28"/>
      <c r="AI1545" s="28"/>
      <c r="AJ1545" s="28"/>
      <c r="AK1545" s="28"/>
      <c r="AL1545" s="28"/>
      <c r="AM1545" s="28"/>
      <c r="AN1545" s="28"/>
      <c r="AO1545" s="28"/>
      <c r="AP1545" s="28"/>
      <c r="AQ1545" s="28"/>
      <c r="AR1545" s="28"/>
      <c r="AS1545" s="28"/>
      <c r="AT1545" s="5"/>
      <c r="AU1545" s="28"/>
      <c r="AV1545" s="28"/>
      <c r="AX1545" s="28"/>
      <c r="AY1545" s="28"/>
      <c r="BA1545" s="28"/>
      <c r="BB1545" s="28"/>
      <c r="BF1545" s="28"/>
      <c r="BH1545" s="28"/>
      <c r="BI1545" s="28"/>
      <c r="BJ1545" s="38"/>
      <c r="BK1545" s="28"/>
    </row>
    <row r="1546" customFormat="false" ht="15.75" hidden="false" customHeight="false" outlineLevel="0" collapsed="false">
      <c r="A1546" s="28"/>
      <c r="B1546" s="28"/>
      <c r="C1546" s="28"/>
      <c r="D1546" s="5"/>
      <c r="E1546" s="38"/>
      <c r="F1546" s="28"/>
      <c r="G1546" s="28"/>
      <c r="H1546" s="38"/>
      <c r="I1546" s="28"/>
      <c r="J1546" s="40"/>
      <c r="K1546" s="40"/>
      <c r="L1546" s="5"/>
      <c r="M1546" s="5"/>
      <c r="N1546" s="28"/>
      <c r="O1546" s="28"/>
      <c r="P1546" s="28"/>
      <c r="Q1546" s="28"/>
      <c r="R1546" s="28"/>
      <c r="S1546" s="28"/>
      <c r="T1546" s="28"/>
      <c r="V1546" s="28"/>
      <c r="W1546" s="5"/>
      <c r="X1546" s="5"/>
      <c r="Z1546" s="28"/>
      <c r="AA1546" s="28"/>
      <c r="AB1546" s="28"/>
      <c r="AC1546" s="28"/>
      <c r="AD1546" s="28"/>
      <c r="AE1546" s="28"/>
      <c r="AF1546" s="28"/>
      <c r="AG1546" s="28"/>
      <c r="AH1546" s="28"/>
      <c r="AI1546" s="28"/>
      <c r="AJ1546" s="28"/>
      <c r="AK1546" s="28"/>
      <c r="AL1546" s="28"/>
      <c r="AM1546" s="28"/>
      <c r="AN1546" s="28"/>
      <c r="AO1546" s="28"/>
      <c r="AP1546" s="28"/>
      <c r="AQ1546" s="28"/>
      <c r="AR1546" s="28"/>
      <c r="AS1546" s="28"/>
      <c r="AT1546" s="5"/>
      <c r="AU1546" s="28"/>
      <c r="AV1546" s="28"/>
      <c r="AX1546" s="28"/>
      <c r="AY1546" s="28"/>
      <c r="BA1546" s="28"/>
      <c r="BB1546" s="28"/>
      <c r="BF1546" s="28"/>
      <c r="BH1546" s="28"/>
      <c r="BI1546" s="28"/>
      <c r="BJ1546" s="38"/>
      <c r="BK1546" s="28"/>
    </row>
    <row r="1547" customFormat="false" ht="15.75" hidden="false" customHeight="false" outlineLevel="0" collapsed="false">
      <c r="A1547" s="28"/>
      <c r="B1547" s="28"/>
      <c r="C1547" s="28"/>
      <c r="D1547" s="5"/>
      <c r="E1547" s="38"/>
      <c r="F1547" s="28"/>
      <c r="G1547" s="28"/>
      <c r="H1547" s="38"/>
      <c r="I1547" s="28"/>
      <c r="J1547" s="40"/>
      <c r="K1547" s="40"/>
      <c r="L1547" s="5"/>
      <c r="M1547" s="5"/>
      <c r="N1547" s="28"/>
      <c r="O1547" s="28"/>
      <c r="P1547" s="28"/>
      <c r="Q1547" s="28"/>
      <c r="R1547" s="28"/>
      <c r="S1547" s="28"/>
      <c r="T1547" s="28"/>
      <c r="V1547" s="28"/>
      <c r="W1547" s="5"/>
      <c r="X1547" s="5"/>
      <c r="Z1547" s="28"/>
      <c r="AA1547" s="28"/>
      <c r="AB1547" s="28"/>
      <c r="AC1547" s="28"/>
      <c r="AD1547" s="28"/>
      <c r="AE1547" s="28"/>
      <c r="AF1547" s="28"/>
      <c r="AG1547" s="28"/>
      <c r="AH1547" s="28"/>
      <c r="AI1547" s="28"/>
      <c r="AJ1547" s="28"/>
      <c r="AK1547" s="28"/>
      <c r="AL1547" s="28"/>
      <c r="AM1547" s="28"/>
      <c r="AN1547" s="28"/>
      <c r="AO1547" s="28"/>
      <c r="AP1547" s="28"/>
      <c r="AQ1547" s="28"/>
      <c r="AR1547" s="28"/>
      <c r="AS1547" s="28"/>
      <c r="AT1547" s="5"/>
      <c r="AU1547" s="28"/>
      <c r="AV1547" s="28"/>
      <c r="AX1547" s="28"/>
      <c r="AY1547" s="28"/>
      <c r="BA1547" s="28"/>
      <c r="BB1547" s="28"/>
      <c r="BF1547" s="28"/>
      <c r="BH1547" s="28"/>
      <c r="BI1547" s="28"/>
      <c r="BJ1547" s="38"/>
      <c r="BK1547" s="28"/>
    </row>
    <row r="1548" customFormat="false" ht="15.75" hidden="false" customHeight="false" outlineLevel="0" collapsed="false">
      <c r="A1548" s="28"/>
      <c r="B1548" s="28"/>
      <c r="C1548" s="28"/>
      <c r="D1548" s="5"/>
      <c r="E1548" s="38"/>
      <c r="F1548" s="28"/>
      <c r="G1548" s="28"/>
      <c r="H1548" s="38"/>
      <c r="I1548" s="28"/>
      <c r="J1548" s="40"/>
      <c r="K1548" s="40"/>
      <c r="L1548" s="5"/>
      <c r="M1548" s="5"/>
      <c r="N1548" s="28"/>
      <c r="O1548" s="28"/>
      <c r="P1548" s="28"/>
      <c r="Q1548" s="28"/>
      <c r="R1548" s="28"/>
      <c r="S1548" s="28"/>
      <c r="T1548" s="28"/>
      <c r="V1548" s="28"/>
      <c r="W1548" s="5"/>
      <c r="X1548" s="5"/>
      <c r="Z1548" s="28"/>
      <c r="AA1548" s="28"/>
      <c r="AB1548" s="28"/>
      <c r="AC1548" s="28"/>
      <c r="AD1548" s="28"/>
      <c r="AE1548" s="28"/>
      <c r="AF1548" s="28"/>
      <c r="AG1548" s="28"/>
      <c r="AH1548" s="28"/>
      <c r="AI1548" s="28"/>
      <c r="AJ1548" s="28"/>
      <c r="AK1548" s="28"/>
      <c r="AL1548" s="28"/>
      <c r="AM1548" s="28"/>
      <c r="AN1548" s="28"/>
      <c r="AO1548" s="28"/>
      <c r="AP1548" s="28"/>
      <c r="AQ1548" s="28"/>
      <c r="AR1548" s="28"/>
      <c r="AS1548" s="28"/>
      <c r="AT1548" s="5"/>
      <c r="AU1548" s="28"/>
      <c r="AV1548" s="28"/>
      <c r="AX1548" s="28"/>
      <c r="AY1548" s="28"/>
      <c r="BA1548" s="28"/>
      <c r="BB1548" s="28"/>
      <c r="BF1548" s="28"/>
      <c r="BH1548" s="28"/>
      <c r="BI1548" s="28"/>
      <c r="BJ1548" s="38"/>
      <c r="BK1548" s="28"/>
    </row>
    <row r="1549" customFormat="false" ht="15.75" hidden="false" customHeight="false" outlineLevel="0" collapsed="false">
      <c r="A1549" s="28"/>
      <c r="B1549" s="28"/>
      <c r="C1549" s="28"/>
      <c r="D1549" s="5"/>
      <c r="E1549" s="38"/>
      <c r="F1549" s="28"/>
      <c r="G1549" s="28"/>
      <c r="H1549" s="38"/>
      <c r="I1549" s="28"/>
      <c r="J1549" s="40"/>
      <c r="K1549" s="40"/>
      <c r="L1549" s="5"/>
      <c r="M1549" s="5"/>
      <c r="N1549" s="28"/>
      <c r="O1549" s="28"/>
      <c r="P1549" s="28"/>
      <c r="Q1549" s="28"/>
      <c r="R1549" s="28"/>
      <c r="S1549" s="28"/>
      <c r="T1549" s="28"/>
      <c r="V1549" s="28"/>
      <c r="W1549" s="5"/>
      <c r="X1549" s="5"/>
      <c r="Z1549" s="28"/>
      <c r="AA1549" s="28"/>
      <c r="AB1549" s="28"/>
      <c r="AC1549" s="28"/>
      <c r="AD1549" s="28"/>
      <c r="AE1549" s="28"/>
      <c r="AF1549" s="28"/>
      <c r="AG1549" s="28"/>
      <c r="AH1549" s="28"/>
      <c r="AI1549" s="28"/>
      <c r="AJ1549" s="28"/>
      <c r="AK1549" s="28"/>
      <c r="AL1549" s="28"/>
      <c r="AM1549" s="28"/>
      <c r="AN1549" s="28"/>
      <c r="AO1549" s="28"/>
      <c r="AP1549" s="28"/>
      <c r="AQ1549" s="28"/>
      <c r="AR1549" s="28"/>
      <c r="AS1549" s="28"/>
      <c r="AT1549" s="5"/>
      <c r="AU1549" s="28"/>
      <c r="AV1549" s="28"/>
      <c r="AX1549" s="28"/>
      <c r="AY1549" s="28"/>
      <c r="BA1549" s="28"/>
      <c r="BB1549" s="28"/>
      <c r="BF1549" s="28"/>
      <c r="BH1549" s="28"/>
      <c r="BI1549" s="28"/>
      <c r="BJ1549" s="38"/>
      <c r="BK1549" s="28"/>
    </row>
    <row r="1550" customFormat="false" ht="15.75" hidden="false" customHeight="false" outlineLevel="0" collapsed="false">
      <c r="A1550" s="28"/>
      <c r="B1550" s="28"/>
      <c r="C1550" s="28"/>
      <c r="D1550" s="5"/>
      <c r="E1550" s="38"/>
      <c r="F1550" s="28"/>
      <c r="G1550" s="28"/>
      <c r="H1550" s="38"/>
      <c r="I1550" s="28"/>
      <c r="J1550" s="40"/>
      <c r="K1550" s="40"/>
      <c r="L1550" s="5"/>
      <c r="M1550" s="5"/>
      <c r="N1550" s="28"/>
      <c r="O1550" s="28"/>
      <c r="P1550" s="28"/>
      <c r="Q1550" s="28"/>
      <c r="R1550" s="28"/>
      <c r="S1550" s="28"/>
      <c r="T1550" s="28"/>
      <c r="V1550" s="28"/>
      <c r="W1550" s="5"/>
      <c r="X1550" s="5"/>
      <c r="Z1550" s="28"/>
      <c r="AA1550" s="28"/>
      <c r="AB1550" s="28"/>
      <c r="AC1550" s="28"/>
      <c r="AD1550" s="28"/>
      <c r="AE1550" s="28"/>
      <c r="AF1550" s="28"/>
      <c r="AG1550" s="28"/>
      <c r="AH1550" s="28"/>
      <c r="AI1550" s="28"/>
      <c r="AJ1550" s="28"/>
      <c r="AK1550" s="28"/>
      <c r="AL1550" s="28"/>
      <c r="AM1550" s="28"/>
      <c r="AN1550" s="28"/>
      <c r="AO1550" s="28"/>
      <c r="AP1550" s="28"/>
      <c r="AQ1550" s="28"/>
      <c r="AR1550" s="28"/>
      <c r="AS1550" s="28"/>
      <c r="AT1550" s="5"/>
      <c r="AU1550" s="28"/>
      <c r="AV1550" s="28"/>
      <c r="AX1550" s="28"/>
      <c r="AY1550" s="28"/>
      <c r="BA1550" s="28"/>
      <c r="BB1550" s="28"/>
      <c r="BF1550" s="28"/>
      <c r="BH1550" s="28"/>
      <c r="BI1550" s="28"/>
      <c r="BJ1550" s="38"/>
      <c r="BK1550" s="28"/>
    </row>
    <row r="1551" customFormat="false" ht="15.75" hidden="false" customHeight="false" outlineLevel="0" collapsed="false">
      <c r="A1551" s="28"/>
      <c r="B1551" s="28"/>
      <c r="C1551" s="28"/>
      <c r="D1551" s="5"/>
      <c r="E1551" s="38"/>
      <c r="F1551" s="28"/>
      <c r="G1551" s="28"/>
      <c r="H1551" s="38"/>
      <c r="I1551" s="28"/>
      <c r="J1551" s="40"/>
      <c r="K1551" s="40"/>
      <c r="L1551" s="5"/>
      <c r="M1551" s="5"/>
      <c r="N1551" s="28"/>
      <c r="O1551" s="28"/>
      <c r="P1551" s="28"/>
      <c r="Q1551" s="28"/>
      <c r="R1551" s="28"/>
      <c r="S1551" s="28"/>
      <c r="T1551" s="28"/>
      <c r="V1551" s="28"/>
      <c r="W1551" s="5"/>
      <c r="X1551" s="5"/>
      <c r="Z1551" s="28"/>
      <c r="AA1551" s="28"/>
      <c r="AB1551" s="28"/>
      <c r="AC1551" s="28"/>
      <c r="AD1551" s="28"/>
      <c r="AE1551" s="28"/>
      <c r="AF1551" s="28"/>
      <c r="AG1551" s="28"/>
      <c r="AH1551" s="28"/>
      <c r="AI1551" s="28"/>
      <c r="AJ1551" s="28"/>
      <c r="AK1551" s="28"/>
      <c r="AL1551" s="28"/>
      <c r="AM1551" s="28"/>
      <c r="AN1551" s="28"/>
      <c r="AO1551" s="28"/>
      <c r="AP1551" s="28"/>
      <c r="AQ1551" s="28"/>
      <c r="AR1551" s="28"/>
      <c r="AS1551" s="28"/>
      <c r="AT1551" s="5"/>
      <c r="AU1551" s="28"/>
      <c r="AV1551" s="28"/>
      <c r="AX1551" s="28"/>
      <c r="AY1551" s="28"/>
      <c r="BA1551" s="28"/>
      <c r="BB1551" s="28"/>
      <c r="BF1551" s="28"/>
      <c r="BH1551" s="28"/>
      <c r="BI1551" s="28"/>
      <c r="BJ1551" s="38"/>
      <c r="BK1551" s="28"/>
    </row>
    <row r="1552" customFormat="false" ht="15.75" hidden="false" customHeight="false" outlineLevel="0" collapsed="false">
      <c r="A1552" s="28"/>
      <c r="B1552" s="28"/>
      <c r="C1552" s="28"/>
      <c r="D1552" s="5"/>
      <c r="E1552" s="38"/>
      <c r="F1552" s="28"/>
      <c r="G1552" s="28"/>
      <c r="H1552" s="38"/>
      <c r="I1552" s="28"/>
      <c r="J1552" s="40"/>
      <c r="K1552" s="40"/>
      <c r="L1552" s="5"/>
      <c r="M1552" s="5"/>
      <c r="N1552" s="28"/>
      <c r="O1552" s="28"/>
      <c r="P1552" s="28"/>
      <c r="Q1552" s="28"/>
      <c r="R1552" s="28"/>
      <c r="S1552" s="28"/>
      <c r="T1552" s="28"/>
      <c r="V1552" s="28"/>
      <c r="W1552" s="5"/>
      <c r="X1552" s="5"/>
      <c r="Z1552" s="28"/>
      <c r="AA1552" s="28"/>
      <c r="AB1552" s="28"/>
      <c r="AC1552" s="28"/>
      <c r="AD1552" s="28"/>
      <c r="AE1552" s="28"/>
      <c r="AF1552" s="28"/>
      <c r="AG1552" s="28"/>
      <c r="AH1552" s="28"/>
      <c r="AI1552" s="28"/>
      <c r="AJ1552" s="28"/>
      <c r="AK1552" s="28"/>
      <c r="AL1552" s="28"/>
      <c r="AM1552" s="28"/>
      <c r="AN1552" s="28"/>
      <c r="AO1552" s="28"/>
      <c r="AP1552" s="28"/>
      <c r="AQ1552" s="28"/>
      <c r="AR1552" s="28"/>
      <c r="AS1552" s="28"/>
      <c r="AT1552" s="5"/>
      <c r="AU1552" s="28"/>
      <c r="AV1552" s="28"/>
      <c r="AX1552" s="28"/>
      <c r="AY1552" s="28"/>
      <c r="BA1552" s="28"/>
      <c r="BB1552" s="28"/>
      <c r="BF1552" s="28"/>
      <c r="BH1552" s="28"/>
      <c r="BI1552" s="28"/>
      <c r="BJ1552" s="38"/>
      <c r="BK1552" s="28"/>
    </row>
    <row r="1553" customFormat="false" ht="15.75" hidden="false" customHeight="false" outlineLevel="0" collapsed="false">
      <c r="A1553" s="28"/>
      <c r="B1553" s="28"/>
      <c r="C1553" s="28"/>
      <c r="D1553" s="5"/>
      <c r="E1553" s="38"/>
      <c r="F1553" s="28"/>
      <c r="G1553" s="28"/>
      <c r="H1553" s="38"/>
      <c r="I1553" s="28"/>
      <c r="J1553" s="40"/>
      <c r="K1553" s="40"/>
      <c r="L1553" s="5"/>
      <c r="M1553" s="5"/>
      <c r="N1553" s="28"/>
      <c r="O1553" s="28"/>
      <c r="P1553" s="28"/>
      <c r="Q1553" s="28"/>
      <c r="R1553" s="28"/>
      <c r="S1553" s="28"/>
      <c r="T1553" s="28"/>
      <c r="V1553" s="28"/>
      <c r="W1553" s="5"/>
      <c r="X1553" s="5"/>
      <c r="Z1553" s="28"/>
      <c r="AA1553" s="28"/>
      <c r="AB1553" s="28"/>
      <c r="AC1553" s="28"/>
      <c r="AD1553" s="28"/>
      <c r="AE1553" s="28"/>
      <c r="AF1553" s="28"/>
      <c r="AG1553" s="28"/>
      <c r="AH1553" s="28"/>
      <c r="AI1553" s="28"/>
      <c r="AJ1553" s="28"/>
      <c r="AK1553" s="28"/>
      <c r="AL1553" s="28"/>
      <c r="AM1553" s="28"/>
      <c r="AN1553" s="28"/>
      <c r="AO1553" s="28"/>
      <c r="AP1553" s="28"/>
      <c r="AQ1553" s="28"/>
      <c r="AR1553" s="28"/>
      <c r="AS1553" s="28"/>
      <c r="AT1553" s="5"/>
      <c r="AU1553" s="28"/>
      <c r="AV1553" s="28"/>
      <c r="AX1553" s="28"/>
      <c r="AY1553" s="28"/>
      <c r="BA1553" s="28"/>
      <c r="BB1553" s="28"/>
      <c r="BF1553" s="28"/>
      <c r="BH1553" s="28"/>
      <c r="BI1553" s="28"/>
      <c r="BJ1553" s="38"/>
      <c r="BK1553" s="28"/>
    </row>
    <row r="1554" customFormat="false" ht="15.75" hidden="false" customHeight="false" outlineLevel="0" collapsed="false">
      <c r="A1554" s="28"/>
      <c r="B1554" s="28"/>
      <c r="C1554" s="28"/>
      <c r="D1554" s="5"/>
      <c r="E1554" s="38"/>
      <c r="F1554" s="28"/>
      <c r="G1554" s="28"/>
      <c r="H1554" s="38"/>
      <c r="I1554" s="28"/>
      <c r="J1554" s="40"/>
      <c r="K1554" s="40"/>
      <c r="L1554" s="5"/>
      <c r="M1554" s="5"/>
      <c r="N1554" s="28"/>
      <c r="O1554" s="28"/>
      <c r="P1554" s="28"/>
      <c r="Q1554" s="28"/>
      <c r="R1554" s="28"/>
      <c r="S1554" s="28"/>
      <c r="T1554" s="28"/>
      <c r="V1554" s="28"/>
      <c r="W1554" s="5"/>
      <c r="X1554" s="5"/>
      <c r="Z1554" s="28"/>
      <c r="AA1554" s="28"/>
      <c r="AB1554" s="28"/>
      <c r="AC1554" s="28"/>
      <c r="AD1554" s="28"/>
      <c r="AE1554" s="28"/>
      <c r="AF1554" s="28"/>
      <c r="AG1554" s="28"/>
      <c r="AH1554" s="28"/>
      <c r="AI1554" s="28"/>
      <c r="AJ1554" s="28"/>
      <c r="AK1554" s="28"/>
      <c r="AL1554" s="28"/>
      <c r="AM1554" s="28"/>
      <c r="AN1554" s="28"/>
      <c r="AO1554" s="28"/>
      <c r="AP1554" s="28"/>
      <c r="AQ1554" s="28"/>
      <c r="AR1554" s="28"/>
      <c r="AS1554" s="28"/>
      <c r="AT1554" s="5"/>
      <c r="AU1554" s="28"/>
      <c r="AV1554" s="28"/>
      <c r="AX1554" s="28"/>
      <c r="AY1554" s="28"/>
      <c r="BA1554" s="28"/>
      <c r="BB1554" s="28"/>
      <c r="BF1554" s="28"/>
      <c r="BH1554" s="28"/>
      <c r="BI1554" s="28"/>
      <c r="BJ1554" s="38"/>
      <c r="BK1554" s="28"/>
    </row>
    <row r="1555" customFormat="false" ht="15.75" hidden="false" customHeight="false" outlineLevel="0" collapsed="false">
      <c r="A1555" s="28"/>
      <c r="B1555" s="28"/>
      <c r="C1555" s="28"/>
      <c r="D1555" s="5"/>
      <c r="E1555" s="38"/>
      <c r="F1555" s="28"/>
      <c r="G1555" s="28"/>
      <c r="H1555" s="38"/>
      <c r="I1555" s="28"/>
      <c r="J1555" s="40"/>
      <c r="K1555" s="40"/>
      <c r="L1555" s="5"/>
      <c r="M1555" s="5"/>
      <c r="N1555" s="28"/>
      <c r="O1555" s="28"/>
      <c r="P1555" s="28"/>
      <c r="Q1555" s="28"/>
      <c r="R1555" s="28"/>
      <c r="S1555" s="28"/>
      <c r="T1555" s="28"/>
      <c r="V1555" s="28"/>
      <c r="W1555" s="5"/>
      <c r="X1555" s="5"/>
      <c r="Z1555" s="28"/>
      <c r="AA1555" s="28"/>
      <c r="AB1555" s="28"/>
      <c r="AC1555" s="28"/>
      <c r="AD1555" s="28"/>
      <c r="AE1555" s="28"/>
      <c r="AF1555" s="28"/>
      <c r="AG1555" s="28"/>
      <c r="AH1555" s="28"/>
      <c r="AI1555" s="28"/>
      <c r="AJ1555" s="28"/>
      <c r="AK1555" s="28"/>
      <c r="AL1555" s="28"/>
      <c r="AM1555" s="28"/>
      <c r="AN1555" s="28"/>
      <c r="AO1555" s="28"/>
      <c r="AP1555" s="28"/>
      <c r="AQ1555" s="28"/>
      <c r="AR1555" s="28"/>
      <c r="AS1555" s="28"/>
      <c r="AT1555" s="5"/>
      <c r="AU1555" s="28"/>
      <c r="AV1555" s="28"/>
      <c r="AX1555" s="28"/>
      <c r="AY1555" s="28"/>
      <c r="BA1555" s="28"/>
      <c r="BB1555" s="28"/>
      <c r="BF1555" s="28"/>
      <c r="BH1555" s="28"/>
      <c r="BI1555" s="28"/>
      <c r="BJ1555" s="38"/>
      <c r="BK1555" s="28"/>
    </row>
    <row r="1556" customFormat="false" ht="15.75" hidden="false" customHeight="false" outlineLevel="0" collapsed="false">
      <c r="A1556" s="28"/>
      <c r="B1556" s="28"/>
      <c r="C1556" s="28"/>
      <c r="D1556" s="5"/>
      <c r="E1556" s="38"/>
      <c r="F1556" s="28"/>
      <c r="G1556" s="28"/>
      <c r="H1556" s="38"/>
      <c r="I1556" s="28"/>
      <c r="J1556" s="40"/>
      <c r="K1556" s="40"/>
      <c r="L1556" s="5"/>
      <c r="M1556" s="5"/>
      <c r="N1556" s="28"/>
      <c r="O1556" s="28"/>
      <c r="P1556" s="28"/>
      <c r="Q1556" s="28"/>
      <c r="R1556" s="28"/>
      <c r="S1556" s="28"/>
      <c r="T1556" s="28"/>
      <c r="V1556" s="28"/>
      <c r="W1556" s="5"/>
      <c r="X1556" s="5"/>
      <c r="Z1556" s="28"/>
      <c r="AA1556" s="28"/>
      <c r="AB1556" s="28"/>
      <c r="AC1556" s="28"/>
      <c r="AD1556" s="28"/>
      <c r="AE1556" s="28"/>
      <c r="AF1556" s="28"/>
      <c r="AG1556" s="28"/>
      <c r="AH1556" s="28"/>
      <c r="AI1556" s="28"/>
      <c r="AJ1556" s="28"/>
      <c r="AK1556" s="28"/>
      <c r="AL1556" s="28"/>
      <c r="AM1556" s="28"/>
      <c r="AN1556" s="28"/>
      <c r="AO1556" s="28"/>
      <c r="AP1556" s="28"/>
      <c r="AQ1556" s="28"/>
      <c r="AR1556" s="28"/>
      <c r="AS1556" s="28"/>
      <c r="AT1556" s="5"/>
      <c r="AU1556" s="28"/>
      <c r="AV1556" s="28"/>
      <c r="AX1556" s="28"/>
      <c r="AY1556" s="28"/>
      <c r="BA1556" s="28"/>
      <c r="BB1556" s="28"/>
      <c r="BF1556" s="28"/>
      <c r="BH1556" s="28"/>
      <c r="BI1556" s="28"/>
      <c r="BJ1556" s="38"/>
      <c r="BK1556" s="28"/>
    </row>
    <row r="1557" customFormat="false" ht="15.75" hidden="false" customHeight="false" outlineLevel="0" collapsed="false">
      <c r="A1557" s="28"/>
      <c r="B1557" s="28"/>
      <c r="C1557" s="28"/>
      <c r="D1557" s="5"/>
      <c r="E1557" s="38"/>
      <c r="F1557" s="28"/>
      <c r="G1557" s="28"/>
      <c r="H1557" s="38"/>
      <c r="I1557" s="28"/>
      <c r="J1557" s="40"/>
      <c r="K1557" s="40"/>
      <c r="L1557" s="5"/>
      <c r="M1557" s="5"/>
      <c r="N1557" s="28"/>
      <c r="O1557" s="28"/>
      <c r="P1557" s="28"/>
      <c r="Q1557" s="28"/>
      <c r="R1557" s="28"/>
      <c r="S1557" s="28"/>
      <c r="T1557" s="28"/>
      <c r="V1557" s="28"/>
      <c r="W1557" s="5"/>
      <c r="X1557" s="5"/>
      <c r="Z1557" s="28"/>
      <c r="AA1557" s="28"/>
      <c r="AB1557" s="28"/>
      <c r="AC1557" s="28"/>
      <c r="AD1557" s="28"/>
      <c r="AE1557" s="28"/>
      <c r="AF1557" s="28"/>
      <c r="AG1557" s="28"/>
      <c r="AH1557" s="28"/>
      <c r="AI1557" s="28"/>
      <c r="AJ1557" s="28"/>
      <c r="AK1557" s="28"/>
      <c r="AL1557" s="28"/>
      <c r="AM1557" s="28"/>
      <c r="AN1557" s="28"/>
      <c r="AO1557" s="28"/>
      <c r="AP1557" s="28"/>
      <c r="AQ1557" s="28"/>
      <c r="AR1557" s="28"/>
      <c r="AS1557" s="28"/>
      <c r="AT1557" s="5"/>
      <c r="AU1557" s="28"/>
      <c r="AV1557" s="28"/>
      <c r="AX1557" s="28"/>
      <c r="AY1557" s="28"/>
      <c r="BA1557" s="28"/>
      <c r="BB1557" s="28"/>
      <c r="BF1557" s="28"/>
      <c r="BH1557" s="28"/>
      <c r="BI1557" s="28"/>
      <c r="BJ1557" s="38"/>
      <c r="BK1557" s="28"/>
    </row>
    <row r="1558" customFormat="false" ht="15.75" hidden="false" customHeight="false" outlineLevel="0" collapsed="false">
      <c r="A1558" s="28"/>
      <c r="B1558" s="28"/>
      <c r="C1558" s="28"/>
      <c r="D1558" s="5"/>
      <c r="E1558" s="38"/>
      <c r="F1558" s="28"/>
      <c r="G1558" s="28"/>
      <c r="H1558" s="38"/>
      <c r="I1558" s="28"/>
      <c r="J1558" s="40"/>
      <c r="K1558" s="40"/>
      <c r="L1558" s="5"/>
      <c r="M1558" s="5"/>
      <c r="N1558" s="28"/>
      <c r="O1558" s="28"/>
      <c r="P1558" s="28"/>
      <c r="Q1558" s="28"/>
      <c r="R1558" s="28"/>
      <c r="S1558" s="28"/>
      <c r="T1558" s="28"/>
      <c r="V1558" s="28"/>
      <c r="W1558" s="5"/>
      <c r="X1558" s="5"/>
      <c r="Z1558" s="28"/>
      <c r="AA1558" s="28"/>
      <c r="AB1558" s="28"/>
      <c r="AC1558" s="28"/>
      <c r="AD1558" s="28"/>
      <c r="AE1558" s="28"/>
      <c r="AF1558" s="28"/>
      <c r="AG1558" s="28"/>
      <c r="AH1558" s="28"/>
      <c r="AI1558" s="28"/>
      <c r="AJ1558" s="28"/>
      <c r="AK1558" s="28"/>
      <c r="AL1558" s="28"/>
      <c r="AM1558" s="28"/>
      <c r="AN1558" s="28"/>
      <c r="AO1558" s="28"/>
      <c r="AP1558" s="28"/>
      <c r="AQ1558" s="28"/>
      <c r="AR1558" s="28"/>
      <c r="AS1558" s="28"/>
      <c r="AT1558" s="5"/>
      <c r="AU1558" s="28"/>
      <c r="AV1558" s="28"/>
      <c r="AX1558" s="28"/>
      <c r="AY1558" s="28"/>
      <c r="BA1558" s="28"/>
      <c r="BB1558" s="28"/>
      <c r="BF1558" s="28"/>
      <c r="BH1558" s="28"/>
      <c r="BI1558" s="28"/>
      <c r="BJ1558" s="38"/>
      <c r="BK1558" s="28"/>
    </row>
    <row r="1559" customFormat="false" ht="15.75" hidden="false" customHeight="false" outlineLevel="0" collapsed="false">
      <c r="A1559" s="28"/>
      <c r="B1559" s="28"/>
      <c r="C1559" s="28"/>
      <c r="D1559" s="5"/>
      <c r="E1559" s="38"/>
      <c r="F1559" s="28"/>
      <c r="G1559" s="28"/>
      <c r="H1559" s="38"/>
      <c r="I1559" s="28"/>
      <c r="J1559" s="40"/>
      <c r="K1559" s="40"/>
      <c r="L1559" s="5"/>
      <c r="M1559" s="5"/>
      <c r="N1559" s="28"/>
      <c r="O1559" s="28"/>
      <c r="P1559" s="28"/>
      <c r="Q1559" s="28"/>
      <c r="R1559" s="28"/>
      <c r="S1559" s="28"/>
      <c r="T1559" s="28"/>
      <c r="V1559" s="28"/>
      <c r="W1559" s="5"/>
      <c r="X1559" s="5"/>
      <c r="Z1559" s="28"/>
      <c r="AA1559" s="28"/>
      <c r="AB1559" s="28"/>
      <c r="AC1559" s="28"/>
      <c r="AD1559" s="28"/>
      <c r="AE1559" s="28"/>
      <c r="AF1559" s="28"/>
      <c r="AG1559" s="28"/>
      <c r="AH1559" s="28"/>
      <c r="AI1559" s="28"/>
      <c r="AJ1559" s="28"/>
      <c r="AK1559" s="28"/>
      <c r="AL1559" s="28"/>
      <c r="AM1559" s="28"/>
      <c r="AN1559" s="28"/>
      <c r="AO1559" s="28"/>
      <c r="AP1559" s="28"/>
      <c r="AQ1559" s="28"/>
      <c r="AR1559" s="28"/>
      <c r="AS1559" s="28"/>
      <c r="AT1559" s="5"/>
      <c r="AU1559" s="28"/>
      <c r="AV1559" s="28"/>
      <c r="AX1559" s="28"/>
      <c r="AY1559" s="28"/>
      <c r="BA1559" s="28"/>
      <c r="BB1559" s="28"/>
      <c r="BF1559" s="28"/>
      <c r="BH1559" s="28"/>
      <c r="BI1559" s="28"/>
      <c r="BJ1559" s="38"/>
      <c r="BK1559" s="28"/>
    </row>
    <row r="1560" customFormat="false" ht="15.75" hidden="false" customHeight="false" outlineLevel="0" collapsed="false">
      <c r="A1560" s="28"/>
      <c r="B1560" s="28"/>
      <c r="C1560" s="28"/>
      <c r="D1560" s="5"/>
      <c r="E1560" s="38"/>
      <c r="F1560" s="28"/>
      <c r="G1560" s="28"/>
      <c r="H1560" s="38"/>
      <c r="I1560" s="28"/>
      <c r="J1560" s="40"/>
      <c r="K1560" s="40"/>
      <c r="L1560" s="5"/>
      <c r="M1560" s="5"/>
      <c r="N1560" s="28"/>
      <c r="O1560" s="28"/>
      <c r="P1560" s="28"/>
      <c r="Q1560" s="28"/>
      <c r="R1560" s="28"/>
      <c r="S1560" s="28"/>
      <c r="T1560" s="28"/>
      <c r="V1560" s="28"/>
      <c r="W1560" s="5"/>
      <c r="X1560" s="5"/>
      <c r="Z1560" s="28"/>
      <c r="AA1560" s="28"/>
      <c r="AB1560" s="28"/>
      <c r="AC1560" s="28"/>
      <c r="AD1560" s="28"/>
      <c r="AE1560" s="28"/>
      <c r="AF1560" s="28"/>
      <c r="AG1560" s="28"/>
      <c r="AH1560" s="28"/>
      <c r="AI1560" s="28"/>
      <c r="AJ1560" s="28"/>
      <c r="AK1560" s="28"/>
      <c r="AL1560" s="28"/>
      <c r="AM1560" s="28"/>
      <c r="AN1560" s="28"/>
      <c r="AO1560" s="28"/>
      <c r="AP1560" s="28"/>
      <c r="AQ1560" s="28"/>
      <c r="AR1560" s="28"/>
      <c r="AS1560" s="28"/>
      <c r="AT1560" s="5"/>
      <c r="AU1560" s="28"/>
      <c r="AV1560" s="28"/>
      <c r="AX1560" s="28"/>
      <c r="AY1560" s="28"/>
      <c r="BA1560" s="28"/>
      <c r="BB1560" s="28"/>
      <c r="BF1560" s="28"/>
      <c r="BH1560" s="28"/>
      <c r="BI1560" s="28"/>
      <c r="BJ1560" s="38"/>
      <c r="BK1560" s="28"/>
    </row>
    <row r="1561" customFormat="false" ht="15.75" hidden="false" customHeight="false" outlineLevel="0" collapsed="false">
      <c r="A1561" s="28"/>
      <c r="B1561" s="28"/>
      <c r="C1561" s="28"/>
      <c r="D1561" s="5"/>
      <c r="E1561" s="38"/>
      <c r="F1561" s="28"/>
      <c r="G1561" s="28"/>
      <c r="H1561" s="38"/>
      <c r="I1561" s="28"/>
      <c r="J1561" s="40"/>
      <c r="K1561" s="40"/>
      <c r="L1561" s="5"/>
      <c r="M1561" s="5"/>
      <c r="N1561" s="28"/>
      <c r="O1561" s="28"/>
      <c r="P1561" s="28"/>
      <c r="Q1561" s="28"/>
      <c r="R1561" s="28"/>
      <c r="S1561" s="28"/>
      <c r="T1561" s="28"/>
      <c r="V1561" s="28"/>
      <c r="W1561" s="5"/>
      <c r="X1561" s="5"/>
      <c r="Z1561" s="28"/>
      <c r="AA1561" s="28"/>
      <c r="AB1561" s="28"/>
      <c r="AC1561" s="28"/>
      <c r="AD1561" s="28"/>
      <c r="AE1561" s="28"/>
      <c r="AF1561" s="28"/>
      <c r="AG1561" s="28"/>
      <c r="AH1561" s="28"/>
      <c r="AI1561" s="28"/>
      <c r="AJ1561" s="28"/>
      <c r="AK1561" s="28"/>
      <c r="AL1561" s="28"/>
      <c r="AM1561" s="28"/>
      <c r="AN1561" s="28"/>
      <c r="AO1561" s="28"/>
      <c r="AP1561" s="28"/>
      <c r="AQ1561" s="28"/>
      <c r="AR1561" s="28"/>
      <c r="AS1561" s="28"/>
      <c r="AT1561" s="5"/>
      <c r="AU1561" s="28"/>
      <c r="AV1561" s="28"/>
      <c r="AX1561" s="28"/>
      <c r="AY1561" s="28"/>
      <c r="BA1561" s="28"/>
      <c r="BB1561" s="28"/>
      <c r="BF1561" s="28"/>
      <c r="BH1561" s="28"/>
      <c r="BI1561" s="28"/>
      <c r="BJ1561" s="38"/>
      <c r="BK1561" s="28"/>
    </row>
    <row r="1562" customFormat="false" ht="15.75" hidden="false" customHeight="false" outlineLevel="0" collapsed="false">
      <c r="A1562" s="28"/>
      <c r="B1562" s="28"/>
      <c r="C1562" s="28"/>
      <c r="D1562" s="5"/>
      <c r="E1562" s="38"/>
      <c r="F1562" s="28"/>
      <c r="G1562" s="28"/>
      <c r="H1562" s="38"/>
      <c r="I1562" s="28"/>
      <c r="J1562" s="40"/>
      <c r="K1562" s="40"/>
      <c r="L1562" s="5"/>
      <c r="M1562" s="5"/>
      <c r="N1562" s="28"/>
      <c r="O1562" s="28"/>
      <c r="P1562" s="28"/>
      <c r="Q1562" s="28"/>
      <c r="R1562" s="28"/>
      <c r="S1562" s="28"/>
      <c r="T1562" s="28"/>
      <c r="V1562" s="28"/>
      <c r="W1562" s="5"/>
      <c r="X1562" s="5"/>
      <c r="Z1562" s="28"/>
      <c r="AA1562" s="28"/>
      <c r="AB1562" s="28"/>
      <c r="AC1562" s="28"/>
      <c r="AD1562" s="28"/>
      <c r="AE1562" s="28"/>
      <c r="AF1562" s="28"/>
      <c r="AG1562" s="28"/>
      <c r="AH1562" s="28"/>
      <c r="AI1562" s="28"/>
      <c r="AJ1562" s="28"/>
      <c r="AK1562" s="28"/>
      <c r="AL1562" s="28"/>
      <c r="AM1562" s="28"/>
      <c r="AN1562" s="28"/>
      <c r="AO1562" s="28"/>
      <c r="AP1562" s="28"/>
      <c r="AQ1562" s="28"/>
      <c r="AR1562" s="28"/>
      <c r="AS1562" s="28"/>
      <c r="AT1562" s="5"/>
      <c r="AU1562" s="28"/>
      <c r="AV1562" s="28"/>
      <c r="AX1562" s="28"/>
      <c r="AY1562" s="28"/>
      <c r="BA1562" s="28"/>
      <c r="BB1562" s="28"/>
      <c r="BF1562" s="28"/>
      <c r="BH1562" s="28"/>
      <c r="BI1562" s="28"/>
      <c r="BJ1562" s="38"/>
      <c r="BK1562" s="28"/>
    </row>
    <row r="1563" customFormat="false" ht="15.75" hidden="false" customHeight="false" outlineLevel="0" collapsed="false">
      <c r="A1563" s="28"/>
      <c r="B1563" s="28"/>
      <c r="C1563" s="28"/>
      <c r="D1563" s="5"/>
      <c r="E1563" s="38"/>
      <c r="F1563" s="28"/>
      <c r="G1563" s="28"/>
      <c r="H1563" s="38"/>
      <c r="I1563" s="28"/>
      <c r="J1563" s="40"/>
      <c r="K1563" s="40"/>
      <c r="L1563" s="5"/>
      <c r="M1563" s="5"/>
      <c r="N1563" s="28"/>
      <c r="O1563" s="28"/>
      <c r="P1563" s="28"/>
      <c r="Q1563" s="28"/>
      <c r="R1563" s="28"/>
      <c r="S1563" s="28"/>
      <c r="T1563" s="28"/>
      <c r="V1563" s="28"/>
      <c r="W1563" s="5"/>
      <c r="X1563" s="5"/>
      <c r="Z1563" s="28"/>
      <c r="AA1563" s="28"/>
      <c r="AB1563" s="28"/>
      <c r="AC1563" s="28"/>
      <c r="AD1563" s="28"/>
      <c r="AE1563" s="28"/>
      <c r="AF1563" s="28"/>
      <c r="AG1563" s="28"/>
      <c r="AH1563" s="28"/>
      <c r="AI1563" s="28"/>
      <c r="AJ1563" s="28"/>
      <c r="AK1563" s="28"/>
      <c r="AL1563" s="28"/>
      <c r="AM1563" s="28"/>
      <c r="AN1563" s="28"/>
      <c r="AO1563" s="28"/>
      <c r="AP1563" s="28"/>
      <c r="AQ1563" s="28"/>
      <c r="AR1563" s="28"/>
      <c r="AS1563" s="28"/>
      <c r="AT1563" s="5"/>
      <c r="AU1563" s="28"/>
      <c r="AV1563" s="28"/>
      <c r="AX1563" s="28"/>
      <c r="AY1563" s="28"/>
      <c r="BA1563" s="28"/>
      <c r="BB1563" s="28"/>
      <c r="BF1563" s="28"/>
      <c r="BH1563" s="28"/>
      <c r="BI1563" s="28"/>
      <c r="BJ1563" s="38"/>
      <c r="BK1563" s="28"/>
    </row>
    <row r="1564" customFormat="false" ht="15.75" hidden="false" customHeight="false" outlineLevel="0" collapsed="false">
      <c r="A1564" s="28"/>
      <c r="B1564" s="28"/>
      <c r="C1564" s="28"/>
      <c r="D1564" s="5"/>
      <c r="E1564" s="38"/>
      <c r="F1564" s="28"/>
      <c r="G1564" s="28"/>
      <c r="H1564" s="38"/>
      <c r="I1564" s="28"/>
      <c r="J1564" s="40"/>
      <c r="K1564" s="40"/>
      <c r="L1564" s="5"/>
      <c r="M1564" s="5"/>
      <c r="N1564" s="28"/>
      <c r="O1564" s="28"/>
      <c r="P1564" s="28"/>
      <c r="Q1564" s="28"/>
      <c r="R1564" s="28"/>
      <c r="S1564" s="28"/>
      <c r="T1564" s="28"/>
      <c r="V1564" s="28"/>
      <c r="W1564" s="5"/>
      <c r="X1564" s="5"/>
      <c r="Z1564" s="28"/>
      <c r="AA1564" s="28"/>
      <c r="AB1564" s="28"/>
      <c r="AC1564" s="28"/>
      <c r="AD1564" s="28"/>
      <c r="AE1564" s="28"/>
      <c r="AF1564" s="28"/>
      <c r="AG1564" s="28"/>
      <c r="AH1564" s="28"/>
      <c r="AI1564" s="28"/>
      <c r="AJ1564" s="28"/>
      <c r="AK1564" s="28"/>
      <c r="AL1564" s="28"/>
      <c r="AM1564" s="28"/>
      <c r="AN1564" s="28"/>
      <c r="AO1564" s="28"/>
      <c r="AP1564" s="28"/>
      <c r="AQ1564" s="28"/>
      <c r="AR1564" s="28"/>
      <c r="AS1564" s="28"/>
      <c r="AT1564" s="5"/>
      <c r="AU1564" s="28"/>
      <c r="AV1564" s="28"/>
      <c r="AX1564" s="28"/>
      <c r="AY1564" s="28"/>
      <c r="BA1564" s="28"/>
      <c r="BB1564" s="28"/>
      <c r="BF1564" s="28"/>
      <c r="BH1564" s="28"/>
      <c r="BI1564" s="28"/>
      <c r="BJ1564" s="38"/>
      <c r="BK1564" s="28"/>
    </row>
    <row r="1565" customFormat="false" ht="15.75" hidden="false" customHeight="false" outlineLevel="0" collapsed="false">
      <c r="A1565" s="28"/>
      <c r="B1565" s="28"/>
      <c r="C1565" s="28"/>
      <c r="D1565" s="5"/>
      <c r="E1565" s="38"/>
      <c r="F1565" s="28"/>
      <c r="G1565" s="28"/>
      <c r="H1565" s="38"/>
      <c r="I1565" s="28"/>
      <c r="J1565" s="40"/>
      <c r="K1565" s="40"/>
      <c r="L1565" s="5"/>
      <c r="M1565" s="5"/>
      <c r="N1565" s="28"/>
      <c r="O1565" s="28"/>
      <c r="P1565" s="28"/>
      <c r="Q1565" s="28"/>
      <c r="R1565" s="28"/>
      <c r="S1565" s="28"/>
      <c r="T1565" s="28"/>
      <c r="V1565" s="28"/>
      <c r="W1565" s="5"/>
      <c r="X1565" s="5"/>
      <c r="Z1565" s="28"/>
      <c r="AA1565" s="28"/>
      <c r="AB1565" s="28"/>
      <c r="AC1565" s="28"/>
      <c r="AD1565" s="28"/>
      <c r="AE1565" s="28"/>
      <c r="AF1565" s="28"/>
      <c r="AG1565" s="28"/>
      <c r="AH1565" s="28"/>
      <c r="AI1565" s="28"/>
      <c r="AJ1565" s="28"/>
      <c r="AK1565" s="28"/>
      <c r="AL1565" s="28"/>
      <c r="AM1565" s="28"/>
      <c r="AN1565" s="28"/>
      <c r="AO1565" s="28"/>
      <c r="AP1565" s="28"/>
      <c r="AQ1565" s="28"/>
      <c r="AR1565" s="28"/>
      <c r="AS1565" s="28"/>
      <c r="AT1565" s="5"/>
      <c r="AU1565" s="28"/>
      <c r="AV1565" s="28"/>
      <c r="AX1565" s="28"/>
      <c r="AY1565" s="28"/>
      <c r="BA1565" s="28"/>
      <c r="BB1565" s="28"/>
      <c r="BF1565" s="28"/>
      <c r="BH1565" s="28"/>
      <c r="BI1565" s="28"/>
      <c r="BJ1565" s="38"/>
      <c r="BK1565" s="28"/>
    </row>
    <row r="1566" customFormat="false" ht="15.75" hidden="false" customHeight="false" outlineLevel="0" collapsed="false">
      <c r="A1566" s="28"/>
      <c r="B1566" s="28"/>
      <c r="C1566" s="28"/>
      <c r="D1566" s="5"/>
      <c r="E1566" s="38"/>
      <c r="F1566" s="28"/>
      <c r="G1566" s="28"/>
      <c r="H1566" s="38"/>
      <c r="I1566" s="28"/>
      <c r="J1566" s="40"/>
      <c r="K1566" s="40"/>
      <c r="L1566" s="5"/>
      <c r="M1566" s="5"/>
      <c r="N1566" s="28"/>
      <c r="O1566" s="28"/>
      <c r="P1566" s="28"/>
      <c r="Q1566" s="28"/>
      <c r="R1566" s="28"/>
      <c r="S1566" s="28"/>
      <c r="T1566" s="28"/>
      <c r="V1566" s="28"/>
      <c r="W1566" s="5"/>
      <c r="X1566" s="5"/>
      <c r="Z1566" s="28"/>
      <c r="AA1566" s="28"/>
      <c r="AB1566" s="28"/>
      <c r="AC1566" s="28"/>
      <c r="AD1566" s="28"/>
      <c r="AE1566" s="28"/>
      <c r="AF1566" s="28"/>
      <c r="AG1566" s="28"/>
      <c r="AH1566" s="28"/>
      <c r="AI1566" s="28"/>
      <c r="AJ1566" s="28"/>
      <c r="AK1566" s="28"/>
      <c r="AL1566" s="28"/>
      <c r="AM1566" s="28"/>
      <c r="AN1566" s="28"/>
      <c r="AO1566" s="28"/>
      <c r="AP1566" s="28"/>
      <c r="AQ1566" s="28"/>
      <c r="AR1566" s="28"/>
      <c r="AS1566" s="28"/>
      <c r="AT1566" s="5"/>
      <c r="AU1566" s="28"/>
      <c r="AV1566" s="28"/>
      <c r="AX1566" s="28"/>
      <c r="AY1566" s="28"/>
      <c r="BA1566" s="28"/>
      <c r="BB1566" s="28"/>
      <c r="BF1566" s="28"/>
      <c r="BH1566" s="28"/>
      <c r="BI1566" s="28"/>
      <c r="BJ1566" s="38"/>
      <c r="BK1566" s="28"/>
    </row>
    <row r="1567" customFormat="false" ht="15.75" hidden="false" customHeight="false" outlineLevel="0" collapsed="false">
      <c r="A1567" s="28"/>
      <c r="B1567" s="28"/>
      <c r="C1567" s="28"/>
      <c r="D1567" s="5"/>
      <c r="E1567" s="38"/>
      <c r="F1567" s="28"/>
      <c r="G1567" s="28"/>
      <c r="H1567" s="38"/>
      <c r="I1567" s="28"/>
      <c r="J1567" s="40"/>
      <c r="K1567" s="40"/>
      <c r="L1567" s="5"/>
      <c r="M1567" s="5"/>
      <c r="N1567" s="28"/>
      <c r="O1567" s="28"/>
      <c r="P1567" s="28"/>
      <c r="Q1567" s="28"/>
      <c r="R1567" s="28"/>
      <c r="S1567" s="28"/>
      <c r="T1567" s="28"/>
      <c r="V1567" s="28"/>
      <c r="W1567" s="5"/>
      <c r="X1567" s="5"/>
      <c r="Z1567" s="28"/>
      <c r="AA1567" s="28"/>
      <c r="AB1567" s="28"/>
      <c r="AC1567" s="28"/>
      <c r="AD1567" s="28"/>
      <c r="AE1567" s="28"/>
      <c r="AF1567" s="28"/>
      <c r="AG1567" s="28"/>
      <c r="AH1567" s="28"/>
      <c r="AI1567" s="28"/>
      <c r="AJ1567" s="28"/>
      <c r="AK1567" s="28"/>
      <c r="AL1567" s="28"/>
      <c r="AM1567" s="28"/>
      <c r="AN1567" s="28"/>
      <c r="AO1567" s="28"/>
      <c r="AP1567" s="28"/>
      <c r="AQ1567" s="28"/>
      <c r="AR1567" s="28"/>
      <c r="AS1567" s="28"/>
      <c r="AT1567" s="5"/>
      <c r="AU1567" s="28"/>
      <c r="AV1567" s="28"/>
      <c r="AX1567" s="28"/>
      <c r="AY1567" s="28"/>
      <c r="BA1567" s="28"/>
      <c r="BB1567" s="28"/>
      <c r="BF1567" s="28"/>
      <c r="BH1567" s="28"/>
      <c r="BI1567" s="28"/>
      <c r="BJ1567" s="38"/>
      <c r="BK1567" s="28"/>
    </row>
    <row r="1568" customFormat="false" ht="15.75" hidden="false" customHeight="false" outlineLevel="0" collapsed="false">
      <c r="A1568" s="28"/>
      <c r="B1568" s="28"/>
      <c r="C1568" s="28"/>
      <c r="D1568" s="5"/>
      <c r="E1568" s="38"/>
      <c r="F1568" s="28"/>
      <c r="G1568" s="28"/>
      <c r="H1568" s="38"/>
      <c r="I1568" s="28"/>
      <c r="J1568" s="40"/>
      <c r="K1568" s="40"/>
      <c r="L1568" s="5"/>
      <c r="M1568" s="5"/>
      <c r="N1568" s="28"/>
      <c r="O1568" s="28"/>
      <c r="P1568" s="28"/>
      <c r="Q1568" s="28"/>
      <c r="R1568" s="28"/>
      <c r="S1568" s="28"/>
      <c r="T1568" s="28"/>
      <c r="V1568" s="28"/>
      <c r="W1568" s="5"/>
      <c r="X1568" s="5"/>
      <c r="Z1568" s="28"/>
      <c r="AA1568" s="28"/>
      <c r="AB1568" s="28"/>
      <c r="AC1568" s="28"/>
      <c r="AD1568" s="28"/>
      <c r="AE1568" s="28"/>
      <c r="AF1568" s="28"/>
      <c r="AG1568" s="28"/>
      <c r="AH1568" s="28"/>
      <c r="AI1568" s="28"/>
      <c r="AJ1568" s="28"/>
      <c r="AK1568" s="28"/>
      <c r="AL1568" s="28"/>
      <c r="AM1568" s="28"/>
      <c r="AN1568" s="28"/>
      <c r="AO1568" s="28"/>
      <c r="AP1568" s="28"/>
      <c r="AQ1568" s="28"/>
      <c r="AR1568" s="28"/>
      <c r="AS1568" s="28"/>
      <c r="AT1568" s="5"/>
      <c r="AU1568" s="28"/>
      <c r="AV1568" s="28"/>
      <c r="AX1568" s="28"/>
      <c r="AY1568" s="28"/>
      <c r="BA1568" s="28"/>
      <c r="BB1568" s="28"/>
      <c r="BF1568" s="28"/>
      <c r="BH1568" s="28"/>
      <c r="BI1568" s="28"/>
      <c r="BJ1568" s="38"/>
      <c r="BK1568" s="28"/>
    </row>
    <row r="1569" customFormat="false" ht="15.75" hidden="false" customHeight="false" outlineLevel="0" collapsed="false">
      <c r="A1569" s="28"/>
      <c r="B1569" s="28"/>
      <c r="C1569" s="28"/>
      <c r="D1569" s="5"/>
      <c r="E1569" s="38"/>
      <c r="F1569" s="28"/>
      <c r="G1569" s="28"/>
      <c r="H1569" s="38"/>
      <c r="I1569" s="28"/>
      <c r="J1569" s="40"/>
      <c r="K1569" s="40"/>
      <c r="L1569" s="5"/>
      <c r="M1569" s="5"/>
      <c r="N1569" s="28"/>
      <c r="O1569" s="28"/>
      <c r="P1569" s="28"/>
      <c r="Q1569" s="28"/>
      <c r="R1569" s="28"/>
      <c r="S1569" s="28"/>
      <c r="T1569" s="28"/>
      <c r="V1569" s="28"/>
      <c r="W1569" s="5"/>
      <c r="X1569" s="5"/>
      <c r="Z1569" s="28"/>
      <c r="AA1569" s="28"/>
      <c r="AB1569" s="28"/>
      <c r="AC1569" s="28"/>
      <c r="AD1569" s="28"/>
      <c r="AE1569" s="28"/>
      <c r="AF1569" s="28"/>
      <c r="AG1569" s="28"/>
      <c r="AH1569" s="28"/>
      <c r="AI1569" s="28"/>
      <c r="AJ1569" s="28"/>
      <c r="AK1569" s="28"/>
      <c r="AL1569" s="28"/>
      <c r="AM1569" s="28"/>
      <c r="AN1569" s="28"/>
      <c r="AO1569" s="28"/>
      <c r="AP1569" s="28"/>
      <c r="AQ1569" s="28"/>
      <c r="AR1569" s="28"/>
      <c r="AS1569" s="28"/>
      <c r="AT1569" s="5"/>
      <c r="AU1569" s="28"/>
      <c r="AV1569" s="28"/>
      <c r="AX1569" s="28"/>
      <c r="AY1569" s="28"/>
      <c r="BA1569" s="28"/>
      <c r="BB1569" s="28"/>
      <c r="BF1569" s="28"/>
      <c r="BH1569" s="28"/>
      <c r="BI1569" s="28"/>
      <c r="BJ1569" s="38"/>
      <c r="BK1569" s="28"/>
    </row>
    <row r="1570" customFormat="false" ht="15.75" hidden="false" customHeight="false" outlineLevel="0" collapsed="false">
      <c r="A1570" s="28"/>
      <c r="B1570" s="28"/>
      <c r="C1570" s="28"/>
      <c r="D1570" s="5"/>
      <c r="E1570" s="38"/>
      <c r="F1570" s="28"/>
      <c r="G1570" s="28"/>
      <c r="H1570" s="38"/>
      <c r="I1570" s="28"/>
      <c r="J1570" s="40"/>
      <c r="K1570" s="40"/>
      <c r="L1570" s="5"/>
      <c r="M1570" s="5"/>
      <c r="N1570" s="28"/>
      <c r="O1570" s="28"/>
      <c r="P1570" s="28"/>
      <c r="Q1570" s="28"/>
      <c r="R1570" s="28"/>
      <c r="S1570" s="28"/>
      <c r="T1570" s="28"/>
      <c r="V1570" s="28"/>
      <c r="W1570" s="5"/>
      <c r="X1570" s="5"/>
      <c r="Z1570" s="28"/>
      <c r="AA1570" s="28"/>
      <c r="AB1570" s="28"/>
      <c r="AC1570" s="28"/>
      <c r="AD1570" s="28"/>
      <c r="AE1570" s="28"/>
      <c r="AF1570" s="28"/>
      <c r="AG1570" s="28"/>
      <c r="AH1570" s="28"/>
      <c r="AI1570" s="28"/>
      <c r="AJ1570" s="28"/>
      <c r="AK1570" s="28"/>
      <c r="AL1570" s="28"/>
      <c r="AM1570" s="28"/>
      <c r="AN1570" s="28"/>
      <c r="AO1570" s="28"/>
      <c r="AP1570" s="28"/>
      <c r="AQ1570" s="28"/>
      <c r="AR1570" s="28"/>
      <c r="AS1570" s="28"/>
      <c r="AT1570" s="5"/>
      <c r="AU1570" s="28"/>
      <c r="AV1570" s="28"/>
      <c r="AX1570" s="28"/>
      <c r="AY1570" s="28"/>
      <c r="BA1570" s="28"/>
      <c r="BB1570" s="28"/>
      <c r="BF1570" s="28"/>
      <c r="BH1570" s="28"/>
      <c r="BI1570" s="28"/>
      <c r="BJ1570" s="38"/>
      <c r="BK1570" s="28"/>
    </row>
    <row r="1571" customFormat="false" ht="15.75" hidden="false" customHeight="false" outlineLevel="0" collapsed="false">
      <c r="A1571" s="28"/>
      <c r="B1571" s="28"/>
      <c r="C1571" s="28"/>
      <c r="D1571" s="5"/>
      <c r="E1571" s="38"/>
      <c r="F1571" s="28"/>
      <c r="G1571" s="28"/>
      <c r="H1571" s="38"/>
      <c r="I1571" s="28"/>
      <c r="J1571" s="40"/>
      <c r="K1571" s="40"/>
      <c r="L1571" s="5"/>
      <c r="M1571" s="5"/>
      <c r="N1571" s="28"/>
      <c r="O1571" s="28"/>
      <c r="P1571" s="28"/>
      <c r="Q1571" s="28"/>
      <c r="R1571" s="28"/>
      <c r="S1571" s="28"/>
      <c r="T1571" s="28"/>
      <c r="V1571" s="28"/>
      <c r="W1571" s="5"/>
      <c r="X1571" s="5"/>
      <c r="Z1571" s="28"/>
      <c r="AA1571" s="28"/>
      <c r="AB1571" s="28"/>
      <c r="AC1571" s="28"/>
      <c r="AD1571" s="28"/>
      <c r="AE1571" s="28"/>
      <c r="AF1571" s="28"/>
      <c r="AG1571" s="28"/>
      <c r="AH1571" s="28"/>
      <c r="AI1571" s="28"/>
      <c r="AJ1571" s="28"/>
      <c r="AK1571" s="28"/>
      <c r="AL1571" s="28"/>
      <c r="AM1571" s="28"/>
      <c r="AN1571" s="28"/>
      <c r="AO1571" s="28"/>
      <c r="AP1571" s="28"/>
      <c r="AQ1571" s="28"/>
      <c r="AR1571" s="28"/>
      <c r="AS1571" s="28"/>
      <c r="AT1571" s="5"/>
      <c r="AU1571" s="28"/>
      <c r="AV1571" s="28"/>
      <c r="AX1571" s="28"/>
      <c r="AY1571" s="28"/>
      <c r="BA1571" s="28"/>
      <c r="BB1571" s="28"/>
      <c r="BF1571" s="28"/>
      <c r="BH1571" s="28"/>
      <c r="BI1571" s="28"/>
      <c r="BJ1571" s="38"/>
      <c r="BK1571" s="28"/>
    </row>
    <row r="1572" customFormat="false" ht="15.75" hidden="false" customHeight="false" outlineLevel="0" collapsed="false">
      <c r="A1572" s="28"/>
      <c r="B1572" s="28"/>
      <c r="C1572" s="28"/>
      <c r="D1572" s="5"/>
      <c r="E1572" s="38"/>
      <c r="F1572" s="28"/>
      <c r="G1572" s="28"/>
      <c r="H1572" s="38"/>
      <c r="I1572" s="28"/>
      <c r="J1572" s="40"/>
      <c r="K1572" s="40"/>
      <c r="L1572" s="5"/>
      <c r="M1572" s="5"/>
      <c r="N1572" s="28"/>
      <c r="O1572" s="28"/>
      <c r="P1572" s="28"/>
      <c r="Q1572" s="28"/>
      <c r="R1572" s="28"/>
      <c r="S1572" s="28"/>
      <c r="T1572" s="28"/>
      <c r="V1572" s="28"/>
      <c r="W1572" s="5"/>
      <c r="X1572" s="5"/>
      <c r="Z1572" s="28"/>
      <c r="AA1572" s="28"/>
      <c r="AB1572" s="28"/>
      <c r="AC1572" s="28"/>
      <c r="AD1572" s="28"/>
      <c r="AE1572" s="28"/>
      <c r="AF1572" s="28"/>
      <c r="AG1572" s="28"/>
      <c r="AH1572" s="28"/>
      <c r="AI1572" s="28"/>
      <c r="AJ1572" s="28"/>
      <c r="AK1572" s="28"/>
      <c r="AL1572" s="28"/>
      <c r="AM1572" s="28"/>
      <c r="AN1572" s="28"/>
      <c r="AO1572" s="28"/>
      <c r="AP1572" s="28"/>
      <c r="AQ1572" s="28"/>
      <c r="AR1572" s="28"/>
      <c r="AS1572" s="28"/>
      <c r="AT1572" s="5"/>
      <c r="AU1572" s="28"/>
      <c r="AV1572" s="28"/>
      <c r="AX1572" s="28"/>
      <c r="AY1572" s="28"/>
      <c r="BA1572" s="28"/>
      <c r="BB1572" s="28"/>
      <c r="BF1572" s="28"/>
      <c r="BH1572" s="28"/>
      <c r="BI1572" s="28"/>
      <c r="BJ1572" s="38"/>
      <c r="BK1572" s="28"/>
    </row>
    <row r="1573" customFormat="false" ht="15.75" hidden="false" customHeight="false" outlineLevel="0" collapsed="false">
      <c r="A1573" s="28"/>
      <c r="B1573" s="28"/>
      <c r="C1573" s="28"/>
      <c r="D1573" s="5"/>
      <c r="E1573" s="38"/>
      <c r="F1573" s="28"/>
      <c r="G1573" s="28"/>
      <c r="H1573" s="38"/>
      <c r="I1573" s="28"/>
      <c r="J1573" s="40"/>
      <c r="K1573" s="40"/>
      <c r="L1573" s="5"/>
      <c r="M1573" s="5"/>
      <c r="N1573" s="28"/>
      <c r="O1573" s="28"/>
      <c r="P1573" s="28"/>
      <c r="Q1573" s="28"/>
      <c r="R1573" s="28"/>
      <c r="S1573" s="28"/>
      <c r="T1573" s="28"/>
      <c r="V1573" s="28"/>
      <c r="W1573" s="5"/>
      <c r="X1573" s="5"/>
      <c r="Z1573" s="28"/>
      <c r="AA1573" s="28"/>
      <c r="AB1573" s="28"/>
      <c r="AC1573" s="28"/>
      <c r="AD1573" s="28"/>
      <c r="AE1573" s="28"/>
      <c r="AF1573" s="28"/>
      <c r="AG1573" s="28"/>
      <c r="AH1573" s="28"/>
      <c r="AI1573" s="28"/>
      <c r="AJ1573" s="28"/>
      <c r="AK1573" s="28"/>
      <c r="AL1573" s="28"/>
      <c r="AM1573" s="28"/>
      <c r="AN1573" s="28"/>
      <c r="AO1573" s="28"/>
      <c r="AP1573" s="28"/>
      <c r="AQ1573" s="28"/>
      <c r="AR1573" s="28"/>
      <c r="AS1573" s="28"/>
      <c r="AT1573" s="5"/>
      <c r="AU1573" s="28"/>
      <c r="AV1573" s="28"/>
      <c r="AX1573" s="28"/>
      <c r="AY1573" s="28"/>
      <c r="BA1573" s="28"/>
      <c r="BB1573" s="28"/>
      <c r="BF1573" s="28"/>
      <c r="BH1573" s="28"/>
      <c r="BI1573" s="28"/>
      <c r="BJ1573" s="38"/>
      <c r="BK1573" s="28"/>
    </row>
    <row r="1574" customFormat="false" ht="15.75" hidden="false" customHeight="false" outlineLevel="0" collapsed="false">
      <c r="A1574" s="28"/>
      <c r="B1574" s="28"/>
      <c r="C1574" s="28"/>
      <c r="D1574" s="5"/>
      <c r="E1574" s="38"/>
      <c r="F1574" s="28"/>
      <c r="G1574" s="28"/>
      <c r="H1574" s="38"/>
      <c r="I1574" s="28"/>
      <c r="J1574" s="40"/>
      <c r="K1574" s="40"/>
      <c r="L1574" s="5"/>
      <c r="M1574" s="5"/>
      <c r="N1574" s="28"/>
      <c r="O1574" s="28"/>
      <c r="P1574" s="28"/>
      <c r="Q1574" s="28"/>
      <c r="R1574" s="28"/>
      <c r="S1574" s="28"/>
      <c r="T1574" s="28"/>
      <c r="V1574" s="28"/>
      <c r="W1574" s="5"/>
      <c r="X1574" s="5"/>
      <c r="Z1574" s="28"/>
      <c r="AA1574" s="28"/>
      <c r="AB1574" s="28"/>
      <c r="AC1574" s="28"/>
      <c r="AD1574" s="28"/>
      <c r="AE1574" s="28"/>
      <c r="AF1574" s="28"/>
      <c r="AG1574" s="28"/>
      <c r="AH1574" s="28"/>
      <c r="AI1574" s="28"/>
      <c r="AJ1574" s="28"/>
      <c r="AK1574" s="28"/>
      <c r="AL1574" s="28"/>
      <c r="AM1574" s="28"/>
      <c r="AN1574" s="28"/>
      <c r="AO1574" s="28"/>
      <c r="AP1574" s="28"/>
      <c r="AQ1574" s="28"/>
      <c r="AR1574" s="28"/>
      <c r="AS1574" s="28"/>
      <c r="AT1574" s="5"/>
      <c r="AU1574" s="28"/>
      <c r="AV1574" s="28"/>
      <c r="AX1574" s="28"/>
      <c r="AY1574" s="28"/>
      <c r="BA1574" s="28"/>
      <c r="BB1574" s="28"/>
      <c r="BF1574" s="28"/>
      <c r="BH1574" s="28"/>
      <c r="BI1574" s="28"/>
      <c r="BJ1574" s="38"/>
      <c r="BK1574" s="28"/>
    </row>
    <row r="1575" customFormat="false" ht="15.75" hidden="false" customHeight="false" outlineLevel="0" collapsed="false">
      <c r="A1575" s="28"/>
      <c r="B1575" s="28"/>
      <c r="C1575" s="28"/>
      <c r="D1575" s="5"/>
      <c r="E1575" s="38"/>
      <c r="F1575" s="28"/>
      <c r="G1575" s="28"/>
      <c r="H1575" s="38"/>
      <c r="I1575" s="28"/>
      <c r="J1575" s="40"/>
      <c r="K1575" s="40"/>
      <c r="L1575" s="5"/>
      <c r="M1575" s="5"/>
      <c r="N1575" s="28"/>
      <c r="O1575" s="28"/>
      <c r="P1575" s="28"/>
      <c r="Q1575" s="28"/>
      <c r="R1575" s="28"/>
      <c r="S1575" s="28"/>
      <c r="T1575" s="28"/>
      <c r="V1575" s="28"/>
      <c r="W1575" s="5"/>
      <c r="X1575" s="5"/>
      <c r="Z1575" s="28"/>
      <c r="AA1575" s="28"/>
      <c r="AB1575" s="28"/>
      <c r="AC1575" s="28"/>
      <c r="AD1575" s="28"/>
      <c r="AE1575" s="28"/>
      <c r="AF1575" s="28"/>
      <c r="AG1575" s="28"/>
      <c r="AH1575" s="28"/>
      <c r="AI1575" s="28"/>
      <c r="AJ1575" s="28"/>
      <c r="AK1575" s="28"/>
      <c r="AL1575" s="28"/>
      <c r="AM1575" s="28"/>
      <c r="AN1575" s="28"/>
      <c r="AO1575" s="28"/>
      <c r="AP1575" s="28"/>
      <c r="AQ1575" s="28"/>
      <c r="AR1575" s="28"/>
      <c r="AS1575" s="28"/>
      <c r="AT1575" s="5"/>
      <c r="AU1575" s="28"/>
      <c r="AV1575" s="28"/>
      <c r="AX1575" s="28"/>
      <c r="AY1575" s="28"/>
      <c r="BA1575" s="28"/>
      <c r="BB1575" s="28"/>
      <c r="BF1575" s="28"/>
      <c r="BH1575" s="28"/>
      <c r="BI1575" s="28"/>
      <c r="BJ1575" s="38"/>
      <c r="BK1575" s="28"/>
    </row>
    <row r="1576" customFormat="false" ht="15.75" hidden="false" customHeight="false" outlineLevel="0" collapsed="false">
      <c r="A1576" s="28"/>
      <c r="B1576" s="28"/>
      <c r="C1576" s="28"/>
      <c r="D1576" s="5"/>
      <c r="E1576" s="38"/>
      <c r="F1576" s="28"/>
      <c r="G1576" s="28"/>
      <c r="H1576" s="38"/>
      <c r="I1576" s="28"/>
      <c r="J1576" s="40"/>
      <c r="K1576" s="40"/>
      <c r="L1576" s="5"/>
      <c r="M1576" s="5"/>
      <c r="N1576" s="28"/>
      <c r="O1576" s="28"/>
      <c r="P1576" s="28"/>
      <c r="Q1576" s="28"/>
      <c r="R1576" s="28"/>
      <c r="S1576" s="28"/>
      <c r="T1576" s="28"/>
      <c r="V1576" s="28"/>
      <c r="W1576" s="5"/>
      <c r="X1576" s="5"/>
      <c r="Z1576" s="28"/>
      <c r="AA1576" s="28"/>
      <c r="AB1576" s="28"/>
      <c r="AC1576" s="28"/>
      <c r="AD1576" s="28"/>
      <c r="AE1576" s="28"/>
      <c r="AF1576" s="28"/>
      <c r="AG1576" s="28"/>
      <c r="AH1576" s="28"/>
      <c r="AI1576" s="28"/>
      <c r="AJ1576" s="28"/>
      <c r="AK1576" s="28"/>
      <c r="AL1576" s="28"/>
      <c r="AM1576" s="28"/>
      <c r="AN1576" s="28"/>
      <c r="AO1576" s="28"/>
      <c r="AP1576" s="28"/>
      <c r="AQ1576" s="28"/>
      <c r="AR1576" s="28"/>
      <c r="AS1576" s="28"/>
      <c r="AT1576" s="5"/>
      <c r="AU1576" s="28"/>
      <c r="AV1576" s="28"/>
      <c r="AX1576" s="28"/>
      <c r="AY1576" s="28"/>
      <c r="BA1576" s="28"/>
      <c r="BB1576" s="28"/>
      <c r="BF1576" s="28"/>
      <c r="BH1576" s="28"/>
      <c r="BI1576" s="28"/>
      <c r="BJ1576" s="38"/>
      <c r="BK1576" s="28"/>
    </row>
    <row r="1577" customFormat="false" ht="15.75" hidden="false" customHeight="false" outlineLevel="0" collapsed="false">
      <c r="A1577" s="28"/>
      <c r="B1577" s="28"/>
      <c r="C1577" s="28"/>
      <c r="D1577" s="5"/>
      <c r="E1577" s="38"/>
      <c r="F1577" s="28"/>
      <c r="G1577" s="28"/>
      <c r="H1577" s="38"/>
      <c r="I1577" s="28"/>
      <c r="J1577" s="40"/>
      <c r="K1577" s="40"/>
      <c r="L1577" s="5"/>
      <c r="M1577" s="5"/>
      <c r="N1577" s="28"/>
      <c r="O1577" s="28"/>
      <c r="P1577" s="28"/>
      <c r="Q1577" s="28"/>
      <c r="R1577" s="28"/>
      <c r="S1577" s="28"/>
      <c r="T1577" s="28"/>
      <c r="V1577" s="28"/>
      <c r="W1577" s="5"/>
      <c r="X1577" s="5"/>
      <c r="Z1577" s="28"/>
      <c r="AA1577" s="28"/>
      <c r="AB1577" s="28"/>
      <c r="AC1577" s="28"/>
      <c r="AD1577" s="28"/>
      <c r="AE1577" s="28"/>
      <c r="AF1577" s="28"/>
      <c r="AG1577" s="28"/>
      <c r="AH1577" s="28"/>
      <c r="AI1577" s="28"/>
      <c r="AJ1577" s="28"/>
      <c r="AK1577" s="28"/>
      <c r="AL1577" s="28"/>
      <c r="AM1577" s="28"/>
      <c r="AN1577" s="28"/>
      <c r="AO1577" s="28"/>
      <c r="AP1577" s="28"/>
      <c r="AQ1577" s="28"/>
      <c r="AR1577" s="28"/>
      <c r="AS1577" s="28"/>
      <c r="AT1577" s="5"/>
      <c r="AU1577" s="28"/>
      <c r="AV1577" s="28"/>
      <c r="AX1577" s="28"/>
      <c r="AY1577" s="28"/>
      <c r="BA1577" s="28"/>
      <c r="BB1577" s="28"/>
      <c r="BF1577" s="28"/>
      <c r="BH1577" s="28"/>
      <c r="BI1577" s="28"/>
      <c r="BJ1577" s="38"/>
      <c r="BK1577" s="28"/>
    </row>
    <row r="1578" customFormat="false" ht="15.75" hidden="false" customHeight="false" outlineLevel="0" collapsed="false">
      <c r="A1578" s="28"/>
      <c r="B1578" s="28"/>
      <c r="C1578" s="28"/>
      <c r="D1578" s="5"/>
      <c r="E1578" s="38"/>
      <c r="F1578" s="28"/>
      <c r="G1578" s="28"/>
      <c r="H1578" s="38"/>
      <c r="I1578" s="28"/>
      <c r="J1578" s="40"/>
      <c r="K1578" s="40"/>
      <c r="L1578" s="5"/>
      <c r="M1578" s="5"/>
      <c r="N1578" s="28"/>
      <c r="O1578" s="28"/>
      <c r="P1578" s="28"/>
      <c r="Q1578" s="28"/>
      <c r="R1578" s="28"/>
      <c r="S1578" s="28"/>
      <c r="T1578" s="28"/>
      <c r="V1578" s="28"/>
      <c r="W1578" s="5"/>
      <c r="X1578" s="5"/>
      <c r="Z1578" s="28"/>
      <c r="AA1578" s="28"/>
      <c r="AB1578" s="28"/>
      <c r="AC1578" s="28"/>
      <c r="AD1578" s="28"/>
      <c r="AE1578" s="28"/>
      <c r="AF1578" s="28"/>
      <c r="AG1578" s="28"/>
      <c r="AH1578" s="28"/>
      <c r="AI1578" s="28"/>
      <c r="AJ1578" s="28"/>
      <c r="AK1578" s="28"/>
      <c r="AL1578" s="28"/>
      <c r="AM1578" s="28"/>
      <c r="AN1578" s="28"/>
      <c r="AO1578" s="28"/>
      <c r="AP1578" s="28"/>
      <c r="AQ1578" s="28"/>
      <c r="AR1578" s="28"/>
      <c r="AS1578" s="28"/>
      <c r="AT1578" s="5"/>
      <c r="AU1578" s="28"/>
      <c r="AV1578" s="28"/>
      <c r="AX1578" s="28"/>
      <c r="AY1578" s="28"/>
      <c r="BA1578" s="28"/>
      <c r="BB1578" s="28"/>
      <c r="BF1578" s="28"/>
      <c r="BH1578" s="28"/>
      <c r="BI1578" s="28"/>
      <c r="BJ1578" s="38"/>
      <c r="BK1578" s="28"/>
    </row>
    <row r="1579" customFormat="false" ht="15.75" hidden="false" customHeight="false" outlineLevel="0" collapsed="false">
      <c r="A1579" s="28"/>
      <c r="B1579" s="28"/>
      <c r="C1579" s="28"/>
      <c r="D1579" s="5"/>
      <c r="E1579" s="38"/>
      <c r="F1579" s="28"/>
      <c r="G1579" s="28"/>
      <c r="H1579" s="38"/>
      <c r="I1579" s="28"/>
      <c r="J1579" s="40"/>
      <c r="K1579" s="40"/>
      <c r="L1579" s="5"/>
      <c r="M1579" s="5"/>
      <c r="N1579" s="28"/>
      <c r="O1579" s="28"/>
      <c r="P1579" s="28"/>
      <c r="Q1579" s="28"/>
      <c r="R1579" s="28"/>
      <c r="S1579" s="28"/>
      <c r="T1579" s="28"/>
      <c r="V1579" s="28"/>
      <c r="W1579" s="5"/>
      <c r="X1579" s="5"/>
      <c r="Z1579" s="28"/>
      <c r="AA1579" s="28"/>
      <c r="AB1579" s="28"/>
      <c r="AC1579" s="28"/>
      <c r="AD1579" s="28"/>
      <c r="AE1579" s="28"/>
      <c r="AF1579" s="28"/>
      <c r="AG1579" s="28"/>
      <c r="AH1579" s="28"/>
      <c r="AI1579" s="28"/>
      <c r="AJ1579" s="28"/>
      <c r="AK1579" s="28"/>
      <c r="AL1579" s="28"/>
      <c r="AM1579" s="28"/>
      <c r="AN1579" s="28"/>
      <c r="AO1579" s="28"/>
      <c r="AP1579" s="28"/>
      <c r="AQ1579" s="28"/>
      <c r="AR1579" s="28"/>
      <c r="AS1579" s="28"/>
      <c r="AT1579" s="5"/>
      <c r="AU1579" s="28"/>
      <c r="AV1579" s="28"/>
      <c r="AX1579" s="28"/>
      <c r="AY1579" s="28"/>
      <c r="BA1579" s="28"/>
      <c r="BB1579" s="28"/>
      <c r="BF1579" s="28"/>
      <c r="BH1579" s="28"/>
      <c r="BI1579" s="28"/>
      <c r="BJ1579" s="38"/>
      <c r="BK1579" s="28"/>
    </row>
    <row r="1580" customFormat="false" ht="15.75" hidden="false" customHeight="false" outlineLevel="0" collapsed="false">
      <c r="A1580" s="28"/>
      <c r="B1580" s="28"/>
      <c r="C1580" s="28"/>
      <c r="D1580" s="5"/>
      <c r="E1580" s="38"/>
      <c r="F1580" s="28"/>
      <c r="G1580" s="28"/>
      <c r="H1580" s="38"/>
      <c r="I1580" s="28"/>
      <c r="J1580" s="40"/>
      <c r="K1580" s="40"/>
      <c r="L1580" s="5"/>
      <c r="M1580" s="5"/>
      <c r="N1580" s="28"/>
      <c r="O1580" s="28"/>
      <c r="P1580" s="28"/>
      <c r="Q1580" s="28"/>
      <c r="R1580" s="28"/>
      <c r="S1580" s="28"/>
      <c r="T1580" s="28"/>
      <c r="V1580" s="28"/>
      <c r="W1580" s="5"/>
      <c r="X1580" s="5"/>
      <c r="Z1580" s="28"/>
      <c r="AA1580" s="28"/>
      <c r="AB1580" s="28"/>
      <c r="AC1580" s="28"/>
      <c r="AD1580" s="28"/>
      <c r="AE1580" s="28"/>
      <c r="AF1580" s="28"/>
      <c r="AG1580" s="28"/>
      <c r="AH1580" s="28"/>
      <c r="AI1580" s="28"/>
      <c r="AJ1580" s="28"/>
      <c r="AK1580" s="28"/>
      <c r="AL1580" s="28"/>
      <c r="AM1580" s="28"/>
      <c r="AN1580" s="28"/>
      <c r="AO1580" s="28"/>
      <c r="AP1580" s="28"/>
      <c r="AQ1580" s="28"/>
      <c r="AR1580" s="28"/>
      <c r="AS1580" s="28"/>
      <c r="AT1580" s="5"/>
      <c r="AU1580" s="28"/>
      <c r="AV1580" s="28"/>
      <c r="AX1580" s="28"/>
      <c r="AY1580" s="28"/>
      <c r="BA1580" s="28"/>
      <c r="BB1580" s="28"/>
      <c r="BF1580" s="28"/>
      <c r="BH1580" s="28"/>
      <c r="BI1580" s="28"/>
      <c r="BJ1580" s="38"/>
      <c r="BK1580" s="28"/>
    </row>
    <row r="1581" customFormat="false" ht="15.75" hidden="false" customHeight="false" outlineLevel="0" collapsed="false">
      <c r="A1581" s="28"/>
      <c r="B1581" s="28"/>
      <c r="C1581" s="28"/>
      <c r="D1581" s="5"/>
      <c r="E1581" s="38"/>
      <c r="F1581" s="28"/>
      <c r="G1581" s="28"/>
      <c r="H1581" s="38"/>
      <c r="I1581" s="28"/>
      <c r="J1581" s="40"/>
      <c r="K1581" s="40"/>
      <c r="L1581" s="5"/>
      <c r="M1581" s="5"/>
      <c r="N1581" s="28"/>
      <c r="O1581" s="28"/>
      <c r="P1581" s="28"/>
      <c r="Q1581" s="28"/>
      <c r="R1581" s="28"/>
      <c r="S1581" s="28"/>
      <c r="T1581" s="28"/>
      <c r="V1581" s="28"/>
      <c r="W1581" s="5"/>
      <c r="X1581" s="5"/>
      <c r="Z1581" s="28"/>
      <c r="AA1581" s="28"/>
      <c r="AB1581" s="28"/>
      <c r="AC1581" s="28"/>
      <c r="AD1581" s="28"/>
      <c r="AE1581" s="28"/>
      <c r="AF1581" s="28"/>
      <c r="AG1581" s="28"/>
      <c r="AH1581" s="28"/>
      <c r="AI1581" s="28"/>
      <c r="AJ1581" s="28"/>
      <c r="AK1581" s="28"/>
      <c r="AL1581" s="28"/>
      <c r="AM1581" s="28"/>
      <c r="AN1581" s="28"/>
      <c r="AO1581" s="28"/>
      <c r="AP1581" s="28"/>
      <c r="AQ1581" s="28"/>
      <c r="AR1581" s="28"/>
      <c r="AS1581" s="28"/>
      <c r="AT1581" s="5"/>
      <c r="AU1581" s="28"/>
      <c r="AV1581" s="28"/>
      <c r="AX1581" s="28"/>
      <c r="AY1581" s="28"/>
      <c r="BA1581" s="28"/>
      <c r="BB1581" s="28"/>
      <c r="BF1581" s="28"/>
      <c r="BH1581" s="28"/>
      <c r="BI1581" s="28"/>
      <c r="BJ1581" s="38"/>
      <c r="BK1581" s="28"/>
    </row>
    <row r="1582" customFormat="false" ht="15.75" hidden="false" customHeight="false" outlineLevel="0" collapsed="false">
      <c r="A1582" s="28"/>
      <c r="B1582" s="28"/>
      <c r="C1582" s="28"/>
      <c r="D1582" s="5"/>
      <c r="E1582" s="38"/>
      <c r="F1582" s="28"/>
      <c r="G1582" s="28"/>
      <c r="H1582" s="38"/>
      <c r="I1582" s="28"/>
      <c r="J1582" s="40"/>
      <c r="K1582" s="40"/>
      <c r="L1582" s="5"/>
      <c r="M1582" s="5"/>
      <c r="N1582" s="28"/>
      <c r="O1582" s="28"/>
      <c r="P1582" s="28"/>
      <c r="Q1582" s="28"/>
      <c r="R1582" s="28"/>
      <c r="S1582" s="28"/>
      <c r="T1582" s="28"/>
      <c r="V1582" s="28"/>
      <c r="W1582" s="5"/>
      <c r="X1582" s="5"/>
      <c r="Z1582" s="28"/>
      <c r="AA1582" s="28"/>
      <c r="AB1582" s="28"/>
      <c r="AC1582" s="28"/>
      <c r="AD1582" s="28"/>
      <c r="AE1582" s="28"/>
      <c r="AF1582" s="28"/>
      <c r="AG1582" s="28"/>
      <c r="AH1582" s="28"/>
      <c r="AI1582" s="28"/>
      <c r="AJ1582" s="28"/>
      <c r="AK1582" s="28"/>
      <c r="AL1582" s="28"/>
      <c r="AM1582" s="28"/>
      <c r="AN1582" s="28"/>
      <c r="AO1582" s="28"/>
      <c r="AP1582" s="28"/>
      <c r="AQ1582" s="28"/>
      <c r="AR1582" s="28"/>
      <c r="AS1582" s="28"/>
      <c r="AT1582" s="5"/>
      <c r="AU1582" s="28"/>
      <c r="AV1582" s="28"/>
      <c r="AX1582" s="28"/>
      <c r="AY1582" s="28"/>
      <c r="BA1582" s="28"/>
      <c r="BB1582" s="28"/>
      <c r="BF1582" s="28"/>
      <c r="BH1582" s="28"/>
      <c r="BI1582" s="28"/>
      <c r="BJ1582" s="38"/>
      <c r="BK1582" s="28"/>
    </row>
    <row r="1583" customFormat="false" ht="15.75" hidden="false" customHeight="false" outlineLevel="0" collapsed="false">
      <c r="A1583" s="28"/>
      <c r="B1583" s="28"/>
      <c r="C1583" s="28"/>
      <c r="D1583" s="5"/>
      <c r="E1583" s="38"/>
      <c r="F1583" s="28"/>
      <c r="G1583" s="28"/>
      <c r="H1583" s="38"/>
      <c r="I1583" s="28"/>
      <c r="J1583" s="40"/>
      <c r="K1583" s="40"/>
      <c r="L1583" s="5"/>
      <c r="M1583" s="5"/>
      <c r="N1583" s="28"/>
      <c r="O1583" s="28"/>
      <c r="P1583" s="28"/>
      <c r="Q1583" s="28"/>
      <c r="R1583" s="28"/>
      <c r="S1583" s="28"/>
      <c r="T1583" s="28"/>
      <c r="V1583" s="28"/>
      <c r="W1583" s="5"/>
      <c r="X1583" s="5"/>
      <c r="Z1583" s="28"/>
      <c r="AA1583" s="28"/>
      <c r="AB1583" s="28"/>
      <c r="AC1583" s="28"/>
      <c r="AD1583" s="28"/>
      <c r="AE1583" s="28"/>
      <c r="AF1583" s="28"/>
      <c r="AG1583" s="28"/>
      <c r="AH1583" s="28"/>
      <c r="AI1583" s="28"/>
      <c r="AJ1583" s="28"/>
      <c r="AK1583" s="28"/>
      <c r="AL1583" s="28"/>
      <c r="AM1583" s="28"/>
      <c r="AN1583" s="28"/>
      <c r="AO1583" s="28"/>
      <c r="AP1583" s="28"/>
      <c r="AQ1583" s="28"/>
      <c r="AR1583" s="28"/>
      <c r="AS1583" s="28"/>
      <c r="AT1583" s="5"/>
      <c r="AU1583" s="28"/>
      <c r="AV1583" s="28"/>
      <c r="AX1583" s="28"/>
      <c r="AY1583" s="28"/>
      <c r="BA1583" s="28"/>
      <c r="BB1583" s="28"/>
      <c r="BF1583" s="28"/>
      <c r="BH1583" s="28"/>
      <c r="BI1583" s="28"/>
      <c r="BJ1583" s="38"/>
      <c r="BK1583" s="28"/>
    </row>
    <row r="1584" customFormat="false" ht="15.75" hidden="false" customHeight="false" outlineLevel="0" collapsed="false">
      <c r="A1584" s="28"/>
      <c r="B1584" s="28"/>
      <c r="C1584" s="28"/>
      <c r="D1584" s="5"/>
      <c r="E1584" s="38"/>
      <c r="F1584" s="28"/>
      <c r="G1584" s="28"/>
      <c r="H1584" s="38"/>
      <c r="I1584" s="28"/>
      <c r="J1584" s="40"/>
      <c r="K1584" s="40"/>
      <c r="L1584" s="5"/>
      <c r="M1584" s="5"/>
      <c r="N1584" s="28"/>
      <c r="O1584" s="28"/>
      <c r="P1584" s="28"/>
      <c r="Q1584" s="28"/>
      <c r="R1584" s="28"/>
      <c r="S1584" s="28"/>
      <c r="T1584" s="28"/>
      <c r="V1584" s="28"/>
      <c r="W1584" s="5"/>
      <c r="X1584" s="5"/>
      <c r="Z1584" s="28"/>
      <c r="AA1584" s="28"/>
      <c r="AB1584" s="28"/>
      <c r="AC1584" s="28"/>
      <c r="AD1584" s="28"/>
      <c r="AE1584" s="28"/>
      <c r="AF1584" s="28"/>
      <c r="AG1584" s="28"/>
      <c r="AH1584" s="28"/>
      <c r="AI1584" s="28"/>
      <c r="AJ1584" s="28"/>
      <c r="AK1584" s="28"/>
      <c r="AL1584" s="28"/>
      <c r="AM1584" s="28"/>
      <c r="AN1584" s="28"/>
      <c r="AO1584" s="28"/>
      <c r="AP1584" s="28"/>
      <c r="AQ1584" s="28"/>
      <c r="AR1584" s="28"/>
      <c r="AS1584" s="28"/>
      <c r="AT1584" s="5"/>
      <c r="AU1584" s="28"/>
      <c r="AV1584" s="28"/>
      <c r="AX1584" s="28"/>
      <c r="AY1584" s="28"/>
      <c r="BA1584" s="28"/>
      <c r="BB1584" s="28"/>
      <c r="BF1584" s="28"/>
      <c r="BH1584" s="28"/>
      <c r="BI1584" s="28"/>
      <c r="BJ1584" s="38"/>
      <c r="BK1584" s="28"/>
    </row>
    <row r="1585" customFormat="false" ht="15.75" hidden="false" customHeight="false" outlineLevel="0" collapsed="false">
      <c r="A1585" s="28"/>
      <c r="B1585" s="28"/>
      <c r="C1585" s="28"/>
      <c r="D1585" s="5"/>
      <c r="E1585" s="38"/>
      <c r="F1585" s="28"/>
      <c r="G1585" s="28"/>
      <c r="H1585" s="38"/>
      <c r="I1585" s="28"/>
      <c r="J1585" s="40"/>
      <c r="K1585" s="40"/>
      <c r="L1585" s="5"/>
      <c r="M1585" s="5"/>
      <c r="N1585" s="28"/>
      <c r="O1585" s="28"/>
      <c r="P1585" s="28"/>
      <c r="Q1585" s="28"/>
      <c r="R1585" s="28"/>
      <c r="S1585" s="28"/>
      <c r="T1585" s="28"/>
      <c r="V1585" s="28"/>
      <c r="W1585" s="5"/>
      <c r="X1585" s="5"/>
      <c r="Z1585" s="28"/>
      <c r="AA1585" s="28"/>
      <c r="AB1585" s="28"/>
      <c r="AC1585" s="28"/>
      <c r="AD1585" s="28"/>
      <c r="AE1585" s="28"/>
      <c r="AF1585" s="28"/>
      <c r="AG1585" s="28"/>
      <c r="AH1585" s="28"/>
      <c r="AI1585" s="28"/>
      <c r="AJ1585" s="28"/>
      <c r="AK1585" s="28"/>
      <c r="AL1585" s="28"/>
      <c r="AM1585" s="28"/>
      <c r="AN1585" s="28"/>
      <c r="AO1585" s="28"/>
      <c r="AP1585" s="28"/>
      <c r="AQ1585" s="28"/>
      <c r="AR1585" s="28"/>
      <c r="AS1585" s="28"/>
      <c r="AT1585" s="5"/>
      <c r="AU1585" s="28"/>
      <c r="AV1585" s="28"/>
      <c r="AX1585" s="28"/>
      <c r="AY1585" s="28"/>
      <c r="BA1585" s="28"/>
      <c r="BB1585" s="28"/>
      <c r="BF1585" s="28"/>
      <c r="BH1585" s="28"/>
      <c r="BI1585" s="28"/>
      <c r="BJ1585" s="38"/>
      <c r="BK1585" s="28"/>
    </row>
    <row r="1586" customFormat="false" ht="15.75" hidden="false" customHeight="false" outlineLevel="0" collapsed="false">
      <c r="A1586" s="28"/>
      <c r="B1586" s="28"/>
      <c r="C1586" s="28"/>
      <c r="D1586" s="5"/>
      <c r="E1586" s="38"/>
      <c r="F1586" s="28"/>
      <c r="G1586" s="28"/>
      <c r="H1586" s="38"/>
      <c r="I1586" s="28"/>
      <c r="J1586" s="40"/>
      <c r="K1586" s="40"/>
      <c r="L1586" s="5"/>
      <c r="M1586" s="5"/>
      <c r="N1586" s="28"/>
      <c r="O1586" s="28"/>
      <c r="P1586" s="28"/>
      <c r="Q1586" s="28"/>
      <c r="R1586" s="28"/>
      <c r="S1586" s="28"/>
      <c r="T1586" s="28"/>
      <c r="V1586" s="28"/>
      <c r="W1586" s="5"/>
      <c r="X1586" s="5"/>
      <c r="Z1586" s="28"/>
      <c r="AA1586" s="28"/>
      <c r="AB1586" s="28"/>
      <c r="AC1586" s="28"/>
      <c r="AD1586" s="28"/>
      <c r="AE1586" s="28"/>
      <c r="AF1586" s="28"/>
      <c r="AG1586" s="28"/>
      <c r="AH1586" s="28"/>
      <c r="AI1586" s="28"/>
      <c r="AJ1586" s="28"/>
      <c r="AK1586" s="28"/>
      <c r="AL1586" s="28"/>
      <c r="AM1586" s="28"/>
      <c r="AN1586" s="28"/>
      <c r="AO1586" s="28"/>
      <c r="AP1586" s="28"/>
      <c r="AQ1586" s="28"/>
      <c r="AR1586" s="28"/>
      <c r="AS1586" s="28"/>
      <c r="AT1586" s="5"/>
      <c r="AU1586" s="28"/>
      <c r="AV1586" s="28"/>
      <c r="AX1586" s="28"/>
      <c r="AY1586" s="28"/>
      <c r="BA1586" s="28"/>
      <c r="BB1586" s="28"/>
      <c r="BF1586" s="28"/>
      <c r="BH1586" s="28"/>
      <c r="BI1586" s="28"/>
      <c r="BJ1586" s="38"/>
      <c r="BK1586" s="28"/>
    </row>
    <row r="1587" customFormat="false" ht="15.75" hidden="false" customHeight="false" outlineLevel="0" collapsed="false">
      <c r="A1587" s="28"/>
      <c r="B1587" s="28"/>
      <c r="C1587" s="28"/>
      <c r="D1587" s="5"/>
      <c r="E1587" s="38"/>
      <c r="F1587" s="28"/>
      <c r="G1587" s="28"/>
      <c r="H1587" s="38"/>
      <c r="I1587" s="28"/>
      <c r="J1587" s="40"/>
      <c r="K1587" s="40"/>
      <c r="L1587" s="5"/>
      <c r="M1587" s="5"/>
      <c r="N1587" s="28"/>
      <c r="O1587" s="28"/>
      <c r="P1587" s="28"/>
      <c r="Q1587" s="28"/>
      <c r="R1587" s="28"/>
      <c r="S1587" s="28"/>
      <c r="T1587" s="28"/>
      <c r="V1587" s="28"/>
      <c r="W1587" s="5"/>
      <c r="X1587" s="5"/>
      <c r="Z1587" s="28"/>
      <c r="AA1587" s="28"/>
      <c r="AB1587" s="28"/>
      <c r="AC1587" s="28"/>
      <c r="AD1587" s="28"/>
      <c r="AE1587" s="28"/>
      <c r="AF1587" s="28"/>
      <c r="AG1587" s="28"/>
      <c r="AH1587" s="28"/>
      <c r="AI1587" s="28"/>
      <c r="AJ1587" s="28"/>
      <c r="AK1587" s="28"/>
      <c r="AL1587" s="28"/>
      <c r="AM1587" s="28"/>
      <c r="AN1587" s="28"/>
      <c r="AO1587" s="28"/>
      <c r="AP1587" s="28"/>
      <c r="AQ1587" s="28"/>
      <c r="AR1587" s="28"/>
      <c r="AS1587" s="28"/>
      <c r="AT1587" s="5"/>
      <c r="AU1587" s="28"/>
      <c r="AV1587" s="28"/>
      <c r="AX1587" s="28"/>
      <c r="AY1587" s="28"/>
      <c r="BA1587" s="28"/>
      <c r="BB1587" s="28"/>
      <c r="BF1587" s="28"/>
      <c r="BH1587" s="28"/>
      <c r="BI1587" s="28"/>
      <c r="BJ1587" s="38"/>
      <c r="BK1587" s="28"/>
    </row>
    <row r="1588" customFormat="false" ht="15.75" hidden="false" customHeight="false" outlineLevel="0" collapsed="false">
      <c r="A1588" s="28"/>
      <c r="B1588" s="28"/>
      <c r="C1588" s="28"/>
      <c r="D1588" s="5"/>
      <c r="E1588" s="38"/>
      <c r="F1588" s="28"/>
      <c r="G1588" s="28"/>
      <c r="H1588" s="38"/>
      <c r="I1588" s="28"/>
      <c r="J1588" s="40"/>
      <c r="K1588" s="40"/>
      <c r="L1588" s="5"/>
      <c r="M1588" s="5"/>
      <c r="N1588" s="28"/>
      <c r="O1588" s="28"/>
      <c r="P1588" s="28"/>
      <c r="Q1588" s="28"/>
      <c r="R1588" s="28"/>
      <c r="S1588" s="28"/>
      <c r="T1588" s="28"/>
      <c r="V1588" s="28"/>
      <c r="W1588" s="5"/>
      <c r="X1588" s="5"/>
      <c r="Z1588" s="28"/>
      <c r="AA1588" s="28"/>
      <c r="AB1588" s="28"/>
      <c r="AC1588" s="28"/>
      <c r="AD1588" s="28"/>
      <c r="AE1588" s="28"/>
      <c r="AF1588" s="28"/>
      <c r="AG1588" s="28"/>
      <c r="AH1588" s="28"/>
      <c r="AI1588" s="28"/>
      <c r="AJ1588" s="28"/>
      <c r="AK1588" s="28"/>
      <c r="AL1588" s="28"/>
      <c r="AM1588" s="28"/>
      <c r="AN1588" s="28"/>
      <c r="AO1588" s="28"/>
      <c r="AP1588" s="28"/>
      <c r="AQ1588" s="28"/>
      <c r="AR1588" s="28"/>
      <c r="AS1588" s="28"/>
      <c r="AT1588" s="5"/>
      <c r="AU1588" s="28"/>
      <c r="AV1588" s="28"/>
      <c r="AX1588" s="28"/>
      <c r="AY1588" s="28"/>
      <c r="BA1588" s="28"/>
      <c r="BB1588" s="28"/>
      <c r="BF1588" s="28"/>
      <c r="BH1588" s="28"/>
      <c r="BI1588" s="28"/>
      <c r="BJ1588" s="38"/>
      <c r="BK1588" s="28"/>
    </row>
    <row r="1589" customFormat="false" ht="15.75" hidden="false" customHeight="false" outlineLevel="0" collapsed="false">
      <c r="A1589" s="28"/>
      <c r="B1589" s="28"/>
      <c r="C1589" s="28"/>
      <c r="D1589" s="5"/>
      <c r="E1589" s="38"/>
      <c r="F1589" s="28"/>
      <c r="G1589" s="28"/>
      <c r="H1589" s="38"/>
      <c r="I1589" s="28"/>
      <c r="J1589" s="40"/>
      <c r="K1589" s="40"/>
      <c r="L1589" s="5"/>
      <c r="M1589" s="5"/>
      <c r="N1589" s="28"/>
      <c r="O1589" s="28"/>
      <c r="P1589" s="28"/>
      <c r="Q1589" s="28"/>
      <c r="R1589" s="28"/>
      <c r="S1589" s="28"/>
      <c r="T1589" s="28"/>
      <c r="V1589" s="28"/>
      <c r="W1589" s="5"/>
      <c r="X1589" s="5"/>
      <c r="Z1589" s="28"/>
      <c r="AA1589" s="28"/>
      <c r="AB1589" s="28"/>
      <c r="AC1589" s="28"/>
      <c r="AD1589" s="28"/>
      <c r="AE1589" s="28"/>
      <c r="AF1589" s="28"/>
      <c r="AG1589" s="28"/>
      <c r="AH1589" s="28"/>
      <c r="AI1589" s="28"/>
      <c r="AJ1589" s="28"/>
      <c r="AK1589" s="28"/>
      <c r="AL1589" s="28"/>
      <c r="AM1589" s="28"/>
      <c r="AN1589" s="28"/>
      <c r="AO1589" s="28"/>
      <c r="AP1589" s="28"/>
      <c r="AQ1589" s="28"/>
      <c r="AR1589" s="28"/>
      <c r="AS1589" s="28"/>
      <c r="AT1589" s="5"/>
      <c r="AU1589" s="28"/>
      <c r="AV1589" s="28"/>
      <c r="AX1589" s="28"/>
      <c r="AY1589" s="28"/>
      <c r="BA1589" s="28"/>
      <c r="BB1589" s="28"/>
      <c r="BF1589" s="28"/>
      <c r="BH1589" s="28"/>
      <c r="BI1589" s="28"/>
      <c r="BJ1589" s="38"/>
      <c r="BK1589" s="28"/>
    </row>
    <row r="1590" customFormat="false" ht="15.75" hidden="false" customHeight="false" outlineLevel="0" collapsed="false">
      <c r="A1590" s="28"/>
      <c r="B1590" s="28"/>
      <c r="C1590" s="28"/>
      <c r="D1590" s="5"/>
      <c r="E1590" s="38"/>
      <c r="F1590" s="28"/>
      <c r="G1590" s="28"/>
      <c r="H1590" s="38"/>
      <c r="I1590" s="28"/>
      <c r="J1590" s="40"/>
      <c r="K1590" s="40"/>
      <c r="L1590" s="5"/>
      <c r="M1590" s="5"/>
      <c r="N1590" s="28"/>
      <c r="O1590" s="28"/>
      <c r="P1590" s="28"/>
      <c r="Q1590" s="28"/>
      <c r="R1590" s="28"/>
      <c r="S1590" s="28"/>
      <c r="T1590" s="28"/>
      <c r="V1590" s="28"/>
      <c r="W1590" s="5"/>
      <c r="X1590" s="5"/>
      <c r="Z1590" s="28"/>
      <c r="AA1590" s="28"/>
      <c r="AB1590" s="28"/>
      <c r="AC1590" s="28"/>
      <c r="AD1590" s="28"/>
      <c r="AE1590" s="28"/>
      <c r="AF1590" s="28"/>
      <c r="AG1590" s="28"/>
      <c r="AH1590" s="28"/>
      <c r="AI1590" s="28"/>
      <c r="AJ1590" s="28"/>
      <c r="AK1590" s="28"/>
      <c r="AL1590" s="28"/>
      <c r="AM1590" s="28"/>
      <c r="AN1590" s="28"/>
      <c r="AO1590" s="28"/>
      <c r="AP1590" s="28"/>
      <c r="AQ1590" s="28"/>
      <c r="AR1590" s="28"/>
      <c r="AS1590" s="28"/>
      <c r="AT1590" s="5"/>
      <c r="AU1590" s="28"/>
      <c r="AV1590" s="28"/>
      <c r="AX1590" s="28"/>
      <c r="AY1590" s="28"/>
      <c r="BA1590" s="28"/>
      <c r="BB1590" s="28"/>
      <c r="BF1590" s="28"/>
      <c r="BH1590" s="28"/>
      <c r="BI1590" s="28"/>
      <c r="BJ1590" s="38"/>
      <c r="BK1590" s="28"/>
    </row>
    <row r="1591" customFormat="false" ht="15.75" hidden="false" customHeight="false" outlineLevel="0" collapsed="false">
      <c r="A1591" s="28"/>
      <c r="B1591" s="28"/>
      <c r="C1591" s="28"/>
      <c r="D1591" s="5"/>
      <c r="E1591" s="38"/>
      <c r="F1591" s="28"/>
      <c r="G1591" s="28"/>
      <c r="H1591" s="38"/>
      <c r="I1591" s="28"/>
      <c r="J1591" s="40"/>
      <c r="K1591" s="40"/>
      <c r="L1591" s="5"/>
      <c r="M1591" s="5"/>
      <c r="N1591" s="28"/>
      <c r="O1591" s="28"/>
      <c r="P1591" s="28"/>
      <c r="Q1591" s="28"/>
      <c r="R1591" s="28"/>
      <c r="S1591" s="28"/>
      <c r="T1591" s="28"/>
      <c r="V1591" s="28"/>
      <c r="W1591" s="5"/>
      <c r="X1591" s="5"/>
      <c r="Z1591" s="28"/>
      <c r="AA1591" s="28"/>
      <c r="AB1591" s="28"/>
      <c r="AC1591" s="28"/>
      <c r="AD1591" s="28"/>
      <c r="AE1591" s="28"/>
      <c r="AF1591" s="28"/>
      <c r="AG1591" s="28"/>
      <c r="AH1591" s="28"/>
      <c r="AI1591" s="28"/>
      <c r="AJ1591" s="28"/>
      <c r="AK1591" s="28"/>
      <c r="AL1591" s="28"/>
      <c r="AM1591" s="28"/>
      <c r="AN1591" s="28"/>
      <c r="AO1591" s="28"/>
      <c r="AP1591" s="28"/>
      <c r="AQ1591" s="28"/>
      <c r="AR1591" s="28"/>
      <c r="AS1591" s="28"/>
      <c r="AT1591" s="5"/>
      <c r="AU1591" s="28"/>
      <c r="AV1591" s="28"/>
      <c r="AX1591" s="28"/>
      <c r="AY1591" s="28"/>
      <c r="BA1591" s="28"/>
      <c r="BB1591" s="28"/>
      <c r="BF1591" s="28"/>
      <c r="BH1591" s="28"/>
      <c r="BI1591" s="28"/>
      <c r="BJ1591" s="38"/>
      <c r="BK1591" s="28"/>
    </row>
    <row r="1592" customFormat="false" ht="15.75" hidden="false" customHeight="false" outlineLevel="0" collapsed="false">
      <c r="A1592" s="28"/>
      <c r="B1592" s="28"/>
      <c r="C1592" s="28"/>
      <c r="D1592" s="5"/>
      <c r="E1592" s="38"/>
      <c r="F1592" s="28"/>
      <c r="G1592" s="28"/>
      <c r="H1592" s="38"/>
      <c r="I1592" s="28"/>
      <c r="J1592" s="40"/>
      <c r="K1592" s="40"/>
      <c r="L1592" s="5"/>
      <c r="M1592" s="5"/>
      <c r="N1592" s="28"/>
      <c r="O1592" s="28"/>
      <c r="P1592" s="28"/>
      <c r="Q1592" s="28"/>
      <c r="R1592" s="28"/>
      <c r="S1592" s="28"/>
      <c r="T1592" s="28"/>
      <c r="V1592" s="28"/>
      <c r="W1592" s="5"/>
      <c r="X1592" s="5"/>
      <c r="Z1592" s="28"/>
      <c r="AA1592" s="28"/>
      <c r="AB1592" s="28"/>
      <c r="AC1592" s="28"/>
      <c r="AD1592" s="28"/>
      <c r="AE1592" s="28"/>
      <c r="AF1592" s="28"/>
      <c r="AG1592" s="28"/>
      <c r="AH1592" s="28"/>
      <c r="AI1592" s="28"/>
      <c r="AJ1592" s="28"/>
      <c r="AK1592" s="28"/>
      <c r="AL1592" s="28"/>
      <c r="AM1592" s="28"/>
      <c r="AN1592" s="28"/>
      <c r="AO1592" s="28"/>
      <c r="AP1592" s="28"/>
      <c r="AQ1592" s="28"/>
      <c r="AR1592" s="28"/>
      <c r="AS1592" s="28"/>
      <c r="AT1592" s="5"/>
      <c r="AU1592" s="28"/>
      <c r="AV1592" s="28"/>
      <c r="AX1592" s="28"/>
      <c r="AY1592" s="28"/>
      <c r="BA1592" s="28"/>
      <c r="BB1592" s="28"/>
      <c r="BF1592" s="28"/>
      <c r="BH1592" s="28"/>
      <c r="BI1592" s="28"/>
      <c r="BJ1592" s="38"/>
      <c r="BK1592" s="28"/>
    </row>
    <row r="1593" customFormat="false" ht="15.75" hidden="false" customHeight="false" outlineLevel="0" collapsed="false">
      <c r="A1593" s="28"/>
      <c r="B1593" s="28"/>
      <c r="C1593" s="28"/>
      <c r="D1593" s="5"/>
      <c r="E1593" s="38"/>
      <c r="F1593" s="28"/>
      <c r="G1593" s="28"/>
      <c r="H1593" s="38"/>
      <c r="I1593" s="28"/>
      <c r="J1593" s="40"/>
      <c r="K1593" s="40"/>
      <c r="L1593" s="5"/>
      <c r="M1593" s="5"/>
      <c r="N1593" s="28"/>
      <c r="O1593" s="28"/>
      <c r="P1593" s="28"/>
      <c r="Q1593" s="28"/>
      <c r="R1593" s="28"/>
      <c r="S1593" s="28"/>
      <c r="T1593" s="28"/>
      <c r="V1593" s="28"/>
      <c r="W1593" s="5"/>
      <c r="X1593" s="5"/>
      <c r="Z1593" s="28"/>
      <c r="AA1593" s="28"/>
      <c r="AB1593" s="28"/>
      <c r="AC1593" s="28"/>
      <c r="AD1593" s="28"/>
      <c r="AE1593" s="28"/>
      <c r="AF1593" s="28"/>
      <c r="AG1593" s="28"/>
      <c r="AH1593" s="28"/>
      <c r="AI1593" s="28"/>
      <c r="AJ1593" s="28"/>
      <c r="AK1593" s="28"/>
      <c r="AL1593" s="28"/>
      <c r="AM1593" s="28"/>
      <c r="AN1593" s="28"/>
      <c r="AO1593" s="28"/>
      <c r="AP1593" s="28"/>
      <c r="AQ1593" s="28"/>
      <c r="AR1593" s="28"/>
      <c r="AS1593" s="28"/>
      <c r="AT1593" s="5"/>
      <c r="AU1593" s="28"/>
      <c r="AV1593" s="28"/>
      <c r="AX1593" s="28"/>
      <c r="AY1593" s="28"/>
      <c r="BA1593" s="28"/>
      <c r="BB1593" s="28"/>
      <c r="BF1593" s="28"/>
      <c r="BH1593" s="28"/>
      <c r="BI1593" s="28"/>
      <c r="BJ1593" s="38"/>
      <c r="BK1593" s="28"/>
    </row>
    <row r="1594" customFormat="false" ht="15.75" hidden="false" customHeight="false" outlineLevel="0" collapsed="false">
      <c r="A1594" s="28"/>
      <c r="B1594" s="28"/>
      <c r="C1594" s="28"/>
      <c r="D1594" s="5"/>
      <c r="E1594" s="38"/>
      <c r="F1594" s="28"/>
      <c r="G1594" s="28"/>
      <c r="H1594" s="38"/>
      <c r="I1594" s="28"/>
      <c r="J1594" s="40"/>
      <c r="K1594" s="40"/>
      <c r="L1594" s="5"/>
      <c r="M1594" s="5"/>
      <c r="N1594" s="28"/>
      <c r="O1594" s="28"/>
      <c r="P1594" s="28"/>
      <c r="Q1594" s="28"/>
      <c r="R1594" s="28"/>
      <c r="S1594" s="28"/>
      <c r="T1594" s="28"/>
      <c r="V1594" s="28"/>
      <c r="W1594" s="5"/>
      <c r="X1594" s="5"/>
      <c r="Z1594" s="28"/>
      <c r="AA1594" s="28"/>
      <c r="AB1594" s="28"/>
      <c r="AC1594" s="28"/>
      <c r="AD1594" s="28"/>
      <c r="AE1594" s="28"/>
      <c r="AF1594" s="28"/>
      <c r="AG1594" s="28"/>
      <c r="AH1594" s="28"/>
      <c r="AI1594" s="28"/>
      <c r="AJ1594" s="28"/>
      <c r="AK1594" s="28"/>
      <c r="AL1594" s="28"/>
      <c r="AM1594" s="28"/>
      <c r="AN1594" s="28"/>
      <c r="AO1594" s="28"/>
      <c r="AP1594" s="28"/>
      <c r="AQ1594" s="28"/>
      <c r="AR1594" s="28"/>
      <c r="AS1594" s="28"/>
      <c r="AT1594" s="5"/>
      <c r="AU1594" s="28"/>
      <c r="AV1594" s="28"/>
      <c r="AX1594" s="28"/>
      <c r="AY1594" s="28"/>
      <c r="BA1594" s="28"/>
      <c r="BB1594" s="28"/>
      <c r="BF1594" s="28"/>
      <c r="BH1594" s="28"/>
      <c r="BI1594" s="28"/>
      <c r="BJ1594" s="38"/>
      <c r="BK1594" s="28"/>
    </row>
    <row r="1595" customFormat="false" ht="15.75" hidden="false" customHeight="false" outlineLevel="0" collapsed="false">
      <c r="A1595" s="28"/>
      <c r="B1595" s="28"/>
      <c r="C1595" s="28"/>
      <c r="D1595" s="5"/>
      <c r="E1595" s="38"/>
      <c r="F1595" s="28"/>
      <c r="G1595" s="28"/>
      <c r="H1595" s="38"/>
      <c r="I1595" s="28"/>
      <c r="J1595" s="40"/>
      <c r="K1595" s="40"/>
      <c r="L1595" s="5"/>
      <c r="M1595" s="5"/>
      <c r="N1595" s="28"/>
      <c r="O1595" s="28"/>
      <c r="P1595" s="28"/>
      <c r="Q1595" s="28"/>
      <c r="R1595" s="28"/>
      <c r="S1595" s="28"/>
      <c r="T1595" s="28"/>
      <c r="V1595" s="28"/>
      <c r="W1595" s="5"/>
      <c r="X1595" s="5"/>
      <c r="Z1595" s="28"/>
      <c r="AA1595" s="28"/>
      <c r="AB1595" s="28"/>
      <c r="AC1595" s="28"/>
      <c r="AD1595" s="28"/>
      <c r="AE1595" s="28"/>
      <c r="AF1595" s="28"/>
      <c r="AG1595" s="28"/>
      <c r="AH1595" s="28"/>
      <c r="AI1595" s="28"/>
      <c r="AJ1595" s="28"/>
      <c r="AK1595" s="28"/>
      <c r="AL1595" s="28"/>
      <c r="AM1595" s="28"/>
      <c r="AN1595" s="28"/>
      <c r="AO1595" s="28"/>
      <c r="AP1595" s="28"/>
      <c r="AQ1595" s="28"/>
      <c r="AR1595" s="28"/>
      <c r="AS1595" s="28"/>
      <c r="AT1595" s="5"/>
      <c r="AU1595" s="28"/>
      <c r="AV1595" s="28"/>
      <c r="AX1595" s="28"/>
      <c r="AY1595" s="28"/>
      <c r="BA1595" s="28"/>
      <c r="BB1595" s="28"/>
      <c r="BF1595" s="28"/>
      <c r="BH1595" s="28"/>
      <c r="BI1595" s="28"/>
      <c r="BJ1595" s="38"/>
      <c r="BK1595" s="28"/>
    </row>
    <row r="1596" customFormat="false" ht="15.75" hidden="false" customHeight="false" outlineLevel="0" collapsed="false">
      <c r="A1596" s="28"/>
      <c r="B1596" s="28"/>
      <c r="C1596" s="28"/>
      <c r="D1596" s="5"/>
      <c r="E1596" s="38"/>
      <c r="F1596" s="28"/>
      <c r="G1596" s="28"/>
      <c r="H1596" s="38"/>
      <c r="I1596" s="28"/>
      <c r="J1596" s="40"/>
      <c r="K1596" s="40"/>
      <c r="L1596" s="5"/>
      <c r="M1596" s="5"/>
      <c r="N1596" s="28"/>
      <c r="O1596" s="28"/>
      <c r="P1596" s="28"/>
      <c r="Q1596" s="28"/>
      <c r="R1596" s="28"/>
      <c r="S1596" s="28"/>
      <c r="T1596" s="28"/>
      <c r="V1596" s="28"/>
      <c r="W1596" s="5"/>
      <c r="X1596" s="5"/>
      <c r="Z1596" s="28"/>
      <c r="AA1596" s="28"/>
      <c r="AB1596" s="28"/>
      <c r="AC1596" s="28"/>
      <c r="AD1596" s="28"/>
      <c r="AE1596" s="28"/>
      <c r="AF1596" s="28"/>
      <c r="AG1596" s="28"/>
      <c r="AH1596" s="28"/>
      <c r="AI1596" s="28"/>
      <c r="AJ1596" s="28"/>
      <c r="AK1596" s="28"/>
      <c r="AL1596" s="28"/>
      <c r="AM1596" s="28"/>
      <c r="AN1596" s="28"/>
      <c r="AO1596" s="28"/>
      <c r="AP1596" s="28"/>
      <c r="AQ1596" s="28"/>
      <c r="AR1596" s="28"/>
      <c r="AS1596" s="28"/>
      <c r="AT1596" s="5"/>
      <c r="AU1596" s="28"/>
      <c r="AV1596" s="28"/>
      <c r="AX1596" s="28"/>
      <c r="AY1596" s="28"/>
      <c r="BA1596" s="28"/>
      <c r="BB1596" s="28"/>
      <c r="BF1596" s="28"/>
      <c r="BH1596" s="28"/>
      <c r="BI1596" s="28"/>
      <c r="BJ1596" s="38"/>
      <c r="BK1596" s="28"/>
    </row>
    <row r="1597" customFormat="false" ht="15.75" hidden="false" customHeight="false" outlineLevel="0" collapsed="false">
      <c r="A1597" s="28"/>
      <c r="B1597" s="28"/>
      <c r="C1597" s="28"/>
      <c r="D1597" s="5"/>
      <c r="E1597" s="38"/>
      <c r="F1597" s="28"/>
      <c r="G1597" s="28"/>
      <c r="H1597" s="38"/>
      <c r="I1597" s="28"/>
      <c r="J1597" s="40"/>
      <c r="K1597" s="40"/>
      <c r="L1597" s="5"/>
      <c r="M1597" s="5"/>
      <c r="N1597" s="28"/>
      <c r="O1597" s="28"/>
      <c r="P1597" s="28"/>
      <c r="Q1597" s="28"/>
      <c r="R1597" s="28"/>
      <c r="S1597" s="28"/>
      <c r="T1597" s="28"/>
      <c r="V1597" s="28"/>
      <c r="W1597" s="5"/>
      <c r="X1597" s="5"/>
      <c r="Z1597" s="28"/>
      <c r="AA1597" s="28"/>
      <c r="AB1597" s="28"/>
      <c r="AC1597" s="28"/>
      <c r="AD1597" s="28"/>
      <c r="AE1597" s="28"/>
      <c r="AF1597" s="28"/>
      <c r="AG1597" s="28"/>
      <c r="AH1597" s="28"/>
      <c r="AI1597" s="28"/>
      <c r="AJ1597" s="28"/>
      <c r="AK1597" s="28"/>
      <c r="AL1597" s="28"/>
      <c r="AM1597" s="28"/>
      <c r="AN1597" s="28"/>
      <c r="AO1597" s="28"/>
      <c r="AP1597" s="28"/>
      <c r="AQ1597" s="28"/>
      <c r="AR1597" s="28"/>
      <c r="AS1597" s="28"/>
      <c r="AT1597" s="5"/>
      <c r="AU1597" s="28"/>
      <c r="AV1597" s="28"/>
      <c r="AX1597" s="28"/>
      <c r="AY1597" s="28"/>
      <c r="BA1597" s="28"/>
      <c r="BB1597" s="28"/>
      <c r="BF1597" s="28"/>
      <c r="BH1597" s="28"/>
      <c r="BI1597" s="28"/>
      <c r="BJ1597" s="38"/>
      <c r="BK1597" s="28"/>
    </row>
    <row r="1598" customFormat="false" ht="15.75" hidden="false" customHeight="false" outlineLevel="0" collapsed="false">
      <c r="A1598" s="28"/>
      <c r="B1598" s="28"/>
      <c r="C1598" s="28"/>
      <c r="D1598" s="5"/>
      <c r="E1598" s="38"/>
      <c r="F1598" s="28"/>
      <c r="G1598" s="28"/>
      <c r="H1598" s="38"/>
      <c r="I1598" s="28"/>
      <c r="J1598" s="40"/>
      <c r="K1598" s="40"/>
      <c r="L1598" s="5"/>
      <c r="M1598" s="5"/>
      <c r="N1598" s="28"/>
      <c r="O1598" s="28"/>
      <c r="P1598" s="28"/>
      <c r="Q1598" s="28"/>
      <c r="R1598" s="28"/>
      <c r="S1598" s="28"/>
      <c r="T1598" s="28"/>
      <c r="V1598" s="28"/>
      <c r="W1598" s="5"/>
      <c r="X1598" s="5"/>
      <c r="Z1598" s="28"/>
      <c r="AA1598" s="28"/>
      <c r="AB1598" s="28"/>
      <c r="AC1598" s="28"/>
      <c r="AD1598" s="28"/>
      <c r="AE1598" s="28"/>
      <c r="AF1598" s="28"/>
      <c r="AG1598" s="28"/>
      <c r="AH1598" s="28"/>
      <c r="AI1598" s="28"/>
      <c r="AJ1598" s="28"/>
      <c r="AK1598" s="28"/>
      <c r="AL1598" s="28"/>
      <c r="AM1598" s="28"/>
      <c r="AN1598" s="28"/>
      <c r="AO1598" s="28"/>
      <c r="AP1598" s="28"/>
      <c r="AQ1598" s="28"/>
      <c r="AR1598" s="28"/>
      <c r="AS1598" s="28"/>
      <c r="AT1598" s="5"/>
      <c r="AU1598" s="28"/>
      <c r="AV1598" s="28"/>
      <c r="AX1598" s="28"/>
      <c r="AY1598" s="28"/>
      <c r="BA1598" s="28"/>
      <c r="BB1598" s="28"/>
      <c r="BF1598" s="28"/>
      <c r="BH1598" s="28"/>
      <c r="BI1598" s="28"/>
      <c r="BJ1598" s="38"/>
      <c r="BK1598" s="28"/>
    </row>
    <row r="1599" customFormat="false" ht="15.75" hidden="false" customHeight="false" outlineLevel="0" collapsed="false">
      <c r="A1599" s="28"/>
      <c r="B1599" s="28"/>
      <c r="C1599" s="28"/>
      <c r="D1599" s="5"/>
      <c r="E1599" s="38"/>
      <c r="F1599" s="28"/>
      <c r="G1599" s="28"/>
      <c r="H1599" s="38"/>
      <c r="I1599" s="28"/>
      <c r="J1599" s="40"/>
      <c r="K1599" s="40"/>
      <c r="L1599" s="5"/>
      <c r="M1599" s="5"/>
      <c r="N1599" s="28"/>
      <c r="O1599" s="28"/>
      <c r="P1599" s="28"/>
      <c r="Q1599" s="28"/>
      <c r="R1599" s="28"/>
      <c r="S1599" s="28"/>
      <c r="T1599" s="28"/>
      <c r="V1599" s="28"/>
      <c r="W1599" s="5"/>
      <c r="X1599" s="5"/>
      <c r="Z1599" s="28"/>
      <c r="AA1599" s="28"/>
      <c r="AB1599" s="28"/>
      <c r="AC1599" s="28"/>
      <c r="AD1599" s="28"/>
      <c r="AE1599" s="28"/>
      <c r="AF1599" s="28"/>
      <c r="AG1599" s="28"/>
      <c r="AH1599" s="28"/>
      <c r="AI1599" s="28"/>
      <c r="AJ1599" s="28"/>
      <c r="AK1599" s="28"/>
      <c r="AL1599" s="28"/>
      <c r="AM1599" s="28"/>
      <c r="AN1599" s="28"/>
      <c r="AO1599" s="28"/>
      <c r="AP1599" s="28"/>
      <c r="AQ1599" s="28"/>
      <c r="AR1599" s="28"/>
      <c r="AS1599" s="28"/>
      <c r="AT1599" s="5"/>
      <c r="AU1599" s="28"/>
      <c r="AV1599" s="28"/>
      <c r="AX1599" s="28"/>
      <c r="AY1599" s="28"/>
      <c r="BA1599" s="28"/>
      <c r="BB1599" s="28"/>
      <c r="BF1599" s="28"/>
      <c r="BH1599" s="28"/>
      <c r="BI1599" s="28"/>
      <c r="BJ1599" s="38"/>
      <c r="BK1599" s="28"/>
    </row>
    <row r="1600" customFormat="false" ht="15.75" hidden="false" customHeight="false" outlineLevel="0" collapsed="false">
      <c r="A1600" s="28"/>
      <c r="B1600" s="28"/>
      <c r="C1600" s="28"/>
      <c r="D1600" s="5"/>
      <c r="E1600" s="38"/>
      <c r="F1600" s="28"/>
      <c r="G1600" s="28"/>
      <c r="H1600" s="38"/>
      <c r="I1600" s="28"/>
      <c r="J1600" s="40"/>
      <c r="K1600" s="40"/>
      <c r="L1600" s="5"/>
      <c r="M1600" s="5"/>
      <c r="N1600" s="28"/>
      <c r="O1600" s="28"/>
      <c r="P1600" s="28"/>
      <c r="Q1600" s="28"/>
      <c r="R1600" s="28"/>
      <c r="S1600" s="28"/>
      <c r="T1600" s="28"/>
      <c r="V1600" s="28"/>
      <c r="W1600" s="5"/>
      <c r="X1600" s="5"/>
      <c r="Z1600" s="28"/>
      <c r="AA1600" s="28"/>
      <c r="AB1600" s="28"/>
      <c r="AC1600" s="28"/>
      <c r="AD1600" s="28"/>
      <c r="AE1600" s="28"/>
      <c r="AF1600" s="28"/>
      <c r="AG1600" s="28"/>
      <c r="AH1600" s="28"/>
      <c r="AI1600" s="28"/>
      <c r="AJ1600" s="28"/>
      <c r="AK1600" s="28"/>
      <c r="AL1600" s="28"/>
      <c r="AM1600" s="28"/>
      <c r="AN1600" s="28"/>
      <c r="AO1600" s="28"/>
      <c r="AP1600" s="28"/>
      <c r="AQ1600" s="28"/>
      <c r="AR1600" s="28"/>
      <c r="AS1600" s="28"/>
      <c r="AT1600" s="5"/>
      <c r="AU1600" s="28"/>
      <c r="AV1600" s="28"/>
      <c r="AX1600" s="28"/>
      <c r="AY1600" s="28"/>
      <c r="BA1600" s="28"/>
      <c r="BB1600" s="28"/>
      <c r="BF1600" s="28"/>
      <c r="BH1600" s="28"/>
      <c r="BI1600" s="28"/>
      <c r="BJ1600" s="38"/>
      <c r="BK1600" s="28"/>
    </row>
    <row r="1601" customFormat="false" ht="15.75" hidden="false" customHeight="false" outlineLevel="0" collapsed="false">
      <c r="A1601" s="28"/>
      <c r="B1601" s="28"/>
      <c r="C1601" s="28"/>
      <c r="D1601" s="5"/>
      <c r="E1601" s="38"/>
      <c r="F1601" s="28"/>
      <c r="G1601" s="28"/>
      <c r="H1601" s="38"/>
      <c r="I1601" s="28"/>
      <c r="J1601" s="40"/>
      <c r="K1601" s="40"/>
      <c r="L1601" s="5"/>
      <c r="M1601" s="5"/>
      <c r="N1601" s="28"/>
      <c r="O1601" s="28"/>
      <c r="P1601" s="28"/>
      <c r="Q1601" s="28"/>
      <c r="R1601" s="28"/>
      <c r="S1601" s="28"/>
      <c r="T1601" s="28"/>
      <c r="V1601" s="28"/>
      <c r="W1601" s="5"/>
      <c r="X1601" s="5"/>
      <c r="Z1601" s="28"/>
      <c r="AA1601" s="28"/>
      <c r="AB1601" s="28"/>
      <c r="AC1601" s="28"/>
      <c r="AD1601" s="28"/>
      <c r="AE1601" s="28"/>
      <c r="AF1601" s="28"/>
      <c r="AG1601" s="28"/>
      <c r="AH1601" s="28"/>
      <c r="AI1601" s="28"/>
      <c r="AJ1601" s="28"/>
      <c r="AK1601" s="28"/>
      <c r="AL1601" s="28"/>
      <c r="AM1601" s="28"/>
      <c r="AN1601" s="28"/>
      <c r="AO1601" s="28"/>
      <c r="AP1601" s="28"/>
      <c r="AQ1601" s="28"/>
      <c r="AR1601" s="28"/>
      <c r="AS1601" s="28"/>
      <c r="AT1601" s="5"/>
      <c r="AU1601" s="28"/>
      <c r="AV1601" s="28"/>
      <c r="AX1601" s="28"/>
      <c r="AY1601" s="28"/>
      <c r="BA1601" s="28"/>
      <c r="BB1601" s="28"/>
      <c r="BF1601" s="28"/>
      <c r="BH1601" s="28"/>
      <c r="BI1601" s="28"/>
      <c r="BJ1601" s="38"/>
      <c r="BK1601" s="28"/>
    </row>
    <row r="1602" customFormat="false" ht="15.75" hidden="false" customHeight="false" outlineLevel="0" collapsed="false">
      <c r="A1602" s="28"/>
      <c r="B1602" s="28"/>
      <c r="C1602" s="28"/>
      <c r="D1602" s="5"/>
      <c r="E1602" s="38"/>
      <c r="F1602" s="28"/>
      <c r="G1602" s="28"/>
      <c r="H1602" s="38"/>
      <c r="I1602" s="28"/>
      <c r="J1602" s="40"/>
      <c r="K1602" s="40"/>
      <c r="L1602" s="5"/>
      <c r="M1602" s="5"/>
      <c r="N1602" s="28"/>
      <c r="O1602" s="28"/>
      <c r="P1602" s="28"/>
      <c r="Q1602" s="28"/>
      <c r="R1602" s="28"/>
      <c r="S1602" s="28"/>
      <c r="T1602" s="28"/>
      <c r="V1602" s="28"/>
      <c r="W1602" s="5"/>
      <c r="X1602" s="5"/>
      <c r="Z1602" s="28"/>
      <c r="AA1602" s="28"/>
      <c r="AB1602" s="28"/>
      <c r="AC1602" s="28"/>
      <c r="AD1602" s="28"/>
      <c r="AE1602" s="28"/>
      <c r="AF1602" s="28"/>
      <c r="AG1602" s="28"/>
      <c r="AH1602" s="28"/>
      <c r="AI1602" s="28"/>
      <c r="AJ1602" s="28"/>
      <c r="AK1602" s="28"/>
      <c r="AL1602" s="28"/>
      <c r="AM1602" s="28"/>
      <c r="AN1602" s="28"/>
      <c r="AO1602" s="28"/>
      <c r="AP1602" s="28"/>
      <c r="AQ1602" s="28"/>
      <c r="AR1602" s="28"/>
      <c r="AS1602" s="28"/>
      <c r="AT1602" s="5"/>
      <c r="AU1602" s="28"/>
      <c r="AV1602" s="28"/>
      <c r="AX1602" s="28"/>
      <c r="AY1602" s="28"/>
      <c r="BA1602" s="28"/>
      <c r="BB1602" s="28"/>
      <c r="BF1602" s="28"/>
      <c r="BH1602" s="28"/>
      <c r="BI1602" s="28"/>
      <c r="BJ1602" s="38"/>
      <c r="BK1602" s="28"/>
    </row>
    <row r="1603" customFormat="false" ht="15.75" hidden="false" customHeight="false" outlineLevel="0" collapsed="false">
      <c r="A1603" s="28"/>
      <c r="B1603" s="28"/>
      <c r="C1603" s="28"/>
      <c r="D1603" s="5"/>
      <c r="E1603" s="38"/>
      <c r="F1603" s="28"/>
      <c r="G1603" s="28"/>
      <c r="H1603" s="38"/>
      <c r="I1603" s="28"/>
      <c r="J1603" s="40"/>
      <c r="K1603" s="40"/>
      <c r="L1603" s="5"/>
      <c r="M1603" s="5"/>
      <c r="N1603" s="28"/>
      <c r="O1603" s="28"/>
      <c r="P1603" s="28"/>
      <c r="Q1603" s="28"/>
      <c r="R1603" s="28"/>
      <c r="S1603" s="28"/>
      <c r="T1603" s="28"/>
      <c r="V1603" s="28"/>
      <c r="W1603" s="5"/>
      <c r="X1603" s="5"/>
      <c r="Z1603" s="28"/>
      <c r="AA1603" s="28"/>
      <c r="AB1603" s="28"/>
      <c r="AC1603" s="28"/>
      <c r="AD1603" s="28"/>
      <c r="AE1603" s="28"/>
      <c r="AF1603" s="28"/>
      <c r="AG1603" s="28"/>
      <c r="AH1603" s="28"/>
      <c r="AI1603" s="28"/>
      <c r="AJ1603" s="28"/>
      <c r="AK1603" s="28"/>
      <c r="AL1603" s="28"/>
      <c r="AM1603" s="28"/>
      <c r="AN1603" s="28"/>
      <c r="AO1603" s="28"/>
      <c r="AP1603" s="28"/>
      <c r="AQ1603" s="28"/>
      <c r="AR1603" s="28"/>
      <c r="AS1603" s="28"/>
      <c r="AT1603" s="5"/>
      <c r="AU1603" s="28"/>
      <c r="AV1603" s="28"/>
      <c r="AX1603" s="28"/>
      <c r="AY1603" s="28"/>
      <c r="BA1603" s="28"/>
      <c r="BB1603" s="28"/>
      <c r="BF1603" s="28"/>
      <c r="BH1603" s="28"/>
      <c r="BI1603" s="28"/>
      <c r="BJ1603" s="38"/>
      <c r="BK1603" s="28"/>
    </row>
    <row r="1604" customFormat="false" ht="15.75" hidden="false" customHeight="false" outlineLevel="0" collapsed="false">
      <c r="A1604" s="28"/>
      <c r="B1604" s="28"/>
      <c r="C1604" s="28"/>
      <c r="D1604" s="5"/>
      <c r="E1604" s="38"/>
      <c r="F1604" s="28"/>
      <c r="G1604" s="28"/>
      <c r="H1604" s="38"/>
      <c r="I1604" s="28"/>
      <c r="J1604" s="40"/>
      <c r="K1604" s="40"/>
      <c r="L1604" s="5"/>
      <c r="M1604" s="5"/>
      <c r="N1604" s="28"/>
      <c r="O1604" s="28"/>
      <c r="P1604" s="28"/>
      <c r="Q1604" s="28"/>
      <c r="R1604" s="28"/>
      <c r="S1604" s="28"/>
      <c r="T1604" s="28"/>
      <c r="V1604" s="28"/>
      <c r="W1604" s="5"/>
      <c r="X1604" s="5"/>
      <c r="Z1604" s="28"/>
      <c r="AA1604" s="28"/>
      <c r="AB1604" s="28"/>
      <c r="AC1604" s="28"/>
      <c r="AD1604" s="28"/>
      <c r="AE1604" s="28"/>
      <c r="AF1604" s="28"/>
      <c r="AG1604" s="28"/>
      <c r="AH1604" s="28"/>
      <c r="AI1604" s="28"/>
      <c r="AJ1604" s="28"/>
      <c r="AK1604" s="28"/>
      <c r="AL1604" s="28"/>
      <c r="AM1604" s="28"/>
      <c r="AN1604" s="28"/>
      <c r="AO1604" s="28"/>
      <c r="AP1604" s="28"/>
      <c r="AQ1604" s="28"/>
      <c r="AR1604" s="28"/>
      <c r="AS1604" s="28"/>
      <c r="AT1604" s="5"/>
      <c r="AU1604" s="28"/>
      <c r="AV1604" s="28"/>
      <c r="AX1604" s="28"/>
      <c r="AY1604" s="28"/>
      <c r="BA1604" s="28"/>
      <c r="BB1604" s="28"/>
      <c r="BF1604" s="28"/>
      <c r="BH1604" s="28"/>
      <c r="BI1604" s="28"/>
      <c r="BJ1604" s="38"/>
      <c r="BK1604" s="28"/>
    </row>
    <row r="1605" customFormat="false" ht="15.75" hidden="false" customHeight="false" outlineLevel="0" collapsed="false">
      <c r="A1605" s="28"/>
      <c r="B1605" s="28"/>
      <c r="C1605" s="28"/>
      <c r="D1605" s="5"/>
      <c r="E1605" s="38"/>
      <c r="F1605" s="28"/>
      <c r="G1605" s="28"/>
      <c r="H1605" s="38"/>
      <c r="I1605" s="28"/>
      <c r="J1605" s="40"/>
      <c r="K1605" s="40"/>
      <c r="L1605" s="5"/>
      <c r="M1605" s="5"/>
      <c r="N1605" s="28"/>
      <c r="O1605" s="28"/>
      <c r="P1605" s="28"/>
      <c r="Q1605" s="28"/>
      <c r="R1605" s="28"/>
      <c r="S1605" s="28"/>
      <c r="T1605" s="28"/>
      <c r="V1605" s="28"/>
      <c r="W1605" s="5"/>
      <c r="X1605" s="5"/>
      <c r="Z1605" s="28"/>
      <c r="AA1605" s="28"/>
      <c r="AB1605" s="28"/>
      <c r="AC1605" s="28"/>
      <c r="AD1605" s="28"/>
      <c r="AE1605" s="28"/>
      <c r="AF1605" s="28"/>
      <c r="AG1605" s="28"/>
      <c r="AH1605" s="28"/>
      <c r="AI1605" s="28"/>
      <c r="AJ1605" s="28"/>
      <c r="AK1605" s="28"/>
      <c r="AL1605" s="28"/>
      <c r="AM1605" s="28"/>
      <c r="AN1605" s="28"/>
      <c r="AO1605" s="28"/>
      <c r="AP1605" s="28"/>
      <c r="AQ1605" s="28"/>
      <c r="AR1605" s="28"/>
      <c r="AS1605" s="28"/>
      <c r="AT1605" s="5"/>
      <c r="AU1605" s="28"/>
      <c r="AV1605" s="28"/>
      <c r="AX1605" s="28"/>
      <c r="AY1605" s="28"/>
      <c r="BA1605" s="28"/>
      <c r="BB1605" s="28"/>
      <c r="BF1605" s="28"/>
      <c r="BH1605" s="28"/>
      <c r="BI1605" s="28"/>
      <c r="BJ1605" s="38"/>
      <c r="BK1605" s="28"/>
    </row>
    <row r="1606" customFormat="false" ht="15.75" hidden="false" customHeight="false" outlineLevel="0" collapsed="false">
      <c r="A1606" s="28"/>
      <c r="B1606" s="28"/>
      <c r="C1606" s="28"/>
      <c r="D1606" s="5"/>
      <c r="E1606" s="38"/>
      <c r="F1606" s="28"/>
      <c r="G1606" s="28"/>
      <c r="H1606" s="38"/>
      <c r="I1606" s="28"/>
      <c r="J1606" s="40"/>
      <c r="K1606" s="40"/>
      <c r="L1606" s="5"/>
      <c r="M1606" s="5"/>
      <c r="N1606" s="28"/>
      <c r="O1606" s="28"/>
      <c r="P1606" s="28"/>
      <c r="Q1606" s="28"/>
      <c r="R1606" s="28"/>
      <c r="S1606" s="28"/>
      <c r="T1606" s="28"/>
      <c r="V1606" s="28"/>
      <c r="W1606" s="5"/>
      <c r="X1606" s="5"/>
      <c r="Z1606" s="28"/>
      <c r="AA1606" s="28"/>
      <c r="AB1606" s="28"/>
      <c r="AC1606" s="28"/>
      <c r="AD1606" s="28"/>
      <c r="AE1606" s="28"/>
      <c r="AF1606" s="28"/>
      <c r="AG1606" s="28"/>
      <c r="AH1606" s="28"/>
      <c r="AI1606" s="28"/>
      <c r="AJ1606" s="28"/>
      <c r="AK1606" s="28"/>
      <c r="AL1606" s="28"/>
      <c r="AM1606" s="28"/>
      <c r="AN1606" s="28"/>
      <c r="AO1606" s="28"/>
      <c r="AP1606" s="28"/>
      <c r="AQ1606" s="28"/>
      <c r="AR1606" s="28"/>
      <c r="AS1606" s="28"/>
      <c r="AT1606" s="5"/>
      <c r="AU1606" s="28"/>
      <c r="AV1606" s="28"/>
      <c r="AX1606" s="28"/>
      <c r="AY1606" s="28"/>
      <c r="BA1606" s="28"/>
      <c r="BB1606" s="28"/>
      <c r="BF1606" s="28"/>
      <c r="BH1606" s="28"/>
      <c r="BI1606" s="28"/>
      <c r="BJ1606" s="38"/>
      <c r="BK1606" s="28"/>
    </row>
    <row r="1607" customFormat="false" ht="15.75" hidden="false" customHeight="false" outlineLevel="0" collapsed="false">
      <c r="A1607" s="28"/>
      <c r="B1607" s="28"/>
      <c r="C1607" s="28"/>
      <c r="D1607" s="5"/>
      <c r="E1607" s="38"/>
      <c r="F1607" s="28"/>
      <c r="G1607" s="28"/>
      <c r="H1607" s="38"/>
      <c r="I1607" s="28"/>
      <c r="J1607" s="40"/>
      <c r="K1607" s="40"/>
      <c r="L1607" s="5"/>
      <c r="M1607" s="5"/>
      <c r="N1607" s="28"/>
      <c r="O1607" s="28"/>
      <c r="P1607" s="28"/>
      <c r="Q1607" s="28"/>
      <c r="R1607" s="28"/>
      <c r="S1607" s="28"/>
      <c r="T1607" s="28"/>
      <c r="V1607" s="28"/>
      <c r="W1607" s="5"/>
      <c r="X1607" s="5"/>
      <c r="Z1607" s="28"/>
      <c r="AA1607" s="28"/>
      <c r="AB1607" s="28"/>
      <c r="AC1607" s="28"/>
      <c r="AD1607" s="28"/>
      <c r="AE1607" s="28"/>
      <c r="AF1607" s="28"/>
      <c r="AG1607" s="28"/>
      <c r="AH1607" s="28"/>
      <c r="AI1607" s="28"/>
      <c r="AJ1607" s="28"/>
      <c r="AK1607" s="28"/>
      <c r="AL1607" s="28"/>
      <c r="AM1607" s="28"/>
      <c r="AN1607" s="28"/>
      <c r="AO1607" s="28"/>
      <c r="AP1607" s="28"/>
      <c r="AQ1607" s="28"/>
      <c r="AR1607" s="28"/>
      <c r="AS1607" s="28"/>
      <c r="AT1607" s="5"/>
      <c r="AU1607" s="28"/>
      <c r="AV1607" s="28"/>
      <c r="AX1607" s="28"/>
      <c r="AY1607" s="28"/>
      <c r="BA1607" s="28"/>
      <c r="BB1607" s="28"/>
      <c r="BF1607" s="28"/>
      <c r="BH1607" s="28"/>
      <c r="BI1607" s="28"/>
      <c r="BJ1607" s="38"/>
      <c r="BK1607" s="28"/>
    </row>
    <row r="1608" customFormat="false" ht="15.75" hidden="false" customHeight="false" outlineLevel="0" collapsed="false">
      <c r="A1608" s="28"/>
      <c r="B1608" s="28"/>
      <c r="C1608" s="28"/>
      <c r="D1608" s="5"/>
      <c r="E1608" s="38"/>
      <c r="F1608" s="28"/>
      <c r="G1608" s="28"/>
      <c r="H1608" s="38"/>
      <c r="I1608" s="28"/>
      <c r="J1608" s="40"/>
      <c r="K1608" s="40"/>
      <c r="L1608" s="5"/>
      <c r="M1608" s="5"/>
      <c r="N1608" s="28"/>
      <c r="O1608" s="28"/>
      <c r="P1608" s="28"/>
      <c r="Q1608" s="28"/>
      <c r="R1608" s="28"/>
      <c r="S1608" s="28"/>
      <c r="T1608" s="28"/>
      <c r="V1608" s="28"/>
      <c r="W1608" s="5"/>
      <c r="X1608" s="5"/>
      <c r="Z1608" s="28"/>
      <c r="AA1608" s="28"/>
      <c r="AB1608" s="28"/>
      <c r="AC1608" s="28"/>
      <c r="AD1608" s="28"/>
      <c r="AE1608" s="28"/>
      <c r="AF1608" s="28"/>
      <c r="AG1608" s="28"/>
      <c r="AH1608" s="28"/>
      <c r="AI1608" s="28"/>
      <c r="AJ1608" s="28"/>
      <c r="AK1608" s="28"/>
      <c r="AL1608" s="28"/>
      <c r="AM1608" s="28"/>
      <c r="AN1608" s="28"/>
      <c r="AO1608" s="28"/>
      <c r="AP1608" s="28"/>
      <c r="AQ1608" s="28"/>
      <c r="AR1608" s="28"/>
      <c r="AS1608" s="28"/>
      <c r="AT1608" s="5"/>
      <c r="AU1608" s="28"/>
      <c r="AV1608" s="28"/>
      <c r="AX1608" s="28"/>
      <c r="AY1608" s="28"/>
      <c r="BA1608" s="28"/>
      <c r="BB1608" s="28"/>
      <c r="BF1608" s="28"/>
      <c r="BH1608" s="28"/>
      <c r="BI1608" s="28"/>
      <c r="BJ1608" s="38"/>
      <c r="BK1608" s="28"/>
    </row>
    <row r="1609" customFormat="false" ht="15.75" hidden="false" customHeight="false" outlineLevel="0" collapsed="false">
      <c r="A1609" s="28"/>
      <c r="B1609" s="28"/>
      <c r="C1609" s="28"/>
      <c r="D1609" s="5"/>
      <c r="E1609" s="38"/>
      <c r="F1609" s="28"/>
      <c r="G1609" s="28"/>
      <c r="H1609" s="38"/>
      <c r="I1609" s="28"/>
      <c r="J1609" s="40"/>
      <c r="K1609" s="40"/>
      <c r="L1609" s="5"/>
      <c r="M1609" s="5"/>
      <c r="N1609" s="28"/>
      <c r="O1609" s="28"/>
      <c r="P1609" s="28"/>
      <c r="Q1609" s="28"/>
      <c r="R1609" s="28"/>
      <c r="S1609" s="28"/>
      <c r="T1609" s="28"/>
      <c r="V1609" s="28"/>
      <c r="W1609" s="5"/>
      <c r="X1609" s="5"/>
      <c r="Z1609" s="28"/>
      <c r="AA1609" s="28"/>
      <c r="AB1609" s="28"/>
      <c r="AC1609" s="28"/>
      <c r="AD1609" s="28"/>
      <c r="AE1609" s="28"/>
      <c r="AF1609" s="28"/>
      <c r="AG1609" s="28"/>
      <c r="AH1609" s="28"/>
      <c r="AI1609" s="28"/>
      <c r="AJ1609" s="28"/>
      <c r="AK1609" s="28"/>
      <c r="AL1609" s="28"/>
      <c r="AM1609" s="28"/>
      <c r="AN1609" s="28"/>
      <c r="AO1609" s="28"/>
      <c r="AP1609" s="28"/>
      <c r="AQ1609" s="28"/>
      <c r="AR1609" s="28"/>
      <c r="AS1609" s="28"/>
      <c r="AT1609" s="5"/>
      <c r="AU1609" s="28"/>
      <c r="AV1609" s="28"/>
      <c r="AX1609" s="28"/>
      <c r="AY1609" s="28"/>
      <c r="BA1609" s="28"/>
      <c r="BB1609" s="28"/>
      <c r="BF1609" s="28"/>
      <c r="BH1609" s="28"/>
      <c r="BI1609" s="28"/>
      <c r="BJ1609" s="38"/>
      <c r="BK1609" s="28"/>
    </row>
    <row r="1610" customFormat="false" ht="15.75" hidden="false" customHeight="false" outlineLevel="0" collapsed="false">
      <c r="A1610" s="28"/>
      <c r="B1610" s="28"/>
      <c r="C1610" s="28"/>
      <c r="D1610" s="5"/>
      <c r="E1610" s="38"/>
      <c r="F1610" s="28"/>
      <c r="G1610" s="28"/>
      <c r="H1610" s="38"/>
      <c r="I1610" s="28"/>
      <c r="J1610" s="40"/>
      <c r="K1610" s="40"/>
      <c r="L1610" s="5"/>
      <c r="M1610" s="5"/>
      <c r="N1610" s="28"/>
      <c r="O1610" s="28"/>
      <c r="P1610" s="28"/>
      <c r="Q1610" s="28"/>
      <c r="R1610" s="28"/>
      <c r="S1610" s="28"/>
      <c r="T1610" s="28"/>
      <c r="V1610" s="28"/>
      <c r="W1610" s="5"/>
      <c r="X1610" s="5"/>
      <c r="Z1610" s="28"/>
      <c r="AA1610" s="28"/>
      <c r="AB1610" s="28"/>
      <c r="AC1610" s="28"/>
      <c r="AD1610" s="28"/>
      <c r="AE1610" s="28"/>
      <c r="AF1610" s="28"/>
      <c r="AG1610" s="28"/>
      <c r="AH1610" s="28"/>
      <c r="AI1610" s="28"/>
      <c r="AJ1610" s="28"/>
      <c r="AK1610" s="28"/>
      <c r="AL1610" s="28"/>
      <c r="AM1610" s="28"/>
      <c r="AN1610" s="28"/>
      <c r="AO1610" s="28"/>
      <c r="AP1610" s="28"/>
      <c r="AQ1610" s="28"/>
      <c r="AR1610" s="28"/>
      <c r="AS1610" s="28"/>
      <c r="AT1610" s="5"/>
      <c r="AU1610" s="28"/>
      <c r="AV1610" s="28"/>
      <c r="AX1610" s="28"/>
      <c r="AY1610" s="28"/>
      <c r="BA1610" s="28"/>
      <c r="BB1610" s="28"/>
      <c r="BF1610" s="28"/>
      <c r="BH1610" s="28"/>
      <c r="BI1610" s="28"/>
      <c r="BJ1610" s="38"/>
      <c r="BK1610" s="28"/>
    </row>
    <row r="1611" customFormat="false" ht="15.75" hidden="false" customHeight="false" outlineLevel="0" collapsed="false">
      <c r="A1611" s="28"/>
      <c r="B1611" s="28"/>
      <c r="C1611" s="28"/>
      <c r="D1611" s="5"/>
      <c r="E1611" s="38"/>
      <c r="F1611" s="28"/>
      <c r="G1611" s="28"/>
      <c r="H1611" s="38"/>
      <c r="I1611" s="28"/>
      <c r="J1611" s="40"/>
      <c r="K1611" s="40"/>
      <c r="L1611" s="5"/>
      <c r="M1611" s="5"/>
      <c r="N1611" s="28"/>
      <c r="O1611" s="28"/>
      <c r="P1611" s="28"/>
      <c r="Q1611" s="28"/>
      <c r="R1611" s="28"/>
      <c r="S1611" s="28"/>
      <c r="T1611" s="28"/>
      <c r="V1611" s="28"/>
      <c r="W1611" s="5"/>
      <c r="X1611" s="5"/>
      <c r="Z1611" s="28"/>
      <c r="AA1611" s="28"/>
      <c r="AB1611" s="28"/>
      <c r="AC1611" s="28"/>
      <c r="AD1611" s="28"/>
      <c r="AE1611" s="28"/>
      <c r="AF1611" s="28"/>
      <c r="AG1611" s="28"/>
      <c r="AH1611" s="28"/>
      <c r="AI1611" s="28"/>
      <c r="AJ1611" s="28"/>
      <c r="AK1611" s="28"/>
      <c r="AL1611" s="28"/>
      <c r="AM1611" s="28"/>
      <c r="AN1611" s="28"/>
      <c r="AO1611" s="28"/>
      <c r="AP1611" s="28"/>
      <c r="AQ1611" s="28"/>
      <c r="AR1611" s="28"/>
      <c r="AS1611" s="28"/>
      <c r="AT1611" s="5"/>
      <c r="AU1611" s="28"/>
      <c r="AV1611" s="28"/>
      <c r="AX1611" s="28"/>
      <c r="AY1611" s="28"/>
      <c r="BA1611" s="28"/>
      <c r="BB1611" s="28"/>
      <c r="BF1611" s="28"/>
      <c r="BH1611" s="28"/>
      <c r="BI1611" s="28"/>
      <c r="BJ1611" s="38"/>
      <c r="BK1611" s="28"/>
    </row>
    <row r="1612" customFormat="false" ht="15.75" hidden="false" customHeight="false" outlineLevel="0" collapsed="false">
      <c r="A1612" s="28"/>
      <c r="B1612" s="28"/>
      <c r="C1612" s="28"/>
      <c r="D1612" s="5"/>
      <c r="E1612" s="38"/>
      <c r="F1612" s="28"/>
      <c r="G1612" s="28"/>
      <c r="H1612" s="38"/>
      <c r="I1612" s="28"/>
      <c r="J1612" s="40"/>
      <c r="K1612" s="40"/>
      <c r="L1612" s="5"/>
      <c r="M1612" s="5"/>
      <c r="N1612" s="28"/>
      <c r="O1612" s="28"/>
      <c r="P1612" s="28"/>
      <c r="Q1612" s="28"/>
      <c r="R1612" s="28"/>
      <c r="S1612" s="28"/>
      <c r="T1612" s="28"/>
      <c r="V1612" s="28"/>
      <c r="W1612" s="5"/>
      <c r="X1612" s="5"/>
      <c r="Z1612" s="28"/>
      <c r="AA1612" s="28"/>
      <c r="AB1612" s="28"/>
      <c r="AC1612" s="28"/>
      <c r="AD1612" s="28"/>
      <c r="AE1612" s="28"/>
      <c r="AF1612" s="28"/>
      <c r="AG1612" s="28"/>
      <c r="AH1612" s="28"/>
      <c r="AI1612" s="28"/>
      <c r="AJ1612" s="28"/>
      <c r="AK1612" s="28"/>
      <c r="AL1612" s="28"/>
      <c r="AM1612" s="28"/>
      <c r="AN1612" s="28"/>
      <c r="AO1612" s="28"/>
      <c r="AP1612" s="28"/>
      <c r="AQ1612" s="28"/>
      <c r="AR1612" s="28"/>
      <c r="AS1612" s="28"/>
      <c r="AT1612" s="5"/>
      <c r="AU1612" s="28"/>
      <c r="AV1612" s="28"/>
      <c r="AX1612" s="28"/>
      <c r="AY1612" s="28"/>
      <c r="BA1612" s="28"/>
      <c r="BB1612" s="28"/>
      <c r="BF1612" s="28"/>
      <c r="BH1612" s="28"/>
      <c r="BI1612" s="28"/>
      <c r="BJ1612" s="38"/>
      <c r="BK1612" s="28"/>
    </row>
    <row r="1613" customFormat="false" ht="15.75" hidden="false" customHeight="false" outlineLevel="0" collapsed="false">
      <c r="A1613" s="28"/>
      <c r="B1613" s="28"/>
      <c r="C1613" s="28"/>
      <c r="D1613" s="5"/>
      <c r="E1613" s="38"/>
      <c r="F1613" s="28"/>
      <c r="G1613" s="28"/>
      <c r="H1613" s="38"/>
      <c r="I1613" s="28"/>
      <c r="J1613" s="40"/>
      <c r="K1613" s="40"/>
      <c r="L1613" s="5"/>
      <c r="M1613" s="5"/>
      <c r="N1613" s="28"/>
      <c r="O1613" s="28"/>
      <c r="P1613" s="28"/>
      <c r="Q1613" s="28"/>
      <c r="R1613" s="28"/>
      <c r="S1613" s="28"/>
      <c r="T1613" s="28"/>
      <c r="V1613" s="28"/>
      <c r="W1613" s="5"/>
      <c r="X1613" s="5"/>
      <c r="Z1613" s="28"/>
      <c r="AA1613" s="28"/>
      <c r="AB1613" s="28"/>
      <c r="AC1613" s="28"/>
      <c r="AD1613" s="28"/>
      <c r="AE1613" s="28"/>
      <c r="AF1613" s="28"/>
      <c r="AG1613" s="28"/>
      <c r="AH1613" s="28"/>
      <c r="AI1613" s="28"/>
      <c r="AJ1613" s="28"/>
      <c r="AK1613" s="28"/>
      <c r="AL1613" s="28"/>
      <c r="AM1613" s="28"/>
      <c r="AN1613" s="28"/>
      <c r="AO1613" s="28"/>
      <c r="AP1613" s="28"/>
      <c r="AQ1613" s="28"/>
      <c r="AR1613" s="28"/>
      <c r="AS1613" s="28"/>
      <c r="AT1613" s="5"/>
      <c r="AU1613" s="28"/>
      <c r="AV1613" s="28"/>
      <c r="AX1613" s="28"/>
      <c r="AY1613" s="28"/>
      <c r="BA1613" s="28"/>
      <c r="BB1613" s="28"/>
      <c r="BF1613" s="28"/>
      <c r="BH1613" s="28"/>
      <c r="BI1613" s="28"/>
      <c r="BJ1613" s="38"/>
      <c r="BK1613" s="28"/>
    </row>
    <row r="1614" customFormat="false" ht="15.75" hidden="false" customHeight="false" outlineLevel="0" collapsed="false">
      <c r="A1614" s="28"/>
      <c r="B1614" s="28"/>
      <c r="C1614" s="28"/>
      <c r="D1614" s="5"/>
      <c r="E1614" s="38"/>
      <c r="F1614" s="28"/>
      <c r="G1614" s="28"/>
      <c r="H1614" s="38"/>
      <c r="I1614" s="28"/>
      <c r="J1614" s="40"/>
      <c r="K1614" s="40"/>
      <c r="L1614" s="5"/>
      <c r="M1614" s="5"/>
      <c r="N1614" s="28"/>
      <c r="O1614" s="28"/>
      <c r="P1614" s="28"/>
      <c r="Q1614" s="28"/>
      <c r="R1614" s="28"/>
      <c r="S1614" s="28"/>
      <c r="T1614" s="28"/>
      <c r="V1614" s="28"/>
      <c r="W1614" s="5"/>
      <c r="X1614" s="5"/>
      <c r="Z1614" s="28"/>
      <c r="AA1614" s="28"/>
      <c r="AB1614" s="28"/>
      <c r="AC1614" s="28"/>
      <c r="AD1614" s="28"/>
      <c r="AE1614" s="28"/>
      <c r="AF1614" s="28"/>
      <c r="AG1614" s="28"/>
      <c r="AH1614" s="28"/>
      <c r="AI1614" s="28"/>
      <c r="AJ1614" s="28"/>
      <c r="AK1614" s="28"/>
      <c r="AL1614" s="28"/>
      <c r="AM1614" s="28"/>
      <c r="AN1614" s="28"/>
      <c r="AO1614" s="28"/>
      <c r="AP1614" s="28"/>
      <c r="AQ1614" s="28"/>
      <c r="AR1614" s="28"/>
      <c r="AS1614" s="28"/>
      <c r="AT1614" s="5"/>
      <c r="AU1614" s="28"/>
      <c r="AV1614" s="28"/>
      <c r="AX1614" s="28"/>
      <c r="AY1614" s="28"/>
      <c r="BA1614" s="28"/>
      <c r="BB1614" s="28"/>
      <c r="BF1614" s="28"/>
      <c r="BH1614" s="28"/>
      <c r="BI1614" s="28"/>
      <c r="BJ1614" s="38"/>
      <c r="BK1614" s="28"/>
    </row>
    <row r="1615" customFormat="false" ht="15.75" hidden="false" customHeight="false" outlineLevel="0" collapsed="false">
      <c r="A1615" s="28"/>
      <c r="B1615" s="28"/>
      <c r="C1615" s="28"/>
      <c r="D1615" s="5"/>
      <c r="E1615" s="38"/>
      <c r="F1615" s="28"/>
      <c r="G1615" s="28"/>
      <c r="H1615" s="38"/>
      <c r="I1615" s="28"/>
      <c r="J1615" s="40"/>
      <c r="K1615" s="40"/>
      <c r="L1615" s="5"/>
      <c r="M1615" s="5"/>
      <c r="N1615" s="28"/>
      <c r="O1615" s="28"/>
      <c r="P1615" s="28"/>
      <c r="Q1615" s="28"/>
      <c r="R1615" s="28"/>
      <c r="S1615" s="28"/>
      <c r="T1615" s="28"/>
      <c r="V1615" s="28"/>
      <c r="W1615" s="5"/>
      <c r="X1615" s="5"/>
      <c r="Z1615" s="28"/>
      <c r="AA1615" s="28"/>
      <c r="AB1615" s="28"/>
      <c r="AC1615" s="28"/>
      <c r="AD1615" s="28"/>
      <c r="AE1615" s="28"/>
      <c r="AF1615" s="28"/>
      <c r="AG1615" s="28"/>
      <c r="AH1615" s="28"/>
      <c r="AI1615" s="28"/>
      <c r="AJ1615" s="28"/>
      <c r="AK1615" s="28"/>
      <c r="AL1615" s="28"/>
      <c r="AM1615" s="28"/>
      <c r="AN1615" s="28"/>
      <c r="AO1615" s="28"/>
      <c r="AP1615" s="28"/>
      <c r="AQ1615" s="28"/>
      <c r="AR1615" s="28"/>
      <c r="AS1615" s="28"/>
      <c r="AT1615" s="5"/>
      <c r="AU1615" s="28"/>
      <c r="AV1615" s="28"/>
      <c r="AX1615" s="28"/>
      <c r="AY1615" s="28"/>
      <c r="BA1615" s="28"/>
      <c r="BB1615" s="28"/>
      <c r="BF1615" s="28"/>
      <c r="BH1615" s="28"/>
      <c r="BI1615" s="28"/>
      <c r="BJ1615" s="38"/>
      <c r="BK1615" s="28"/>
    </row>
    <row r="1616" customFormat="false" ht="15.75" hidden="false" customHeight="false" outlineLevel="0" collapsed="false">
      <c r="A1616" s="28"/>
      <c r="B1616" s="28"/>
      <c r="C1616" s="28"/>
      <c r="D1616" s="5"/>
      <c r="E1616" s="38"/>
      <c r="F1616" s="28"/>
      <c r="G1616" s="28"/>
      <c r="H1616" s="38"/>
      <c r="I1616" s="28"/>
      <c r="J1616" s="40"/>
      <c r="K1616" s="40"/>
      <c r="L1616" s="5"/>
      <c r="M1616" s="5"/>
      <c r="N1616" s="28"/>
      <c r="O1616" s="28"/>
      <c r="P1616" s="28"/>
      <c r="Q1616" s="28"/>
      <c r="R1616" s="28"/>
      <c r="S1616" s="28"/>
      <c r="T1616" s="28"/>
      <c r="V1616" s="28"/>
      <c r="W1616" s="5"/>
      <c r="X1616" s="5"/>
      <c r="Z1616" s="28"/>
      <c r="AA1616" s="28"/>
      <c r="AB1616" s="28"/>
      <c r="AC1616" s="28"/>
      <c r="AD1616" s="28"/>
      <c r="AE1616" s="28"/>
      <c r="AF1616" s="28"/>
      <c r="AG1616" s="28"/>
      <c r="AH1616" s="28"/>
      <c r="AI1616" s="28"/>
      <c r="AJ1616" s="28"/>
      <c r="AK1616" s="28"/>
      <c r="AL1616" s="28"/>
      <c r="AM1616" s="28"/>
      <c r="AN1616" s="28"/>
      <c r="AO1616" s="28"/>
      <c r="AP1616" s="28"/>
      <c r="AQ1616" s="28"/>
      <c r="AR1616" s="28"/>
      <c r="AS1616" s="28"/>
      <c r="AT1616" s="5"/>
      <c r="AU1616" s="28"/>
      <c r="AV1616" s="28"/>
      <c r="AX1616" s="28"/>
      <c r="AY1616" s="28"/>
      <c r="BA1616" s="28"/>
      <c r="BB1616" s="28"/>
      <c r="BF1616" s="28"/>
      <c r="BH1616" s="28"/>
      <c r="BI1616" s="28"/>
      <c r="BJ1616" s="38"/>
      <c r="BK1616" s="28"/>
    </row>
    <row r="1617" customFormat="false" ht="15.75" hidden="false" customHeight="false" outlineLevel="0" collapsed="false">
      <c r="A1617" s="28"/>
      <c r="B1617" s="28"/>
      <c r="C1617" s="28"/>
      <c r="D1617" s="5"/>
      <c r="E1617" s="38"/>
      <c r="F1617" s="28"/>
      <c r="G1617" s="28"/>
      <c r="H1617" s="38"/>
      <c r="I1617" s="28"/>
      <c r="J1617" s="40"/>
      <c r="K1617" s="40"/>
      <c r="L1617" s="5"/>
      <c r="M1617" s="5"/>
      <c r="N1617" s="28"/>
      <c r="O1617" s="28"/>
      <c r="P1617" s="28"/>
      <c r="Q1617" s="28"/>
      <c r="R1617" s="28"/>
      <c r="S1617" s="28"/>
      <c r="T1617" s="28"/>
      <c r="V1617" s="28"/>
      <c r="W1617" s="5"/>
      <c r="X1617" s="5"/>
      <c r="Z1617" s="28"/>
      <c r="AA1617" s="28"/>
      <c r="AB1617" s="28"/>
      <c r="AC1617" s="28"/>
      <c r="AD1617" s="28"/>
      <c r="AE1617" s="28"/>
      <c r="AF1617" s="28"/>
      <c r="AG1617" s="28"/>
      <c r="AH1617" s="28"/>
      <c r="AI1617" s="28"/>
      <c r="AJ1617" s="28"/>
      <c r="AK1617" s="28"/>
      <c r="AL1617" s="28"/>
      <c r="AM1617" s="28"/>
      <c r="AN1617" s="28"/>
      <c r="AO1617" s="28"/>
      <c r="AP1617" s="28"/>
      <c r="AQ1617" s="28"/>
      <c r="AR1617" s="28"/>
      <c r="AS1617" s="28"/>
      <c r="AT1617" s="5"/>
      <c r="AU1617" s="28"/>
      <c r="AV1617" s="28"/>
      <c r="AX1617" s="28"/>
      <c r="AY1617" s="28"/>
      <c r="BA1617" s="28"/>
      <c r="BB1617" s="28"/>
      <c r="BF1617" s="28"/>
      <c r="BH1617" s="28"/>
      <c r="BI1617" s="28"/>
      <c r="BJ1617" s="38"/>
      <c r="BK1617" s="28"/>
    </row>
    <row r="1618" customFormat="false" ht="15.75" hidden="false" customHeight="false" outlineLevel="0" collapsed="false">
      <c r="A1618" s="28"/>
      <c r="B1618" s="28"/>
      <c r="C1618" s="28"/>
      <c r="D1618" s="5"/>
      <c r="E1618" s="38"/>
      <c r="F1618" s="28"/>
      <c r="G1618" s="28"/>
      <c r="H1618" s="38"/>
      <c r="I1618" s="28"/>
      <c r="J1618" s="40"/>
      <c r="K1618" s="40"/>
      <c r="L1618" s="5"/>
      <c r="M1618" s="5"/>
      <c r="N1618" s="28"/>
      <c r="O1618" s="28"/>
      <c r="P1618" s="28"/>
      <c r="Q1618" s="28"/>
      <c r="R1618" s="28"/>
      <c r="S1618" s="28"/>
      <c r="T1618" s="28"/>
      <c r="V1618" s="28"/>
      <c r="W1618" s="5"/>
      <c r="X1618" s="5"/>
      <c r="Z1618" s="28"/>
      <c r="AA1618" s="28"/>
      <c r="AB1618" s="28"/>
      <c r="AC1618" s="28"/>
      <c r="AD1618" s="28"/>
      <c r="AE1618" s="28"/>
      <c r="AF1618" s="28"/>
      <c r="AG1618" s="28"/>
      <c r="AH1618" s="28"/>
      <c r="AI1618" s="28"/>
      <c r="AJ1618" s="28"/>
      <c r="AK1618" s="28"/>
      <c r="AL1618" s="28"/>
      <c r="AM1618" s="28"/>
      <c r="AN1618" s="28"/>
      <c r="AO1618" s="28"/>
      <c r="AP1618" s="28"/>
      <c r="AQ1618" s="28"/>
      <c r="AR1618" s="28"/>
      <c r="AS1618" s="28"/>
      <c r="AT1618" s="5"/>
      <c r="AU1618" s="28"/>
      <c r="AV1618" s="28"/>
      <c r="AX1618" s="28"/>
      <c r="AY1618" s="28"/>
      <c r="BA1618" s="28"/>
      <c r="BB1618" s="28"/>
      <c r="BF1618" s="28"/>
      <c r="BH1618" s="28"/>
      <c r="BI1618" s="28"/>
      <c r="BJ1618" s="38"/>
      <c r="BK1618" s="28"/>
    </row>
    <row r="1619" customFormat="false" ht="15.75" hidden="false" customHeight="false" outlineLevel="0" collapsed="false">
      <c r="A1619" s="28"/>
      <c r="B1619" s="28"/>
      <c r="C1619" s="28"/>
      <c r="D1619" s="5"/>
      <c r="E1619" s="38"/>
      <c r="F1619" s="28"/>
      <c r="G1619" s="28"/>
      <c r="H1619" s="38"/>
      <c r="I1619" s="28"/>
      <c r="J1619" s="40"/>
      <c r="K1619" s="40"/>
      <c r="L1619" s="5"/>
      <c r="M1619" s="5"/>
      <c r="N1619" s="28"/>
      <c r="O1619" s="28"/>
      <c r="P1619" s="28"/>
      <c r="Q1619" s="28"/>
      <c r="R1619" s="28"/>
      <c r="S1619" s="28"/>
      <c r="T1619" s="28"/>
      <c r="V1619" s="28"/>
      <c r="W1619" s="5"/>
      <c r="X1619" s="5"/>
      <c r="Z1619" s="28"/>
      <c r="AA1619" s="28"/>
      <c r="AB1619" s="28"/>
      <c r="AC1619" s="28"/>
      <c r="AD1619" s="28"/>
      <c r="AE1619" s="28"/>
      <c r="AF1619" s="28"/>
      <c r="AG1619" s="28"/>
      <c r="AH1619" s="28"/>
      <c r="AI1619" s="28"/>
      <c r="AJ1619" s="28"/>
      <c r="AK1619" s="28"/>
      <c r="AL1619" s="28"/>
      <c r="AM1619" s="28"/>
      <c r="AN1619" s="28"/>
      <c r="AO1619" s="28"/>
      <c r="AP1619" s="28"/>
      <c r="AQ1619" s="28"/>
      <c r="AR1619" s="28"/>
      <c r="AS1619" s="28"/>
      <c r="AT1619" s="5"/>
      <c r="AU1619" s="28"/>
      <c r="AV1619" s="28"/>
      <c r="AX1619" s="28"/>
      <c r="AY1619" s="28"/>
      <c r="BA1619" s="28"/>
      <c r="BB1619" s="28"/>
      <c r="BF1619" s="28"/>
      <c r="BH1619" s="28"/>
      <c r="BI1619" s="28"/>
      <c r="BJ1619" s="38"/>
      <c r="BK1619" s="28"/>
    </row>
    <row r="1620" customFormat="false" ht="15.75" hidden="false" customHeight="false" outlineLevel="0" collapsed="false">
      <c r="A1620" s="28"/>
      <c r="B1620" s="28"/>
      <c r="C1620" s="28"/>
      <c r="D1620" s="5"/>
      <c r="E1620" s="38"/>
      <c r="F1620" s="28"/>
      <c r="G1620" s="28"/>
      <c r="H1620" s="38"/>
      <c r="I1620" s="28"/>
      <c r="J1620" s="40"/>
      <c r="K1620" s="40"/>
      <c r="L1620" s="5"/>
      <c r="M1620" s="5"/>
      <c r="N1620" s="28"/>
      <c r="O1620" s="28"/>
      <c r="P1620" s="28"/>
      <c r="Q1620" s="28"/>
      <c r="R1620" s="28"/>
      <c r="S1620" s="28"/>
      <c r="T1620" s="28"/>
      <c r="V1620" s="28"/>
      <c r="W1620" s="5"/>
      <c r="X1620" s="5"/>
      <c r="Z1620" s="28"/>
      <c r="AA1620" s="28"/>
      <c r="AB1620" s="28"/>
      <c r="AC1620" s="28"/>
      <c r="AD1620" s="28"/>
      <c r="AE1620" s="28"/>
      <c r="AF1620" s="28"/>
      <c r="AG1620" s="28"/>
      <c r="AH1620" s="28"/>
      <c r="AI1620" s="28"/>
      <c r="AJ1620" s="28"/>
      <c r="AK1620" s="28"/>
      <c r="AL1620" s="28"/>
      <c r="AM1620" s="28"/>
      <c r="AN1620" s="28"/>
      <c r="AO1620" s="28"/>
      <c r="AP1620" s="28"/>
      <c r="AQ1620" s="28"/>
      <c r="AR1620" s="28"/>
      <c r="AS1620" s="28"/>
      <c r="AT1620" s="5"/>
      <c r="AU1620" s="28"/>
      <c r="AV1620" s="28"/>
      <c r="AX1620" s="28"/>
      <c r="AY1620" s="28"/>
      <c r="BA1620" s="28"/>
      <c r="BB1620" s="28"/>
      <c r="BF1620" s="28"/>
      <c r="BH1620" s="28"/>
      <c r="BI1620" s="28"/>
      <c r="BJ1620" s="38"/>
      <c r="BK1620" s="28"/>
    </row>
    <row r="1621" customFormat="false" ht="15.75" hidden="false" customHeight="false" outlineLevel="0" collapsed="false">
      <c r="A1621" s="28"/>
      <c r="B1621" s="28"/>
      <c r="C1621" s="28"/>
      <c r="D1621" s="5"/>
      <c r="E1621" s="38"/>
      <c r="F1621" s="28"/>
      <c r="G1621" s="28"/>
      <c r="H1621" s="38"/>
      <c r="I1621" s="28"/>
      <c r="J1621" s="40"/>
      <c r="K1621" s="40"/>
      <c r="L1621" s="5"/>
      <c r="M1621" s="5"/>
      <c r="N1621" s="28"/>
      <c r="O1621" s="28"/>
      <c r="P1621" s="28"/>
      <c r="Q1621" s="28"/>
      <c r="R1621" s="28"/>
      <c r="S1621" s="28"/>
      <c r="T1621" s="28"/>
      <c r="V1621" s="28"/>
      <c r="W1621" s="5"/>
      <c r="X1621" s="5"/>
      <c r="Z1621" s="28"/>
      <c r="AA1621" s="28"/>
      <c r="AB1621" s="28"/>
      <c r="AC1621" s="28"/>
      <c r="AD1621" s="28"/>
      <c r="AE1621" s="28"/>
      <c r="AF1621" s="28"/>
      <c r="AG1621" s="28"/>
      <c r="AH1621" s="28"/>
      <c r="AI1621" s="28"/>
      <c r="AJ1621" s="28"/>
      <c r="AK1621" s="28"/>
      <c r="AL1621" s="28"/>
      <c r="AM1621" s="28"/>
      <c r="AN1621" s="28"/>
      <c r="AO1621" s="28"/>
      <c r="AP1621" s="28"/>
      <c r="AQ1621" s="28"/>
      <c r="AR1621" s="28"/>
      <c r="AS1621" s="28"/>
      <c r="AT1621" s="5"/>
      <c r="AU1621" s="28"/>
      <c r="AV1621" s="28"/>
      <c r="AX1621" s="28"/>
      <c r="AY1621" s="28"/>
      <c r="BA1621" s="28"/>
      <c r="BB1621" s="28"/>
      <c r="BF1621" s="28"/>
      <c r="BH1621" s="28"/>
      <c r="BI1621" s="28"/>
      <c r="BJ1621" s="38"/>
      <c r="BK1621" s="28"/>
    </row>
    <row r="1622" customFormat="false" ht="15.75" hidden="false" customHeight="false" outlineLevel="0" collapsed="false">
      <c r="A1622" s="28"/>
      <c r="B1622" s="28"/>
      <c r="C1622" s="28"/>
      <c r="D1622" s="5"/>
      <c r="E1622" s="38"/>
      <c r="F1622" s="28"/>
      <c r="G1622" s="28"/>
      <c r="H1622" s="38"/>
      <c r="I1622" s="28"/>
      <c r="J1622" s="40"/>
      <c r="K1622" s="40"/>
      <c r="L1622" s="5"/>
      <c r="M1622" s="5"/>
      <c r="N1622" s="28"/>
      <c r="O1622" s="28"/>
      <c r="P1622" s="28"/>
      <c r="Q1622" s="28"/>
      <c r="R1622" s="28"/>
      <c r="S1622" s="28"/>
      <c r="T1622" s="28"/>
      <c r="V1622" s="28"/>
      <c r="W1622" s="5"/>
      <c r="X1622" s="5"/>
      <c r="Z1622" s="28"/>
      <c r="AA1622" s="28"/>
      <c r="AB1622" s="28"/>
      <c r="AC1622" s="28"/>
      <c r="AD1622" s="28"/>
      <c r="AE1622" s="28"/>
      <c r="AF1622" s="28"/>
      <c r="AG1622" s="28"/>
      <c r="AH1622" s="28"/>
      <c r="AI1622" s="28"/>
      <c r="AJ1622" s="28"/>
      <c r="AK1622" s="28"/>
      <c r="AL1622" s="28"/>
      <c r="AM1622" s="28"/>
      <c r="AN1622" s="28"/>
      <c r="AO1622" s="28"/>
      <c r="AP1622" s="28"/>
      <c r="AQ1622" s="28"/>
      <c r="AR1622" s="28"/>
      <c r="AS1622" s="28"/>
      <c r="AT1622" s="5"/>
      <c r="AU1622" s="28"/>
      <c r="AV1622" s="28"/>
      <c r="AX1622" s="28"/>
      <c r="AY1622" s="28"/>
      <c r="BA1622" s="28"/>
      <c r="BB1622" s="28"/>
      <c r="BF1622" s="28"/>
      <c r="BH1622" s="28"/>
      <c r="BI1622" s="28"/>
      <c r="BJ1622" s="38"/>
      <c r="BK1622" s="28"/>
    </row>
    <row r="1623" customFormat="false" ht="15.75" hidden="false" customHeight="false" outlineLevel="0" collapsed="false">
      <c r="A1623" s="28"/>
      <c r="B1623" s="28"/>
      <c r="C1623" s="28"/>
      <c r="D1623" s="5"/>
      <c r="E1623" s="38"/>
      <c r="F1623" s="28"/>
      <c r="G1623" s="28"/>
      <c r="H1623" s="38"/>
      <c r="I1623" s="28"/>
      <c r="J1623" s="40"/>
      <c r="K1623" s="40"/>
      <c r="L1623" s="5"/>
      <c r="M1623" s="5"/>
      <c r="N1623" s="28"/>
      <c r="O1623" s="28"/>
      <c r="P1623" s="28"/>
      <c r="Q1623" s="28"/>
      <c r="R1623" s="28"/>
      <c r="S1623" s="28"/>
      <c r="T1623" s="28"/>
      <c r="V1623" s="28"/>
      <c r="W1623" s="5"/>
      <c r="X1623" s="5"/>
      <c r="Z1623" s="28"/>
      <c r="AA1623" s="28"/>
      <c r="AB1623" s="28"/>
      <c r="AC1623" s="28"/>
      <c r="AD1623" s="28"/>
      <c r="AE1623" s="28"/>
      <c r="AF1623" s="28"/>
      <c r="AG1623" s="28"/>
      <c r="AH1623" s="28"/>
      <c r="AI1623" s="28"/>
      <c r="AJ1623" s="28"/>
      <c r="AK1623" s="28"/>
      <c r="AL1623" s="28"/>
      <c r="AM1623" s="28"/>
      <c r="AN1623" s="28"/>
      <c r="AO1623" s="28"/>
      <c r="AP1623" s="28"/>
      <c r="AQ1623" s="28"/>
      <c r="AR1623" s="28"/>
      <c r="AS1623" s="28"/>
      <c r="AT1623" s="5"/>
      <c r="AU1623" s="28"/>
      <c r="AV1623" s="28"/>
      <c r="AX1623" s="28"/>
      <c r="AY1623" s="28"/>
      <c r="BA1623" s="28"/>
      <c r="BB1623" s="28"/>
      <c r="BF1623" s="28"/>
      <c r="BH1623" s="28"/>
      <c r="BI1623" s="28"/>
      <c r="BJ1623" s="38"/>
      <c r="BK1623" s="28"/>
    </row>
    <row r="1624" customFormat="false" ht="15.75" hidden="false" customHeight="false" outlineLevel="0" collapsed="false">
      <c r="A1624" s="28"/>
      <c r="B1624" s="28"/>
      <c r="C1624" s="28"/>
      <c r="D1624" s="5"/>
      <c r="E1624" s="38"/>
      <c r="F1624" s="28"/>
      <c r="G1624" s="28"/>
      <c r="H1624" s="38"/>
      <c r="I1624" s="28"/>
      <c r="J1624" s="40"/>
      <c r="K1624" s="40"/>
      <c r="L1624" s="5"/>
      <c r="M1624" s="5"/>
      <c r="N1624" s="28"/>
      <c r="O1624" s="28"/>
      <c r="P1624" s="28"/>
      <c r="Q1624" s="28"/>
      <c r="R1624" s="28"/>
      <c r="S1624" s="28"/>
      <c r="T1624" s="28"/>
      <c r="V1624" s="28"/>
      <c r="W1624" s="5"/>
      <c r="X1624" s="5"/>
      <c r="Z1624" s="28"/>
      <c r="AA1624" s="28"/>
      <c r="AB1624" s="28"/>
      <c r="AC1624" s="28"/>
      <c r="AD1624" s="28"/>
      <c r="AE1624" s="28"/>
      <c r="AF1624" s="28"/>
      <c r="AG1624" s="28"/>
      <c r="AH1624" s="28"/>
      <c r="AI1624" s="28"/>
      <c r="AJ1624" s="28"/>
      <c r="AK1624" s="28"/>
      <c r="AL1624" s="28"/>
      <c r="AM1624" s="28"/>
      <c r="AN1624" s="28"/>
      <c r="AO1624" s="28"/>
      <c r="AP1624" s="28"/>
      <c r="AQ1624" s="28"/>
      <c r="AR1624" s="28"/>
      <c r="AS1624" s="28"/>
      <c r="AT1624" s="5"/>
      <c r="AU1624" s="28"/>
      <c r="AV1624" s="28"/>
      <c r="AX1624" s="28"/>
      <c r="AY1624" s="28"/>
      <c r="BA1624" s="28"/>
      <c r="BB1624" s="28"/>
      <c r="BF1624" s="28"/>
      <c r="BH1624" s="28"/>
      <c r="BI1624" s="28"/>
      <c r="BJ1624" s="38"/>
      <c r="BK1624" s="28"/>
    </row>
    <row r="1625" customFormat="false" ht="15.75" hidden="false" customHeight="false" outlineLevel="0" collapsed="false">
      <c r="A1625" s="28"/>
      <c r="B1625" s="28"/>
      <c r="C1625" s="28"/>
      <c r="D1625" s="5"/>
      <c r="E1625" s="38"/>
      <c r="F1625" s="28"/>
      <c r="G1625" s="28"/>
      <c r="H1625" s="38"/>
      <c r="I1625" s="28"/>
      <c r="J1625" s="40"/>
      <c r="K1625" s="40"/>
      <c r="L1625" s="5"/>
      <c r="M1625" s="5"/>
      <c r="N1625" s="28"/>
      <c r="O1625" s="28"/>
      <c r="P1625" s="28"/>
      <c r="Q1625" s="28"/>
      <c r="R1625" s="28"/>
      <c r="S1625" s="28"/>
      <c r="T1625" s="28"/>
      <c r="V1625" s="28"/>
      <c r="W1625" s="5"/>
      <c r="X1625" s="5"/>
      <c r="Z1625" s="28"/>
      <c r="AA1625" s="28"/>
      <c r="AB1625" s="28"/>
      <c r="AC1625" s="28"/>
      <c r="AD1625" s="28"/>
      <c r="AE1625" s="28"/>
      <c r="AF1625" s="28"/>
      <c r="AG1625" s="28"/>
      <c r="AH1625" s="28"/>
      <c r="AI1625" s="28"/>
      <c r="AJ1625" s="28"/>
      <c r="AK1625" s="28"/>
      <c r="AL1625" s="28"/>
      <c r="AM1625" s="28"/>
      <c r="AN1625" s="28"/>
      <c r="AO1625" s="28"/>
      <c r="AP1625" s="28"/>
      <c r="AQ1625" s="28"/>
      <c r="AR1625" s="28"/>
      <c r="AS1625" s="28"/>
      <c r="AT1625" s="5"/>
      <c r="AU1625" s="28"/>
      <c r="AV1625" s="28"/>
      <c r="AX1625" s="28"/>
      <c r="AY1625" s="28"/>
      <c r="BA1625" s="28"/>
      <c r="BB1625" s="28"/>
      <c r="BF1625" s="28"/>
      <c r="BH1625" s="28"/>
      <c r="BI1625" s="28"/>
      <c r="BJ1625" s="38"/>
      <c r="BK1625" s="28"/>
    </row>
    <row r="1626" customFormat="false" ht="15.75" hidden="false" customHeight="false" outlineLevel="0" collapsed="false">
      <c r="A1626" s="28"/>
      <c r="B1626" s="28"/>
      <c r="C1626" s="28"/>
      <c r="D1626" s="5"/>
      <c r="E1626" s="38"/>
      <c r="F1626" s="28"/>
      <c r="G1626" s="28"/>
      <c r="H1626" s="38"/>
      <c r="I1626" s="28"/>
      <c r="J1626" s="40"/>
      <c r="K1626" s="40"/>
      <c r="L1626" s="5"/>
      <c r="M1626" s="5"/>
      <c r="N1626" s="28"/>
      <c r="O1626" s="28"/>
      <c r="P1626" s="28"/>
      <c r="Q1626" s="28"/>
      <c r="R1626" s="28"/>
      <c r="S1626" s="28"/>
      <c r="T1626" s="28"/>
      <c r="V1626" s="28"/>
      <c r="W1626" s="5"/>
      <c r="X1626" s="5"/>
      <c r="Z1626" s="28"/>
      <c r="AA1626" s="28"/>
      <c r="AB1626" s="28"/>
      <c r="AC1626" s="28"/>
      <c r="AD1626" s="28"/>
      <c r="AE1626" s="28"/>
      <c r="AF1626" s="28"/>
      <c r="AG1626" s="28"/>
      <c r="AH1626" s="28"/>
      <c r="AI1626" s="28"/>
      <c r="AJ1626" s="28"/>
      <c r="AK1626" s="28"/>
      <c r="AL1626" s="28"/>
      <c r="AM1626" s="28"/>
      <c r="AN1626" s="28"/>
      <c r="AO1626" s="28"/>
      <c r="AP1626" s="28"/>
      <c r="AQ1626" s="28"/>
      <c r="AR1626" s="28"/>
      <c r="AS1626" s="28"/>
      <c r="AT1626" s="5"/>
      <c r="AU1626" s="28"/>
      <c r="AV1626" s="28"/>
      <c r="AX1626" s="28"/>
      <c r="AY1626" s="28"/>
      <c r="BA1626" s="28"/>
      <c r="BB1626" s="28"/>
      <c r="BF1626" s="28"/>
      <c r="BH1626" s="28"/>
      <c r="BI1626" s="28"/>
      <c r="BJ1626" s="38"/>
      <c r="BK1626" s="28"/>
    </row>
    <row r="1627" customFormat="false" ht="15.75" hidden="false" customHeight="false" outlineLevel="0" collapsed="false">
      <c r="A1627" s="28"/>
      <c r="B1627" s="28"/>
      <c r="C1627" s="28"/>
      <c r="D1627" s="5"/>
      <c r="E1627" s="38"/>
      <c r="F1627" s="28"/>
      <c r="G1627" s="28"/>
      <c r="H1627" s="38"/>
      <c r="I1627" s="28"/>
      <c r="J1627" s="40"/>
      <c r="K1627" s="40"/>
      <c r="L1627" s="5"/>
      <c r="M1627" s="5"/>
      <c r="N1627" s="28"/>
      <c r="O1627" s="28"/>
      <c r="P1627" s="28"/>
      <c r="Q1627" s="28"/>
      <c r="R1627" s="28"/>
      <c r="S1627" s="28"/>
      <c r="T1627" s="28"/>
      <c r="V1627" s="28"/>
      <c r="W1627" s="5"/>
      <c r="X1627" s="5"/>
      <c r="Z1627" s="28"/>
      <c r="AA1627" s="28"/>
      <c r="AB1627" s="28"/>
      <c r="AC1627" s="28"/>
      <c r="AD1627" s="28"/>
      <c r="AE1627" s="28"/>
      <c r="AF1627" s="28"/>
      <c r="AG1627" s="28"/>
      <c r="AH1627" s="28"/>
      <c r="AI1627" s="28"/>
      <c r="AJ1627" s="28"/>
      <c r="AK1627" s="28"/>
      <c r="AL1627" s="28"/>
      <c r="AM1627" s="28"/>
      <c r="AN1627" s="28"/>
      <c r="AO1627" s="28"/>
      <c r="AP1627" s="28"/>
      <c r="AQ1627" s="28"/>
      <c r="AR1627" s="28"/>
      <c r="AS1627" s="28"/>
      <c r="AT1627" s="5"/>
      <c r="AU1627" s="28"/>
      <c r="AV1627" s="28"/>
      <c r="AX1627" s="28"/>
      <c r="AY1627" s="28"/>
      <c r="BA1627" s="28"/>
      <c r="BB1627" s="28"/>
      <c r="BF1627" s="28"/>
      <c r="BH1627" s="28"/>
      <c r="BI1627" s="28"/>
      <c r="BJ1627" s="38"/>
      <c r="BK1627" s="28"/>
    </row>
    <row r="1628" customFormat="false" ht="15.75" hidden="false" customHeight="false" outlineLevel="0" collapsed="false">
      <c r="A1628" s="28"/>
      <c r="B1628" s="28"/>
      <c r="C1628" s="28"/>
      <c r="D1628" s="5"/>
      <c r="E1628" s="38"/>
      <c r="F1628" s="28"/>
      <c r="G1628" s="28"/>
      <c r="H1628" s="38"/>
      <c r="I1628" s="28"/>
      <c r="J1628" s="40"/>
      <c r="K1628" s="40"/>
      <c r="L1628" s="5"/>
      <c r="M1628" s="5"/>
      <c r="N1628" s="28"/>
      <c r="O1628" s="28"/>
      <c r="P1628" s="28"/>
      <c r="Q1628" s="28"/>
      <c r="R1628" s="28"/>
      <c r="S1628" s="28"/>
      <c r="T1628" s="28"/>
      <c r="V1628" s="28"/>
      <c r="W1628" s="5"/>
      <c r="X1628" s="5"/>
      <c r="Z1628" s="28"/>
      <c r="AA1628" s="28"/>
      <c r="AB1628" s="28"/>
      <c r="AC1628" s="28"/>
      <c r="AD1628" s="28"/>
      <c r="AE1628" s="28"/>
      <c r="AF1628" s="28"/>
      <c r="AG1628" s="28"/>
      <c r="AH1628" s="28"/>
      <c r="AI1628" s="28"/>
      <c r="AJ1628" s="28"/>
      <c r="AK1628" s="28"/>
      <c r="AL1628" s="28"/>
      <c r="AM1628" s="28"/>
      <c r="AN1628" s="28"/>
      <c r="AO1628" s="28"/>
      <c r="AP1628" s="28"/>
      <c r="AQ1628" s="28"/>
      <c r="AR1628" s="28"/>
      <c r="AS1628" s="28"/>
      <c r="AT1628" s="5"/>
      <c r="AU1628" s="28"/>
      <c r="AV1628" s="28"/>
      <c r="AX1628" s="28"/>
      <c r="AY1628" s="28"/>
      <c r="BA1628" s="28"/>
      <c r="BB1628" s="28"/>
      <c r="BF1628" s="28"/>
      <c r="BH1628" s="28"/>
      <c r="BI1628" s="28"/>
      <c r="BJ1628" s="38"/>
      <c r="BK1628" s="28"/>
    </row>
    <row r="1629" customFormat="false" ht="15.75" hidden="false" customHeight="false" outlineLevel="0" collapsed="false">
      <c r="A1629" s="28"/>
      <c r="B1629" s="28"/>
      <c r="C1629" s="28"/>
      <c r="D1629" s="5"/>
      <c r="E1629" s="38"/>
      <c r="F1629" s="28"/>
      <c r="G1629" s="28"/>
      <c r="H1629" s="38"/>
      <c r="I1629" s="28"/>
      <c r="J1629" s="40"/>
      <c r="K1629" s="40"/>
      <c r="L1629" s="5"/>
      <c r="M1629" s="5"/>
      <c r="N1629" s="28"/>
      <c r="O1629" s="28"/>
      <c r="P1629" s="28"/>
      <c r="Q1629" s="28"/>
      <c r="R1629" s="28"/>
      <c r="S1629" s="28"/>
      <c r="T1629" s="28"/>
      <c r="V1629" s="28"/>
      <c r="W1629" s="5"/>
      <c r="X1629" s="5"/>
      <c r="Z1629" s="28"/>
      <c r="AA1629" s="28"/>
      <c r="AB1629" s="28"/>
      <c r="AC1629" s="28"/>
      <c r="AD1629" s="28"/>
      <c r="AE1629" s="28"/>
      <c r="AF1629" s="28"/>
      <c r="AG1629" s="28"/>
      <c r="AH1629" s="28"/>
      <c r="AI1629" s="28"/>
      <c r="AJ1629" s="28"/>
      <c r="AK1629" s="28"/>
      <c r="AL1629" s="28"/>
      <c r="AM1629" s="28"/>
      <c r="AN1629" s="28"/>
      <c r="AO1629" s="28"/>
      <c r="AP1629" s="28"/>
      <c r="AQ1629" s="28"/>
      <c r="AR1629" s="28"/>
      <c r="AS1629" s="28"/>
      <c r="AT1629" s="5"/>
      <c r="AU1629" s="28"/>
      <c r="AV1629" s="28"/>
      <c r="AX1629" s="28"/>
      <c r="AY1629" s="28"/>
      <c r="BA1629" s="28"/>
      <c r="BB1629" s="28"/>
      <c r="BF1629" s="28"/>
      <c r="BH1629" s="28"/>
      <c r="BI1629" s="28"/>
      <c r="BJ1629" s="38"/>
      <c r="BK1629" s="28"/>
    </row>
    <row r="1630" customFormat="false" ht="15.75" hidden="false" customHeight="false" outlineLevel="0" collapsed="false">
      <c r="A1630" s="28"/>
      <c r="B1630" s="28"/>
      <c r="C1630" s="28"/>
      <c r="D1630" s="5"/>
      <c r="E1630" s="38"/>
      <c r="F1630" s="28"/>
      <c r="G1630" s="28"/>
      <c r="H1630" s="38"/>
      <c r="I1630" s="28"/>
      <c r="J1630" s="40"/>
      <c r="K1630" s="40"/>
      <c r="L1630" s="5"/>
      <c r="M1630" s="5"/>
      <c r="N1630" s="28"/>
      <c r="O1630" s="28"/>
      <c r="P1630" s="28"/>
      <c r="Q1630" s="28"/>
      <c r="R1630" s="28"/>
      <c r="S1630" s="28"/>
      <c r="T1630" s="28"/>
      <c r="V1630" s="28"/>
      <c r="W1630" s="5"/>
      <c r="X1630" s="5"/>
      <c r="Z1630" s="28"/>
      <c r="AA1630" s="28"/>
      <c r="AB1630" s="28"/>
      <c r="AC1630" s="28"/>
      <c r="AD1630" s="28"/>
      <c r="AE1630" s="28"/>
      <c r="AF1630" s="28"/>
      <c r="AG1630" s="28"/>
      <c r="AH1630" s="28"/>
      <c r="AI1630" s="28"/>
      <c r="AJ1630" s="28"/>
      <c r="AK1630" s="28"/>
      <c r="AL1630" s="28"/>
      <c r="AM1630" s="28"/>
      <c r="AN1630" s="28"/>
      <c r="AO1630" s="28"/>
      <c r="AP1630" s="28"/>
      <c r="AQ1630" s="28"/>
      <c r="AR1630" s="28"/>
      <c r="AS1630" s="28"/>
      <c r="AT1630" s="5"/>
      <c r="AU1630" s="28"/>
      <c r="AV1630" s="28"/>
      <c r="AX1630" s="28"/>
      <c r="AY1630" s="28"/>
      <c r="BA1630" s="28"/>
      <c r="BB1630" s="28"/>
      <c r="BF1630" s="28"/>
      <c r="BH1630" s="28"/>
      <c r="BI1630" s="28"/>
      <c r="BJ1630" s="38"/>
      <c r="BK1630" s="28"/>
    </row>
    <row r="1631" customFormat="false" ht="15.75" hidden="false" customHeight="false" outlineLevel="0" collapsed="false">
      <c r="A1631" s="28"/>
      <c r="B1631" s="28"/>
      <c r="C1631" s="28"/>
      <c r="D1631" s="5"/>
      <c r="E1631" s="38"/>
      <c r="F1631" s="28"/>
      <c r="G1631" s="28"/>
      <c r="H1631" s="38"/>
      <c r="I1631" s="28"/>
      <c r="J1631" s="40"/>
      <c r="K1631" s="40"/>
      <c r="L1631" s="5"/>
      <c r="M1631" s="5"/>
      <c r="N1631" s="28"/>
      <c r="O1631" s="28"/>
      <c r="P1631" s="28"/>
      <c r="Q1631" s="28"/>
      <c r="R1631" s="28"/>
      <c r="S1631" s="28"/>
      <c r="T1631" s="28"/>
      <c r="V1631" s="28"/>
      <c r="W1631" s="5"/>
      <c r="X1631" s="5"/>
      <c r="Z1631" s="28"/>
      <c r="AA1631" s="28"/>
      <c r="AB1631" s="28"/>
      <c r="AC1631" s="28"/>
      <c r="AD1631" s="28"/>
      <c r="AE1631" s="28"/>
      <c r="AF1631" s="28"/>
      <c r="AG1631" s="28"/>
      <c r="AH1631" s="28"/>
      <c r="AI1631" s="28"/>
      <c r="AJ1631" s="28"/>
      <c r="AK1631" s="28"/>
      <c r="AL1631" s="28"/>
      <c r="AM1631" s="28"/>
      <c r="AN1631" s="28"/>
      <c r="AO1631" s="28"/>
      <c r="AP1631" s="28"/>
      <c r="AQ1631" s="28"/>
      <c r="AR1631" s="28"/>
      <c r="AS1631" s="28"/>
      <c r="AT1631" s="5"/>
      <c r="AU1631" s="28"/>
      <c r="AV1631" s="28"/>
      <c r="AX1631" s="28"/>
      <c r="AY1631" s="28"/>
      <c r="BA1631" s="28"/>
      <c r="BB1631" s="28"/>
      <c r="BF1631" s="28"/>
      <c r="BH1631" s="28"/>
      <c r="BI1631" s="28"/>
      <c r="BJ1631" s="38"/>
      <c r="BK1631" s="28"/>
    </row>
    <row r="1632" customFormat="false" ht="15.75" hidden="false" customHeight="false" outlineLevel="0" collapsed="false">
      <c r="A1632" s="28"/>
      <c r="B1632" s="28"/>
      <c r="C1632" s="28"/>
      <c r="D1632" s="5"/>
      <c r="E1632" s="38"/>
      <c r="F1632" s="28"/>
      <c r="G1632" s="28"/>
      <c r="H1632" s="38"/>
      <c r="I1632" s="28"/>
      <c r="J1632" s="40"/>
      <c r="K1632" s="40"/>
      <c r="L1632" s="5"/>
      <c r="M1632" s="5"/>
      <c r="N1632" s="28"/>
      <c r="O1632" s="28"/>
      <c r="P1632" s="28"/>
      <c r="Q1632" s="28"/>
      <c r="R1632" s="28"/>
      <c r="S1632" s="28"/>
      <c r="T1632" s="28"/>
      <c r="V1632" s="28"/>
      <c r="W1632" s="5"/>
      <c r="X1632" s="5"/>
      <c r="Z1632" s="28"/>
      <c r="AA1632" s="28"/>
      <c r="AB1632" s="28"/>
      <c r="AC1632" s="28"/>
      <c r="AD1632" s="28"/>
      <c r="AE1632" s="28"/>
      <c r="AF1632" s="28"/>
      <c r="AG1632" s="28"/>
      <c r="AH1632" s="28"/>
      <c r="AI1632" s="28"/>
      <c r="AJ1632" s="28"/>
      <c r="AK1632" s="28"/>
      <c r="AL1632" s="28"/>
      <c r="AM1632" s="28"/>
      <c r="AN1632" s="28"/>
      <c r="AO1632" s="28"/>
      <c r="AP1632" s="28"/>
      <c r="AQ1632" s="28"/>
      <c r="AR1632" s="28"/>
      <c r="AS1632" s="28"/>
      <c r="AT1632" s="5"/>
      <c r="AU1632" s="28"/>
      <c r="AV1632" s="28"/>
      <c r="AX1632" s="28"/>
      <c r="AY1632" s="28"/>
      <c r="BA1632" s="28"/>
      <c r="BB1632" s="28"/>
      <c r="BF1632" s="28"/>
      <c r="BH1632" s="28"/>
      <c r="BI1632" s="28"/>
      <c r="BJ1632" s="38"/>
      <c r="BK1632" s="28"/>
    </row>
    <row r="1633" customFormat="false" ht="15.75" hidden="false" customHeight="false" outlineLevel="0" collapsed="false">
      <c r="A1633" s="28"/>
      <c r="B1633" s="28"/>
      <c r="C1633" s="28"/>
      <c r="D1633" s="5"/>
      <c r="E1633" s="38"/>
      <c r="F1633" s="28"/>
      <c r="G1633" s="28"/>
      <c r="H1633" s="38"/>
      <c r="I1633" s="28"/>
      <c r="J1633" s="40"/>
      <c r="K1633" s="40"/>
      <c r="L1633" s="5"/>
      <c r="M1633" s="5"/>
      <c r="N1633" s="28"/>
      <c r="O1633" s="28"/>
      <c r="P1633" s="28"/>
      <c r="Q1633" s="28"/>
      <c r="R1633" s="28"/>
      <c r="S1633" s="28"/>
      <c r="T1633" s="28"/>
      <c r="V1633" s="28"/>
      <c r="W1633" s="5"/>
      <c r="X1633" s="5"/>
      <c r="Z1633" s="28"/>
      <c r="AA1633" s="28"/>
      <c r="AB1633" s="28"/>
      <c r="AC1633" s="28"/>
      <c r="AD1633" s="28"/>
      <c r="AE1633" s="28"/>
      <c r="AF1633" s="28"/>
      <c r="AG1633" s="28"/>
      <c r="AH1633" s="28"/>
      <c r="AI1633" s="28"/>
      <c r="AJ1633" s="28"/>
      <c r="AK1633" s="28"/>
      <c r="AL1633" s="28"/>
      <c r="AM1633" s="28"/>
      <c r="AN1633" s="28"/>
      <c r="AO1633" s="28"/>
      <c r="AP1633" s="28"/>
      <c r="AQ1633" s="28"/>
      <c r="AR1633" s="28"/>
      <c r="AS1633" s="28"/>
      <c r="AT1633" s="5"/>
      <c r="AU1633" s="28"/>
      <c r="AV1633" s="28"/>
      <c r="AX1633" s="28"/>
      <c r="AY1633" s="28"/>
      <c r="BA1633" s="28"/>
      <c r="BB1633" s="28"/>
      <c r="BF1633" s="28"/>
      <c r="BH1633" s="28"/>
      <c r="BI1633" s="28"/>
      <c r="BJ1633" s="38"/>
      <c r="BK1633" s="28"/>
    </row>
    <row r="1634" customFormat="false" ht="15.75" hidden="false" customHeight="false" outlineLevel="0" collapsed="false">
      <c r="A1634" s="28"/>
      <c r="B1634" s="28"/>
      <c r="C1634" s="28"/>
      <c r="D1634" s="5"/>
      <c r="E1634" s="38"/>
      <c r="F1634" s="28"/>
      <c r="G1634" s="28"/>
      <c r="H1634" s="38"/>
      <c r="I1634" s="28"/>
      <c r="J1634" s="40"/>
      <c r="K1634" s="40"/>
      <c r="L1634" s="5"/>
      <c r="M1634" s="5"/>
      <c r="N1634" s="28"/>
      <c r="O1634" s="28"/>
      <c r="P1634" s="28"/>
      <c r="Q1634" s="28"/>
      <c r="R1634" s="28"/>
      <c r="S1634" s="28"/>
      <c r="T1634" s="28"/>
      <c r="V1634" s="28"/>
      <c r="W1634" s="5"/>
      <c r="X1634" s="5"/>
      <c r="Z1634" s="28"/>
      <c r="AA1634" s="28"/>
      <c r="AB1634" s="28"/>
      <c r="AC1634" s="28"/>
      <c r="AD1634" s="28"/>
      <c r="AE1634" s="28"/>
      <c r="AF1634" s="28"/>
      <c r="AG1634" s="28"/>
      <c r="AH1634" s="28"/>
      <c r="AI1634" s="28"/>
      <c r="AJ1634" s="28"/>
      <c r="AK1634" s="28"/>
      <c r="AL1634" s="28"/>
      <c r="AM1634" s="28"/>
      <c r="AN1634" s="28"/>
      <c r="AO1634" s="28"/>
      <c r="AP1634" s="28"/>
      <c r="AQ1634" s="28"/>
      <c r="AR1634" s="28"/>
      <c r="AS1634" s="28"/>
      <c r="AT1634" s="5"/>
      <c r="AU1634" s="28"/>
      <c r="AV1634" s="28"/>
      <c r="AX1634" s="28"/>
      <c r="AY1634" s="28"/>
      <c r="BA1634" s="28"/>
      <c r="BB1634" s="28"/>
      <c r="BF1634" s="28"/>
      <c r="BH1634" s="28"/>
      <c r="BI1634" s="28"/>
      <c r="BJ1634" s="38"/>
      <c r="BK1634" s="28"/>
    </row>
    <row r="1635" customFormat="false" ht="15.75" hidden="false" customHeight="false" outlineLevel="0" collapsed="false">
      <c r="A1635" s="28"/>
      <c r="B1635" s="28"/>
      <c r="C1635" s="28"/>
      <c r="D1635" s="5"/>
      <c r="E1635" s="38"/>
      <c r="F1635" s="28"/>
      <c r="G1635" s="28"/>
      <c r="H1635" s="38"/>
      <c r="I1635" s="28"/>
      <c r="J1635" s="40"/>
      <c r="K1635" s="40"/>
      <c r="L1635" s="5"/>
      <c r="M1635" s="5"/>
      <c r="N1635" s="28"/>
      <c r="O1635" s="28"/>
      <c r="P1635" s="28"/>
      <c r="Q1635" s="28"/>
      <c r="R1635" s="28"/>
      <c r="S1635" s="28"/>
      <c r="T1635" s="28"/>
      <c r="V1635" s="28"/>
      <c r="W1635" s="5"/>
      <c r="X1635" s="5"/>
      <c r="Z1635" s="28"/>
      <c r="AA1635" s="28"/>
      <c r="AB1635" s="28"/>
      <c r="AC1635" s="28"/>
      <c r="AD1635" s="28"/>
      <c r="AE1635" s="28"/>
      <c r="AF1635" s="28"/>
      <c r="AG1635" s="28"/>
      <c r="AH1635" s="28"/>
      <c r="AI1635" s="28"/>
      <c r="AJ1635" s="28"/>
      <c r="AK1635" s="28"/>
      <c r="AL1635" s="28"/>
      <c r="AM1635" s="28"/>
      <c r="AN1635" s="28"/>
      <c r="AO1635" s="28"/>
      <c r="AP1635" s="28"/>
      <c r="AQ1635" s="28"/>
      <c r="AR1635" s="28"/>
      <c r="AS1635" s="28"/>
      <c r="AT1635" s="5"/>
      <c r="AU1635" s="28"/>
      <c r="AV1635" s="28"/>
      <c r="AX1635" s="28"/>
      <c r="AY1635" s="28"/>
      <c r="BA1635" s="28"/>
      <c r="BB1635" s="28"/>
      <c r="BF1635" s="28"/>
      <c r="BH1635" s="28"/>
      <c r="BI1635" s="28"/>
      <c r="BJ1635" s="38"/>
      <c r="BK1635" s="28"/>
    </row>
    <row r="1636" customFormat="false" ht="15.75" hidden="false" customHeight="false" outlineLevel="0" collapsed="false">
      <c r="A1636" s="28"/>
      <c r="B1636" s="28"/>
      <c r="C1636" s="28"/>
      <c r="D1636" s="5"/>
      <c r="E1636" s="38"/>
      <c r="F1636" s="28"/>
      <c r="G1636" s="28"/>
      <c r="H1636" s="38"/>
      <c r="I1636" s="28"/>
      <c r="J1636" s="40"/>
      <c r="K1636" s="40"/>
      <c r="L1636" s="5"/>
      <c r="M1636" s="5"/>
      <c r="N1636" s="28"/>
      <c r="O1636" s="28"/>
      <c r="P1636" s="28"/>
      <c r="Q1636" s="28"/>
      <c r="R1636" s="28"/>
      <c r="S1636" s="28"/>
      <c r="T1636" s="28"/>
      <c r="V1636" s="28"/>
      <c r="W1636" s="5"/>
      <c r="X1636" s="5"/>
      <c r="Z1636" s="28"/>
      <c r="AA1636" s="28"/>
      <c r="AB1636" s="28"/>
      <c r="AC1636" s="28"/>
      <c r="AD1636" s="28"/>
      <c r="AE1636" s="28"/>
      <c r="AF1636" s="28"/>
      <c r="AG1636" s="28"/>
      <c r="AH1636" s="28"/>
      <c r="AI1636" s="28"/>
      <c r="AJ1636" s="28"/>
      <c r="AK1636" s="28"/>
      <c r="AL1636" s="28"/>
      <c r="AM1636" s="28"/>
      <c r="AN1636" s="28"/>
      <c r="AO1636" s="28"/>
      <c r="AP1636" s="28"/>
      <c r="AQ1636" s="28"/>
      <c r="AR1636" s="28"/>
      <c r="AS1636" s="28"/>
      <c r="AT1636" s="5"/>
      <c r="AU1636" s="28"/>
      <c r="AV1636" s="28"/>
      <c r="AX1636" s="28"/>
      <c r="AY1636" s="28"/>
      <c r="BA1636" s="28"/>
      <c r="BB1636" s="28"/>
      <c r="BF1636" s="28"/>
      <c r="BH1636" s="28"/>
      <c r="BI1636" s="28"/>
      <c r="BJ1636" s="38"/>
      <c r="BK1636" s="28"/>
    </row>
    <row r="1637" customFormat="false" ht="15.75" hidden="false" customHeight="false" outlineLevel="0" collapsed="false">
      <c r="A1637" s="28"/>
      <c r="B1637" s="28"/>
      <c r="C1637" s="28"/>
      <c r="D1637" s="5"/>
      <c r="E1637" s="38"/>
      <c r="F1637" s="28"/>
      <c r="G1637" s="28"/>
      <c r="H1637" s="38"/>
      <c r="I1637" s="28"/>
      <c r="J1637" s="40"/>
      <c r="K1637" s="40"/>
      <c r="L1637" s="5"/>
      <c r="M1637" s="5"/>
      <c r="N1637" s="28"/>
      <c r="O1637" s="28"/>
      <c r="P1637" s="28"/>
      <c r="Q1637" s="28"/>
      <c r="R1637" s="28"/>
      <c r="S1637" s="28"/>
      <c r="T1637" s="28"/>
      <c r="V1637" s="28"/>
      <c r="W1637" s="5"/>
      <c r="X1637" s="5"/>
      <c r="Z1637" s="28"/>
      <c r="AA1637" s="28"/>
      <c r="AB1637" s="28"/>
      <c r="AC1637" s="28"/>
      <c r="AD1637" s="28"/>
      <c r="AE1637" s="28"/>
      <c r="AF1637" s="28"/>
      <c r="AG1637" s="28"/>
      <c r="AH1637" s="28"/>
      <c r="AI1637" s="28"/>
      <c r="AJ1637" s="28"/>
      <c r="AK1637" s="28"/>
      <c r="AL1637" s="28"/>
      <c r="AM1637" s="28"/>
      <c r="AN1637" s="28"/>
      <c r="AO1637" s="28"/>
      <c r="AP1637" s="28"/>
      <c r="AQ1637" s="28"/>
      <c r="AR1637" s="28"/>
      <c r="AS1637" s="28"/>
      <c r="AT1637" s="5"/>
      <c r="AU1637" s="28"/>
      <c r="AV1637" s="28"/>
      <c r="AX1637" s="28"/>
      <c r="AY1637" s="28"/>
      <c r="BA1637" s="28"/>
      <c r="BB1637" s="28"/>
      <c r="BF1637" s="28"/>
      <c r="BH1637" s="28"/>
      <c r="BI1637" s="28"/>
      <c r="BJ1637" s="38"/>
      <c r="BK1637" s="28"/>
    </row>
    <row r="1638" customFormat="false" ht="15.75" hidden="false" customHeight="false" outlineLevel="0" collapsed="false">
      <c r="A1638" s="28"/>
      <c r="B1638" s="28"/>
      <c r="C1638" s="28"/>
      <c r="D1638" s="5"/>
      <c r="E1638" s="38"/>
      <c r="F1638" s="28"/>
      <c r="G1638" s="28"/>
      <c r="H1638" s="38"/>
      <c r="I1638" s="28"/>
      <c r="J1638" s="40"/>
      <c r="K1638" s="40"/>
      <c r="L1638" s="5"/>
      <c r="M1638" s="5"/>
      <c r="N1638" s="28"/>
      <c r="O1638" s="28"/>
      <c r="P1638" s="28"/>
      <c r="Q1638" s="28"/>
      <c r="R1638" s="28"/>
      <c r="S1638" s="28"/>
      <c r="T1638" s="28"/>
      <c r="V1638" s="28"/>
      <c r="W1638" s="5"/>
      <c r="X1638" s="5"/>
      <c r="Z1638" s="28"/>
      <c r="AA1638" s="28"/>
      <c r="AB1638" s="28"/>
      <c r="AC1638" s="28"/>
      <c r="AD1638" s="28"/>
      <c r="AE1638" s="28"/>
      <c r="AF1638" s="28"/>
      <c r="AG1638" s="28"/>
      <c r="AH1638" s="28"/>
      <c r="AI1638" s="28"/>
      <c r="AJ1638" s="28"/>
      <c r="AK1638" s="28"/>
      <c r="AL1638" s="28"/>
      <c r="AM1638" s="28"/>
      <c r="AN1638" s="28"/>
      <c r="AO1638" s="28"/>
      <c r="AP1638" s="28"/>
      <c r="AQ1638" s="28"/>
      <c r="AR1638" s="28"/>
      <c r="AS1638" s="28"/>
      <c r="AT1638" s="5"/>
      <c r="AU1638" s="28"/>
      <c r="AV1638" s="28"/>
      <c r="AX1638" s="28"/>
      <c r="AY1638" s="28"/>
      <c r="BA1638" s="28"/>
      <c r="BB1638" s="28"/>
      <c r="BF1638" s="28"/>
      <c r="BH1638" s="28"/>
      <c r="BI1638" s="28"/>
      <c r="BJ1638" s="38"/>
      <c r="BK1638" s="28"/>
    </row>
    <row r="1639" customFormat="false" ht="15.75" hidden="false" customHeight="false" outlineLevel="0" collapsed="false">
      <c r="A1639" s="28"/>
      <c r="B1639" s="28"/>
      <c r="C1639" s="28"/>
      <c r="D1639" s="5"/>
      <c r="E1639" s="38"/>
      <c r="F1639" s="28"/>
      <c r="G1639" s="28"/>
      <c r="H1639" s="38"/>
      <c r="I1639" s="28"/>
      <c r="J1639" s="40"/>
      <c r="K1639" s="40"/>
      <c r="L1639" s="5"/>
      <c r="M1639" s="5"/>
      <c r="N1639" s="28"/>
      <c r="O1639" s="28"/>
      <c r="P1639" s="28"/>
      <c r="Q1639" s="28"/>
      <c r="R1639" s="28"/>
      <c r="S1639" s="28"/>
      <c r="T1639" s="28"/>
      <c r="V1639" s="28"/>
      <c r="W1639" s="5"/>
      <c r="X1639" s="5"/>
      <c r="Z1639" s="28"/>
      <c r="AA1639" s="28"/>
      <c r="AB1639" s="28"/>
      <c r="AC1639" s="28"/>
      <c r="AD1639" s="28"/>
      <c r="AE1639" s="28"/>
      <c r="AF1639" s="28"/>
      <c r="AG1639" s="28"/>
      <c r="AH1639" s="28"/>
      <c r="AI1639" s="28"/>
      <c r="AJ1639" s="28"/>
      <c r="AK1639" s="28"/>
      <c r="AL1639" s="28"/>
      <c r="AM1639" s="28"/>
      <c r="AN1639" s="28"/>
      <c r="AO1639" s="28"/>
      <c r="AP1639" s="28"/>
      <c r="AQ1639" s="28"/>
      <c r="AR1639" s="28"/>
      <c r="AS1639" s="28"/>
      <c r="AT1639" s="5"/>
      <c r="AU1639" s="28"/>
      <c r="AV1639" s="28"/>
      <c r="AX1639" s="28"/>
      <c r="AY1639" s="28"/>
      <c r="BA1639" s="28"/>
      <c r="BB1639" s="28"/>
      <c r="BF1639" s="28"/>
      <c r="BH1639" s="28"/>
      <c r="BI1639" s="28"/>
      <c r="BJ1639" s="38"/>
      <c r="BK1639" s="28"/>
    </row>
    <row r="1640" customFormat="false" ht="15.75" hidden="false" customHeight="false" outlineLevel="0" collapsed="false">
      <c r="A1640" s="28"/>
      <c r="B1640" s="28"/>
      <c r="C1640" s="28"/>
      <c r="D1640" s="5"/>
      <c r="E1640" s="38"/>
      <c r="F1640" s="28"/>
      <c r="G1640" s="28"/>
      <c r="H1640" s="38"/>
      <c r="I1640" s="28"/>
      <c r="J1640" s="40"/>
      <c r="K1640" s="40"/>
      <c r="L1640" s="5"/>
      <c r="M1640" s="5"/>
      <c r="N1640" s="28"/>
      <c r="O1640" s="28"/>
      <c r="P1640" s="28"/>
      <c r="Q1640" s="28"/>
      <c r="R1640" s="28"/>
      <c r="S1640" s="28"/>
      <c r="T1640" s="28"/>
      <c r="V1640" s="28"/>
      <c r="W1640" s="5"/>
      <c r="X1640" s="5"/>
      <c r="Z1640" s="28"/>
      <c r="AA1640" s="28"/>
      <c r="AB1640" s="28"/>
      <c r="AC1640" s="28"/>
      <c r="AD1640" s="28"/>
      <c r="AE1640" s="28"/>
      <c r="AF1640" s="28"/>
      <c r="AG1640" s="28"/>
      <c r="AH1640" s="28"/>
      <c r="AI1640" s="28"/>
      <c r="AJ1640" s="28"/>
      <c r="AK1640" s="28"/>
      <c r="AL1640" s="28"/>
      <c r="AM1640" s="28"/>
      <c r="AN1640" s="28"/>
      <c r="AO1640" s="28"/>
      <c r="AP1640" s="28"/>
      <c r="AQ1640" s="28"/>
      <c r="AR1640" s="28"/>
      <c r="AS1640" s="28"/>
      <c r="AT1640" s="5"/>
      <c r="AU1640" s="28"/>
      <c r="AV1640" s="28"/>
      <c r="AX1640" s="28"/>
      <c r="AY1640" s="28"/>
      <c r="BA1640" s="28"/>
      <c r="BB1640" s="28"/>
      <c r="BF1640" s="28"/>
      <c r="BH1640" s="28"/>
      <c r="BI1640" s="28"/>
      <c r="BJ1640" s="38"/>
      <c r="BK1640" s="28"/>
    </row>
    <row r="1641" customFormat="false" ht="15.75" hidden="false" customHeight="false" outlineLevel="0" collapsed="false">
      <c r="A1641" s="28"/>
      <c r="B1641" s="28"/>
      <c r="C1641" s="28"/>
      <c r="D1641" s="5"/>
      <c r="E1641" s="38"/>
      <c r="F1641" s="28"/>
      <c r="G1641" s="28"/>
      <c r="H1641" s="38"/>
      <c r="I1641" s="28"/>
      <c r="J1641" s="40"/>
      <c r="K1641" s="40"/>
      <c r="L1641" s="5"/>
      <c r="M1641" s="5"/>
      <c r="N1641" s="28"/>
      <c r="O1641" s="28"/>
      <c r="P1641" s="28"/>
      <c r="Q1641" s="28"/>
      <c r="R1641" s="28"/>
      <c r="S1641" s="28"/>
      <c r="T1641" s="28"/>
      <c r="V1641" s="28"/>
      <c r="W1641" s="5"/>
      <c r="X1641" s="5"/>
      <c r="Z1641" s="28"/>
      <c r="AA1641" s="28"/>
      <c r="AB1641" s="28"/>
      <c r="AC1641" s="28"/>
      <c r="AD1641" s="28"/>
      <c r="AE1641" s="28"/>
      <c r="AF1641" s="28"/>
      <c r="AG1641" s="28"/>
      <c r="AH1641" s="28"/>
      <c r="AI1641" s="28"/>
      <c r="AJ1641" s="28"/>
      <c r="AK1641" s="28"/>
      <c r="AL1641" s="28"/>
      <c r="AM1641" s="28"/>
      <c r="AN1641" s="28"/>
      <c r="AO1641" s="28"/>
      <c r="AP1641" s="28"/>
      <c r="AQ1641" s="28"/>
      <c r="AR1641" s="28"/>
      <c r="AS1641" s="28"/>
      <c r="AT1641" s="5"/>
      <c r="AU1641" s="28"/>
      <c r="AV1641" s="28"/>
      <c r="AX1641" s="28"/>
      <c r="AY1641" s="28"/>
      <c r="BA1641" s="28"/>
      <c r="BB1641" s="28"/>
      <c r="BF1641" s="28"/>
      <c r="BH1641" s="28"/>
      <c r="BI1641" s="28"/>
      <c r="BJ1641" s="38"/>
      <c r="BK1641" s="28"/>
    </row>
    <row r="1642" customFormat="false" ht="15.75" hidden="false" customHeight="false" outlineLevel="0" collapsed="false">
      <c r="A1642" s="28"/>
      <c r="B1642" s="28"/>
      <c r="C1642" s="28"/>
      <c r="D1642" s="5"/>
      <c r="E1642" s="38"/>
      <c r="F1642" s="28"/>
      <c r="G1642" s="28"/>
      <c r="H1642" s="38"/>
      <c r="I1642" s="28"/>
      <c r="J1642" s="40"/>
      <c r="K1642" s="40"/>
      <c r="L1642" s="5"/>
      <c r="M1642" s="5"/>
      <c r="N1642" s="28"/>
      <c r="O1642" s="28"/>
      <c r="P1642" s="28"/>
      <c r="Q1642" s="28"/>
      <c r="R1642" s="28"/>
      <c r="S1642" s="28"/>
      <c r="T1642" s="28"/>
      <c r="V1642" s="28"/>
      <c r="W1642" s="5"/>
      <c r="X1642" s="5"/>
      <c r="Z1642" s="28"/>
      <c r="AA1642" s="28"/>
      <c r="AB1642" s="28"/>
      <c r="AC1642" s="28"/>
      <c r="AD1642" s="28"/>
      <c r="AE1642" s="28"/>
      <c r="AF1642" s="28"/>
      <c r="AG1642" s="28"/>
      <c r="AH1642" s="28"/>
      <c r="AI1642" s="28"/>
      <c r="AJ1642" s="28"/>
      <c r="AK1642" s="28"/>
      <c r="AL1642" s="28"/>
      <c r="AM1642" s="28"/>
      <c r="AN1642" s="28"/>
      <c r="AO1642" s="28"/>
      <c r="AP1642" s="28"/>
      <c r="AQ1642" s="28"/>
      <c r="AR1642" s="28"/>
      <c r="AS1642" s="28"/>
      <c r="AT1642" s="5"/>
      <c r="AU1642" s="28"/>
      <c r="AV1642" s="28"/>
      <c r="AX1642" s="28"/>
      <c r="AY1642" s="28"/>
      <c r="BA1642" s="28"/>
      <c r="BB1642" s="28"/>
      <c r="BF1642" s="28"/>
      <c r="BH1642" s="28"/>
      <c r="BI1642" s="28"/>
      <c r="BJ1642" s="38"/>
      <c r="BK1642" s="28"/>
    </row>
    <row r="1643" customFormat="false" ht="15.75" hidden="false" customHeight="false" outlineLevel="0" collapsed="false">
      <c r="A1643" s="28"/>
      <c r="B1643" s="28"/>
      <c r="C1643" s="28"/>
      <c r="D1643" s="5"/>
      <c r="E1643" s="38"/>
      <c r="F1643" s="28"/>
      <c r="G1643" s="28"/>
      <c r="H1643" s="38"/>
      <c r="I1643" s="28"/>
      <c r="J1643" s="40"/>
      <c r="K1643" s="40"/>
      <c r="L1643" s="5"/>
      <c r="M1643" s="5"/>
      <c r="N1643" s="28"/>
      <c r="O1643" s="28"/>
      <c r="P1643" s="28"/>
      <c r="Q1643" s="28"/>
      <c r="R1643" s="28"/>
      <c r="S1643" s="28"/>
      <c r="T1643" s="28"/>
      <c r="V1643" s="28"/>
      <c r="W1643" s="5"/>
      <c r="X1643" s="5"/>
      <c r="Z1643" s="28"/>
      <c r="AA1643" s="28"/>
      <c r="AB1643" s="28"/>
      <c r="AC1643" s="28"/>
      <c r="AD1643" s="28"/>
      <c r="AE1643" s="28"/>
      <c r="AF1643" s="28"/>
      <c r="AG1643" s="28"/>
      <c r="AH1643" s="28"/>
      <c r="AI1643" s="28"/>
      <c r="AJ1643" s="28"/>
      <c r="AK1643" s="28"/>
      <c r="AL1643" s="28"/>
      <c r="AM1643" s="28"/>
      <c r="AN1643" s="28"/>
      <c r="AO1643" s="28"/>
      <c r="AP1643" s="28"/>
      <c r="AQ1643" s="28"/>
      <c r="AR1643" s="28"/>
      <c r="AS1643" s="28"/>
      <c r="AT1643" s="5"/>
      <c r="AU1643" s="28"/>
      <c r="AV1643" s="28"/>
      <c r="AX1643" s="28"/>
      <c r="AY1643" s="28"/>
      <c r="BA1643" s="28"/>
      <c r="BB1643" s="28"/>
      <c r="BF1643" s="28"/>
      <c r="BH1643" s="28"/>
      <c r="BI1643" s="28"/>
      <c r="BJ1643" s="38"/>
      <c r="BK1643" s="28"/>
    </row>
    <row r="1644" customFormat="false" ht="15.75" hidden="false" customHeight="false" outlineLevel="0" collapsed="false">
      <c r="A1644" s="28"/>
      <c r="B1644" s="28"/>
      <c r="C1644" s="28"/>
      <c r="D1644" s="5"/>
      <c r="E1644" s="38"/>
      <c r="F1644" s="28"/>
      <c r="G1644" s="28"/>
      <c r="H1644" s="38"/>
      <c r="I1644" s="28"/>
      <c r="J1644" s="40"/>
      <c r="K1644" s="40"/>
      <c r="L1644" s="5"/>
      <c r="M1644" s="5"/>
      <c r="N1644" s="28"/>
      <c r="O1644" s="28"/>
      <c r="P1644" s="28"/>
      <c r="Q1644" s="28"/>
      <c r="R1644" s="28"/>
      <c r="S1644" s="28"/>
      <c r="T1644" s="28"/>
      <c r="V1644" s="28"/>
      <c r="W1644" s="5"/>
      <c r="X1644" s="5"/>
      <c r="Z1644" s="28"/>
      <c r="AA1644" s="28"/>
      <c r="AB1644" s="28"/>
      <c r="AC1644" s="28"/>
      <c r="AD1644" s="28"/>
      <c r="AE1644" s="28"/>
      <c r="AF1644" s="28"/>
      <c r="AG1644" s="28"/>
      <c r="AH1644" s="28"/>
      <c r="AI1644" s="28"/>
      <c r="AJ1644" s="28"/>
      <c r="AK1644" s="28"/>
      <c r="AL1644" s="28"/>
      <c r="AM1644" s="28"/>
      <c r="AN1644" s="28"/>
      <c r="AO1644" s="28"/>
      <c r="AP1644" s="28"/>
      <c r="AQ1644" s="28"/>
      <c r="AR1644" s="28"/>
      <c r="AS1644" s="28"/>
      <c r="AT1644" s="5"/>
      <c r="AU1644" s="28"/>
      <c r="AV1644" s="28"/>
      <c r="AX1644" s="28"/>
      <c r="AY1644" s="28"/>
      <c r="BA1644" s="28"/>
      <c r="BB1644" s="28"/>
      <c r="BF1644" s="28"/>
      <c r="BH1644" s="28"/>
      <c r="BI1644" s="28"/>
      <c r="BJ1644" s="38"/>
      <c r="BK1644" s="28"/>
    </row>
    <row r="1645" customFormat="false" ht="15.75" hidden="false" customHeight="false" outlineLevel="0" collapsed="false">
      <c r="A1645" s="28"/>
      <c r="B1645" s="28"/>
      <c r="C1645" s="28"/>
      <c r="D1645" s="5"/>
      <c r="E1645" s="38"/>
      <c r="F1645" s="28"/>
      <c r="G1645" s="28"/>
      <c r="H1645" s="38"/>
      <c r="I1645" s="28"/>
      <c r="J1645" s="40"/>
      <c r="K1645" s="40"/>
      <c r="L1645" s="5"/>
      <c r="M1645" s="5"/>
      <c r="N1645" s="28"/>
      <c r="O1645" s="28"/>
      <c r="P1645" s="28"/>
      <c r="Q1645" s="28"/>
      <c r="R1645" s="28"/>
      <c r="S1645" s="28"/>
      <c r="T1645" s="28"/>
      <c r="V1645" s="28"/>
      <c r="W1645" s="5"/>
      <c r="X1645" s="5"/>
      <c r="Z1645" s="28"/>
      <c r="AA1645" s="28"/>
      <c r="AB1645" s="28"/>
      <c r="AC1645" s="28"/>
      <c r="AD1645" s="28"/>
      <c r="AE1645" s="28"/>
      <c r="AF1645" s="28"/>
      <c r="AG1645" s="28"/>
      <c r="AH1645" s="28"/>
      <c r="AI1645" s="28"/>
      <c r="AJ1645" s="28"/>
      <c r="AK1645" s="28"/>
      <c r="AL1645" s="28"/>
      <c r="AM1645" s="28"/>
      <c r="AN1645" s="28"/>
      <c r="AO1645" s="28"/>
      <c r="AP1645" s="28"/>
      <c r="AQ1645" s="28"/>
      <c r="AR1645" s="28"/>
      <c r="AS1645" s="28"/>
      <c r="AT1645" s="5"/>
      <c r="AU1645" s="28"/>
      <c r="AV1645" s="28"/>
      <c r="AX1645" s="28"/>
      <c r="AY1645" s="28"/>
      <c r="BA1645" s="28"/>
      <c r="BB1645" s="28"/>
      <c r="BF1645" s="28"/>
      <c r="BH1645" s="28"/>
      <c r="BI1645" s="28"/>
      <c r="BJ1645" s="38"/>
      <c r="BK1645" s="28"/>
    </row>
    <row r="1646" customFormat="false" ht="15.75" hidden="false" customHeight="false" outlineLevel="0" collapsed="false">
      <c r="A1646" s="28"/>
      <c r="B1646" s="28"/>
      <c r="C1646" s="28"/>
      <c r="D1646" s="5"/>
      <c r="E1646" s="38"/>
      <c r="F1646" s="28"/>
      <c r="G1646" s="28"/>
      <c r="H1646" s="38"/>
      <c r="I1646" s="28"/>
      <c r="J1646" s="40"/>
      <c r="K1646" s="40"/>
      <c r="L1646" s="5"/>
      <c r="M1646" s="5"/>
      <c r="N1646" s="28"/>
      <c r="O1646" s="28"/>
      <c r="P1646" s="28"/>
      <c r="Q1646" s="28"/>
      <c r="R1646" s="28"/>
      <c r="S1646" s="28"/>
      <c r="T1646" s="28"/>
      <c r="V1646" s="28"/>
      <c r="W1646" s="5"/>
      <c r="X1646" s="5"/>
      <c r="Z1646" s="28"/>
      <c r="AA1646" s="28"/>
      <c r="AB1646" s="28"/>
      <c r="AC1646" s="28"/>
      <c r="AD1646" s="28"/>
      <c r="AE1646" s="28"/>
      <c r="AF1646" s="28"/>
      <c r="AG1646" s="28"/>
      <c r="AH1646" s="28"/>
      <c r="AI1646" s="28"/>
      <c r="AJ1646" s="28"/>
      <c r="AK1646" s="28"/>
      <c r="AL1646" s="28"/>
      <c r="AM1646" s="28"/>
      <c r="AN1646" s="28"/>
      <c r="AO1646" s="28"/>
      <c r="AP1646" s="28"/>
      <c r="AQ1646" s="28"/>
      <c r="AR1646" s="28"/>
      <c r="AS1646" s="28"/>
      <c r="AT1646" s="5"/>
      <c r="AU1646" s="28"/>
      <c r="AV1646" s="28"/>
      <c r="AX1646" s="28"/>
      <c r="AY1646" s="28"/>
      <c r="BA1646" s="28"/>
      <c r="BB1646" s="28"/>
      <c r="BF1646" s="28"/>
      <c r="BH1646" s="28"/>
      <c r="BI1646" s="28"/>
      <c r="BJ1646" s="38"/>
      <c r="BK1646" s="28"/>
    </row>
    <row r="1647" customFormat="false" ht="15.75" hidden="false" customHeight="false" outlineLevel="0" collapsed="false">
      <c r="A1647" s="28"/>
      <c r="B1647" s="28"/>
      <c r="C1647" s="28"/>
      <c r="D1647" s="5"/>
      <c r="E1647" s="38"/>
      <c r="F1647" s="28"/>
      <c r="G1647" s="28"/>
      <c r="H1647" s="38"/>
      <c r="I1647" s="28"/>
      <c r="J1647" s="40"/>
      <c r="K1647" s="40"/>
      <c r="L1647" s="5"/>
      <c r="M1647" s="5"/>
      <c r="N1647" s="28"/>
      <c r="O1647" s="28"/>
      <c r="P1647" s="28"/>
      <c r="Q1647" s="28"/>
      <c r="R1647" s="28"/>
      <c r="S1647" s="28"/>
      <c r="T1647" s="28"/>
      <c r="V1647" s="28"/>
      <c r="W1647" s="5"/>
      <c r="X1647" s="5"/>
      <c r="Z1647" s="28"/>
      <c r="AA1647" s="28"/>
      <c r="AB1647" s="28"/>
      <c r="AC1647" s="28"/>
      <c r="AD1647" s="28"/>
      <c r="AE1647" s="28"/>
      <c r="AF1647" s="28"/>
      <c r="AG1647" s="28"/>
      <c r="AH1647" s="28"/>
      <c r="AI1647" s="28"/>
      <c r="AJ1647" s="28"/>
      <c r="AK1647" s="28"/>
      <c r="AL1647" s="28"/>
      <c r="AM1647" s="28"/>
      <c r="AN1647" s="28"/>
      <c r="AO1647" s="28"/>
      <c r="AP1647" s="28"/>
      <c r="AQ1647" s="28"/>
      <c r="AR1647" s="28"/>
      <c r="AS1647" s="28"/>
      <c r="AT1647" s="5"/>
      <c r="AU1647" s="28"/>
      <c r="AV1647" s="28"/>
      <c r="AX1647" s="28"/>
      <c r="AY1647" s="28"/>
      <c r="BA1647" s="28"/>
      <c r="BB1647" s="28"/>
      <c r="BF1647" s="28"/>
      <c r="BH1647" s="28"/>
      <c r="BI1647" s="28"/>
      <c r="BJ1647" s="38"/>
      <c r="BK1647" s="28"/>
    </row>
    <row r="1648" customFormat="false" ht="15.75" hidden="false" customHeight="false" outlineLevel="0" collapsed="false">
      <c r="A1648" s="28"/>
      <c r="B1648" s="28"/>
      <c r="C1648" s="28"/>
      <c r="D1648" s="5"/>
      <c r="E1648" s="38"/>
      <c r="F1648" s="28"/>
      <c r="G1648" s="28"/>
      <c r="H1648" s="38"/>
      <c r="I1648" s="28"/>
      <c r="J1648" s="40"/>
      <c r="K1648" s="40"/>
      <c r="L1648" s="5"/>
      <c r="M1648" s="5"/>
      <c r="N1648" s="28"/>
      <c r="O1648" s="28"/>
      <c r="P1648" s="28"/>
      <c r="Q1648" s="28"/>
      <c r="R1648" s="28"/>
      <c r="S1648" s="28"/>
      <c r="T1648" s="28"/>
      <c r="V1648" s="28"/>
      <c r="W1648" s="5"/>
      <c r="X1648" s="5"/>
      <c r="Z1648" s="28"/>
      <c r="AA1648" s="28"/>
      <c r="AB1648" s="28"/>
      <c r="AC1648" s="28"/>
      <c r="AD1648" s="28"/>
      <c r="AE1648" s="28"/>
      <c r="AF1648" s="28"/>
      <c r="AG1648" s="28"/>
      <c r="AH1648" s="28"/>
      <c r="AI1648" s="28"/>
      <c r="AJ1648" s="28"/>
      <c r="AK1648" s="28"/>
      <c r="AL1648" s="28"/>
      <c r="AM1648" s="28"/>
      <c r="AN1648" s="28"/>
      <c r="AO1648" s="28"/>
      <c r="AP1648" s="28"/>
      <c r="AQ1648" s="28"/>
      <c r="AR1648" s="28"/>
      <c r="AS1648" s="28"/>
      <c r="AT1648" s="5"/>
      <c r="AU1648" s="28"/>
      <c r="AV1648" s="28"/>
      <c r="AX1648" s="28"/>
      <c r="AY1648" s="28"/>
      <c r="BA1648" s="28"/>
      <c r="BB1648" s="28"/>
      <c r="BF1648" s="28"/>
      <c r="BH1648" s="28"/>
      <c r="BI1648" s="28"/>
      <c r="BJ1648" s="38"/>
      <c r="BK1648" s="28"/>
    </row>
    <row r="1649" customFormat="false" ht="15.75" hidden="false" customHeight="false" outlineLevel="0" collapsed="false">
      <c r="A1649" s="28"/>
      <c r="B1649" s="28"/>
      <c r="C1649" s="28"/>
      <c r="D1649" s="5"/>
      <c r="E1649" s="38"/>
      <c r="F1649" s="28"/>
      <c r="G1649" s="28"/>
      <c r="H1649" s="38"/>
      <c r="I1649" s="28"/>
      <c r="J1649" s="40"/>
      <c r="K1649" s="40"/>
      <c r="L1649" s="5"/>
      <c r="M1649" s="5"/>
      <c r="N1649" s="28"/>
      <c r="O1649" s="28"/>
      <c r="P1649" s="28"/>
      <c r="Q1649" s="28"/>
      <c r="R1649" s="28"/>
      <c r="S1649" s="28"/>
      <c r="T1649" s="28"/>
      <c r="V1649" s="28"/>
      <c r="W1649" s="5"/>
      <c r="X1649" s="5"/>
      <c r="Z1649" s="28"/>
      <c r="AA1649" s="28"/>
      <c r="AB1649" s="28"/>
      <c r="AC1649" s="28"/>
      <c r="AD1649" s="28"/>
      <c r="AE1649" s="28"/>
      <c r="AF1649" s="28"/>
      <c r="AG1649" s="28"/>
      <c r="AH1649" s="28"/>
      <c r="AI1649" s="28"/>
      <c r="AJ1649" s="28"/>
      <c r="AK1649" s="28"/>
      <c r="AL1649" s="28"/>
      <c r="AM1649" s="28"/>
      <c r="AN1649" s="28"/>
      <c r="AO1649" s="28"/>
      <c r="AP1649" s="28"/>
      <c r="AQ1649" s="28"/>
      <c r="AR1649" s="28"/>
      <c r="AS1649" s="28"/>
      <c r="AT1649" s="5"/>
      <c r="AU1649" s="28"/>
      <c r="AV1649" s="28"/>
      <c r="AX1649" s="28"/>
      <c r="AY1649" s="28"/>
      <c r="BA1649" s="28"/>
      <c r="BB1649" s="28"/>
      <c r="BF1649" s="28"/>
      <c r="BH1649" s="28"/>
      <c r="BI1649" s="28"/>
      <c r="BJ1649" s="38"/>
      <c r="BK1649" s="28"/>
    </row>
    <row r="1650" customFormat="false" ht="15.75" hidden="false" customHeight="false" outlineLevel="0" collapsed="false">
      <c r="A1650" s="28"/>
      <c r="B1650" s="28"/>
      <c r="C1650" s="28"/>
      <c r="D1650" s="5"/>
      <c r="E1650" s="38"/>
      <c r="F1650" s="28"/>
      <c r="G1650" s="28"/>
      <c r="H1650" s="38"/>
      <c r="I1650" s="28"/>
      <c r="J1650" s="40"/>
      <c r="K1650" s="40"/>
      <c r="L1650" s="5"/>
      <c r="M1650" s="5"/>
      <c r="N1650" s="28"/>
      <c r="O1650" s="28"/>
      <c r="P1650" s="28"/>
      <c r="Q1650" s="28"/>
      <c r="R1650" s="28"/>
      <c r="S1650" s="28"/>
      <c r="T1650" s="28"/>
      <c r="V1650" s="28"/>
      <c r="W1650" s="5"/>
      <c r="X1650" s="5"/>
      <c r="Z1650" s="28"/>
      <c r="AA1650" s="28"/>
      <c r="AB1650" s="28"/>
      <c r="AC1650" s="28"/>
      <c r="AD1650" s="28"/>
      <c r="AE1650" s="28"/>
      <c r="AF1650" s="28"/>
      <c r="AG1650" s="28"/>
      <c r="AH1650" s="28"/>
      <c r="AI1650" s="28"/>
      <c r="AJ1650" s="28"/>
      <c r="AK1650" s="28"/>
      <c r="AL1650" s="28"/>
      <c r="AM1650" s="28"/>
      <c r="AN1650" s="28"/>
      <c r="AO1650" s="28"/>
      <c r="AP1650" s="28"/>
      <c r="AQ1650" s="28"/>
      <c r="AR1650" s="28"/>
      <c r="AS1650" s="28"/>
      <c r="AT1650" s="5"/>
      <c r="AU1650" s="28"/>
      <c r="AV1650" s="28"/>
      <c r="AX1650" s="28"/>
      <c r="AY1650" s="28"/>
      <c r="BA1650" s="28"/>
      <c r="BB1650" s="28"/>
      <c r="BF1650" s="28"/>
      <c r="BH1650" s="28"/>
      <c r="BI1650" s="28"/>
      <c r="BJ1650" s="38"/>
      <c r="BK1650" s="28"/>
    </row>
    <row r="1651" customFormat="false" ht="15.75" hidden="false" customHeight="false" outlineLevel="0" collapsed="false">
      <c r="A1651" s="28"/>
      <c r="B1651" s="28"/>
      <c r="C1651" s="28"/>
      <c r="D1651" s="5"/>
      <c r="E1651" s="38"/>
      <c r="F1651" s="28"/>
      <c r="G1651" s="28"/>
      <c r="H1651" s="38"/>
      <c r="I1651" s="28"/>
      <c r="J1651" s="40"/>
      <c r="K1651" s="40"/>
      <c r="L1651" s="5"/>
      <c r="M1651" s="5"/>
      <c r="N1651" s="28"/>
      <c r="O1651" s="28"/>
      <c r="P1651" s="28"/>
      <c r="Q1651" s="28"/>
      <c r="R1651" s="28"/>
      <c r="S1651" s="28"/>
      <c r="T1651" s="28"/>
      <c r="V1651" s="28"/>
      <c r="W1651" s="5"/>
      <c r="X1651" s="5"/>
      <c r="Z1651" s="28"/>
      <c r="AA1651" s="28"/>
      <c r="AB1651" s="28"/>
      <c r="AC1651" s="28"/>
      <c r="AD1651" s="28"/>
      <c r="AE1651" s="28"/>
      <c r="AF1651" s="28"/>
      <c r="AG1651" s="28"/>
      <c r="AH1651" s="28"/>
      <c r="AI1651" s="28"/>
      <c r="AJ1651" s="28"/>
      <c r="AK1651" s="28"/>
      <c r="AL1651" s="28"/>
      <c r="AM1651" s="28"/>
      <c r="AN1651" s="28"/>
      <c r="AO1651" s="28"/>
      <c r="AP1651" s="28"/>
      <c r="AQ1651" s="28"/>
      <c r="AR1651" s="28"/>
      <c r="AS1651" s="28"/>
      <c r="AT1651" s="5"/>
      <c r="AU1651" s="28"/>
      <c r="AV1651" s="28"/>
      <c r="AX1651" s="28"/>
      <c r="AY1651" s="28"/>
      <c r="BA1651" s="28"/>
      <c r="BB1651" s="28"/>
      <c r="BF1651" s="28"/>
      <c r="BH1651" s="28"/>
      <c r="BI1651" s="28"/>
      <c r="BJ1651" s="38"/>
      <c r="BK1651" s="28"/>
    </row>
    <row r="1652" customFormat="false" ht="15.75" hidden="false" customHeight="false" outlineLevel="0" collapsed="false">
      <c r="A1652" s="28"/>
      <c r="B1652" s="28"/>
      <c r="C1652" s="28"/>
      <c r="D1652" s="5"/>
      <c r="E1652" s="38"/>
      <c r="F1652" s="28"/>
      <c r="G1652" s="28"/>
      <c r="H1652" s="38"/>
      <c r="I1652" s="28"/>
      <c r="J1652" s="40"/>
      <c r="K1652" s="40"/>
      <c r="L1652" s="5"/>
      <c r="M1652" s="5"/>
      <c r="N1652" s="28"/>
      <c r="O1652" s="28"/>
      <c r="P1652" s="28"/>
      <c r="Q1652" s="28"/>
      <c r="R1652" s="28"/>
      <c r="S1652" s="28"/>
      <c r="T1652" s="28"/>
      <c r="V1652" s="28"/>
      <c r="W1652" s="5"/>
      <c r="X1652" s="5"/>
      <c r="Z1652" s="28"/>
      <c r="AA1652" s="28"/>
      <c r="AB1652" s="28"/>
      <c r="AC1652" s="28"/>
      <c r="AD1652" s="28"/>
      <c r="AE1652" s="28"/>
      <c r="AF1652" s="28"/>
      <c r="AG1652" s="28"/>
      <c r="AH1652" s="28"/>
      <c r="AI1652" s="28"/>
      <c r="AJ1652" s="28"/>
      <c r="AK1652" s="28"/>
      <c r="AL1652" s="28"/>
      <c r="AM1652" s="28"/>
      <c r="AN1652" s="28"/>
      <c r="AO1652" s="28"/>
      <c r="AP1652" s="28"/>
      <c r="AQ1652" s="28"/>
      <c r="AR1652" s="28"/>
      <c r="AS1652" s="28"/>
      <c r="AT1652" s="5"/>
      <c r="AU1652" s="28"/>
      <c r="AV1652" s="28"/>
      <c r="AX1652" s="28"/>
      <c r="AY1652" s="28"/>
      <c r="BA1652" s="28"/>
      <c r="BB1652" s="28"/>
      <c r="BF1652" s="28"/>
      <c r="BH1652" s="28"/>
      <c r="BI1652" s="28"/>
      <c r="BJ1652" s="38"/>
      <c r="BK1652" s="28"/>
    </row>
    <row r="1653" customFormat="false" ht="15.75" hidden="false" customHeight="false" outlineLevel="0" collapsed="false">
      <c r="A1653" s="28"/>
      <c r="B1653" s="28"/>
      <c r="C1653" s="28"/>
      <c r="D1653" s="5"/>
      <c r="E1653" s="38"/>
      <c r="F1653" s="28"/>
      <c r="G1653" s="28"/>
      <c r="H1653" s="38"/>
      <c r="I1653" s="28"/>
      <c r="J1653" s="40"/>
      <c r="K1653" s="40"/>
      <c r="L1653" s="5"/>
      <c r="M1653" s="5"/>
      <c r="N1653" s="28"/>
      <c r="O1653" s="28"/>
      <c r="P1653" s="28"/>
      <c r="Q1653" s="28"/>
      <c r="R1653" s="28"/>
      <c r="S1653" s="28"/>
      <c r="T1653" s="28"/>
      <c r="V1653" s="28"/>
      <c r="W1653" s="5"/>
      <c r="X1653" s="5"/>
      <c r="Z1653" s="28"/>
      <c r="AA1653" s="28"/>
      <c r="AB1653" s="28"/>
      <c r="AC1653" s="28"/>
      <c r="AD1653" s="28"/>
      <c r="AE1653" s="28"/>
      <c r="AF1653" s="28"/>
      <c r="AG1653" s="28"/>
      <c r="AH1653" s="28"/>
      <c r="AI1653" s="28"/>
      <c r="AJ1653" s="28"/>
      <c r="AK1653" s="28"/>
      <c r="AL1653" s="28"/>
      <c r="AM1653" s="28"/>
      <c r="AN1653" s="28"/>
      <c r="AO1653" s="28"/>
      <c r="AP1653" s="28"/>
      <c r="AQ1653" s="28"/>
      <c r="AR1653" s="28"/>
      <c r="AS1653" s="28"/>
      <c r="AT1653" s="5"/>
      <c r="AU1653" s="28"/>
      <c r="AV1653" s="28"/>
      <c r="AX1653" s="28"/>
      <c r="AY1653" s="28"/>
      <c r="BA1653" s="28"/>
      <c r="BB1653" s="28"/>
      <c r="BF1653" s="28"/>
      <c r="BH1653" s="28"/>
      <c r="BI1653" s="28"/>
      <c r="BJ1653" s="38"/>
      <c r="BK1653" s="28"/>
    </row>
    <row r="1654" customFormat="false" ht="15.75" hidden="false" customHeight="false" outlineLevel="0" collapsed="false">
      <c r="A1654" s="28"/>
      <c r="B1654" s="28"/>
      <c r="C1654" s="28"/>
      <c r="D1654" s="5"/>
      <c r="E1654" s="38"/>
      <c r="F1654" s="28"/>
      <c r="G1654" s="28"/>
      <c r="H1654" s="38"/>
      <c r="I1654" s="28"/>
      <c r="J1654" s="40"/>
      <c r="K1654" s="40"/>
      <c r="L1654" s="5"/>
      <c r="M1654" s="5"/>
      <c r="N1654" s="28"/>
      <c r="O1654" s="28"/>
      <c r="P1654" s="28"/>
      <c r="Q1654" s="28"/>
      <c r="R1654" s="28"/>
      <c r="S1654" s="28"/>
      <c r="T1654" s="28"/>
      <c r="V1654" s="28"/>
      <c r="W1654" s="5"/>
      <c r="X1654" s="5"/>
      <c r="Z1654" s="28"/>
      <c r="AA1654" s="28"/>
      <c r="AB1654" s="28"/>
      <c r="AC1654" s="28"/>
      <c r="AD1654" s="28"/>
      <c r="AE1654" s="28"/>
      <c r="AF1654" s="28"/>
      <c r="AG1654" s="28"/>
      <c r="AH1654" s="28"/>
      <c r="AI1654" s="28"/>
      <c r="AJ1654" s="28"/>
      <c r="AK1654" s="28"/>
      <c r="AL1654" s="28"/>
      <c r="AM1654" s="28"/>
      <c r="AN1654" s="28"/>
      <c r="AO1654" s="28"/>
      <c r="AP1654" s="28"/>
      <c r="AQ1654" s="28"/>
      <c r="AR1654" s="28"/>
      <c r="AS1654" s="28"/>
      <c r="AT1654" s="5"/>
      <c r="AU1654" s="28"/>
      <c r="AV1654" s="28"/>
      <c r="AX1654" s="28"/>
      <c r="AY1654" s="28"/>
      <c r="BA1654" s="28"/>
      <c r="BB1654" s="28"/>
      <c r="BF1654" s="28"/>
      <c r="BH1654" s="28"/>
      <c r="BI1654" s="28"/>
      <c r="BJ1654" s="38"/>
      <c r="BK1654" s="28"/>
    </row>
    <row r="1655" customFormat="false" ht="15.75" hidden="false" customHeight="false" outlineLevel="0" collapsed="false">
      <c r="A1655" s="28"/>
      <c r="B1655" s="28"/>
      <c r="C1655" s="28"/>
      <c r="D1655" s="5"/>
      <c r="E1655" s="38"/>
      <c r="F1655" s="28"/>
      <c r="G1655" s="28"/>
      <c r="H1655" s="38"/>
      <c r="I1655" s="28"/>
      <c r="J1655" s="40"/>
      <c r="K1655" s="40"/>
      <c r="L1655" s="5"/>
      <c r="M1655" s="5"/>
      <c r="N1655" s="28"/>
      <c r="O1655" s="28"/>
      <c r="P1655" s="28"/>
      <c r="Q1655" s="28"/>
      <c r="R1655" s="28"/>
      <c r="S1655" s="28"/>
      <c r="T1655" s="28"/>
      <c r="V1655" s="28"/>
      <c r="W1655" s="5"/>
      <c r="X1655" s="5"/>
      <c r="Z1655" s="28"/>
      <c r="AA1655" s="28"/>
      <c r="AB1655" s="28"/>
      <c r="AC1655" s="28"/>
      <c r="AD1655" s="28"/>
      <c r="AE1655" s="28"/>
      <c r="AF1655" s="28"/>
      <c r="AG1655" s="28"/>
      <c r="AH1655" s="28"/>
      <c r="AI1655" s="28"/>
      <c r="AJ1655" s="28"/>
      <c r="AK1655" s="28"/>
      <c r="AL1655" s="28"/>
      <c r="AM1655" s="28"/>
      <c r="AN1655" s="28"/>
      <c r="AO1655" s="28"/>
      <c r="AP1655" s="28"/>
      <c r="AQ1655" s="28"/>
      <c r="AR1655" s="28"/>
      <c r="AS1655" s="28"/>
      <c r="AT1655" s="5"/>
      <c r="AU1655" s="28"/>
      <c r="AV1655" s="28"/>
      <c r="AX1655" s="28"/>
      <c r="AY1655" s="28"/>
      <c r="BA1655" s="28"/>
      <c r="BB1655" s="28"/>
      <c r="BF1655" s="28"/>
      <c r="BH1655" s="28"/>
      <c r="BI1655" s="28"/>
      <c r="BJ1655" s="38"/>
      <c r="BK1655" s="28"/>
    </row>
    <row r="1656" customFormat="false" ht="15.75" hidden="false" customHeight="false" outlineLevel="0" collapsed="false">
      <c r="A1656" s="28"/>
      <c r="B1656" s="28"/>
      <c r="C1656" s="28"/>
      <c r="D1656" s="5"/>
      <c r="E1656" s="38"/>
      <c r="F1656" s="28"/>
      <c r="G1656" s="28"/>
      <c r="H1656" s="38"/>
      <c r="I1656" s="28"/>
      <c r="J1656" s="40"/>
      <c r="K1656" s="40"/>
      <c r="L1656" s="5"/>
      <c r="M1656" s="5"/>
      <c r="N1656" s="28"/>
      <c r="O1656" s="28"/>
      <c r="P1656" s="28"/>
      <c r="Q1656" s="28"/>
      <c r="R1656" s="28"/>
      <c r="S1656" s="28"/>
      <c r="T1656" s="28"/>
      <c r="V1656" s="28"/>
      <c r="W1656" s="5"/>
      <c r="X1656" s="5"/>
      <c r="Z1656" s="28"/>
      <c r="AA1656" s="28"/>
      <c r="AB1656" s="28"/>
      <c r="AC1656" s="28"/>
      <c r="AD1656" s="28"/>
      <c r="AE1656" s="28"/>
      <c r="AF1656" s="28"/>
      <c r="AG1656" s="28"/>
      <c r="AH1656" s="28"/>
      <c r="AI1656" s="28"/>
      <c r="AJ1656" s="28"/>
      <c r="AK1656" s="28"/>
      <c r="AL1656" s="28"/>
      <c r="AM1656" s="28"/>
      <c r="AN1656" s="28"/>
      <c r="AO1656" s="28"/>
      <c r="AP1656" s="28"/>
      <c r="AQ1656" s="28"/>
      <c r="AR1656" s="28"/>
      <c r="AS1656" s="28"/>
      <c r="AT1656" s="5"/>
      <c r="AU1656" s="28"/>
      <c r="AV1656" s="28"/>
      <c r="AX1656" s="28"/>
      <c r="AY1656" s="28"/>
      <c r="BA1656" s="28"/>
      <c r="BB1656" s="28"/>
      <c r="BF1656" s="28"/>
      <c r="BH1656" s="28"/>
      <c r="BI1656" s="28"/>
      <c r="BJ1656" s="38"/>
      <c r="BK1656" s="28"/>
    </row>
    <row r="1657" customFormat="false" ht="15.75" hidden="false" customHeight="false" outlineLevel="0" collapsed="false">
      <c r="A1657" s="28"/>
      <c r="B1657" s="28"/>
      <c r="C1657" s="28"/>
      <c r="D1657" s="5"/>
      <c r="E1657" s="38"/>
      <c r="F1657" s="28"/>
      <c r="G1657" s="28"/>
      <c r="H1657" s="38"/>
      <c r="I1657" s="28"/>
      <c r="J1657" s="40"/>
      <c r="K1657" s="40"/>
      <c r="L1657" s="5"/>
      <c r="M1657" s="5"/>
      <c r="N1657" s="28"/>
      <c r="O1657" s="28"/>
      <c r="P1657" s="28"/>
      <c r="Q1657" s="28"/>
      <c r="R1657" s="28"/>
      <c r="S1657" s="28"/>
      <c r="T1657" s="28"/>
      <c r="V1657" s="28"/>
      <c r="W1657" s="5"/>
      <c r="X1657" s="5"/>
      <c r="Z1657" s="28"/>
      <c r="AA1657" s="28"/>
      <c r="AB1657" s="28"/>
      <c r="AC1657" s="28"/>
      <c r="AD1657" s="28"/>
      <c r="AE1657" s="28"/>
      <c r="AF1657" s="28"/>
      <c r="AG1657" s="28"/>
      <c r="AH1657" s="28"/>
      <c r="AI1657" s="28"/>
      <c r="AJ1657" s="28"/>
      <c r="AK1657" s="28"/>
      <c r="AL1657" s="28"/>
      <c r="AM1657" s="28"/>
      <c r="AN1657" s="28"/>
      <c r="AO1657" s="28"/>
      <c r="AP1657" s="28"/>
      <c r="AQ1657" s="28"/>
      <c r="AR1657" s="28"/>
      <c r="AS1657" s="28"/>
      <c r="AT1657" s="5"/>
      <c r="AU1657" s="28"/>
      <c r="AV1657" s="28"/>
      <c r="AX1657" s="28"/>
      <c r="AY1657" s="28"/>
      <c r="BA1657" s="28"/>
      <c r="BB1657" s="28"/>
      <c r="BF1657" s="28"/>
      <c r="BH1657" s="28"/>
      <c r="BI1657" s="28"/>
      <c r="BJ1657" s="38"/>
      <c r="BK1657" s="28"/>
    </row>
    <row r="1658" customFormat="false" ht="15.75" hidden="false" customHeight="false" outlineLevel="0" collapsed="false">
      <c r="A1658" s="28"/>
      <c r="B1658" s="28"/>
      <c r="C1658" s="28"/>
      <c r="D1658" s="5"/>
      <c r="E1658" s="38"/>
      <c r="F1658" s="28"/>
      <c r="G1658" s="28"/>
      <c r="H1658" s="38"/>
      <c r="I1658" s="28"/>
      <c r="J1658" s="40"/>
      <c r="K1658" s="40"/>
      <c r="L1658" s="5"/>
      <c r="M1658" s="5"/>
      <c r="N1658" s="28"/>
      <c r="O1658" s="28"/>
      <c r="P1658" s="28"/>
      <c r="Q1658" s="28"/>
      <c r="R1658" s="28"/>
      <c r="S1658" s="28"/>
      <c r="T1658" s="28"/>
      <c r="V1658" s="28"/>
      <c r="W1658" s="5"/>
      <c r="X1658" s="5"/>
      <c r="Z1658" s="28"/>
      <c r="AA1658" s="28"/>
      <c r="AB1658" s="28"/>
      <c r="AC1658" s="28"/>
      <c r="AD1658" s="28"/>
      <c r="AE1658" s="28"/>
      <c r="AF1658" s="28"/>
      <c r="AG1658" s="28"/>
      <c r="AH1658" s="28"/>
      <c r="AI1658" s="28"/>
      <c r="AJ1658" s="28"/>
      <c r="AK1658" s="28"/>
      <c r="AL1658" s="28"/>
      <c r="AM1658" s="28"/>
      <c r="AN1658" s="28"/>
      <c r="AO1658" s="28"/>
      <c r="AP1658" s="28"/>
      <c r="AQ1658" s="28"/>
      <c r="AR1658" s="28"/>
      <c r="AS1658" s="28"/>
      <c r="AT1658" s="5"/>
      <c r="AU1658" s="28"/>
      <c r="AV1658" s="28"/>
      <c r="AX1658" s="28"/>
      <c r="AY1658" s="28"/>
      <c r="BA1658" s="28"/>
      <c r="BB1658" s="28"/>
      <c r="BF1658" s="28"/>
      <c r="BH1658" s="28"/>
      <c r="BI1658" s="28"/>
      <c r="BJ1658" s="38"/>
      <c r="BK1658" s="28"/>
    </row>
    <row r="1659" customFormat="false" ht="15.75" hidden="false" customHeight="false" outlineLevel="0" collapsed="false">
      <c r="A1659" s="28"/>
      <c r="B1659" s="28"/>
      <c r="C1659" s="28"/>
      <c r="D1659" s="5"/>
      <c r="E1659" s="38"/>
      <c r="F1659" s="28"/>
      <c r="G1659" s="28"/>
      <c r="H1659" s="38"/>
      <c r="I1659" s="28"/>
      <c r="J1659" s="40"/>
      <c r="K1659" s="40"/>
      <c r="L1659" s="5"/>
      <c r="M1659" s="5"/>
      <c r="N1659" s="28"/>
      <c r="O1659" s="28"/>
      <c r="P1659" s="28"/>
      <c r="Q1659" s="28"/>
      <c r="R1659" s="28"/>
      <c r="S1659" s="28"/>
      <c r="T1659" s="28"/>
      <c r="V1659" s="28"/>
      <c r="W1659" s="5"/>
      <c r="X1659" s="5"/>
      <c r="Z1659" s="28"/>
      <c r="AA1659" s="28"/>
      <c r="AB1659" s="28"/>
      <c r="AC1659" s="28"/>
      <c r="AD1659" s="28"/>
      <c r="AE1659" s="28"/>
      <c r="AF1659" s="28"/>
      <c r="AG1659" s="28"/>
      <c r="AH1659" s="28"/>
      <c r="AI1659" s="28"/>
      <c r="AJ1659" s="28"/>
      <c r="AK1659" s="28"/>
      <c r="AL1659" s="28"/>
      <c r="AM1659" s="28"/>
      <c r="AN1659" s="28"/>
      <c r="AO1659" s="28"/>
      <c r="AP1659" s="28"/>
      <c r="AQ1659" s="28"/>
      <c r="AR1659" s="28"/>
      <c r="AS1659" s="28"/>
      <c r="AT1659" s="5"/>
      <c r="AU1659" s="28"/>
      <c r="AV1659" s="28"/>
      <c r="AX1659" s="28"/>
      <c r="AY1659" s="28"/>
      <c r="BA1659" s="28"/>
      <c r="BB1659" s="28"/>
      <c r="BF1659" s="28"/>
      <c r="BH1659" s="28"/>
      <c r="BI1659" s="28"/>
      <c r="BJ1659" s="38"/>
      <c r="BK1659" s="28"/>
    </row>
    <row r="1660" customFormat="false" ht="15.75" hidden="false" customHeight="false" outlineLevel="0" collapsed="false">
      <c r="A1660" s="28"/>
      <c r="B1660" s="28"/>
      <c r="C1660" s="28"/>
      <c r="D1660" s="5"/>
      <c r="E1660" s="38"/>
      <c r="F1660" s="28"/>
      <c r="G1660" s="28"/>
      <c r="H1660" s="38"/>
      <c r="I1660" s="28"/>
      <c r="J1660" s="40"/>
      <c r="K1660" s="40"/>
      <c r="L1660" s="5"/>
      <c r="M1660" s="5"/>
      <c r="N1660" s="28"/>
      <c r="O1660" s="28"/>
      <c r="P1660" s="28"/>
      <c r="Q1660" s="28"/>
      <c r="R1660" s="28"/>
      <c r="S1660" s="28"/>
      <c r="T1660" s="28"/>
      <c r="V1660" s="28"/>
      <c r="W1660" s="5"/>
      <c r="X1660" s="5"/>
      <c r="Z1660" s="28"/>
      <c r="AA1660" s="28"/>
      <c r="AB1660" s="28"/>
      <c r="AC1660" s="28"/>
      <c r="AD1660" s="28"/>
      <c r="AE1660" s="28"/>
      <c r="AF1660" s="28"/>
      <c r="AG1660" s="28"/>
      <c r="AH1660" s="28"/>
      <c r="AI1660" s="28"/>
      <c r="AJ1660" s="28"/>
      <c r="AK1660" s="28"/>
      <c r="AL1660" s="28"/>
      <c r="AM1660" s="28"/>
      <c r="AN1660" s="28"/>
      <c r="AO1660" s="28"/>
      <c r="AP1660" s="28"/>
      <c r="AQ1660" s="28"/>
      <c r="AR1660" s="28"/>
      <c r="AS1660" s="28"/>
      <c r="AT1660" s="5"/>
      <c r="AU1660" s="28"/>
      <c r="AV1660" s="28"/>
      <c r="AX1660" s="28"/>
      <c r="AY1660" s="28"/>
      <c r="BA1660" s="28"/>
      <c r="BB1660" s="28"/>
      <c r="BF1660" s="28"/>
      <c r="BH1660" s="28"/>
      <c r="BI1660" s="28"/>
      <c r="BJ1660" s="38"/>
      <c r="BK1660" s="28"/>
    </row>
    <row r="1661" customFormat="false" ht="15.75" hidden="false" customHeight="false" outlineLevel="0" collapsed="false">
      <c r="A1661" s="28"/>
      <c r="B1661" s="28"/>
      <c r="C1661" s="28"/>
      <c r="D1661" s="5"/>
      <c r="E1661" s="38"/>
      <c r="F1661" s="28"/>
      <c r="G1661" s="28"/>
      <c r="H1661" s="38"/>
      <c r="I1661" s="28"/>
      <c r="J1661" s="40"/>
      <c r="K1661" s="40"/>
      <c r="L1661" s="5"/>
      <c r="M1661" s="5"/>
      <c r="N1661" s="28"/>
      <c r="O1661" s="28"/>
      <c r="P1661" s="28"/>
      <c r="Q1661" s="28"/>
      <c r="R1661" s="28"/>
      <c r="S1661" s="28"/>
      <c r="T1661" s="28"/>
      <c r="V1661" s="28"/>
      <c r="W1661" s="5"/>
      <c r="X1661" s="5"/>
      <c r="Z1661" s="28"/>
      <c r="AA1661" s="28"/>
      <c r="AB1661" s="28"/>
      <c r="AC1661" s="28"/>
      <c r="AD1661" s="28"/>
      <c r="AE1661" s="28"/>
      <c r="AF1661" s="28"/>
      <c r="AG1661" s="28"/>
      <c r="AH1661" s="28"/>
      <c r="AI1661" s="28"/>
      <c r="AJ1661" s="28"/>
      <c r="AK1661" s="28"/>
      <c r="AL1661" s="28"/>
      <c r="AM1661" s="28"/>
      <c r="AN1661" s="28"/>
      <c r="AO1661" s="28"/>
      <c r="AP1661" s="28"/>
      <c r="AQ1661" s="28"/>
      <c r="AR1661" s="28"/>
      <c r="AS1661" s="28"/>
      <c r="AT1661" s="5"/>
      <c r="AU1661" s="28"/>
      <c r="AV1661" s="28"/>
      <c r="AX1661" s="28"/>
      <c r="AY1661" s="28"/>
      <c r="BA1661" s="28"/>
      <c r="BB1661" s="28"/>
      <c r="BF1661" s="28"/>
      <c r="BH1661" s="28"/>
      <c r="BI1661" s="28"/>
      <c r="BJ1661" s="38"/>
      <c r="BK1661" s="28"/>
    </row>
    <row r="1662" customFormat="false" ht="15.75" hidden="false" customHeight="false" outlineLevel="0" collapsed="false">
      <c r="A1662" s="28"/>
      <c r="B1662" s="28"/>
      <c r="C1662" s="28"/>
      <c r="D1662" s="5"/>
      <c r="E1662" s="38"/>
      <c r="F1662" s="28"/>
      <c r="G1662" s="28"/>
      <c r="H1662" s="38"/>
      <c r="I1662" s="28"/>
      <c r="J1662" s="40"/>
      <c r="K1662" s="40"/>
      <c r="L1662" s="5"/>
      <c r="M1662" s="5"/>
      <c r="N1662" s="28"/>
      <c r="O1662" s="28"/>
      <c r="P1662" s="28"/>
      <c r="Q1662" s="28"/>
      <c r="R1662" s="28"/>
      <c r="S1662" s="28"/>
      <c r="T1662" s="28"/>
      <c r="V1662" s="28"/>
      <c r="W1662" s="5"/>
      <c r="X1662" s="5"/>
      <c r="Z1662" s="28"/>
      <c r="AA1662" s="28"/>
      <c r="AB1662" s="28"/>
      <c r="AC1662" s="28"/>
      <c r="AD1662" s="28"/>
      <c r="AE1662" s="28"/>
      <c r="AF1662" s="28"/>
      <c r="AG1662" s="28"/>
      <c r="AH1662" s="28"/>
      <c r="AI1662" s="28"/>
      <c r="AJ1662" s="28"/>
      <c r="AK1662" s="28"/>
      <c r="AL1662" s="28"/>
      <c r="AM1662" s="28"/>
      <c r="AN1662" s="28"/>
      <c r="AO1662" s="28"/>
      <c r="AP1662" s="28"/>
      <c r="AQ1662" s="28"/>
      <c r="AR1662" s="28"/>
      <c r="AS1662" s="28"/>
      <c r="AT1662" s="5"/>
      <c r="AU1662" s="28"/>
      <c r="AV1662" s="28"/>
      <c r="AX1662" s="28"/>
      <c r="AY1662" s="28"/>
      <c r="BA1662" s="28"/>
      <c r="BB1662" s="28"/>
      <c r="BF1662" s="28"/>
      <c r="BH1662" s="28"/>
      <c r="BI1662" s="28"/>
      <c r="BJ1662" s="38"/>
      <c r="BK1662" s="28"/>
    </row>
    <row r="1663" customFormat="false" ht="15.75" hidden="false" customHeight="false" outlineLevel="0" collapsed="false">
      <c r="A1663" s="28"/>
      <c r="B1663" s="28"/>
      <c r="C1663" s="28"/>
      <c r="D1663" s="5"/>
      <c r="E1663" s="38"/>
      <c r="F1663" s="28"/>
      <c r="G1663" s="28"/>
      <c r="H1663" s="38"/>
      <c r="I1663" s="28"/>
      <c r="J1663" s="40"/>
      <c r="K1663" s="40"/>
      <c r="L1663" s="5"/>
      <c r="M1663" s="5"/>
      <c r="N1663" s="28"/>
      <c r="O1663" s="28"/>
      <c r="P1663" s="28"/>
      <c r="Q1663" s="28"/>
      <c r="R1663" s="28"/>
      <c r="S1663" s="28"/>
      <c r="T1663" s="28"/>
      <c r="V1663" s="28"/>
      <c r="W1663" s="5"/>
      <c r="X1663" s="5"/>
      <c r="Z1663" s="28"/>
      <c r="AA1663" s="28"/>
      <c r="AB1663" s="28"/>
      <c r="AC1663" s="28"/>
      <c r="AD1663" s="28"/>
      <c r="AE1663" s="28"/>
      <c r="AF1663" s="28"/>
      <c r="AG1663" s="28"/>
      <c r="AH1663" s="28"/>
      <c r="AI1663" s="28"/>
      <c r="AJ1663" s="28"/>
      <c r="AK1663" s="28"/>
      <c r="AL1663" s="28"/>
      <c r="AM1663" s="28"/>
      <c r="AN1663" s="28"/>
      <c r="AO1663" s="28"/>
      <c r="AP1663" s="28"/>
      <c r="AQ1663" s="28"/>
      <c r="AR1663" s="28"/>
      <c r="AS1663" s="28"/>
      <c r="AT1663" s="5"/>
      <c r="AU1663" s="28"/>
      <c r="AV1663" s="28"/>
      <c r="AX1663" s="28"/>
      <c r="AY1663" s="28"/>
      <c r="BA1663" s="28"/>
      <c r="BB1663" s="28"/>
      <c r="BF1663" s="28"/>
      <c r="BH1663" s="28"/>
      <c r="BI1663" s="28"/>
      <c r="BJ1663" s="38"/>
      <c r="BK1663" s="28"/>
    </row>
    <row r="1664" customFormat="false" ht="15.75" hidden="false" customHeight="false" outlineLevel="0" collapsed="false">
      <c r="A1664" s="28"/>
      <c r="B1664" s="28"/>
      <c r="C1664" s="28"/>
      <c r="D1664" s="5"/>
      <c r="E1664" s="38"/>
      <c r="F1664" s="28"/>
      <c r="G1664" s="28"/>
      <c r="H1664" s="38"/>
      <c r="I1664" s="28"/>
      <c r="J1664" s="40"/>
      <c r="K1664" s="40"/>
      <c r="L1664" s="5"/>
      <c r="M1664" s="5"/>
      <c r="N1664" s="28"/>
      <c r="O1664" s="28"/>
      <c r="P1664" s="28"/>
      <c r="Q1664" s="28"/>
      <c r="R1664" s="28"/>
      <c r="S1664" s="28"/>
      <c r="T1664" s="28"/>
      <c r="V1664" s="28"/>
      <c r="W1664" s="5"/>
      <c r="X1664" s="5"/>
      <c r="Z1664" s="28"/>
      <c r="AA1664" s="28"/>
      <c r="AB1664" s="28"/>
      <c r="AC1664" s="28"/>
      <c r="AD1664" s="28"/>
      <c r="AE1664" s="28"/>
      <c r="AF1664" s="28"/>
      <c r="AG1664" s="28"/>
      <c r="AH1664" s="28"/>
      <c r="AI1664" s="28"/>
      <c r="AJ1664" s="28"/>
      <c r="AK1664" s="28"/>
      <c r="AL1664" s="28"/>
      <c r="AM1664" s="28"/>
      <c r="AN1664" s="28"/>
      <c r="AO1664" s="28"/>
      <c r="AP1664" s="28"/>
      <c r="AQ1664" s="28"/>
      <c r="AR1664" s="28"/>
      <c r="AS1664" s="28"/>
      <c r="AT1664" s="5"/>
      <c r="AU1664" s="28"/>
      <c r="AV1664" s="28"/>
      <c r="AX1664" s="28"/>
      <c r="AY1664" s="28"/>
      <c r="BA1664" s="28"/>
      <c r="BB1664" s="28"/>
      <c r="BF1664" s="28"/>
      <c r="BH1664" s="28"/>
      <c r="BI1664" s="28"/>
      <c r="BJ1664" s="38"/>
      <c r="BK1664" s="28"/>
    </row>
    <row r="1665" customFormat="false" ht="15.75" hidden="false" customHeight="false" outlineLevel="0" collapsed="false">
      <c r="A1665" s="28"/>
      <c r="B1665" s="28"/>
      <c r="C1665" s="28"/>
      <c r="D1665" s="5"/>
      <c r="E1665" s="38"/>
      <c r="F1665" s="28"/>
      <c r="G1665" s="28"/>
      <c r="H1665" s="38"/>
      <c r="I1665" s="28"/>
      <c r="J1665" s="40"/>
      <c r="K1665" s="40"/>
      <c r="L1665" s="5"/>
      <c r="M1665" s="5"/>
      <c r="N1665" s="28"/>
      <c r="O1665" s="28"/>
      <c r="P1665" s="28"/>
      <c r="Q1665" s="28"/>
      <c r="R1665" s="28"/>
      <c r="S1665" s="28"/>
      <c r="T1665" s="28"/>
      <c r="V1665" s="28"/>
      <c r="W1665" s="5"/>
      <c r="X1665" s="5"/>
      <c r="Z1665" s="28"/>
      <c r="AA1665" s="28"/>
      <c r="AB1665" s="28"/>
      <c r="AC1665" s="28"/>
      <c r="AD1665" s="28"/>
      <c r="AE1665" s="28"/>
      <c r="AF1665" s="28"/>
      <c r="AG1665" s="28"/>
      <c r="AH1665" s="28"/>
      <c r="AI1665" s="28"/>
      <c r="AJ1665" s="28"/>
      <c r="AK1665" s="28"/>
      <c r="AL1665" s="28"/>
      <c r="AM1665" s="28"/>
      <c r="AN1665" s="28"/>
      <c r="AO1665" s="28"/>
      <c r="AP1665" s="28"/>
      <c r="AQ1665" s="28"/>
      <c r="AR1665" s="28"/>
      <c r="AS1665" s="28"/>
      <c r="AT1665" s="5"/>
      <c r="AU1665" s="28"/>
      <c r="AV1665" s="28"/>
      <c r="AX1665" s="28"/>
      <c r="AY1665" s="28"/>
      <c r="BA1665" s="28"/>
      <c r="BB1665" s="28"/>
      <c r="BF1665" s="28"/>
      <c r="BH1665" s="28"/>
      <c r="BI1665" s="28"/>
      <c r="BJ1665" s="38"/>
      <c r="BK1665" s="28"/>
    </row>
    <row r="1666" customFormat="false" ht="15.75" hidden="false" customHeight="false" outlineLevel="0" collapsed="false">
      <c r="A1666" s="28"/>
      <c r="B1666" s="28"/>
      <c r="C1666" s="28"/>
      <c r="D1666" s="5"/>
      <c r="E1666" s="38"/>
      <c r="F1666" s="28"/>
      <c r="G1666" s="28"/>
      <c r="H1666" s="38"/>
      <c r="I1666" s="28"/>
      <c r="J1666" s="40"/>
      <c r="K1666" s="40"/>
      <c r="L1666" s="5"/>
      <c r="M1666" s="5"/>
      <c r="N1666" s="28"/>
      <c r="O1666" s="28"/>
      <c r="P1666" s="28"/>
      <c r="Q1666" s="28"/>
      <c r="R1666" s="28"/>
      <c r="S1666" s="28"/>
      <c r="T1666" s="28"/>
      <c r="V1666" s="28"/>
      <c r="W1666" s="5"/>
      <c r="X1666" s="5"/>
      <c r="Z1666" s="28"/>
      <c r="AA1666" s="28"/>
      <c r="AB1666" s="28"/>
      <c r="AC1666" s="28"/>
      <c r="AD1666" s="28"/>
      <c r="AE1666" s="28"/>
      <c r="AF1666" s="28"/>
      <c r="AG1666" s="28"/>
      <c r="AH1666" s="28"/>
      <c r="AI1666" s="28"/>
      <c r="AJ1666" s="28"/>
      <c r="AK1666" s="28"/>
      <c r="AL1666" s="28"/>
      <c r="AM1666" s="28"/>
      <c r="AN1666" s="28"/>
      <c r="AO1666" s="28"/>
      <c r="AP1666" s="28"/>
      <c r="AQ1666" s="28"/>
      <c r="AR1666" s="28"/>
      <c r="AS1666" s="28"/>
      <c r="AT1666" s="5"/>
      <c r="AU1666" s="28"/>
      <c r="AV1666" s="28"/>
      <c r="AX1666" s="28"/>
      <c r="AY1666" s="28"/>
      <c r="BA1666" s="28"/>
      <c r="BB1666" s="28"/>
      <c r="BF1666" s="28"/>
      <c r="BH1666" s="28"/>
      <c r="BI1666" s="28"/>
      <c r="BJ1666" s="38"/>
      <c r="BK1666" s="28"/>
    </row>
    <row r="1667" customFormat="false" ht="15.75" hidden="false" customHeight="false" outlineLevel="0" collapsed="false">
      <c r="A1667" s="28"/>
      <c r="B1667" s="28"/>
      <c r="C1667" s="28"/>
      <c r="D1667" s="5"/>
      <c r="E1667" s="38"/>
      <c r="F1667" s="28"/>
      <c r="G1667" s="28"/>
      <c r="H1667" s="38"/>
      <c r="I1667" s="28"/>
      <c r="J1667" s="40"/>
      <c r="K1667" s="40"/>
      <c r="L1667" s="5"/>
      <c r="M1667" s="5"/>
      <c r="N1667" s="28"/>
      <c r="O1667" s="28"/>
      <c r="P1667" s="28"/>
      <c r="Q1667" s="28"/>
      <c r="R1667" s="28"/>
      <c r="S1667" s="28"/>
      <c r="T1667" s="28"/>
      <c r="V1667" s="28"/>
      <c r="W1667" s="5"/>
      <c r="X1667" s="5"/>
      <c r="Z1667" s="28"/>
      <c r="AA1667" s="28"/>
      <c r="AB1667" s="28"/>
      <c r="AC1667" s="28"/>
      <c r="AD1667" s="28"/>
      <c r="AE1667" s="28"/>
      <c r="AF1667" s="28"/>
      <c r="AG1667" s="28"/>
      <c r="AH1667" s="28"/>
      <c r="AI1667" s="28"/>
      <c r="AJ1667" s="28"/>
      <c r="AK1667" s="28"/>
      <c r="AL1667" s="28"/>
      <c r="AM1667" s="28"/>
      <c r="AN1667" s="28"/>
      <c r="AO1667" s="28"/>
      <c r="AP1667" s="28"/>
      <c r="AQ1667" s="28"/>
      <c r="AR1667" s="28"/>
      <c r="AS1667" s="28"/>
      <c r="AT1667" s="5"/>
      <c r="AU1667" s="28"/>
      <c r="AV1667" s="28"/>
      <c r="AX1667" s="28"/>
      <c r="AY1667" s="28"/>
      <c r="BA1667" s="28"/>
      <c r="BB1667" s="28"/>
      <c r="BF1667" s="28"/>
      <c r="BH1667" s="28"/>
      <c r="BI1667" s="28"/>
      <c r="BJ1667" s="38"/>
      <c r="BK1667" s="28"/>
    </row>
    <row r="1668" customFormat="false" ht="15.75" hidden="false" customHeight="false" outlineLevel="0" collapsed="false">
      <c r="A1668" s="28"/>
      <c r="B1668" s="28"/>
      <c r="C1668" s="28"/>
      <c r="D1668" s="5"/>
      <c r="E1668" s="38"/>
      <c r="F1668" s="28"/>
      <c r="G1668" s="28"/>
      <c r="H1668" s="38"/>
      <c r="I1668" s="28"/>
      <c r="J1668" s="40"/>
      <c r="K1668" s="40"/>
      <c r="L1668" s="5"/>
      <c r="M1668" s="5"/>
      <c r="N1668" s="28"/>
      <c r="O1668" s="28"/>
      <c r="P1668" s="28"/>
      <c r="Q1668" s="28"/>
      <c r="R1668" s="28"/>
      <c r="S1668" s="28"/>
      <c r="T1668" s="28"/>
      <c r="V1668" s="28"/>
      <c r="W1668" s="5"/>
      <c r="X1668" s="5"/>
      <c r="Z1668" s="28"/>
      <c r="AA1668" s="28"/>
      <c r="AB1668" s="28"/>
      <c r="AC1668" s="28"/>
      <c r="AD1668" s="28"/>
      <c r="AE1668" s="28"/>
      <c r="AF1668" s="28"/>
      <c r="AG1668" s="28"/>
      <c r="AH1668" s="28"/>
      <c r="AI1668" s="28"/>
      <c r="AJ1668" s="28"/>
      <c r="AK1668" s="28"/>
      <c r="AL1668" s="28"/>
      <c r="AM1668" s="28"/>
      <c r="AN1668" s="28"/>
      <c r="AO1668" s="28"/>
      <c r="AP1668" s="28"/>
      <c r="AQ1668" s="28"/>
      <c r="AR1668" s="28"/>
      <c r="AS1668" s="28"/>
      <c r="AT1668" s="5"/>
      <c r="AU1668" s="28"/>
      <c r="AV1668" s="28"/>
      <c r="AX1668" s="28"/>
      <c r="AY1668" s="28"/>
      <c r="BA1668" s="28"/>
      <c r="BB1668" s="28"/>
      <c r="BF1668" s="28"/>
      <c r="BH1668" s="28"/>
      <c r="BI1668" s="28"/>
      <c r="BJ1668" s="38"/>
      <c r="BK1668" s="28"/>
    </row>
    <row r="1669" customFormat="false" ht="15.75" hidden="false" customHeight="false" outlineLevel="0" collapsed="false">
      <c r="A1669" s="28"/>
      <c r="B1669" s="28"/>
      <c r="C1669" s="28"/>
      <c r="D1669" s="5"/>
      <c r="E1669" s="38"/>
      <c r="F1669" s="28"/>
      <c r="G1669" s="28"/>
      <c r="H1669" s="38"/>
      <c r="I1669" s="28"/>
      <c r="J1669" s="40"/>
      <c r="K1669" s="40"/>
      <c r="L1669" s="5"/>
      <c r="M1669" s="5"/>
      <c r="N1669" s="28"/>
      <c r="O1669" s="28"/>
      <c r="P1669" s="28"/>
      <c r="Q1669" s="28"/>
      <c r="R1669" s="28"/>
      <c r="S1669" s="28"/>
      <c r="T1669" s="28"/>
      <c r="V1669" s="28"/>
      <c r="W1669" s="5"/>
      <c r="X1669" s="5"/>
      <c r="Z1669" s="28"/>
      <c r="AA1669" s="28"/>
      <c r="AB1669" s="28"/>
      <c r="AC1669" s="28"/>
      <c r="AD1669" s="28"/>
      <c r="AE1669" s="28"/>
      <c r="AF1669" s="28"/>
      <c r="AG1669" s="28"/>
      <c r="AH1669" s="28"/>
      <c r="AI1669" s="28"/>
      <c r="AJ1669" s="28"/>
      <c r="AK1669" s="28"/>
      <c r="AL1669" s="28"/>
      <c r="AM1669" s="28"/>
      <c r="AN1669" s="28"/>
      <c r="AO1669" s="28"/>
      <c r="AP1669" s="28"/>
      <c r="AQ1669" s="28"/>
      <c r="AR1669" s="28"/>
      <c r="AS1669" s="28"/>
      <c r="AT1669" s="5"/>
      <c r="AU1669" s="28"/>
      <c r="AV1669" s="28"/>
      <c r="AX1669" s="28"/>
      <c r="AY1669" s="28"/>
      <c r="BA1669" s="28"/>
      <c r="BB1669" s="28"/>
      <c r="BF1669" s="28"/>
      <c r="BH1669" s="28"/>
      <c r="BI1669" s="28"/>
      <c r="BJ1669" s="38"/>
      <c r="BK1669" s="28"/>
    </row>
    <row r="1670" customFormat="false" ht="15.75" hidden="false" customHeight="false" outlineLevel="0" collapsed="false">
      <c r="A1670" s="28"/>
      <c r="B1670" s="28"/>
      <c r="C1670" s="28"/>
      <c r="D1670" s="5"/>
      <c r="E1670" s="38"/>
      <c r="F1670" s="28"/>
      <c r="G1670" s="28"/>
      <c r="H1670" s="38"/>
      <c r="I1670" s="28"/>
      <c r="J1670" s="40"/>
      <c r="K1670" s="40"/>
      <c r="L1670" s="5"/>
      <c r="M1670" s="5"/>
      <c r="N1670" s="28"/>
      <c r="O1670" s="28"/>
      <c r="P1670" s="28"/>
      <c r="Q1670" s="28"/>
      <c r="R1670" s="28"/>
      <c r="S1670" s="28"/>
      <c r="T1670" s="28"/>
      <c r="V1670" s="28"/>
      <c r="W1670" s="5"/>
      <c r="X1670" s="5"/>
      <c r="Z1670" s="28"/>
      <c r="AA1670" s="28"/>
      <c r="AB1670" s="28"/>
      <c r="AC1670" s="28"/>
      <c r="AD1670" s="28"/>
      <c r="AE1670" s="28"/>
      <c r="AF1670" s="28"/>
      <c r="AG1670" s="28"/>
      <c r="AH1670" s="28"/>
      <c r="AI1670" s="28"/>
      <c r="AJ1670" s="28"/>
      <c r="AK1670" s="28"/>
      <c r="AL1670" s="28"/>
      <c r="AM1670" s="28"/>
      <c r="AN1670" s="28"/>
      <c r="AO1670" s="28"/>
      <c r="AP1670" s="28"/>
      <c r="AQ1670" s="28"/>
      <c r="AR1670" s="28"/>
      <c r="AS1670" s="28"/>
      <c r="AT1670" s="5"/>
      <c r="AU1670" s="28"/>
      <c r="AV1670" s="28"/>
      <c r="AX1670" s="28"/>
      <c r="AY1670" s="28"/>
      <c r="BA1670" s="28"/>
      <c r="BB1670" s="28"/>
      <c r="BF1670" s="28"/>
      <c r="BH1670" s="28"/>
      <c r="BI1670" s="28"/>
      <c r="BJ1670" s="38"/>
      <c r="BK1670" s="28"/>
    </row>
    <row r="1671" customFormat="false" ht="15.75" hidden="false" customHeight="false" outlineLevel="0" collapsed="false">
      <c r="A1671" s="28"/>
      <c r="B1671" s="28"/>
      <c r="C1671" s="28"/>
      <c r="D1671" s="5"/>
      <c r="E1671" s="38"/>
      <c r="F1671" s="28"/>
      <c r="G1671" s="28"/>
      <c r="H1671" s="38"/>
      <c r="I1671" s="28"/>
      <c r="J1671" s="40"/>
      <c r="K1671" s="40"/>
      <c r="L1671" s="5"/>
      <c r="M1671" s="5"/>
      <c r="N1671" s="28"/>
      <c r="O1671" s="28"/>
      <c r="P1671" s="28"/>
      <c r="Q1671" s="28"/>
      <c r="R1671" s="28"/>
      <c r="S1671" s="28"/>
      <c r="T1671" s="28"/>
      <c r="V1671" s="28"/>
      <c r="W1671" s="5"/>
      <c r="X1671" s="5"/>
      <c r="Z1671" s="28"/>
      <c r="AA1671" s="28"/>
      <c r="AB1671" s="28"/>
      <c r="AC1671" s="28"/>
      <c r="AD1671" s="28"/>
      <c r="AE1671" s="28"/>
      <c r="AF1671" s="28"/>
      <c r="AG1671" s="28"/>
      <c r="AH1671" s="28"/>
      <c r="AI1671" s="28"/>
      <c r="AJ1671" s="28"/>
      <c r="AK1671" s="28"/>
      <c r="AL1671" s="28"/>
      <c r="AM1671" s="28"/>
      <c r="AN1671" s="28"/>
      <c r="AO1671" s="28"/>
      <c r="AP1671" s="28"/>
      <c r="AQ1671" s="28"/>
      <c r="AR1671" s="28"/>
      <c r="AS1671" s="28"/>
      <c r="AT1671" s="5"/>
      <c r="AU1671" s="28"/>
      <c r="AV1671" s="28"/>
      <c r="AX1671" s="28"/>
      <c r="AY1671" s="28"/>
      <c r="BA1671" s="28"/>
      <c r="BB1671" s="28"/>
      <c r="BF1671" s="28"/>
      <c r="BH1671" s="28"/>
      <c r="BI1671" s="28"/>
      <c r="BJ1671" s="38"/>
      <c r="BK1671" s="28"/>
    </row>
    <row r="1672" customFormat="false" ht="15.75" hidden="false" customHeight="false" outlineLevel="0" collapsed="false">
      <c r="A1672" s="28"/>
      <c r="B1672" s="28"/>
      <c r="C1672" s="28"/>
      <c r="D1672" s="5"/>
      <c r="E1672" s="38"/>
      <c r="F1672" s="28"/>
      <c r="G1672" s="28"/>
      <c r="H1672" s="38"/>
      <c r="I1672" s="28"/>
      <c r="J1672" s="40"/>
      <c r="K1672" s="40"/>
      <c r="L1672" s="5"/>
      <c r="M1672" s="5"/>
      <c r="N1672" s="28"/>
      <c r="O1672" s="28"/>
      <c r="P1672" s="28"/>
      <c r="Q1672" s="28"/>
      <c r="R1672" s="28"/>
      <c r="S1672" s="28"/>
      <c r="T1672" s="28"/>
      <c r="V1672" s="28"/>
      <c r="W1672" s="5"/>
      <c r="X1672" s="5"/>
      <c r="Z1672" s="28"/>
      <c r="AA1672" s="28"/>
      <c r="AB1672" s="28"/>
      <c r="AC1672" s="28"/>
      <c r="AD1672" s="28"/>
      <c r="AE1672" s="28"/>
      <c r="AF1672" s="28"/>
      <c r="AG1672" s="28"/>
      <c r="AH1672" s="28"/>
      <c r="AI1672" s="28"/>
      <c r="AJ1672" s="28"/>
      <c r="AK1672" s="28"/>
      <c r="AL1672" s="28"/>
      <c r="AM1672" s="28"/>
      <c r="AN1672" s="28"/>
      <c r="AO1672" s="28"/>
      <c r="AP1672" s="28"/>
      <c r="AQ1672" s="28"/>
      <c r="AR1672" s="28"/>
      <c r="AS1672" s="28"/>
      <c r="AT1672" s="5"/>
      <c r="AU1672" s="28"/>
      <c r="AV1672" s="28"/>
      <c r="AX1672" s="28"/>
      <c r="AY1672" s="28"/>
      <c r="BA1672" s="28"/>
      <c r="BB1672" s="28"/>
      <c r="BF1672" s="28"/>
      <c r="BH1672" s="28"/>
      <c r="BI1672" s="28"/>
      <c r="BJ1672" s="38"/>
      <c r="BK1672" s="28"/>
    </row>
    <row r="1673" customFormat="false" ht="15.75" hidden="false" customHeight="false" outlineLevel="0" collapsed="false">
      <c r="A1673" s="28"/>
      <c r="B1673" s="28"/>
      <c r="C1673" s="28"/>
      <c r="D1673" s="5"/>
      <c r="E1673" s="38"/>
      <c r="F1673" s="28"/>
      <c r="G1673" s="28"/>
      <c r="H1673" s="38"/>
      <c r="I1673" s="28"/>
      <c r="J1673" s="40"/>
      <c r="K1673" s="40"/>
      <c r="L1673" s="5"/>
      <c r="M1673" s="5"/>
      <c r="N1673" s="28"/>
      <c r="O1673" s="28"/>
      <c r="P1673" s="28"/>
      <c r="Q1673" s="28"/>
      <c r="R1673" s="28"/>
      <c r="S1673" s="28"/>
      <c r="T1673" s="28"/>
      <c r="V1673" s="28"/>
      <c r="W1673" s="5"/>
      <c r="X1673" s="5"/>
      <c r="Z1673" s="28"/>
      <c r="AA1673" s="28"/>
      <c r="AB1673" s="28"/>
      <c r="AC1673" s="28"/>
      <c r="AD1673" s="28"/>
      <c r="AE1673" s="28"/>
      <c r="AF1673" s="28"/>
      <c r="AG1673" s="28"/>
      <c r="AH1673" s="28"/>
      <c r="AI1673" s="28"/>
      <c r="AJ1673" s="28"/>
      <c r="AK1673" s="28"/>
      <c r="AL1673" s="28"/>
      <c r="AM1673" s="28"/>
      <c r="AN1673" s="28"/>
      <c r="AO1673" s="28"/>
      <c r="AP1673" s="28"/>
      <c r="AQ1673" s="28"/>
      <c r="AR1673" s="28"/>
      <c r="AS1673" s="28"/>
      <c r="AT1673" s="5"/>
      <c r="AU1673" s="28"/>
      <c r="AV1673" s="28"/>
      <c r="AX1673" s="28"/>
      <c r="AY1673" s="28"/>
      <c r="BA1673" s="28"/>
      <c r="BB1673" s="28"/>
      <c r="BF1673" s="28"/>
      <c r="BH1673" s="28"/>
      <c r="BI1673" s="28"/>
      <c r="BJ1673" s="38"/>
      <c r="BK1673" s="28"/>
    </row>
    <row r="1674" customFormat="false" ht="15.75" hidden="false" customHeight="false" outlineLevel="0" collapsed="false">
      <c r="A1674" s="28"/>
      <c r="B1674" s="28"/>
      <c r="C1674" s="28"/>
      <c r="D1674" s="5"/>
      <c r="E1674" s="38"/>
      <c r="F1674" s="28"/>
      <c r="G1674" s="28"/>
      <c r="H1674" s="38"/>
      <c r="I1674" s="28"/>
      <c r="J1674" s="40"/>
      <c r="K1674" s="40"/>
      <c r="L1674" s="5"/>
      <c r="M1674" s="5"/>
      <c r="N1674" s="28"/>
      <c r="O1674" s="28"/>
      <c r="P1674" s="28"/>
      <c r="Q1674" s="28"/>
      <c r="R1674" s="28"/>
      <c r="S1674" s="28"/>
      <c r="T1674" s="28"/>
      <c r="V1674" s="28"/>
      <c r="W1674" s="5"/>
      <c r="X1674" s="5"/>
      <c r="Z1674" s="28"/>
      <c r="AA1674" s="28"/>
      <c r="AB1674" s="28"/>
      <c r="AC1674" s="28"/>
      <c r="AD1674" s="28"/>
      <c r="AE1674" s="28"/>
      <c r="AF1674" s="28"/>
      <c r="AG1674" s="28"/>
      <c r="AH1674" s="28"/>
      <c r="AI1674" s="28"/>
      <c r="AJ1674" s="28"/>
      <c r="AK1674" s="28"/>
      <c r="AL1674" s="28"/>
      <c r="AM1674" s="28"/>
      <c r="AN1674" s="28"/>
      <c r="AO1674" s="28"/>
      <c r="AP1674" s="28"/>
      <c r="AQ1674" s="28"/>
      <c r="AR1674" s="28"/>
      <c r="AS1674" s="28"/>
      <c r="AT1674" s="5"/>
      <c r="AU1674" s="28"/>
      <c r="AV1674" s="28"/>
      <c r="AX1674" s="28"/>
      <c r="AY1674" s="28"/>
      <c r="BA1674" s="28"/>
      <c r="BB1674" s="28"/>
      <c r="BF1674" s="28"/>
      <c r="BH1674" s="28"/>
      <c r="BI1674" s="28"/>
      <c r="BJ1674" s="38"/>
      <c r="BK1674" s="28"/>
    </row>
    <row r="1675" customFormat="false" ht="15.75" hidden="false" customHeight="false" outlineLevel="0" collapsed="false">
      <c r="A1675" s="28"/>
      <c r="B1675" s="28"/>
      <c r="C1675" s="28"/>
      <c r="D1675" s="5"/>
      <c r="E1675" s="38"/>
      <c r="F1675" s="28"/>
      <c r="G1675" s="28"/>
      <c r="H1675" s="38"/>
      <c r="I1675" s="28"/>
      <c r="J1675" s="40"/>
      <c r="K1675" s="40"/>
      <c r="L1675" s="5"/>
      <c r="M1675" s="5"/>
      <c r="N1675" s="28"/>
      <c r="O1675" s="28"/>
      <c r="P1675" s="28"/>
      <c r="Q1675" s="28"/>
      <c r="R1675" s="28"/>
      <c r="S1675" s="28"/>
      <c r="T1675" s="28"/>
      <c r="V1675" s="28"/>
      <c r="W1675" s="5"/>
      <c r="X1675" s="5"/>
      <c r="Z1675" s="28"/>
      <c r="AA1675" s="28"/>
      <c r="AB1675" s="28"/>
      <c r="AC1675" s="28"/>
      <c r="AD1675" s="28"/>
      <c r="AE1675" s="28"/>
      <c r="AF1675" s="28"/>
      <c r="AG1675" s="28"/>
      <c r="AH1675" s="28"/>
      <c r="AI1675" s="28"/>
      <c r="AJ1675" s="28"/>
      <c r="AK1675" s="28"/>
      <c r="AL1675" s="28"/>
      <c r="AM1675" s="28"/>
      <c r="AN1675" s="28"/>
      <c r="AO1675" s="28"/>
      <c r="AP1675" s="28"/>
      <c r="AQ1675" s="28"/>
      <c r="AR1675" s="28"/>
      <c r="AS1675" s="28"/>
      <c r="AT1675" s="5"/>
      <c r="AU1675" s="28"/>
      <c r="AV1675" s="28"/>
      <c r="AX1675" s="28"/>
      <c r="AY1675" s="28"/>
      <c r="BA1675" s="28"/>
      <c r="BB1675" s="28"/>
      <c r="BF1675" s="28"/>
      <c r="BH1675" s="28"/>
      <c r="BI1675" s="28"/>
      <c r="BJ1675" s="38"/>
      <c r="BK1675" s="28"/>
    </row>
    <row r="1676" customFormat="false" ht="15.75" hidden="false" customHeight="false" outlineLevel="0" collapsed="false">
      <c r="A1676" s="28"/>
      <c r="B1676" s="28"/>
      <c r="C1676" s="28"/>
      <c r="D1676" s="5"/>
      <c r="E1676" s="38"/>
      <c r="F1676" s="28"/>
      <c r="G1676" s="28"/>
      <c r="H1676" s="38"/>
      <c r="I1676" s="28"/>
      <c r="J1676" s="40"/>
      <c r="K1676" s="40"/>
      <c r="L1676" s="5"/>
      <c r="M1676" s="5"/>
      <c r="N1676" s="28"/>
      <c r="O1676" s="28"/>
      <c r="P1676" s="28"/>
      <c r="Q1676" s="28"/>
      <c r="R1676" s="28"/>
      <c r="S1676" s="28"/>
      <c r="T1676" s="28"/>
      <c r="V1676" s="28"/>
      <c r="W1676" s="5"/>
      <c r="X1676" s="5"/>
      <c r="Z1676" s="28"/>
      <c r="AA1676" s="28"/>
      <c r="AB1676" s="28"/>
      <c r="AC1676" s="28"/>
      <c r="AD1676" s="28"/>
      <c r="AE1676" s="28"/>
      <c r="AF1676" s="28"/>
      <c r="AG1676" s="28"/>
      <c r="AH1676" s="28"/>
      <c r="AI1676" s="28"/>
      <c r="AJ1676" s="28"/>
      <c r="AK1676" s="28"/>
      <c r="AL1676" s="28"/>
      <c r="AM1676" s="28"/>
      <c r="AN1676" s="28"/>
      <c r="AO1676" s="28"/>
      <c r="AP1676" s="28"/>
      <c r="AQ1676" s="28"/>
      <c r="AR1676" s="28"/>
      <c r="AS1676" s="28"/>
      <c r="AT1676" s="5"/>
      <c r="AU1676" s="28"/>
      <c r="AV1676" s="28"/>
      <c r="AX1676" s="28"/>
      <c r="AY1676" s="28"/>
      <c r="BA1676" s="28"/>
      <c r="BB1676" s="28"/>
      <c r="BF1676" s="28"/>
      <c r="BH1676" s="28"/>
      <c r="BI1676" s="28"/>
      <c r="BJ1676" s="38"/>
      <c r="BK1676" s="28"/>
    </row>
    <row r="1677" customFormat="false" ht="15.75" hidden="false" customHeight="false" outlineLevel="0" collapsed="false">
      <c r="A1677" s="28"/>
      <c r="B1677" s="28"/>
      <c r="C1677" s="28"/>
      <c r="D1677" s="5"/>
      <c r="E1677" s="38"/>
      <c r="F1677" s="28"/>
      <c r="G1677" s="28"/>
      <c r="H1677" s="38"/>
      <c r="I1677" s="28"/>
      <c r="J1677" s="40"/>
      <c r="K1677" s="40"/>
      <c r="L1677" s="5"/>
      <c r="M1677" s="5"/>
      <c r="N1677" s="28"/>
      <c r="O1677" s="28"/>
      <c r="P1677" s="28"/>
      <c r="Q1677" s="28"/>
      <c r="R1677" s="28"/>
      <c r="S1677" s="28"/>
      <c r="T1677" s="28"/>
      <c r="V1677" s="28"/>
      <c r="W1677" s="5"/>
      <c r="X1677" s="5"/>
      <c r="Z1677" s="28"/>
      <c r="AA1677" s="28"/>
      <c r="AB1677" s="28"/>
      <c r="AC1677" s="28"/>
      <c r="AD1677" s="28"/>
      <c r="AE1677" s="28"/>
      <c r="AF1677" s="28"/>
      <c r="AG1677" s="28"/>
      <c r="AH1677" s="28"/>
      <c r="AI1677" s="28"/>
      <c r="AJ1677" s="28"/>
      <c r="AK1677" s="28"/>
      <c r="AL1677" s="28"/>
      <c r="AM1677" s="28"/>
      <c r="AN1677" s="28"/>
      <c r="AO1677" s="28"/>
      <c r="AP1677" s="28"/>
      <c r="AQ1677" s="28"/>
      <c r="AR1677" s="28"/>
      <c r="AS1677" s="28"/>
      <c r="AT1677" s="5"/>
      <c r="AU1677" s="28"/>
      <c r="AV1677" s="28"/>
      <c r="AX1677" s="28"/>
      <c r="AY1677" s="28"/>
      <c r="BA1677" s="28"/>
      <c r="BB1677" s="28"/>
      <c r="BF1677" s="28"/>
      <c r="BH1677" s="28"/>
      <c r="BI1677" s="28"/>
      <c r="BJ1677" s="38"/>
      <c r="BK1677" s="28"/>
    </row>
    <row r="1678" customFormat="false" ht="15.75" hidden="false" customHeight="false" outlineLevel="0" collapsed="false">
      <c r="A1678" s="28"/>
      <c r="B1678" s="28"/>
      <c r="C1678" s="28"/>
      <c r="D1678" s="5"/>
      <c r="E1678" s="38"/>
      <c r="F1678" s="28"/>
      <c r="G1678" s="28"/>
      <c r="H1678" s="38"/>
      <c r="I1678" s="28"/>
      <c r="J1678" s="40"/>
      <c r="K1678" s="40"/>
      <c r="L1678" s="5"/>
      <c r="M1678" s="5"/>
      <c r="N1678" s="28"/>
      <c r="O1678" s="28"/>
      <c r="P1678" s="28"/>
      <c r="Q1678" s="28"/>
      <c r="R1678" s="28"/>
      <c r="S1678" s="28"/>
      <c r="T1678" s="28"/>
      <c r="V1678" s="28"/>
      <c r="W1678" s="5"/>
      <c r="X1678" s="5"/>
      <c r="Z1678" s="28"/>
      <c r="AA1678" s="28"/>
      <c r="AB1678" s="28"/>
      <c r="AC1678" s="28"/>
      <c r="AD1678" s="28"/>
      <c r="AE1678" s="28"/>
      <c r="AF1678" s="28"/>
      <c r="AG1678" s="28"/>
      <c r="AH1678" s="28"/>
      <c r="AI1678" s="28"/>
      <c r="AJ1678" s="28"/>
      <c r="AK1678" s="28"/>
      <c r="AL1678" s="28"/>
      <c r="AM1678" s="28"/>
      <c r="AN1678" s="28"/>
      <c r="AO1678" s="28"/>
      <c r="AP1678" s="28"/>
      <c r="AQ1678" s="28"/>
      <c r="AR1678" s="28"/>
      <c r="AS1678" s="28"/>
      <c r="AT1678" s="5"/>
      <c r="AU1678" s="28"/>
      <c r="AV1678" s="28"/>
      <c r="AX1678" s="28"/>
      <c r="AY1678" s="28"/>
      <c r="BA1678" s="28"/>
      <c r="BB1678" s="28"/>
      <c r="BF1678" s="28"/>
      <c r="BH1678" s="28"/>
      <c r="BI1678" s="28"/>
      <c r="BJ1678" s="38"/>
      <c r="BK1678" s="28"/>
    </row>
    <row r="1679" customFormat="false" ht="15.75" hidden="false" customHeight="false" outlineLevel="0" collapsed="false">
      <c r="A1679" s="28"/>
      <c r="B1679" s="28"/>
      <c r="C1679" s="28"/>
      <c r="D1679" s="5"/>
      <c r="E1679" s="38"/>
      <c r="F1679" s="28"/>
      <c r="G1679" s="28"/>
      <c r="H1679" s="38"/>
      <c r="I1679" s="28"/>
      <c r="J1679" s="40"/>
      <c r="K1679" s="40"/>
      <c r="L1679" s="5"/>
      <c r="M1679" s="5"/>
      <c r="N1679" s="28"/>
      <c r="O1679" s="28"/>
      <c r="P1679" s="28"/>
      <c r="Q1679" s="28"/>
      <c r="R1679" s="28"/>
      <c r="S1679" s="28"/>
      <c r="T1679" s="28"/>
      <c r="V1679" s="28"/>
      <c r="W1679" s="5"/>
      <c r="X1679" s="5"/>
      <c r="Z1679" s="28"/>
      <c r="AA1679" s="28"/>
      <c r="AB1679" s="28"/>
      <c r="AC1679" s="28"/>
      <c r="AD1679" s="28"/>
      <c r="AE1679" s="28"/>
      <c r="AF1679" s="28"/>
      <c r="AG1679" s="28"/>
      <c r="AH1679" s="28"/>
      <c r="AI1679" s="28"/>
      <c r="AJ1679" s="28"/>
      <c r="AK1679" s="28"/>
      <c r="AL1679" s="28"/>
      <c r="AM1679" s="28"/>
      <c r="AN1679" s="28"/>
      <c r="AO1679" s="28"/>
      <c r="AP1679" s="28"/>
      <c r="AQ1679" s="28"/>
      <c r="AR1679" s="28"/>
      <c r="AS1679" s="28"/>
      <c r="AT1679" s="5"/>
      <c r="AU1679" s="28"/>
      <c r="AV1679" s="28"/>
      <c r="AX1679" s="28"/>
      <c r="AY1679" s="28"/>
      <c r="BA1679" s="28"/>
      <c r="BB1679" s="28"/>
      <c r="BF1679" s="28"/>
      <c r="BH1679" s="28"/>
      <c r="BI1679" s="28"/>
      <c r="BJ1679" s="38"/>
      <c r="BK1679" s="28"/>
    </row>
    <row r="1680" customFormat="false" ht="15.75" hidden="false" customHeight="false" outlineLevel="0" collapsed="false">
      <c r="A1680" s="28"/>
      <c r="B1680" s="28"/>
      <c r="C1680" s="28"/>
      <c r="D1680" s="5"/>
      <c r="E1680" s="38"/>
      <c r="F1680" s="28"/>
      <c r="G1680" s="28"/>
      <c r="H1680" s="38"/>
      <c r="I1680" s="28"/>
      <c r="J1680" s="40"/>
      <c r="K1680" s="40"/>
      <c r="L1680" s="5"/>
      <c r="M1680" s="5"/>
      <c r="N1680" s="28"/>
      <c r="O1680" s="28"/>
      <c r="P1680" s="28"/>
      <c r="Q1680" s="28"/>
      <c r="R1680" s="28"/>
      <c r="S1680" s="28"/>
      <c r="T1680" s="28"/>
      <c r="V1680" s="28"/>
      <c r="W1680" s="5"/>
      <c r="X1680" s="5"/>
      <c r="Z1680" s="28"/>
      <c r="AA1680" s="28"/>
      <c r="AB1680" s="28"/>
      <c r="AC1680" s="28"/>
      <c r="AD1680" s="28"/>
      <c r="AE1680" s="28"/>
      <c r="AF1680" s="28"/>
      <c r="AG1680" s="28"/>
      <c r="AH1680" s="28"/>
      <c r="AI1680" s="28"/>
      <c r="AJ1680" s="28"/>
      <c r="AK1680" s="28"/>
      <c r="AL1680" s="28"/>
      <c r="AM1680" s="28"/>
      <c r="AN1680" s="28"/>
      <c r="AO1680" s="28"/>
      <c r="AP1680" s="28"/>
      <c r="AQ1680" s="28"/>
      <c r="AR1680" s="28"/>
      <c r="AS1680" s="28"/>
      <c r="AT1680" s="5"/>
      <c r="AU1680" s="28"/>
      <c r="AV1680" s="28"/>
      <c r="AX1680" s="28"/>
      <c r="AY1680" s="28"/>
      <c r="BA1680" s="28"/>
      <c r="BB1680" s="28"/>
      <c r="BF1680" s="28"/>
      <c r="BH1680" s="28"/>
      <c r="BI1680" s="28"/>
      <c r="BJ1680" s="38"/>
      <c r="BK1680" s="28"/>
    </row>
    <row r="1681" customFormat="false" ht="15.75" hidden="false" customHeight="false" outlineLevel="0" collapsed="false">
      <c r="A1681" s="28"/>
      <c r="B1681" s="28"/>
      <c r="C1681" s="28"/>
      <c r="D1681" s="5"/>
      <c r="E1681" s="38"/>
      <c r="F1681" s="28"/>
      <c r="G1681" s="28"/>
      <c r="H1681" s="38"/>
      <c r="I1681" s="28"/>
      <c r="J1681" s="40"/>
      <c r="K1681" s="40"/>
      <c r="L1681" s="5"/>
      <c r="M1681" s="5"/>
      <c r="N1681" s="28"/>
      <c r="O1681" s="28"/>
      <c r="P1681" s="28"/>
      <c r="Q1681" s="28"/>
      <c r="R1681" s="28"/>
      <c r="S1681" s="28"/>
      <c r="T1681" s="28"/>
      <c r="V1681" s="28"/>
      <c r="W1681" s="5"/>
      <c r="X1681" s="5"/>
      <c r="Z1681" s="28"/>
      <c r="AA1681" s="28"/>
      <c r="AB1681" s="28"/>
      <c r="AC1681" s="28"/>
      <c r="AD1681" s="28"/>
      <c r="AE1681" s="28"/>
      <c r="AF1681" s="28"/>
      <c r="AG1681" s="28"/>
      <c r="AH1681" s="28"/>
      <c r="AI1681" s="28"/>
      <c r="AJ1681" s="28"/>
      <c r="AK1681" s="28"/>
      <c r="AL1681" s="28"/>
      <c r="AM1681" s="28"/>
      <c r="AN1681" s="28"/>
      <c r="AO1681" s="28"/>
      <c r="AP1681" s="28"/>
      <c r="AQ1681" s="28"/>
      <c r="AR1681" s="28"/>
      <c r="AS1681" s="28"/>
      <c r="AT1681" s="5"/>
      <c r="AU1681" s="28"/>
      <c r="AV1681" s="28"/>
      <c r="AX1681" s="28"/>
      <c r="AY1681" s="28"/>
      <c r="BA1681" s="28"/>
      <c r="BB1681" s="28"/>
      <c r="BF1681" s="28"/>
      <c r="BH1681" s="28"/>
      <c r="BI1681" s="28"/>
      <c r="BJ1681" s="38"/>
      <c r="BK1681" s="28"/>
    </row>
    <row r="1682" customFormat="false" ht="15.75" hidden="false" customHeight="false" outlineLevel="0" collapsed="false">
      <c r="A1682" s="28"/>
      <c r="B1682" s="28"/>
      <c r="C1682" s="28"/>
      <c r="D1682" s="5"/>
      <c r="E1682" s="38"/>
      <c r="F1682" s="28"/>
      <c r="G1682" s="28"/>
      <c r="H1682" s="38"/>
      <c r="I1682" s="28"/>
      <c r="J1682" s="40"/>
      <c r="K1682" s="40"/>
      <c r="L1682" s="5"/>
      <c r="M1682" s="5"/>
      <c r="N1682" s="28"/>
      <c r="O1682" s="28"/>
      <c r="P1682" s="28"/>
      <c r="Q1682" s="28"/>
      <c r="R1682" s="28"/>
      <c r="S1682" s="28"/>
      <c r="T1682" s="28"/>
      <c r="V1682" s="28"/>
      <c r="W1682" s="5"/>
      <c r="X1682" s="5"/>
      <c r="Z1682" s="28"/>
      <c r="AA1682" s="28"/>
      <c r="AB1682" s="28"/>
      <c r="AC1682" s="28"/>
      <c r="AD1682" s="28"/>
      <c r="AE1682" s="28"/>
      <c r="AF1682" s="28"/>
      <c r="AG1682" s="28"/>
      <c r="AH1682" s="28"/>
      <c r="AI1682" s="28"/>
      <c r="AJ1682" s="28"/>
      <c r="AK1682" s="28"/>
      <c r="AL1682" s="28"/>
      <c r="AM1682" s="28"/>
      <c r="AN1682" s="28"/>
      <c r="AO1682" s="28"/>
      <c r="AP1682" s="28"/>
      <c r="AQ1682" s="28"/>
      <c r="AR1682" s="28"/>
      <c r="AS1682" s="28"/>
      <c r="AT1682" s="5"/>
      <c r="AU1682" s="28"/>
      <c r="AV1682" s="28"/>
      <c r="AX1682" s="28"/>
      <c r="AY1682" s="28"/>
      <c r="BA1682" s="28"/>
      <c r="BB1682" s="28"/>
      <c r="BF1682" s="28"/>
      <c r="BH1682" s="28"/>
      <c r="BI1682" s="28"/>
      <c r="BJ1682" s="38"/>
      <c r="BK1682" s="28"/>
    </row>
    <row r="1683" customFormat="false" ht="15.75" hidden="false" customHeight="false" outlineLevel="0" collapsed="false">
      <c r="A1683" s="28"/>
      <c r="B1683" s="28"/>
      <c r="C1683" s="28"/>
      <c r="D1683" s="5"/>
      <c r="E1683" s="38"/>
      <c r="F1683" s="28"/>
      <c r="G1683" s="28"/>
      <c r="H1683" s="38"/>
      <c r="I1683" s="28"/>
      <c r="J1683" s="40"/>
      <c r="K1683" s="40"/>
      <c r="L1683" s="5"/>
      <c r="M1683" s="5"/>
      <c r="N1683" s="28"/>
      <c r="O1683" s="28"/>
      <c r="P1683" s="28"/>
      <c r="Q1683" s="28"/>
      <c r="R1683" s="28"/>
      <c r="S1683" s="28"/>
      <c r="T1683" s="28"/>
      <c r="V1683" s="28"/>
      <c r="W1683" s="5"/>
      <c r="X1683" s="5"/>
      <c r="Z1683" s="28"/>
      <c r="AA1683" s="28"/>
      <c r="AB1683" s="28"/>
      <c r="AC1683" s="28"/>
      <c r="AD1683" s="28"/>
      <c r="AE1683" s="28"/>
      <c r="AF1683" s="28"/>
      <c r="AG1683" s="28"/>
      <c r="AH1683" s="28"/>
      <c r="AI1683" s="28"/>
      <c r="AJ1683" s="28"/>
      <c r="AK1683" s="28"/>
      <c r="AL1683" s="28"/>
      <c r="AM1683" s="28"/>
      <c r="AN1683" s="28"/>
      <c r="AO1683" s="28"/>
      <c r="AP1683" s="28"/>
      <c r="AQ1683" s="28"/>
      <c r="AR1683" s="28"/>
      <c r="AS1683" s="28"/>
      <c r="AT1683" s="5"/>
      <c r="AU1683" s="28"/>
      <c r="AV1683" s="28"/>
      <c r="AX1683" s="28"/>
      <c r="AY1683" s="28"/>
      <c r="BA1683" s="28"/>
      <c r="BB1683" s="28"/>
      <c r="BF1683" s="28"/>
      <c r="BH1683" s="28"/>
      <c r="BI1683" s="28"/>
      <c r="BJ1683" s="38"/>
      <c r="BK1683" s="28"/>
    </row>
    <row r="1684" customFormat="false" ht="15.75" hidden="false" customHeight="false" outlineLevel="0" collapsed="false">
      <c r="A1684" s="28"/>
      <c r="B1684" s="28"/>
      <c r="C1684" s="28"/>
      <c r="D1684" s="5"/>
      <c r="E1684" s="38"/>
      <c r="F1684" s="28"/>
      <c r="G1684" s="28"/>
      <c r="H1684" s="38"/>
      <c r="I1684" s="28"/>
      <c r="J1684" s="40"/>
      <c r="K1684" s="40"/>
      <c r="L1684" s="5"/>
      <c r="M1684" s="5"/>
      <c r="N1684" s="28"/>
      <c r="O1684" s="28"/>
      <c r="P1684" s="28"/>
      <c r="Q1684" s="28"/>
      <c r="R1684" s="28"/>
      <c r="S1684" s="28"/>
      <c r="T1684" s="28"/>
      <c r="V1684" s="28"/>
      <c r="W1684" s="5"/>
      <c r="X1684" s="5"/>
      <c r="Z1684" s="28"/>
      <c r="AA1684" s="28"/>
      <c r="AB1684" s="28"/>
      <c r="AC1684" s="28"/>
      <c r="AD1684" s="28"/>
      <c r="AE1684" s="28"/>
      <c r="AF1684" s="28"/>
      <c r="AG1684" s="28"/>
      <c r="AH1684" s="28"/>
      <c r="AI1684" s="28"/>
      <c r="AJ1684" s="28"/>
      <c r="AK1684" s="28"/>
      <c r="AL1684" s="28"/>
      <c r="AM1684" s="28"/>
      <c r="AN1684" s="28"/>
      <c r="AO1684" s="28"/>
      <c r="AP1684" s="28"/>
      <c r="AQ1684" s="28"/>
      <c r="AR1684" s="28"/>
      <c r="AS1684" s="28"/>
      <c r="AT1684" s="5"/>
      <c r="AU1684" s="28"/>
      <c r="AV1684" s="28"/>
      <c r="AX1684" s="28"/>
      <c r="AY1684" s="28"/>
      <c r="BA1684" s="28"/>
      <c r="BB1684" s="28"/>
      <c r="BF1684" s="28"/>
      <c r="BH1684" s="28"/>
      <c r="BI1684" s="28"/>
      <c r="BJ1684" s="38"/>
      <c r="BK1684" s="28"/>
    </row>
    <row r="1685" customFormat="false" ht="15.75" hidden="false" customHeight="false" outlineLevel="0" collapsed="false">
      <c r="A1685" s="28"/>
      <c r="B1685" s="28"/>
      <c r="C1685" s="28"/>
      <c r="D1685" s="5"/>
      <c r="E1685" s="38"/>
      <c r="F1685" s="28"/>
      <c r="G1685" s="28"/>
      <c r="H1685" s="38"/>
      <c r="I1685" s="28"/>
      <c r="J1685" s="40"/>
      <c r="K1685" s="40"/>
      <c r="L1685" s="5"/>
      <c r="M1685" s="5"/>
      <c r="N1685" s="28"/>
      <c r="O1685" s="28"/>
      <c r="P1685" s="28"/>
      <c r="Q1685" s="28"/>
      <c r="R1685" s="28"/>
      <c r="S1685" s="28"/>
      <c r="T1685" s="28"/>
      <c r="V1685" s="28"/>
      <c r="W1685" s="5"/>
      <c r="X1685" s="5"/>
      <c r="Z1685" s="28"/>
      <c r="AA1685" s="28"/>
      <c r="AB1685" s="28"/>
      <c r="AC1685" s="28"/>
      <c r="AD1685" s="28"/>
      <c r="AE1685" s="28"/>
      <c r="AF1685" s="28"/>
      <c r="AG1685" s="28"/>
      <c r="AH1685" s="28"/>
      <c r="AI1685" s="28"/>
      <c r="AJ1685" s="28"/>
      <c r="AK1685" s="28"/>
      <c r="AL1685" s="28"/>
      <c r="AM1685" s="28"/>
      <c r="AN1685" s="28"/>
      <c r="AO1685" s="28"/>
      <c r="AP1685" s="28"/>
      <c r="AQ1685" s="28"/>
      <c r="AR1685" s="28"/>
      <c r="AS1685" s="28"/>
      <c r="AT1685" s="5"/>
      <c r="AU1685" s="28"/>
      <c r="AV1685" s="28"/>
      <c r="AX1685" s="28"/>
      <c r="AY1685" s="28"/>
      <c r="BA1685" s="28"/>
      <c r="BB1685" s="28"/>
      <c r="BF1685" s="28"/>
      <c r="BH1685" s="28"/>
      <c r="BI1685" s="28"/>
      <c r="BJ1685" s="38"/>
      <c r="BK1685" s="28"/>
    </row>
    <row r="1686" customFormat="false" ht="15.75" hidden="false" customHeight="false" outlineLevel="0" collapsed="false">
      <c r="A1686" s="28"/>
      <c r="B1686" s="28"/>
      <c r="C1686" s="28"/>
      <c r="D1686" s="5"/>
      <c r="E1686" s="38"/>
      <c r="F1686" s="28"/>
      <c r="G1686" s="28"/>
      <c r="H1686" s="38"/>
      <c r="I1686" s="28"/>
      <c r="J1686" s="40"/>
      <c r="K1686" s="40"/>
      <c r="L1686" s="5"/>
      <c r="M1686" s="5"/>
      <c r="N1686" s="28"/>
      <c r="O1686" s="28"/>
      <c r="P1686" s="28"/>
      <c r="Q1686" s="28"/>
      <c r="R1686" s="28"/>
      <c r="S1686" s="28"/>
      <c r="T1686" s="28"/>
      <c r="V1686" s="28"/>
      <c r="W1686" s="5"/>
      <c r="X1686" s="5"/>
      <c r="Z1686" s="28"/>
      <c r="AA1686" s="28"/>
      <c r="AB1686" s="28"/>
      <c r="AC1686" s="28"/>
      <c r="AD1686" s="28"/>
      <c r="AE1686" s="28"/>
      <c r="AF1686" s="28"/>
      <c r="AG1686" s="28"/>
      <c r="AH1686" s="28"/>
      <c r="AI1686" s="28"/>
      <c r="AJ1686" s="28"/>
      <c r="AK1686" s="28"/>
      <c r="AL1686" s="28"/>
      <c r="AM1686" s="28"/>
      <c r="AN1686" s="28"/>
      <c r="AO1686" s="28"/>
      <c r="AP1686" s="28"/>
      <c r="AQ1686" s="28"/>
      <c r="AR1686" s="28"/>
      <c r="AS1686" s="28"/>
      <c r="AT1686" s="5"/>
      <c r="AU1686" s="28"/>
      <c r="AV1686" s="28"/>
      <c r="AX1686" s="28"/>
      <c r="AY1686" s="28"/>
      <c r="BA1686" s="28"/>
      <c r="BB1686" s="28"/>
      <c r="BF1686" s="28"/>
      <c r="BH1686" s="28"/>
      <c r="BI1686" s="28"/>
      <c r="BJ1686" s="38"/>
      <c r="BK1686" s="28"/>
    </row>
    <row r="1687" customFormat="false" ht="15.75" hidden="false" customHeight="false" outlineLevel="0" collapsed="false">
      <c r="A1687" s="28"/>
      <c r="B1687" s="28"/>
      <c r="C1687" s="28"/>
      <c r="D1687" s="5"/>
      <c r="E1687" s="38"/>
      <c r="F1687" s="28"/>
      <c r="G1687" s="28"/>
      <c r="H1687" s="38"/>
      <c r="I1687" s="28"/>
      <c r="J1687" s="40"/>
      <c r="K1687" s="40"/>
      <c r="L1687" s="5"/>
      <c r="M1687" s="5"/>
      <c r="N1687" s="28"/>
      <c r="O1687" s="28"/>
      <c r="P1687" s="28"/>
      <c r="Q1687" s="28"/>
      <c r="R1687" s="28"/>
      <c r="S1687" s="28"/>
      <c r="T1687" s="28"/>
      <c r="V1687" s="28"/>
      <c r="W1687" s="5"/>
      <c r="X1687" s="5"/>
      <c r="Z1687" s="28"/>
      <c r="AA1687" s="28"/>
      <c r="AB1687" s="28"/>
      <c r="AC1687" s="28"/>
      <c r="AD1687" s="28"/>
      <c r="AE1687" s="28"/>
      <c r="AF1687" s="28"/>
      <c r="AG1687" s="28"/>
      <c r="AH1687" s="28"/>
      <c r="AI1687" s="28"/>
      <c r="AJ1687" s="28"/>
      <c r="AK1687" s="28"/>
      <c r="AL1687" s="28"/>
      <c r="AM1687" s="28"/>
      <c r="AN1687" s="28"/>
      <c r="AO1687" s="28"/>
      <c r="AP1687" s="28"/>
      <c r="AQ1687" s="28"/>
      <c r="AR1687" s="28"/>
      <c r="AS1687" s="28"/>
      <c r="AT1687" s="5"/>
      <c r="AU1687" s="28"/>
      <c r="AV1687" s="28"/>
      <c r="AX1687" s="28"/>
      <c r="AY1687" s="28"/>
      <c r="BA1687" s="28"/>
      <c r="BB1687" s="28"/>
      <c r="BF1687" s="28"/>
      <c r="BH1687" s="28"/>
      <c r="BI1687" s="28"/>
      <c r="BJ1687" s="38"/>
      <c r="BK1687" s="28"/>
    </row>
    <row r="1688" customFormat="false" ht="15.75" hidden="false" customHeight="false" outlineLevel="0" collapsed="false">
      <c r="A1688" s="28"/>
      <c r="B1688" s="28"/>
      <c r="C1688" s="28"/>
      <c r="D1688" s="5"/>
      <c r="E1688" s="38"/>
      <c r="F1688" s="28"/>
      <c r="G1688" s="28"/>
      <c r="H1688" s="38"/>
      <c r="I1688" s="28"/>
      <c r="J1688" s="40"/>
      <c r="K1688" s="40"/>
      <c r="L1688" s="5"/>
      <c r="M1688" s="5"/>
      <c r="N1688" s="28"/>
      <c r="O1688" s="28"/>
      <c r="P1688" s="28"/>
      <c r="Q1688" s="28"/>
      <c r="R1688" s="28"/>
      <c r="S1688" s="28"/>
      <c r="T1688" s="28"/>
      <c r="V1688" s="28"/>
      <c r="W1688" s="5"/>
      <c r="X1688" s="5"/>
      <c r="Z1688" s="28"/>
      <c r="AA1688" s="28"/>
      <c r="AB1688" s="28"/>
      <c r="AC1688" s="28"/>
      <c r="AD1688" s="28"/>
      <c r="AE1688" s="28"/>
      <c r="AF1688" s="28"/>
      <c r="AG1688" s="28"/>
      <c r="AH1688" s="28"/>
      <c r="AI1688" s="28"/>
      <c r="AJ1688" s="28"/>
      <c r="AK1688" s="28"/>
      <c r="AL1688" s="28"/>
      <c r="AM1688" s="28"/>
      <c r="AN1688" s="28"/>
      <c r="AO1688" s="28"/>
      <c r="AP1688" s="28"/>
      <c r="AQ1688" s="28"/>
      <c r="AR1688" s="28"/>
      <c r="AS1688" s="28"/>
      <c r="AT1688" s="5"/>
      <c r="AU1688" s="28"/>
      <c r="AV1688" s="28"/>
      <c r="AX1688" s="28"/>
      <c r="AY1688" s="28"/>
      <c r="BA1688" s="28"/>
      <c r="BB1688" s="28"/>
      <c r="BF1688" s="28"/>
      <c r="BH1688" s="28"/>
      <c r="BI1688" s="28"/>
      <c r="BJ1688" s="38"/>
      <c r="BK1688" s="28"/>
    </row>
    <row r="1689" customFormat="false" ht="15.75" hidden="false" customHeight="false" outlineLevel="0" collapsed="false">
      <c r="A1689" s="28"/>
      <c r="B1689" s="28"/>
      <c r="C1689" s="28"/>
      <c r="D1689" s="5"/>
      <c r="E1689" s="38"/>
      <c r="F1689" s="28"/>
      <c r="G1689" s="28"/>
      <c r="H1689" s="38"/>
      <c r="I1689" s="28"/>
      <c r="J1689" s="40"/>
      <c r="K1689" s="40"/>
      <c r="L1689" s="5"/>
      <c r="M1689" s="5"/>
      <c r="N1689" s="28"/>
      <c r="O1689" s="28"/>
      <c r="P1689" s="28"/>
      <c r="Q1689" s="28"/>
      <c r="R1689" s="28"/>
      <c r="S1689" s="28"/>
      <c r="T1689" s="28"/>
      <c r="V1689" s="28"/>
      <c r="W1689" s="5"/>
      <c r="X1689" s="5"/>
      <c r="Z1689" s="28"/>
      <c r="AA1689" s="28"/>
      <c r="AB1689" s="28"/>
      <c r="AC1689" s="28"/>
      <c r="AD1689" s="28"/>
      <c r="AE1689" s="28"/>
      <c r="AF1689" s="28"/>
      <c r="AG1689" s="28"/>
      <c r="AH1689" s="28"/>
      <c r="AI1689" s="28"/>
      <c r="AJ1689" s="28"/>
      <c r="AK1689" s="28"/>
      <c r="AL1689" s="28"/>
      <c r="AM1689" s="28"/>
      <c r="AN1689" s="28"/>
      <c r="AO1689" s="28"/>
      <c r="AP1689" s="28"/>
      <c r="AQ1689" s="28"/>
      <c r="AR1689" s="28"/>
      <c r="AS1689" s="28"/>
      <c r="AT1689" s="5"/>
      <c r="AU1689" s="28"/>
      <c r="AV1689" s="28"/>
      <c r="AX1689" s="28"/>
      <c r="AY1689" s="28"/>
      <c r="BA1689" s="28"/>
      <c r="BB1689" s="28"/>
      <c r="BF1689" s="28"/>
      <c r="BH1689" s="28"/>
      <c r="BI1689" s="28"/>
      <c r="BJ1689" s="38"/>
      <c r="BK1689" s="28"/>
    </row>
    <row r="1690" customFormat="false" ht="15.75" hidden="false" customHeight="false" outlineLevel="0" collapsed="false">
      <c r="A1690" s="28"/>
      <c r="B1690" s="28"/>
      <c r="C1690" s="28"/>
      <c r="D1690" s="5"/>
      <c r="E1690" s="38"/>
      <c r="F1690" s="28"/>
      <c r="G1690" s="28"/>
      <c r="H1690" s="38"/>
      <c r="I1690" s="28"/>
      <c r="J1690" s="40"/>
      <c r="K1690" s="40"/>
      <c r="L1690" s="5"/>
      <c r="M1690" s="5"/>
      <c r="N1690" s="28"/>
      <c r="O1690" s="28"/>
      <c r="P1690" s="28"/>
      <c r="Q1690" s="28"/>
      <c r="R1690" s="28"/>
      <c r="S1690" s="28"/>
      <c r="T1690" s="28"/>
      <c r="V1690" s="28"/>
      <c r="W1690" s="5"/>
      <c r="X1690" s="5"/>
      <c r="Z1690" s="28"/>
      <c r="AA1690" s="28"/>
      <c r="AB1690" s="28"/>
      <c r="AC1690" s="28"/>
      <c r="AD1690" s="28"/>
      <c r="AE1690" s="28"/>
      <c r="AF1690" s="28"/>
      <c r="AG1690" s="28"/>
      <c r="AH1690" s="28"/>
      <c r="AI1690" s="28"/>
      <c r="AJ1690" s="28"/>
      <c r="AK1690" s="28"/>
      <c r="AL1690" s="28"/>
      <c r="AM1690" s="28"/>
      <c r="AN1690" s="28"/>
      <c r="AO1690" s="28"/>
      <c r="AP1690" s="28"/>
      <c r="AQ1690" s="28"/>
      <c r="AR1690" s="28"/>
      <c r="AS1690" s="28"/>
      <c r="AT1690" s="5"/>
      <c r="AU1690" s="28"/>
      <c r="AV1690" s="28"/>
      <c r="AX1690" s="28"/>
      <c r="AY1690" s="28"/>
      <c r="BA1690" s="28"/>
      <c r="BB1690" s="28"/>
      <c r="BF1690" s="28"/>
      <c r="BH1690" s="28"/>
      <c r="BI1690" s="28"/>
      <c r="BJ1690" s="38"/>
      <c r="BK1690" s="28"/>
    </row>
    <row r="1691" customFormat="false" ht="15.75" hidden="false" customHeight="false" outlineLevel="0" collapsed="false">
      <c r="A1691" s="28"/>
      <c r="B1691" s="28"/>
      <c r="C1691" s="28"/>
      <c r="D1691" s="5"/>
      <c r="E1691" s="38"/>
      <c r="F1691" s="28"/>
      <c r="G1691" s="28"/>
      <c r="H1691" s="38"/>
      <c r="I1691" s="28"/>
      <c r="J1691" s="40"/>
      <c r="K1691" s="40"/>
      <c r="L1691" s="5"/>
      <c r="M1691" s="5"/>
      <c r="N1691" s="28"/>
      <c r="O1691" s="28"/>
      <c r="P1691" s="28"/>
      <c r="Q1691" s="28"/>
      <c r="R1691" s="28"/>
      <c r="S1691" s="28"/>
      <c r="T1691" s="28"/>
      <c r="V1691" s="28"/>
      <c r="W1691" s="5"/>
      <c r="X1691" s="5"/>
      <c r="Z1691" s="28"/>
      <c r="AA1691" s="28"/>
      <c r="AB1691" s="28"/>
      <c r="AC1691" s="28"/>
      <c r="AD1691" s="28"/>
      <c r="AE1691" s="28"/>
      <c r="AF1691" s="28"/>
      <c r="AG1691" s="28"/>
      <c r="AH1691" s="28"/>
      <c r="AI1691" s="28"/>
      <c r="AJ1691" s="28"/>
      <c r="AK1691" s="28"/>
      <c r="AL1691" s="28"/>
      <c r="AM1691" s="28"/>
      <c r="AN1691" s="28"/>
      <c r="AO1691" s="28"/>
      <c r="AP1691" s="28"/>
      <c r="AQ1691" s="28"/>
      <c r="AR1691" s="28"/>
      <c r="AS1691" s="28"/>
      <c r="AT1691" s="5"/>
      <c r="AU1691" s="28"/>
      <c r="AV1691" s="28"/>
      <c r="AX1691" s="28"/>
      <c r="AY1691" s="28"/>
      <c r="BA1691" s="28"/>
      <c r="BB1691" s="28"/>
      <c r="BF1691" s="28"/>
      <c r="BH1691" s="28"/>
      <c r="BI1691" s="28"/>
      <c r="BJ1691" s="38"/>
      <c r="BK1691" s="28"/>
    </row>
    <row r="1692" customFormat="false" ht="15.75" hidden="false" customHeight="false" outlineLevel="0" collapsed="false">
      <c r="A1692" s="28"/>
      <c r="B1692" s="28"/>
      <c r="C1692" s="28"/>
      <c r="D1692" s="5"/>
      <c r="E1692" s="38"/>
      <c r="F1692" s="28"/>
      <c r="G1692" s="28"/>
      <c r="H1692" s="38"/>
      <c r="I1692" s="28"/>
      <c r="J1692" s="40"/>
      <c r="K1692" s="40"/>
      <c r="L1692" s="5"/>
      <c r="M1692" s="5"/>
      <c r="N1692" s="28"/>
      <c r="O1692" s="28"/>
      <c r="P1692" s="28"/>
      <c r="Q1692" s="28"/>
      <c r="R1692" s="28"/>
      <c r="S1692" s="28"/>
      <c r="T1692" s="28"/>
      <c r="V1692" s="28"/>
      <c r="W1692" s="5"/>
      <c r="X1692" s="5"/>
      <c r="Z1692" s="28"/>
      <c r="AA1692" s="28"/>
      <c r="AB1692" s="28"/>
      <c r="AC1692" s="28"/>
      <c r="AD1692" s="28"/>
      <c r="AE1692" s="28"/>
      <c r="AF1692" s="28"/>
      <c r="AG1692" s="28"/>
      <c r="AH1692" s="28"/>
      <c r="AI1692" s="28"/>
      <c r="AJ1692" s="28"/>
      <c r="AK1692" s="28"/>
      <c r="AL1692" s="28"/>
      <c r="AM1692" s="28"/>
      <c r="AN1692" s="28"/>
      <c r="AO1692" s="28"/>
      <c r="AP1692" s="28"/>
      <c r="AQ1692" s="28"/>
      <c r="AR1692" s="28"/>
      <c r="AS1692" s="28"/>
      <c r="AT1692" s="5"/>
      <c r="AU1692" s="28"/>
      <c r="AV1692" s="28"/>
      <c r="AX1692" s="28"/>
      <c r="AY1692" s="28"/>
      <c r="BA1692" s="28"/>
      <c r="BB1692" s="28"/>
      <c r="BF1692" s="28"/>
      <c r="BH1692" s="28"/>
      <c r="BI1692" s="28"/>
      <c r="BJ1692" s="38"/>
      <c r="BK1692" s="28"/>
    </row>
    <row r="1693" customFormat="false" ht="15.75" hidden="false" customHeight="false" outlineLevel="0" collapsed="false">
      <c r="A1693" s="28"/>
      <c r="B1693" s="28"/>
      <c r="C1693" s="28"/>
      <c r="D1693" s="5"/>
      <c r="E1693" s="38"/>
      <c r="F1693" s="28"/>
      <c r="G1693" s="28"/>
      <c r="H1693" s="38"/>
      <c r="I1693" s="28"/>
      <c r="J1693" s="40"/>
      <c r="K1693" s="40"/>
      <c r="L1693" s="5"/>
      <c r="M1693" s="5"/>
      <c r="N1693" s="28"/>
      <c r="O1693" s="28"/>
      <c r="P1693" s="28"/>
      <c r="Q1693" s="28"/>
      <c r="R1693" s="28"/>
      <c r="S1693" s="28"/>
      <c r="T1693" s="28"/>
      <c r="V1693" s="28"/>
      <c r="W1693" s="5"/>
      <c r="X1693" s="5"/>
      <c r="Z1693" s="28"/>
      <c r="AA1693" s="28"/>
      <c r="AB1693" s="28"/>
      <c r="AC1693" s="28"/>
      <c r="AD1693" s="28"/>
      <c r="AE1693" s="28"/>
      <c r="AF1693" s="28"/>
      <c r="AG1693" s="28"/>
      <c r="AH1693" s="28"/>
      <c r="AI1693" s="28"/>
      <c r="AJ1693" s="28"/>
      <c r="AK1693" s="28"/>
      <c r="AL1693" s="28"/>
      <c r="AM1693" s="28"/>
      <c r="AN1693" s="28"/>
      <c r="AO1693" s="28"/>
      <c r="AP1693" s="28"/>
      <c r="AQ1693" s="28"/>
      <c r="AR1693" s="28"/>
      <c r="AS1693" s="28"/>
      <c r="AT1693" s="5"/>
      <c r="AU1693" s="28"/>
      <c r="AV1693" s="28"/>
      <c r="AX1693" s="28"/>
      <c r="AY1693" s="28"/>
      <c r="BA1693" s="28"/>
      <c r="BB1693" s="28"/>
      <c r="BF1693" s="28"/>
      <c r="BH1693" s="28"/>
      <c r="BI1693" s="28"/>
      <c r="BJ1693" s="38"/>
      <c r="BK1693" s="28"/>
    </row>
    <row r="1694" customFormat="false" ht="15.75" hidden="false" customHeight="false" outlineLevel="0" collapsed="false">
      <c r="A1694" s="28"/>
      <c r="B1694" s="28"/>
      <c r="C1694" s="28"/>
      <c r="D1694" s="5"/>
      <c r="E1694" s="38"/>
      <c r="F1694" s="28"/>
      <c r="G1694" s="28"/>
      <c r="H1694" s="38"/>
      <c r="I1694" s="28"/>
      <c r="J1694" s="40"/>
      <c r="K1694" s="40"/>
      <c r="L1694" s="5"/>
      <c r="M1694" s="5"/>
      <c r="N1694" s="28"/>
      <c r="O1694" s="28"/>
      <c r="P1694" s="28"/>
      <c r="Q1694" s="28"/>
      <c r="R1694" s="28"/>
      <c r="S1694" s="28"/>
      <c r="T1694" s="28"/>
      <c r="V1694" s="28"/>
      <c r="W1694" s="5"/>
      <c r="X1694" s="5"/>
      <c r="Z1694" s="28"/>
      <c r="AA1694" s="28"/>
      <c r="AB1694" s="28"/>
      <c r="AC1694" s="28"/>
      <c r="AD1694" s="28"/>
      <c r="AE1694" s="28"/>
      <c r="AF1694" s="28"/>
      <c r="AG1694" s="28"/>
      <c r="AH1694" s="28"/>
      <c r="AI1694" s="28"/>
      <c r="AJ1694" s="28"/>
      <c r="AK1694" s="28"/>
      <c r="AL1694" s="28"/>
      <c r="AM1694" s="28"/>
      <c r="AN1694" s="28"/>
      <c r="AO1694" s="28"/>
      <c r="AP1694" s="28"/>
      <c r="AQ1694" s="28"/>
      <c r="AR1694" s="28"/>
      <c r="AS1694" s="28"/>
      <c r="AT1694" s="5"/>
      <c r="AU1694" s="28"/>
      <c r="AV1694" s="28"/>
      <c r="AX1694" s="28"/>
      <c r="AY1694" s="28"/>
      <c r="BA1694" s="28"/>
      <c r="BB1694" s="28"/>
      <c r="BF1694" s="28"/>
      <c r="BH1694" s="28"/>
      <c r="BI1694" s="28"/>
      <c r="BJ1694" s="38"/>
      <c r="BK1694" s="28"/>
    </row>
    <row r="1695" customFormat="false" ht="15.75" hidden="false" customHeight="false" outlineLevel="0" collapsed="false">
      <c r="A1695" s="28"/>
      <c r="B1695" s="28"/>
      <c r="C1695" s="28"/>
      <c r="D1695" s="5"/>
      <c r="E1695" s="38"/>
      <c r="F1695" s="28"/>
      <c r="G1695" s="28"/>
      <c r="H1695" s="38"/>
      <c r="I1695" s="28"/>
      <c r="J1695" s="40"/>
      <c r="K1695" s="40"/>
      <c r="L1695" s="5"/>
      <c r="M1695" s="5"/>
      <c r="N1695" s="28"/>
      <c r="O1695" s="28"/>
      <c r="P1695" s="28"/>
      <c r="Q1695" s="28"/>
      <c r="R1695" s="28"/>
      <c r="S1695" s="28"/>
      <c r="T1695" s="28"/>
      <c r="V1695" s="28"/>
      <c r="W1695" s="5"/>
      <c r="X1695" s="5"/>
      <c r="Z1695" s="28"/>
      <c r="AA1695" s="28"/>
      <c r="AB1695" s="28"/>
      <c r="AC1695" s="28"/>
      <c r="AD1695" s="28"/>
      <c r="AE1695" s="28"/>
      <c r="AF1695" s="28"/>
      <c r="AG1695" s="28"/>
      <c r="AH1695" s="28"/>
      <c r="AI1695" s="28"/>
      <c r="AJ1695" s="28"/>
      <c r="AK1695" s="28"/>
      <c r="AL1695" s="28"/>
      <c r="AM1695" s="28"/>
      <c r="AN1695" s="28"/>
      <c r="AO1695" s="28"/>
      <c r="AP1695" s="28"/>
      <c r="AQ1695" s="28"/>
      <c r="AR1695" s="28"/>
      <c r="AS1695" s="28"/>
      <c r="AT1695" s="5"/>
      <c r="AU1695" s="28"/>
      <c r="AV1695" s="28"/>
      <c r="AX1695" s="28"/>
      <c r="AY1695" s="28"/>
      <c r="BA1695" s="28"/>
      <c r="BB1695" s="28"/>
      <c r="BF1695" s="28"/>
      <c r="BH1695" s="28"/>
      <c r="BI1695" s="28"/>
      <c r="BJ1695" s="38"/>
      <c r="BK1695" s="28"/>
    </row>
    <row r="1696" customFormat="false" ht="15.75" hidden="false" customHeight="false" outlineLevel="0" collapsed="false">
      <c r="A1696" s="28"/>
      <c r="B1696" s="28"/>
      <c r="C1696" s="28"/>
      <c r="D1696" s="5"/>
      <c r="E1696" s="38"/>
      <c r="F1696" s="28"/>
      <c r="G1696" s="28"/>
      <c r="H1696" s="38"/>
      <c r="I1696" s="28"/>
      <c r="J1696" s="40"/>
      <c r="K1696" s="40"/>
      <c r="L1696" s="5"/>
      <c r="M1696" s="5"/>
      <c r="N1696" s="28"/>
      <c r="O1696" s="28"/>
      <c r="P1696" s="28"/>
      <c r="Q1696" s="28"/>
      <c r="R1696" s="28"/>
      <c r="S1696" s="28"/>
      <c r="T1696" s="28"/>
      <c r="V1696" s="28"/>
      <c r="W1696" s="5"/>
      <c r="X1696" s="5"/>
      <c r="Z1696" s="28"/>
      <c r="AA1696" s="28"/>
      <c r="AB1696" s="28"/>
      <c r="AC1696" s="28"/>
      <c r="AD1696" s="28"/>
      <c r="AE1696" s="28"/>
      <c r="AF1696" s="28"/>
      <c r="AG1696" s="28"/>
      <c r="AH1696" s="28"/>
      <c r="AI1696" s="28"/>
      <c r="AJ1696" s="28"/>
      <c r="AK1696" s="28"/>
      <c r="AL1696" s="28"/>
      <c r="AM1696" s="28"/>
      <c r="AN1696" s="28"/>
      <c r="AO1696" s="28"/>
      <c r="AP1696" s="28"/>
      <c r="AQ1696" s="28"/>
      <c r="AR1696" s="28"/>
      <c r="AS1696" s="28"/>
      <c r="AT1696" s="5"/>
      <c r="AU1696" s="28"/>
      <c r="AV1696" s="28"/>
      <c r="AX1696" s="28"/>
      <c r="AY1696" s="28"/>
      <c r="BA1696" s="28"/>
      <c r="BB1696" s="28"/>
      <c r="BF1696" s="28"/>
      <c r="BH1696" s="28"/>
      <c r="BI1696" s="28"/>
      <c r="BJ1696" s="38"/>
      <c r="BK1696" s="28"/>
    </row>
    <row r="1697" customFormat="false" ht="15.75" hidden="false" customHeight="false" outlineLevel="0" collapsed="false">
      <c r="A1697" s="28"/>
      <c r="B1697" s="28"/>
      <c r="C1697" s="28"/>
      <c r="D1697" s="5"/>
      <c r="E1697" s="38"/>
      <c r="F1697" s="28"/>
      <c r="G1697" s="28"/>
      <c r="H1697" s="38"/>
      <c r="I1697" s="28"/>
      <c r="J1697" s="40"/>
      <c r="K1697" s="40"/>
      <c r="L1697" s="5"/>
      <c r="M1697" s="5"/>
      <c r="N1697" s="28"/>
      <c r="O1697" s="28"/>
      <c r="P1697" s="28"/>
      <c r="Q1697" s="28"/>
      <c r="R1697" s="28"/>
      <c r="S1697" s="28"/>
      <c r="T1697" s="28"/>
      <c r="V1697" s="28"/>
      <c r="W1697" s="5"/>
      <c r="X1697" s="5"/>
      <c r="Z1697" s="28"/>
      <c r="AA1697" s="28"/>
      <c r="AB1697" s="28"/>
      <c r="AC1697" s="28"/>
      <c r="AD1697" s="28"/>
      <c r="AE1697" s="28"/>
      <c r="AF1697" s="28"/>
      <c r="AG1697" s="28"/>
      <c r="AH1697" s="28"/>
      <c r="AI1697" s="28"/>
      <c r="AJ1697" s="28"/>
      <c r="AK1697" s="28"/>
      <c r="AL1697" s="28"/>
      <c r="AM1697" s="28"/>
      <c r="AN1697" s="28"/>
      <c r="AO1697" s="28"/>
      <c r="AP1697" s="28"/>
      <c r="AQ1697" s="28"/>
      <c r="AR1697" s="28"/>
      <c r="AS1697" s="28"/>
      <c r="AT1697" s="5"/>
      <c r="AU1697" s="28"/>
      <c r="AV1697" s="28"/>
      <c r="AX1697" s="28"/>
      <c r="AY1697" s="28"/>
      <c r="BA1697" s="28"/>
      <c r="BB1697" s="28"/>
      <c r="BF1697" s="28"/>
      <c r="BH1697" s="28"/>
      <c r="BI1697" s="28"/>
      <c r="BJ1697" s="38"/>
      <c r="BK1697" s="28"/>
    </row>
    <row r="1698" customFormat="false" ht="15.75" hidden="false" customHeight="false" outlineLevel="0" collapsed="false">
      <c r="A1698" s="28"/>
      <c r="B1698" s="28"/>
      <c r="C1698" s="28"/>
      <c r="D1698" s="5"/>
      <c r="E1698" s="38"/>
      <c r="F1698" s="28"/>
      <c r="G1698" s="28"/>
      <c r="H1698" s="38"/>
      <c r="I1698" s="28"/>
      <c r="J1698" s="40"/>
      <c r="K1698" s="40"/>
      <c r="L1698" s="5"/>
      <c r="M1698" s="5"/>
      <c r="N1698" s="28"/>
      <c r="O1698" s="28"/>
      <c r="P1698" s="28"/>
      <c r="Q1698" s="28"/>
      <c r="R1698" s="28"/>
      <c r="S1698" s="28"/>
      <c r="T1698" s="28"/>
      <c r="V1698" s="28"/>
      <c r="W1698" s="5"/>
      <c r="X1698" s="5"/>
      <c r="Z1698" s="28"/>
      <c r="AA1698" s="28"/>
      <c r="AB1698" s="28"/>
      <c r="AC1698" s="28"/>
      <c r="AD1698" s="28"/>
      <c r="AE1698" s="28"/>
      <c r="AF1698" s="28"/>
      <c r="AG1698" s="28"/>
      <c r="AH1698" s="28"/>
      <c r="AI1698" s="28"/>
      <c r="AJ1698" s="28"/>
      <c r="AK1698" s="28"/>
      <c r="AL1698" s="28"/>
      <c r="AM1698" s="28"/>
      <c r="AN1698" s="28"/>
      <c r="AO1698" s="28"/>
      <c r="AP1698" s="28"/>
      <c r="AQ1698" s="28"/>
      <c r="AR1698" s="28"/>
      <c r="AS1698" s="28"/>
      <c r="AT1698" s="5"/>
      <c r="AU1698" s="28"/>
      <c r="AV1698" s="28"/>
      <c r="AX1698" s="28"/>
      <c r="AY1698" s="28"/>
      <c r="BA1698" s="28"/>
      <c r="BB1698" s="28"/>
      <c r="BF1698" s="28"/>
      <c r="BH1698" s="28"/>
      <c r="BI1698" s="28"/>
      <c r="BJ1698" s="38"/>
      <c r="BK1698" s="28"/>
    </row>
    <row r="1699" customFormat="false" ht="15.75" hidden="false" customHeight="false" outlineLevel="0" collapsed="false">
      <c r="A1699" s="28"/>
      <c r="B1699" s="28"/>
      <c r="C1699" s="28"/>
      <c r="D1699" s="5"/>
      <c r="E1699" s="38"/>
      <c r="F1699" s="28"/>
      <c r="G1699" s="28"/>
      <c r="H1699" s="38"/>
      <c r="I1699" s="28"/>
      <c r="J1699" s="40"/>
      <c r="K1699" s="40"/>
      <c r="L1699" s="5"/>
      <c r="M1699" s="5"/>
      <c r="N1699" s="28"/>
      <c r="O1699" s="28"/>
      <c r="P1699" s="28"/>
      <c r="Q1699" s="28"/>
      <c r="R1699" s="28"/>
      <c r="S1699" s="28"/>
      <c r="T1699" s="28"/>
      <c r="V1699" s="28"/>
      <c r="W1699" s="5"/>
      <c r="X1699" s="5"/>
      <c r="Z1699" s="28"/>
      <c r="AA1699" s="28"/>
      <c r="AB1699" s="28"/>
      <c r="AC1699" s="28"/>
      <c r="AD1699" s="28"/>
      <c r="AE1699" s="28"/>
      <c r="AF1699" s="28"/>
      <c r="AG1699" s="28"/>
      <c r="AH1699" s="28"/>
      <c r="AI1699" s="28"/>
      <c r="AJ1699" s="28"/>
      <c r="AK1699" s="28"/>
      <c r="AL1699" s="28"/>
      <c r="AM1699" s="28"/>
      <c r="AN1699" s="28"/>
      <c r="AO1699" s="28"/>
      <c r="AP1699" s="28"/>
      <c r="AQ1699" s="28"/>
      <c r="AR1699" s="28"/>
      <c r="AS1699" s="28"/>
      <c r="AT1699" s="5"/>
      <c r="AU1699" s="28"/>
      <c r="AV1699" s="28"/>
      <c r="AX1699" s="28"/>
      <c r="AY1699" s="28"/>
      <c r="BA1699" s="28"/>
      <c r="BB1699" s="28"/>
      <c r="BF1699" s="28"/>
      <c r="BH1699" s="28"/>
      <c r="BI1699" s="28"/>
      <c r="BJ1699" s="38"/>
      <c r="BK1699" s="28"/>
    </row>
    <row r="1700" customFormat="false" ht="15.75" hidden="false" customHeight="false" outlineLevel="0" collapsed="false">
      <c r="A1700" s="28"/>
      <c r="B1700" s="28"/>
      <c r="C1700" s="28"/>
      <c r="D1700" s="5"/>
      <c r="E1700" s="38"/>
      <c r="F1700" s="28"/>
      <c r="G1700" s="28"/>
      <c r="H1700" s="38"/>
      <c r="I1700" s="28"/>
      <c r="J1700" s="40"/>
      <c r="K1700" s="40"/>
      <c r="L1700" s="5"/>
      <c r="M1700" s="5"/>
      <c r="N1700" s="28"/>
      <c r="O1700" s="28"/>
      <c r="P1700" s="28"/>
      <c r="Q1700" s="28"/>
      <c r="R1700" s="28"/>
      <c r="S1700" s="28"/>
      <c r="T1700" s="28"/>
      <c r="V1700" s="28"/>
      <c r="W1700" s="5"/>
      <c r="X1700" s="5"/>
      <c r="Z1700" s="28"/>
      <c r="AA1700" s="28"/>
      <c r="AB1700" s="28"/>
      <c r="AC1700" s="28"/>
      <c r="AD1700" s="28"/>
      <c r="AE1700" s="28"/>
      <c r="AF1700" s="28"/>
      <c r="AG1700" s="28"/>
      <c r="AH1700" s="28"/>
      <c r="AI1700" s="28"/>
      <c r="AJ1700" s="28"/>
      <c r="AK1700" s="28"/>
      <c r="AL1700" s="28"/>
      <c r="AM1700" s="28"/>
      <c r="AN1700" s="28"/>
      <c r="AO1700" s="28"/>
      <c r="AP1700" s="28"/>
      <c r="AQ1700" s="28"/>
      <c r="AR1700" s="28"/>
      <c r="AS1700" s="28"/>
      <c r="AT1700" s="5"/>
      <c r="AU1700" s="28"/>
      <c r="AV1700" s="28"/>
      <c r="AX1700" s="28"/>
      <c r="AY1700" s="28"/>
      <c r="BA1700" s="28"/>
      <c r="BB1700" s="28"/>
      <c r="BF1700" s="28"/>
      <c r="BH1700" s="28"/>
      <c r="BI1700" s="28"/>
      <c r="BJ1700" s="38"/>
      <c r="BK1700" s="28"/>
    </row>
    <row r="1701" customFormat="false" ht="15.75" hidden="false" customHeight="false" outlineLevel="0" collapsed="false">
      <c r="A1701" s="28"/>
      <c r="B1701" s="28"/>
      <c r="C1701" s="28"/>
      <c r="D1701" s="5"/>
      <c r="E1701" s="38"/>
      <c r="F1701" s="28"/>
      <c r="G1701" s="28"/>
      <c r="H1701" s="38"/>
      <c r="I1701" s="28"/>
      <c r="J1701" s="40"/>
      <c r="K1701" s="40"/>
      <c r="L1701" s="5"/>
      <c r="M1701" s="5"/>
      <c r="N1701" s="28"/>
      <c r="O1701" s="28"/>
      <c r="P1701" s="28"/>
      <c r="Q1701" s="28"/>
      <c r="R1701" s="28"/>
      <c r="S1701" s="28"/>
      <c r="T1701" s="28"/>
      <c r="V1701" s="28"/>
      <c r="W1701" s="5"/>
      <c r="X1701" s="5"/>
      <c r="Z1701" s="28"/>
      <c r="AA1701" s="28"/>
      <c r="AB1701" s="28"/>
      <c r="AC1701" s="28"/>
      <c r="AD1701" s="28"/>
      <c r="AE1701" s="28"/>
      <c r="AF1701" s="28"/>
      <c r="AG1701" s="28"/>
      <c r="AH1701" s="28"/>
      <c r="AI1701" s="28"/>
      <c r="AJ1701" s="28"/>
      <c r="AK1701" s="28"/>
      <c r="AL1701" s="28"/>
      <c r="AM1701" s="28"/>
      <c r="AN1701" s="28"/>
      <c r="AO1701" s="28"/>
      <c r="AP1701" s="28"/>
      <c r="AQ1701" s="28"/>
      <c r="AR1701" s="28"/>
      <c r="AS1701" s="28"/>
      <c r="AT1701" s="5"/>
      <c r="AU1701" s="28"/>
      <c r="AV1701" s="28"/>
      <c r="AX1701" s="28"/>
      <c r="AY1701" s="28"/>
      <c r="BA1701" s="28"/>
      <c r="BB1701" s="28"/>
      <c r="BF1701" s="28"/>
      <c r="BH1701" s="28"/>
      <c r="BI1701" s="28"/>
      <c r="BJ1701" s="38"/>
      <c r="BK1701" s="28"/>
    </row>
    <row r="1702" customFormat="false" ht="15.75" hidden="false" customHeight="false" outlineLevel="0" collapsed="false">
      <c r="A1702" s="28"/>
      <c r="B1702" s="28"/>
      <c r="C1702" s="28"/>
      <c r="D1702" s="5"/>
      <c r="E1702" s="38"/>
      <c r="F1702" s="28"/>
      <c r="G1702" s="28"/>
      <c r="H1702" s="38"/>
      <c r="I1702" s="28"/>
      <c r="J1702" s="40"/>
      <c r="K1702" s="40"/>
      <c r="L1702" s="5"/>
      <c r="M1702" s="5"/>
      <c r="N1702" s="28"/>
      <c r="O1702" s="28"/>
      <c r="P1702" s="28"/>
      <c r="Q1702" s="28"/>
      <c r="R1702" s="28"/>
      <c r="S1702" s="28"/>
      <c r="T1702" s="28"/>
      <c r="V1702" s="28"/>
      <c r="W1702" s="5"/>
      <c r="X1702" s="5"/>
      <c r="Z1702" s="28"/>
      <c r="AA1702" s="28"/>
      <c r="AB1702" s="28"/>
      <c r="AC1702" s="28"/>
      <c r="AD1702" s="28"/>
      <c r="AE1702" s="28"/>
      <c r="AF1702" s="28"/>
      <c r="AG1702" s="28"/>
      <c r="AH1702" s="28"/>
      <c r="AI1702" s="28"/>
      <c r="AJ1702" s="28"/>
      <c r="AK1702" s="28"/>
      <c r="AL1702" s="28"/>
      <c r="AM1702" s="28"/>
      <c r="AN1702" s="28"/>
      <c r="AO1702" s="28"/>
      <c r="AP1702" s="28"/>
      <c r="AQ1702" s="28"/>
      <c r="AR1702" s="28"/>
      <c r="AS1702" s="28"/>
      <c r="AT1702" s="5"/>
      <c r="AU1702" s="28"/>
      <c r="AV1702" s="28"/>
      <c r="AX1702" s="28"/>
      <c r="AY1702" s="28"/>
      <c r="BA1702" s="28"/>
      <c r="BB1702" s="28"/>
      <c r="BF1702" s="28"/>
      <c r="BH1702" s="28"/>
      <c r="BI1702" s="28"/>
      <c r="BJ1702" s="38"/>
      <c r="BK1702" s="28"/>
    </row>
    <row r="1703" customFormat="false" ht="15.75" hidden="false" customHeight="false" outlineLevel="0" collapsed="false">
      <c r="A1703" s="28"/>
      <c r="B1703" s="28"/>
      <c r="C1703" s="28"/>
      <c r="D1703" s="5"/>
      <c r="E1703" s="38"/>
      <c r="F1703" s="28"/>
      <c r="G1703" s="28"/>
      <c r="H1703" s="38"/>
      <c r="I1703" s="28"/>
      <c r="J1703" s="40"/>
      <c r="K1703" s="40"/>
      <c r="L1703" s="5"/>
      <c r="M1703" s="5"/>
      <c r="N1703" s="28"/>
      <c r="O1703" s="28"/>
      <c r="P1703" s="28"/>
      <c r="Q1703" s="28"/>
      <c r="R1703" s="28"/>
      <c r="S1703" s="28"/>
      <c r="T1703" s="28"/>
      <c r="V1703" s="28"/>
      <c r="W1703" s="5"/>
      <c r="X1703" s="5"/>
      <c r="Z1703" s="28"/>
      <c r="AA1703" s="28"/>
      <c r="AB1703" s="28"/>
      <c r="AC1703" s="28"/>
      <c r="AD1703" s="28"/>
      <c r="AE1703" s="28"/>
      <c r="AF1703" s="28"/>
      <c r="AG1703" s="28"/>
      <c r="AH1703" s="28"/>
      <c r="AI1703" s="28"/>
      <c r="AJ1703" s="28"/>
      <c r="AK1703" s="28"/>
      <c r="AL1703" s="28"/>
      <c r="AM1703" s="28"/>
      <c r="AN1703" s="28"/>
      <c r="AO1703" s="28"/>
      <c r="AP1703" s="28"/>
      <c r="AQ1703" s="28"/>
      <c r="AR1703" s="28"/>
      <c r="AS1703" s="28"/>
      <c r="AT1703" s="5"/>
      <c r="AU1703" s="28"/>
      <c r="AV1703" s="28"/>
      <c r="AX1703" s="28"/>
      <c r="AY1703" s="28"/>
      <c r="BA1703" s="28"/>
      <c r="BB1703" s="28"/>
      <c r="BF1703" s="28"/>
      <c r="BH1703" s="28"/>
      <c r="BI1703" s="28"/>
      <c r="BJ1703" s="38"/>
      <c r="BK1703" s="28"/>
    </row>
    <row r="1704" customFormat="false" ht="15.75" hidden="false" customHeight="false" outlineLevel="0" collapsed="false">
      <c r="A1704" s="28"/>
      <c r="B1704" s="28"/>
      <c r="C1704" s="28"/>
      <c r="D1704" s="5"/>
      <c r="E1704" s="38"/>
      <c r="F1704" s="28"/>
      <c r="G1704" s="28"/>
      <c r="H1704" s="38"/>
      <c r="I1704" s="28"/>
      <c r="J1704" s="40"/>
      <c r="K1704" s="40"/>
      <c r="L1704" s="5"/>
      <c r="M1704" s="5"/>
      <c r="N1704" s="28"/>
      <c r="O1704" s="28"/>
      <c r="P1704" s="28"/>
      <c r="Q1704" s="28"/>
      <c r="R1704" s="28"/>
      <c r="S1704" s="28"/>
      <c r="T1704" s="28"/>
      <c r="V1704" s="28"/>
      <c r="W1704" s="5"/>
      <c r="X1704" s="5"/>
      <c r="Z1704" s="28"/>
      <c r="AA1704" s="28"/>
      <c r="AB1704" s="28"/>
      <c r="AC1704" s="28"/>
      <c r="AD1704" s="28"/>
      <c r="AE1704" s="28"/>
      <c r="AF1704" s="28"/>
      <c r="AG1704" s="28"/>
      <c r="AH1704" s="28"/>
      <c r="AI1704" s="28"/>
      <c r="AJ1704" s="28"/>
      <c r="AK1704" s="28"/>
      <c r="AL1704" s="28"/>
      <c r="AM1704" s="28"/>
      <c r="AN1704" s="28"/>
      <c r="AO1704" s="28"/>
      <c r="AP1704" s="28"/>
      <c r="AQ1704" s="28"/>
      <c r="AR1704" s="28"/>
      <c r="AS1704" s="28"/>
      <c r="AT1704" s="5"/>
      <c r="AU1704" s="28"/>
      <c r="AV1704" s="28"/>
      <c r="AX1704" s="28"/>
      <c r="AY1704" s="28"/>
      <c r="BA1704" s="28"/>
      <c r="BB1704" s="28"/>
      <c r="BF1704" s="28"/>
      <c r="BH1704" s="28"/>
      <c r="BI1704" s="28"/>
      <c r="BJ1704" s="38"/>
      <c r="BK1704" s="28"/>
    </row>
    <row r="1705" customFormat="false" ht="15.75" hidden="false" customHeight="false" outlineLevel="0" collapsed="false">
      <c r="A1705" s="28"/>
      <c r="B1705" s="28"/>
      <c r="C1705" s="28"/>
      <c r="D1705" s="5"/>
      <c r="E1705" s="38"/>
      <c r="F1705" s="28"/>
      <c r="G1705" s="28"/>
      <c r="H1705" s="38"/>
      <c r="I1705" s="28"/>
      <c r="J1705" s="40"/>
      <c r="K1705" s="40"/>
      <c r="L1705" s="5"/>
      <c r="M1705" s="5"/>
      <c r="N1705" s="28"/>
      <c r="O1705" s="28"/>
      <c r="P1705" s="28"/>
      <c r="Q1705" s="28"/>
      <c r="R1705" s="28"/>
      <c r="S1705" s="28"/>
      <c r="T1705" s="28"/>
      <c r="V1705" s="28"/>
      <c r="W1705" s="5"/>
      <c r="X1705" s="5"/>
      <c r="Z1705" s="28"/>
      <c r="AA1705" s="28"/>
      <c r="AB1705" s="28"/>
      <c r="AC1705" s="28"/>
      <c r="AD1705" s="28"/>
      <c r="AE1705" s="28"/>
      <c r="AF1705" s="28"/>
      <c r="AG1705" s="28"/>
      <c r="AH1705" s="28"/>
      <c r="AI1705" s="28"/>
      <c r="AJ1705" s="28"/>
      <c r="AK1705" s="28"/>
      <c r="AL1705" s="28"/>
      <c r="AM1705" s="28"/>
      <c r="AN1705" s="28"/>
      <c r="AO1705" s="28"/>
      <c r="AP1705" s="28"/>
      <c r="AQ1705" s="28"/>
      <c r="AR1705" s="28"/>
      <c r="AS1705" s="28"/>
      <c r="AT1705" s="5"/>
      <c r="AU1705" s="28"/>
      <c r="AV1705" s="28"/>
      <c r="AX1705" s="28"/>
      <c r="AY1705" s="28"/>
      <c r="BA1705" s="28"/>
      <c r="BB1705" s="28"/>
      <c r="BF1705" s="28"/>
      <c r="BH1705" s="28"/>
      <c r="BI1705" s="28"/>
      <c r="BJ1705" s="38"/>
      <c r="BK1705" s="28"/>
    </row>
    <row r="1706" customFormat="false" ht="15.75" hidden="false" customHeight="false" outlineLevel="0" collapsed="false">
      <c r="A1706" s="28"/>
      <c r="B1706" s="28"/>
      <c r="C1706" s="28"/>
      <c r="D1706" s="5"/>
      <c r="E1706" s="38"/>
      <c r="F1706" s="28"/>
      <c r="G1706" s="28"/>
      <c r="H1706" s="38"/>
      <c r="I1706" s="28"/>
      <c r="J1706" s="40"/>
      <c r="K1706" s="40"/>
      <c r="L1706" s="5"/>
      <c r="M1706" s="5"/>
      <c r="N1706" s="28"/>
      <c r="O1706" s="28"/>
      <c r="P1706" s="28"/>
      <c r="Q1706" s="28"/>
      <c r="R1706" s="28"/>
      <c r="S1706" s="28"/>
      <c r="T1706" s="28"/>
      <c r="V1706" s="28"/>
      <c r="W1706" s="5"/>
      <c r="X1706" s="5"/>
      <c r="Z1706" s="28"/>
      <c r="AA1706" s="28"/>
      <c r="AB1706" s="28"/>
      <c r="AC1706" s="28"/>
      <c r="AD1706" s="28"/>
      <c r="AE1706" s="28"/>
      <c r="AF1706" s="28"/>
      <c r="AG1706" s="28"/>
      <c r="AH1706" s="28"/>
      <c r="AI1706" s="28"/>
      <c r="AJ1706" s="28"/>
      <c r="AK1706" s="28"/>
      <c r="AL1706" s="28"/>
      <c r="AM1706" s="28"/>
      <c r="AN1706" s="28"/>
      <c r="AO1706" s="28"/>
      <c r="AP1706" s="28"/>
      <c r="AQ1706" s="28"/>
      <c r="AR1706" s="28"/>
      <c r="AS1706" s="28"/>
      <c r="AT1706" s="5"/>
      <c r="AU1706" s="28"/>
      <c r="AV1706" s="28"/>
      <c r="AX1706" s="28"/>
      <c r="AY1706" s="28"/>
      <c r="BA1706" s="28"/>
      <c r="BB1706" s="28"/>
      <c r="BF1706" s="28"/>
      <c r="BH1706" s="28"/>
      <c r="BI1706" s="28"/>
      <c r="BJ1706" s="38"/>
      <c r="BK1706" s="28"/>
    </row>
    <row r="1707" customFormat="false" ht="15.75" hidden="false" customHeight="false" outlineLevel="0" collapsed="false">
      <c r="A1707" s="28"/>
      <c r="B1707" s="28"/>
      <c r="C1707" s="28"/>
      <c r="D1707" s="5"/>
      <c r="E1707" s="38"/>
      <c r="F1707" s="28"/>
      <c r="G1707" s="28"/>
      <c r="H1707" s="38"/>
      <c r="I1707" s="28"/>
      <c r="J1707" s="40"/>
      <c r="K1707" s="40"/>
      <c r="L1707" s="5"/>
      <c r="M1707" s="5"/>
      <c r="N1707" s="28"/>
      <c r="O1707" s="28"/>
      <c r="P1707" s="28"/>
      <c r="Q1707" s="28"/>
      <c r="R1707" s="28"/>
      <c r="S1707" s="28"/>
      <c r="T1707" s="28"/>
      <c r="V1707" s="28"/>
      <c r="W1707" s="5"/>
      <c r="X1707" s="5"/>
      <c r="Z1707" s="28"/>
      <c r="AA1707" s="28"/>
      <c r="AB1707" s="28"/>
      <c r="AC1707" s="28"/>
      <c r="AD1707" s="28"/>
      <c r="AE1707" s="28"/>
      <c r="AF1707" s="28"/>
      <c r="AG1707" s="28"/>
      <c r="AH1707" s="28"/>
      <c r="AI1707" s="28"/>
      <c r="AJ1707" s="28"/>
      <c r="AK1707" s="28"/>
      <c r="AL1707" s="28"/>
      <c r="AM1707" s="28"/>
      <c r="AN1707" s="28"/>
      <c r="AO1707" s="28"/>
      <c r="AP1707" s="28"/>
      <c r="AQ1707" s="28"/>
      <c r="AR1707" s="28"/>
      <c r="AS1707" s="28"/>
      <c r="AT1707" s="5"/>
      <c r="AU1707" s="28"/>
      <c r="AV1707" s="28"/>
      <c r="AX1707" s="28"/>
      <c r="AY1707" s="28"/>
      <c r="BA1707" s="28"/>
      <c r="BB1707" s="28"/>
      <c r="BF1707" s="28"/>
      <c r="BH1707" s="28"/>
      <c r="BI1707" s="28"/>
      <c r="BJ1707" s="38"/>
      <c r="BK1707" s="28"/>
    </row>
    <row r="1708" customFormat="false" ht="15.75" hidden="false" customHeight="false" outlineLevel="0" collapsed="false">
      <c r="A1708" s="28"/>
      <c r="B1708" s="28"/>
      <c r="C1708" s="28"/>
      <c r="D1708" s="5"/>
      <c r="E1708" s="38"/>
      <c r="F1708" s="28"/>
      <c r="G1708" s="28"/>
      <c r="H1708" s="38"/>
      <c r="I1708" s="28"/>
      <c r="J1708" s="40"/>
      <c r="K1708" s="40"/>
      <c r="L1708" s="5"/>
      <c r="M1708" s="5"/>
      <c r="N1708" s="28"/>
      <c r="O1708" s="28"/>
      <c r="P1708" s="28"/>
      <c r="Q1708" s="28"/>
      <c r="R1708" s="28"/>
      <c r="S1708" s="28"/>
      <c r="T1708" s="28"/>
      <c r="V1708" s="28"/>
      <c r="W1708" s="5"/>
      <c r="X1708" s="5"/>
      <c r="Z1708" s="28"/>
      <c r="AA1708" s="28"/>
      <c r="AB1708" s="28"/>
      <c r="AC1708" s="28"/>
      <c r="AD1708" s="28"/>
      <c r="AE1708" s="28"/>
      <c r="AF1708" s="28"/>
      <c r="AG1708" s="28"/>
      <c r="AH1708" s="28"/>
      <c r="AI1708" s="28"/>
      <c r="AJ1708" s="28"/>
      <c r="AK1708" s="28"/>
      <c r="AL1708" s="28"/>
      <c r="AM1708" s="28"/>
      <c r="AN1708" s="28"/>
      <c r="AO1708" s="28"/>
      <c r="AP1708" s="28"/>
      <c r="AQ1708" s="28"/>
      <c r="AR1708" s="28"/>
      <c r="AS1708" s="28"/>
      <c r="AT1708" s="5"/>
      <c r="AU1708" s="28"/>
      <c r="AV1708" s="28"/>
      <c r="AX1708" s="28"/>
      <c r="AY1708" s="28"/>
      <c r="BA1708" s="28"/>
      <c r="BB1708" s="28"/>
      <c r="BF1708" s="28"/>
      <c r="BH1708" s="28"/>
      <c r="BI1708" s="28"/>
      <c r="BJ1708" s="38"/>
      <c r="BK1708" s="28"/>
    </row>
    <row r="1709" customFormat="false" ht="15.75" hidden="false" customHeight="false" outlineLevel="0" collapsed="false">
      <c r="A1709" s="28"/>
      <c r="B1709" s="28"/>
      <c r="C1709" s="28"/>
      <c r="D1709" s="5"/>
      <c r="E1709" s="38"/>
      <c r="F1709" s="28"/>
      <c r="G1709" s="28"/>
      <c r="H1709" s="38"/>
      <c r="I1709" s="28"/>
      <c r="J1709" s="40"/>
      <c r="K1709" s="40"/>
      <c r="L1709" s="5"/>
      <c r="M1709" s="5"/>
      <c r="N1709" s="28"/>
      <c r="O1709" s="28"/>
      <c r="P1709" s="28"/>
      <c r="Q1709" s="28"/>
      <c r="R1709" s="28"/>
      <c r="S1709" s="28"/>
      <c r="T1709" s="28"/>
      <c r="V1709" s="28"/>
      <c r="W1709" s="5"/>
      <c r="X1709" s="5"/>
      <c r="Z1709" s="28"/>
      <c r="AA1709" s="28"/>
      <c r="AB1709" s="28"/>
      <c r="AC1709" s="28"/>
      <c r="AD1709" s="28"/>
      <c r="AE1709" s="28"/>
      <c r="AF1709" s="28"/>
      <c r="AG1709" s="28"/>
      <c r="AH1709" s="28"/>
      <c r="AI1709" s="28"/>
      <c r="AJ1709" s="28"/>
      <c r="AK1709" s="28"/>
      <c r="AL1709" s="28"/>
      <c r="AM1709" s="28"/>
      <c r="AN1709" s="28"/>
      <c r="AO1709" s="28"/>
      <c r="AP1709" s="28"/>
      <c r="AQ1709" s="28"/>
      <c r="AR1709" s="28"/>
      <c r="AS1709" s="28"/>
      <c r="AT1709" s="5"/>
      <c r="AU1709" s="28"/>
      <c r="AV1709" s="28"/>
      <c r="AX1709" s="28"/>
      <c r="AY1709" s="28"/>
      <c r="BA1709" s="28"/>
      <c r="BB1709" s="28"/>
      <c r="BF1709" s="28"/>
      <c r="BH1709" s="28"/>
      <c r="BI1709" s="28"/>
      <c r="BJ1709" s="38"/>
      <c r="BK1709" s="28"/>
    </row>
    <row r="1710" customFormat="false" ht="15.75" hidden="false" customHeight="false" outlineLevel="0" collapsed="false">
      <c r="A1710" s="28"/>
      <c r="B1710" s="28"/>
      <c r="C1710" s="28"/>
      <c r="D1710" s="5"/>
      <c r="E1710" s="38"/>
      <c r="F1710" s="28"/>
      <c r="G1710" s="28"/>
      <c r="H1710" s="38"/>
      <c r="I1710" s="28"/>
      <c r="J1710" s="40"/>
      <c r="K1710" s="40"/>
      <c r="L1710" s="5"/>
      <c r="M1710" s="5"/>
      <c r="N1710" s="28"/>
      <c r="O1710" s="28"/>
      <c r="P1710" s="28"/>
      <c r="Q1710" s="28"/>
      <c r="R1710" s="28"/>
      <c r="S1710" s="28"/>
      <c r="T1710" s="28"/>
      <c r="V1710" s="28"/>
      <c r="W1710" s="5"/>
      <c r="X1710" s="5"/>
      <c r="Z1710" s="28"/>
      <c r="AA1710" s="28"/>
      <c r="AB1710" s="28"/>
      <c r="AC1710" s="28"/>
      <c r="AD1710" s="28"/>
      <c r="AE1710" s="28"/>
      <c r="AF1710" s="28"/>
      <c r="AG1710" s="28"/>
      <c r="AH1710" s="28"/>
      <c r="AI1710" s="28"/>
      <c r="AJ1710" s="28"/>
      <c r="AK1710" s="28"/>
      <c r="AL1710" s="28"/>
      <c r="AM1710" s="28"/>
      <c r="AN1710" s="28"/>
      <c r="AO1710" s="28"/>
      <c r="AP1710" s="28"/>
      <c r="AQ1710" s="28"/>
      <c r="AR1710" s="28"/>
      <c r="AS1710" s="28"/>
      <c r="AT1710" s="5"/>
      <c r="AU1710" s="28"/>
      <c r="AV1710" s="28"/>
      <c r="AX1710" s="28"/>
      <c r="AY1710" s="28"/>
      <c r="BA1710" s="28"/>
      <c r="BB1710" s="28"/>
      <c r="BF1710" s="28"/>
      <c r="BH1710" s="28"/>
      <c r="BI1710" s="28"/>
      <c r="BJ1710" s="38"/>
      <c r="BK1710" s="28"/>
    </row>
    <row r="1711" customFormat="false" ht="15.75" hidden="false" customHeight="false" outlineLevel="0" collapsed="false">
      <c r="A1711" s="28"/>
      <c r="B1711" s="28"/>
      <c r="C1711" s="28"/>
      <c r="D1711" s="5"/>
      <c r="E1711" s="38"/>
      <c r="F1711" s="28"/>
      <c r="G1711" s="28"/>
      <c r="H1711" s="38"/>
      <c r="I1711" s="28"/>
      <c r="J1711" s="40"/>
      <c r="K1711" s="40"/>
      <c r="L1711" s="5"/>
      <c r="M1711" s="5"/>
      <c r="N1711" s="28"/>
      <c r="O1711" s="28"/>
      <c r="P1711" s="28"/>
      <c r="Q1711" s="28"/>
      <c r="R1711" s="28"/>
      <c r="S1711" s="28"/>
      <c r="T1711" s="28"/>
      <c r="V1711" s="28"/>
      <c r="W1711" s="5"/>
      <c r="X1711" s="5"/>
      <c r="Z1711" s="28"/>
      <c r="AA1711" s="28"/>
      <c r="AB1711" s="28"/>
      <c r="AC1711" s="28"/>
      <c r="AD1711" s="28"/>
      <c r="AE1711" s="28"/>
      <c r="AF1711" s="28"/>
      <c r="AG1711" s="28"/>
      <c r="AH1711" s="28"/>
      <c r="AI1711" s="28"/>
      <c r="AJ1711" s="28"/>
      <c r="AK1711" s="28"/>
      <c r="AL1711" s="28"/>
      <c r="AM1711" s="28"/>
      <c r="AN1711" s="28"/>
      <c r="AO1711" s="28"/>
      <c r="AP1711" s="28"/>
      <c r="AQ1711" s="28"/>
      <c r="AR1711" s="28"/>
      <c r="AS1711" s="28"/>
      <c r="AT1711" s="5"/>
      <c r="AU1711" s="28"/>
      <c r="AV1711" s="28"/>
      <c r="AX1711" s="28"/>
      <c r="AY1711" s="28"/>
      <c r="BA1711" s="28"/>
      <c r="BB1711" s="28"/>
      <c r="BF1711" s="28"/>
      <c r="BH1711" s="28"/>
      <c r="BI1711" s="28"/>
      <c r="BJ1711" s="38"/>
      <c r="BK1711" s="28"/>
    </row>
    <row r="1712" customFormat="false" ht="15.75" hidden="false" customHeight="false" outlineLevel="0" collapsed="false">
      <c r="A1712" s="28"/>
      <c r="B1712" s="28"/>
      <c r="C1712" s="28"/>
      <c r="D1712" s="5"/>
      <c r="E1712" s="38"/>
      <c r="F1712" s="28"/>
      <c r="G1712" s="28"/>
      <c r="H1712" s="38"/>
      <c r="I1712" s="28"/>
      <c r="J1712" s="40"/>
      <c r="K1712" s="40"/>
      <c r="L1712" s="5"/>
      <c r="M1712" s="5"/>
      <c r="N1712" s="28"/>
      <c r="O1712" s="28"/>
      <c r="P1712" s="28"/>
      <c r="Q1712" s="28"/>
      <c r="R1712" s="28"/>
      <c r="S1712" s="28"/>
      <c r="T1712" s="28"/>
      <c r="V1712" s="28"/>
      <c r="W1712" s="5"/>
      <c r="X1712" s="5"/>
      <c r="Z1712" s="28"/>
      <c r="AA1712" s="28"/>
      <c r="AB1712" s="28"/>
      <c r="AC1712" s="28"/>
      <c r="AD1712" s="28"/>
      <c r="AE1712" s="28"/>
      <c r="AF1712" s="28"/>
      <c r="AG1712" s="28"/>
      <c r="AH1712" s="28"/>
      <c r="AI1712" s="28"/>
      <c r="AJ1712" s="28"/>
      <c r="AK1712" s="28"/>
      <c r="AL1712" s="28"/>
      <c r="AM1712" s="28"/>
      <c r="AN1712" s="28"/>
      <c r="AO1712" s="28"/>
      <c r="AP1712" s="28"/>
      <c r="AQ1712" s="28"/>
      <c r="AR1712" s="28"/>
      <c r="AS1712" s="28"/>
      <c r="AT1712" s="5"/>
      <c r="AU1712" s="28"/>
      <c r="AV1712" s="28"/>
      <c r="AX1712" s="28"/>
      <c r="AY1712" s="28"/>
      <c r="BA1712" s="28"/>
      <c r="BB1712" s="28"/>
      <c r="BF1712" s="28"/>
      <c r="BH1712" s="28"/>
      <c r="BI1712" s="28"/>
      <c r="BJ1712" s="38"/>
      <c r="BK1712" s="28"/>
    </row>
    <row r="1713" customFormat="false" ht="15.75" hidden="false" customHeight="false" outlineLevel="0" collapsed="false">
      <c r="A1713" s="28"/>
      <c r="B1713" s="28"/>
      <c r="C1713" s="28"/>
      <c r="D1713" s="5"/>
      <c r="E1713" s="38"/>
      <c r="F1713" s="28"/>
      <c r="G1713" s="28"/>
      <c r="H1713" s="38"/>
      <c r="I1713" s="28"/>
      <c r="J1713" s="40"/>
      <c r="K1713" s="40"/>
      <c r="L1713" s="5"/>
      <c r="M1713" s="5"/>
      <c r="N1713" s="28"/>
      <c r="O1713" s="28"/>
      <c r="P1713" s="28"/>
      <c r="Q1713" s="28"/>
      <c r="R1713" s="28"/>
      <c r="S1713" s="28"/>
      <c r="T1713" s="28"/>
      <c r="V1713" s="28"/>
      <c r="W1713" s="5"/>
      <c r="X1713" s="5"/>
      <c r="Z1713" s="28"/>
      <c r="AA1713" s="28"/>
      <c r="AB1713" s="28"/>
      <c r="AC1713" s="28"/>
      <c r="AD1713" s="28"/>
      <c r="AE1713" s="28"/>
      <c r="AF1713" s="28"/>
      <c r="AG1713" s="28"/>
      <c r="AH1713" s="28"/>
      <c r="AI1713" s="28"/>
      <c r="AJ1713" s="28"/>
      <c r="AK1713" s="28"/>
      <c r="AL1713" s="28"/>
      <c r="AM1713" s="28"/>
      <c r="AN1713" s="28"/>
      <c r="AO1713" s="28"/>
      <c r="AP1713" s="28"/>
      <c r="AQ1713" s="28"/>
      <c r="AR1713" s="28"/>
      <c r="AS1713" s="28"/>
      <c r="AT1713" s="5"/>
      <c r="AU1713" s="28"/>
      <c r="AV1713" s="28"/>
      <c r="AX1713" s="28"/>
      <c r="AY1713" s="28"/>
      <c r="BA1713" s="28"/>
      <c r="BB1713" s="28"/>
      <c r="BF1713" s="28"/>
      <c r="BH1713" s="28"/>
      <c r="BI1713" s="28"/>
      <c r="BJ1713" s="38"/>
      <c r="BK1713" s="28"/>
    </row>
    <row r="1714" customFormat="false" ht="15.75" hidden="false" customHeight="false" outlineLevel="0" collapsed="false">
      <c r="A1714" s="28"/>
      <c r="B1714" s="28"/>
      <c r="C1714" s="28"/>
      <c r="D1714" s="5"/>
      <c r="E1714" s="38"/>
      <c r="F1714" s="28"/>
      <c r="G1714" s="28"/>
      <c r="H1714" s="38"/>
      <c r="I1714" s="28"/>
      <c r="J1714" s="40"/>
      <c r="K1714" s="40"/>
      <c r="L1714" s="5"/>
      <c r="M1714" s="5"/>
      <c r="N1714" s="28"/>
      <c r="O1714" s="28"/>
      <c r="P1714" s="28"/>
      <c r="Q1714" s="28"/>
      <c r="R1714" s="28"/>
      <c r="S1714" s="28"/>
      <c r="T1714" s="28"/>
      <c r="V1714" s="28"/>
      <c r="W1714" s="5"/>
      <c r="X1714" s="5"/>
      <c r="Z1714" s="28"/>
      <c r="AA1714" s="28"/>
      <c r="AB1714" s="28"/>
      <c r="AC1714" s="28"/>
      <c r="AD1714" s="28"/>
      <c r="AE1714" s="28"/>
      <c r="AF1714" s="28"/>
      <c r="AG1714" s="28"/>
      <c r="AH1714" s="28"/>
      <c r="AI1714" s="28"/>
      <c r="AJ1714" s="28"/>
      <c r="AK1714" s="28"/>
      <c r="AL1714" s="28"/>
      <c r="AM1714" s="28"/>
      <c r="AN1714" s="28"/>
      <c r="AO1714" s="28"/>
      <c r="AP1714" s="28"/>
      <c r="AQ1714" s="28"/>
      <c r="AR1714" s="28"/>
      <c r="AS1714" s="28"/>
      <c r="AT1714" s="5"/>
      <c r="AU1714" s="28"/>
      <c r="AV1714" s="28"/>
      <c r="AX1714" s="28"/>
      <c r="AY1714" s="28"/>
      <c r="BA1714" s="28"/>
      <c r="BB1714" s="28"/>
      <c r="BF1714" s="28"/>
      <c r="BH1714" s="28"/>
      <c r="BI1714" s="28"/>
      <c r="BJ1714" s="38"/>
      <c r="BK1714" s="28"/>
    </row>
    <row r="1715" customFormat="false" ht="15.75" hidden="false" customHeight="false" outlineLevel="0" collapsed="false">
      <c r="A1715" s="28"/>
      <c r="B1715" s="28"/>
      <c r="C1715" s="28"/>
      <c r="D1715" s="5"/>
      <c r="E1715" s="38"/>
      <c r="F1715" s="28"/>
      <c r="G1715" s="28"/>
      <c r="H1715" s="38"/>
      <c r="I1715" s="28"/>
      <c r="J1715" s="40"/>
      <c r="K1715" s="40"/>
      <c r="L1715" s="5"/>
      <c r="M1715" s="5"/>
      <c r="N1715" s="28"/>
      <c r="O1715" s="28"/>
      <c r="P1715" s="28"/>
      <c r="Q1715" s="28"/>
      <c r="R1715" s="28"/>
      <c r="S1715" s="28"/>
      <c r="T1715" s="28"/>
      <c r="V1715" s="28"/>
      <c r="W1715" s="5"/>
      <c r="X1715" s="5"/>
      <c r="Z1715" s="28"/>
      <c r="AA1715" s="28"/>
      <c r="AB1715" s="28"/>
      <c r="AC1715" s="28"/>
      <c r="AD1715" s="28"/>
      <c r="AE1715" s="28"/>
      <c r="AF1715" s="28"/>
      <c r="AG1715" s="28"/>
      <c r="AH1715" s="28"/>
      <c r="AI1715" s="28"/>
      <c r="AJ1715" s="28"/>
      <c r="AK1715" s="28"/>
      <c r="AL1715" s="28"/>
      <c r="AM1715" s="28"/>
      <c r="AN1715" s="28"/>
      <c r="AO1715" s="28"/>
      <c r="AP1715" s="28"/>
      <c r="AQ1715" s="28"/>
      <c r="AR1715" s="28"/>
      <c r="AS1715" s="28"/>
      <c r="AT1715" s="5"/>
      <c r="AU1715" s="28"/>
      <c r="AV1715" s="28"/>
      <c r="AX1715" s="28"/>
      <c r="AY1715" s="28"/>
      <c r="BA1715" s="28"/>
      <c r="BB1715" s="28"/>
      <c r="BF1715" s="28"/>
      <c r="BH1715" s="28"/>
      <c r="BI1715" s="28"/>
      <c r="BJ1715" s="38"/>
      <c r="BK1715" s="28"/>
    </row>
    <row r="1716" customFormat="false" ht="15.75" hidden="false" customHeight="false" outlineLevel="0" collapsed="false">
      <c r="A1716" s="28"/>
      <c r="B1716" s="28"/>
      <c r="C1716" s="28"/>
      <c r="D1716" s="5"/>
      <c r="E1716" s="38"/>
      <c r="F1716" s="28"/>
      <c r="G1716" s="28"/>
      <c r="H1716" s="38"/>
      <c r="I1716" s="28"/>
      <c r="J1716" s="40"/>
      <c r="K1716" s="40"/>
      <c r="L1716" s="5"/>
      <c r="M1716" s="5"/>
      <c r="N1716" s="28"/>
      <c r="O1716" s="28"/>
      <c r="P1716" s="28"/>
      <c r="Q1716" s="28"/>
      <c r="R1716" s="28"/>
      <c r="S1716" s="28"/>
      <c r="T1716" s="28"/>
      <c r="V1716" s="28"/>
      <c r="W1716" s="5"/>
      <c r="X1716" s="5"/>
      <c r="Z1716" s="28"/>
      <c r="AA1716" s="28"/>
      <c r="AB1716" s="28"/>
      <c r="AC1716" s="28"/>
      <c r="AD1716" s="28"/>
      <c r="AE1716" s="28"/>
      <c r="AF1716" s="28"/>
      <c r="AG1716" s="28"/>
      <c r="AH1716" s="28"/>
      <c r="AI1716" s="28"/>
      <c r="AJ1716" s="28"/>
      <c r="AK1716" s="28"/>
      <c r="AL1716" s="28"/>
      <c r="AM1716" s="28"/>
      <c r="AN1716" s="28"/>
      <c r="AO1716" s="28"/>
      <c r="AP1716" s="28"/>
      <c r="AQ1716" s="28"/>
      <c r="AR1716" s="28"/>
      <c r="AS1716" s="28"/>
      <c r="AT1716" s="5"/>
      <c r="AU1716" s="28"/>
      <c r="AV1716" s="28"/>
      <c r="AX1716" s="28"/>
      <c r="AY1716" s="28"/>
      <c r="BA1716" s="28"/>
      <c r="BB1716" s="28"/>
      <c r="BF1716" s="28"/>
      <c r="BH1716" s="28"/>
      <c r="BI1716" s="28"/>
      <c r="BJ1716" s="38"/>
      <c r="BK1716" s="28"/>
    </row>
    <row r="1717" customFormat="false" ht="15.75" hidden="false" customHeight="false" outlineLevel="0" collapsed="false">
      <c r="A1717" s="28"/>
      <c r="B1717" s="28"/>
      <c r="C1717" s="28"/>
      <c r="D1717" s="5"/>
      <c r="E1717" s="38"/>
      <c r="F1717" s="28"/>
      <c r="G1717" s="28"/>
      <c r="H1717" s="38"/>
      <c r="I1717" s="28"/>
      <c r="J1717" s="40"/>
      <c r="K1717" s="40"/>
      <c r="L1717" s="5"/>
      <c r="M1717" s="5"/>
      <c r="N1717" s="28"/>
      <c r="O1717" s="28"/>
      <c r="P1717" s="28"/>
      <c r="Q1717" s="28"/>
      <c r="R1717" s="28"/>
      <c r="S1717" s="28"/>
      <c r="T1717" s="28"/>
      <c r="V1717" s="28"/>
      <c r="W1717" s="5"/>
      <c r="X1717" s="5"/>
      <c r="Z1717" s="28"/>
      <c r="AA1717" s="28"/>
      <c r="AB1717" s="28"/>
      <c r="AC1717" s="28"/>
      <c r="AD1717" s="28"/>
      <c r="AE1717" s="28"/>
      <c r="AF1717" s="28"/>
      <c r="AG1717" s="28"/>
      <c r="AH1717" s="28"/>
      <c r="AI1717" s="28"/>
      <c r="AJ1717" s="28"/>
      <c r="AK1717" s="28"/>
      <c r="AL1717" s="28"/>
      <c r="AM1717" s="28"/>
      <c r="AN1717" s="28"/>
      <c r="AO1717" s="28"/>
      <c r="AP1717" s="28"/>
      <c r="AQ1717" s="28"/>
      <c r="AR1717" s="28"/>
      <c r="AS1717" s="28"/>
      <c r="AT1717" s="5"/>
      <c r="AU1717" s="28"/>
      <c r="AV1717" s="28"/>
      <c r="AX1717" s="28"/>
      <c r="AY1717" s="28"/>
      <c r="BA1717" s="28"/>
      <c r="BB1717" s="28"/>
      <c r="BF1717" s="28"/>
      <c r="BH1717" s="28"/>
      <c r="BI1717" s="28"/>
      <c r="BJ1717" s="38"/>
      <c r="BK1717" s="28"/>
    </row>
    <row r="1718" customFormat="false" ht="15.75" hidden="false" customHeight="false" outlineLevel="0" collapsed="false">
      <c r="A1718" s="28"/>
      <c r="B1718" s="28"/>
      <c r="C1718" s="28"/>
      <c r="D1718" s="5"/>
      <c r="E1718" s="38"/>
      <c r="F1718" s="28"/>
      <c r="G1718" s="28"/>
      <c r="H1718" s="38"/>
      <c r="I1718" s="28"/>
      <c r="J1718" s="40"/>
      <c r="K1718" s="40"/>
      <c r="L1718" s="5"/>
      <c r="M1718" s="5"/>
      <c r="N1718" s="28"/>
      <c r="O1718" s="28"/>
      <c r="P1718" s="28"/>
      <c r="Q1718" s="28"/>
      <c r="R1718" s="28"/>
      <c r="S1718" s="28"/>
      <c r="T1718" s="28"/>
      <c r="V1718" s="28"/>
      <c r="W1718" s="5"/>
      <c r="X1718" s="5"/>
      <c r="Z1718" s="28"/>
      <c r="AA1718" s="28"/>
      <c r="AB1718" s="28"/>
      <c r="AC1718" s="28"/>
      <c r="AD1718" s="28"/>
      <c r="AE1718" s="28"/>
      <c r="AF1718" s="28"/>
      <c r="AG1718" s="28"/>
      <c r="AH1718" s="28"/>
      <c r="AI1718" s="28"/>
      <c r="AJ1718" s="28"/>
      <c r="AK1718" s="28"/>
      <c r="AL1718" s="28"/>
      <c r="AM1718" s="28"/>
      <c r="AN1718" s="28"/>
      <c r="AO1718" s="28"/>
      <c r="AP1718" s="28"/>
      <c r="AQ1718" s="28"/>
      <c r="AR1718" s="28"/>
      <c r="AS1718" s="28"/>
      <c r="AT1718" s="5"/>
      <c r="AU1718" s="28"/>
      <c r="AV1718" s="28"/>
      <c r="AX1718" s="28"/>
      <c r="AY1718" s="28"/>
      <c r="BA1718" s="28"/>
      <c r="BB1718" s="28"/>
      <c r="BF1718" s="28"/>
      <c r="BH1718" s="28"/>
      <c r="BI1718" s="28"/>
      <c r="BJ1718" s="38"/>
      <c r="BK1718" s="28"/>
    </row>
    <row r="1719" customFormat="false" ht="15.75" hidden="false" customHeight="false" outlineLevel="0" collapsed="false">
      <c r="A1719" s="28"/>
      <c r="B1719" s="28"/>
      <c r="C1719" s="28"/>
      <c r="D1719" s="5"/>
      <c r="E1719" s="38"/>
      <c r="F1719" s="28"/>
      <c r="G1719" s="28"/>
      <c r="H1719" s="38"/>
      <c r="I1719" s="28"/>
      <c r="J1719" s="40"/>
      <c r="K1719" s="40"/>
      <c r="L1719" s="5"/>
      <c r="M1719" s="5"/>
      <c r="N1719" s="28"/>
      <c r="O1719" s="28"/>
      <c r="P1719" s="28"/>
      <c r="Q1719" s="28"/>
      <c r="R1719" s="28"/>
      <c r="S1719" s="28"/>
      <c r="T1719" s="28"/>
      <c r="V1719" s="28"/>
      <c r="W1719" s="5"/>
      <c r="X1719" s="5"/>
      <c r="Z1719" s="28"/>
      <c r="AA1719" s="28"/>
      <c r="AB1719" s="28"/>
      <c r="AC1719" s="28"/>
      <c r="AD1719" s="28"/>
      <c r="AE1719" s="28"/>
      <c r="AF1719" s="28"/>
      <c r="AG1719" s="28"/>
      <c r="AH1719" s="28"/>
      <c r="AI1719" s="28"/>
      <c r="AJ1719" s="28"/>
      <c r="AK1719" s="28"/>
      <c r="AL1719" s="28"/>
      <c r="AM1719" s="28"/>
      <c r="AN1719" s="28"/>
      <c r="AO1719" s="28"/>
      <c r="AP1719" s="28"/>
      <c r="AQ1719" s="28"/>
      <c r="AR1719" s="28"/>
      <c r="AS1719" s="28"/>
      <c r="AT1719" s="5"/>
      <c r="AU1719" s="28"/>
      <c r="AV1719" s="28"/>
      <c r="AX1719" s="28"/>
      <c r="AY1719" s="28"/>
      <c r="BA1719" s="28"/>
      <c r="BB1719" s="28"/>
      <c r="BF1719" s="28"/>
      <c r="BH1719" s="28"/>
      <c r="BI1719" s="28"/>
      <c r="BJ1719" s="38"/>
      <c r="BK1719" s="28"/>
    </row>
    <row r="1720" customFormat="false" ht="15.75" hidden="false" customHeight="false" outlineLevel="0" collapsed="false">
      <c r="A1720" s="28"/>
      <c r="B1720" s="28"/>
      <c r="C1720" s="28"/>
      <c r="D1720" s="5"/>
      <c r="E1720" s="38"/>
      <c r="F1720" s="28"/>
      <c r="G1720" s="28"/>
      <c r="H1720" s="38"/>
      <c r="I1720" s="28"/>
      <c r="J1720" s="40"/>
      <c r="K1720" s="40"/>
      <c r="L1720" s="5"/>
      <c r="M1720" s="5"/>
      <c r="N1720" s="28"/>
      <c r="O1720" s="28"/>
      <c r="P1720" s="28"/>
      <c r="Q1720" s="28"/>
      <c r="R1720" s="28"/>
      <c r="S1720" s="28"/>
      <c r="T1720" s="28"/>
      <c r="V1720" s="28"/>
      <c r="W1720" s="5"/>
      <c r="X1720" s="5"/>
      <c r="Z1720" s="28"/>
      <c r="AA1720" s="28"/>
      <c r="AB1720" s="28"/>
      <c r="AC1720" s="28"/>
      <c r="AD1720" s="28"/>
      <c r="AE1720" s="28"/>
      <c r="AF1720" s="28"/>
      <c r="AG1720" s="28"/>
      <c r="AH1720" s="28"/>
      <c r="AI1720" s="28"/>
      <c r="AJ1720" s="28"/>
      <c r="AK1720" s="28"/>
      <c r="AL1720" s="28"/>
      <c r="AM1720" s="28"/>
      <c r="AN1720" s="28"/>
      <c r="AO1720" s="28"/>
      <c r="AP1720" s="28"/>
      <c r="AQ1720" s="28"/>
      <c r="AR1720" s="28"/>
      <c r="AS1720" s="28"/>
      <c r="AT1720" s="5"/>
      <c r="AU1720" s="28"/>
      <c r="AV1720" s="28"/>
      <c r="AX1720" s="28"/>
      <c r="AY1720" s="28"/>
      <c r="BA1720" s="28"/>
      <c r="BB1720" s="28"/>
      <c r="BF1720" s="28"/>
      <c r="BH1720" s="28"/>
      <c r="BI1720" s="28"/>
      <c r="BJ1720" s="38"/>
      <c r="BK1720" s="28"/>
    </row>
    <row r="1721" customFormat="false" ht="15.75" hidden="false" customHeight="false" outlineLevel="0" collapsed="false">
      <c r="A1721" s="28"/>
      <c r="B1721" s="28"/>
      <c r="C1721" s="28"/>
      <c r="D1721" s="5"/>
      <c r="E1721" s="38"/>
      <c r="F1721" s="28"/>
      <c r="G1721" s="28"/>
      <c r="H1721" s="38"/>
      <c r="I1721" s="28"/>
      <c r="J1721" s="40"/>
      <c r="K1721" s="40"/>
      <c r="L1721" s="5"/>
      <c r="M1721" s="5"/>
      <c r="N1721" s="28"/>
      <c r="O1721" s="28"/>
      <c r="P1721" s="28"/>
      <c r="Q1721" s="28"/>
      <c r="R1721" s="28"/>
      <c r="S1721" s="28"/>
      <c r="T1721" s="28"/>
      <c r="V1721" s="28"/>
      <c r="W1721" s="5"/>
      <c r="X1721" s="5"/>
      <c r="Z1721" s="28"/>
      <c r="AA1721" s="28"/>
      <c r="AB1721" s="28"/>
      <c r="AC1721" s="28"/>
      <c r="AD1721" s="28"/>
      <c r="AE1721" s="28"/>
      <c r="AF1721" s="28"/>
      <c r="AG1721" s="28"/>
      <c r="AH1721" s="28"/>
      <c r="AI1721" s="28"/>
      <c r="AJ1721" s="28"/>
      <c r="AK1721" s="28"/>
      <c r="AL1721" s="28"/>
      <c r="AM1721" s="28"/>
      <c r="AN1721" s="28"/>
      <c r="AO1721" s="28"/>
      <c r="AP1721" s="28"/>
      <c r="AQ1721" s="28"/>
      <c r="AR1721" s="28"/>
      <c r="AS1721" s="28"/>
      <c r="AT1721" s="5"/>
      <c r="AU1721" s="28"/>
      <c r="AV1721" s="28"/>
      <c r="AX1721" s="28"/>
      <c r="AY1721" s="28"/>
      <c r="BA1721" s="28"/>
      <c r="BB1721" s="28"/>
      <c r="BF1721" s="28"/>
      <c r="BH1721" s="28"/>
      <c r="BI1721" s="28"/>
      <c r="BJ1721" s="38"/>
      <c r="BK1721" s="28"/>
    </row>
    <row r="1722" customFormat="false" ht="15.75" hidden="false" customHeight="false" outlineLevel="0" collapsed="false">
      <c r="A1722" s="28"/>
      <c r="B1722" s="28"/>
      <c r="C1722" s="28"/>
      <c r="D1722" s="5"/>
      <c r="E1722" s="38"/>
      <c r="F1722" s="28"/>
      <c r="G1722" s="28"/>
      <c r="H1722" s="38"/>
      <c r="I1722" s="28"/>
      <c r="J1722" s="40"/>
      <c r="K1722" s="40"/>
      <c r="L1722" s="5"/>
      <c r="M1722" s="5"/>
      <c r="N1722" s="28"/>
      <c r="O1722" s="28"/>
      <c r="P1722" s="28"/>
      <c r="Q1722" s="28"/>
      <c r="R1722" s="28"/>
      <c r="S1722" s="28"/>
      <c r="T1722" s="28"/>
      <c r="V1722" s="28"/>
      <c r="W1722" s="5"/>
      <c r="X1722" s="5"/>
      <c r="Z1722" s="28"/>
      <c r="AA1722" s="28"/>
      <c r="AB1722" s="28"/>
      <c r="AC1722" s="28"/>
      <c r="AD1722" s="28"/>
      <c r="AE1722" s="28"/>
      <c r="AF1722" s="28"/>
      <c r="AG1722" s="28"/>
      <c r="AH1722" s="28"/>
      <c r="AI1722" s="28"/>
      <c r="AJ1722" s="28"/>
      <c r="AK1722" s="28"/>
      <c r="AL1722" s="28"/>
      <c r="AM1722" s="28"/>
      <c r="AN1722" s="28"/>
      <c r="AO1722" s="28"/>
      <c r="AP1722" s="28"/>
      <c r="AQ1722" s="28"/>
      <c r="AR1722" s="28"/>
      <c r="AS1722" s="28"/>
      <c r="AT1722" s="5"/>
      <c r="AU1722" s="28"/>
      <c r="AV1722" s="28"/>
      <c r="AX1722" s="28"/>
      <c r="AY1722" s="28"/>
      <c r="BA1722" s="28"/>
      <c r="BB1722" s="28"/>
      <c r="BF1722" s="28"/>
      <c r="BH1722" s="28"/>
      <c r="BI1722" s="28"/>
      <c r="BJ1722" s="38"/>
      <c r="BK1722" s="28"/>
    </row>
    <row r="1723" customFormat="false" ht="15.75" hidden="false" customHeight="false" outlineLevel="0" collapsed="false">
      <c r="A1723" s="28"/>
      <c r="B1723" s="28"/>
      <c r="C1723" s="28"/>
      <c r="D1723" s="5"/>
      <c r="E1723" s="38"/>
      <c r="F1723" s="28"/>
      <c r="G1723" s="28"/>
      <c r="H1723" s="38"/>
      <c r="I1723" s="28"/>
      <c r="J1723" s="40"/>
      <c r="K1723" s="40"/>
      <c r="L1723" s="5"/>
      <c r="M1723" s="5"/>
      <c r="N1723" s="28"/>
      <c r="O1723" s="28"/>
      <c r="P1723" s="28"/>
      <c r="Q1723" s="28"/>
      <c r="R1723" s="28"/>
      <c r="S1723" s="28"/>
      <c r="T1723" s="28"/>
      <c r="V1723" s="28"/>
      <c r="W1723" s="5"/>
      <c r="X1723" s="5"/>
      <c r="Z1723" s="28"/>
      <c r="AA1723" s="28"/>
      <c r="AB1723" s="28"/>
      <c r="AC1723" s="28"/>
      <c r="AD1723" s="28"/>
      <c r="AE1723" s="28"/>
      <c r="AF1723" s="28"/>
      <c r="AG1723" s="28"/>
      <c r="AH1723" s="28"/>
      <c r="AI1723" s="28"/>
      <c r="AJ1723" s="28"/>
      <c r="AK1723" s="28"/>
      <c r="AL1723" s="28"/>
      <c r="AM1723" s="28"/>
      <c r="AN1723" s="28"/>
      <c r="AO1723" s="28"/>
      <c r="AP1723" s="28"/>
      <c r="AQ1723" s="28"/>
      <c r="AR1723" s="28"/>
      <c r="AS1723" s="28"/>
      <c r="AT1723" s="5"/>
      <c r="AU1723" s="28"/>
      <c r="AV1723" s="28"/>
      <c r="AX1723" s="28"/>
      <c r="AY1723" s="28"/>
      <c r="BA1723" s="28"/>
      <c r="BB1723" s="28"/>
      <c r="BF1723" s="28"/>
      <c r="BH1723" s="28"/>
      <c r="BI1723" s="28"/>
      <c r="BJ1723" s="38"/>
      <c r="BK1723" s="28"/>
    </row>
    <row r="1724" customFormat="false" ht="15.75" hidden="false" customHeight="false" outlineLevel="0" collapsed="false">
      <c r="A1724" s="28"/>
      <c r="B1724" s="28"/>
      <c r="C1724" s="28"/>
      <c r="D1724" s="5"/>
      <c r="E1724" s="38"/>
      <c r="F1724" s="28"/>
      <c r="G1724" s="28"/>
      <c r="H1724" s="38"/>
      <c r="I1724" s="28"/>
      <c r="J1724" s="40"/>
      <c r="K1724" s="40"/>
      <c r="L1724" s="5"/>
      <c r="M1724" s="5"/>
      <c r="N1724" s="28"/>
      <c r="O1724" s="28"/>
      <c r="P1724" s="28"/>
      <c r="Q1724" s="28"/>
      <c r="R1724" s="28"/>
      <c r="S1724" s="28"/>
      <c r="T1724" s="28"/>
      <c r="V1724" s="28"/>
      <c r="W1724" s="5"/>
      <c r="X1724" s="5"/>
      <c r="Z1724" s="28"/>
      <c r="AA1724" s="28"/>
      <c r="AB1724" s="28"/>
      <c r="AC1724" s="28"/>
      <c r="AD1724" s="28"/>
      <c r="AE1724" s="28"/>
      <c r="AF1724" s="28"/>
      <c r="AG1724" s="28"/>
      <c r="AH1724" s="28"/>
      <c r="AI1724" s="28"/>
      <c r="AJ1724" s="28"/>
      <c r="AK1724" s="28"/>
      <c r="AL1724" s="28"/>
      <c r="AM1724" s="28"/>
      <c r="AN1724" s="28"/>
      <c r="AO1724" s="28"/>
      <c r="AP1724" s="28"/>
      <c r="AQ1724" s="28"/>
      <c r="AR1724" s="28"/>
      <c r="AS1724" s="28"/>
      <c r="AT1724" s="5"/>
      <c r="AU1724" s="28"/>
      <c r="AV1724" s="28"/>
      <c r="AX1724" s="28"/>
      <c r="AY1724" s="28"/>
      <c r="BA1724" s="28"/>
      <c r="BB1724" s="28"/>
      <c r="BF1724" s="28"/>
      <c r="BH1724" s="28"/>
      <c r="BI1724" s="28"/>
      <c r="BJ1724" s="38"/>
      <c r="BK1724" s="28"/>
    </row>
    <row r="1725" customFormat="false" ht="15.75" hidden="false" customHeight="false" outlineLevel="0" collapsed="false">
      <c r="A1725" s="28"/>
      <c r="B1725" s="28"/>
      <c r="C1725" s="28"/>
      <c r="D1725" s="5"/>
      <c r="E1725" s="38"/>
      <c r="F1725" s="28"/>
      <c r="G1725" s="28"/>
      <c r="H1725" s="38"/>
      <c r="I1725" s="28"/>
      <c r="J1725" s="40"/>
      <c r="K1725" s="40"/>
      <c r="L1725" s="5"/>
      <c r="M1725" s="5"/>
      <c r="N1725" s="28"/>
      <c r="O1725" s="28"/>
      <c r="P1725" s="28"/>
      <c r="Q1725" s="28"/>
      <c r="R1725" s="28"/>
      <c r="S1725" s="28"/>
      <c r="T1725" s="28"/>
      <c r="V1725" s="28"/>
      <c r="W1725" s="5"/>
      <c r="X1725" s="5"/>
      <c r="Z1725" s="28"/>
      <c r="AA1725" s="28"/>
      <c r="AB1725" s="28"/>
      <c r="AC1725" s="28"/>
      <c r="AD1725" s="28"/>
      <c r="AE1725" s="28"/>
      <c r="AF1725" s="28"/>
      <c r="AG1725" s="28"/>
      <c r="AH1725" s="28"/>
      <c r="AI1725" s="28"/>
      <c r="AJ1725" s="28"/>
      <c r="AK1725" s="28"/>
      <c r="AL1725" s="28"/>
      <c r="AM1725" s="28"/>
      <c r="AN1725" s="28"/>
      <c r="AO1725" s="28"/>
      <c r="AP1725" s="28"/>
      <c r="AQ1725" s="28"/>
      <c r="AR1725" s="28"/>
      <c r="AS1725" s="28"/>
      <c r="AT1725" s="5"/>
      <c r="AU1725" s="28"/>
      <c r="AV1725" s="28"/>
      <c r="AX1725" s="28"/>
      <c r="AY1725" s="28"/>
      <c r="BA1725" s="28"/>
      <c r="BB1725" s="28"/>
      <c r="BF1725" s="28"/>
      <c r="BH1725" s="28"/>
      <c r="BI1725" s="28"/>
      <c r="BJ1725" s="38"/>
      <c r="BK1725" s="28"/>
    </row>
    <row r="1726" customFormat="false" ht="15.75" hidden="false" customHeight="false" outlineLevel="0" collapsed="false">
      <c r="A1726" s="28"/>
      <c r="B1726" s="28"/>
      <c r="C1726" s="28"/>
      <c r="D1726" s="5"/>
      <c r="E1726" s="38"/>
      <c r="F1726" s="28"/>
      <c r="G1726" s="28"/>
      <c r="H1726" s="38"/>
      <c r="I1726" s="28"/>
      <c r="J1726" s="40"/>
      <c r="K1726" s="40"/>
      <c r="L1726" s="5"/>
      <c r="M1726" s="5"/>
      <c r="N1726" s="28"/>
      <c r="O1726" s="28"/>
      <c r="P1726" s="28"/>
      <c r="Q1726" s="28"/>
      <c r="R1726" s="28"/>
      <c r="S1726" s="28"/>
      <c r="T1726" s="28"/>
      <c r="V1726" s="28"/>
      <c r="W1726" s="5"/>
      <c r="X1726" s="5"/>
      <c r="Z1726" s="28"/>
      <c r="AA1726" s="28"/>
      <c r="AB1726" s="28"/>
      <c r="AC1726" s="28"/>
      <c r="AD1726" s="28"/>
      <c r="AE1726" s="28"/>
      <c r="AF1726" s="28"/>
      <c r="AG1726" s="28"/>
      <c r="AH1726" s="28"/>
      <c r="AI1726" s="28"/>
      <c r="AJ1726" s="28"/>
      <c r="AK1726" s="28"/>
      <c r="AL1726" s="28"/>
      <c r="AM1726" s="28"/>
      <c r="AN1726" s="28"/>
      <c r="AO1726" s="28"/>
      <c r="AP1726" s="28"/>
      <c r="AQ1726" s="28"/>
      <c r="AR1726" s="28"/>
      <c r="AS1726" s="28"/>
      <c r="AT1726" s="5"/>
      <c r="AU1726" s="28"/>
      <c r="AV1726" s="28"/>
      <c r="AX1726" s="28"/>
      <c r="AY1726" s="28"/>
      <c r="BA1726" s="28"/>
      <c r="BB1726" s="28"/>
      <c r="BF1726" s="28"/>
      <c r="BH1726" s="28"/>
      <c r="BI1726" s="28"/>
      <c r="BJ1726" s="38"/>
      <c r="BK1726" s="28"/>
    </row>
    <row r="1727" customFormat="false" ht="15.75" hidden="false" customHeight="false" outlineLevel="0" collapsed="false">
      <c r="A1727" s="28"/>
      <c r="B1727" s="28"/>
      <c r="C1727" s="28"/>
      <c r="D1727" s="5"/>
      <c r="E1727" s="38"/>
      <c r="F1727" s="28"/>
      <c r="G1727" s="28"/>
      <c r="H1727" s="38"/>
      <c r="I1727" s="28"/>
      <c r="J1727" s="40"/>
      <c r="K1727" s="40"/>
      <c r="L1727" s="5"/>
      <c r="M1727" s="5"/>
      <c r="N1727" s="28"/>
      <c r="O1727" s="28"/>
      <c r="P1727" s="28"/>
      <c r="Q1727" s="28"/>
      <c r="R1727" s="28"/>
      <c r="S1727" s="28"/>
      <c r="T1727" s="28"/>
      <c r="V1727" s="28"/>
      <c r="W1727" s="5"/>
      <c r="X1727" s="5"/>
      <c r="Z1727" s="28"/>
      <c r="AA1727" s="28"/>
      <c r="AB1727" s="28"/>
      <c r="AC1727" s="28"/>
      <c r="AD1727" s="28"/>
      <c r="AE1727" s="28"/>
      <c r="AF1727" s="28"/>
      <c r="AG1727" s="28"/>
      <c r="AH1727" s="28"/>
      <c r="AI1727" s="28"/>
      <c r="AJ1727" s="28"/>
      <c r="AK1727" s="28"/>
      <c r="AL1727" s="28"/>
      <c r="AM1727" s="28"/>
      <c r="AN1727" s="28"/>
      <c r="AO1727" s="28"/>
      <c r="AP1727" s="28"/>
      <c r="AQ1727" s="28"/>
      <c r="AR1727" s="28"/>
      <c r="AS1727" s="28"/>
      <c r="AT1727" s="5"/>
      <c r="AU1727" s="28"/>
      <c r="AV1727" s="28"/>
      <c r="AX1727" s="28"/>
      <c r="AY1727" s="28"/>
      <c r="BA1727" s="28"/>
      <c r="BB1727" s="28"/>
      <c r="BF1727" s="28"/>
      <c r="BH1727" s="28"/>
      <c r="BI1727" s="28"/>
      <c r="BJ1727" s="38"/>
      <c r="BK1727" s="28"/>
    </row>
    <row r="1728" customFormat="false" ht="15.75" hidden="false" customHeight="false" outlineLevel="0" collapsed="false">
      <c r="A1728" s="28"/>
      <c r="B1728" s="28"/>
      <c r="C1728" s="28"/>
      <c r="D1728" s="5"/>
      <c r="E1728" s="38"/>
      <c r="F1728" s="28"/>
      <c r="G1728" s="28"/>
      <c r="H1728" s="38"/>
      <c r="I1728" s="28"/>
      <c r="J1728" s="40"/>
      <c r="K1728" s="40"/>
      <c r="L1728" s="5"/>
      <c r="M1728" s="5"/>
      <c r="N1728" s="28"/>
      <c r="O1728" s="28"/>
      <c r="P1728" s="28"/>
      <c r="Q1728" s="28"/>
      <c r="R1728" s="28"/>
      <c r="S1728" s="28"/>
      <c r="T1728" s="28"/>
      <c r="V1728" s="28"/>
      <c r="W1728" s="5"/>
      <c r="X1728" s="5"/>
      <c r="Z1728" s="28"/>
      <c r="AA1728" s="28"/>
      <c r="AB1728" s="28"/>
      <c r="AC1728" s="28"/>
      <c r="AD1728" s="28"/>
      <c r="AE1728" s="28"/>
      <c r="AF1728" s="28"/>
      <c r="AG1728" s="28"/>
      <c r="AH1728" s="28"/>
      <c r="AI1728" s="28"/>
      <c r="AJ1728" s="28"/>
      <c r="AK1728" s="28"/>
      <c r="AL1728" s="28"/>
      <c r="AM1728" s="28"/>
      <c r="AN1728" s="28"/>
      <c r="AO1728" s="28"/>
      <c r="AP1728" s="28"/>
      <c r="AQ1728" s="28"/>
      <c r="AR1728" s="28"/>
      <c r="AS1728" s="28"/>
      <c r="AT1728" s="5"/>
      <c r="AU1728" s="28"/>
      <c r="AV1728" s="28"/>
      <c r="AX1728" s="28"/>
      <c r="AY1728" s="28"/>
      <c r="BA1728" s="28"/>
      <c r="BB1728" s="28"/>
      <c r="BF1728" s="28"/>
      <c r="BH1728" s="28"/>
      <c r="BI1728" s="28"/>
      <c r="BJ1728" s="38"/>
      <c r="BK1728" s="28"/>
    </row>
    <row r="1729" customFormat="false" ht="15.75" hidden="false" customHeight="false" outlineLevel="0" collapsed="false">
      <c r="A1729" s="28"/>
      <c r="B1729" s="28"/>
      <c r="C1729" s="28"/>
      <c r="D1729" s="5"/>
      <c r="E1729" s="38"/>
      <c r="F1729" s="28"/>
      <c r="G1729" s="28"/>
      <c r="H1729" s="38"/>
      <c r="I1729" s="28"/>
      <c r="J1729" s="40"/>
      <c r="K1729" s="40"/>
      <c r="L1729" s="5"/>
      <c r="M1729" s="5"/>
      <c r="N1729" s="28"/>
      <c r="O1729" s="28"/>
      <c r="P1729" s="28"/>
      <c r="Q1729" s="28"/>
      <c r="R1729" s="28"/>
      <c r="S1729" s="28"/>
      <c r="T1729" s="28"/>
      <c r="V1729" s="28"/>
      <c r="W1729" s="5"/>
      <c r="X1729" s="5"/>
      <c r="Z1729" s="28"/>
      <c r="AA1729" s="28"/>
      <c r="AB1729" s="28"/>
      <c r="AC1729" s="28"/>
      <c r="AD1729" s="28"/>
      <c r="AE1729" s="28"/>
      <c r="AF1729" s="28"/>
      <c r="AG1729" s="28"/>
      <c r="AH1729" s="28"/>
      <c r="AI1729" s="28"/>
      <c r="AJ1729" s="28"/>
      <c r="AK1729" s="28"/>
      <c r="AL1729" s="28"/>
      <c r="AM1729" s="28"/>
      <c r="AN1729" s="28"/>
      <c r="AO1729" s="28"/>
      <c r="AP1729" s="28"/>
      <c r="AQ1729" s="28"/>
      <c r="AR1729" s="28"/>
      <c r="AS1729" s="28"/>
      <c r="AT1729" s="5"/>
      <c r="AU1729" s="28"/>
      <c r="AV1729" s="28"/>
      <c r="AX1729" s="28"/>
      <c r="AY1729" s="28"/>
      <c r="BA1729" s="28"/>
      <c r="BB1729" s="28"/>
      <c r="BF1729" s="28"/>
      <c r="BH1729" s="28"/>
      <c r="BI1729" s="28"/>
      <c r="BJ1729" s="38"/>
      <c r="BK1729" s="28"/>
    </row>
    <row r="1730" customFormat="false" ht="15.75" hidden="false" customHeight="false" outlineLevel="0" collapsed="false">
      <c r="A1730" s="28"/>
      <c r="B1730" s="28"/>
      <c r="C1730" s="28"/>
      <c r="D1730" s="5"/>
      <c r="E1730" s="38"/>
      <c r="F1730" s="28"/>
      <c r="G1730" s="28"/>
      <c r="H1730" s="38"/>
      <c r="I1730" s="28"/>
      <c r="J1730" s="40"/>
      <c r="K1730" s="40"/>
      <c r="L1730" s="5"/>
      <c r="M1730" s="5"/>
      <c r="N1730" s="28"/>
      <c r="O1730" s="28"/>
      <c r="P1730" s="28"/>
      <c r="Q1730" s="28"/>
      <c r="R1730" s="28"/>
      <c r="S1730" s="28"/>
      <c r="T1730" s="28"/>
      <c r="V1730" s="28"/>
      <c r="W1730" s="5"/>
      <c r="X1730" s="5"/>
      <c r="Z1730" s="28"/>
      <c r="AA1730" s="28"/>
      <c r="AB1730" s="28"/>
      <c r="AC1730" s="28"/>
      <c r="AD1730" s="28"/>
      <c r="AE1730" s="28"/>
      <c r="AF1730" s="28"/>
      <c r="AG1730" s="28"/>
      <c r="AH1730" s="28"/>
      <c r="AI1730" s="28"/>
      <c r="AJ1730" s="28"/>
      <c r="AK1730" s="28"/>
      <c r="AL1730" s="28"/>
      <c r="AM1730" s="28"/>
      <c r="AN1730" s="28"/>
      <c r="AO1730" s="28"/>
      <c r="AP1730" s="28"/>
      <c r="AQ1730" s="28"/>
      <c r="AR1730" s="28"/>
      <c r="AS1730" s="28"/>
      <c r="AT1730" s="5"/>
      <c r="AU1730" s="28"/>
      <c r="AV1730" s="28"/>
      <c r="AX1730" s="28"/>
      <c r="AY1730" s="28"/>
      <c r="BA1730" s="28"/>
      <c r="BB1730" s="28"/>
      <c r="BF1730" s="28"/>
      <c r="BH1730" s="28"/>
      <c r="BI1730" s="28"/>
      <c r="BJ1730" s="38"/>
      <c r="BK1730" s="28"/>
    </row>
    <row r="1731" customFormat="false" ht="15.75" hidden="false" customHeight="false" outlineLevel="0" collapsed="false">
      <c r="A1731" s="28"/>
      <c r="B1731" s="28"/>
      <c r="C1731" s="28"/>
      <c r="D1731" s="5"/>
      <c r="E1731" s="38"/>
      <c r="F1731" s="28"/>
      <c r="G1731" s="28"/>
      <c r="H1731" s="38"/>
      <c r="I1731" s="28"/>
      <c r="J1731" s="40"/>
      <c r="K1731" s="40"/>
      <c r="L1731" s="5"/>
      <c r="M1731" s="5"/>
      <c r="N1731" s="28"/>
      <c r="O1731" s="28"/>
      <c r="P1731" s="28"/>
      <c r="Q1731" s="28"/>
      <c r="R1731" s="28"/>
      <c r="S1731" s="28"/>
      <c r="T1731" s="28"/>
      <c r="V1731" s="28"/>
      <c r="W1731" s="5"/>
      <c r="X1731" s="5"/>
      <c r="Z1731" s="28"/>
      <c r="AA1731" s="28"/>
      <c r="AB1731" s="28"/>
      <c r="AC1731" s="28"/>
      <c r="AD1731" s="28"/>
      <c r="AE1731" s="28"/>
      <c r="AF1731" s="28"/>
      <c r="AG1731" s="28"/>
      <c r="AH1731" s="28"/>
      <c r="AI1731" s="28"/>
      <c r="AJ1731" s="28"/>
      <c r="AK1731" s="28"/>
      <c r="AL1731" s="28"/>
      <c r="AM1731" s="28"/>
      <c r="AN1731" s="28"/>
      <c r="AO1731" s="28"/>
      <c r="AP1731" s="28"/>
      <c r="AQ1731" s="28"/>
      <c r="AR1731" s="28"/>
      <c r="AS1731" s="28"/>
      <c r="AT1731" s="5"/>
      <c r="AU1731" s="28"/>
      <c r="AV1731" s="28"/>
      <c r="AX1731" s="28"/>
      <c r="AY1731" s="28"/>
      <c r="BA1731" s="28"/>
      <c r="BB1731" s="28"/>
      <c r="BF1731" s="28"/>
      <c r="BH1731" s="28"/>
      <c r="BI1731" s="28"/>
      <c r="BJ1731" s="38"/>
      <c r="BK1731" s="28"/>
    </row>
    <row r="1732" customFormat="false" ht="15.75" hidden="false" customHeight="false" outlineLevel="0" collapsed="false">
      <c r="A1732" s="28"/>
      <c r="B1732" s="28"/>
      <c r="C1732" s="28"/>
      <c r="D1732" s="5"/>
      <c r="E1732" s="38"/>
      <c r="F1732" s="28"/>
      <c r="G1732" s="28"/>
      <c r="H1732" s="38"/>
      <c r="I1732" s="28"/>
      <c r="J1732" s="40"/>
      <c r="K1732" s="40"/>
      <c r="L1732" s="5"/>
      <c r="M1732" s="5"/>
      <c r="N1732" s="28"/>
      <c r="O1732" s="28"/>
      <c r="P1732" s="28"/>
      <c r="Q1732" s="28"/>
      <c r="R1732" s="28"/>
      <c r="S1732" s="28"/>
      <c r="T1732" s="28"/>
      <c r="V1732" s="28"/>
      <c r="W1732" s="5"/>
      <c r="X1732" s="5"/>
      <c r="Z1732" s="28"/>
      <c r="AA1732" s="28"/>
      <c r="AB1732" s="28"/>
      <c r="AC1732" s="28"/>
      <c r="AD1732" s="28"/>
      <c r="AE1732" s="28"/>
      <c r="AF1732" s="28"/>
      <c r="AG1732" s="28"/>
      <c r="AH1732" s="28"/>
      <c r="AI1732" s="28"/>
      <c r="AJ1732" s="28"/>
      <c r="AK1732" s="28"/>
      <c r="AL1732" s="28"/>
      <c r="AM1732" s="28"/>
      <c r="AN1732" s="28"/>
      <c r="AO1732" s="28"/>
      <c r="AP1732" s="28"/>
      <c r="AQ1732" s="28"/>
      <c r="AR1732" s="28"/>
      <c r="AS1732" s="28"/>
      <c r="AT1732" s="5"/>
      <c r="AU1732" s="28"/>
      <c r="AV1732" s="28"/>
      <c r="AX1732" s="28"/>
      <c r="AY1732" s="28"/>
      <c r="BA1732" s="28"/>
      <c r="BB1732" s="28"/>
      <c r="BF1732" s="28"/>
      <c r="BH1732" s="28"/>
      <c r="BI1732" s="28"/>
      <c r="BJ1732" s="38"/>
      <c r="BK1732" s="28"/>
    </row>
    <row r="1733" customFormat="false" ht="15.75" hidden="false" customHeight="false" outlineLevel="0" collapsed="false">
      <c r="A1733" s="28"/>
      <c r="B1733" s="28"/>
      <c r="C1733" s="28"/>
      <c r="D1733" s="5"/>
      <c r="E1733" s="38"/>
      <c r="F1733" s="28"/>
      <c r="G1733" s="28"/>
      <c r="H1733" s="38"/>
      <c r="I1733" s="28"/>
      <c r="J1733" s="40"/>
      <c r="K1733" s="40"/>
      <c r="L1733" s="5"/>
      <c r="M1733" s="5"/>
      <c r="N1733" s="28"/>
      <c r="O1733" s="28"/>
      <c r="P1733" s="28"/>
      <c r="Q1733" s="28"/>
      <c r="R1733" s="28"/>
      <c r="S1733" s="28"/>
      <c r="T1733" s="28"/>
      <c r="V1733" s="28"/>
      <c r="W1733" s="5"/>
      <c r="X1733" s="5"/>
      <c r="Z1733" s="28"/>
      <c r="AA1733" s="28"/>
      <c r="AB1733" s="28"/>
      <c r="AC1733" s="28"/>
      <c r="AD1733" s="28"/>
      <c r="AE1733" s="28"/>
      <c r="AF1733" s="28"/>
      <c r="AG1733" s="28"/>
      <c r="AH1733" s="28"/>
      <c r="AI1733" s="28"/>
      <c r="AJ1733" s="28"/>
      <c r="AK1733" s="28"/>
      <c r="AL1733" s="28"/>
      <c r="AM1733" s="28"/>
      <c r="AN1733" s="28"/>
      <c r="AO1733" s="28"/>
      <c r="AP1733" s="28"/>
      <c r="AQ1733" s="28"/>
      <c r="AR1733" s="28"/>
      <c r="AS1733" s="28"/>
      <c r="AT1733" s="5"/>
      <c r="AU1733" s="28"/>
      <c r="AV1733" s="28"/>
      <c r="AX1733" s="28"/>
      <c r="AY1733" s="28"/>
      <c r="BA1733" s="28"/>
      <c r="BB1733" s="28"/>
      <c r="BF1733" s="28"/>
      <c r="BH1733" s="28"/>
      <c r="BI1733" s="28"/>
      <c r="BJ1733" s="38"/>
      <c r="BK1733" s="28"/>
    </row>
    <row r="1734" customFormat="false" ht="15.75" hidden="false" customHeight="false" outlineLevel="0" collapsed="false">
      <c r="A1734" s="28"/>
      <c r="B1734" s="28"/>
      <c r="C1734" s="28"/>
      <c r="D1734" s="5"/>
      <c r="E1734" s="38"/>
      <c r="F1734" s="28"/>
      <c r="G1734" s="28"/>
      <c r="H1734" s="38"/>
      <c r="I1734" s="28"/>
      <c r="J1734" s="40"/>
      <c r="K1734" s="40"/>
      <c r="L1734" s="5"/>
      <c r="M1734" s="5"/>
      <c r="N1734" s="28"/>
      <c r="O1734" s="28"/>
      <c r="P1734" s="28"/>
      <c r="Q1734" s="28"/>
      <c r="R1734" s="28"/>
      <c r="S1734" s="28"/>
      <c r="T1734" s="28"/>
      <c r="V1734" s="28"/>
      <c r="W1734" s="5"/>
      <c r="X1734" s="5"/>
      <c r="Z1734" s="28"/>
      <c r="AA1734" s="28"/>
      <c r="AB1734" s="28"/>
      <c r="AC1734" s="28"/>
      <c r="AD1734" s="28"/>
      <c r="AE1734" s="28"/>
      <c r="AF1734" s="28"/>
      <c r="AG1734" s="28"/>
      <c r="AH1734" s="28"/>
      <c r="AI1734" s="28"/>
      <c r="AJ1734" s="28"/>
      <c r="AK1734" s="28"/>
      <c r="AL1734" s="28"/>
      <c r="AM1734" s="28"/>
      <c r="AN1734" s="28"/>
      <c r="AO1734" s="28"/>
      <c r="AP1734" s="28"/>
      <c r="AQ1734" s="28"/>
      <c r="AR1734" s="28"/>
      <c r="AS1734" s="28"/>
      <c r="AT1734" s="5"/>
      <c r="AU1734" s="28"/>
      <c r="AV1734" s="28"/>
      <c r="AX1734" s="28"/>
      <c r="AY1734" s="28"/>
      <c r="BA1734" s="28"/>
      <c r="BB1734" s="28"/>
      <c r="BF1734" s="28"/>
      <c r="BH1734" s="28"/>
      <c r="BI1734" s="28"/>
      <c r="BJ1734" s="38"/>
      <c r="BK1734" s="28"/>
    </row>
    <row r="1735" customFormat="false" ht="15.75" hidden="false" customHeight="false" outlineLevel="0" collapsed="false">
      <c r="A1735" s="28"/>
      <c r="B1735" s="28"/>
      <c r="C1735" s="28"/>
      <c r="D1735" s="5"/>
      <c r="E1735" s="38"/>
      <c r="F1735" s="28"/>
      <c r="G1735" s="28"/>
      <c r="H1735" s="38"/>
      <c r="I1735" s="28"/>
      <c r="J1735" s="40"/>
      <c r="K1735" s="40"/>
      <c r="L1735" s="5"/>
      <c r="M1735" s="5"/>
      <c r="N1735" s="28"/>
      <c r="O1735" s="28"/>
      <c r="P1735" s="28"/>
      <c r="Q1735" s="28"/>
      <c r="R1735" s="28"/>
      <c r="S1735" s="28"/>
      <c r="T1735" s="28"/>
      <c r="V1735" s="28"/>
      <c r="W1735" s="5"/>
      <c r="X1735" s="5"/>
      <c r="Z1735" s="28"/>
      <c r="AA1735" s="28"/>
      <c r="AB1735" s="28"/>
      <c r="AC1735" s="28"/>
      <c r="AD1735" s="28"/>
      <c r="AE1735" s="28"/>
      <c r="AF1735" s="28"/>
      <c r="AG1735" s="28"/>
      <c r="AH1735" s="28"/>
      <c r="AI1735" s="28"/>
      <c r="AJ1735" s="28"/>
      <c r="AK1735" s="28"/>
      <c r="AL1735" s="28"/>
      <c r="AM1735" s="28"/>
      <c r="AN1735" s="28"/>
      <c r="AO1735" s="28"/>
      <c r="AP1735" s="28"/>
      <c r="AQ1735" s="28"/>
      <c r="AR1735" s="28"/>
      <c r="AS1735" s="28"/>
      <c r="AT1735" s="5"/>
      <c r="AU1735" s="28"/>
      <c r="AV1735" s="28"/>
      <c r="AX1735" s="28"/>
      <c r="AY1735" s="28"/>
      <c r="BA1735" s="28"/>
      <c r="BB1735" s="28"/>
      <c r="BF1735" s="28"/>
      <c r="BH1735" s="28"/>
      <c r="BI1735" s="28"/>
      <c r="BJ1735" s="38"/>
      <c r="BK1735" s="28"/>
    </row>
    <row r="1736" customFormat="false" ht="15.75" hidden="false" customHeight="false" outlineLevel="0" collapsed="false">
      <c r="A1736" s="28"/>
      <c r="B1736" s="28"/>
      <c r="C1736" s="28"/>
      <c r="D1736" s="5"/>
      <c r="E1736" s="38"/>
      <c r="F1736" s="28"/>
      <c r="G1736" s="28"/>
      <c r="H1736" s="38"/>
      <c r="I1736" s="28"/>
      <c r="J1736" s="40"/>
      <c r="K1736" s="40"/>
      <c r="L1736" s="5"/>
      <c r="M1736" s="5"/>
      <c r="N1736" s="28"/>
      <c r="O1736" s="28"/>
      <c r="P1736" s="28"/>
      <c r="Q1736" s="28"/>
      <c r="R1736" s="28"/>
      <c r="S1736" s="28"/>
      <c r="T1736" s="28"/>
      <c r="V1736" s="28"/>
      <c r="W1736" s="5"/>
      <c r="X1736" s="5"/>
      <c r="Z1736" s="28"/>
      <c r="AA1736" s="28"/>
      <c r="AB1736" s="28"/>
      <c r="AC1736" s="28"/>
      <c r="AD1736" s="28"/>
      <c r="AE1736" s="28"/>
      <c r="AF1736" s="28"/>
      <c r="AG1736" s="28"/>
      <c r="AH1736" s="28"/>
      <c r="AI1736" s="28"/>
      <c r="AJ1736" s="28"/>
      <c r="AK1736" s="28"/>
      <c r="AL1736" s="28"/>
      <c r="AM1736" s="28"/>
      <c r="AN1736" s="28"/>
      <c r="AO1736" s="28"/>
      <c r="AP1736" s="28"/>
      <c r="AQ1736" s="28"/>
      <c r="AR1736" s="28"/>
      <c r="AS1736" s="28"/>
      <c r="AT1736" s="5"/>
      <c r="AU1736" s="28"/>
      <c r="AV1736" s="28"/>
      <c r="AX1736" s="28"/>
      <c r="AY1736" s="28"/>
      <c r="BA1736" s="28"/>
      <c r="BB1736" s="28"/>
      <c r="BF1736" s="28"/>
      <c r="BH1736" s="28"/>
      <c r="BI1736" s="28"/>
      <c r="BJ1736" s="38"/>
      <c r="BK1736" s="28"/>
    </row>
    <row r="1737" customFormat="false" ht="15.75" hidden="false" customHeight="false" outlineLevel="0" collapsed="false">
      <c r="A1737" s="28"/>
      <c r="B1737" s="28"/>
      <c r="C1737" s="28"/>
      <c r="D1737" s="5"/>
      <c r="E1737" s="38"/>
      <c r="F1737" s="28"/>
      <c r="G1737" s="28"/>
      <c r="H1737" s="38"/>
      <c r="I1737" s="28"/>
      <c r="J1737" s="40"/>
      <c r="K1737" s="40"/>
      <c r="L1737" s="5"/>
      <c r="M1737" s="5"/>
      <c r="N1737" s="28"/>
      <c r="O1737" s="28"/>
      <c r="P1737" s="28"/>
      <c r="Q1737" s="28"/>
      <c r="R1737" s="28"/>
      <c r="S1737" s="28"/>
      <c r="T1737" s="28"/>
      <c r="V1737" s="28"/>
      <c r="W1737" s="5"/>
      <c r="X1737" s="5"/>
      <c r="Z1737" s="28"/>
      <c r="AA1737" s="28"/>
      <c r="AB1737" s="28"/>
      <c r="AC1737" s="28"/>
      <c r="AD1737" s="28"/>
      <c r="AE1737" s="28"/>
      <c r="AF1737" s="28"/>
      <c r="AG1737" s="28"/>
      <c r="AH1737" s="28"/>
      <c r="AI1737" s="28"/>
      <c r="AJ1737" s="28"/>
      <c r="AK1737" s="28"/>
      <c r="AL1737" s="28"/>
      <c r="AM1737" s="28"/>
      <c r="AN1737" s="28"/>
      <c r="AO1737" s="28"/>
      <c r="AP1737" s="28"/>
      <c r="AQ1737" s="28"/>
      <c r="AR1737" s="28"/>
      <c r="AS1737" s="28"/>
      <c r="AT1737" s="5"/>
      <c r="AU1737" s="28"/>
      <c r="AV1737" s="28"/>
      <c r="AX1737" s="28"/>
      <c r="AY1737" s="28"/>
      <c r="BA1737" s="28"/>
      <c r="BB1737" s="28"/>
      <c r="BF1737" s="28"/>
      <c r="BH1737" s="28"/>
      <c r="BI1737" s="28"/>
      <c r="BJ1737" s="38"/>
      <c r="BK1737" s="28"/>
    </row>
    <row r="1738" customFormat="false" ht="15.75" hidden="false" customHeight="false" outlineLevel="0" collapsed="false">
      <c r="A1738" s="28"/>
      <c r="B1738" s="28"/>
      <c r="C1738" s="28"/>
      <c r="D1738" s="5"/>
      <c r="E1738" s="38"/>
      <c r="F1738" s="28"/>
      <c r="G1738" s="28"/>
      <c r="H1738" s="38"/>
      <c r="I1738" s="28"/>
      <c r="J1738" s="40"/>
      <c r="K1738" s="40"/>
      <c r="L1738" s="5"/>
      <c r="M1738" s="5"/>
      <c r="N1738" s="28"/>
      <c r="O1738" s="28"/>
      <c r="P1738" s="28"/>
      <c r="Q1738" s="28"/>
      <c r="R1738" s="28"/>
      <c r="S1738" s="28"/>
      <c r="T1738" s="28"/>
      <c r="V1738" s="28"/>
      <c r="W1738" s="5"/>
      <c r="X1738" s="5"/>
      <c r="Z1738" s="28"/>
      <c r="AA1738" s="28"/>
      <c r="AB1738" s="28"/>
      <c r="AC1738" s="28"/>
      <c r="AD1738" s="28"/>
      <c r="AE1738" s="28"/>
      <c r="AF1738" s="28"/>
      <c r="AG1738" s="28"/>
      <c r="AH1738" s="28"/>
      <c r="AI1738" s="28"/>
      <c r="AJ1738" s="28"/>
      <c r="AK1738" s="28"/>
      <c r="AL1738" s="28"/>
      <c r="AM1738" s="28"/>
      <c r="AN1738" s="28"/>
      <c r="AO1738" s="28"/>
      <c r="AP1738" s="28"/>
      <c r="AQ1738" s="28"/>
      <c r="AR1738" s="28"/>
      <c r="AS1738" s="28"/>
      <c r="AT1738" s="5"/>
      <c r="AU1738" s="28"/>
      <c r="AV1738" s="28"/>
      <c r="AX1738" s="28"/>
      <c r="AY1738" s="28"/>
      <c r="BA1738" s="28"/>
      <c r="BB1738" s="28"/>
      <c r="BF1738" s="28"/>
      <c r="BH1738" s="28"/>
      <c r="BI1738" s="28"/>
      <c r="BJ1738" s="38"/>
      <c r="BK1738" s="28"/>
    </row>
    <row r="1739" customFormat="false" ht="15.75" hidden="false" customHeight="false" outlineLevel="0" collapsed="false">
      <c r="A1739" s="28"/>
      <c r="B1739" s="28"/>
      <c r="C1739" s="28"/>
      <c r="D1739" s="5"/>
      <c r="E1739" s="38"/>
      <c r="F1739" s="28"/>
      <c r="G1739" s="28"/>
      <c r="H1739" s="38"/>
      <c r="I1739" s="28"/>
      <c r="J1739" s="40"/>
      <c r="K1739" s="40"/>
      <c r="L1739" s="5"/>
      <c r="M1739" s="5"/>
      <c r="N1739" s="28"/>
      <c r="O1739" s="28"/>
      <c r="P1739" s="28"/>
      <c r="Q1739" s="28"/>
      <c r="R1739" s="28"/>
      <c r="S1739" s="28"/>
      <c r="T1739" s="28"/>
      <c r="V1739" s="28"/>
      <c r="W1739" s="5"/>
      <c r="X1739" s="5"/>
      <c r="Z1739" s="28"/>
      <c r="AA1739" s="28"/>
      <c r="AB1739" s="28"/>
      <c r="AC1739" s="28"/>
      <c r="AD1739" s="28"/>
      <c r="AE1739" s="28"/>
      <c r="AF1739" s="28"/>
      <c r="AG1739" s="28"/>
      <c r="AH1739" s="28"/>
      <c r="AI1739" s="28"/>
      <c r="AJ1739" s="28"/>
      <c r="AK1739" s="28"/>
      <c r="AL1739" s="28"/>
      <c r="AM1739" s="28"/>
      <c r="AN1739" s="28"/>
      <c r="AO1739" s="28"/>
      <c r="AP1739" s="28"/>
      <c r="AQ1739" s="28"/>
      <c r="AR1739" s="28"/>
      <c r="AS1739" s="28"/>
      <c r="AT1739" s="5"/>
      <c r="AU1739" s="28"/>
      <c r="AV1739" s="28"/>
      <c r="AX1739" s="28"/>
      <c r="AY1739" s="28"/>
      <c r="BA1739" s="28"/>
      <c r="BB1739" s="28"/>
      <c r="BF1739" s="28"/>
      <c r="BH1739" s="28"/>
      <c r="BI1739" s="28"/>
      <c r="BJ1739" s="38"/>
      <c r="BK1739" s="28"/>
    </row>
    <row r="1740" customFormat="false" ht="15.75" hidden="false" customHeight="false" outlineLevel="0" collapsed="false">
      <c r="A1740" s="28"/>
      <c r="B1740" s="28"/>
      <c r="C1740" s="28"/>
      <c r="D1740" s="5"/>
      <c r="E1740" s="38"/>
      <c r="F1740" s="28"/>
      <c r="G1740" s="28"/>
      <c r="H1740" s="38"/>
      <c r="I1740" s="28"/>
      <c r="J1740" s="40"/>
      <c r="K1740" s="40"/>
      <c r="L1740" s="5"/>
      <c r="M1740" s="5"/>
      <c r="N1740" s="28"/>
      <c r="O1740" s="28"/>
      <c r="P1740" s="28"/>
      <c r="Q1740" s="28"/>
      <c r="R1740" s="28"/>
      <c r="S1740" s="28"/>
      <c r="T1740" s="28"/>
      <c r="V1740" s="28"/>
      <c r="W1740" s="5"/>
      <c r="X1740" s="5"/>
      <c r="Z1740" s="28"/>
      <c r="AA1740" s="28"/>
      <c r="AB1740" s="28"/>
      <c r="AC1740" s="28"/>
      <c r="AD1740" s="28"/>
      <c r="AE1740" s="28"/>
      <c r="AF1740" s="28"/>
      <c r="AG1740" s="28"/>
      <c r="AH1740" s="28"/>
      <c r="AI1740" s="28"/>
      <c r="AJ1740" s="28"/>
      <c r="AK1740" s="28"/>
      <c r="AL1740" s="28"/>
      <c r="AM1740" s="28"/>
      <c r="AN1740" s="28"/>
      <c r="AO1740" s="28"/>
      <c r="AP1740" s="28"/>
      <c r="AQ1740" s="28"/>
      <c r="AR1740" s="28"/>
      <c r="AS1740" s="28"/>
      <c r="AT1740" s="5"/>
      <c r="AU1740" s="28"/>
      <c r="AV1740" s="28"/>
      <c r="AX1740" s="28"/>
      <c r="AY1740" s="28"/>
      <c r="BA1740" s="28"/>
      <c r="BB1740" s="28"/>
      <c r="BF1740" s="28"/>
      <c r="BH1740" s="28"/>
      <c r="BI1740" s="28"/>
      <c r="BJ1740" s="38"/>
      <c r="BK1740" s="28"/>
    </row>
    <row r="1741" customFormat="false" ht="15.75" hidden="false" customHeight="false" outlineLevel="0" collapsed="false">
      <c r="A1741" s="28"/>
      <c r="B1741" s="28"/>
      <c r="C1741" s="28"/>
      <c r="D1741" s="5"/>
      <c r="E1741" s="38"/>
      <c r="F1741" s="28"/>
      <c r="G1741" s="28"/>
      <c r="H1741" s="38"/>
      <c r="I1741" s="28"/>
      <c r="J1741" s="40"/>
      <c r="K1741" s="40"/>
      <c r="L1741" s="5"/>
      <c r="M1741" s="5"/>
      <c r="N1741" s="28"/>
      <c r="O1741" s="28"/>
      <c r="P1741" s="28"/>
      <c r="Q1741" s="28"/>
      <c r="R1741" s="28"/>
      <c r="S1741" s="28"/>
      <c r="T1741" s="28"/>
      <c r="V1741" s="28"/>
      <c r="W1741" s="5"/>
      <c r="X1741" s="5"/>
      <c r="Z1741" s="28"/>
      <c r="AA1741" s="28"/>
      <c r="AB1741" s="28"/>
      <c r="AC1741" s="28"/>
      <c r="AD1741" s="28"/>
      <c r="AE1741" s="28"/>
      <c r="AF1741" s="28"/>
      <c r="AG1741" s="28"/>
      <c r="AH1741" s="28"/>
      <c r="AI1741" s="28"/>
      <c r="AJ1741" s="28"/>
      <c r="AK1741" s="28"/>
      <c r="AL1741" s="28"/>
      <c r="AM1741" s="28"/>
      <c r="AN1741" s="28"/>
      <c r="AO1741" s="28"/>
      <c r="AP1741" s="28"/>
      <c r="AQ1741" s="28"/>
      <c r="AR1741" s="28"/>
      <c r="AS1741" s="28"/>
      <c r="AT1741" s="5"/>
      <c r="AU1741" s="28"/>
      <c r="AV1741" s="28"/>
      <c r="AX1741" s="28"/>
      <c r="AY1741" s="28"/>
      <c r="BA1741" s="28"/>
      <c r="BB1741" s="28"/>
      <c r="BF1741" s="28"/>
      <c r="BH1741" s="28"/>
      <c r="BI1741" s="28"/>
      <c r="BJ1741" s="38"/>
      <c r="BK1741" s="28"/>
    </row>
    <row r="1742" customFormat="false" ht="15.75" hidden="false" customHeight="false" outlineLevel="0" collapsed="false">
      <c r="A1742" s="28"/>
      <c r="B1742" s="28"/>
      <c r="C1742" s="28"/>
      <c r="D1742" s="5"/>
      <c r="E1742" s="38"/>
      <c r="F1742" s="28"/>
      <c r="G1742" s="28"/>
      <c r="H1742" s="38"/>
      <c r="I1742" s="28"/>
      <c r="J1742" s="40"/>
      <c r="K1742" s="40"/>
      <c r="L1742" s="5"/>
      <c r="M1742" s="5"/>
      <c r="N1742" s="28"/>
      <c r="O1742" s="28"/>
      <c r="P1742" s="28"/>
      <c r="Q1742" s="28"/>
      <c r="R1742" s="28"/>
      <c r="S1742" s="28"/>
      <c r="T1742" s="28"/>
      <c r="V1742" s="28"/>
      <c r="W1742" s="5"/>
      <c r="X1742" s="5"/>
      <c r="Z1742" s="28"/>
      <c r="AA1742" s="28"/>
      <c r="AB1742" s="28"/>
      <c r="AC1742" s="28"/>
      <c r="AD1742" s="28"/>
      <c r="AE1742" s="28"/>
      <c r="AF1742" s="28"/>
      <c r="AG1742" s="28"/>
      <c r="AH1742" s="28"/>
      <c r="AI1742" s="28"/>
      <c r="AJ1742" s="28"/>
      <c r="AK1742" s="28"/>
      <c r="AL1742" s="28"/>
      <c r="AM1742" s="28"/>
      <c r="AN1742" s="28"/>
      <c r="AO1742" s="28"/>
      <c r="AP1742" s="28"/>
      <c r="AQ1742" s="28"/>
      <c r="AR1742" s="28"/>
      <c r="AS1742" s="28"/>
      <c r="AT1742" s="5"/>
      <c r="AU1742" s="28"/>
      <c r="AV1742" s="28"/>
      <c r="AX1742" s="28"/>
      <c r="AY1742" s="28"/>
      <c r="BA1742" s="28"/>
      <c r="BB1742" s="28"/>
      <c r="BF1742" s="28"/>
      <c r="BH1742" s="28"/>
      <c r="BI1742" s="28"/>
      <c r="BJ1742" s="38"/>
      <c r="BK1742" s="28"/>
    </row>
    <row r="1743" customFormat="false" ht="15.75" hidden="false" customHeight="false" outlineLevel="0" collapsed="false">
      <c r="A1743" s="28"/>
      <c r="B1743" s="28"/>
      <c r="C1743" s="28"/>
      <c r="D1743" s="5"/>
      <c r="E1743" s="38"/>
      <c r="F1743" s="28"/>
      <c r="G1743" s="28"/>
      <c r="H1743" s="38"/>
      <c r="I1743" s="28"/>
      <c r="J1743" s="40"/>
      <c r="K1743" s="40"/>
      <c r="L1743" s="5"/>
      <c r="M1743" s="5"/>
      <c r="N1743" s="28"/>
      <c r="O1743" s="28"/>
      <c r="P1743" s="28"/>
      <c r="Q1743" s="28"/>
      <c r="R1743" s="28"/>
      <c r="S1743" s="28"/>
      <c r="T1743" s="28"/>
      <c r="V1743" s="28"/>
      <c r="W1743" s="5"/>
      <c r="X1743" s="5"/>
      <c r="Z1743" s="28"/>
      <c r="AA1743" s="28"/>
      <c r="AB1743" s="28"/>
      <c r="AC1743" s="28"/>
      <c r="AD1743" s="28"/>
      <c r="AE1743" s="28"/>
      <c r="AF1743" s="28"/>
      <c r="AG1743" s="28"/>
      <c r="AH1743" s="28"/>
      <c r="AI1743" s="28"/>
      <c r="AJ1743" s="28"/>
      <c r="AK1743" s="28"/>
      <c r="AL1743" s="28"/>
      <c r="AM1743" s="28"/>
      <c r="AN1743" s="28"/>
      <c r="AO1743" s="28"/>
      <c r="AP1743" s="28"/>
      <c r="AQ1743" s="28"/>
      <c r="AR1743" s="28"/>
      <c r="AS1743" s="28"/>
      <c r="AT1743" s="5"/>
      <c r="AU1743" s="28"/>
      <c r="AV1743" s="28"/>
      <c r="AX1743" s="28"/>
      <c r="AY1743" s="28"/>
      <c r="BA1743" s="28"/>
      <c r="BB1743" s="28"/>
      <c r="BF1743" s="28"/>
      <c r="BH1743" s="28"/>
      <c r="BI1743" s="28"/>
      <c r="BJ1743" s="38"/>
      <c r="BK1743" s="28"/>
    </row>
    <row r="1744" customFormat="false" ht="15.75" hidden="false" customHeight="false" outlineLevel="0" collapsed="false">
      <c r="A1744" s="28"/>
      <c r="B1744" s="28"/>
      <c r="C1744" s="28"/>
      <c r="D1744" s="5"/>
      <c r="E1744" s="38"/>
      <c r="F1744" s="28"/>
      <c r="G1744" s="28"/>
      <c r="H1744" s="38"/>
      <c r="I1744" s="28"/>
      <c r="J1744" s="40"/>
      <c r="K1744" s="40"/>
      <c r="L1744" s="5"/>
      <c r="M1744" s="5"/>
      <c r="N1744" s="28"/>
      <c r="O1744" s="28"/>
      <c r="P1744" s="28"/>
      <c r="Q1744" s="28"/>
      <c r="R1744" s="28"/>
      <c r="S1744" s="28"/>
      <c r="T1744" s="28"/>
      <c r="V1744" s="28"/>
      <c r="W1744" s="5"/>
      <c r="X1744" s="5"/>
      <c r="Z1744" s="28"/>
      <c r="AA1744" s="28"/>
      <c r="AB1744" s="28"/>
      <c r="AC1744" s="28"/>
      <c r="AD1744" s="28"/>
      <c r="AE1744" s="28"/>
      <c r="AF1744" s="28"/>
      <c r="AG1744" s="28"/>
      <c r="AH1744" s="28"/>
      <c r="AI1744" s="28"/>
      <c r="AJ1744" s="28"/>
      <c r="AK1744" s="28"/>
      <c r="AL1744" s="28"/>
      <c r="AM1744" s="28"/>
      <c r="AN1744" s="28"/>
      <c r="AO1744" s="28"/>
      <c r="AP1744" s="28"/>
      <c r="AQ1744" s="28"/>
      <c r="AR1744" s="28"/>
      <c r="AS1744" s="28"/>
      <c r="AT1744" s="5"/>
      <c r="AU1744" s="28"/>
      <c r="AV1744" s="28"/>
      <c r="AX1744" s="28"/>
      <c r="AY1744" s="28"/>
      <c r="BA1744" s="28"/>
      <c r="BB1744" s="28"/>
      <c r="BF1744" s="28"/>
      <c r="BH1744" s="28"/>
      <c r="BI1744" s="28"/>
      <c r="BJ1744" s="38"/>
      <c r="BK1744" s="28"/>
    </row>
    <row r="1745" customFormat="false" ht="15.75" hidden="false" customHeight="false" outlineLevel="0" collapsed="false">
      <c r="A1745" s="28"/>
      <c r="B1745" s="28"/>
      <c r="C1745" s="28"/>
      <c r="D1745" s="5"/>
      <c r="E1745" s="38"/>
      <c r="F1745" s="28"/>
      <c r="G1745" s="28"/>
      <c r="H1745" s="38"/>
      <c r="I1745" s="28"/>
      <c r="J1745" s="40"/>
      <c r="K1745" s="40"/>
      <c r="L1745" s="5"/>
      <c r="M1745" s="5"/>
      <c r="N1745" s="28"/>
      <c r="O1745" s="28"/>
      <c r="P1745" s="28"/>
      <c r="Q1745" s="28"/>
      <c r="R1745" s="28"/>
      <c r="S1745" s="28"/>
      <c r="T1745" s="28"/>
      <c r="V1745" s="28"/>
      <c r="W1745" s="5"/>
      <c r="X1745" s="5"/>
      <c r="Z1745" s="28"/>
      <c r="AA1745" s="28"/>
      <c r="AB1745" s="28"/>
      <c r="AC1745" s="28"/>
      <c r="AD1745" s="28"/>
      <c r="AE1745" s="28"/>
      <c r="AF1745" s="28"/>
      <c r="AG1745" s="28"/>
      <c r="AH1745" s="28"/>
      <c r="AI1745" s="28"/>
      <c r="AJ1745" s="28"/>
      <c r="AK1745" s="28"/>
      <c r="AL1745" s="28"/>
      <c r="AM1745" s="28"/>
      <c r="AN1745" s="28"/>
      <c r="AO1745" s="28"/>
      <c r="AP1745" s="28"/>
      <c r="AQ1745" s="28"/>
      <c r="AR1745" s="28"/>
      <c r="AS1745" s="28"/>
      <c r="AT1745" s="5"/>
      <c r="AU1745" s="28"/>
      <c r="AV1745" s="28"/>
      <c r="AX1745" s="28"/>
      <c r="AY1745" s="28"/>
      <c r="BA1745" s="28"/>
      <c r="BB1745" s="28"/>
      <c r="BF1745" s="28"/>
      <c r="BH1745" s="28"/>
      <c r="BI1745" s="28"/>
      <c r="BJ1745" s="38"/>
      <c r="BK1745" s="28"/>
    </row>
    <row r="1746" customFormat="false" ht="15.75" hidden="false" customHeight="false" outlineLevel="0" collapsed="false">
      <c r="A1746" s="28"/>
      <c r="B1746" s="28"/>
      <c r="C1746" s="28"/>
      <c r="D1746" s="5"/>
      <c r="E1746" s="38"/>
      <c r="F1746" s="28"/>
      <c r="G1746" s="28"/>
      <c r="H1746" s="38"/>
      <c r="I1746" s="28"/>
      <c r="J1746" s="40"/>
      <c r="K1746" s="40"/>
      <c r="L1746" s="5"/>
      <c r="M1746" s="5"/>
      <c r="N1746" s="28"/>
      <c r="O1746" s="28"/>
      <c r="P1746" s="28"/>
      <c r="Q1746" s="28"/>
      <c r="R1746" s="28"/>
      <c r="S1746" s="28"/>
      <c r="T1746" s="28"/>
      <c r="V1746" s="28"/>
      <c r="W1746" s="5"/>
      <c r="X1746" s="5"/>
      <c r="Z1746" s="28"/>
      <c r="AA1746" s="28"/>
      <c r="AB1746" s="28"/>
      <c r="AC1746" s="28"/>
      <c r="AD1746" s="28"/>
      <c r="AE1746" s="28"/>
      <c r="AF1746" s="28"/>
      <c r="AG1746" s="28"/>
      <c r="AH1746" s="28"/>
      <c r="AI1746" s="28"/>
      <c r="AJ1746" s="28"/>
      <c r="AK1746" s="28"/>
      <c r="AL1746" s="28"/>
      <c r="AM1746" s="28"/>
      <c r="AN1746" s="28"/>
      <c r="AO1746" s="28"/>
      <c r="AP1746" s="28"/>
      <c r="AQ1746" s="28"/>
      <c r="AR1746" s="28"/>
      <c r="AS1746" s="28"/>
      <c r="AT1746" s="5"/>
      <c r="AU1746" s="28"/>
      <c r="AV1746" s="28"/>
      <c r="AX1746" s="28"/>
      <c r="AY1746" s="28"/>
      <c r="BA1746" s="28"/>
      <c r="BB1746" s="28"/>
      <c r="BF1746" s="28"/>
      <c r="BH1746" s="28"/>
      <c r="BI1746" s="28"/>
      <c r="BJ1746" s="38"/>
      <c r="BK1746" s="28"/>
    </row>
    <row r="1747" customFormat="false" ht="15.75" hidden="false" customHeight="false" outlineLevel="0" collapsed="false">
      <c r="A1747" s="28"/>
      <c r="B1747" s="28"/>
      <c r="C1747" s="28"/>
      <c r="D1747" s="5"/>
      <c r="E1747" s="38"/>
      <c r="F1747" s="28"/>
      <c r="G1747" s="28"/>
      <c r="H1747" s="38"/>
      <c r="I1747" s="28"/>
      <c r="J1747" s="40"/>
      <c r="K1747" s="40"/>
      <c r="L1747" s="5"/>
      <c r="M1747" s="5"/>
      <c r="N1747" s="28"/>
      <c r="O1747" s="28"/>
      <c r="P1747" s="28"/>
      <c r="Q1747" s="28"/>
      <c r="R1747" s="28"/>
      <c r="S1747" s="28"/>
      <c r="T1747" s="28"/>
      <c r="V1747" s="28"/>
      <c r="W1747" s="5"/>
      <c r="X1747" s="5"/>
      <c r="Z1747" s="28"/>
      <c r="AA1747" s="28"/>
      <c r="AB1747" s="28"/>
      <c r="AC1747" s="28"/>
      <c r="AD1747" s="28"/>
      <c r="AE1747" s="28"/>
      <c r="AF1747" s="28"/>
      <c r="AG1747" s="28"/>
      <c r="AH1747" s="28"/>
      <c r="AI1747" s="28"/>
      <c r="AJ1747" s="28"/>
      <c r="AK1747" s="28"/>
      <c r="AL1747" s="28"/>
      <c r="AM1747" s="28"/>
      <c r="AN1747" s="28"/>
      <c r="AO1747" s="28"/>
      <c r="AP1747" s="28"/>
      <c r="AQ1747" s="28"/>
      <c r="AR1747" s="28"/>
      <c r="AS1747" s="28"/>
      <c r="AT1747" s="5"/>
      <c r="AU1747" s="28"/>
      <c r="AV1747" s="28"/>
      <c r="AX1747" s="28"/>
      <c r="AY1747" s="28"/>
      <c r="BA1747" s="28"/>
      <c r="BB1747" s="28"/>
      <c r="BF1747" s="28"/>
      <c r="BH1747" s="28"/>
      <c r="BI1747" s="28"/>
      <c r="BJ1747" s="38"/>
      <c r="BK1747" s="28"/>
    </row>
    <row r="1748" customFormat="false" ht="15.75" hidden="false" customHeight="false" outlineLevel="0" collapsed="false">
      <c r="A1748" s="28"/>
      <c r="B1748" s="28"/>
      <c r="C1748" s="28"/>
      <c r="D1748" s="5"/>
      <c r="E1748" s="38"/>
      <c r="F1748" s="28"/>
      <c r="G1748" s="28"/>
      <c r="H1748" s="38"/>
      <c r="I1748" s="28"/>
      <c r="J1748" s="40"/>
      <c r="K1748" s="40"/>
      <c r="L1748" s="5"/>
      <c r="M1748" s="5"/>
      <c r="N1748" s="28"/>
      <c r="O1748" s="28"/>
      <c r="P1748" s="28"/>
      <c r="Q1748" s="28"/>
      <c r="R1748" s="28"/>
      <c r="S1748" s="28"/>
      <c r="T1748" s="28"/>
      <c r="V1748" s="28"/>
      <c r="W1748" s="5"/>
      <c r="X1748" s="5"/>
      <c r="Z1748" s="28"/>
      <c r="AA1748" s="28"/>
      <c r="AB1748" s="28"/>
      <c r="AC1748" s="28"/>
      <c r="AD1748" s="28"/>
      <c r="AE1748" s="28"/>
      <c r="AF1748" s="28"/>
      <c r="AG1748" s="28"/>
      <c r="AH1748" s="28"/>
      <c r="AI1748" s="28"/>
      <c r="AJ1748" s="28"/>
      <c r="AK1748" s="28"/>
      <c r="AL1748" s="28"/>
      <c r="AM1748" s="28"/>
      <c r="AN1748" s="28"/>
      <c r="AO1748" s="28"/>
      <c r="AP1748" s="28"/>
      <c r="AQ1748" s="28"/>
      <c r="AR1748" s="28"/>
      <c r="AS1748" s="28"/>
      <c r="AT1748" s="5"/>
      <c r="AU1748" s="28"/>
      <c r="AV1748" s="28"/>
      <c r="AX1748" s="28"/>
      <c r="AY1748" s="28"/>
      <c r="BA1748" s="28"/>
      <c r="BB1748" s="28"/>
      <c r="BF1748" s="28"/>
      <c r="BH1748" s="28"/>
      <c r="BI1748" s="28"/>
      <c r="BJ1748" s="38"/>
      <c r="BK1748" s="28"/>
    </row>
    <row r="1749" customFormat="false" ht="15.75" hidden="false" customHeight="false" outlineLevel="0" collapsed="false">
      <c r="A1749" s="28"/>
      <c r="B1749" s="28"/>
      <c r="C1749" s="28"/>
      <c r="D1749" s="5"/>
      <c r="E1749" s="38"/>
      <c r="F1749" s="28"/>
      <c r="G1749" s="28"/>
      <c r="H1749" s="38"/>
      <c r="I1749" s="28"/>
      <c r="J1749" s="40"/>
      <c r="K1749" s="40"/>
      <c r="L1749" s="5"/>
      <c r="M1749" s="5"/>
      <c r="N1749" s="28"/>
      <c r="O1749" s="28"/>
      <c r="P1749" s="28"/>
      <c r="Q1749" s="28"/>
      <c r="R1749" s="28"/>
      <c r="S1749" s="28"/>
      <c r="T1749" s="28"/>
      <c r="V1749" s="28"/>
      <c r="W1749" s="5"/>
      <c r="X1749" s="5"/>
      <c r="Z1749" s="28"/>
      <c r="AA1749" s="28"/>
      <c r="AB1749" s="28"/>
      <c r="AC1749" s="28"/>
      <c r="AD1749" s="28"/>
      <c r="AE1749" s="28"/>
      <c r="AF1749" s="28"/>
      <c r="AG1749" s="28"/>
      <c r="AH1749" s="28"/>
      <c r="AI1749" s="28"/>
      <c r="AJ1749" s="28"/>
      <c r="AK1749" s="28"/>
      <c r="AL1749" s="28"/>
      <c r="AM1749" s="28"/>
      <c r="AN1749" s="28"/>
      <c r="AO1749" s="28"/>
      <c r="AP1749" s="28"/>
      <c r="AQ1749" s="28"/>
      <c r="AR1749" s="28"/>
      <c r="AS1749" s="28"/>
      <c r="AT1749" s="5"/>
      <c r="AU1749" s="28"/>
      <c r="AV1749" s="28"/>
      <c r="AX1749" s="28"/>
      <c r="AY1749" s="28"/>
      <c r="BA1749" s="28"/>
      <c r="BB1749" s="28"/>
      <c r="BF1749" s="28"/>
      <c r="BH1749" s="28"/>
      <c r="BI1749" s="28"/>
      <c r="BJ1749" s="38"/>
      <c r="BK1749" s="28"/>
    </row>
    <row r="1750" customFormat="false" ht="15.75" hidden="false" customHeight="false" outlineLevel="0" collapsed="false">
      <c r="A1750" s="28"/>
      <c r="B1750" s="28"/>
      <c r="C1750" s="28"/>
      <c r="D1750" s="5"/>
      <c r="E1750" s="38"/>
      <c r="F1750" s="28"/>
      <c r="G1750" s="28"/>
      <c r="H1750" s="38"/>
      <c r="I1750" s="28"/>
      <c r="J1750" s="40"/>
      <c r="K1750" s="40"/>
      <c r="L1750" s="5"/>
      <c r="M1750" s="5"/>
      <c r="N1750" s="28"/>
      <c r="O1750" s="28"/>
      <c r="P1750" s="28"/>
      <c r="Q1750" s="28"/>
      <c r="R1750" s="28"/>
      <c r="S1750" s="28"/>
      <c r="T1750" s="28"/>
      <c r="V1750" s="28"/>
      <c r="W1750" s="5"/>
      <c r="X1750" s="5"/>
      <c r="Z1750" s="28"/>
      <c r="AA1750" s="28"/>
      <c r="AB1750" s="28"/>
      <c r="AC1750" s="28"/>
      <c r="AD1750" s="28"/>
      <c r="AE1750" s="28"/>
      <c r="AF1750" s="28"/>
      <c r="AG1750" s="28"/>
      <c r="AH1750" s="28"/>
      <c r="AI1750" s="28"/>
      <c r="AJ1750" s="28"/>
      <c r="AK1750" s="28"/>
      <c r="AL1750" s="28"/>
      <c r="AM1750" s="28"/>
      <c r="AN1750" s="28"/>
      <c r="AO1750" s="28"/>
      <c r="AP1750" s="28"/>
      <c r="AQ1750" s="28"/>
      <c r="AR1750" s="28"/>
      <c r="AS1750" s="28"/>
      <c r="AT1750" s="5"/>
      <c r="AU1750" s="28"/>
      <c r="AV1750" s="28"/>
      <c r="AX1750" s="28"/>
      <c r="AY1750" s="28"/>
      <c r="BA1750" s="28"/>
      <c r="BB1750" s="28"/>
      <c r="BF1750" s="28"/>
      <c r="BH1750" s="28"/>
      <c r="BI1750" s="28"/>
      <c r="BJ1750" s="38"/>
      <c r="BK1750" s="28"/>
    </row>
    <row r="1751" customFormat="false" ht="15.75" hidden="false" customHeight="false" outlineLevel="0" collapsed="false">
      <c r="A1751" s="28"/>
      <c r="B1751" s="28"/>
      <c r="C1751" s="28"/>
      <c r="D1751" s="5"/>
      <c r="E1751" s="38"/>
      <c r="F1751" s="28"/>
      <c r="G1751" s="28"/>
      <c r="H1751" s="38"/>
      <c r="I1751" s="28"/>
      <c r="J1751" s="40"/>
      <c r="K1751" s="40"/>
      <c r="L1751" s="5"/>
      <c r="M1751" s="5"/>
      <c r="N1751" s="28"/>
      <c r="O1751" s="28"/>
      <c r="P1751" s="28"/>
      <c r="Q1751" s="28"/>
      <c r="R1751" s="28"/>
      <c r="S1751" s="28"/>
      <c r="T1751" s="28"/>
      <c r="V1751" s="28"/>
      <c r="W1751" s="5"/>
      <c r="X1751" s="5"/>
      <c r="Z1751" s="28"/>
      <c r="AA1751" s="28"/>
      <c r="AB1751" s="28"/>
      <c r="AC1751" s="28"/>
      <c r="AD1751" s="28"/>
      <c r="AE1751" s="28"/>
      <c r="AF1751" s="28"/>
      <c r="AG1751" s="28"/>
      <c r="AH1751" s="28"/>
      <c r="AI1751" s="28"/>
      <c r="AJ1751" s="28"/>
      <c r="AK1751" s="28"/>
      <c r="AL1751" s="28"/>
      <c r="AM1751" s="28"/>
      <c r="AN1751" s="28"/>
      <c r="AO1751" s="28"/>
      <c r="AP1751" s="28"/>
      <c r="AQ1751" s="28"/>
      <c r="AR1751" s="28"/>
      <c r="AS1751" s="28"/>
      <c r="AT1751" s="5"/>
      <c r="AU1751" s="28"/>
      <c r="AV1751" s="28"/>
      <c r="AX1751" s="28"/>
      <c r="AY1751" s="28"/>
      <c r="BA1751" s="28"/>
      <c r="BB1751" s="28"/>
      <c r="BF1751" s="28"/>
      <c r="BH1751" s="28"/>
      <c r="BI1751" s="28"/>
      <c r="BJ1751" s="38"/>
      <c r="BK1751" s="28"/>
    </row>
    <row r="1752" customFormat="false" ht="15.75" hidden="false" customHeight="false" outlineLevel="0" collapsed="false">
      <c r="A1752" s="28"/>
      <c r="B1752" s="28"/>
      <c r="C1752" s="28"/>
      <c r="D1752" s="5"/>
      <c r="E1752" s="38"/>
      <c r="F1752" s="28"/>
      <c r="G1752" s="28"/>
      <c r="H1752" s="38"/>
      <c r="I1752" s="28"/>
      <c r="J1752" s="40"/>
      <c r="K1752" s="40"/>
      <c r="L1752" s="5"/>
      <c r="M1752" s="5"/>
      <c r="N1752" s="28"/>
      <c r="O1752" s="28"/>
      <c r="P1752" s="28"/>
      <c r="Q1752" s="28"/>
      <c r="R1752" s="28"/>
      <c r="S1752" s="28"/>
      <c r="T1752" s="28"/>
      <c r="V1752" s="28"/>
      <c r="W1752" s="5"/>
      <c r="X1752" s="5"/>
      <c r="Z1752" s="28"/>
      <c r="AA1752" s="28"/>
      <c r="AB1752" s="28"/>
      <c r="AC1752" s="28"/>
      <c r="AD1752" s="28"/>
      <c r="AE1752" s="28"/>
      <c r="AF1752" s="28"/>
      <c r="AG1752" s="28"/>
      <c r="AH1752" s="28"/>
      <c r="AI1752" s="28"/>
      <c r="AJ1752" s="28"/>
      <c r="AK1752" s="28"/>
      <c r="AL1752" s="28"/>
      <c r="AM1752" s="28"/>
      <c r="AN1752" s="28"/>
      <c r="AO1752" s="28"/>
      <c r="AP1752" s="28"/>
      <c r="AQ1752" s="28"/>
      <c r="AR1752" s="28"/>
      <c r="AS1752" s="28"/>
      <c r="AT1752" s="5"/>
      <c r="AU1752" s="28"/>
      <c r="AV1752" s="28"/>
      <c r="AX1752" s="28"/>
      <c r="AY1752" s="28"/>
      <c r="BA1752" s="28"/>
      <c r="BB1752" s="28"/>
      <c r="BF1752" s="28"/>
      <c r="BH1752" s="28"/>
      <c r="BI1752" s="28"/>
      <c r="BJ1752" s="38"/>
      <c r="BK1752" s="28"/>
    </row>
    <row r="1753" customFormat="false" ht="15.75" hidden="false" customHeight="false" outlineLevel="0" collapsed="false">
      <c r="A1753" s="28"/>
      <c r="B1753" s="28"/>
      <c r="C1753" s="28"/>
      <c r="D1753" s="5"/>
      <c r="E1753" s="38"/>
      <c r="F1753" s="28"/>
      <c r="G1753" s="28"/>
      <c r="H1753" s="38"/>
      <c r="I1753" s="28"/>
      <c r="J1753" s="40"/>
      <c r="K1753" s="40"/>
      <c r="L1753" s="5"/>
      <c r="M1753" s="5"/>
      <c r="N1753" s="28"/>
      <c r="O1753" s="28"/>
      <c r="P1753" s="28"/>
      <c r="Q1753" s="28"/>
      <c r="R1753" s="28"/>
      <c r="S1753" s="28"/>
      <c r="T1753" s="28"/>
      <c r="V1753" s="28"/>
      <c r="W1753" s="5"/>
      <c r="X1753" s="5"/>
      <c r="Z1753" s="28"/>
      <c r="AA1753" s="28"/>
      <c r="AB1753" s="28"/>
      <c r="AC1753" s="28"/>
      <c r="AD1753" s="28"/>
      <c r="AE1753" s="28"/>
      <c r="AF1753" s="28"/>
      <c r="AG1753" s="28"/>
      <c r="AH1753" s="28"/>
      <c r="AI1753" s="28"/>
      <c r="AJ1753" s="28"/>
      <c r="AK1753" s="28"/>
      <c r="AL1753" s="28"/>
      <c r="AM1753" s="28"/>
      <c r="AN1753" s="28"/>
      <c r="AO1753" s="28"/>
      <c r="AP1753" s="28"/>
      <c r="AQ1753" s="28"/>
      <c r="AR1753" s="28"/>
      <c r="AS1753" s="28"/>
      <c r="AT1753" s="5"/>
      <c r="AU1753" s="28"/>
      <c r="AV1753" s="28"/>
      <c r="AX1753" s="28"/>
      <c r="AY1753" s="28"/>
      <c r="BA1753" s="28"/>
      <c r="BB1753" s="28"/>
      <c r="BF1753" s="28"/>
      <c r="BH1753" s="28"/>
      <c r="BI1753" s="28"/>
      <c r="BJ1753" s="38"/>
      <c r="BK1753" s="28"/>
    </row>
    <row r="1754" customFormat="false" ht="15.75" hidden="false" customHeight="false" outlineLevel="0" collapsed="false">
      <c r="A1754" s="28"/>
      <c r="B1754" s="28"/>
      <c r="C1754" s="28"/>
      <c r="D1754" s="5"/>
      <c r="E1754" s="38"/>
      <c r="F1754" s="28"/>
      <c r="G1754" s="28"/>
      <c r="H1754" s="38"/>
      <c r="I1754" s="28"/>
      <c r="J1754" s="40"/>
      <c r="K1754" s="40"/>
      <c r="L1754" s="5"/>
      <c r="M1754" s="5"/>
      <c r="N1754" s="28"/>
      <c r="O1754" s="28"/>
      <c r="P1754" s="28"/>
      <c r="Q1754" s="28"/>
      <c r="R1754" s="28"/>
      <c r="S1754" s="28"/>
      <c r="T1754" s="28"/>
      <c r="V1754" s="28"/>
      <c r="W1754" s="5"/>
      <c r="X1754" s="5"/>
      <c r="Z1754" s="28"/>
      <c r="AA1754" s="28"/>
      <c r="AB1754" s="28"/>
      <c r="AC1754" s="28"/>
      <c r="AD1754" s="28"/>
      <c r="AE1754" s="28"/>
      <c r="AF1754" s="28"/>
      <c r="AG1754" s="28"/>
      <c r="AH1754" s="28"/>
      <c r="AI1754" s="28"/>
      <c r="AJ1754" s="28"/>
      <c r="AK1754" s="28"/>
      <c r="AL1754" s="28"/>
      <c r="AM1754" s="28"/>
      <c r="AN1754" s="28"/>
      <c r="AO1754" s="28"/>
      <c r="AP1754" s="28"/>
      <c r="AQ1754" s="28"/>
      <c r="AR1754" s="28"/>
      <c r="AS1754" s="28"/>
      <c r="AT1754" s="5"/>
      <c r="AU1754" s="28"/>
      <c r="AV1754" s="28"/>
      <c r="AX1754" s="28"/>
      <c r="AY1754" s="28"/>
      <c r="BA1754" s="28"/>
      <c r="BB1754" s="28"/>
      <c r="BF1754" s="28"/>
      <c r="BH1754" s="28"/>
      <c r="BI1754" s="28"/>
      <c r="BJ1754" s="38"/>
      <c r="BK1754" s="28"/>
    </row>
    <row r="1755" customFormat="false" ht="15.75" hidden="false" customHeight="false" outlineLevel="0" collapsed="false">
      <c r="A1755" s="28"/>
      <c r="B1755" s="28"/>
      <c r="C1755" s="28"/>
      <c r="D1755" s="5"/>
      <c r="E1755" s="38"/>
      <c r="F1755" s="28"/>
      <c r="G1755" s="28"/>
      <c r="H1755" s="38"/>
      <c r="I1755" s="28"/>
      <c r="J1755" s="40"/>
      <c r="K1755" s="40"/>
      <c r="L1755" s="5"/>
      <c r="M1755" s="5"/>
      <c r="N1755" s="28"/>
      <c r="O1755" s="28"/>
      <c r="P1755" s="28"/>
      <c r="Q1755" s="28"/>
      <c r="R1755" s="28"/>
      <c r="S1755" s="28"/>
      <c r="T1755" s="28"/>
      <c r="V1755" s="28"/>
      <c r="W1755" s="5"/>
      <c r="X1755" s="5"/>
      <c r="Z1755" s="28"/>
      <c r="AA1755" s="28"/>
      <c r="AB1755" s="28"/>
      <c r="AC1755" s="28"/>
      <c r="AD1755" s="28"/>
      <c r="AE1755" s="28"/>
      <c r="AF1755" s="28"/>
      <c r="AG1755" s="28"/>
      <c r="AH1755" s="28"/>
      <c r="AI1755" s="28"/>
      <c r="AJ1755" s="28"/>
      <c r="AK1755" s="28"/>
      <c r="AL1755" s="28"/>
      <c r="AM1755" s="28"/>
      <c r="AN1755" s="28"/>
      <c r="AO1755" s="28"/>
      <c r="AP1755" s="28"/>
      <c r="AQ1755" s="28"/>
      <c r="AR1755" s="28"/>
      <c r="AS1755" s="28"/>
      <c r="AT1755" s="5"/>
      <c r="AU1755" s="28"/>
      <c r="AV1755" s="28"/>
      <c r="AX1755" s="28"/>
      <c r="AY1755" s="28"/>
      <c r="BA1755" s="28"/>
      <c r="BB1755" s="28"/>
      <c r="BF1755" s="28"/>
      <c r="BH1755" s="28"/>
      <c r="BI1755" s="28"/>
      <c r="BJ1755" s="38"/>
      <c r="BK1755" s="28"/>
    </row>
    <row r="1756" customFormat="false" ht="15.75" hidden="false" customHeight="false" outlineLevel="0" collapsed="false">
      <c r="A1756" s="28"/>
      <c r="B1756" s="28"/>
      <c r="C1756" s="28"/>
      <c r="D1756" s="5"/>
      <c r="E1756" s="38"/>
      <c r="F1756" s="28"/>
      <c r="G1756" s="28"/>
      <c r="H1756" s="38"/>
      <c r="I1756" s="28"/>
      <c r="J1756" s="40"/>
      <c r="K1756" s="40"/>
      <c r="L1756" s="5"/>
      <c r="M1756" s="5"/>
      <c r="N1756" s="28"/>
      <c r="O1756" s="28"/>
      <c r="P1756" s="28"/>
      <c r="Q1756" s="28"/>
      <c r="R1756" s="28"/>
      <c r="S1756" s="28"/>
      <c r="T1756" s="28"/>
      <c r="V1756" s="28"/>
      <c r="W1756" s="5"/>
      <c r="X1756" s="5"/>
      <c r="Z1756" s="28"/>
      <c r="AA1756" s="28"/>
      <c r="AB1756" s="28"/>
      <c r="AC1756" s="28"/>
      <c r="AD1756" s="28"/>
      <c r="AE1756" s="28"/>
      <c r="AF1756" s="28"/>
      <c r="AG1756" s="28"/>
      <c r="AH1756" s="28"/>
      <c r="AI1756" s="28"/>
      <c r="AJ1756" s="28"/>
      <c r="AK1756" s="28"/>
      <c r="AL1756" s="28"/>
      <c r="AM1756" s="28"/>
      <c r="AN1756" s="28"/>
      <c r="AO1756" s="28"/>
      <c r="AP1756" s="28"/>
      <c r="AQ1756" s="28"/>
      <c r="AR1756" s="28"/>
      <c r="AS1756" s="28"/>
      <c r="AT1756" s="5"/>
      <c r="AU1756" s="28"/>
      <c r="AV1756" s="28"/>
      <c r="AX1756" s="28"/>
      <c r="AY1756" s="28"/>
      <c r="BA1756" s="28"/>
      <c r="BB1756" s="28"/>
      <c r="BF1756" s="28"/>
      <c r="BH1756" s="28"/>
      <c r="BI1756" s="28"/>
      <c r="BJ1756" s="38"/>
      <c r="BK1756" s="28"/>
    </row>
    <row r="1757" customFormat="false" ht="15.75" hidden="false" customHeight="false" outlineLevel="0" collapsed="false">
      <c r="A1757" s="28"/>
      <c r="B1757" s="28"/>
      <c r="C1757" s="28"/>
      <c r="D1757" s="5"/>
      <c r="E1757" s="38"/>
      <c r="F1757" s="28"/>
      <c r="G1757" s="28"/>
      <c r="H1757" s="38"/>
      <c r="I1757" s="28"/>
      <c r="J1757" s="40"/>
      <c r="K1757" s="40"/>
      <c r="L1757" s="5"/>
      <c r="M1757" s="5"/>
      <c r="N1757" s="28"/>
      <c r="O1757" s="28"/>
      <c r="P1757" s="28"/>
      <c r="Q1757" s="28"/>
      <c r="R1757" s="28"/>
      <c r="S1757" s="28"/>
      <c r="T1757" s="28"/>
      <c r="V1757" s="28"/>
      <c r="W1757" s="5"/>
      <c r="X1757" s="5"/>
      <c r="Z1757" s="28"/>
      <c r="AA1757" s="28"/>
      <c r="AB1757" s="28"/>
      <c r="AC1757" s="28"/>
      <c r="AD1757" s="28"/>
      <c r="AE1757" s="28"/>
      <c r="AF1757" s="28"/>
      <c r="AG1757" s="28"/>
      <c r="AH1757" s="28"/>
      <c r="AI1757" s="28"/>
      <c r="AJ1757" s="28"/>
      <c r="AK1757" s="28"/>
      <c r="AL1757" s="28"/>
      <c r="AM1757" s="28"/>
      <c r="AN1757" s="28"/>
      <c r="AO1757" s="28"/>
      <c r="AP1757" s="28"/>
      <c r="AQ1757" s="28"/>
      <c r="AR1757" s="28"/>
      <c r="AS1757" s="28"/>
      <c r="AT1757" s="5"/>
      <c r="AU1757" s="28"/>
      <c r="AV1757" s="28"/>
      <c r="AX1757" s="28"/>
      <c r="AY1757" s="28"/>
      <c r="BA1757" s="28"/>
      <c r="BB1757" s="28"/>
      <c r="BF1757" s="28"/>
      <c r="BH1757" s="28"/>
      <c r="BI1757" s="28"/>
      <c r="BJ1757" s="38"/>
      <c r="BK1757" s="28"/>
    </row>
    <row r="1758" customFormat="false" ht="15.75" hidden="false" customHeight="false" outlineLevel="0" collapsed="false">
      <c r="A1758" s="28"/>
      <c r="B1758" s="28"/>
      <c r="C1758" s="28"/>
      <c r="D1758" s="5"/>
      <c r="E1758" s="38"/>
      <c r="F1758" s="28"/>
      <c r="G1758" s="28"/>
      <c r="H1758" s="38"/>
      <c r="I1758" s="28"/>
      <c r="J1758" s="40"/>
      <c r="K1758" s="40"/>
      <c r="L1758" s="5"/>
      <c r="M1758" s="5"/>
      <c r="N1758" s="28"/>
      <c r="O1758" s="28"/>
      <c r="P1758" s="28"/>
      <c r="Q1758" s="28"/>
      <c r="R1758" s="28"/>
      <c r="S1758" s="28"/>
      <c r="T1758" s="28"/>
      <c r="V1758" s="28"/>
      <c r="W1758" s="5"/>
      <c r="X1758" s="5"/>
      <c r="Z1758" s="28"/>
      <c r="AA1758" s="28"/>
      <c r="AB1758" s="28"/>
      <c r="AC1758" s="28"/>
      <c r="AD1758" s="28"/>
      <c r="AE1758" s="28"/>
      <c r="AF1758" s="28"/>
      <c r="AG1758" s="28"/>
      <c r="AH1758" s="28"/>
      <c r="AI1758" s="28"/>
      <c r="AJ1758" s="28"/>
      <c r="AK1758" s="28"/>
      <c r="AL1758" s="28"/>
      <c r="AM1758" s="28"/>
      <c r="AN1758" s="28"/>
      <c r="AO1758" s="28"/>
      <c r="AP1758" s="28"/>
      <c r="AQ1758" s="28"/>
      <c r="AR1758" s="28"/>
      <c r="AS1758" s="28"/>
      <c r="AT1758" s="5"/>
      <c r="AU1758" s="28"/>
      <c r="AV1758" s="28"/>
      <c r="AX1758" s="28"/>
      <c r="AY1758" s="28"/>
      <c r="BA1758" s="28"/>
      <c r="BB1758" s="28"/>
      <c r="BF1758" s="28"/>
      <c r="BH1758" s="28"/>
      <c r="BI1758" s="28"/>
      <c r="BJ1758" s="38"/>
      <c r="BK1758" s="28"/>
    </row>
    <row r="1759" customFormat="false" ht="15.75" hidden="false" customHeight="false" outlineLevel="0" collapsed="false">
      <c r="A1759" s="28"/>
      <c r="B1759" s="28"/>
      <c r="C1759" s="28"/>
      <c r="D1759" s="5"/>
      <c r="E1759" s="38"/>
      <c r="F1759" s="28"/>
      <c r="G1759" s="28"/>
      <c r="H1759" s="38"/>
      <c r="I1759" s="28"/>
      <c r="J1759" s="40"/>
      <c r="K1759" s="40"/>
      <c r="L1759" s="5"/>
      <c r="M1759" s="5"/>
      <c r="N1759" s="28"/>
      <c r="O1759" s="28"/>
      <c r="P1759" s="28"/>
      <c r="Q1759" s="28"/>
      <c r="R1759" s="28"/>
      <c r="S1759" s="28"/>
      <c r="T1759" s="28"/>
      <c r="V1759" s="28"/>
      <c r="W1759" s="5"/>
      <c r="X1759" s="5"/>
      <c r="Z1759" s="28"/>
      <c r="AA1759" s="28"/>
      <c r="AB1759" s="28"/>
      <c r="AC1759" s="28"/>
      <c r="AD1759" s="28"/>
      <c r="AE1759" s="28"/>
      <c r="AF1759" s="28"/>
      <c r="AG1759" s="28"/>
      <c r="AH1759" s="28"/>
      <c r="AI1759" s="28"/>
      <c r="AJ1759" s="28"/>
      <c r="AK1759" s="28"/>
      <c r="AL1759" s="28"/>
      <c r="AM1759" s="28"/>
      <c r="AN1759" s="28"/>
      <c r="AO1759" s="28"/>
      <c r="AP1759" s="28"/>
      <c r="AQ1759" s="28"/>
      <c r="AR1759" s="28"/>
      <c r="AS1759" s="28"/>
      <c r="AT1759" s="5"/>
      <c r="AU1759" s="28"/>
      <c r="AV1759" s="28"/>
      <c r="AX1759" s="28"/>
      <c r="AY1759" s="28"/>
      <c r="BA1759" s="28"/>
      <c r="BB1759" s="28"/>
      <c r="BF1759" s="28"/>
      <c r="BH1759" s="28"/>
      <c r="BI1759" s="28"/>
      <c r="BJ1759" s="38"/>
      <c r="BK1759" s="28"/>
    </row>
    <row r="1760" customFormat="false" ht="15.75" hidden="false" customHeight="false" outlineLevel="0" collapsed="false">
      <c r="A1760" s="28"/>
      <c r="B1760" s="28"/>
      <c r="C1760" s="28"/>
      <c r="D1760" s="5"/>
      <c r="E1760" s="38"/>
      <c r="F1760" s="28"/>
      <c r="G1760" s="28"/>
      <c r="H1760" s="38"/>
      <c r="I1760" s="28"/>
      <c r="J1760" s="40"/>
      <c r="K1760" s="40"/>
      <c r="L1760" s="5"/>
      <c r="M1760" s="5"/>
      <c r="N1760" s="28"/>
      <c r="O1760" s="28"/>
      <c r="P1760" s="28"/>
      <c r="Q1760" s="28"/>
      <c r="R1760" s="28"/>
      <c r="S1760" s="28"/>
      <c r="T1760" s="28"/>
      <c r="V1760" s="28"/>
      <c r="W1760" s="5"/>
      <c r="X1760" s="5"/>
      <c r="Z1760" s="28"/>
      <c r="AA1760" s="28"/>
      <c r="AB1760" s="28"/>
      <c r="AC1760" s="28"/>
      <c r="AD1760" s="28"/>
      <c r="AE1760" s="28"/>
      <c r="AF1760" s="28"/>
      <c r="AG1760" s="28"/>
      <c r="AH1760" s="28"/>
      <c r="AI1760" s="28"/>
      <c r="AJ1760" s="28"/>
      <c r="AK1760" s="28"/>
      <c r="AL1760" s="28"/>
      <c r="AM1760" s="28"/>
      <c r="AN1760" s="28"/>
      <c r="AO1760" s="28"/>
      <c r="AP1760" s="28"/>
      <c r="AQ1760" s="28"/>
      <c r="AR1760" s="28"/>
      <c r="AS1760" s="28"/>
      <c r="AT1760" s="5"/>
      <c r="AU1760" s="28"/>
      <c r="AV1760" s="28"/>
      <c r="AX1760" s="28"/>
      <c r="AY1760" s="28"/>
      <c r="BA1760" s="28"/>
      <c r="BB1760" s="28"/>
      <c r="BF1760" s="28"/>
      <c r="BH1760" s="28"/>
      <c r="BI1760" s="28"/>
      <c r="BJ1760" s="38"/>
      <c r="BK1760" s="28"/>
    </row>
    <row r="1761" customFormat="false" ht="15.75" hidden="false" customHeight="false" outlineLevel="0" collapsed="false">
      <c r="A1761" s="28"/>
      <c r="B1761" s="28"/>
      <c r="C1761" s="28"/>
      <c r="D1761" s="5"/>
      <c r="E1761" s="38"/>
      <c r="F1761" s="28"/>
      <c r="G1761" s="28"/>
      <c r="H1761" s="38"/>
      <c r="I1761" s="28"/>
      <c r="J1761" s="40"/>
      <c r="K1761" s="40"/>
      <c r="L1761" s="5"/>
      <c r="M1761" s="5"/>
      <c r="N1761" s="28"/>
      <c r="O1761" s="28"/>
      <c r="P1761" s="28"/>
      <c r="Q1761" s="28"/>
      <c r="R1761" s="28"/>
      <c r="S1761" s="28"/>
      <c r="T1761" s="28"/>
      <c r="V1761" s="28"/>
      <c r="W1761" s="5"/>
      <c r="X1761" s="5"/>
      <c r="Z1761" s="28"/>
      <c r="AA1761" s="28"/>
      <c r="AB1761" s="28"/>
      <c r="AC1761" s="28"/>
      <c r="AD1761" s="28"/>
      <c r="AE1761" s="28"/>
      <c r="AF1761" s="28"/>
      <c r="AG1761" s="28"/>
      <c r="AH1761" s="28"/>
      <c r="AI1761" s="28"/>
      <c r="AJ1761" s="28"/>
      <c r="AK1761" s="28"/>
      <c r="AL1761" s="28"/>
      <c r="AM1761" s="28"/>
      <c r="AN1761" s="28"/>
      <c r="AO1761" s="28"/>
      <c r="AP1761" s="28"/>
      <c r="AQ1761" s="28"/>
      <c r="AR1761" s="28"/>
      <c r="AS1761" s="28"/>
      <c r="AT1761" s="5"/>
      <c r="AU1761" s="28"/>
      <c r="AV1761" s="28"/>
      <c r="AX1761" s="28"/>
      <c r="AY1761" s="28"/>
      <c r="BA1761" s="28"/>
      <c r="BB1761" s="28"/>
      <c r="BF1761" s="28"/>
      <c r="BH1761" s="28"/>
      <c r="BI1761" s="28"/>
      <c r="BJ1761" s="38"/>
      <c r="BK1761" s="28"/>
    </row>
    <row r="1762" customFormat="false" ht="15.75" hidden="false" customHeight="false" outlineLevel="0" collapsed="false">
      <c r="A1762" s="28"/>
      <c r="B1762" s="28"/>
      <c r="C1762" s="28"/>
      <c r="D1762" s="5"/>
      <c r="E1762" s="38"/>
      <c r="F1762" s="28"/>
      <c r="G1762" s="28"/>
      <c r="H1762" s="38"/>
      <c r="I1762" s="28"/>
      <c r="J1762" s="40"/>
      <c r="K1762" s="40"/>
      <c r="L1762" s="5"/>
      <c r="M1762" s="5"/>
      <c r="N1762" s="28"/>
      <c r="O1762" s="28"/>
      <c r="P1762" s="28"/>
      <c r="Q1762" s="28"/>
      <c r="R1762" s="28"/>
      <c r="S1762" s="28"/>
      <c r="T1762" s="28"/>
      <c r="V1762" s="28"/>
      <c r="W1762" s="5"/>
      <c r="X1762" s="5"/>
      <c r="Z1762" s="28"/>
      <c r="AA1762" s="28"/>
      <c r="AB1762" s="28"/>
      <c r="AC1762" s="28"/>
      <c r="AD1762" s="28"/>
      <c r="AE1762" s="28"/>
      <c r="AF1762" s="28"/>
      <c r="AG1762" s="28"/>
      <c r="AH1762" s="28"/>
      <c r="AI1762" s="28"/>
      <c r="AJ1762" s="28"/>
      <c r="AK1762" s="28"/>
      <c r="AL1762" s="28"/>
      <c r="AM1762" s="28"/>
      <c r="AN1762" s="28"/>
      <c r="AO1762" s="28"/>
      <c r="AP1762" s="28"/>
      <c r="AQ1762" s="28"/>
      <c r="AR1762" s="28"/>
      <c r="AS1762" s="28"/>
      <c r="AT1762" s="5"/>
      <c r="AU1762" s="28"/>
      <c r="AV1762" s="28"/>
      <c r="AX1762" s="28"/>
      <c r="AY1762" s="28"/>
      <c r="BA1762" s="28"/>
      <c r="BB1762" s="28"/>
      <c r="BF1762" s="28"/>
      <c r="BH1762" s="28"/>
      <c r="BI1762" s="28"/>
      <c r="BJ1762" s="38"/>
      <c r="BK1762" s="28"/>
    </row>
    <row r="1763" customFormat="false" ht="15.75" hidden="false" customHeight="false" outlineLevel="0" collapsed="false">
      <c r="A1763" s="28"/>
      <c r="B1763" s="28"/>
      <c r="C1763" s="28"/>
      <c r="D1763" s="5"/>
      <c r="E1763" s="38"/>
      <c r="F1763" s="28"/>
      <c r="G1763" s="28"/>
      <c r="H1763" s="38"/>
      <c r="I1763" s="28"/>
      <c r="J1763" s="40"/>
      <c r="K1763" s="40"/>
      <c r="L1763" s="5"/>
      <c r="M1763" s="5"/>
      <c r="N1763" s="28"/>
      <c r="O1763" s="28"/>
      <c r="P1763" s="28"/>
      <c r="Q1763" s="28"/>
      <c r="R1763" s="28"/>
      <c r="S1763" s="28"/>
      <c r="T1763" s="28"/>
      <c r="V1763" s="28"/>
      <c r="W1763" s="5"/>
      <c r="X1763" s="5"/>
      <c r="Z1763" s="28"/>
      <c r="AA1763" s="28"/>
      <c r="AB1763" s="28"/>
      <c r="AC1763" s="28"/>
      <c r="AD1763" s="28"/>
      <c r="AE1763" s="28"/>
      <c r="AF1763" s="28"/>
      <c r="AG1763" s="28"/>
      <c r="AH1763" s="28"/>
      <c r="AI1763" s="28"/>
      <c r="AJ1763" s="28"/>
      <c r="AK1763" s="28"/>
      <c r="AL1763" s="28"/>
      <c r="AM1763" s="28"/>
      <c r="AN1763" s="28"/>
      <c r="AO1763" s="28"/>
      <c r="AP1763" s="28"/>
      <c r="AQ1763" s="28"/>
      <c r="AR1763" s="28"/>
      <c r="AS1763" s="28"/>
      <c r="AT1763" s="5"/>
      <c r="AU1763" s="28"/>
      <c r="AV1763" s="28"/>
      <c r="AX1763" s="28"/>
      <c r="AY1763" s="28"/>
      <c r="BA1763" s="28"/>
      <c r="BB1763" s="28"/>
      <c r="BF1763" s="28"/>
      <c r="BH1763" s="28"/>
      <c r="BI1763" s="28"/>
      <c r="BJ1763" s="38"/>
      <c r="BK1763" s="28"/>
    </row>
    <row r="1764" customFormat="false" ht="15.75" hidden="false" customHeight="false" outlineLevel="0" collapsed="false">
      <c r="A1764" s="28"/>
      <c r="B1764" s="28"/>
      <c r="C1764" s="28"/>
      <c r="D1764" s="5"/>
      <c r="E1764" s="38"/>
      <c r="F1764" s="28"/>
      <c r="G1764" s="28"/>
      <c r="H1764" s="38"/>
      <c r="I1764" s="28"/>
      <c r="J1764" s="40"/>
      <c r="K1764" s="40"/>
      <c r="L1764" s="5"/>
      <c r="M1764" s="5"/>
      <c r="N1764" s="28"/>
      <c r="O1764" s="28"/>
      <c r="P1764" s="28"/>
      <c r="Q1764" s="28"/>
      <c r="R1764" s="28"/>
      <c r="S1764" s="28"/>
      <c r="T1764" s="28"/>
      <c r="V1764" s="28"/>
      <c r="W1764" s="5"/>
      <c r="X1764" s="5"/>
      <c r="Z1764" s="28"/>
      <c r="AA1764" s="28"/>
      <c r="AB1764" s="28"/>
      <c r="AC1764" s="28"/>
      <c r="AD1764" s="28"/>
      <c r="AE1764" s="28"/>
      <c r="AF1764" s="28"/>
      <c r="AG1764" s="28"/>
      <c r="AH1764" s="28"/>
      <c r="AI1764" s="28"/>
      <c r="AJ1764" s="28"/>
      <c r="AK1764" s="28"/>
      <c r="AL1764" s="28"/>
      <c r="AM1764" s="28"/>
      <c r="AN1764" s="28"/>
      <c r="AO1764" s="28"/>
      <c r="AP1764" s="28"/>
      <c r="AQ1764" s="28"/>
      <c r="AR1764" s="28"/>
      <c r="AS1764" s="28"/>
      <c r="AT1764" s="5"/>
      <c r="AU1764" s="28"/>
      <c r="AV1764" s="28"/>
      <c r="AX1764" s="28"/>
      <c r="AY1764" s="28"/>
      <c r="BA1764" s="28"/>
      <c r="BB1764" s="28"/>
      <c r="BF1764" s="28"/>
      <c r="BH1764" s="28"/>
      <c r="BI1764" s="28"/>
      <c r="BJ1764" s="38"/>
      <c r="BK1764" s="28"/>
    </row>
    <row r="1765" customFormat="false" ht="15.75" hidden="false" customHeight="false" outlineLevel="0" collapsed="false">
      <c r="A1765" s="28"/>
      <c r="B1765" s="28"/>
      <c r="C1765" s="28"/>
      <c r="D1765" s="5"/>
      <c r="E1765" s="38"/>
      <c r="F1765" s="28"/>
      <c r="G1765" s="28"/>
      <c r="H1765" s="38"/>
      <c r="I1765" s="28"/>
      <c r="J1765" s="40"/>
      <c r="K1765" s="40"/>
      <c r="L1765" s="5"/>
      <c r="M1765" s="5"/>
      <c r="N1765" s="28"/>
      <c r="O1765" s="28"/>
      <c r="P1765" s="28"/>
      <c r="Q1765" s="28"/>
      <c r="R1765" s="28"/>
      <c r="S1765" s="28"/>
      <c r="T1765" s="28"/>
      <c r="V1765" s="28"/>
      <c r="W1765" s="5"/>
      <c r="X1765" s="5"/>
      <c r="Z1765" s="28"/>
      <c r="AA1765" s="28"/>
      <c r="AB1765" s="28"/>
      <c r="AC1765" s="28"/>
      <c r="AD1765" s="28"/>
      <c r="AE1765" s="28"/>
      <c r="AF1765" s="28"/>
      <c r="AG1765" s="28"/>
      <c r="AH1765" s="28"/>
      <c r="AI1765" s="28"/>
      <c r="AJ1765" s="28"/>
      <c r="AK1765" s="28"/>
      <c r="AL1765" s="28"/>
      <c r="AM1765" s="28"/>
      <c r="AN1765" s="28"/>
      <c r="AO1765" s="28"/>
      <c r="AP1765" s="28"/>
      <c r="AQ1765" s="28"/>
      <c r="AR1765" s="28"/>
      <c r="AS1765" s="28"/>
      <c r="AT1765" s="5"/>
      <c r="AU1765" s="28"/>
      <c r="AV1765" s="28"/>
      <c r="AX1765" s="28"/>
      <c r="AY1765" s="28"/>
      <c r="BA1765" s="28"/>
      <c r="BB1765" s="28"/>
      <c r="BF1765" s="28"/>
      <c r="BH1765" s="28"/>
      <c r="BI1765" s="28"/>
      <c r="BJ1765" s="38"/>
      <c r="BK1765" s="28"/>
    </row>
    <row r="1766" customFormat="false" ht="15.75" hidden="false" customHeight="false" outlineLevel="0" collapsed="false">
      <c r="A1766" s="28"/>
      <c r="B1766" s="28"/>
      <c r="C1766" s="28"/>
      <c r="D1766" s="5"/>
      <c r="E1766" s="38"/>
      <c r="F1766" s="28"/>
      <c r="G1766" s="28"/>
      <c r="H1766" s="38"/>
      <c r="I1766" s="28"/>
      <c r="J1766" s="40"/>
      <c r="K1766" s="40"/>
      <c r="L1766" s="5"/>
      <c r="M1766" s="5"/>
      <c r="N1766" s="28"/>
      <c r="O1766" s="28"/>
      <c r="P1766" s="28"/>
      <c r="Q1766" s="28"/>
      <c r="R1766" s="28"/>
      <c r="S1766" s="28"/>
      <c r="T1766" s="28"/>
      <c r="V1766" s="28"/>
      <c r="W1766" s="5"/>
      <c r="X1766" s="5"/>
      <c r="Z1766" s="28"/>
      <c r="AA1766" s="28"/>
      <c r="AB1766" s="28"/>
      <c r="AC1766" s="28"/>
      <c r="AD1766" s="28"/>
      <c r="AE1766" s="28"/>
      <c r="AF1766" s="28"/>
      <c r="AG1766" s="28"/>
      <c r="AH1766" s="28"/>
      <c r="AI1766" s="28"/>
      <c r="AJ1766" s="28"/>
      <c r="AK1766" s="28"/>
      <c r="AL1766" s="28"/>
      <c r="AM1766" s="28"/>
      <c r="AN1766" s="28"/>
      <c r="AO1766" s="28"/>
      <c r="AP1766" s="28"/>
      <c r="AQ1766" s="28"/>
      <c r="AR1766" s="28"/>
      <c r="AS1766" s="28"/>
      <c r="AT1766" s="5"/>
      <c r="AU1766" s="28"/>
      <c r="AV1766" s="28"/>
      <c r="AX1766" s="28"/>
      <c r="AY1766" s="28"/>
      <c r="BA1766" s="28"/>
      <c r="BB1766" s="28"/>
      <c r="BF1766" s="28"/>
      <c r="BH1766" s="28"/>
      <c r="BI1766" s="28"/>
      <c r="BJ1766" s="38"/>
      <c r="BK1766" s="28"/>
    </row>
    <row r="1767" customFormat="false" ht="15.75" hidden="false" customHeight="false" outlineLevel="0" collapsed="false">
      <c r="A1767" s="28"/>
      <c r="B1767" s="28"/>
      <c r="C1767" s="28"/>
      <c r="D1767" s="5"/>
      <c r="E1767" s="38"/>
      <c r="F1767" s="28"/>
      <c r="G1767" s="28"/>
      <c r="H1767" s="38"/>
      <c r="I1767" s="28"/>
      <c r="J1767" s="40"/>
      <c r="K1767" s="40"/>
      <c r="L1767" s="5"/>
      <c r="M1767" s="5"/>
      <c r="N1767" s="28"/>
      <c r="O1767" s="28"/>
      <c r="P1767" s="28"/>
      <c r="Q1767" s="28"/>
      <c r="R1767" s="28"/>
      <c r="S1767" s="28"/>
      <c r="T1767" s="28"/>
      <c r="V1767" s="28"/>
      <c r="W1767" s="5"/>
      <c r="X1767" s="5"/>
      <c r="Z1767" s="28"/>
      <c r="AA1767" s="28"/>
      <c r="AB1767" s="28"/>
      <c r="AC1767" s="28"/>
      <c r="AD1767" s="28"/>
      <c r="AE1767" s="28"/>
      <c r="AF1767" s="28"/>
      <c r="AG1767" s="28"/>
      <c r="AH1767" s="28"/>
      <c r="AI1767" s="28"/>
      <c r="AJ1767" s="28"/>
      <c r="AK1767" s="28"/>
      <c r="AL1767" s="28"/>
      <c r="AM1767" s="28"/>
      <c r="AN1767" s="28"/>
      <c r="AO1767" s="28"/>
      <c r="AP1767" s="28"/>
      <c r="AQ1767" s="28"/>
      <c r="AR1767" s="28"/>
      <c r="AS1767" s="28"/>
      <c r="AT1767" s="5"/>
      <c r="AU1767" s="28"/>
      <c r="AV1767" s="28"/>
      <c r="AX1767" s="28"/>
      <c r="AY1767" s="28"/>
      <c r="BA1767" s="28"/>
      <c r="BB1767" s="28"/>
      <c r="BF1767" s="28"/>
      <c r="BH1767" s="28"/>
      <c r="BI1767" s="28"/>
      <c r="BJ1767" s="38"/>
      <c r="BK1767" s="28"/>
    </row>
    <row r="1768" customFormat="false" ht="15.75" hidden="false" customHeight="false" outlineLevel="0" collapsed="false">
      <c r="A1768" s="28"/>
      <c r="B1768" s="28"/>
      <c r="C1768" s="28"/>
      <c r="D1768" s="5"/>
      <c r="E1768" s="38"/>
      <c r="F1768" s="28"/>
      <c r="G1768" s="28"/>
      <c r="H1768" s="38"/>
      <c r="I1768" s="28"/>
      <c r="J1768" s="40"/>
      <c r="K1768" s="40"/>
      <c r="L1768" s="5"/>
      <c r="M1768" s="5"/>
      <c r="N1768" s="28"/>
      <c r="O1768" s="28"/>
      <c r="P1768" s="28"/>
      <c r="Q1768" s="28"/>
      <c r="R1768" s="28"/>
      <c r="S1768" s="28"/>
      <c r="T1768" s="28"/>
      <c r="V1768" s="28"/>
      <c r="W1768" s="5"/>
      <c r="X1768" s="5"/>
      <c r="Z1768" s="28"/>
      <c r="AA1768" s="28"/>
      <c r="AB1768" s="28"/>
      <c r="AC1768" s="28"/>
      <c r="AD1768" s="28"/>
      <c r="AE1768" s="28"/>
      <c r="AF1768" s="28"/>
      <c r="AG1768" s="28"/>
      <c r="AH1768" s="28"/>
      <c r="AI1768" s="28"/>
      <c r="AJ1768" s="28"/>
      <c r="AK1768" s="28"/>
      <c r="AL1768" s="28"/>
      <c r="AM1768" s="28"/>
      <c r="AN1768" s="28"/>
      <c r="AO1768" s="28"/>
      <c r="AP1768" s="28"/>
      <c r="AQ1768" s="28"/>
      <c r="AR1768" s="28"/>
      <c r="AS1768" s="28"/>
      <c r="AT1768" s="5"/>
      <c r="AU1768" s="28"/>
      <c r="AV1768" s="28"/>
      <c r="AX1768" s="28"/>
      <c r="AY1768" s="28"/>
      <c r="BA1768" s="28"/>
      <c r="BB1768" s="28"/>
      <c r="BF1768" s="28"/>
      <c r="BH1768" s="28"/>
      <c r="BI1768" s="28"/>
      <c r="BJ1768" s="38"/>
      <c r="BK1768" s="28"/>
    </row>
    <row r="1769" customFormat="false" ht="15.75" hidden="false" customHeight="false" outlineLevel="0" collapsed="false">
      <c r="A1769" s="28"/>
      <c r="B1769" s="28"/>
      <c r="C1769" s="28"/>
      <c r="D1769" s="5"/>
      <c r="E1769" s="38"/>
      <c r="F1769" s="28"/>
      <c r="G1769" s="28"/>
      <c r="H1769" s="38"/>
      <c r="I1769" s="28"/>
      <c r="J1769" s="40"/>
      <c r="K1769" s="40"/>
      <c r="L1769" s="5"/>
      <c r="M1769" s="5"/>
      <c r="N1769" s="28"/>
      <c r="O1769" s="28"/>
      <c r="P1769" s="28"/>
      <c r="Q1769" s="28"/>
      <c r="R1769" s="28"/>
      <c r="S1769" s="28"/>
      <c r="T1769" s="28"/>
      <c r="V1769" s="28"/>
      <c r="W1769" s="5"/>
      <c r="X1769" s="5"/>
      <c r="Z1769" s="28"/>
      <c r="AA1769" s="28"/>
      <c r="AB1769" s="28"/>
      <c r="AC1769" s="28"/>
      <c r="AD1769" s="28"/>
      <c r="AE1769" s="28"/>
      <c r="AF1769" s="28"/>
      <c r="AG1769" s="28"/>
      <c r="AH1769" s="28"/>
      <c r="AI1769" s="28"/>
      <c r="AJ1769" s="28"/>
      <c r="AK1769" s="28"/>
      <c r="AL1769" s="28"/>
      <c r="AM1769" s="28"/>
      <c r="AN1769" s="28"/>
      <c r="AO1769" s="28"/>
      <c r="AP1769" s="28"/>
      <c r="AQ1769" s="28"/>
      <c r="AR1769" s="28"/>
      <c r="AS1769" s="28"/>
      <c r="AT1769" s="5"/>
      <c r="AU1769" s="28"/>
      <c r="AV1769" s="28"/>
      <c r="AX1769" s="28"/>
      <c r="AY1769" s="28"/>
      <c r="BA1769" s="28"/>
      <c r="BB1769" s="28"/>
      <c r="BF1769" s="28"/>
      <c r="BH1769" s="28"/>
      <c r="BI1769" s="28"/>
      <c r="BJ1769" s="38"/>
      <c r="BK1769" s="28"/>
    </row>
    <row r="1770" customFormat="false" ht="15.75" hidden="false" customHeight="false" outlineLevel="0" collapsed="false">
      <c r="A1770" s="28"/>
      <c r="B1770" s="28"/>
      <c r="C1770" s="28"/>
      <c r="D1770" s="5"/>
      <c r="E1770" s="38"/>
      <c r="F1770" s="28"/>
      <c r="G1770" s="28"/>
      <c r="H1770" s="38"/>
      <c r="I1770" s="28"/>
      <c r="J1770" s="40"/>
      <c r="K1770" s="40"/>
      <c r="L1770" s="5"/>
      <c r="M1770" s="5"/>
      <c r="N1770" s="28"/>
      <c r="O1770" s="28"/>
      <c r="P1770" s="28"/>
      <c r="Q1770" s="28"/>
      <c r="R1770" s="28"/>
      <c r="S1770" s="28"/>
      <c r="T1770" s="28"/>
      <c r="V1770" s="28"/>
      <c r="W1770" s="5"/>
      <c r="X1770" s="5"/>
      <c r="Z1770" s="28"/>
      <c r="AA1770" s="28"/>
      <c r="AB1770" s="28"/>
      <c r="AC1770" s="28"/>
      <c r="AD1770" s="28"/>
      <c r="AE1770" s="28"/>
      <c r="AF1770" s="28"/>
      <c r="AG1770" s="28"/>
      <c r="AH1770" s="28"/>
      <c r="AI1770" s="28"/>
      <c r="AJ1770" s="28"/>
      <c r="AK1770" s="28"/>
      <c r="AL1770" s="28"/>
      <c r="AM1770" s="28"/>
      <c r="AN1770" s="28"/>
      <c r="AO1770" s="28"/>
      <c r="AP1770" s="28"/>
      <c r="AQ1770" s="28"/>
      <c r="AR1770" s="28"/>
      <c r="AS1770" s="28"/>
      <c r="AT1770" s="5"/>
      <c r="AU1770" s="28"/>
      <c r="AV1770" s="28"/>
      <c r="AX1770" s="28"/>
      <c r="AY1770" s="28"/>
      <c r="BA1770" s="28"/>
      <c r="BB1770" s="28"/>
      <c r="BF1770" s="28"/>
      <c r="BH1770" s="28"/>
      <c r="BI1770" s="28"/>
      <c r="BJ1770" s="38"/>
      <c r="BK1770" s="28"/>
    </row>
    <row r="1771" customFormat="false" ht="15.75" hidden="false" customHeight="false" outlineLevel="0" collapsed="false">
      <c r="A1771" s="28"/>
      <c r="B1771" s="28"/>
      <c r="C1771" s="28"/>
      <c r="D1771" s="5"/>
      <c r="E1771" s="38"/>
      <c r="F1771" s="28"/>
      <c r="G1771" s="28"/>
      <c r="H1771" s="38"/>
      <c r="I1771" s="28"/>
      <c r="J1771" s="40"/>
      <c r="K1771" s="40"/>
      <c r="L1771" s="5"/>
      <c r="M1771" s="5"/>
      <c r="N1771" s="28"/>
      <c r="O1771" s="28"/>
      <c r="P1771" s="28"/>
      <c r="Q1771" s="28"/>
      <c r="R1771" s="28"/>
      <c r="S1771" s="28"/>
      <c r="T1771" s="28"/>
      <c r="V1771" s="28"/>
      <c r="W1771" s="5"/>
      <c r="X1771" s="5"/>
      <c r="Z1771" s="28"/>
      <c r="AA1771" s="28"/>
      <c r="AB1771" s="28"/>
      <c r="AC1771" s="28"/>
      <c r="AD1771" s="28"/>
      <c r="AE1771" s="28"/>
      <c r="AF1771" s="28"/>
      <c r="AG1771" s="28"/>
      <c r="AH1771" s="28"/>
      <c r="AI1771" s="28"/>
      <c r="AJ1771" s="28"/>
      <c r="AK1771" s="28"/>
      <c r="AL1771" s="28"/>
      <c r="AM1771" s="28"/>
      <c r="AN1771" s="28"/>
      <c r="AO1771" s="28"/>
      <c r="AP1771" s="28"/>
      <c r="AQ1771" s="28"/>
      <c r="AR1771" s="28"/>
      <c r="AS1771" s="28"/>
      <c r="AT1771" s="5"/>
      <c r="AU1771" s="28"/>
      <c r="AV1771" s="28"/>
      <c r="AX1771" s="28"/>
      <c r="AY1771" s="28"/>
      <c r="BA1771" s="28"/>
      <c r="BB1771" s="28"/>
      <c r="BF1771" s="28"/>
      <c r="BH1771" s="28"/>
      <c r="BI1771" s="28"/>
      <c r="BJ1771" s="38"/>
      <c r="BK1771" s="28"/>
    </row>
    <row r="1772" customFormat="false" ht="15.75" hidden="false" customHeight="false" outlineLevel="0" collapsed="false">
      <c r="A1772" s="28"/>
      <c r="B1772" s="28"/>
      <c r="C1772" s="28"/>
      <c r="D1772" s="5"/>
      <c r="E1772" s="38"/>
      <c r="F1772" s="28"/>
      <c r="G1772" s="28"/>
      <c r="H1772" s="38"/>
      <c r="I1772" s="28"/>
      <c r="J1772" s="40"/>
      <c r="K1772" s="40"/>
      <c r="L1772" s="5"/>
      <c r="M1772" s="5"/>
      <c r="N1772" s="28"/>
      <c r="O1772" s="28"/>
      <c r="P1772" s="28"/>
      <c r="Q1772" s="28"/>
      <c r="R1772" s="28"/>
      <c r="S1772" s="28"/>
      <c r="T1772" s="28"/>
      <c r="V1772" s="28"/>
      <c r="W1772" s="5"/>
      <c r="X1772" s="5"/>
      <c r="Z1772" s="28"/>
      <c r="AA1772" s="28"/>
      <c r="AB1772" s="28"/>
      <c r="AC1772" s="28"/>
      <c r="AD1772" s="28"/>
      <c r="AE1772" s="28"/>
      <c r="AF1772" s="28"/>
      <c r="AG1772" s="28"/>
      <c r="AH1772" s="28"/>
      <c r="AI1772" s="28"/>
      <c r="AJ1772" s="28"/>
      <c r="AK1772" s="28"/>
      <c r="AL1772" s="28"/>
      <c r="AM1772" s="28"/>
      <c r="AN1772" s="28"/>
      <c r="AO1772" s="28"/>
      <c r="AP1772" s="28"/>
      <c r="AQ1772" s="28"/>
      <c r="AR1772" s="28"/>
      <c r="AS1772" s="28"/>
      <c r="AT1772" s="5"/>
      <c r="AU1772" s="28"/>
      <c r="AV1772" s="28"/>
      <c r="AX1772" s="28"/>
      <c r="AY1772" s="28"/>
      <c r="BA1772" s="28"/>
      <c r="BB1772" s="28"/>
      <c r="BF1772" s="28"/>
      <c r="BH1772" s="28"/>
      <c r="BI1772" s="28"/>
      <c r="BJ1772" s="38"/>
      <c r="BK1772" s="28"/>
    </row>
    <row r="1773" customFormat="false" ht="15.75" hidden="false" customHeight="false" outlineLevel="0" collapsed="false">
      <c r="A1773" s="28"/>
      <c r="B1773" s="28"/>
      <c r="C1773" s="28"/>
      <c r="D1773" s="5"/>
      <c r="E1773" s="38"/>
      <c r="F1773" s="28"/>
      <c r="G1773" s="28"/>
      <c r="H1773" s="38"/>
      <c r="I1773" s="28"/>
      <c r="J1773" s="40"/>
      <c r="K1773" s="40"/>
      <c r="L1773" s="5"/>
      <c r="M1773" s="5"/>
      <c r="N1773" s="28"/>
      <c r="O1773" s="28"/>
      <c r="P1773" s="28"/>
      <c r="Q1773" s="28"/>
      <c r="R1773" s="28"/>
      <c r="S1773" s="28"/>
      <c r="T1773" s="28"/>
      <c r="V1773" s="28"/>
      <c r="W1773" s="5"/>
      <c r="X1773" s="5"/>
      <c r="Z1773" s="28"/>
      <c r="AA1773" s="28"/>
      <c r="AB1773" s="28"/>
      <c r="AC1773" s="28"/>
      <c r="AD1773" s="28"/>
      <c r="AE1773" s="28"/>
      <c r="AF1773" s="28"/>
      <c r="AG1773" s="28"/>
      <c r="AH1773" s="28"/>
      <c r="AI1773" s="28"/>
      <c r="AJ1773" s="28"/>
      <c r="AK1773" s="28"/>
      <c r="AL1773" s="28"/>
      <c r="AM1773" s="28"/>
      <c r="AN1773" s="28"/>
      <c r="AO1773" s="28"/>
      <c r="AP1773" s="28"/>
      <c r="AQ1773" s="28"/>
      <c r="AR1773" s="28"/>
      <c r="AS1773" s="28"/>
      <c r="AT1773" s="5"/>
      <c r="AU1773" s="28"/>
      <c r="AV1773" s="28"/>
      <c r="AX1773" s="28"/>
      <c r="AY1773" s="28"/>
      <c r="BA1773" s="28"/>
      <c r="BB1773" s="28"/>
      <c r="BF1773" s="28"/>
      <c r="BH1773" s="28"/>
      <c r="BI1773" s="28"/>
      <c r="BJ1773" s="38"/>
      <c r="BK1773" s="28"/>
    </row>
    <row r="1774" customFormat="false" ht="15.75" hidden="false" customHeight="false" outlineLevel="0" collapsed="false">
      <c r="A1774" s="28"/>
      <c r="B1774" s="28"/>
      <c r="C1774" s="28"/>
      <c r="D1774" s="5"/>
      <c r="E1774" s="38"/>
      <c r="F1774" s="28"/>
      <c r="G1774" s="28"/>
      <c r="H1774" s="38"/>
      <c r="I1774" s="28"/>
      <c r="J1774" s="40"/>
      <c r="K1774" s="40"/>
      <c r="L1774" s="5"/>
      <c r="M1774" s="5"/>
      <c r="N1774" s="28"/>
      <c r="O1774" s="28"/>
      <c r="P1774" s="28"/>
      <c r="Q1774" s="28"/>
      <c r="R1774" s="28"/>
      <c r="S1774" s="28"/>
      <c r="T1774" s="28"/>
      <c r="V1774" s="28"/>
      <c r="W1774" s="5"/>
      <c r="X1774" s="5"/>
      <c r="Z1774" s="28"/>
      <c r="AA1774" s="28"/>
      <c r="AB1774" s="28"/>
      <c r="AC1774" s="28"/>
      <c r="AD1774" s="28"/>
      <c r="AE1774" s="28"/>
      <c r="AF1774" s="28"/>
      <c r="AG1774" s="28"/>
      <c r="AH1774" s="28"/>
      <c r="AI1774" s="28"/>
      <c r="AJ1774" s="28"/>
      <c r="AK1774" s="28"/>
      <c r="AL1774" s="28"/>
      <c r="AM1774" s="28"/>
      <c r="AN1774" s="28"/>
      <c r="AO1774" s="28"/>
      <c r="AP1774" s="28"/>
      <c r="AQ1774" s="28"/>
      <c r="AR1774" s="28"/>
      <c r="AS1774" s="28"/>
      <c r="AT1774" s="5"/>
      <c r="AU1774" s="28"/>
      <c r="AV1774" s="28"/>
      <c r="AX1774" s="28"/>
      <c r="AY1774" s="28"/>
      <c r="BA1774" s="28"/>
      <c r="BB1774" s="28"/>
      <c r="BF1774" s="28"/>
      <c r="BH1774" s="28"/>
      <c r="BI1774" s="28"/>
      <c r="BJ1774" s="38"/>
      <c r="BK1774" s="28"/>
    </row>
    <row r="1775" customFormat="false" ht="15.75" hidden="false" customHeight="false" outlineLevel="0" collapsed="false">
      <c r="A1775" s="28"/>
      <c r="B1775" s="28"/>
      <c r="C1775" s="28"/>
      <c r="D1775" s="5"/>
      <c r="E1775" s="38"/>
      <c r="F1775" s="28"/>
      <c r="G1775" s="28"/>
      <c r="H1775" s="38"/>
      <c r="I1775" s="28"/>
      <c r="J1775" s="40"/>
      <c r="K1775" s="40"/>
      <c r="L1775" s="5"/>
      <c r="M1775" s="5"/>
      <c r="N1775" s="28"/>
      <c r="O1775" s="28"/>
      <c r="P1775" s="28"/>
      <c r="Q1775" s="28"/>
      <c r="R1775" s="28"/>
      <c r="S1775" s="28"/>
      <c r="T1775" s="28"/>
      <c r="V1775" s="28"/>
      <c r="W1775" s="5"/>
      <c r="X1775" s="5"/>
      <c r="Z1775" s="28"/>
      <c r="AA1775" s="28"/>
      <c r="AB1775" s="28"/>
      <c r="AC1775" s="28"/>
      <c r="AD1775" s="28"/>
      <c r="AE1775" s="28"/>
      <c r="AF1775" s="28"/>
      <c r="AG1775" s="28"/>
      <c r="AH1775" s="28"/>
      <c r="AI1775" s="28"/>
      <c r="AJ1775" s="28"/>
      <c r="AK1775" s="28"/>
      <c r="AL1775" s="28"/>
      <c r="AM1775" s="28"/>
      <c r="AN1775" s="28"/>
      <c r="AO1775" s="28"/>
      <c r="AP1775" s="28"/>
      <c r="AQ1775" s="28"/>
      <c r="AR1775" s="28"/>
      <c r="AS1775" s="28"/>
      <c r="AT1775" s="5"/>
      <c r="AU1775" s="28"/>
      <c r="AV1775" s="28"/>
      <c r="AX1775" s="28"/>
      <c r="AY1775" s="28"/>
      <c r="BA1775" s="28"/>
      <c r="BB1775" s="28"/>
      <c r="BF1775" s="28"/>
      <c r="BH1775" s="28"/>
      <c r="BI1775" s="28"/>
      <c r="BJ1775" s="38"/>
      <c r="BK1775" s="28"/>
    </row>
    <row r="1776" customFormat="false" ht="15.75" hidden="false" customHeight="false" outlineLevel="0" collapsed="false">
      <c r="A1776" s="28"/>
      <c r="B1776" s="28"/>
      <c r="C1776" s="28"/>
      <c r="D1776" s="5"/>
      <c r="E1776" s="38"/>
      <c r="F1776" s="28"/>
      <c r="G1776" s="28"/>
      <c r="H1776" s="38"/>
      <c r="I1776" s="28"/>
      <c r="J1776" s="40"/>
      <c r="K1776" s="40"/>
      <c r="L1776" s="5"/>
      <c r="M1776" s="5"/>
      <c r="N1776" s="28"/>
      <c r="O1776" s="28"/>
      <c r="P1776" s="28"/>
      <c r="Q1776" s="28"/>
      <c r="R1776" s="28"/>
      <c r="S1776" s="28"/>
      <c r="T1776" s="28"/>
      <c r="V1776" s="28"/>
      <c r="W1776" s="5"/>
      <c r="X1776" s="5"/>
      <c r="Z1776" s="28"/>
      <c r="AA1776" s="28"/>
      <c r="AB1776" s="28"/>
      <c r="AC1776" s="28"/>
      <c r="AD1776" s="28"/>
      <c r="AE1776" s="28"/>
      <c r="AF1776" s="28"/>
      <c r="AG1776" s="28"/>
      <c r="AH1776" s="28"/>
      <c r="AI1776" s="28"/>
      <c r="AJ1776" s="28"/>
      <c r="AK1776" s="28"/>
      <c r="AL1776" s="28"/>
      <c r="AM1776" s="28"/>
      <c r="AN1776" s="28"/>
      <c r="AO1776" s="28"/>
      <c r="AP1776" s="28"/>
      <c r="AQ1776" s="28"/>
      <c r="AR1776" s="28"/>
      <c r="AS1776" s="28"/>
      <c r="AT1776" s="5"/>
      <c r="AU1776" s="28"/>
      <c r="AV1776" s="28"/>
      <c r="AX1776" s="28"/>
      <c r="AY1776" s="28"/>
      <c r="BA1776" s="28"/>
      <c r="BB1776" s="28"/>
      <c r="BF1776" s="28"/>
      <c r="BH1776" s="28"/>
      <c r="BI1776" s="28"/>
      <c r="BJ1776" s="38"/>
      <c r="BK1776" s="28"/>
    </row>
    <row r="1777" customFormat="false" ht="15.75" hidden="false" customHeight="false" outlineLevel="0" collapsed="false">
      <c r="A1777" s="28"/>
      <c r="B1777" s="28"/>
      <c r="C1777" s="28"/>
      <c r="D1777" s="5"/>
      <c r="E1777" s="38"/>
      <c r="F1777" s="28"/>
      <c r="G1777" s="28"/>
      <c r="H1777" s="38"/>
      <c r="I1777" s="28"/>
      <c r="J1777" s="40"/>
      <c r="K1777" s="40"/>
      <c r="L1777" s="5"/>
      <c r="M1777" s="5"/>
      <c r="N1777" s="28"/>
      <c r="O1777" s="28"/>
      <c r="P1777" s="28"/>
      <c r="Q1777" s="28"/>
      <c r="R1777" s="28"/>
      <c r="S1777" s="28"/>
      <c r="T1777" s="28"/>
      <c r="V1777" s="28"/>
      <c r="W1777" s="5"/>
      <c r="X1777" s="5"/>
      <c r="Z1777" s="28"/>
      <c r="AA1777" s="28"/>
      <c r="AB1777" s="28"/>
      <c r="AC1777" s="28"/>
      <c r="AD1777" s="28"/>
      <c r="AE1777" s="28"/>
      <c r="AF1777" s="28"/>
      <c r="AG1777" s="28"/>
      <c r="AH1777" s="28"/>
      <c r="AI1777" s="28"/>
      <c r="AJ1777" s="28"/>
      <c r="AK1777" s="28"/>
      <c r="AL1777" s="28"/>
      <c r="AM1777" s="28"/>
      <c r="AN1777" s="28"/>
      <c r="AO1777" s="28"/>
      <c r="AP1777" s="28"/>
      <c r="AQ1777" s="28"/>
      <c r="AR1777" s="28"/>
      <c r="AS1777" s="28"/>
      <c r="AT1777" s="5"/>
      <c r="AU1777" s="28"/>
      <c r="AV1777" s="28"/>
      <c r="AX1777" s="28"/>
      <c r="AY1777" s="28"/>
      <c r="BA1777" s="28"/>
      <c r="BB1777" s="28"/>
      <c r="BF1777" s="28"/>
      <c r="BH1777" s="28"/>
      <c r="BI1777" s="28"/>
      <c r="BJ1777" s="38"/>
      <c r="BK1777" s="28"/>
    </row>
    <row r="1778" customFormat="false" ht="15.75" hidden="false" customHeight="false" outlineLevel="0" collapsed="false">
      <c r="A1778" s="28"/>
      <c r="B1778" s="28"/>
      <c r="C1778" s="28"/>
      <c r="D1778" s="5"/>
      <c r="E1778" s="38"/>
      <c r="F1778" s="28"/>
      <c r="G1778" s="28"/>
      <c r="H1778" s="38"/>
      <c r="I1778" s="28"/>
      <c r="J1778" s="40"/>
      <c r="K1778" s="40"/>
      <c r="L1778" s="5"/>
      <c r="M1778" s="5"/>
      <c r="N1778" s="28"/>
      <c r="O1778" s="28"/>
      <c r="P1778" s="28"/>
      <c r="Q1778" s="28"/>
      <c r="R1778" s="28"/>
      <c r="S1778" s="28"/>
      <c r="T1778" s="28"/>
      <c r="V1778" s="28"/>
      <c r="W1778" s="5"/>
      <c r="X1778" s="5"/>
      <c r="Z1778" s="28"/>
      <c r="AA1778" s="28"/>
      <c r="AB1778" s="28"/>
      <c r="AC1778" s="28"/>
      <c r="AD1778" s="28"/>
      <c r="AE1778" s="28"/>
      <c r="AF1778" s="28"/>
      <c r="AG1778" s="28"/>
      <c r="AH1778" s="28"/>
      <c r="AI1778" s="28"/>
      <c r="AJ1778" s="28"/>
      <c r="AK1778" s="28"/>
      <c r="AL1778" s="28"/>
      <c r="AM1778" s="28"/>
      <c r="AN1778" s="28"/>
      <c r="AO1778" s="28"/>
      <c r="AP1778" s="28"/>
      <c r="AQ1778" s="28"/>
      <c r="AR1778" s="28"/>
      <c r="AS1778" s="28"/>
      <c r="AT1778" s="5"/>
      <c r="AU1778" s="28"/>
      <c r="AV1778" s="28"/>
      <c r="AX1778" s="28"/>
      <c r="AY1778" s="28"/>
      <c r="BA1778" s="28"/>
      <c r="BB1778" s="28"/>
      <c r="BF1778" s="28"/>
      <c r="BH1778" s="28"/>
      <c r="BI1778" s="28"/>
      <c r="BJ1778" s="38"/>
      <c r="BK1778" s="28"/>
    </row>
    <row r="1779" customFormat="false" ht="15.75" hidden="false" customHeight="false" outlineLevel="0" collapsed="false">
      <c r="A1779" s="28"/>
      <c r="B1779" s="28"/>
      <c r="C1779" s="28"/>
      <c r="D1779" s="5"/>
      <c r="E1779" s="38"/>
      <c r="F1779" s="28"/>
      <c r="G1779" s="28"/>
      <c r="H1779" s="38"/>
      <c r="I1779" s="28"/>
      <c r="J1779" s="40"/>
      <c r="K1779" s="40"/>
      <c r="L1779" s="5"/>
      <c r="M1779" s="5"/>
      <c r="N1779" s="28"/>
      <c r="O1779" s="28"/>
      <c r="P1779" s="28"/>
      <c r="Q1779" s="28"/>
      <c r="R1779" s="28"/>
      <c r="S1779" s="28"/>
      <c r="T1779" s="28"/>
      <c r="V1779" s="28"/>
      <c r="W1779" s="5"/>
      <c r="X1779" s="5"/>
      <c r="Z1779" s="28"/>
      <c r="AA1779" s="28"/>
      <c r="AB1779" s="28"/>
      <c r="AC1779" s="28"/>
      <c r="AD1779" s="28"/>
      <c r="AE1779" s="28"/>
      <c r="AF1779" s="28"/>
      <c r="AG1779" s="28"/>
      <c r="AH1779" s="28"/>
      <c r="AI1779" s="28"/>
      <c r="AJ1779" s="28"/>
      <c r="AK1779" s="28"/>
      <c r="AL1779" s="28"/>
      <c r="AM1779" s="28"/>
      <c r="AN1779" s="28"/>
      <c r="AO1779" s="28"/>
      <c r="AP1779" s="28"/>
      <c r="AQ1779" s="28"/>
      <c r="AR1779" s="28"/>
      <c r="AS1779" s="28"/>
      <c r="AT1779" s="5"/>
      <c r="AU1779" s="28"/>
      <c r="AV1779" s="28"/>
      <c r="AX1779" s="28"/>
      <c r="AY1779" s="28"/>
      <c r="BA1779" s="28"/>
      <c r="BB1779" s="28"/>
      <c r="BF1779" s="28"/>
      <c r="BH1779" s="28"/>
      <c r="BI1779" s="28"/>
      <c r="BJ1779" s="38"/>
      <c r="BK1779" s="28"/>
    </row>
    <row r="1780" customFormat="false" ht="15.75" hidden="false" customHeight="false" outlineLevel="0" collapsed="false">
      <c r="A1780" s="28"/>
      <c r="B1780" s="28"/>
      <c r="C1780" s="28"/>
      <c r="D1780" s="5"/>
      <c r="E1780" s="38"/>
      <c r="F1780" s="28"/>
      <c r="G1780" s="28"/>
      <c r="H1780" s="38"/>
      <c r="I1780" s="28"/>
      <c r="J1780" s="40"/>
      <c r="K1780" s="40"/>
      <c r="L1780" s="5"/>
      <c r="M1780" s="5"/>
      <c r="N1780" s="28"/>
      <c r="O1780" s="28"/>
      <c r="P1780" s="28"/>
      <c r="Q1780" s="28"/>
      <c r="R1780" s="28"/>
      <c r="S1780" s="28"/>
      <c r="T1780" s="28"/>
      <c r="V1780" s="28"/>
      <c r="W1780" s="5"/>
      <c r="X1780" s="5"/>
      <c r="Z1780" s="28"/>
      <c r="AA1780" s="28"/>
      <c r="AB1780" s="28"/>
      <c r="AC1780" s="28"/>
      <c r="AD1780" s="28"/>
      <c r="AE1780" s="28"/>
      <c r="AF1780" s="28"/>
      <c r="AG1780" s="28"/>
      <c r="AH1780" s="28"/>
      <c r="AI1780" s="28"/>
      <c r="AJ1780" s="28"/>
      <c r="AK1780" s="28"/>
      <c r="AL1780" s="28"/>
      <c r="AM1780" s="28"/>
      <c r="AN1780" s="28"/>
      <c r="AO1780" s="28"/>
      <c r="AP1780" s="28"/>
      <c r="AQ1780" s="28"/>
      <c r="AR1780" s="28"/>
      <c r="AS1780" s="28"/>
      <c r="AT1780" s="5"/>
      <c r="AU1780" s="28"/>
      <c r="AV1780" s="28"/>
      <c r="AX1780" s="28"/>
      <c r="AY1780" s="28"/>
      <c r="BA1780" s="28"/>
      <c r="BB1780" s="28"/>
      <c r="BF1780" s="28"/>
      <c r="BH1780" s="28"/>
      <c r="BI1780" s="28"/>
      <c r="BJ1780" s="38"/>
      <c r="BK1780" s="28"/>
    </row>
    <row r="1781" customFormat="false" ht="15.75" hidden="false" customHeight="false" outlineLevel="0" collapsed="false">
      <c r="A1781" s="28"/>
      <c r="B1781" s="28"/>
      <c r="C1781" s="28"/>
      <c r="D1781" s="5"/>
      <c r="E1781" s="38"/>
      <c r="F1781" s="28"/>
      <c r="G1781" s="28"/>
      <c r="H1781" s="38"/>
      <c r="I1781" s="28"/>
      <c r="J1781" s="40"/>
      <c r="K1781" s="40"/>
      <c r="L1781" s="5"/>
      <c r="M1781" s="5"/>
      <c r="N1781" s="28"/>
      <c r="O1781" s="28"/>
      <c r="P1781" s="28"/>
      <c r="Q1781" s="28"/>
      <c r="R1781" s="28"/>
      <c r="S1781" s="28"/>
      <c r="T1781" s="28"/>
      <c r="V1781" s="28"/>
      <c r="W1781" s="5"/>
      <c r="X1781" s="5"/>
      <c r="Z1781" s="28"/>
      <c r="AA1781" s="28"/>
      <c r="AB1781" s="28"/>
      <c r="AC1781" s="28"/>
      <c r="AD1781" s="28"/>
      <c r="AE1781" s="28"/>
      <c r="AF1781" s="28"/>
      <c r="AG1781" s="28"/>
      <c r="AH1781" s="28"/>
      <c r="AI1781" s="28"/>
      <c r="AJ1781" s="28"/>
      <c r="AK1781" s="28"/>
      <c r="AL1781" s="28"/>
      <c r="AM1781" s="28"/>
      <c r="AN1781" s="28"/>
      <c r="AO1781" s="28"/>
      <c r="AP1781" s="28"/>
      <c r="AQ1781" s="28"/>
      <c r="AR1781" s="28"/>
      <c r="AS1781" s="28"/>
      <c r="AT1781" s="5"/>
      <c r="AU1781" s="28"/>
      <c r="AV1781" s="28"/>
      <c r="AX1781" s="28"/>
      <c r="AY1781" s="28"/>
      <c r="BA1781" s="28"/>
      <c r="BB1781" s="28"/>
      <c r="BF1781" s="28"/>
      <c r="BH1781" s="28"/>
      <c r="BI1781" s="28"/>
      <c r="BJ1781" s="38"/>
      <c r="BK1781" s="28"/>
    </row>
    <row r="1782" customFormat="false" ht="15.75" hidden="false" customHeight="false" outlineLevel="0" collapsed="false">
      <c r="A1782" s="28"/>
      <c r="B1782" s="28"/>
      <c r="C1782" s="28"/>
      <c r="D1782" s="5"/>
      <c r="E1782" s="38"/>
      <c r="F1782" s="28"/>
      <c r="G1782" s="28"/>
      <c r="H1782" s="38"/>
      <c r="I1782" s="28"/>
      <c r="J1782" s="40"/>
      <c r="K1782" s="40"/>
      <c r="L1782" s="5"/>
      <c r="M1782" s="5"/>
      <c r="N1782" s="28"/>
      <c r="O1782" s="28"/>
      <c r="P1782" s="28"/>
      <c r="Q1782" s="28"/>
      <c r="R1782" s="28"/>
      <c r="S1782" s="28"/>
      <c r="T1782" s="28"/>
      <c r="V1782" s="28"/>
      <c r="W1782" s="5"/>
      <c r="X1782" s="5"/>
      <c r="Z1782" s="28"/>
      <c r="AA1782" s="28"/>
      <c r="AB1782" s="28"/>
      <c r="AC1782" s="28"/>
      <c r="AD1782" s="28"/>
      <c r="AE1782" s="28"/>
      <c r="AF1782" s="28"/>
      <c r="AG1782" s="28"/>
      <c r="AH1782" s="28"/>
      <c r="AI1782" s="28"/>
      <c r="AJ1782" s="28"/>
      <c r="AK1782" s="28"/>
      <c r="AL1782" s="28"/>
      <c r="AM1782" s="28"/>
      <c r="AN1782" s="28"/>
      <c r="AO1782" s="28"/>
      <c r="AP1782" s="28"/>
      <c r="AQ1782" s="28"/>
      <c r="AR1782" s="28"/>
      <c r="AS1782" s="28"/>
      <c r="AT1782" s="5"/>
      <c r="AU1782" s="28"/>
      <c r="AV1782" s="28"/>
      <c r="AX1782" s="28"/>
      <c r="AY1782" s="28"/>
      <c r="BA1782" s="28"/>
      <c r="BB1782" s="28"/>
      <c r="BF1782" s="28"/>
      <c r="BH1782" s="28"/>
      <c r="BI1782" s="28"/>
      <c r="BJ1782" s="38"/>
      <c r="BK1782" s="28"/>
    </row>
    <row r="1783" customFormat="false" ht="15.75" hidden="false" customHeight="false" outlineLevel="0" collapsed="false">
      <c r="A1783" s="28"/>
      <c r="B1783" s="28"/>
      <c r="C1783" s="28"/>
      <c r="D1783" s="5"/>
      <c r="E1783" s="38"/>
      <c r="F1783" s="28"/>
      <c r="G1783" s="28"/>
      <c r="H1783" s="38"/>
      <c r="I1783" s="28"/>
      <c r="J1783" s="40"/>
      <c r="K1783" s="40"/>
      <c r="L1783" s="5"/>
      <c r="M1783" s="5"/>
      <c r="N1783" s="28"/>
      <c r="O1783" s="28"/>
      <c r="P1783" s="28"/>
      <c r="Q1783" s="28"/>
      <c r="R1783" s="28"/>
      <c r="S1783" s="28"/>
      <c r="T1783" s="28"/>
      <c r="V1783" s="28"/>
      <c r="W1783" s="5"/>
      <c r="X1783" s="5"/>
      <c r="Z1783" s="28"/>
      <c r="AA1783" s="28"/>
      <c r="AB1783" s="28"/>
      <c r="AC1783" s="28"/>
      <c r="AD1783" s="28"/>
      <c r="AE1783" s="28"/>
      <c r="AF1783" s="28"/>
      <c r="AG1783" s="28"/>
      <c r="AH1783" s="28"/>
      <c r="AI1783" s="28"/>
      <c r="AJ1783" s="28"/>
      <c r="AK1783" s="28"/>
      <c r="AL1783" s="28"/>
      <c r="AM1783" s="28"/>
      <c r="AN1783" s="28"/>
      <c r="AO1783" s="28"/>
      <c r="AP1783" s="28"/>
      <c r="AQ1783" s="28"/>
      <c r="AR1783" s="28"/>
      <c r="AS1783" s="28"/>
      <c r="AT1783" s="5"/>
      <c r="AU1783" s="28"/>
      <c r="AV1783" s="28"/>
      <c r="AX1783" s="28"/>
      <c r="AY1783" s="28"/>
      <c r="BA1783" s="28"/>
      <c r="BB1783" s="28"/>
      <c r="BF1783" s="28"/>
      <c r="BH1783" s="28"/>
      <c r="BI1783" s="28"/>
      <c r="BJ1783" s="38"/>
      <c r="BK1783" s="28"/>
    </row>
    <row r="1784" customFormat="false" ht="15.75" hidden="false" customHeight="false" outlineLevel="0" collapsed="false">
      <c r="A1784" s="28"/>
      <c r="B1784" s="28"/>
      <c r="C1784" s="28"/>
      <c r="D1784" s="5"/>
      <c r="E1784" s="38"/>
      <c r="F1784" s="28"/>
      <c r="G1784" s="28"/>
      <c r="H1784" s="38"/>
      <c r="I1784" s="28"/>
      <c r="J1784" s="40"/>
      <c r="K1784" s="40"/>
      <c r="L1784" s="5"/>
      <c r="M1784" s="5"/>
      <c r="N1784" s="28"/>
      <c r="O1784" s="28"/>
      <c r="P1784" s="28"/>
      <c r="Q1784" s="28"/>
      <c r="R1784" s="28"/>
      <c r="S1784" s="28"/>
      <c r="T1784" s="28"/>
      <c r="V1784" s="28"/>
      <c r="W1784" s="5"/>
      <c r="X1784" s="5"/>
      <c r="Z1784" s="28"/>
      <c r="AA1784" s="28"/>
      <c r="AB1784" s="28"/>
      <c r="AC1784" s="28"/>
      <c r="AD1784" s="28"/>
      <c r="AE1784" s="28"/>
      <c r="AF1784" s="28"/>
      <c r="AG1784" s="28"/>
      <c r="AH1784" s="28"/>
      <c r="AI1784" s="28"/>
      <c r="AJ1784" s="28"/>
      <c r="AK1784" s="28"/>
      <c r="AL1784" s="28"/>
      <c r="AM1784" s="28"/>
      <c r="AN1784" s="28"/>
      <c r="AO1784" s="28"/>
      <c r="AP1784" s="28"/>
      <c r="AQ1784" s="28"/>
      <c r="AR1784" s="28"/>
      <c r="AS1784" s="28"/>
      <c r="AT1784" s="5"/>
      <c r="AU1784" s="28"/>
      <c r="AV1784" s="28"/>
      <c r="AX1784" s="28"/>
      <c r="AY1784" s="28"/>
      <c r="BA1784" s="28"/>
      <c r="BB1784" s="28"/>
      <c r="BF1784" s="28"/>
      <c r="BH1784" s="28"/>
      <c r="BI1784" s="28"/>
      <c r="BJ1784" s="38"/>
      <c r="BK1784" s="28"/>
    </row>
    <row r="1785" customFormat="false" ht="15.75" hidden="false" customHeight="false" outlineLevel="0" collapsed="false">
      <c r="A1785" s="28"/>
      <c r="B1785" s="28"/>
      <c r="C1785" s="28"/>
      <c r="D1785" s="5"/>
      <c r="E1785" s="38"/>
      <c r="F1785" s="28"/>
      <c r="G1785" s="28"/>
      <c r="H1785" s="38"/>
      <c r="I1785" s="28"/>
      <c r="J1785" s="40"/>
      <c r="K1785" s="40"/>
      <c r="L1785" s="5"/>
      <c r="M1785" s="5"/>
      <c r="N1785" s="28"/>
      <c r="O1785" s="28"/>
      <c r="P1785" s="28"/>
      <c r="Q1785" s="28"/>
      <c r="R1785" s="28"/>
      <c r="S1785" s="28"/>
      <c r="T1785" s="28"/>
      <c r="V1785" s="28"/>
      <c r="W1785" s="5"/>
      <c r="X1785" s="5"/>
      <c r="Z1785" s="28"/>
      <c r="AA1785" s="28"/>
      <c r="AB1785" s="28"/>
      <c r="AC1785" s="28"/>
      <c r="AD1785" s="28"/>
      <c r="AE1785" s="28"/>
      <c r="AF1785" s="28"/>
      <c r="AG1785" s="28"/>
      <c r="AH1785" s="28"/>
      <c r="AI1785" s="28"/>
      <c r="AJ1785" s="28"/>
      <c r="AK1785" s="28"/>
      <c r="AL1785" s="28"/>
      <c r="AM1785" s="28"/>
      <c r="AN1785" s="28"/>
      <c r="AO1785" s="28"/>
      <c r="AP1785" s="28"/>
      <c r="AQ1785" s="28"/>
      <c r="AR1785" s="28"/>
      <c r="AS1785" s="28"/>
      <c r="AT1785" s="5"/>
      <c r="AU1785" s="28"/>
      <c r="AV1785" s="28"/>
      <c r="AX1785" s="28"/>
      <c r="AY1785" s="28"/>
      <c r="BA1785" s="28"/>
      <c r="BB1785" s="28"/>
      <c r="BF1785" s="28"/>
      <c r="BH1785" s="28"/>
      <c r="BI1785" s="28"/>
      <c r="BJ1785" s="38"/>
      <c r="BK1785" s="28"/>
    </row>
    <row r="1786" customFormat="false" ht="15.75" hidden="false" customHeight="false" outlineLevel="0" collapsed="false">
      <c r="A1786" s="28"/>
      <c r="B1786" s="28"/>
      <c r="C1786" s="28"/>
      <c r="D1786" s="5"/>
      <c r="E1786" s="38"/>
      <c r="F1786" s="28"/>
      <c r="G1786" s="28"/>
      <c r="H1786" s="38"/>
      <c r="I1786" s="28"/>
      <c r="J1786" s="40"/>
      <c r="K1786" s="40"/>
      <c r="L1786" s="5"/>
      <c r="M1786" s="5"/>
      <c r="N1786" s="28"/>
      <c r="O1786" s="28"/>
      <c r="P1786" s="28"/>
      <c r="Q1786" s="28"/>
      <c r="R1786" s="28"/>
      <c r="S1786" s="28"/>
      <c r="T1786" s="28"/>
      <c r="V1786" s="28"/>
      <c r="W1786" s="5"/>
      <c r="X1786" s="5"/>
      <c r="Z1786" s="28"/>
      <c r="AA1786" s="28"/>
      <c r="AB1786" s="28"/>
      <c r="AC1786" s="28"/>
      <c r="AD1786" s="28"/>
      <c r="AE1786" s="28"/>
      <c r="AF1786" s="28"/>
      <c r="AG1786" s="28"/>
      <c r="AH1786" s="28"/>
      <c r="AI1786" s="28"/>
      <c r="AJ1786" s="28"/>
      <c r="AK1786" s="28"/>
      <c r="AL1786" s="28"/>
      <c r="AM1786" s="28"/>
      <c r="AN1786" s="28"/>
      <c r="AO1786" s="28"/>
      <c r="AP1786" s="28"/>
      <c r="AQ1786" s="28"/>
      <c r="AR1786" s="28"/>
      <c r="AS1786" s="28"/>
      <c r="AT1786" s="5"/>
      <c r="AU1786" s="28"/>
      <c r="AV1786" s="28"/>
      <c r="AX1786" s="28"/>
      <c r="AY1786" s="28"/>
      <c r="BA1786" s="28"/>
      <c r="BB1786" s="28"/>
      <c r="BF1786" s="28"/>
      <c r="BH1786" s="28"/>
      <c r="BI1786" s="28"/>
      <c r="BJ1786" s="38"/>
      <c r="BK1786" s="28"/>
    </row>
    <row r="1787" customFormat="false" ht="15.75" hidden="false" customHeight="false" outlineLevel="0" collapsed="false">
      <c r="A1787" s="28"/>
      <c r="B1787" s="28"/>
      <c r="C1787" s="28"/>
      <c r="D1787" s="5"/>
      <c r="E1787" s="38"/>
      <c r="F1787" s="28"/>
      <c r="G1787" s="28"/>
      <c r="H1787" s="38"/>
      <c r="I1787" s="28"/>
      <c r="J1787" s="40"/>
      <c r="K1787" s="40"/>
      <c r="L1787" s="5"/>
      <c r="M1787" s="5"/>
      <c r="N1787" s="28"/>
      <c r="O1787" s="28"/>
      <c r="P1787" s="28"/>
      <c r="Q1787" s="28"/>
      <c r="R1787" s="28"/>
      <c r="S1787" s="28"/>
      <c r="T1787" s="28"/>
      <c r="V1787" s="28"/>
      <c r="W1787" s="5"/>
      <c r="X1787" s="5"/>
      <c r="Z1787" s="28"/>
      <c r="AA1787" s="28"/>
      <c r="AB1787" s="28"/>
      <c r="AC1787" s="28"/>
      <c r="AD1787" s="28"/>
      <c r="AE1787" s="28"/>
      <c r="AF1787" s="28"/>
      <c r="AG1787" s="28"/>
      <c r="AH1787" s="28"/>
      <c r="AI1787" s="28"/>
      <c r="AJ1787" s="28"/>
      <c r="AK1787" s="28"/>
      <c r="AL1787" s="28"/>
      <c r="AM1787" s="28"/>
      <c r="AN1787" s="28"/>
      <c r="AO1787" s="28"/>
      <c r="AP1787" s="28"/>
      <c r="AQ1787" s="28"/>
      <c r="AR1787" s="28"/>
      <c r="AS1787" s="28"/>
      <c r="AT1787" s="5"/>
      <c r="AU1787" s="28"/>
      <c r="AV1787" s="28"/>
      <c r="AX1787" s="28"/>
      <c r="AY1787" s="28"/>
      <c r="BA1787" s="28"/>
      <c r="BB1787" s="28"/>
      <c r="BF1787" s="28"/>
      <c r="BH1787" s="28"/>
      <c r="BI1787" s="28"/>
      <c r="BJ1787" s="38"/>
      <c r="BK1787" s="28"/>
    </row>
    <row r="1788" customFormat="false" ht="15.75" hidden="false" customHeight="false" outlineLevel="0" collapsed="false">
      <c r="A1788" s="28"/>
      <c r="B1788" s="28"/>
      <c r="C1788" s="28"/>
      <c r="D1788" s="5"/>
      <c r="E1788" s="38"/>
      <c r="F1788" s="28"/>
      <c r="G1788" s="28"/>
      <c r="H1788" s="38"/>
      <c r="I1788" s="28"/>
      <c r="J1788" s="40"/>
      <c r="K1788" s="40"/>
      <c r="L1788" s="5"/>
      <c r="M1788" s="5"/>
      <c r="N1788" s="28"/>
      <c r="O1788" s="28"/>
      <c r="P1788" s="28"/>
      <c r="Q1788" s="28"/>
      <c r="R1788" s="28"/>
      <c r="S1788" s="28"/>
      <c r="T1788" s="28"/>
      <c r="V1788" s="28"/>
      <c r="W1788" s="5"/>
      <c r="X1788" s="5"/>
      <c r="Z1788" s="28"/>
      <c r="AA1788" s="28"/>
      <c r="AB1788" s="28"/>
      <c r="AC1788" s="28"/>
      <c r="AD1788" s="28"/>
      <c r="AE1788" s="28"/>
      <c r="AF1788" s="28"/>
      <c r="AG1788" s="28"/>
      <c r="AH1788" s="28"/>
      <c r="AI1788" s="28"/>
      <c r="AJ1788" s="28"/>
      <c r="AK1788" s="28"/>
      <c r="AL1788" s="28"/>
      <c r="AM1788" s="28"/>
      <c r="AN1788" s="28"/>
      <c r="AO1788" s="28"/>
      <c r="AP1788" s="28"/>
      <c r="AQ1788" s="28"/>
      <c r="AR1788" s="28"/>
      <c r="AS1788" s="28"/>
      <c r="AT1788" s="5"/>
      <c r="AU1788" s="28"/>
      <c r="AV1788" s="28"/>
      <c r="AX1788" s="28"/>
      <c r="AY1788" s="28"/>
      <c r="BA1788" s="28"/>
      <c r="BB1788" s="28"/>
      <c r="BF1788" s="28"/>
      <c r="BH1788" s="28"/>
      <c r="BI1788" s="28"/>
      <c r="BJ1788" s="38"/>
      <c r="BK1788" s="28"/>
    </row>
    <row r="1789" customFormat="false" ht="15.75" hidden="false" customHeight="false" outlineLevel="0" collapsed="false">
      <c r="A1789" s="28"/>
      <c r="B1789" s="28"/>
      <c r="C1789" s="28"/>
      <c r="D1789" s="5"/>
      <c r="E1789" s="38"/>
      <c r="F1789" s="28"/>
      <c r="G1789" s="28"/>
      <c r="H1789" s="38"/>
      <c r="I1789" s="28"/>
      <c r="J1789" s="40"/>
      <c r="K1789" s="40"/>
      <c r="L1789" s="5"/>
      <c r="M1789" s="5"/>
      <c r="N1789" s="28"/>
      <c r="O1789" s="28"/>
      <c r="P1789" s="28"/>
      <c r="Q1789" s="28"/>
      <c r="R1789" s="28"/>
      <c r="S1789" s="28"/>
      <c r="T1789" s="28"/>
      <c r="V1789" s="28"/>
      <c r="W1789" s="5"/>
      <c r="X1789" s="5"/>
      <c r="Z1789" s="28"/>
      <c r="AA1789" s="28"/>
      <c r="AB1789" s="28"/>
      <c r="AC1789" s="28"/>
      <c r="AD1789" s="28"/>
      <c r="AE1789" s="28"/>
      <c r="AF1789" s="28"/>
      <c r="AG1789" s="28"/>
      <c r="AH1789" s="28"/>
      <c r="AI1789" s="28"/>
      <c r="AJ1789" s="28"/>
      <c r="AK1789" s="28"/>
      <c r="AL1789" s="28"/>
      <c r="AM1789" s="28"/>
      <c r="AN1789" s="28"/>
      <c r="AO1789" s="28"/>
      <c r="AP1789" s="28"/>
      <c r="AQ1789" s="28"/>
      <c r="AR1789" s="28"/>
      <c r="AS1789" s="28"/>
      <c r="AT1789" s="5"/>
      <c r="AU1789" s="28"/>
      <c r="AV1789" s="28"/>
      <c r="AX1789" s="28"/>
      <c r="AY1789" s="28"/>
      <c r="BA1789" s="28"/>
      <c r="BB1789" s="28"/>
      <c r="BF1789" s="28"/>
      <c r="BH1789" s="28"/>
      <c r="BI1789" s="28"/>
      <c r="BJ1789" s="38"/>
      <c r="BK1789" s="28"/>
    </row>
    <row r="1790" customFormat="false" ht="15.75" hidden="false" customHeight="false" outlineLevel="0" collapsed="false">
      <c r="A1790" s="28"/>
      <c r="B1790" s="28"/>
      <c r="C1790" s="28"/>
      <c r="D1790" s="5"/>
      <c r="E1790" s="38"/>
      <c r="F1790" s="28"/>
      <c r="G1790" s="28"/>
      <c r="H1790" s="38"/>
      <c r="I1790" s="28"/>
      <c r="J1790" s="40"/>
      <c r="K1790" s="40"/>
      <c r="L1790" s="5"/>
      <c r="M1790" s="5"/>
      <c r="N1790" s="28"/>
      <c r="O1790" s="28"/>
      <c r="P1790" s="28"/>
      <c r="Q1790" s="28"/>
      <c r="R1790" s="28"/>
      <c r="S1790" s="28"/>
      <c r="T1790" s="28"/>
      <c r="V1790" s="28"/>
      <c r="W1790" s="5"/>
      <c r="X1790" s="5"/>
      <c r="Z1790" s="28"/>
      <c r="AA1790" s="28"/>
      <c r="AB1790" s="28"/>
      <c r="AC1790" s="28"/>
      <c r="AD1790" s="28"/>
      <c r="AE1790" s="28"/>
      <c r="AF1790" s="28"/>
      <c r="AG1790" s="28"/>
      <c r="AH1790" s="28"/>
      <c r="AI1790" s="28"/>
      <c r="AJ1790" s="28"/>
      <c r="AK1790" s="28"/>
      <c r="AL1790" s="28"/>
      <c r="AM1790" s="28"/>
      <c r="AN1790" s="28"/>
      <c r="AO1790" s="28"/>
      <c r="AP1790" s="28"/>
      <c r="AQ1790" s="28"/>
      <c r="AR1790" s="28"/>
      <c r="AS1790" s="28"/>
      <c r="AT1790" s="5"/>
      <c r="AU1790" s="28"/>
      <c r="AV1790" s="28"/>
      <c r="AX1790" s="28"/>
      <c r="AY1790" s="28"/>
      <c r="BA1790" s="28"/>
      <c r="BB1790" s="28"/>
      <c r="BF1790" s="28"/>
      <c r="BH1790" s="28"/>
      <c r="BI1790" s="28"/>
      <c r="BJ1790" s="38"/>
      <c r="BK1790" s="28"/>
    </row>
    <row r="1791" customFormat="false" ht="15.75" hidden="false" customHeight="false" outlineLevel="0" collapsed="false">
      <c r="A1791" s="28"/>
      <c r="B1791" s="28"/>
      <c r="C1791" s="28"/>
      <c r="D1791" s="5"/>
      <c r="E1791" s="38"/>
      <c r="F1791" s="28"/>
      <c r="G1791" s="28"/>
      <c r="H1791" s="38"/>
      <c r="I1791" s="28"/>
      <c r="J1791" s="40"/>
      <c r="K1791" s="40"/>
      <c r="L1791" s="5"/>
      <c r="M1791" s="5"/>
      <c r="N1791" s="28"/>
      <c r="O1791" s="28"/>
      <c r="P1791" s="28"/>
      <c r="Q1791" s="28"/>
      <c r="R1791" s="28"/>
      <c r="S1791" s="28"/>
      <c r="T1791" s="28"/>
      <c r="V1791" s="28"/>
      <c r="W1791" s="5"/>
      <c r="X1791" s="5"/>
      <c r="Z1791" s="28"/>
      <c r="AA1791" s="28"/>
      <c r="AB1791" s="28"/>
      <c r="AC1791" s="28"/>
      <c r="AD1791" s="28"/>
      <c r="AE1791" s="28"/>
      <c r="AF1791" s="28"/>
      <c r="AG1791" s="28"/>
      <c r="AH1791" s="28"/>
      <c r="AI1791" s="28"/>
      <c r="AJ1791" s="28"/>
      <c r="AK1791" s="28"/>
      <c r="AL1791" s="28"/>
      <c r="AM1791" s="28"/>
      <c r="AN1791" s="28"/>
      <c r="AO1791" s="28"/>
      <c r="AP1791" s="28"/>
      <c r="AQ1791" s="28"/>
      <c r="AR1791" s="28"/>
      <c r="AS1791" s="28"/>
      <c r="AT1791" s="5"/>
      <c r="AU1791" s="28"/>
      <c r="AV1791" s="28"/>
      <c r="AX1791" s="28"/>
      <c r="AY1791" s="28"/>
      <c r="BA1791" s="28"/>
      <c r="BB1791" s="28"/>
      <c r="BF1791" s="28"/>
      <c r="BH1791" s="28"/>
      <c r="BI1791" s="28"/>
      <c r="BJ1791" s="38"/>
      <c r="BK1791" s="28"/>
    </row>
    <row r="1792" customFormat="false" ht="15.75" hidden="false" customHeight="false" outlineLevel="0" collapsed="false">
      <c r="A1792" s="28"/>
      <c r="B1792" s="28"/>
      <c r="C1792" s="28"/>
      <c r="D1792" s="5"/>
      <c r="E1792" s="38"/>
      <c r="F1792" s="28"/>
      <c r="G1792" s="28"/>
      <c r="H1792" s="38"/>
      <c r="I1792" s="28"/>
      <c r="J1792" s="40"/>
      <c r="K1792" s="40"/>
      <c r="L1792" s="5"/>
      <c r="M1792" s="5"/>
      <c r="N1792" s="28"/>
      <c r="O1792" s="28"/>
      <c r="P1792" s="28"/>
      <c r="Q1792" s="28"/>
      <c r="R1792" s="28"/>
      <c r="S1792" s="28"/>
      <c r="T1792" s="28"/>
      <c r="V1792" s="28"/>
      <c r="W1792" s="5"/>
      <c r="X1792" s="5"/>
      <c r="Z1792" s="28"/>
      <c r="AA1792" s="28"/>
      <c r="AB1792" s="28"/>
      <c r="AC1792" s="28"/>
      <c r="AD1792" s="28"/>
      <c r="AE1792" s="28"/>
      <c r="AF1792" s="28"/>
      <c r="AG1792" s="28"/>
      <c r="AH1792" s="28"/>
      <c r="AI1792" s="28"/>
      <c r="AJ1792" s="28"/>
      <c r="AK1792" s="28"/>
      <c r="AL1792" s="28"/>
      <c r="AM1792" s="28"/>
      <c r="AN1792" s="28"/>
      <c r="AO1792" s="28"/>
      <c r="AP1792" s="28"/>
      <c r="AQ1792" s="28"/>
      <c r="AR1792" s="28"/>
      <c r="AS1792" s="28"/>
      <c r="AT1792" s="5"/>
      <c r="AU1792" s="28"/>
      <c r="AV1792" s="28"/>
      <c r="AX1792" s="28"/>
      <c r="AY1792" s="28"/>
      <c r="BA1792" s="28"/>
      <c r="BB1792" s="28"/>
      <c r="BF1792" s="28"/>
      <c r="BH1792" s="28"/>
      <c r="BI1792" s="28"/>
      <c r="BJ1792" s="38"/>
      <c r="BK1792" s="28"/>
    </row>
    <row r="1793" customFormat="false" ht="15.75" hidden="false" customHeight="false" outlineLevel="0" collapsed="false">
      <c r="A1793" s="28"/>
      <c r="B1793" s="28"/>
      <c r="C1793" s="28"/>
      <c r="D1793" s="5"/>
      <c r="E1793" s="38"/>
      <c r="F1793" s="28"/>
      <c r="G1793" s="28"/>
      <c r="H1793" s="38"/>
      <c r="I1793" s="28"/>
      <c r="J1793" s="40"/>
      <c r="K1793" s="40"/>
      <c r="L1793" s="5"/>
      <c r="M1793" s="5"/>
      <c r="N1793" s="28"/>
      <c r="O1793" s="28"/>
      <c r="P1793" s="28"/>
      <c r="Q1793" s="28"/>
      <c r="R1793" s="28"/>
      <c r="S1793" s="28"/>
      <c r="T1793" s="28"/>
      <c r="V1793" s="28"/>
      <c r="W1793" s="5"/>
      <c r="X1793" s="5"/>
      <c r="Z1793" s="28"/>
      <c r="AA1793" s="28"/>
      <c r="AB1793" s="28"/>
      <c r="AC1793" s="28"/>
      <c r="AD1793" s="28"/>
      <c r="AE1793" s="28"/>
      <c r="AF1793" s="28"/>
      <c r="AG1793" s="28"/>
      <c r="AH1793" s="28"/>
      <c r="AI1793" s="28"/>
      <c r="AJ1793" s="28"/>
      <c r="AK1793" s="28"/>
      <c r="AL1793" s="28"/>
      <c r="AM1793" s="28"/>
      <c r="AN1793" s="28"/>
      <c r="AO1793" s="28"/>
      <c r="AP1793" s="28"/>
      <c r="AQ1793" s="28"/>
      <c r="AR1793" s="28"/>
      <c r="AS1793" s="28"/>
      <c r="AT1793" s="5"/>
      <c r="AU1793" s="28"/>
      <c r="AV1793" s="28"/>
      <c r="AX1793" s="28"/>
      <c r="AY1793" s="28"/>
      <c r="BA1793" s="28"/>
      <c r="BB1793" s="28"/>
      <c r="BF1793" s="28"/>
      <c r="BH1793" s="28"/>
      <c r="BI1793" s="28"/>
      <c r="BJ1793" s="38"/>
      <c r="BK1793" s="28"/>
    </row>
    <row r="1794" customFormat="false" ht="15.75" hidden="false" customHeight="false" outlineLevel="0" collapsed="false">
      <c r="A1794" s="28"/>
      <c r="B1794" s="28"/>
      <c r="C1794" s="28"/>
      <c r="D1794" s="5"/>
      <c r="E1794" s="38"/>
      <c r="F1794" s="28"/>
      <c r="G1794" s="28"/>
      <c r="H1794" s="38"/>
      <c r="I1794" s="28"/>
      <c r="J1794" s="40"/>
      <c r="K1794" s="40"/>
      <c r="L1794" s="5"/>
      <c r="M1794" s="5"/>
      <c r="N1794" s="28"/>
      <c r="O1794" s="28"/>
      <c r="P1794" s="28"/>
      <c r="Q1794" s="28"/>
      <c r="R1794" s="28"/>
      <c r="S1794" s="28"/>
      <c r="T1794" s="28"/>
      <c r="V1794" s="28"/>
      <c r="W1794" s="5"/>
      <c r="X1794" s="5"/>
      <c r="Z1794" s="28"/>
      <c r="AA1794" s="28"/>
      <c r="AB1794" s="28"/>
      <c r="AC1794" s="28"/>
      <c r="AD1794" s="28"/>
      <c r="AE1794" s="28"/>
      <c r="AF1794" s="28"/>
      <c r="AG1794" s="28"/>
      <c r="AH1794" s="28"/>
      <c r="AI1794" s="28"/>
      <c r="AJ1794" s="28"/>
      <c r="AK1794" s="28"/>
      <c r="AL1794" s="28"/>
      <c r="AM1794" s="28"/>
      <c r="AN1794" s="28"/>
      <c r="AO1794" s="28"/>
      <c r="AP1794" s="28"/>
      <c r="AQ1794" s="28"/>
      <c r="AR1794" s="28"/>
      <c r="AS1794" s="28"/>
      <c r="AT1794" s="5"/>
      <c r="AU1794" s="28"/>
      <c r="AV1794" s="28"/>
      <c r="AX1794" s="28"/>
      <c r="AY1794" s="28"/>
      <c r="BA1794" s="28"/>
      <c r="BB1794" s="28"/>
      <c r="BF1794" s="28"/>
      <c r="BH1794" s="28"/>
      <c r="BI1794" s="28"/>
      <c r="BJ1794" s="38"/>
      <c r="BK1794" s="28"/>
    </row>
    <row r="1795" customFormat="false" ht="15.75" hidden="false" customHeight="false" outlineLevel="0" collapsed="false">
      <c r="A1795" s="28"/>
      <c r="B1795" s="28"/>
      <c r="C1795" s="28"/>
      <c r="D1795" s="5"/>
      <c r="E1795" s="38"/>
      <c r="F1795" s="28"/>
      <c r="G1795" s="28"/>
      <c r="H1795" s="38"/>
      <c r="I1795" s="28"/>
      <c r="J1795" s="40"/>
      <c r="K1795" s="40"/>
      <c r="L1795" s="5"/>
      <c r="M1795" s="5"/>
      <c r="N1795" s="28"/>
      <c r="O1795" s="28"/>
      <c r="P1795" s="28"/>
      <c r="Q1795" s="28"/>
      <c r="R1795" s="28"/>
      <c r="S1795" s="28"/>
      <c r="T1795" s="28"/>
      <c r="V1795" s="28"/>
      <c r="W1795" s="5"/>
      <c r="X1795" s="5"/>
      <c r="Z1795" s="28"/>
      <c r="AA1795" s="28"/>
      <c r="AB1795" s="28"/>
      <c r="AC1795" s="28"/>
      <c r="AD1795" s="28"/>
      <c r="AE1795" s="28"/>
      <c r="AF1795" s="28"/>
      <c r="AG1795" s="28"/>
      <c r="AH1795" s="28"/>
      <c r="AI1795" s="28"/>
      <c r="AJ1795" s="28"/>
      <c r="AK1795" s="28"/>
      <c r="AL1795" s="28"/>
      <c r="AM1795" s="28"/>
      <c r="AN1795" s="28"/>
      <c r="AO1795" s="28"/>
      <c r="AP1795" s="28"/>
      <c r="AQ1795" s="28"/>
      <c r="AR1795" s="28"/>
      <c r="AS1795" s="28"/>
      <c r="AT1795" s="5"/>
      <c r="AU1795" s="28"/>
      <c r="AV1795" s="28"/>
      <c r="AX1795" s="28"/>
      <c r="AY1795" s="28"/>
      <c r="BA1795" s="28"/>
      <c r="BB1795" s="28"/>
      <c r="BF1795" s="28"/>
      <c r="BH1795" s="28"/>
      <c r="BI1795" s="28"/>
      <c r="BJ1795" s="38"/>
      <c r="BK1795" s="28"/>
    </row>
    <row r="1796" customFormat="false" ht="15.75" hidden="false" customHeight="false" outlineLevel="0" collapsed="false">
      <c r="A1796" s="28"/>
      <c r="B1796" s="28"/>
      <c r="C1796" s="28"/>
      <c r="D1796" s="5"/>
      <c r="E1796" s="38"/>
      <c r="F1796" s="28"/>
      <c r="G1796" s="28"/>
      <c r="H1796" s="38"/>
      <c r="I1796" s="28"/>
      <c r="J1796" s="40"/>
      <c r="K1796" s="40"/>
      <c r="L1796" s="5"/>
      <c r="M1796" s="5"/>
      <c r="N1796" s="28"/>
      <c r="O1796" s="28"/>
      <c r="P1796" s="28"/>
      <c r="Q1796" s="28"/>
      <c r="R1796" s="28"/>
      <c r="S1796" s="28"/>
      <c r="T1796" s="28"/>
      <c r="V1796" s="28"/>
      <c r="W1796" s="5"/>
      <c r="X1796" s="5"/>
      <c r="Z1796" s="28"/>
      <c r="AA1796" s="28"/>
      <c r="AB1796" s="28"/>
      <c r="AC1796" s="28"/>
      <c r="AD1796" s="28"/>
      <c r="AE1796" s="28"/>
      <c r="AF1796" s="28"/>
      <c r="AG1796" s="28"/>
      <c r="AH1796" s="28"/>
      <c r="AI1796" s="28"/>
      <c r="AJ1796" s="28"/>
      <c r="AK1796" s="28"/>
      <c r="AL1796" s="28"/>
      <c r="AM1796" s="28"/>
      <c r="AN1796" s="28"/>
      <c r="AO1796" s="28"/>
      <c r="AP1796" s="28"/>
      <c r="AQ1796" s="28"/>
      <c r="AR1796" s="28"/>
      <c r="AS1796" s="28"/>
      <c r="AT1796" s="5"/>
      <c r="AU1796" s="28"/>
      <c r="AV1796" s="28"/>
      <c r="AX1796" s="28"/>
      <c r="AY1796" s="28"/>
      <c r="BA1796" s="28"/>
      <c r="BB1796" s="28"/>
      <c r="BF1796" s="28"/>
      <c r="BH1796" s="28"/>
      <c r="BI1796" s="28"/>
      <c r="BJ1796" s="38"/>
      <c r="BK1796" s="28"/>
    </row>
    <row r="1797" customFormat="false" ht="15.75" hidden="false" customHeight="false" outlineLevel="0" collapsed="false">
      <c r="A1797" s="28"/>
      <c r="B1797" s="28"/>
      <c r="C1797" s="28"/>
      <c r="D1797" s="5"/>
      <c r="E1797" s="38"/>
      <c r="F1797" s="28"/>
      <c r="G1797" s="28"/>
      <c r="H1797" s="38"/>
      <c r="I1797" s="28"/>
      <c r="J1797" s="40"/>
      <c r="K1797" s="40"/>
      <c r="L1797" s="5"/>
      <c r="M1797" s="5"/>
      <c r="N1797" s="28"/>
      <c r="O1797" s="28"/>
      <c r="P1797" s="28"/>
      <c r="Q1797" s="28"/>
      <c r="R1797" s="28"/>
      <c r="S1797" s="28"/>
      <c r="T1797" s="28"/>
      <c r="V1797" s="28"/>
      <c r="W1797" s="5"/>
      <c r="X1797" s="5"/>
      <c r="Z1797" s="28"/>
      <c r="AA1797" s="28"/>
      <c r="AB1797" s="28"/>
      <c r="AC1797" s="28"/>
      <c r="AD1797" s="28"/>
      <c r="AE1797" s="28"/>
      <c r="AF1797" s="28"/>
      <c r="AG1797" s="28"/>
      <c r="AH1797" s="28"/>
      <c r="AI1797" s="28"/>
      <c r="AJ1797" s="28"/>
      <c r="AK1797" s="28"/>
      <c r="AL1797" s="28"/>
      <c r="AM1797" s="28"/>
      <c r="AN1797" s="28"/>
      <c r="AO1797" s="28"/>
      <c r="AP1797" s="28"/>
      <c r="AQ1797" s="28"/>
      <c r="AR1797" s="28"/>
      <c r="AS1797" s="28"/>
      <c r="AT1797" s="5"/>
      <c r="AU1797" s="28"/>
      <c r="AV1797" s="28"/>
      <c r="AX1797" s="28"/>
      <c r="AY1797" s="28"/>
      <c r="BA1797" s="28"/>
      <c r="BB1797" s="28"/>
      <c r="BF1797" s="28"/>
      <c r="BH1797" s="28"/>
      <c r="BI1797" s="28"/>
      <c r="BJ1797" s="38"/>
      <c r="BK1797" s="28"/>
    </row>
    <row r="1798" customFormat="false" ht="15.75" hidden="false" customHeight="false" outlineLevel="0" collapsed="false">
      <c r="A1798" s="28"/>
      <c r="B1798" s="28"/>
      <c r="C1798" s="28"/>
      <c r="D1798" s="5"/>
      <c r="E1798" s="38"/>
      <c r="F1798" s="28"/>
      <c r="G1798" s="28"/>
      <c r="H1798" s="38"/>
      <c r="I1798" s="28"/>
      <c r="J1798" s="40"/>
      <c r="K1798" s="40"/>
      <c r="L1798" s="5"/>
      <c r="M1798" s="5"/>
      <c r="N1798" s="28"/>
      <c r="O1798" s="28"/>
      <c r="P1798" s="28"/>
      <c r="Q1798" s="28"/>
      <c r="R1798" s="28"/>
      <c r="S1798" s="28"/>
      <c r="T1798" s="28"/>
      <c r="V1798" s="28"/>
      <c r="W1798" s="5"/>
      <c r="X1798" s="5"/>
      <c r="Z1798" s="28"/>
      <c r="AA1798" s="28"/>
      <c r="AB1798" s="28"/>
      <c r="AC1798" s="28"/>
      <c r="AD1798" s="28"/>
      <c r="AE1798" s="28"/>
      <c r="AF1798" s="28"/>
      <c r="AG1798" s="28"/>
      <c r="AH1798" s="28"/>
      <c r="AI1798" s="28"/>
      <c r="AJ1798" s="28"/>
      <c r="AK1798" s="28"/>
      <c r="AL1798" s="28"/>
      <c r="AM1798" s="28"/>
      <c r="AN1798" s="28"/>
      <c r="AO1798" s="28"/>
      <c r="AP1798" s="28"/>
      <c r="AQ1798" s="28"/>
      <c r="AR1798" s="28"/>
      <c r="AS1798" s="28"/>
      <c r="AT1798" s="5"/>
      <c r="AU1798" s="28"/>
      <c r="AV1798" s="28"/>
      <c r="AX1798" s="28"/>
      <c r="AY1798" s="28"/>
      <c r="BA1798" s="28"/>
      <c r="BB1798" s="28"/>
      <c r="BF1798" s="28"/>
      <c r="BH1798" s="28"/>
      <c r="BI1798" s="28"/>
      <c r="BJ1798" s="38"/>
      <c r="BK1798" s="28"/>
    </row>
    <row r="1799" customFormat="false" ht="15.75" hidden="false" customHeight="false" outlineLevel="0" collapsed="false">
      <c r="A1799" s="28"/>
      <c r="B1799" s="28"/>
      <c r="C1799" s="28"/>
      <c r="D1799" s="5"/>
      <c r="E1799" s="38"/>
      <c r="F1799" s="28"/>
      <c r="G1799" s="28"/>
      <c r="H1799" s="38"/>
      <c r="I1799" s="28"/>
      <c r="J1799" s="40"/>
      <c r="K1799" s="40"/>
      <c r="L1799" s="5"/>
      <c r="M1799" s="5"/>
      <c r="N1799" s="28"/>
      <c r="O1799" s="28"/>
      <c r="P1799" s="28"/>
      <c r="Q1799" s="28"/>
      <c r="R1799" s="28"/>
      <c r="S1799" s="28"/>
      <c r="T1799" s="28"/>
      <c r="V1799" s="28"/>
      <c r="W1799" s="5"/>
      <c r="X1799" s="5"/>
      <c r="Z1799" s="28"/>
      <c r="AA1799" s="28"/>
      <c r="AB1799" s="28"/>
      <c r="AC1799" s="28"/>
      <c r="AD1799" s="28"/>
      <c r="AE1799" s="28"/>
      <c r="AF1799" s="28"/>
      <c r="AG1799" s="28"/>
      <c r="AH1799" s="28"/>
      <c r="AI1799" s="28"/>
      <c r="AJ1799" s="28"/>
      <c r="AK1799" s="28"/>
      <c r="AL1799" s="28"/>
      <c r="AM1799" s="28"/>
      <c r="AN1799" s="28"/>
      <c r="AO1799" s="28"/>
      <c r="AP1799" s="28"/>
      <c r="AQ1799" s="28"/>
      <c r="AR1799" s="28"/>
      <c r="AS1799" s="28"/>
      <c r="AT1799" s="5"/>
      <c r="AU1799" s="28"/>
      <c r="AV1799" s="28"/>
      <c r="AX1799" s="28"/>
      <c r="AY1799" s="28"/>
      <c r="BA1799" s="28"/>
      <c r="BB1799" s="28"/>
      <c r="BF1799" s="28"/>
      <c r="BH1799" s="28"/>
      <c r="BI1799" s="28"/>
      <c r="BJ1799" s="38"/>
      <c r="BK1799" s="28"/>
    </row>
    <row r="1800" customFormat="false" ht="15.75" hidden="false" customHeight="false" outlineLevel="0" collapsed="false">
      <c r="A1800" s="28"/>
      <c r="B1800" s="28"/>
      <c r="C1800" s="28"/>
      <c r="D1800" s="5"/>
      <c r="E1800" s="38"/>
      <c r="F1800" s="28"/>
      <c r="G1800" s="28"/>
      <c r="H1800" s="38"/>
      <c r="I1800" s="28"/>
      <c r="J1800" s="40"/>
      <c r="K1800" s="40"/>
      <c r="L1800" s="5"/>
      <c r="M1800" s="5"/>
      <c r="N1800" s="28"/>
      <c r="O1800" s="28"/>
      <c r="P1800" s="28"/>
      <c r="Q1800" s="28"/>
      <c r="R1800" s="28"/>
      <c r="S1800" s="28"/>
      <c r="T1800" s="28"/>
      <c r="V1800" s="28"/>
      <c r="W1800" s="5"/>
      <c r="X1800" s="5"/>
      <c r="Z1800" s="28"/>
      <c r="AA1800" s="28"/>
      <c r="AB1800" s="28"/>
      <c r="AC1800" s="28"/>
      <c r="AD1800" s="28"/>
      <c r="AE1800" s="28"/>
      <c r="AF1800" s="28"/>
      <c r="AG1800" s="28"/>
      <c r="AH1800" s="28"/>
      <c r="AI1800" s="28"/>
      <c r="AJ1800" s="28"/>
      <c r="AK1800" s="28"/>
      <c r="AL1800" s="28"/>
      <c r="AM1800" s="28"/>
      <c r="AN1800" s="28"/>
      <c r="AO1800" s="28"/>
      <c r="AP1800" s="28"/>
      <c r="AQ1800" s="28"/>
      <c r="AR1800" s="28"/>
      <c r="AS1800" s="28"/>
      <c r="AT1800" s="5"/>
      <c r="AU1800" s="28"/>
      <c r="AV1800" s="28"/>
      <c r="AX1800" s="28"/>
      <c r="AY1800" s="28"/>
      <c r="BA1800" s="28"/>
      <c r="BB1800" s="28"/>
      <c r="BF1800" s="28"/>
      <c r="BH1800" s="28"/>
      <c r="BI1800" s="28"/>
      <c r="BJ1800" s="38"/>
      <c r="BK1800" s="28"/>
    </row>
    <row r="1801" customFormat="false" ht="15.75" hidden="false" customHeight="false" outlineLevel="0" collapsed="false">
      <c r="A1801" s="28"/>
      <c r="B1801" s="28"/>
      <c r="C1801" s="28"/>
      <c r="D1801" s="5"/>
      <c r="E1801" s="38"/>
      <c r="F1801" s="28"/>
      <c r="G1801" s="28"/>
      <c r="H1801" s="38"/>
      <c r="I1801" s="28"/>
      <c r="J1801" s="40"/>
      <c r="K1801" s="40"/>
      <c r="L1801" s="5"/>
      <c r="M1801" s="5"/>
      <c r="N1801" s="28"/>
      <c r="O1801" s="28"/>
      <c r="P1801" s="28"/>
      <c r="Q1801" s="28"/>
      <c r="R1801" s="28"/>
      <c r="S1801" s="28"/>
      <c r="T1801" s="28"/>
      <c r="V1801" s="28"/>
      <c r="W1801" s="5"/>
      <c r="X1801" s="5"/>
      <c r="Z1801" s="28"/>
      <c r="AA1801" s="28"/>
      <c r="AB1801" s="28"/>
      <c r="AC1801" s="28"/>
      <c r="AD1801" s="28"/>
      <c r="AE1801" s="28"/>
      <c r="AF1801" s="28"/>
      <c r="AG1801" s="28"/>
      <c r="AH1801" s="28"/>
      <c r="AI1801" s="28"/>
      <c r="AJ1801" s="28"/>
      <c r="AK1801" s="28"/>
      <c r="AL1801" s="28"/>
      <c r="AM1801" s="28"/>
      <c r="AN1801" s="28"/>
      <c r="AO1801" s="28"/>
      <c r="AP1801" s="28"/>
      <c r="AQ1801" s="28"/>
      <c r="AR1801" s="28"/>
      <c r="AS1801" s="28"/>
      <c r="AT1801" s="5"/>
      <c r="AU1801" s="28"/>
      <c r="AV1801" s="28"/>
      <c r="AX1801" s="28"/>
      <c r="AY1801" s="28"/>
      <c r="BA1801" s="28"/>
      <c r="BB1801" s="28"/>
      <c r="BF1801" s="28"/>
      <c r="BH1801" s="28"/>
      <c r="BI1801" s="28"/>
      <c r="BJ1801" s="38"/>
      <c r="BK1801" s="28"/>
    </row>
    <row r="1802" customFormat="false" ht="15.75" hidden="false" customHeight="false" outlineLevel="0" collapsed="false">
      <c r="A1802" s="28"/>
      <c r="B1802" s="28"/>
      <c r="C1802" s="28"/>
      <c r="D1802" s="5"/>
      <c r="E1802" s="38"/>
      <c r="F1802" s="28"/>
      <c r="G1802" s="28"/>
      <c r="H1802" s="38"/>
      <c r="I1802" s="28"/>
      <c r="J1802" s="40"/>
      <c r="K1802" s="40"/>
      <c r="L1802" s="5"/>
      <c r="M1802" s="5"/>
      <c r="N1802" s="28"/>
      <c r="O1802" s="28"/>
      <c r="P1802" s="28"/>
      <c r="Q1802" s="28"/>
      <c r="R1802" s="28"/>
      <c r="S1802" s="28"/>
      <c r="T1802" s="28"/>
      <c r="V1802" s="28"/>
      <c r="W1802" s="5"/>
      <c r="X1802" s="5"/>
      <c r="Z1802" s="28"/>
      <c r="AA1802" s="28"/>
      <c r="AB1802" s="28"/>
      <c r="AC1802" s="28"/>
      <c r="AD1802" s="28"/>
      <c r="AE1802" s="28"/>
      <c r="AF1802" s="28"/>
      <c r="AG1802" s="28"/>
      <c r="AH1802" s="28"/>
      <c r="AI1802" s="28"/>
      <c r="AJ1802" s="28"/>
      <c r="AK1802" s="28"/>
      <c r="AL1802" s="28"/>
      <c r="AM1802" s="28"/>
      <c r="AN1802" s="28"/>
      <c r="AO1802" s="28"/>
      <c r="AP1802" s="28"/>
      <c r="AQ1802" s="28"/>
      <c r="AR1802" s="28"/>
      <c r="AS1802" s="28"/>
      <c r="AT1802" s="5"/>
      <c r="AU1802" s="28"/>
      <c r="AV1802" s="28"/>
      <c r="AX1802" s="28"/>
      <c r="AY1802" s="28"/>
      <c r="BA1802" s="28"/>
      <c r="BB1802" s="28"/>
      <c r="BF1802" s="28"/>
      <c r="BH1802" s="28"/>
      <c r="BI1802" s="28"/>
      <c r="BJ1802" s="38"/>
      <c r="BK1802" s="28"/>
    </row>
    <row r="1803" customFormat="false" ht="15.75" hidden="false" customHeight="false" outlineLevel="0" collapsed="false">
      <c r="A1803" s="28"/>
      <c r="B1803" s="28"/>
      <c r="C1803" s="28"/>
      <c r="D1803" s="5"/>
      <c r="E1803" s="38"/>
      <c r="F1803" s="28"/>
      <c r="G1803" s="28"/>
      <c r="H1803" s="38"/>
      <c r="I1803" s="28"/>
      <c r="J1803" s="40"/>
      <c r="K1803" s="40"/>
      <c r="L1803" s="5"/>
      <c r="M1803" s="5"/>
      <c r="N1803" s="28"/>
      <c r="O1803" s="28"/>
      <c r="P1803" s="28"/>
      <c r="Q1803" s="28"/>
      <c r="R1803" s="28"/>
      <c r="S1803" s="28"/>
      <c r="T1803" s="28"/>
      <c r="V1803" s="28"/>
      <c r="W1803" s="5"/>
      <c r="X1803" s="5"/>
      <c r="Z1803" s="28"/>
      <c r="AA1803" s="28"/>
      <c r="AB1803" s="28"/>
      <c r="AC1803" s="28"/>
      <c r="AD1803" s="28"/>
      <c r="AE1803" s="28"/>
      <c r="AF1803" s="28"/>
      <c r="AG1803" s="28"/>
      <c r="AH1803" s="28"/>
      <c r="AI1803" s="28"/>
      <c r="AJ1803" s="28"/>
      <c r="AK1803" s="28"/>
      <c r="AL1803" s="28"/>
      <c r="AM1803" s="28"/>
      <c r="AN1803" s="28"/>
      <c r="AO1803" s="28"/>
      <c r="AP1803" s="28"/>
      <c r="AQ1803" s="28"/>
      <c r="AR1803" s="28"/>
      <c r="AS1803" s="28"/>
      <c r="AT1803" s="5"/>
      <c r="AU1803" s="28"/>
      <c r="AV1803" s="28"/>
      <c r="AX1803" s="28"/>
      <c r="AY1803" s="28"/>
      <c r="BA1803" s="28"/>
      <c r="BB1803" s="28"/>
      <c r="BF1803" s="28"/>
      <c r="BH1803" s="28"/>
      <c r="BI1803" s="28"/>
      <c r="BJ1803" s="38"/>
      <c r="BK1803" s="28"/>
    </row>
    <row r="1804" customFormat="false" ht="15.75" hidden="false" customHeight="false" outlineLevel="0" collapsed="false">
      <c r="A1804" s="28"/>
      <c r="B1804" s="28"/>
      <c r="C1804" s="28"/>
      <c r="D1804" s="5"/>
      <c r="E1804" s="38"/>
      <c r="F1804" s="28"/>
      <c r="G1804" s="28"/>
      <c r="H1804" s="38"/>
      <c r="I1804" s="28"/>
      <c r="J1804" s="40"/>
      <c r="K1804" s="40"/>
      <c r="L1804" s="5"/>
      <c r="M1804" s="5"/>
      <c r="N1804" s="28"/>
      <c r="O1804" s="28"/>
      <c r="P1804" s="28"/>
      <c r="Q1804" s="28"/>
      <c r="R1804" s="28"/>
      <c r="S1804" s="28"/>
      <c r="T1804" s="28"/>
      <c r="V1804" s="28"/>
      <c r="W1804" s="5"/>
      <c r="X1804" s="5"/>
      <c r="Z1804" s="28"/>
      <c r="AA1804" s="28"/>
      <c r="AB1804" s="28"/>
      <c r="AC1804" s="28"/>
      <c r="AD1804" s="28"/>
      <c r="AE1804" s="28"/>
      <c r="AF1804" s="28"/>
      <c r="AG1804" s="28"/>
      <c r="AH1804" s="28"/>
      <c r="AI1804" s="28"/>
      <c r="AJ1804" s="28"/>
      <c r="AK1804" s="28"/>
      <c r="AL1804" s="28"/>
      <c r="AM1804" s="28"/>
      <c r="AN1804" s="28"/>
      <c r="AO1804" s="28"/>
      <c r="AP1804" s="28"/>
      <c r="AQ1804" s="28"/>
      <c r="AR1804" s="28"/>
      <c r="AS1804" s="28"/>
      <c r="AT1804" s="5"/>
      <c r="AU1804" s="28"/>
      <c r="AV1804" s="28"/>
      <c r="AX1804" s="28"/>
      <c r="AY1804" s="28"/>
      <c r="BA1804" s="28"/>
      <c r="BB1804" s="28"/>
      <c r="BF1804" s="28"/>
      <c r="BH1804" s="28"/>
      <c r="BI1804" s="28"/>
      <c r="BJ1804" s="38"/>
      <c r="BK1804" s="28"/>
    </row>
    <row r="1805" customFormat="false" ht="15.75" hidden="false" customHeight="false" outlineLevel="0" collapsed="false">
      <c r="A1805" s="28"/>
      <c r="B1805" s="28"/>
      <c r="C1805" s="28"/>
      <c r="D1805" s="5"/>
      <c r="E1805" s="38"/>
      <c r="F1805" s="28"/>
      <c r="G1805" s="28"/>
      <c r="H1805" s="38"/>
      <c r="I1805" s="28"/>
      <c r="J1805" s="40"/>
      <c r="K1805" s="40"/>
      <c r="L1805" s="5"/>
      <c r="M1805" s="5"/>
      <c r="N1805" s="28"/>
      <c r="O1805" s="28"/>
      <c r="P1805" s="28"/>
      <c r="Q1805" s="28"/>
      <c r="R1805" s="28"/>
      <c r="S1805" s="28"/>
      <c r="T1805" s="28"/>
      <c r="V1805" s="28"/>
      <c r="W1805" s="5"/>
      <c r="X1805" s="5"/>
      <c r="Z1805" s="28"/>
      <c r="AA1805" s="28"/>
      <c r="AB1805" s="28"/>
      <c r="AC1805" s="28"/>
      <c r="AD1805" s="28"/>
      <c r="AE1805" s="28"/>
      <c r="AF1805" s="28"/>
      <c r="AG1805" s="28"/>
      <c r="AH1805" s="28"/>
      <c r="AI1805" s="28"/>
      <c r="AJ1805" s="28"/>
      <c r="AK1805" s="28"/>
      <c r="AL1805" s="28"/>
      <c r="AM1805" s="28"/>
      <c r="AN1805" s="28"/>
      <c r="AO1805" s="28"/>
      <c r="AP1805" s="28"/>
      <c r="AQ1805" s="28"/>
      <c r="AR1805" s="28"/>
      <c r="AS1805" s="28"/>
      <c r="AT1805" s="5"/>
      <c r="AU1805" s="28"/>
      <c r="AV1805" s="28"/>
      <c r="AX1805" s="28"/>
      <c r="AY1805" s="28"/>
      <c r="BA1805" s="28"/>
      <c r="BB1805" s="28"/>
      <c r="BF1805" s="28"/>
      <c r="BH1805" s="28"/>
      <c r="BI1805" s="28"/>
      <c r="BJ1805" s="38"/>
      <c r="BK1805" s="28"/>
    </row>
    <row r="1806" customFormat="false" ht="15.75" hidden="false" customHeight="false" outlineLevel="0" collapsed="false">
      <c r="A1806" s="28"/>
      <c r="B1806" s="28"/>
      <c r="C1806" s="28"/>
      <c r="D1806" s="5"/>
      <c r="E1806" s="38"/>
      <c r="F1806" s="28"/>
      <c r="G1806" s="28"/>
      <c r="H1806" s="38"/>
      <c r="I1806" s="28"/>
      <c r="J1806" s="40"/>
      <c r="K1806" s="40"/>
      <c r="L1806" s="5"/>
      <c r="M1806" s="5"/>
      <c r="N1806" s="28"/>
      <c r="O1806" s="28"/>
      <c r="P1806" s="28"/>
      <c r="Q1806" s="28"/>
      <c r="R1806" s="28"/>
      <c r="S1806" s="28"/>
      <c r="T1806" s="28"/>
      <c r="V1806" s="28"/>
      <c r="W1806" s="5"/>
      <c r="X1806" s="5"/>
      <c r="Z1806" s="28"/>
      <c r="AA1806" s="28"/>
      <c r="AB1806" s="28"/>
      <c r="AC1806" s="28"/>
      <c r="AD1806" s="28"/>
      <c r="AE1806" s="28"/>
      <c r="AF1806" s="28"/>
      <c r="AG1806" s="28"/>
      <c r="AH1806" s="28"/>
      <c r="AI1806" s="28"/>
      <c r="AJ1806" s="28"/>
      <c r="AK1806" s="28"/>
      <c r="AL1806" s="28"/>
      <c r="AM1806" s="28"/>
      <c r="AN1806" s="28"/>
      <c r="AO1806" s="28"/>
      <c r="AP1806" s="28"/>
      <c r="AQ1806" s="28"/>
      <c r="AR1806" s="28"/>
      <c r="AS1806" s="28"/>
      <c r="AT1806" s="5"/>
      <c r="AU1806" s="28"/>
      <c r="AV1806" s="28"/>
      <c r="AX1806" s="28"/>
      <c r="AY1806" s="28"/>
      <c r="BA1806" s="28"/>
      <c r="BB1806" s="28"/>
      <c r="BF1806" s="28"/>
      <c r="BH1806" s="28"/>
      <c r="BI1806" s="28"/>
      <c r="BJ1806" s="38"/>
      <c r="BK1806" s="28"/>
    </row>
    <row r="1807" customFormat="false" ht="15.75" hidden="false" customHeight="false" outlineLevel="0" collapsed="false">
      <c r="A1807" s="28"/>
      <c r="B1807" s="28"/>
      <c r="C1807" s="28"/>
      <c r="D1807" s="5"/>
      <c r="E1807" s="38"/>
      <c r="F1807" s="28"/>
      <c r="G1807" s="28"/>
      <c r="H1807" s="38"/>
      <c r="I1807" s="28"/>
      <c r="J1807" s="40"/>
      <c r="K1807" s="40"/>
      <c r="L1807" s="5"/>
      <c r="M1807" s="5"/>
      <c r="N1807" s="28"/>
      <c r="O1807" s="28"/>
      <c r="P1807" s="28"/>
      <c r="Q1807" s="28"/>
      <c r="R1807" s="28"/>
      <c r="S1807" s="28"/>
      <c r="T1807" s="28"/>
      <c r="V1807" s="28"/>
      <c r="W1807" s="5"/>
      <c r="X1807" s="5"/>
      <c r="Z1807" s="28"/>
      <c r="AA1807" s="28"/>
      <c r="AB1807" s="28"/>
      <c r="AC1807" s="28"/>
      <c r="AD1807" s="28"/>
      <c r="AE1807" s="28"/>
      <c r="AF1807" s="28"/>
      <c r="AG1807" s="28"/>
      <c r="AH1807" s="28"/>
      <c r="AI1807" s="28"/>
      <c r="AJ1807" s="28"/>
      <c r="AK1807" s="28"/>
      <c r="AL1807" s="28"/>
      <c r="AM1807" s="28"/>
      <c r="AN1807" s="28"/>
      <c r="AO1807" s="28"/>
      <c r="AP1807" s="28"/>
      <c r="AQ1807" s="28"/>
      <c r="AR1807" s="28"/>
      <c r="AS1807" s="28"/>
      <c r="AT1807" s="5"/>
      <c r="AU1807" s="28"/>
      <c r="AV1807" s="28"/>
      <c r="AX1807" s="28"/>
      <c r="AY1807" s="28"/>
      <c r="BA1807" s="28"/>
      <c r="BB1807" s="28"/>
      <c r="BF1807" s="28"/>
      <c r="BH1807" s="28"/>
      <c r="BI1807" s="28"/>
      <c r="BJ1807" s="38"/>
      <c r="BK1807" s="28"/>
    </row>
    <row r="1808" customFormat="false" ht="15.75" hidden="false" customHeight="false" outlineLevel="0" collapsed="false">
      <c r="A1808" s="28"/>
      <c r="B1808" s="28"/>
      <c r="C1808" s="28"/>
      <c r="D1808" s="5"/>
      <c r="E1808" s="38"/>
      <c r="F1808" s="28"/>
      <c r="G1808" s="28"/>
      <c r="H1808" s="38"/>
      <c r="I1808" s="28"/>
      <c r="J1808" s="40"/>
      <c r="K1808" s="40"/>
      <c r="L1808" s="5"/>
      <c r="M1808" s="5"/>
      <c r="N1808" s="28"/>
      <c r="O1808" s="28"/>
      <c r="P1808" s="28"/>
      <c r="Q1808" s="28"/>
      <c r="R1808" s="28"/>
      <c r="S1808" s="28"/>
      <c r="T1808" s="28"/>
      <c r="V1808" s="28"/>
      <c r="W1808" s="5"/>
      <c r="X1808" s="5"/>
      <c r="Z1808" s="28"/>
      <c r="AA1808" s="28"/>
      <c r="AB1808" s="28"/>
      <c r="AC1808" s="28"/>
      <c r="AD1808" s="28"/>
      <c r="AE1808" s="28"/>
      <c r="AF1808" s="28"/>
      <c r="AG1808" s="28"/>
      <c r="AH1808" s="28"/>
      <c r="AI1808" s="28"/>
      <c r="AJ1808" s="28"/>
      <c r="AK1808" s="28"/>
      <c r="AL1808" s="28"/>
      <c r="AM1808" s="28"/>
      <c r="AN1808" s="28"/>
      <c r="AO1808" s="28"/>
      <c r="AP1808" s="28"/>
      <c r="AQ1808" s="28"/>
      <c r="AR1808" s="28"/>
      <c r="AS1808" s="28"/>
      <c r="AT1808" s="5"/>
      <c r="AU1808" s="28"/>
      <c r="AV1808" s="28"/>
      <c r="AX1808" s="28"/>
      <c r="AY1808" s="28"/>
      <c r="BA1808" s="28"/>
      <c r="BB1808" s="28"/>
      <c r="BF1808" s="28"/>
      <c r="BH1808" s="28"/>
      <c r="BI1808" s="28"/>
      <c r="BJ1808" s="38"/>
      <c r="BK1808" s="28"/>
    </row>
    <row r="1809" customFormat="false" ht="15.75" hidden="false" customHeight="false" outlineLevel="0" collapsed="false">
      <c r="A1809" s="28"/>
      <c r="B1809" s="28"/>
      <c r="C1809" s="28"/>
      <c r="D1809" s="5"/>
      <c r="E1809" s="38"/>
      <c r="F1809" s="28"/>
      <c r="G1809" s="28"/>
      <c r="H1809" s="38"/>
      <c r="I1809" s="28"/>
      <c r="J1809" s="40"/>
      <c r="K1809" s="40"/>
      <c r="L1809" s="5"/>
      <c r="M1809" s="5"/>
      <c r="N1809" s="28"/>
      <c r="O1809" s="28"/>
      <c r="P1809" s="28"/>
      <c r="Q1809" s="28"/>
      <c r="R1809" s="28"/>
      <c r="S1809" s="28"/>
      <c r="T1809" s="28"/>
      <c r="V1809" s="28"/>
      <c r="W1809" s="5"/>
      <c r="X1809" s="5"/>
      <c r="Z1809" s="28"/>
      <c r="AA1809" s="28"/>
      <c r="AB1809" s="28"/>
      <c r="AC1809" s="28"/>
      <c r="AD1809" s="28"/>
      <c r="AE1809" s="28"/>
      <c r="AF1809" s="28"/>
      <c r="AG1809" s="28"/>
      <c r="AH1809" s="28"/>
      <c r="AI1809" s="28"/>
      <c r="AJ1809" s="28"/>
      <c r="AK1809" s="28"/>
      <c r="AL1809" s="28"/>
      <c r="AM1809" s="28"/>
      <c r="AN1809" s="28"/>
      <c r="AO1809" s="28"/>
      <c r="AP1809" s="28"/>
      <c r="AQ1809" s="28"/>
      <c r="AR1809" s="28"/>
      <c r="AS1809" s="28"/>
      <c r="AT1809" s="5"/>
      <c r="AU1809" s="28"/>
      <c r="AV1809" s="28"/>
      <c r="AX1809" s="28"/>
      <c r="AY1809" s="28"/>
      <c r="BA1809" s="28"/>
      <c r="BB1809" s="28"/>
      <c r="BF1809" s="28"/>
      <c r="BH1809" s="28"/>
      <c r="BI1809" s="28"/>
      <c r="BJ1809" s="38"/>
      <c r="BK1809" s="28"/>
    </row>
    <row r="1810" customFormat="false" ht="15.75" hidden="false" customHeight="false" outlineLevel="0" collapsed="false">
      <c r="A1810" s="28"/>
      <c r="B1810" s="28"/>
      <c r="C1810" s="28"/>
      <c r="D1810" s="5"/>
      <c r="E1810" s="38"/>
      <c r="F1810" s="28"/>
      <c r="G1810" s="28"/>
      <c r="H1810" s="38"/>
      <c r="I1810" s="28"/>
      <c r="J1810" s="40"/>
      <c r="K1810" s="40"/>
      <c r="L1810" s="5"/>
      <c r="M1810" s="5"/>
      <c r="N1810" s="28"/>
      <c r="O1810" s="28"/>
      <c r="P1810" s="28"/>
      <c r="Q1810" s="28"/>
      <c r="R1810" s="28"/>
      <c r="S1810" s="28"/>
      <c r="T1810" s="28"/>
      <c r="V1810" s="28"/>
      <c r="W1810" s="5"/>
      <c r="X1810" s="5"/>
      <c r="Z1810" s="28"/>
      <c r="AA1810" s="28"/>
      <c r="AB1810" s="28"/>
      <c r="AC1810" s="28"/>
      <c r="AD1810" s="28"/>
      <c r="AE1810" s="28"/>
      <c r="AF1810" s="28"/>
      <c r="AG1810" s="28"/>
      <c r="AH1810" s="28"/>
      <c r="AI1810" s="28"/>
      <c r="AJ1810" s="28"/>
      <c r="AK1810" s="28"/>
      <c r="AL1810" s="28"/>
      <c r="AM1810" s="28"/>
      <c r="AN1810" s="28"/>
      <c r="AO1810" s="28"/>
      <c r="AP1810" s="28"/>
      <c r="AQ1810" s="28"/>
      <c r="AR1810" s="28"/>
      <c r="AS1810" s="28"/>
      <c r="AT1810" s="5"/>
      <c r="AU1810" s="28"/>
      <c r="AV1810" s="28"/>
      <c r="AX1810" s="28"/>
      <c r="AY1810" s="28"/>
      <c r="BA1810" s="28"/>
      <c r="BB1810" s="28"/>
      <c r="BF1810" s="28"/>
      <c r="BH1810" s="28"/>
      <c r="BI1810" s="28"/>
      <c r="BJ1810" s="38"/>
      <c r="BK1810" s="28"/>
    </row>
    <row r="1811" customFormat="false" ht="15.75" hidden="false" customHeight="false" outlineLevel="0" collapsed="false">
      <c r="A1811" s="28"/>
      <c r="B1811" s="28"/>
      <c r="C1811" s="28"/>
      <c r="D1811" s="5"/>
      <c r="E1811" s="38"/>
      <c r="F1811" s="28"/>
      <c r="G1811" s="28"/>
      <c r="H1811" s="38"/>
      <c r="I1811" s="28"/>
      <c r="J1811" s="40"/>
      <c r="K1811" s="40"/>
      <c r="L1811" s="5"/>
      <c r="M1811" s="5"/>
      <c r="N1811" s="28"/>
      <c r="O1811" s="28"/>
      <c r="P1811" s="28"/>
      <c r="Q1811" s="28"/>
      <c r="R1811" s="28"/>
      <c r="S1811" s="28"/>
      <c r="T1811" s="28"/>
      <c r="V1811" s="28"/>
      <c r="W1811" s="5"/>
      <c r="X1811" s="5"/>
      <c r="Z1811" s="28"/>
      <c r="AA1811" s="28"/>
      <c r="AB1811" s="28"/>
      <c r="AC1811" s="28"/>
      <c r="AD1811" s="28"/>
      <c r="AE1811" s="28"/>
      <c r="AF1811" s="28"/>
      <c r="AG1811" s="28"/>
      <c r="AH1811" s="28"/>
      <c r="AI1811" s="28"/>
      <c r="AJ1811" s="28"/>
      <c r="AK1811" s="28"/>
      <c r="AL1811" s="28"/>
      <c r="AM1811" s="28"/>
      <c r="AN1811" s="28"/>
      <c r="AO1811" s="28"/>
      <c r="AP1811" s="28"/>
      <c r="AQ1811" s="28"/>
      <c r="AR1811" s="28"/>
      <c r="AS1811" s="28"/>
      <c r="AT1811" s="5"/>
      <c r="AU1811" s="28"/>
      <c r="AV1811" s="28"/>
      <c r="AX1811" s="28"/>
      <c r="AY1811" s="28"/>
      <c r="BA1811" s="28"/>
      <c r="BB1811" s="28"/>
      <c r="BF1811" s="28"/>
      <c r="BH1811" s="28"/>
      <c r="BI1811" s="28"/>
      <c r="BJ1811" s="38"/>
      <c r="BK1811" s="28"/>
    </row>
    <row r="1812" customFormat="false" ht="15.75" hidden="false" customHeight="false" outlineLevel="0" collapsed="false">
      <c r="A1812" s="28"/>
      <c r="B1812" s="28"/>
      <c r="C1812" s="28"/>
      <c r="D1812" s="5"/>
      <c r="E1812" s="38"/>
      <c r="F1812" s="28"/>
      <c r="G1812" s="28"/>
      <c r="H1812" s="38"/>
      <c r="I1812" s="28"/>
      <c r="J1812" s="40"/>
      <c r="K1812" s="40"/>
      <c r="L1812" s="5"/>
      <c r="M1812" s="5"/>
      <c r="N1812" s="28"/>
      <c r="O1812" s="28"/>
      <c r="P1812" s="28"/>
      <c r="Q1812" s="28"/>
      <c r="R1812" s="28"/>
      <c r="S1812" s="28"/>
      <c r="T1812" s="28"/>
      <c r="V1812" s="28"/>
      <c r="W1812" s="5"/>
      <c r="X1812" s="5"/>
      <c r="Z1812" s="28"/>
      <c r="AA1812" s="28"/>
      <c r="AB1812" s="28"/>
      <c r="AC1812" s="28"/>
      <c r="AD1812" s="28"/>
      <c r="AE1812" s="28"/>
      <c r="AF1812" s="28"/>
      <c r="AG1812" s="28"/>
      <c r="AH1812" s="28"/>
      <c r="AI1812" s="28"/>
      <c r="AJ1812" s="28"/>
      <c r="AK1812" s="28"/>
      <c r="AL1812" s="28"/>
      <c r="AM1812" s="28"/>
      <c r="AN1812" s="28"/>
      <c r="AO1812" s="28"/>
      <c r="AP1812" s="28"/>
      <c r="AQ1812" s="28"/>
      <c r="AR1812" s="28"/>
      <c r="AS1812" s="28"/>
      <c r="AT1812" s="5"/>
      <c r="AU1812" s="28"/>
      <c r="AV1812" s="28"/>
      <c r="AX1812" s="28"/>
      <c r="AY1812" s="28"/>
      <c r="BA1812" s="28"/>
      <c r="BB1812" s="28"/>
      <c r="BF1812" s="28"/>
      <c r="BH1812" s="28"/>
      <c r="BI1812" s="28"/>
      <c r="BJ1812" s="38"/>
      <c r="BK1812" s="28"/>
    </row>
    <row r="1813" customFormat="false" ht="15.75" hidden="false" customHeight="false" outlineLevel="0" collapsed="false">
      <c r="A1813" s="28"/>
      <c r="B1813" s="28"/>
      <c r="C1813" s="28"/>
      <c r="D1813" s="5"/>
      <c r="E1813" s="38"/>
      <c r="F1813" s="28"/>
      <c r="G1813" s="28"/>
      <c r="H1813" s="38"/>
      <c r="I1813" s="28"/>
      <c r="J1813" s="40"/>
      <c r="K1813" s="40"/>
      <c r="L1813" s="5"/>
      <c r="M1813" s="5"/>
      <c r="N1813" s="28"/>
      <c r="O1813" s="28"/>
      <c r="P1813" s="28"/>
      <c r="Q1813" s="28"/>
      <c r="R1813" s="28"/>
      <c r="S1813" s="28"/>
      <c r="T1813" s="28"/>
      <c r="V1813" s="28"/>
      <c r="W1813" s="5"/>
      <c r="X1813" s="5"/>
      <c r="Z1813" s="28"/>
      <c r="AA1813" s="28"/>
      <c r="AB1813" s="28"/>
      <c r="AC1813" s="28"/>
      <c r="AD1813" s="28"/>
      <c r="AE1813" s="28"/>
      <c r="AF1813" s="28"/>
      <c r="AG1813" s="28"/>
      <c r="AH1813" s="28"/>
      <c r="AI1813" s="28"/>
      <c r="AJ1813" s="28"/>
      <c r="AK1813" s="28"/>
      <c r="AL1813" s="28"/>
      <c r="AM1813" s="28"/>
      <c r="AN1813" s="28"/>
      <c r="AO1813" s="28"/>
      <c r="AP1813" s="28"/>
      <c r="AQ1813" s="28"/>
      <c r="AR1813" s="28"/>
      <c r="AS1813" s="28"/>
      <c r="AT1813" s="5"/>
      <c r="AU1813" s="28"/>
      <c r="AV1813" s="28"/>
      <c r="AX1813" s="28"/>
      <c r="AY1813" s="28"/>
      <c r="BA1813" s="28"/>
      <c r="BB1813" s="28"/>
      <c r="BF1813" s="28"/>
      <c r="BH1813" s="28"/>
      <c r="BI1813" s="28"/>
      <c r="BJ1813" s="38"/>
      <c r="BK1813" s="28"/>
    </row>
    <row r="1814" customFormat="false" ht="15.75" hidden="false" customHeight="false" outlineLevel="0" collapsed="false">
      <c r="A1814" s="28"/>
      <c r="B1814" s="28"/>
      <c r="C1814" s="28"/>
      <c r="D1814" s="5"/>
      <c r="E1814" s="38"/>
      <c r="F1814" s="28"/>
      <c r="G1814" s="28"/>
      <c r="H1814" s="38"/>
      <c r="I1814" s="28"/>
      <c r="J1814" s="40"/>
      <c r="K1814" s="40"/>
      <c r="L1814" s="5"/>
      <c r="M1814" s="5"/>
      <c r="N1814" s="28"/>
      <c r="O1814" s="28"/>
      <c r="P1814" s="28"/>
      <c r="Q1814" s="28"/>
      <c r="R1814" s="28"/>
      <c r="S1814" s="28"/>
      <c r="T1814" s="28"/>
      <c r="V1814" s="28"/>
      <c r="W1814" s="5"/>
      <c r="X1814" s="5"/>
      <c r="Z1814" s="28"/>
      <c r="AA1814" s="28"/>
      <c r="AB1814" s="28"/>
      <c r="AC1814" s="28"/>
      <c r="AD1814" s="28"/>
      <c r="AE1814" s="28"/>
      <c r="AF1814" s="28"/>
      <c r="AG1814" s="28"/>
      <c r="AH1814" s="28"/>
      <c r="AI1814" s="28"/>
      <c r="AJ1814" s="28"/>
      <c r="AK1814" s="28"/>
      <c r="AL1814" s="28"/>
      <c r="AM1814" s="28"/>
      <c r="AN1814" s="28"/>
      <c r="AO1814" s="28"/>
      <c r="AP1814" s="28"/>
      <c r="AQ1814" s="28"/>
      <c r="AR1814" s="28"/>
      <c r="AS1814" s="28"/>
      <c r="AT1814" s="5"/>
      <c r="AU1814" s="28"/>
      <c r="AV1814" s="28"/>
      <c r="AX1814" s="28"/>
      <c r="AY1814" s="28"/>
      <c r="BA1814" s="28"/>
      <c r="BB1814" s="28"/>
      <c r="BF1814" s="28"/>
      <c r="BH1814" s="28"/>
      <c r="BI1814" s="28"/>
      <c r="BJ1814" s="38"/>
      <c r="BK1814" s="28"/>
    </row>
    <row r="1815" customFormat="false" ht="15.75" hidden="false" customHeight="false" outlineLevel="0" collapsed="false">
      <c r="A1815" s="28"/>
      <c r="B1815" s="28"/>
      <c r="C1815" s="28"/>
      <c r="D1815" s="5"/>
      <c r="E1815" s="38"/>
      <c r="F1815" s="28"/>
      <c r="G1815" s="28"/>
      <c r="H1815" s="38"/>
      <c r="I1815" s="28"/>
      <c r="J1815" s="40"/>
      <c r="K1815" s="40"/>
      <c r="L1815" s="5"/>
      <c r="M1815" s="5"/>
      <c r="N1815" s="28"/>
      <c r="O1815" s="28"/>
      <c r="P1815" s="28"/>
      <c r="Q1815" s="28"/>
      <c r="R1815" s="28"/>
      <c r="S1815" s="28"/>
      <c r="T1815" s="28"/>
      <c r="V1815" s="28"/>
      <c r="W1815" s="5"/>
      <c r="X1815" s="5"/>
      <c r="Z1815" s="28"/>
      <c r="AA1815" s="28"/>
      <c r="AB1815" s="28"/>
      <c r="AC1815" s="28"/>
      <c r="AD1815" s="28"/>
      <c r="AE1815" s="28"/>
      <c r="AF1815" s="28"/>
      <c r="AG1815" s="28"/>
      <c r="AH1815" s="28"/>
      <c r="AI1815" s="28"/>
      <c r="AJ1815" s="28"/>
      <c r="AK1815" s="28"/>
      <c r="AL1815" s="28"/>
      <c r="AM1815" s="28"/>
      <c r="AN1815" s="28"/>
      <c r="AO1815" s="28"/>
      <c r="AP1815" s="28"/>
      <c r="AQ1815" s="28"/>
      <c r="AR1815" s="28"/>
      <c r="AS1815" s="28"/>
      <c r="AT1815" s="5"/>
      <c r="AU1815" s="28"/>
      <c r="AV1815" s="28"/>
      <c r="AX1815" s="28"/>
      <c r="AY1815" s="28"/>
      <c r="BA1815" s="28"/>
      <c r="BB1815" s="28"/>
      <c r="BF1815" s="28"/>
      <c r="BH1815" s="28"/>
      <c r="BI1815" s="28"/>
      <c r="BJ1815" s="38"/>
      <c r="BK1815" s="28"/>
    </row>
    <row r="1816" customFormat="false" ht="15.75" hidden="false" customHeight="false" outlineLevel="0" collapsed="false">
      <c r="A1816" s="28"/>
      <c r="B1816" s="28"/>
      <c r="C1816" s="28"/>
      <c r="D1816" s="5"/>
      <c r="E1816" s="38"/>
      <c r="F1816" s="28"/>
      <c r="G1816" s="28"/>
      <c r="H1816" s="38"/>
      <c r="I1816" s="28"/>
      <c r="J1816" s="40"/>
      <c r="K1816" s="40"/>
      <c r="L1816" s="5"/>
      <c r="M1816" s="5"/>
      <c r="N1816" s="28"/>
      <c r="O1816" s="28"/>
      <c r="P1816" s="28"/>
      <c r="Q1816" s="28"/>
      <c r="R1816" s="28"/>
      <c r="S1816" s="28"/>
      <c r="T1816" s="28"/>
      <c r="V1816" s="28"/>
      <c r="W1816" s="5"/>
      <c r="X1816" s="5"/>
      <c r="Z1816" s="28"/>
      <c r="AA1816" s="28"/>
      <c r="AB1816" s="28"/>
      <c r="AC1816" s="28"/>
      <c r="AD1816" s="28"/>
      <c r="AE1816" s="28"/>
      <c r="AF1816" s="28"/>
      <c r="AG1816" s="28"/>
      <c r="AH1816" s="28"/>
      <c r="AI1816" s="28"/>
      <c r="AJ1816" s="28"/>
      <c r="AK1816" s="28"/>
      <c r="AL1816" s="28"/>
      <c r="AM1816" s="28"/>
      <c r="AN1816" s="28"/>
      <c r="AO1816" s="28"/>
      <c r="AP1816" s="28"/>
      <c r="AQ1816" s="28"/>
      <c r="AR1816" s="28"/>
      <c r="AS1816" s="28"/>
      <c r="AT1816" s="5"/>
      <c r="AU1816" s="28"/>
      <c r="AV1816" s="28"/>
      <c r="AX1816" s="28"/>
      <c r="AY1816" s="28"/>
      <c r="BA1816" s="28"/>
      <c r="BB1816" s="28"/>
      <c r="BF1816" s="28"/>
      <c r="BH1816" s="28"/>
      <c r="BI1816" s="28"/>
      <c r="BJ1816" s="38"/>
      <c r="BK1816" s="28"/>
    </row>
    <row r="1817" customFormat="false" ht="15.75" hidden="false" customHeight="false" outlineLevel="0" collapsed="false">
      <c r="A1817" s="28"/>
      <c r="B1817" s="28"/>
      <c r="C1817" s="28"/>
      <c r="D1817" s="5"/>
      <c r="E1817" s="38"/>
      <c r="F1817" s="28"/>
      <c r="G1817" s="28"/>
      <c r="H1817" s="38"/>
      <c r="I1817" s="28"/>
      <c r="J1817" s="40"/>
      <c r="K1817" s="40"/>
      <c r="L1817" s="5"/>
      <c r="M1817" s="5"/>
      <c r="N1817" s="28"/>
      <c r="O1817" s="28"/>
      <c r="P1817" s="28"/>
      <c r="Q1817" s="28"/>
      <c r="R1817" s="28"/>
      <c r="S1817" s="28"/>
      <c r="T1817" s="28"/>
      <c r="V1817" s="28"/>
      <c r="W1817" s="5"/>
      <c r="X1817" s="5"/>
      <c r="Z1817" s="28"/>
      <c r="AA1817" s="28"/>
      <c r="AB1817" s="28"/>
      <c r="AC1817" s="28"/>
      <c r="AD1817" s="28"/>
      <c r="AE1817" s="28"/>
      <c r="AF1817" s="28"/>
      <c r="AG1817" s="28"/>
      <c r="AH1817" s="28"/>
      <c r="AI1817" s="28"/>
      <c r="AJ1817" s="28"/>
      <c r="AK1817" s="28"/>
      <c r="AL1817" s="28"/>
      <c r="AM1817" s="28"/>
      <c r="AN1817" s="28"/>
      <c r="AO1817" s="28"/>
      <c r="AP1817" s="28"/>
      <c r="AQ1817" s="28"/>
      <c r="AR1817" s="28"/>
      <c r="AS1817" s="28"/>
      <c r="AT1817" s="5"/>
      <c r="AU1817" s="28"/>
      <c r="AV1817" s="28"/>
      <c r="AX1817" s="28"/>
      <c r="AY1817" s="28"/>
      <c r="BA1817" s="28"/>
      <c r="BB1817" s="28"/>
      <c r="BF1817" s="28"/>
      <c r="BH1817" s="28"/>
      <c r="BI1817" s="28"/>
      <c r="BJ1817" s="38"/>
      <c r="BK1817" s="28"/>
    </row>
    <row r="1818" customFormat="false" ht="15.75" hidden="false" customHeight="false" outlineLevel="0" collapsed="false">
      <c r="A1818" s="28"/>
      <c r="B1818" s="28"/>
      <c r="C1818" s="28"/>
      <c r="D1818" s="5"/>
      <c r="E1818" s="38"/>
      <c r="F1818" s="28"/>
      <c r="G1818" s="28"/>
      <c r="H1818" s="38"/>
      <c r="I1818" s="28"/>
      <c r="J1818" s="40"/>
      <c r="K1818" s="40"/>
      <c r="L1818" s="5"/>
      <c r="M1818" s="5"/>
      <c r="N1818" s="28"/>
      <c r="O1818" s="28"/>
      <c r="P1818" s="28"/>
      <c r="Q1818" s="28"/>
      <c r="R1818" s="28"/>
      <c r="S1818" s="28"/>
      <c r="T1818" s="28"/>
      <c r="V1818" s="28"/>
      <c r="W1818" s="5"/>
      <c r="X1818" s="5"/>
      <c r="Z1818" s="28"/>
      <c r="AA1818" s="28"/>
      <c r="AB1818" s="28"/>
      <c r="AC1818" s="28"/>
      <c r="AD1818" s="28"/>
      <c r="AE1818" s="28"/>
      <c r="AF1818" s="28"/>
      <c r="AG1818" s="28"/>
      <c r="AH1818" s="28"/>
      <c r="AI1818" s="28"/>
      <c r="AJ1818" s="28"/>
      <c r="AK1818" s="28"/>
      <c r="AL1818" s="28"/>
      <c r="AM1818" s="28"/>
      <c r="AN1818" s="28"/>
      <c r="AO1818" s="28"/>
      <c r="AP1818" s="28"/>
      <c r="AQ1818" s="28"/>
      <c r="AR1818" s="28"/>
      <c r="AS1818" s="28"/>
      <c r="AT1818" s="5"/>
      <c r="AU1818" s="28"/>
      <c r="AV1818" s="28"/>
      <c r="AX1818" s="28"/>
      <c r="AY1818" s="28"/>
      <c r="BA1818" s="28"/>
      <c r="BB1818" s="28"/>
      <c r="BF1818" s="28"/>
      <c r="BH1818" s="28"/>
      <c r="BI1818" s="28"/>
      <c r="BJ1818" s="38"/>
      <c r="BK1818" s="28"/>
    </row>
    <row r="1819" customFormat="false" ht="15.75" hidden="false" customHeight="false" outlineLevel="0" collapsed="false">
      <c r="A1819" s="28"/>
      <c r="B1819" s="28"/>
      <c r="C1819" s="28"/>
      <c r="D1819" s="5"/>
      <c r="E1819" s="38"/>
      <c r="F1819" s="28"/>
      <c r="G1819" s="28"/>
      <c r="H1819" s="38"/>
      <c r="I1819" s="28"/>
      <c r="J1819" s="40"/>
      <c r="K1819" s="40"/>
      <c r="L1819" s="5"/>
      <c r="M1819" s="5"/>
      <c r="N1819" s="28"/>
      <c r="O1819" s="28"/>
      <c r="P1819" s="28"/>
      <c r="Q1819" s="28"/>
      <c r="R1819" s="28"/>
      <c r="S1819" s="28"/>
      <c r="T1819" s="28"/>
      <c r="V1819" s="28"/>
      <c r="W1819" s="5"/>
      <c r="X1819" s="5"/>
      <c r="Z1819" s="28"/>
      <c r="AA1819" s="28"/>
      <c r="AB1819" s="28"/>
      <c r="AC1819" s="28"/>
      <c r="AD1819" s="28"/>
      <c r="AE1819" s="28"/>
      <c r="AF1819" s="28"/>
      <c r="AG1819" s="28"/>
      <c r="AH1819" s="28"/>
      <c r="AI1819" s="28"/>
      <c r="AJ1819" s="28"/>
      <c r="AK1819" s="28"/>
      <c r="AL1819" s="28"/>
      <c r="AM1819" s="28"/>
      <c r="AN1819" s="28"/>
      <c r="AO1819" s="28"/>
      <c r="AP1819" s="28"/>
      <c r="AQ1819" s="28"/>
      <c r="AR1819" s="28"/>
      <c r="AS1819" s="28"/>
      <c r="AT1819" s="5"/>
      <c r="AU1819" s="28"/>
      <c r="AV1819" s="28"/>
      <c r="AX1819" s="28"/>
      <c r="AY1819" s="28"/>
      <c r="BA1819" s="28"/>
      <c r="BB1819" s="28"/>
      <c r="BF1819" s="28"/>
      <c r="BH1819" s="28"/>
      <c r="BI1819" s="28"/>
      <c r="BJ1819" s="38"/>
      <c r="BK1819" s="28"/>
    </row>
    <row r="1820" customFormat="false" ht="15.75" hidden="false" customHeight="false" outlineLevel="0" collapsed="false">
      <c r="A1820" s="28"/>
      <c r="B1820" s="28"/>
      <c r="C1820" s="28"/>
      <c r="D1820" s="5"/>
      <c r="E1820" s="38"/>
      <c r="F1820" s="28"/>
      <c r="G1820" s="28"/>
      <c r="H1820" s="38"/>
      <c r="I1820" s="28"/>
      <c r="J1820" s="40"/>
      <c r="K1820" s="40"/>
      <c r="L1820" s="5"/>
      <c r="M1820" s="5"/>
      <c r="N1820" s="28"/>
      <c r="O1820" s="28"/>
      <c r="P1820" s="28"/>
      <c r="Q1820" s="28"/>
      <c r="R1820" s="28"/>
      <c r="S1820" s="28"/>
      <c r="T1820" s="28"/>
      <c r="V1820" s="28"/>
      <c r="W1820" s="5"/>
      <c r="X1820" s="5"/>
      <c r="Z1820" s="28"/>
      <c r="AA1820" s="28"/>
      <c r="AB1820" s="28"/>
      <c r="AC1820" s="28"/>
      <c r="AD1820" s="28"/>
      <c r="AE1820" s="28"/>
      <c r="AF1820" s="28"/>
      <c r="AG1820" s="28"/>
      <c r="AH1820" s="28"/>
      <c r="AI1820" s="28"/>
      <c r="AJ1820" s="28"/>
      <c r="AK1820" s="28"/>
      <c r="AL1820" s="28"/>
      <c r="AM1820" s="28"/>
      <c r="AN1820" s="28"/>
      <c r="AO1820" s="28"/>
      <c r="AP1820" s="28"/>
      <c r="AQ1820" s="28"/>
      <c r="AR1820" s="28"/>
      <c r="AS1820" s="28"/>
      <c r="AT1820" s="5"/>
      <c r="AU1820" s="28"/>
      <c r="AV1820" s="28"/>
      <c r="AX1820" s="28"/>
      <c r="AY1820" s="28"/>
      <c r="BA1820" s="28"/>
      <c r="BB1820" s="28"/>
      <c r="BF1820" s="28"/>
      <c r="BH1820" s="28"/>
      <c r="BI1820" s="28"/>
      <c r="BJ1820" s="38"/>
      <c r="BK1820" s="28"/>
    </row>
    <row r="1821" customFormat="false" ht="15.75" hidden="false" customHeight="false" outlineLevel="0" collapsed="false">
      <c r="A1821" s="28"/>
      <c r="B1821" s="28"/>
      <c r="C1821" s="28"/>
      <c r="D1821" s="5"/>
      <c r="E1821" s="38"/>
      <c r="F1821" s="28"/>
      <c r="G1821" s="28"/>
      <c r="H1821" s="38"/>
      <c r="I1821" s="28"/>
      <c r="J1821" s="40"/>
      <c r="K1821" s="40"/>
      <c r="L1821" s="5"/>
      <c r="M1821" s="5"/>
      <c r="N1821" s="28"/>
      <c r="O1821" s="28"/>
      <c r="P1821" s="28"/>
      <c r="Q1821" s="28"/>
      <c r="R1821" s="28"/>
      <c r="S1821" s="28"/>
      <c r="T1821" s="28"/>
      <c r="V1821" s="28"/>
      <c r="W1821" s="5"/>
      <c r="X1821" s="5"/>
      <c r="Z1821" s="28"/>
      <c r="AA1821" s="28"/>
      <c r="AB1821" s="28"/>
      <c r="AC1821" s="28"/>
      <c r="AD1821" s="28"/>
      <c r="AE1821" s="28"/>
      <c r="AF1821" s="28"/>
      <c r="AG1821" s="28"/>
      <c r="AH1821" s="28"/>
      <c r="AI1821" s="28"/>
      <c r="AJ1821" s="28"/>
      <c r="AK1821" s="28"/>
      <c r="AL1821" s="28"/>
      <c r="AM1821" s="28"/>
      <c r="AN1821" s="28"/>
      <c r="AO1821" s="28"/>
      <c r="AP1821" s="28"/>
      <c r="AQ1821" s="28"/>
      <c r="AR1821" s="28"/>
      <c r="AS1821" s="28"/>
      <c r="AT1821" s="5"/>
      <c r="AU1821" s="28"/>
      <c r="AV1821" s="28"/>
      <c r="AX1821" s="28"/>
      <c r="AY1821" s="28"/>
      <c r="BA1821" s="28"/>
      <c r="BB1821" s="28"/>
      <c r="BF1821" s="28"/>
      <c r="BH1821" s="28"/>
      <c r="BI1821" s="28"/>
      <c r="BJ1821" s="38"/>
      <c r="BK1821" s="28"/>
    </row>
    <row r="1822" customFormat="false" ht="15.75" hidden="false" customHeight="false" outlineLevel="0" collapsed="false">
      <c r="A1822" s="28"/>
      <c r="B1822" s="28"/>
      <c r="C1822" s="28"/>
      <c r="D1822" s="5"/>
      <c r="E1822" s="38"/>
      <c r="F1822" s="28"/>
      <c r="G1822" s="28"/>
      <c r="H1822" s="38"/>
      <c r="I1822" s="28"/>
      <c r="J1822" s="40"/>
      <c r="K1822" s="40"/>
      <c r="L1822" s="5"/>
      <c r="M1822" s="5"/>
      <c r="N1822" s="28"/>
      <c r="O1822" s="28"/>
      <c r="P1822" s="28"/>
      <c r="Q1822" s="28"/>
      <c r="R1822" s="28"/>
      <c r="S1822" s="28"/>
      <c r="T1822" s="28"/>
      <c r="V1822" s="28"/>
      <c r="W1822" s="5"/>
      <c r="X1822" s="5"/>
      <c r="Z1822" s="28"/>
      <c r="AA1822" s="28"/>
      <c r="AB1822" s="28"/>
      <c r="AC1822" s="28"/>
      <c r="AD1822" s="28"/>
      <c r="AE1822" s="28"/>
      <c r="AF1822" s="28"/>
      <c r="AG1822" s="28"/>
      <c r="AH1822" s="28"/>
      <c r="AI1822" s="28"/>
      <c r="AJ1822" s="28"/>
      <c r="AK1822" s="28"/>
      <c r="AL1822" s="28"/>
      <c r="AM1822" s="28"/>
      <c r="AN1822" s="28"/>
      <c r="AO1822" s="28"/>
      <c r="AP1822" s="28"/>
      <c r="AQ1822" s="28"/>
      <c r="AR1822" s="28"/>
      <c r="AS1822" s="28"/>
      <c r="AT1822" s="5"/>
      <c r="AU1822" s="28"/>
      <c r="AV1822" s="28"/>
      <c r="AX1822" s="28"/>
      <c r="AY1822" s="28"/>
      <c r="BA1822" s="28"/>
      <c r="BB1822" s="28"/>
      <c r="BF1822" s="28"/>
      <c r="BH1822" s="28"/>
      <c r="BI1822" s="28"/>
      <c r="BJ1822" s="38"/>
      <c r="BK1822" s="28"/>
    </row>
    <row r="1823" customFormat="false" ht="15.75" hidden="false" customHeight="false" outlineLevel="0" collapsed="false">
      <c r="A1823" s="28"/>
      <c r="B1823" s="28"/>
      <c r="C1823" s="28"/>
      <c r="D1823" s="5"/>
      <c r="E1823" s="38"/>
      <c r="F1823" s="28"/>
      <c r="G1823" s="28"/>
      <c r="H1823" s="38"/>
      <c r="I1823" s="28"/>
      <c r="J1823" s="40"/>
      <c r="K1823" s="40"/>
      <c r="L1823" s="5"/>
      <c r="M1823" s="5"/>
      <c r="N1823" s="28"/>
      <c r="O1823" s="28"/>
      <c r="P1823" s="28"/>
      <c r="Q1823" s="28"/>
      <c r="R1823" s="28"/>
      <c r="S1823" s="28"/>
      <c r="T1823" s="28"/>
      <c r="V1823" s="28"/>
      <c r="W1823" s="5"/>
      <c r="X1823" s="5"/>
      <c r="Z1823" s="28"/>
      <c r="AA1823" s="28"/>
      <c r="AB1823" s="28"/>
      <c r="AC1823" s="28"/>
      <c r="AD1823" s="28"/>
      <c r="AE1823" s="28"/>
      <c r="AF1823" s="28"/>
      <c r="AG1823" s="28"/>
      <c r="AH1823" s="28"/>
      <c r="AI1823" s="28"/>
      <c r="AJ1823" s="28"/>
      <c r="AK1823" s="28"/>
      <c r="AL1823" s="28"/>
      <c r="AM1823" s="28"/>
      <c r="AN1823" s="28"/>
      <c r="AO1823" s="28"/>
      <c r="AP1823" s="28"/>
      <c r="AQ1823" s="28"/>
      <c r="AR1823" s="28"/>
      <c r="AS1823" s="28"/>
      <c r="AT1823" s="5"/>
      <c r="AU1823" s="28"/>
      <c r="AV1823" s="28"/>
      <c r="AX1823" s="28"/>
      <c r="AY1823" s="28"/>
      <c r="BA1823" s="28"/>
      <c r="BB1823" s="28"/>
      <c r="BF1823" s="28"/>
      <c r="BH1823" s="28"/>
      <c r="BI1823" s="28"/>
      <c r="BJ1823" s="38"/>
      <c r="BK1823" s="28"/>
    </row>
    <row r="1824" customFormat="false" ht="15.75" hidden="false" customHeight="false" outlineLevel="0" collapsed="false">
      <c r="A1824" s="28"/>
      <c r="B1824" s="28"/>
      <c r="C1824" s="28"/>
      <c r="D1824" s="5"/>
      <c r="E1824" s="38"/>
      <c r="F1824" s="28"/>
      <c r="G1824" s="28"/>
      <c r="H1824" s="38"/>
      <c r="I1824" s="28"/>
      <c r="J1824" s="40"/>
      <c r="K1824" s="40"/>
      <c r="L1824" s="5"/>
      <c r="M1824" s="5"/>
      <c r="N1824" s="28"/>
      <c r="O1824" s="28"/>
      <c r="P1824" s="28"/>
      <c r="Q1824" s="28"/>
      <c r="R1824" s="28"/>
      <c r="S1824" s="28"/>
      <c r="T1824" s="28"/>
      <c r="V1824" s="28"/>
      <c r="W1824" s="5"/>
      <c r="X1824" s="5"/>
      <c r="Z1824" s="28"/>
      <c r="AA1824" s="28"/>
      <c r="AB1824" s="28"/>
      <c r="AC1824" s="28"/>
      <c r="AD1824" s="28"/>
      <c r="AE1824" s="28"/>
      <c r="AF1824" s="28"/>
      <c r="AG1824" s="28"/>
      <c r="AH1824" s="28"/>
      <c r="AI1824" s="28"/>
      <c r="AJ1824" s="28"/>
      <c r="AK1824" s="28"/>
      <c r="AL1824" s="28"/>
      <c r="AM1824" s="28"/>
      <c r="AN1824" s="28"/>
      <c r="AO1824" s="28"/>
      <c r="AP1824" s="28"/>
      <c r="AQ1824" s="28"/>
      <c r="AR1824" s="28"/>
      <c r="AS1824" s="28"/>
      <c r="AT1824" s="5"/>
      <c r="AU1824" s="28"/>
      <c r="AV1824" s="28"/>
      <c r="AX1824" s="28"/>
      <c r="AY1824" s="28"/>
      <c r="BA1824" s="28"/>
      <c r="BB1824" s="28"/>
      <c r="BF1824" s="28"/>
      <c r="BH1824" s="28"/>
      <c r="BI1824" s="28"/>
      <c r="BJ1824" s="38"/>
      <c r="BK1824" s="28"/>
    </row>
    <row r="1825" customFormat="false" ht="15.75" hidden="false" customHeight="false" outlineLevel="0" collapsed="false">
      <c r="A1825" s="28"/>
      <c r="B1825" s="28"/>
      <c r="C1825" s="28"/>
      <c r="D1825" s="5"/>
      <c r="E1825" s="38"/>
      <c r="F1825" s="28"/>
      <c r="G1825" s="28"/>
      <c r="H1825" s="38"/>
      <c r="I1825" s="28"/>
      <c r="J1825" s="40"/>
      <c r="K1825" s="40"/>
      <c r="L1825" s="5"/>
      <c r="M1825" s="5"/>
      <c r="N1825" s="28"/>
      <c r="O1825" s="28"/>
      <c r="P1825" s="28"/>
      <c r="Q1825" s="28"/>
      <c r="R1825" s="28"/>
      <c r="S1825" s="28"/>
      <c r="T1825" s="28"/>
      <c r="V1825" s="28"/>
      <c r="W1825" s="5"/>
      <c r="X1825" s="5"/>
      <c r="Z1825" s="28"/>
      <c r="AA1825" s="28"/>
      <c r="AB1825" s="28"/>
      <c r="AC1825" s="28"/>
      <c r="AD1825" s="28"/>
      <c r="AE1825" s="28"/>
      <c r="AF1825" s="28"/>
      <c r="AG1825" s="28"/>
      <c r="AH1825" s="28"/>
      <c r="AI1825" s="28"/>
      <c r="AJ1825" s="28"/>
      <c r="AK1825" s="28"/>
      <c r="AL1825" s="28"/>
      <c r="AM1825" s="28"/>
      <c r="AN1825" s="28"/>
      <c r="AO1825" s="28"/>
      <c r="AP1825" s="28"/>
      <c r="AQ1825" s="28"/>
      <c r="AR1825" s="28"/>
      <c r="AS1825" s="28"/>
      <c r="AT1825" s="5"/>
      <c r="AU1825" s="28"/>
      <c r="AV1825" s="28"/>
      <c r="AX1825" s="28"/>
      <c r="AY1825" s="28"/>
      <c r="BA1825" s="28"/>
      <c r="BB1825" s="28"/>
      <c r="BF1825" s="28"/>
      <c r="BH1825" s="28"/>
      <c r="BI1825" s="28"/>
      <c r="BJ1825" s="38"/>
      <c r="BK1825" s="28"/>
    </row>
    <row r="1826" customFormat="false" ht="15.75" hidden="false" customHeight="false" outlineLevel="0" collapsed="false">
      <c r="A1826" s="28"/>
      <c r="B1826" s="28"/>
      <c r="C1826" s="28"/>
      <c r="D1826" s="5"/>
      <c r="E1826" s="38"/>
      <c r="F1826" s="28"/>
      <c r="G1826" s="28"/>
      <c r="H1826" s="38"/>
      <c r="I1826" s="28"/>
      <c r="J1826" s="40"/>
      <c r="K1826" s="40"/>
      <c r="L1826" s="5"/>
      <c r="M1826" s="5"/>
      <c r="N1826" s="28"/>
      <c r="O1826" s="28"/>
      <c r="P1826" s="28"/>
      <c r="Q1826" s="28"/>
      <c r="R1826" s="28"/>
      <c r="S1826" s="28"/>
      <c r="T1826" s="28"/>
      <c r="V1826" s="28"/>
      <c r="W1826" s="5"/>
      <c r="X1826" s="5"/>
      <c r="Z1826" s="28"/>
      <c r="AA1826" s="28"/>
      <c r="AB1826" s="28"/>
      <c r="AC1826" s="28"/>
      <c r="AD1826" s="28"/>
      <c r="AE1826" s="28"/>
      <c r="AF1826" s="28"/>
      <c r="AG1826" s="28"/>
      <c r="AH1826" s="28"/>
      <c r="AI1826" s="28"/>
      <c r="AJ1826" s="28"/>
      <c r="AK1826" s="28"/>
      <c r="AL1826" s="28"/>
      <c r="AM1826" s="28"/>
      <c r="AN1826" s="28"/>
      <c r="AO1826" s="28"/>
      <c r="AP1826" s="28"/>
      <c r="AQ1826" s="28"/>
      <c r="AR1826" s="28"/>
      <c r="AS1826" s="28"/>
      <c r="AT1826" s="5"/>
      <c r="AU1826" s="28"/>
      <c r="AV1826" s="28"/>
      <c r="AX1826" s="28"/>
      <c r="AY1826" s="28"/>
      <c r="BA1826" s="28"/>
      <c r="BB1826" s="28"/>
      <c r="BF1826" s="28"/>
      <c r="BH1826" s="28"/>
      <c r="BI1826" s="28"/>
      <c r="BJ1826" s="38"/>
      <c r="BK1826" s="28"/>
    </row>
    <row r="1827" customFormat="false" ht="15.75" hidden="false" customHeight="false" outlineLevel="0" collapsed="false">
      <c r="A1827" s="28"/>
      <c r="B1827" s="28"/>
      <c r="C1827" s="28"/>
      <c r="D1827" s="5"/>
      <c r="E1827" s="38"/>
      <c r="F1827" s="28"/>
      <c r="G1827" s="28"/>
      <c r="H1827" s="38"/>
      <c r="I1827" s="28"/>
      <c r="J1827" s="40"/>
      <c r="K1827" s="40"/>
      <c r="L1827" s="5"/>
      <c r="M1827" s="5"/>
      <c r="N1827" s="28"/>
      <c r="O1827" s="28"/>
      <c r="P1827" s="28"/>
      <c r="Q1827" s="28"/>
      <c r="R1827" s="28"/>
      <c r="S1827" s="28"/>
      <c r="T1827" s="28"/>
      <c r="V1827" s="28"/>
      <c r="W1827" s="5"/>
      <c r="X1827" s="5"/>
      <c r="Z1827" s="28"/>
      <c r="AA1827" s="28"/>
      <c r="AB1827" s="28"/>
      <c r="AC1827" s="28"/>
      <c r="AD1827" s="28"/>
      <c r="AE1827" s="28"/>
      <c r="AF1827" s="28"/>
      <c r="AG1827" s="28"/>
      <c r="AH1827" s="28"/>
      <c r="AI1827" s="28"/>
      <c r="AJ1827" s="28"/>
      <c r="AK1827" s="28"/>
      <c r="AL1827" s="28"/>
      <c r="AM1827" s="28"/>
      <c r="AN1827" s="28"/>
      <c r="AO1827" s="28"/>
      <c r="AP1827" s="28"/>
      <c r="AQ1827" s="28"/>
      <c r="AR1827" s="28"/>
      <c r="AS1827" s="28"/>
      <c r="AT1827" s="5"/>
      <c r="AU1827" s="28"/>
      <c r="AV1827" s="28"/>
      <c r="AX1827" s="28"/>
      <c r="AY1827" s="28"/>
      <c r="BA1827" s="28"/>
      <c r="BB1827" s="28"/>
      <c r="BF1827" s="28"/>
      <c r="BH1827" s="28"/>
      <c r="BI1827" s="28"/>
      <c r="BJ1827" s="38"/>
      <c r="BK1827" s="28"/>
    </row>
    <row r="1828" customFormat="false" ht="15.75" hidden="false" customHeight="false" outlineLevel="0" collapsed="false">
      <c r="A1828" s="28"/>
      <c r="B1828" s="28"/>
      <c r="C1828" s="28"/>
      <c r="D1828" s="5"/>
      <c r="E1828" s="38"/>
      <c r="F1828" s="28"/>
      <c r="G1828" s="28"/>
      <c r="H1828" s="38"/>
      <c r="I1828" s="28"/>
      <c r="J1828" s="40"/>
      <c r="K1828" s="40"/>
      <c r="L1828" s="5"/>
      <c r="M1828" s="5"/>
      <c r="N1828" s="28"/>
      <c r="O1828" s="28"/>
      <c r="P1828" s="28"/>
      <c r="Q1828" s="28"/>
      <c r="R1828" s="28"/>
      <c r="S1828" s="28"/>
      <c r="T1828" s="28"/>
      <c r="V1828" s="28"/>
      <c r="W1828" s="5"/>
      <c r="X1828" s="5"/>
      <c r="Z1828" s="28"/>
      <c r="AA1828" s="28"/>
      <c r="AB1828" s="28"/>
      <c r="AC1828" s="28"/>
      <c r="AD1828" s="28"/>
      <c r="AE1828" s="28"/>
      <c r="AF1828" s="28"/>
      <c r="AG1828" s="28"/>
      <c r="AH1828" s="28"/>
      <c r="AI1828" s="28"/>
      <c r="AJ1828" s="28"/>
      <c r="AK1828" s="28"/>
      <c r="AL1828" s="28"/>
      <c r="AM1828" s="28"/>
      <c r="AN1828" s="28"/>
      <c r="AO1828" s="28"/>
      <c r="AP1828" s="28"/>
      <c r="AQ1828" s="28"/>
      <c r="AR1828" s="28"/>
      <c r="AS1828" s="28"/>
      <c r="AT1828" s="5"/>
      <c r="AU1828" s="28"/>
      <c r="AV1828" s="28"/>
      <c r="AX1828" s="28"/>
      <c r="AY1828" s="28"/>
      <c r="BA1828" s="28"/>
      <c r="BB1828" s="28"/>
      <c r="BF1828" s="28"/>
      <c r="BH1828" s="28"/>
      <c r="BI1828" s="28"/>
      <c r="BJ1828" s="38"/>
      <c r="BK1828" s="28"/>
    </row>
    <row r="1829" customFormat="false" ht="15.75" hidden="false" customHeight="false" outlineLevel="0" collapsed="false">
      <c r="A1829" s="28"/>
      <c r="B1829" s="28"/>
      <c r="C1829" s="28"/>
      <c r="D1829" s="5"/>
      <c r="E1829" s="38"/>
      <c r="F1829" s="28"/>
      <c r="G1829" s="28"/>
      <c r="H1829" s="38"/>
      <c r="I1829" s="28"/>
      <c r="J1829" s="40"/>
      <c r="K1829" s="40"/>
      <c r="L1829" s="5"/>
      <c r="M1829" s="5"/>
      <c r="N1829" s="28"/>
      <c r="O1829" s="28"/>
      <c r="P1829" s="28"/>
      <c r="Q1829" s="28"/>
      <c r="R1829" s="28"/>
      <c r="S1829" s="28"/>
      <c r="T1829" s="28"/>
      <c r="V1829" s="28"/>
      <c r="W1829" s="5"/>
      <c r="X1829" s="5"/>
      <c r="Z1829" s="28"/>
      <c r="AA1829" s="28"/>
      <c r="AB1829" s="28"/>
      <c r="AC1829" s="28"/>
      <c r="AD1829" s="28"/>
      <c r="AE1829" s="28"/>
      <c r="AF1829" s="28"/>
      <c r="AG1829" s="28"/>
      <c r="AH1829" s="28"/>
      <c r="AI1829" s="28"/>
      <c r="AJ1829" s="28"/>
      <c r="AK1829" s="28"/>
      <c r="AL1829" s="28"/>
      <c r="AM1829" s="28"/>
      <c r="AN1829" s="28"/>
      <c r="AO1829" s="28"/>
      <c r="AP1829" s="28"/>
      <c r="AQ1829" s="28"/>
      <c r="AR1829" s="28"/>
      <c r="AS1829" s="28"/>
      <c r="AT1829" s="5"/>
      <c r="AU1829" s="28"/>
      <c r="AV1829" s="28"/>
      <c r="AX1829" s="28"/>
      <c r="AY1829" s="28"/>
      <c r="BA1829" s="28"/>
      <c r="BB1829" s="28"/>
      <c r="BF1829" s="28"/>
      <c r="BH1829" s="28"/>
      <c r="BI1829" s="28"/>
      <c r="BJ1829" s="38"/>
      <c r="BK1829" s="28"/>
    </row>
    <row r="1830" customFormat="false" ht="15.75" hidden="false" customHeight="false" outlineLevel="0" collapsed="false">
      <c r="A1830" s="28"/>
      <c r="B1830" s="28"/>
      <c r="C1830" s="28"/>
      <c r="D1830" s="5"/>
      <c r="E1830" s="38"/>
      <c r="F1830" s="28"/>
      <c r="G1830" s="28"/>
      <c r="H1830" s="38"/>
      <c r="I1830" s="28"/>
      <c r="J1830" s="40"/>
      <c r="K1830" s="40"/>
      <c r="L1830" s="5"/>
      <c r="M1830" s="5"/>
      <c r="N1830" s="28"/>
      <c r="O1830" s="28"/>
      <c r="P1830" s="28"/>
      <c r="Q1830" s="28"/>
      <c r="R1830" s="28"/>
      <c r="S1830" s="28"/>
      <c r="T1830" s="28"/>
      <c r="V1830" s="28"/>
      <c r="W1830" s="5"/>
      <c r="X1830" s="5"/>
      <c r="Z1830" s="28"/>
      <c r="AA1830" s="28"/>
      <c r="AB1830" s="28"/>
      <c r="AC1830" s="28"/>
      <c r="AD1830" s="28"/>
      <c r="AE1830" s="28"/>
      <c r="AF1830" s="28"/>
      <c r="AG1830" s="28"/>
      <c r="AH1830" s="28"/>
      <c r="AI1830" s="28"/>
      <c r="AJ1830" s="28"/>
      <c r="AK1830" s="28"/>
      <c r="AL1830" s="28"/>
      <c r="AM1830" s="28"/>
      <c r="AN1830" s="28"/>
      <c r="AO1830" s="28"/>
      <c r="AP1830" s="28"/>
      <c r="AQ1830" s="28"/>
      <c r="AR1830" s="28"/>
      <c r="AS1830" s="28"/>
      <c r="AT1830" s="5"/>
      <c r="AU1830" s="28"/>
      <c r="AV1830" s="28"/>
      <c r="AX1830" s="28"/>
      <c r="AY1830" s="28"/>
      <c r="BA1830" s="28"/>
      <c r="BB1830" s="28"/>
      <c r="BF1830" s="28"/>
      <c r="BH1830" s="28"/>
      <c r="BI1830" s="28"/>
      <c r="BJ1830" s="38"/>
      <c r="BK1830" s="28"/>
    </row>
    <row r="1831" customFormat="false" ht="15.75" hidden="false" customHeight="false" outlineLevel="0" collapsed="false">
      <c r="A1831" s="28"/>
      <c r="B1831" s="28"/>
      <c r="C1831" s="28"/>
      <c r="D1831" s="5"/>
      <c r="E1831" s="38"/>
      <c r="F1831" s="28"/>
      <c r="G1831" s="28"/>
      <c r="H1831" s="38"/>
      <c r="I1831" s="28"/>
      <c r="J1831" s="40"/>
      <c r="K1831" s="40"/>
      <c r="L1831" s="5"/>
      <c r="M1831" s="5"/>
      <c r="N1831" s="28"/>
      <c r="O1831" s="28"/>
      <c r="P1831" s="28"/>
      <c r="Q1831" s="28"/>
      <c r="R1831" s="28"/>
      <c r="S1831" s="28"/>
      <c r="T1831" s="28"/>
      <c r="V1831" s="28"/>
      <c r="W1831" s="5"/>
      <c r="X1831" s="5"/>
      <c r="Z1831" s="28"/>
      <c r="AA1831" s="28"/>
      <c r="AB1831" s="28"/>
      <c r="AC1831" s="28"/>
      <c r="AD1831" s="28"/>
      <c r="AE1831" s="28"/>
      <c r="AF1831" s="28"/>
      <c r="AG1831" s="28"/>
      <c r="AH1831" s="28"/>
      <c r="AI1831" s="28"/>
      <c r="AJ1831" s="28"/>
      <c r="AK1831" s="28"/>
      <c r="AL1831" s="28"/>
      <c r="AM1831" s="28"/>
      <c r="AN1831" s="28"/>
      <c r="AO1831" s="28"/>
      <c r="AP1831" s="28"/>
      <c r="AQ1831" s="28"/>
      <c r="AR1831" s="28"/>
      <c r="AS1831" s="28"/>
      <c r="AT1831" s="5"/>
      <c r="AU1831" s="28"/>
      <c r="AV1831" s="28"/>
      <c r="AX1831" s="28"/>
      <c r="AY1831" s="28"/>
      <c r="BA1831" s="28"/>
      <c r="BB1831" s="28"/>
      <c r="BF1831" s="28"/>
      <c r="BH1831" s="28"/>
      <c r="BI1831" s="28"/>
      <c r="BJ1831" s="38"/>
      <c r="BK1831" s="28"/>
    </row>
    <row r="1832" customFormat="false" ht="15.75" hidden="false" customHeight="false" outlineLevel="0" collapsed="false">
      <c r="A1832" s="28"/>
      <c r="B1832" s="28"/>
      <c r="C1832" s="28"/>
      <c r="D1832" s="5"/>
      <c r="E1832" s="38"/>
      <c r="F1832" s="28"/>
      <c r="G1832" s="28"/>
      <c r="H1832" s="38"/>
      <c r="I1832" s="28"/>
      <c r="J1832" s="40"/>
      <c r="K1832" s="40"/>
      <c r="L1832" s="5"/>
      <c r="M1832" s="5"/>
      <c r="N1832" s="28"/>
      <c r="O1832" s="28"/>
      <c r="P1832" s="28"/>
      <c r="Q1832" s="28"/>
      <c r="R1832" s="28"/>
      <c r="S1832" s="28"/>
      <c r="T1832" s="28"/>
      <c r="V1832" s="28"/>
      <c r="W1832" s="5"/>
      <c r="X1832" s="5"/>
      <c r="Z1832" s="28"/>
      <c r="AA1832" s="28"/>
      <c r="AB1832" s="28"/>
      <c r="AC1832" s="28"/>
      <c r="AD1832" s="28"/>
      <c r="AE1832" s="28"/>
      <c r="AF1832" s="28"/>
      <c r="AG1832" s="28"/>
      <c r="AH1832" s="28"/>
      <c r="AI1832" s="28"/>
      <c r="AJ1832" s="28"/>
      <c r="AK1832" s="28"/>
      <c r="AL1832" s="28"/>
      <c r="AM1832" s="28"/>
      <c r="AN1832" s="28"/>
      <c r="AO1832" s="28"/>
      <c r="AP1832" s="28"/>
      <c r="AQ1832" s="28"/>
      <c r="AR1832" s="28"/>
      <c r="AS1832" s="28"/>
      <c r="AT1832" s="5"/>
      <c r="AU1832" s="28"/>
      <c r="AV1832" s="28"/>
      <c r="AX1832" s="28"/>
      <c r="AY1832" s="28"/>
      <c r="BA1832" s="28"/>
      <c r="BB1832" s="28"/>
      <c r="BF1832" s="28"/>
      <c r="BH1832" s="28"/>
      <c r="BI1832" s="28"/>
      <c r="BJ1832" s="38"/>
      <c r="BK1832" s="28"/>
    </row>
    <row r="1833" customFormat="false" ht="15.75" hidden="false" customHeight="false" outlineLevel="0" collapsed="false">
      <c r="A1833" s="28"/>
      <c r="B1833" s="28"/>
      <c r="C1833" s="28"/>
      <c r="D1833" s="5"/>
      <c r="E1833" s="38"/>
      <c r="F1833" s="28"/>
      <c r="G1833" s="28"/>
      <c r="H1833" s="38"/>
      <c r="I1833" s="28"/>
      <c r="J1833" s="40"/>
      <c r="K1833" s="40"/>
      <c r="L1833" s="5"/>
      <c r="M1833" s="5"/>
      <c r="N1833" s="28"/>
      <c r="O1833" s="28"/>
      <c r="P1833" s="28"/>
      <c r="Q1833" s="28"/>
      <c r="R1833" s="28"/>
      <c r="S1833" s="28"/>
      <c r="T1833" s="28"/>
      <c r="V1833" s="28"/>
      <c r="W1833" s="5"/>
      <c r="X1833" s="5"/>
      <c r="Z1833" s="28"/>
      <c r="AA1833" s="28"/>
      <c r="AB1833" s="28"/>
      <c r="AC1833" s="28"/>
      <c r="AD1833" s="28"/>
      <c r="AE1833" s="28"/>
      <c r="AF1833" s="28"/>
      <c r="AG1833" s="28"/>
      <c r="AH1833" s="28"/>
      <c r="AI1833" s="28"/>
      <c r="AJ1833" s="28"/>
      <c r="AK1833" s="28"/>
      <c r="AL1833" s="28"/>
      <c r="AM1833" s="28"/>
      <c r="AN1833" s="28"/>
      <c r="AO1833" s="28"/>
      <c r="AP1833" s="28"/>
      <c r="AQ1833" s="28"/>
      <c r="AR1833" s="28"/>
      <c r="AS1833" s="28"/>
      <c r="AT1833" s="5"/>
      <c r="AU1833" s="28"/>
      <c r="AV1833" s="28"/>
      <c r="AX1833" s="28"/>
      <c r="AY1833" s="28"/>
      <c r="BA1833" s="28"/>
      <c r="BB1833" s="28"/>
      <c r="BF1833" s="28"/>
      <c r="BH1833" s="28"/>
      <c r="BI1833" s="28"/>
      <c r="BJ1833" s="38"/>
      <c r="BK1833" s="28"/>
    </row>
    <row r="1834" customFormat="false" ht="15.75" hidden="false" customHeight="false" outlineLevel="0" collapsed="false">
      <c r="A1834" s="28"/>
      <c r="B1834" s="28"/>
      <c r="C1834" s="28"/>
      <c r="D1834" s="5"/>
      <c r="E1834" s="38"/>
      <c r="F1834" s="28"/>
      <c r="G1834" s="28"/>
      <c r="H1834" s="38"/>
      <c r="I1834" s="28"/>
      <c r="J1834" s="40"/>
      <c r="K1834" s="40"/>
      <c r="L1834" s="5"/>
      <c r="M1834" s="5"/>
      <c r="N1834" s="28"/>
      <c r="O1834" s="28"/>
      <c r="P1834" s="28"/>
      <c r="Q1834" s="28"/>
      <c r="R1834" s="28"/>
      <c r="S1834" s="28"/>
      <c r="T1834" s="28"/>
      <c r="V1834" s="28"/>
      <c r="W1834" s="5"/>
      <c r="X1834" s="5"/>
      <c r="Z1834" s="28"/>
      <c r="AA1834" s="28"/>
      <c r="AB1834" s="28"/>
      <c r="AC1834" s="28"/>
      <c r="AD1834" s="28"/>
      <c r="AE1834" s="28"/>
      <c r="AF1834" s="28"/>
      <c r="AG1834" s="28"/>
      <c r="AH1834" s="28"/>
      <c r="AI1834" s="28"/>
      <c r="AJ1834" s="28"/>
      <c r="AK1834" s="28"/>
      <c r="AL1834" s="28"/>
      <c r="AM1834" s="28"/>
      <c r="AN1834" s="28"/>
      <c r="AO1834" s="28"/>
      <c r="AP1834" s="28"/>
      <c r="AQ1834" s="28"/>
      <c r="AR1834" s="28"/>
      <c r="AS1834" s="28"/>
      <c r="AT1834" s="5"/>
      <c r="AU1834" s="28"/>
      <c r="AV1834" s="28"/>
      <c r="AX1834" s="28"/>
      <c r="AY1834" s="28"/>
      <c r="BA1834" s="28"/>
      <c r="BB1834" s="28"/>
      <c r="BF1834" s="28"/>
      <c r="BH1834" s="28"/>
      <c r="BI1834" s="28"/>
      <c r="BJ1834" s="38"/>
      <c r="BK1834" s="28"/>
    </row>
    <row r="1835" customFormat="false" ht="15.75" hidden="false" customHeight="false" outlineLevel="0" collapsed="false">
      <c r="A1835" s="28"/>
      <c r="B1835" s="28"/>
      <c r="C1835" s="28"/>
      <c r="D1835" s="5"/>
      <c r="E1835" s="38"/>
      <c r="F1835" s="28"/>
      <c r="G1835" s="28"/>
      <c r="H1835" s="38"/>
      <c r="I1835" s="28"/>
      <c r="J1835" s="40"/>
      <c r="K1835" s="40"/>
      <c r="L1835" s="5"/>
      <c r="M1835" s="5"/>
      <c r="N1835" s="28"/>
      <c r="O1835" s="28"/>
      <c r="P1835" s="28"/>
      <c r="Q1835" s="28"/>
      <c r="R1835" s="28"/>
      <c r="S1835" s="28"/>
      <c r="T1835" s="28"/>
      <c r="V1835" s="28"/>
      <c r="W1835" s="5"/>
      <c r="X1835" s="5"/>
      <c r="Z1835" s="28"/>
      <c r="AA1835" s="28"/>
      <c r="AB1835" s="28"/>
      <c r="AC1835" s="28"/>
      <c r="AD1835" s="28"/>
      <c r="AE1835" s="28"/>
      <c r="AF1835" s="28"/>
      <c r="AG1835" s="28"/>
      <c r="AH1835" s="28"/>
      <c r="AI1835" s="28"/>
      <c r="AJ1835" s="28"/>
      <c r="AK1835" s="28"/>
      <c r="AL1835" s="28"/>
      <c r="AM1835" s="28"/>
      <c r="AN1835" s="28"/>
      <c r="AO1835" s="28"/>
      <c r="AP1835" s="28"/>
      <c r="AQ1835" s="28"/>
      <c r="AR1835" s="28"/>
      <c r="AS1835" s="28"/>
      <c r="AT1835" s="5"/>
      <c r="AU1835" s="28"/>
      <c r="AV1835" s="28"/>
      <c r="AX1835" s="28"/>
      <c r="AY1835" s="28"/>
      <c r="BA1835" s="28"/>
      <c r="BB1835" s="28"/>
      <c r="BF1835" s="28"/>
      <c r="BH1835" s="28"/>
      <c r="BI1835" s="28"/>
      <c r="BJ1835" s="38"/>
      <c r="BK1835" s="28"/>
    </row>
    <row r="1836" customFormat="false" ht="15.75" hidden="false" customHeight="false" outlineLevel="0" collapsed="false">
      <c r="A1836" s="28"/>
      <c r="B1836" s="28"/>
      <c r="C1836" s="28"/>
      <c r="D1836" s="5"/>
      <c r="E1836" s="38"/>
      <c r="F1836" s="28"/>
      <c r="G1836" s="28"/>
      <c r="H1836" s="38"/>
      <c r="I1836" s="28"/>
      <c r="J1836" s="40"/>
      <c r="K1836" s="40"/>
      <c r="L1836" s="5"/>
      <c r="M1836" s="5"/>
      <c r="N1836" s="28"/>
      <c r="O1836" s="28"/>
      <c r="P1836" s="28"/>
      <c r="Q1836" s="28"/>
      <c r="R1836" s="28"/>
      <c r="S1836" s="28"/>
      <c r="T1836" s="28"/>
      <c r="V1836" s="28"/>
      <c r="W1836" s="5"/>
      <c r="X1836" s="5"/>
      <c r="Z1836" s="28"/>
      <c r="AA1836" s="28"/>
      <c r="AB1836" s="28"/>
      <c r="AC1836" s="28"/>
      <c r="AD1836" s="28"/>
      <c r="AE1836" s="28"/>
      <c r="AF1836" s="28"/>
      <c r="AG1836" s="28"/>
      <c r="AH1836" s="28"/>
      <c r="AI1836" s="28"/>
      <c r="AJ1836" s="28"/>
      <c r="AK1836" s="28"/>
      <c r="AL1836" s="28"/>
      <c r="AM1836" s="28"/>
      <c r="AN1836" s="28"/>
      <c r="AO1836" s="28"/>
      <c r="AP1836" s="28"/>
      <c r="AQ1836" s="28"/>
      <c r="AR1836" s="28"/>
      <c r="AS1836" s="28"/>
      <c r="AT1836" s="5"/>
      <c r="AU1836" s="28"/>
      <c r="AV1836" s="28"/>
      <c r="AX1836" s="28"/>
      <c r="AY1836" s="28"/>
      <c r="BA1836" s="28"/>
      <c r="BB1836" s="28"/>
      <c r="BF1836" s="28"/>
      <c r="BH1836" s="28"/>
      <c r="BI1836" s="28"/>
      <c r="BJ1836" s="38"/>
      <c r="BK1836" s="28"/>
    </row>
    <row r="1837" customFormat="false" ht="15.75" hidden="false" customHeight="false" outlineLevel="0" collapsed="false">
      <c r="A1837" s="28"/>
      <c r="B1837" s="28"/>
      <c r="C1837" s="28"/>
      <c r="D1837" s="5"/>
      <c r="E1837" s="38"/>
      <c r="F1837" s="28"/>
      <c r="G1837" s="28"/>
      <c r="H1837" s="38"/>
      <c r="I1837" s="28"/>
      <c r="J1837" s="40"/>
      <c r="K1837" s="40"/>
      <c r="L1837" s="5"/>
      <c r="M1837" s="5"/>
      <c r="N1837" s="28"/>
      <c r="O1837" s="28"/>
      <c r="P1837" s="28"/>
      <c r="Q1837" s="28"/>
      <c r="R1837" s="28"/>
      <c r="S1837" s="28"/>
      <c r="T1837" s="28"/>
      <c r="V1837" s="28"/>
      <c r="W1837" s="5"/>
      <c r="X1837" s="5"/>
      <c r="Z1837" s="28"/>
      <c r="AA1837" s="28"/>
      <c r="AB1837" s="28"/>
      <c r="AC1837" s="28"/>
      <c r="AD1837" s="28"/>
      <c r="AE1837" s="28"/>
      <c r="AF1837" s="28"/>
      <c r="AG1837" s="28"/>
      <c r="AH1837" s="28"/>
      <c r="AI1837" s="28"/>
      <c r="AJ1837" s="28"/>
      <c r="AK1837" s="28"/>
      <c r="AL1837" s="28"/>
      <c r="AM1837" s="28"/>
      <c r="AN1837" s="28"/>
      <c r="AO1837" s="28"/>
      <c r="AP1837" s="28"/>
      <c r="AQ1837" s="28"/>
      <c r="AR1837" s="28"/>
      <c r="AS1837" s="28"/>
      <c r="AT1837" s="5"/>
      <c r="AU1837" s="28"/>
      <c r="AV1837" s="28"/>
      <c r="AX1837" s="28"/>
      <c r="AY1837" s="28"/>
      <c r="BA1837" s="28"/>
      <c r="BB1837" s="28"/>
      <c r="BF1837" s="28"/>
      <c r="BH1837" s="28"/>
      <c r="BI1837" s="28"/>
      <c r="BJ1837" s="38"/>
      <c r="BK1837" s="28"/>
    </row>
    <row r="1838" customFormat="false" ht="15.75" hidden="false" customHeight="false" outlineLevel="0" collapsed="false">
      <c r="A1838" s="28"/>
      <c r="B1838" s="28"/>
      <c r="C1838" s="28"/>
      <c r="D1838" s="5"/>
      <c r="E1838" s="38"/>
      <c r="F1838" s="28"/>
      <c r="G1838" s="28"/>
      <c r="H1838" s="38"/>
      <c r="I1838" s="28"/>
      <c r="J1838" s="40"/>
      <c r="K1838" s="40"/>
      <c r="L1838" s="5"/>
      <c r="M1838" s="5"/>
      <c r="N1838" s="28"/>
      <c r="O1838" s="28"/>
      <c r="P1838" s="28"/>
      <c r="Q1838" s="28"/>
      <c r="R1838" s="28"/>
      <c r="S1838" s="28"/>
      <c r="T1838" s="28"/>
      <c r="V1838" s="28"/>
      <c r="W1838" s="5"/>
      <c r="X1838" s="5"/>
      <c r="Z1838" s="28"/>
      <c r="AA1838" s="28"/>
      <c r="AB1838" s="28"/>
      <c r="AC1838" s="28"/>
      <c r="AD1838" s="28"/>
      <c r="AE1838" s="28"/>
      <c r="AF1838" s="28"/>
      <c r="AG1838" s="28"/>
      <c r="AH1838" s="28"/>
      <c r="AI1838" s="28"/>
      <c r="AJ1838" s="28"/>
      <c r="AK1838" s="28"/>
      <c r="AL1838" s="28"/>
      <c r="AM1838" s="28"/>
      <c r="AN1838" s="28"/>
      <c r="AO1838" s="28"/>
      <c r="AP1838" s="28"/>
      <c r="AQ1838" s="28"/>
      <c r="AR1838" s="28"/>
      <c r="AS1838" s="28"/>
      <c r="AT1838" s="5"/>
      <c r="AU1838" s="28"/>
      <c r="AV1838" s="28"/>
      <c r="AX1838" s="28"/>
      <c r="AY1838" s="28"/>
      <c r="BA1838" s="28"/>
      <c r="BB1838" s="28"/>
      <c r="BF1838" s="28"/>
      <c r="BH1838" s="28"/>
      <c r="BI1838" s="28"/>
      <c r="BJ1838" s="38"/>
      <c r="BK1838" s="28"/>
    </row>
    <row r="1839" customFormat="false" ht="15.75" hidden="false" customHeight="false" outlineLevel="0" collapsed="false">
      <c r="A1839" s="28"/>
      <c r="B1839" s="28"/>
      <c r="C1839" s="28"/>
      <c r="D1839" s="5"/>
      <c r="E1839" s="38"/>
      <c r="F1839" s="28"/>
      <c r="G1839" s="28"/>
      <c r="H1839" s="38"/>
      <c r="I1839" s="28"/>
      <c r="J1839" s="40"/>
      <c r="K1839" s="40"/>
      <c r="L1839" s="5"/>
      <c r="M1839" s="5"/>
      <c r="N1839" s="28"/>
      <c r="O1839" s="28"/>
      <c r="P1839" s="28"/>
      <c r="Q1839" s="28"/>
      <c r="R1839" s="28"/>
      <c r="S1839" s="28"/>
      <c r="T1839" s="28"/>
      <c r="V1839" s="28"/>
      <c r="W1839" s="5"/>
      <c r="X1839" s="5"/>
      <c r="Z1839" s="28"/>
      <c r="AA1839" s="28"/>
      <c r="AB1839" s="28"/>
      <c r="AC1839" s="28"/>
      <c r="AD1839" s="28"/>
      <c r="AE1839" s="28"/>
      <c r="AF1839" s="28"/>
      <c r="AG1839" s="28"/>
      <c r="AH1839" s="28"/>
      <c r="AI1839" s="28"/>
      <c r="AJ1839" s="28"/>
      <c r="AK1839" s="28"/>
      <c r="AL1839" s="28"/>
      <c r="AM1839" s="28"/>
      <c r="AN1839" s="28"/>
      <c r="AO1839" s="28"/>
      <c r="AP1839" s="28"/>
      <c r="AQ1839" s="28"/>
      <c r="AR1839" s="28"/>
      <c r="AS1839" s="28"/>
      <c r="AT1839" s="5"/>
      <c r="AU1839" s="28"/>
      <c r="AV1839" s="28"/>
      <c r="AX1839" s="28"/>
      <c r="AY1839" s="28"/>
      <c r="BA1839" s="28"/>
      <c r="BB1839" s="28"/>
      <c r="BF1839" s="28"/>
      <c r="BH1839" s="28"/>
      <c r="BI1839" s="28"/>
      <c r="BJ1839" s="38"/>
      <c r="BK1839" s="28"/>
    </row>
    <row r="1840" customFormat="false" ht="15.75" hidden="false" customHeight="false" outlineLevel="0" collapsed="false">
      <c r="A1840" s="28"/>
      <c r="B1840" s="28"/>
      <c r="C1840" s="28"/>
      <c r="D1840" s="5"/>
      <c r="E1840" s="38"/>
      <c r="F1840" s="28"/>
      <c r="G1840" s="28"/>
      <c r="H1840" s="38"/>
      <c r="I1840" s="28"/>
      <c r="J1840" s="40"/>
      <c r="K1840" s="40"/>
      <c r="L1840" s="5"/>
      <c r="M1840" s="5"/>
      <c r="N1840" s="28"/>
      <c r="O1840" s="28"/>
      <c r="P1840" s="28"/>
      <c r="Q1840" s="28"/>
      <c r="R1840" s="28"/>
      <c r="S1840" s="28"/>
      <c r="T1840" s="28"/>
      <c r="V1840" s="28"/>
      <c r="W1840" s="5"/>
      <c r="X1840" s="5"/>
      <c r="Z1840" s="28"/>
      <c r="AA1840" s="28"/>
      <c r="AB1840" s="28"/>
      <c r="AC1840" s="28"/>
      <c r="AD1840" s="28"/>
      <c r="AE1840" s="28"/>
      <c r="AF1840" s="28"/>
      <c r="AG1840" s="28"/>
      <c r="AH1840" s="28"/>
      <c r="AI1840" s="28"/>
      <c r="AJ1840" s="28"/>
      <c r="AK1840" s="28"/>
      <c r="AL1840" s="28"/>
      <c r="AM1840" s="28"/>
      <c r="AN1840" s="28"/>
      <c r="AO1840" s="28"/>
      <c r="AP1840" s="28"/>
      <c r="AQ1840" s="28"/>
      <c r="AR1840" s="28"/>
      <c r="AS1840" s="28"/>
      <c r="AT1840" s="5"/>
      <c r="AU1840" s="28"/>
      <c r="AV1840" s="28"/>
      <c r="AX1840" s="28"/>
      <c r="AY1840" s="28"/>
      <c r="BA1840" s="28"/>
      <c r="BB1840" s="28"/>
      <c r="BF1840" s="28"/>
      <c r="BH1840" s="28"/>
      <c r="BI1840" s="28"/>
      <c r="BJ1840" s="38"/>
      <c r="BK1840" s="28"/>
    </row>
    <row r="1841" customFormat="false" ht="15.75" hidden="false" customHeight="false" outlineLevel="0" collapsed="false">
      <c r="A1841" s="28"/>
      <c r="B1841" s="28"/>
      <c r="C1841" s="28"/>
      <c r="D1841" s="5"/>
      <c r="E1841" s="38"/>
      <c r="F1841" s="28"/>
      <c r="G1841" s="28"/>
      <c r="H1841" s="38"/>
      <c r="I1841" s="28"/>
      <c r="J1841" s="40"/>
      <c r="K1841" s="40"/>
      <c r="L1841" s="5"/>
      <c r="M1841" s="5"/>
      <c r="N1841" s="28"/>
      <c r="O1841" s="28"/>
      <c r="P1841" s="28"/>
      <c r="Q1841" s="28"/>
      <c r="R1841" s="28"/>
      <c r="S1841" s="28"/>
      <c r="T1841" s="28"/>
      <c r="V1841" s="28"/>
      <c r="W1841" s="5"/>
      <c r="X1841" s="5"/>
      <c r="Z1841" s="28"/>
      <c r="AA1841" s="28"/>
      <c r="AB1841" s="28"/>
      <c r="AC1841" s="28"/>
      <c r="AD1841" s="28"/>
      <c r="AE1841" s="28"/>
      <c r="AF1841" s="28"/>
      <c r="AG1841" s="28"/>
      <c r="AH1841" s="28"/>
      <c r="AI1841" s="28"/>
      <c r="AJ1841" s="28"/>
      <c r="AK1841" s="28"/>
      <c r="AL1841" s="28"/>
      <c r="AM1841" s="28"/>
      <c r="AN1841" s="28"/>
      <c r="AO1841" s="28"/>
      <c r="AP1841" s="28"/>
      <c r="AQ1841" s="28"/>
      <c r="AR1841" s="28"/>
      <c r="AS1841" s="28"/>
      <c r="AT1841" s="5"/>
      <c r="AU1841" s="28"/>
      <c r="AV1841" s="28"/>
      <c r="AX1841" s="28"/>
      <c r="AY1841" s="28"/>
      <c r="BA1841" s="28"/>
      <c r="BB1841" s="28"/>
      <c r="BF1841" s="28"/>
      <c r="BH1841" s="28"/>
      <c r="BI1841" s="28"/>
      <c r="BJ1841" s="38"/>
      <c r="BK1841" s="28"/>
    </row>
    <row r="1842" customFormat="false" ht="15.75" hidden="false" customHeight="false" outlineLevel="0" collapsed="false">
      <c r="A1842" s="28"/>
      <c r="B1842" s="28"/>
      <c r="C1842" s="28"/>
      <c r="D1842" s="5"/>
      <c r="E1842" s="38"/>
      <c r="F1842" s="28"/>
      <c r="G1842" s="28"/>
      <c r="H1842" s="38"/>
      <c r="I1842" s="28"/>
      <c r="J1842" s="40"/>
      <c r="K1842" s="40"/>
      <c r="L1842" s="5"/>
      <c r="M1842" s="5"/>
      <c r="N1842" s="28"/>
      <c r="O1842" s="28"/>
      <c r="P1842" s="28"/>
      <c r="Q1842" s="28"/>
      <c r="R1842" s="28"/>
      <c r="S1842" s="28"/>
      <c r="T1842" s="28"/>
      <c r="V1842" s="28"/>
      <c r="W1842" s="5"/>
      <c r="X1842" s="5"/>
      <c r="Z1842" s="28"/>
      <c r="AA1842" s="28"/>
      <c r="AB1842" s="28"/>
      <c r="AC1842" s="28"/>
      <c r="AD1842" s="28"/>
      <c r="AE1842" s="28"/>
      <c r="AF1842" s="28"/>
      <c r="AG1842" s="28"/>
      <c r="AH1842" s="28"/>
      <c r="AI1842" s="28"/>
      <c r="AJ1842" s="28"/>
      <c r="AK1842" s="28"/>
      <c r="AL1842" s="28"/>
      <c r="AM1842" s="28"/>
      <c r="AN1842" s="28"/>
      <c r="AO1842" s="28"/>
      <c r="AP1842" s="28"/>
      <c r="AQ1842" s="28"/>
      <c r="AR1842" s="28"/>
      <c r="AS1842" s="28"/>
      <c r="AT1842" s="5"/>
      <c r="AU1842" s="28"/>
      <c r="AV1842" s="28"/>
      <c r="AX1842" s="28"/>
      <c r="AY1842" s="28"/>
      <c r="BA1842" s="28"/>
      <c r="BB1842" s="28"/>
      <c r="BF1842" s="28"/>
      <c r="BH1842" s="28"/>
      <c r="BI1842" s="28"/>
      <c r="BJ1842" s="38"/>
      <c r="BK1842" s="28"/>
    </row>
    <row r="1843" customFormat="false" ht="15.75" hidden="false" customHeight="false" outlineLevel="0" collapsed="false">
      <c r="A1843" s="28"/>
      <c r="B1843" s="28"/>
      <c r="C1843" s="28"/>
      <c r="D1843" s="5"/>
      <c r="E1843" s="38"/>
      <c r="F1843" s="28"/>
      <c r="G1843" s="28"/>
      <c r="H1843" s="38"/>
      <c r="I1843" s="28"/>
      <c r="J1843" s="40"/>
      <c r="K1843" s="40"/>
      <c r="L1843" s="5"/>
      <c r="M1843" s="5"/>
      <c r="N1843" s="28"/>
      <c r="O1843" s="28"/>
      <c r="P1843" s="28"/>
      <c r="Q1843" s="28"/>
      <c r="R1843" s="28"/>
      <c r="S1843" s="28"/>
      <c r="T1843" s="28"/>
      <c r="V1843" s="28"/>
      <c r="W1843" s="5"/>
      <c r="X1843" s="5"/>
      <c r="Z1843" s="28"/>
      <c r="AA1843" s="28"/>
      <c r="AB1843" s="28"/>
      <c r="AC1843" s="28"/>
      <c r="AD1843" s="28"/>
      <c r="AE1843" s="28"/>
      <c r="AF1843" s="28"/>
      <c r="AG1843" s="28"/>
      <c r="AH1843" s="28"/>
      <c r="AI1843" s="28"/>
      <c r="AJ1843" s="28"/>
      <c r="AK1843" s="28"/>
      <c r="AL1843" s="28"/>
      <c r="AM1843" s="28"/>
      <c r="AN1843" s="28"/>
      <c r="AO1843" s="28"/>
      <c r="AP1843" s="28"/>
      <c r="AQ1843" s="28"/>
      <c r="AR1843" s="28"/>
      <c r="AS1843" s="28"/>
      <c r="AT1843" s="5"/>
      <c r="AU1843" s="28"/>
      <c r="AV1843" s="28"/>
      <c r="AX1843" s="28"/>
      <c r="AY1843" s="28"/>
      <c r="BA1843" s="28"/>
      <c r="BB1843" s="28"/>
      <c r="BF1843" s="28"/>
      <c r="BH1843" s="28"/>
      <c r="BI1843" s="28"/>
      <c r="BJ1843" s="38"/>
      <c r="BK1843" s="28"/>
    </row>
    <row r="1844" customFormat="false" ht="15.75" hidden="false" customHeight="false" outlineLevel="0" collapsed="false">
      <c r="A1844" s="28"/>
      <c r="B1844" s="28"/>
      <c r="C1844" s="28"/>
      <c r="D1844" s="5"/>
      <c r="E1844" s="38"/>
      <c r="F1844" s="28"/>
      <c r="G1844" s="28"/>
      <c r="H1844" s="38"/>
      <c r="I1844" s="28"/>
      <c r="J1844" s="40"/>
      <c r="K1844" s="40"/>
      <c r="L1844" s="5"/>
      <c r="M1844" s="5"/>
      <c r="N1844" s="28"/>
      <c r="O1844" s="28"/>
      <c r="P1844" s="28"/>
      <c r="Q1844" s="28"/>
      <c r="R1844" s="28"/>
      <c r="S1844" s="28"/>
      <c r="T1844" s="28"/>
      <c r="V1844" s="28"/>
      <c r="W1844" s="5"/>
      <c r="X1844" s="5"/>
      <c r="Z1844" s="28"/>
      <c r="AA1844" s="28"/>
      <c r="AB1844" s="28"/>
      <c r="AC1844" s="28"/>
      <c r="AD1844" s="28"/>
      <c r="AE1844" s="28"/>
      <c r="AF1844" s="28"/>
      <c r="AG1844" s="28"/>
      <c r="AH1844" s="28"/>
      <c r="AI1844" s="28"/>
      <c r="AJ1844" s="28"/>
      <c r="AK1844" s="28"/>
      <c r="AL1844" s="28"/>
      <c r="AM1844" s="28"/>
      <c r="AN1844" s="28"/>
      <c r="AO1844" s="28"/>
      <c r="AP1844" s="28"/>
      <c r="AQ1844" s="28"/>
      <c r="AR1844" s="28"/>
      <c r="AS1844" s="28"/>
      <c r="AT1844" s="5"/>
      <c r="AU1844" s="28"/>
      <c r="AV1844" s="28"/>
      <c r="AX1844" s="28"/>
      <c r="AY1844" s="28"/>
      <c r="BA1844" s="28"/>
      <c r="BB1844" s="28"/>
      <c r="BF1844" s="28"/>
      <c r="BH1844" s="28"/>
      <c r="BI1844" s="28"/>
      <c r="BJ1844" s="38"/>
      <c r="BK1844" s="28"/>
    </row>
    <row r="1845" customFormat="false" ht="15.75" hidden="false" customHeight="false" outlineLevel="0" collapsed="false">
      <c r="A1845" s="28"/>
      <c r="B1845" s="28"/>
      <c r="C1845" s="28"/>
      <c r="D1845" s="5"/>
      <c r="E1845" s="38"/>
      <c r="F1845" s="28"/>
      <c r="G1845" s="28"/>
      <c r="H1845" s="38"/>
      <c r="I1845" s="28"/>
      <c r="J1845" s="40"/>
      <c r="K1845" s="40"/>
      <c r="L1845" s="5"/>
      <c r="M1845" s="5"/>
      <c r="N1845" s="28"/>
      <c r="O1845" s="28"/>
      <c r="P1845" s="28"/>
      <c r="Q1845" s="28"/>
      <c r="R1845" s="28"/>
      <c r="S1845" s="28"/>
      <c r="T1845" s="28"/>
      <c r="V1845" s="28"/>
      <c r="W1845" s="5"/>
      <c r="X1845" s="5"/>
      <c r="Z1845" s="28"/>
      <c r="AA1845" s="28"/>
      <c r="AB1845" s="28"/>
      <c r="AC1845" s="28"/>
      <c r="AD1845" s="28"/>
      <c r="AE1845" s="28"/>
      <c r="AF1845" s="28"/>
      <c r="AG1845" s="28"/>
      <c r="AH1845" s="28"/>
      <c r="AI1845" s="28"/>
      <c r="AJ1845" s="28"/>
      <c r="AK1845" s="28"/>
      <c r="AL1845" s="28"/>
      <c r="AM1845" s="28"/>
      <c r="AN1845" s="28"/>
      <c r="AO1845" s="28"/>
      <c r="AP1845" s="28"/>
      <c r="AQ1845" s="28"/>
      <c r="AR1845" s="28"/>
      <c r="AS1845" s="28"/>
      <c r="AT1845" s="5"/>
      <c r="AU1845" s="28"/>
      <c r="AV1845" s="28"/>
      <c r="AX1845" s="28"/>
      <c r="AY1845" s="28"/>
      <c r="BA1845" s="28"/>
      <c r="BB1845" s="28"/>
      <c r="BF1845" s="28"/>
      <c r="BH1845" s="28"/>
      <c r="BI1845" s="28"/>
      <c r="BJ1845" s="38"/>
      <c r="BK1845" s="28"/>
    </row>
    <row r="1846" customFormat="false" ht="15.75" hidden="false" customHeight="false" outlineLevel="0" collapsed="false">
      <c r="A1846" s="28"/>
      <c r="B1846" s="28"/>
      <c r="C1846" s="28"/>
      <c r="D1846" s="5"/>
      <c r="E1846" s="38"/>
      <c r="F1846" s="28"/>
      <c r="G1846" s="28"/>
      <c r="H1846" s="38"/>
      <c r="I1846" s="28"/>
      <c r="J1846" s="40"/>
      <c r="K1846" s="40"/>
      <c r="L1846" s="5"/>
      <c r="M1846" s="5"/>
      <c r="N1846" s="28"/>
      <c r="O1846" s="28"/>
      <c r="P1846" s="28"/>
      <c r="Q1846" s="28"/>
      <c r="R1846" s="28"/>
      <c r="S1846" s="28"/>
      <c r="T1846" s="28"/>
      <c r="V1846" s="28"/>
      <c r="W1846" s="5"/>
      <c r="X1846" s="5"/>
      <c r="Z1846" s="28"/>
      <c r="AA1846" s="28"/>
      <c r="AB1846" s="28"/>
      <c r="AC1846" s="28"/>
      <c r="AD1846" s="28"/>
      <c r="AE1846" s="28"/>
      <c r="AF1846" s="28"/>
      <c r="AG1846" s="28"/>
      <c r="AH1846" s="28"/>
      <c r="AI1846" s="28"/>
      <c r="AJ1846" s="28"/>
      <c r="AK1846" s="28"/>
      <c r="AL1846" s="28"/>
      <c r="AM1846" s="28"/>
      <c r="AN1846" s="28"/>
      <c r="AO1846" s="28"/>
      <c r="AP1846" s="28"/>
      <c r="AQ1846" s="28"/>
      <c r="AR1846" s="28"/>
      <c r="AS1846" s="28"/>
      <c r="AT1846" s="5"/>
      <c r="AU1846" s="28"/>
      <c r="AV1846" s="28"/>
      <c r="AX1846" s="28"/>
      <c r="AY1846" s="28"/>
      <c r="BA1846" s="28"/>
      <c r="BB1846" s="28"/>
      <c r="BF1846" s="28"/>
      <c r="BH1846" s="28"/>
      <c r="BI1846" s="28"/>
      <c r="BJ1846" s="38"/>
      <c r="BK1846" s="28"/>
    </row>
    <row r="1847" customFormat="false" ht="15.75" hidden="false" customHeight="false" outlineLevel="0" collapsed="false">
      <c r="A1847" s="28"/>
      <c r="B1847" s="28"/>
      <c r="C1847" s="28"/>
      <c r="D1847" s="5"/>
      <c r="E1847" s="38"/>
      <c r="F1847" s="28"/>
      <c r="G1847" s="28"/>
      <c r="H1847" s="38"/>
      <c r="I1847" s="28"/>
      <c r="J1847" s="40"/>
      <c r="K1847" s="40"/>
      <c r="L1847" s="5"/>
      <c r="M1847" s="5"/>
      <c r="N1847" s="28"/>
      <c r="O1847" s="28"/>
      <c r="P1847" s="28"/>
      <c r="Q1847" s="28"/>
      <c r="R1847" s="28"/>
      <c r="S1847" s="28"/>
      <c r="T1847" s="28"/>
      <c r="V1847" s="28"/>
      <c r="W1847" s="5"/>
      <c r="X1847" s="5"/>
      <c r="Z1847" s="28"/>
      <c r="AA1847" s="28"/>
      <c r="AB1847" s="28"/>
      <c r="AC1847" s="28"/>
      <c r="AD1847" s="28"/>
      <c r="AE1847" s="28"/>
      <c r="AF1847" s="28"/>
      <c r="AG1847" s="28"/>
      <c r="AH1847" s="28"/>
      <c r="AI1847" s="28"/>
      <c r="AJ1847" s="28"/>
      <c r="AK1847" s="28"/>
      <c r="AL1847" s="28"/>
      <c r="AM1847" s="28"/>
      <c r="AN1847" s="28"/>
      <c r="AO1847" s="28"/>
      <c r="AP1847" s="28"/>
      <c r="AQ1847" s="28"/>
      <c r="AR1847" s="28"/>
      <c r="AS1847" s="28"/>
      <c r="AT1847" s="5"/>
      <c r="AU1847" s="28"/>
      <c r="AV1847" s="28"/>
      <c r="AX1847" s="28"/>
      <c r="AY1847" s="28"/>
      <c r="BA1847" s="28"/>
      <c r="BB1847" s="28"/>
      <c r="BF1847" s="28"/>
      <c r="BH1847" s="28"/>
      <c r="BI1847" s="28"/>
      <c r="BJ1847" s="38"/>
      <c r="BK1847" s="28"/>
    </row>
    <row r="1848" customFormat="false" ht="15.75" hidden="false" customHeight="false" outlineLevel="0" collapsed="false">
      <c r="A1848" s="28"/>
      <c r="B1848" s="28"/>
      <c r="C1848" s="28"/>
      <c r="D1848" s="5"/>
      <c r="E1848" s="38"/>
      <c r="F1848" s="28"/>
      <c r="G1848" s="28"/>
      <c r="H1848" s="38"/>
      <c r="I1848" s="28"/>
      <c r="J1848" s="40"/>
      <c r="K1848" s="40"/>
      <c r="L1848" s="5"/>
      <c r="M1848" s="5"/>
      <c r="N1848" s="28"/>
      <c r="O1848" s="28"/>
      <c r="P1848" s="28"/>
      <c r="Q1848" s="28"/>
      <c r="R1848" s="28"/>
      <c r="S1848" s="28"/>
      <c r="T1848" s="28"/>
      <c r="V1848" s="28"/>
      <c r="W1848" s="5"/>
      <c r="X1848" s="5"/>
      <c r="Z1848" s="28"/>
      <c r="AA1848" s="28"/>
      <c r="AB1848" s="28"/>
      <c r="AC1848" s="28"/>
      <c r="AD1848" s="28"/>
      <c r="AE1848" s="28"/>
      <c r="AF1848" s="28"/>
      <c r="AG1848" s="28"/>
      <c r="AH1848" s="28"/>
      <c r="AI1848" s="28"/>
      <c r="AJ1848" s="28"/>
      <c r="AK1848" s="28"/>
      <c r="AL1848" s="28"/>
      <c r="AM1848" s="28"/>
      <c r="AN1848" s="28"/>
      <c r="AO1848" s="28"/>
      <c r="AP1848" s="28"/>
      <c r="AQ1848" s="28"/>
      <c r="AR1848" s="28"/>
      <c r="AS1848" s="28"/>
      <c r="AT1848" s="5"/>
      <c r="AU1848" s="28"/>
      <c r="AV1848" s="28"/>
      <c r="AX1848" s="28"/>
      <c r="AY1848" s="28"/>
      <c r="BA1848" s="28"/>
      <c r="BB1848" s="28"/>
      <c r="BF1848" s="28"/>
      <c r="BH1848" s="28"/>
      <c r="BI1848" s="28"/>
      <c r="BJ1848" s="38"/>
      <c r="BK1848" s="28"/>
    </row>
    <row r="1849" customFormat="false" ht="15.75" hidden="false" customHeight="false" outlineLevel="0" collapsed="false">
      <c r="A1849" s="28"/>
      <c r="B1849" s="28"/>
      <c r="C1849" s="28"/>
      <c r="D1849" s="5"/>
      <c r="E1849" s="38"/>
      <c r="F1849" s="28"/>
      <c r="G1849" s="28"/>
      <c r="H1849" s="38"/>
      <c r="I1849" s="28"/>
      <c r="J1849" s="40"/>
      <c r="K1849" s="40"/>
      <c r="L1849" s="5"/>
      <c r="M1849" s="5"/>
      <c r="N1849" s="28"/>
      <c r="O1849" s="28"/>
      <c r="P1849" s="28"/>
      <c r="Q1849" s="28"/>
      <c r="R1849" s="28"/>
      <c r="S1849" s="28"/>
      <c r="T1849" s="28"/>
      <c r="V1849" s="28"/>
      <c r="W1849" s="5"/>
      <c r="X1849" s="5"/>
      <c r="Z1849" s="28"/>
      <c r="AA1849" s="28"/>
      <c r="AB1849" s="28"/>
      <c r="AC1849" s="28"/>
      <c r="AD1849" s="28"/>
      <c r="AE1849" s="28"/>
      <c r="AF1849" s="28"/>
      <c r="AG1849" s="28"/>
      <c r="AH1849" s="28"/>
      <c r="AI1849" s="28"/>
      <c r="AJ1849" s="28"/>
      <c r="AK1849" s="28"/>
      <c r="AL1849" s="28"/>
      <c r="AM1849" s="28"/>
      <c r="AN1849" s="28"/>
      <c r="AO1849" s="28"/>
      <c r="AP1849" s="28"/>
      <c r="AQ1849" s="28"/>
      <c r="AR1849" s="28"/>
      <c r="AS1849" s="28"/>
      <c r="AT1849" s="5"/>
      <c r="AU1849" s="28"/>
      <c r="AV1849" s="28"/>
      <c r="AX1849" s="28"/>
      <c r="AY1849" s="28"/>
      <c r="BA1849" s="28"/>
      <c r="BB1849" s="28"/>
      <c r="BF1849" s="28"/>
      <c r="BH1849" s="28"/>
      <c r="BI1849" s="28"/>
      <c r="BJ1849" s="38"/>
      <c r="BK1849" s="28"/>
    </row>
    <row r="1850" customFormat="false" ht="15.75" hidden="false" customHeight="false" outlineLevel="0" collapsed="false">
      <c r="A1850" s="28"/>
      <c r="B1850" s="28"/>
      <c r="C1850" s="28"/>
      <c r="D1850" s="5"/>
      <c r="E1850" s="38"/>
      <c r="F1850" s="28"/>
      <c r="G1850" s="28"/>
      <c r="H1850" s="38"/>
      <c r="I1850" s="28"/>
      <c r="J1850" s="40"/>
      <c r="K1850" s="40"/>
      <c r="L1850" s="5"/>
      <c r="M1850" s="5"/>
      <c r="N1850" s="28"/>
      <c r="O1850" s="28"/>
      <c r="P1850" s="28"/>
      <c r="Q1850" s="28"/>
      <c r="R1850" s="28"/>
      <c r="S1850" s="28"/>
      <c r="T1850" s="28"/>
      <c r="V1850" s="28"/>
      <c r="W1850" s="5"/>
      <c r="X1850" s="5"/>
      <c r="Z1850" s="28"/>
      <c r="AA1850" s="28"/>
      <c r="AB1850" s="28"/>
      <c r="AC1850" s="28"/>
      <c r="AD1850" s="28"/>
      <c r="AE1850" s="28"/>
      <c r="AF1850" s="28"/>
      <c r="AG1850" s="28"/>
      <c r="AH1850" s="28"/>
      <c r="AI1850" s="28"/>
      <c r="AJ1850" s="28"/>
      <c r="AK1850" s="28"/>
      <c r="AL1850" s="28"/>
      <c r="AM1850" s="28"/>
      <c r="AN1850" s="28"/>
      <c r="AO1850" s="28"/>
      <c r="AP1850" s="28"/>
      <c r="AQ1850" s="28"/>
      <c r="AR1850" s="28"/>
      <c r="AS1850" s="28"/>
      <c r="AT1850" s="5"/>
      <c r="AU1850" s="28"/>
      <c r="AV1850" s="28"/>
      <c r="AX1850" s="28"/>
      <c r="AY1850" s="28"/>
      <c r="BA1850" s="28"/>
      <c r="BB1850" s="28"/>
      <c r="BF1850" s="28"/>
      <c r="BH1850" s="28"/>
      <c r="BI1850" s="28"/>
      <c r="BJ1850" s="38"/>
      <c r="BK1850" s="28"/>
    </row>
    <row r="1851" customFormat="false" ht="15.75" hidden="false" customHeight="false" outlineLevel="0" collapsed="false">
      <c r="A1851" s="28"/>
      <c r="B1851" s="28"/>
      <c r="C1851" s="28"/>
      <c r="D1851" s="5"/>
      <c r="E1851" s="38"/>
      <c r="F1851" s="28"/>
      <c r="G1851" s="28"/>
      <c r="H1851" s="38"/>
      <c r="I1851" s="28"/>
      <c r="J1851" s="40"/>
      <c r="K1851" s="40"/>
      <c r="L1851" s="5"/>
      <c r="M1851" s="5"/>
      <c r="N1851" s="28"/>
      <c r="O1851" s="28"/>
      <c r="P1851" s="28"/>
      <c r="Q1851" s="28"/>
      <c r="R1851" s="28"/>
      <c r="S1851" s="28"/>
      <c r="T1851" s="28"/>
      <c r="V1851" s="28"/>
      <c r="W1851" s="5"/>
      <c r="X1851" s="5"/>
      <c r="Z1851" s="28"/>
      <c r="AA1851" s="28"/>
      <c r="AB1851" s="28"/>
      <c r="AC1851" s="28"/>
      <c r="AD1851" s="28"/>
      <c r="AE1851" s="28"/>
      <c r="AF1851" s="28"/>
      <c r="AG1851" s="28"/>
      <c r="AH1851" s="28"/>
      <c r="AI1851" s="28"/>
      <c r="AJ1851" s="28"/>
      <c r="AK1851" s="28"/>
      <c r="AL1851" s="28"/>
      <c r="AM1851" s="28"/>
      <c r="AN1851" s="28"/>
      <c r="AO1851" s="28"/>
      <c r="AP1851" s="28"/>
      <c r="AQ1851" s="28"/>
      <c r="AR1851" s="28"/>
      <c r="AS1851" s="28"/>
      <c r="AT1851" s="5"/>
      <c r="AU1851" s="28"/>
      <c r="AV1851" s="28"/>
      <c r="AX1851" s="28"/>
      <c r="AY1851" s="28"/>
      <c r="BA1851" s="28"/>
      <c r="BB1851" s="28"/>
      <c r="BF1851" s="28"/>
      <c r="BH1851" s="28"/>
      <c r="BI1851" s="28"/>
      <c r="BJ1851" s="38"/>
      <c r="BK1851" s="28"/>
    </row>
    <row r="1852" customFormat="false" ht="15.75" hidden="false" customHeight="false" outlineLevel="0" collapsed="false">
      <c r="A1852" s="28"/>
      <c r="B1852" s="28"/>
      <c r="C1852" s="28"/>
      <c r="D1852" s="5"/>
      <c r="E1852" s="38"/>
      <c r="F1852" s="28"/>
      <c r="G1852" s="28"/>
      <c r="H1852" s="38"/>
      <c r="I1852" s="28"/>
      <c r="J1852" s="40"/>
      <c r="K1852" s="40"/>
      <c r="L1852" s="5"/>
      <c r="M1852" s="5"/>
      <c r="N1852" s="28"/>
      <c r="O1852" s="28"/>
      <c r="P1852" s="28"/>
      <c r="Q1852" s="28"/>
      <c r="R1852" s="28"/>
      <c r="S1852" s="28"/>
      <c r="T1852" s="28"/>
      <c r="V1852" s="28"/>
      <c r="W1852" s="5"/>
      <c r="X1852" s="5"/>
      <c r="Z1852" s="28"/>
      <c r="AA1852" s="28"/>
      <c r="AB1852" s="28"/>
      <c r="AC1852" s="28"/>
      <c r="AD1852" s="28"/>
      <c r="AE1852" s="28"/>
      <c r="AF1852" s="28"/>
      <c r="AG1852" s="28"/>
      <c r="AH1852" s="28"/>
      <c r="AI1852" s="28"/>
      <c r="AJ1852" s="28"/>
      <c r="AK1852" s="28"/>
      <c r="AL1852" s="28"/>
      <c r="AM1852" s="28"/>
      <c r="AN1852" s="28"/>
      <c r="AO1852" s="28"/>
      <c r="AP1852" s="28"/>
      <c r="AQ1852" s="28"/>
      <c r="AR1852" s="28"/>
      <c r="AS1852" s="28"/>
      <c r="AT1852" s="5"/>
      <c r="AU1852" s="28"/>
      <c r="AV1852" s="28"/>
      <c r="AX1852" s="28"/>
      <c r="AY1852" s="28"/>
      <c r="BA1852" s="28"/>
      <c r="BB1852" s="28"/>
      <c r="BF1852" s="28"/>
      <c r="BH1852" s="28"/>
      <c r="BI1852" s="28"/>
      <c r="BJ1852" s="38"/>
      <c r="BK1852" s="28"/>
    </row>
    <row r="1853" customFormat="false" ht="15.75" hidden="false" customHeight="false" outlineLevel="0" collapsed="false">
      <c r="A1853" s="28"/>
      <c r="B1853" s="28"/>
      <c r="C1853" s="28"/>
      <c r="D1853" s="5"/>
      <c r="E1853" s="38"/>
      <c r="F1853" s="28"/>
      <c r="G1853" s="28"/>
      <c r="H1853" s="38"/>
      <c r="I1853" s="28"/>
      <c r="J1853" s="40"/>
      <c r="K1853" s="40"/>
      <c r="L1853" s="5"/>
      <c r="M1853" s="5"/>
      <c r="N1853" s="28"/>
      <c r="O1853" s="28"/>
      <c r="P1853" s="28"/>
      <c r="Q1853" s="28"/>
      <c r="R1853" s="28"/>
      <c r="S1853" s="28"/>
      <c r="T1853" s="28"/>
      <c r="V1853" s="28"/>
      <c r="W1853" s="5"/>
      <c r="X1853" s="5"/>
      <c r="Z1853" s="28"/>
      <c r="AA1853" s="28"/>
      <c r="AB1853" s="28"/>
      <c r="AC1853" s="28"/>
      <c r="AD1853" s="28"/>
      <c r="AE1853" s="28"/>
      <c r="AF1853" s="28"/>
      <c r="AG1853" s="28"/>
      <c r="AH1853" s="28"/>
      <c r="AI1853" s="28"/>
      <c r="AJ1853" s="28"/>
      <c r="AK1853" s="28"/>
      <c r="AL1853" s="28"/>
      <c r="AM1853" s="28"/>
      <c r="AN1853" s="28"/>
      <c r="AO1853" s="28"/>
      <c r="AP1853" s="28"/>
      <c r="AQ1853" s="28"/>
      <c r="AR1853" s="28"/>
      <c r="AS1853" s="28"/>
      <c r="AT1853" s="5"/>
      <c r="AU1853" s="28"/>
      <c r="AV1853" s="28"/>
      <c r="AX1853" s="28"/>
      <c r="AY1853" s="28"/>
      <c r="BA1853" s="28"/>
      <c r="BB1853" s="28"/>
      <c r="BF1853" s="28"/>
      <c r="BH1853" s="28"/>
      <c r="BI1853" s="28"/>
      <c r="BJ1853" s="38"/>
      <c r="BK1853" s="28"/>
    </row>
    <row r="1854" customFormat="false" ht="15.75" hidden="false" customHeight="false" outlineLevel="0" collapsed="false">
      <c r="A1854" s="28"/>
      <c r="B1854" s="28"/>
      <c r="C1854" s="28"/>
      <c r="D1854" s="5"/>
      <c r="E1854" s="38"/>
      <c r="F1854" s="28"/>
      <c r="G1854" s="28"/>
      <c r="H1854" s="38"/>
      <c r="I1854" s="28"/>
      <c r="J1854" s="40"/>
      <c r="K1854" s="40"/>
      <c r="L1854" s="5"/>
      <c r="M1854" s="5"/>
      <c r="N1854" s="28"/>
      <c r="O1854" s="28"/>
      <c r="P1854" s="28"/>
      <c r="Q1854" s="28"/>
      <c r="R1854" s="28"/>
      <c r="S1854" s="28"/>
      <c r="T1854" s="28"/>
      <c r="V1854" s="28"/>
      <c r="W1854" s="5"/>
      <c r="X1854" s="5"/>
      <c r="Z1854" s="28"/>
      <c r="AA1854" s="28"/>
      <c r="AB1854" s="28"/>
      <c r="AC1854" s="28"/>
      <c r="AD1854" s="28"/>
      <c r="AE1854" s="28"/>
      <c r="AF1854" s="28"/>
      <c r="AG1854" s="28"/>
      <c r="AH1854" s="28"/>
      <c r="AI1854" s="28"/>
      <c r="AJ1854" s="28"/>
      <c r="AK1854" s="28"/>
      <c r="AL1854" s="28"/>
      <c r="AM1854" s="28"/>
      <c r="AN1854" s="28"/>
      <c r="AO1854" s="28"/>
      <c r="AP1854" s="28"/>
      <c r="AQ1854" s="28"/>
      <c r="AR1854" s="28"/>
      <c r="AS1854" s="28"/>
      <c r="AT1854" s="5"/>
      <c r="AU1854" s="28"/>
      <c r="AV1854" s="28"/>
      <c r="AX1854" s="28"/>
      <c r="AY1854" s="28"/>
      <c r="BA1854" s="28"/>
      <c r="BB1854" s="28"/>
      <c r="BF1854" s="28"/>
      <c r="BH1854" s="28"/>
      <c r="BI1854" s="28"/>
      <c r="BJ1854" s="38"/>
      <c r="BK1854" s="28"/>
    </row>
    <row r="1855" customFormat="false" ht="15.75" hidden="false" customHeight="false" outlineLevel="0" collapsed="false">
      <c r="A1855" s="28"/>
      <c r="B1855" s="28"/>
      <c r="C1855" s="28"/>
      <c r="D1855" s="5"/>
      <c r="E1855" s="38"/>
      <c r="F1855" s="28"/>
      <c r="G1855" s="28"/>
      <c r="H1855" s="38"/>
      <c r="I1855" s="28"/>
      <c r="J1855" s="40"/>
      <c r="K1855" s="40"/>
      <c r="L1855" s="5"/>
      <c r="M1855" s="5"/>
      <c r="N1855" s="28"/>
      <c r="O1855" s="28"/>
      <c r="P1855" s="28"/>
      <c r="Q1855" s="28"/>
      <c r="R1855" s="28"/>
      <c r="S1855" s="28"/>
      <c r="T1855" s="28"/>
      <c r="V1855" s="28"/>
      <c r="W1855" s="5"/>
      <c r="X1855" s="5"/>
      <c r="Z1855" s="28"/>
      <c r="AA1855" s="28"/>
      <c r="AB1855" s="28"/>
      <c r="AC1855" s="28"/>
      <c r="AD1855" s="28"/>
      <c r="AE1855" s="28"/>
      <c r="AF1855" s="28"/>
      <c r="AG1855" s="28"/>
      <c r="AH1855" s="28"/>
      <c r="AI1855" s="28"/>
      <c r="AJ1855" s="28"/>
      <c r="AK1855" s="28"/>
      <c r="AL1855" s="28"/>
      <c r="AM1855" s="28"/>
      <c r="AN1855" s="28"/>
      <c r="AO1855" s="28"/>
      <c r="AP1855" s="28"/>
      <c r="AQ1855" s="28"/>
      <c r="AR1855" s="28"/>
      <c r="AS1855" s="28"/>
      <c r="AT1855" s="5"/>
      <c r="AU1855" s="28"/>
      <c r="AV1855" s="28"/>
      <c r="AX1855" s="28"/>
      <c r="AY1855" s="28"/>
      <c r="BA1855" s="28"/>
      <c r="BB1855" s="28"/>
      <c r="BF1855" s="28"/>
      <c r="BH1855" s="28"/>
      <c r="BI1855" s="28"/>
      <c r="BJ1855" s="38"/>
      <c r="BK1855" s="28"/>
    </row>
    <row r="1856" customFormat="false" ht="15.75" hidden="false" customHeight="false" outlineLevel="0" collapsed="false">
      <c r="A1856" s="28"/>
      <c r="B1856" s="28"/>
      <c r="C1856" s="28"/>
      <c r="D1856" s="5"/>
      <c r="E1856" s="38"/>
      <c r="F1856" s="28"/>
      <c r="G1856" s="28"/>
      <c r="H1856" s="38"/>
      <c r="I1856" s="28"/>
      <c r="J1856" s="40"/>
      <c r="K1856" s="40"/>
      <c r="L1856" s="5"/>
      <c r="M1856" s="5"/>
      <c r="N1856" s="28"/>
      <c r="O1856" s="28"/>
      <c r="P1856" s="28"/>
      <c r="Q1856" s="28"/>
      <c r="R1856" s="28"/>
      <c r="S1856" s="28"/>
      <c r="T1856" s="28"/>
      <c r="V1856" s="28"/>
      <c r="W1856" s="5"/>
      <c r="X1856" s="5"/>
      <c r="Z1856" s="28"/>
      <c r="AA1856" s="28"/>
      <c r="AB1856" s="28"/>
      <c r="AC1856" s="28"/>
      <c r="AD1856" s="28"/>
      <c r="AE1856" s="28"/>
      <c r="AF1856" s="28"/>
      <c r="AG1856" s="28"/>
      <c r="AH1856" s="28"/>
      <c r="AI1856" s="28"/>
      <c r="AJ1856" s="28"/>
      <c r="AK1856" s="28"/>
      <c r="AL1856" s="28"/>
      <c r="AM1856" s="28"/>
      <c r="AN1856" s="28"/>
      <c r="AO1856" s="28"/>
      <c r="AP1856" s="28"/>
      <c r="AQ1856" s="28"/>
      <c r="AR1856" s="28"/>
      <c r="AS1856" s="28"/>
      <c r="AT1856" s="5"/>
      <c r="AU1856" s="28"/>
      <c r="AV1856" s="28"/>
      <c r="AX1856" s="28"/>
      <c r="AY1856" s="28"/>
      <c r="BA1856" s="28"/>
      <c r="BB1856" s="28"/>
      <c r="BF1856" s="28"/>
      <c r="BH1856" s="28"/>
      <c r="BI1856" s="28"/>
      <c r="BJ1856" s="38"/>
      <c r="BK1856" s="28"/>
    </row>
    <row r="1857" customFormat="false" ht="15.75" hidden="false" customHeight="false" outlineLevel="0" collapsed="false">
      <c r="A1857" s="28"/>
      <c r="B1857" s="28"/>
      <c r="C1857" s="28"/>
      <c r="D1857" s="5"/>
      <c r="E1857" s="38"/>
      <c r="F1857" s="28"/>
      <c r="G1857" s="28"/>
      <c r="H1857" s="38"/>
      <c r="I1857" s="28"/>
      <c r="J1857" s="40"/>
      <c r="K1857" s="40"/>
      <c r="L1857" s="5"/>
      <c r="M1857" s="5"/>
      <c r="N1857" s="28"/>
      <c r="O1857" s="28"/>
      <c r="P1857" s="28"/>
      <c r="Q1857" s="28"/>
      <c r="R1857" s="28"/>
      <c r="S1857" s="28"/>
      <c r="T1857" s="28"/>
      <c r="V1857" s="28"/>
      <c r="W1857" s="5"/>
      <c r="X1857" s="5"/>
      <c r="Z1857" s="28"/>
      <c r="AA1857" s="28"/>
      <c r="AB1857" s="28"/>
      <c r="AC1857" s="28"/>
      <c r="AD1857" s="28"/>
      <c r="AE1857" s="28"/>
      <c r="AF1857" s="28"/>
      <c r="AG1857" s="28"/>
      <c r="AH1857" s="28"/>
      <c r="AI1857" s="28"/>
      <c r="AJ1857" s="28"/>
      <c r="AK1857" s="28"/>
      <c r="AL1857" s="28"/>
      <c r="AM1857" s="28"/>
      <c r="AN1857" s="28"/>
      <c r="AO1857" s="28"/>
      <c r="AP1857" s="28"/>
      <c r="AQ1857" s="28"/>
      <c r="AR1857" s="28"/>
      <c r="AS1857" s="28"/>
      <c r="AT1857" s="5"/>
      <c r="AU1857" s="28"/>
      <c r="AV1857" s="28"/>
      <c r="AX1857" s="28"/>
      <c r="AY1857" s="28"/>
      <c r="BA1857" s="28"/>
      <c r="BB1857" s="28"/>
      <c r="BF1857" s="28"/>
      <c r="BH1857" s="28"/>
      <c r="BI1857" s="28"/>
      <c r="BJ1857" s="38"/>
      <c r="BK1857" s="28"/>
    </row>
    <row r="1858" customFormat="false" ht="15.75" hidden="false" customHeight="false" outlineLevel="0" collapsed="false">
      <c r="A1858" s="28"/>
      <c r="B1858" s="28"/>
      <c r="C1858" s="28"/>
      <c r="D1858" s="5"/>
      <c r="E1858" s="38"/>
      <c r="F1858" s="28"/>
      <c r="G1858" s="28"/>
      <c r="H1858" s="38"/>
      <c r="I1858" s="28"/>
      <c r="J1858" s="40"/>
      <c r="K1858" s="40"/>
      <c r="L1858" s="5"/>
      <c r="M1858" s="5"/>
      <c r="N1858" s="28"/>
      <c r="O1858" s="28"/>
      <c r="P1858" s="28"/>
      <c r="Q1858" s="28"/>
      <c r="R1858" s="28"/>
      <c r="S1858" s="28"/>
      <c r="T1858" s="28"/>
      <c r="V1858" s="28"/>
      <c r="W1858" s="5"/>
      <c r="X1858" s="5"/>
      <c r="Z1858" s="28"/>
      <c r="AA1858" s="28"/>
      <c r="AB1858" s="28"/>
      <c r="AC1858" s="28"/>
      <c r="AD1858" s="28"/>
      <c r="AE1858" s="28"/>
      <c r="AF1858" s="28"/>
      <c r="AG1858" s="28"/>
      <c r="AH1858" s="28"/>
      <c r="AI1858" s="28"/>
      <c r="AJ1858" s="28"/>
      <c r="AK1858" s="28"/>
      <c r="AL1858" s="28"/>
      <c r="AM1858" s="28"/>
      <c r="AN1858" s="28"/>
      <c r="AO1858" s="28"/>
      <c r="AP1858" s="28"/>
      <c r="AQ1858" s="28"/>
      <c r="AR1858" s="28"/>
      <c r="AS1858" s="28"/>
      <c r="AT1858" s="5"/>
      <c r="AU1858" s="28"/>
      <c r="AV1858" s="28"/>
      <c r="AX1858" s="28"/>
      <c r="AY1858" s="28"/>
      <c r="BA1858" s="28"/>
      <c r="BB1858" s="28"/>
      <c r="BF1858" s="28"/>
      <c r="BH1858" s="28"/>
      <c r="BI1858" s="28"/>
      <c r="BJ1858" s="38"/>
      <c r="BK1858" s="28"/>
    </row>
    <row r="1859" customFormat="false" ht="15.75" hidden="false" customHeight="false" outlineLevel="0" collapsed="false">
      <c r="A1859" s="28"/>
      <c r="B1859" s="28"/>
      <c r="C1859" s="28"/>
      <c r="D1859" s="5"/>
      <c r="E1859" s="38"/>
      <c r="F1859" s="28"/>
      <c r="G1859" s="28"/>
      <c r="H1859" s="38"/>
      <c r="I1859" s="28"/>
      <c r="J1859" s="40"/>
      <c r="K1859" s="40"/>
      <c r="L1859" s="5"/>
      <c r="M1859" s="5"/>
      <c r="N1859" s="28"/>
      <c r="O1859" s="28"/>
      <c r="P1859" s="28"/>
      <c r="Q1859" s="28"/>
      <c r="R1859" s="28"/>
      <c r="S1859" s="28"/>
      <c r="T1859" s="28"/>
      <c r="V1859" s="28"/>
      <c r="W1859" s="5"/>
      <c r="X1859" s="5"/>
      <c r="Z1859" s="28"/>
      <c r="AA1859" s="28"/>
      <c r="AB1859" s="28"/>
      <c r="AC1859" s="28"/>
      <c r="AD1859" s="28"/>
      <c r="AE1859" s="28"/>
      <c r="AF1859" s="28"/>
      <c r="AG1859" s="28"/>
      <c r="AH1859" s="28"/>
      <c r="AI1859" s="28"/>
      <c r="AJ1859" s="28"/>
      <c r="AK1859" s="28"/>
      <c r="AL1859" s="28"/>
      <c r="AM1859" s="28"/>
      <c r="AN1859" s="28"/>
      <c r="AO1859" s="28"/>
      <c r="AP1859" s="28"/>
      <c r="AQ1859" s="28"/>
      <c r="AR1859" s="28"/>
      <c r="AS1859" s="28"/>
      <c r="AT1859" s="5"/>
      <c r="AU1859" s="28"/>
      <c r="AV1859" s="28"/>
      <c r="AX1859" s="28"/>
      <c r="AY1859" s="28"/>
      <c r="BA1859" s="28"/>
      <c r="BB1859" s="28"/>
      <c r="BF1859" s="28"/>
      <c r="BH1859" s="28"/>
      <c r="BI1859" s="28"/>
      <c r="BJ1859" s="38"/>
      <c r="BK1859" s="28"/>
    </row>
    <row r="1860" customFormat="false" ht="15.75" hidden="false" customHeight="false" outlineLevel="0" collapsed="false">
      <c r="A1860" s="28"/>
      <c r="B1860" s="28"/>
      <c r="C1860" s="28"/>
      <c r="D1860" s="5"/>
      <c r="E1860" s="38"/>
      <c r="F1860" s="28"/>
      <c r="G1860" s="28"/>
      <c r="H1860" s="38"/>
      <c r="I1860" s="28"/>
      <c r="J1860" s="40"/>
      <c r="K1860" s="40"/>
      <c r="L1860" s="5"/>
      <c r="M1860" s="5"/>
      <c r="N1860" s="28"/>
      <c r="O1860" s="28"/>
      <c r="P1860" s="28"/>
      <c r="Q1860" s="28"/>
      <c r="R1860" s="28"/>
      <c r="S1860" s="28"/>
      <c r="T1860" s="28"/>
      <c r="V1860" s="28"/>
      <c r="W1860" s="5"/>
      <c r="X1860" s="5"/>
      <c r="Z1860" s="28"/>
      <c r="AA1860" s="28"/>
      <c r="AB1860" s="28"/>
      <c r="AC1860" s="28"/>
      <c r="AD1860" s="28"/>
      <c r="AE1860" s="28"/>
      <c r="AF1860" s="28"/>
      <c r="AG1860" s="28"/>
      <c r="AH1860" s="28"/>
      <c r="AI1860" s="28"/>
      <c r="AJ1860" s="28"/>
      <c r="AK1860" s="28"/>
      <c r="AL1860" s="28"/>
      <c r="AM1860" s="28"/>
      <c r="AN1860" s="28"/>
      <c r="AO1860" s="28"/>
      <c r="AP1860" s="28"/>
      <c r="AQ1860" s="28"/>
      <c r="AR1860" s="28"/>
      <c r="AS1860" s="28"/>
      <c r="AT1860" s="5"/>
      <c r="AU1860" s="28"/>
      <c r="AV1860" s="28"/>
      <c r="AX1860" s="28"/>
      <c r="AY1860" s="28"/>
      <c r="BA1860" s="28"/>
      <c r="BB1860" s="28"/>
      <c r="BF1860" s="28"/>
      <c r="BH1860" s="28"/>
      <c r="BI1860" s="28"/>
      <c r="BJ1860" s="38"/>
      <c r="BK1860" s="28"/>
    </row>
    <row r="1861" customFormat="false" ht="15.75" hidden="false" customHeight="false" outlineLevel="0" collapsed="false">
      <c r="A1861" s="28"/>
      <c r="B1861" s="28"/>
      <c r="C1861" s="28"/>
      <c r="D1861" s="5"/>
      <c r="E1861" s="38"/>
      <c r="F1861" s="28"/>
      <c r="G1861" s="28"/>
      <c r="H1861" s="38"/>
      <c r="I1861" s="28"/>
      <c r="J1861" s="40"/>
      <c r="K1861" s="40"/>
      <c r="L1861" s="5"/>
      <c r="M1861" s="5"/>
      <c r="N1861" s="28"/>
      <c r="O1861" s="28"/>
      <c r="P1861" s="28"/>
      <c r="Q1861" s="28"/>
      <c r="R1861" s="28"/>
      <c r="S1861" s="28"/>
      <c r="T1861" s="28"/>
      <c r="V1861" s="28"/>
      <c r="W1861" s="5"/>
      <c r="X1861" s="5"/>
      <c r="Z1861" s="28"/>
      <c r="AA1861" s="28"/>
      <c r="AB1861" s="28"/>
      <c r="AC1861" s="28"/>
      <c r="AD1861" s="28"/>
      <c r="AE1861" s="28"/>
      <c r="AF1861" s="28"/>
      <c r="AG1861" s="28"/>
      <c r="AH1861" s="28"/>
      <c r="AI1861" s="28"/>
      <c r="AJ1861" s="28"/>
      <c r="AK1861" s="28"/>
      <c r="AL1861" s="28"/>
      <c r="AM1861" s="28"/>
      <c r="AN1861" s="28"/>
      <c r="AO1861" s="28"/>
      <c r="AP1861" s="28"/>
      <c r="AQ1861" s="28"/>
      <c r="AR1861" s="28"/>
      <c r="AS1861" s="28"/>
      <c r="AT1861" s="5"/>
      <c r="AU1861" s="28"/>
      <c r="AV1861" s="28"/>
      <c r="AX1861" s="28"/>
      <c r="AY1861" s="28"/>
      <c r="BA1861" s="28"/>
      <c r="BB1861" s="28"/>
      <c r="BF1861" s="28"/>
      <c r="BH1861" s="28"/>
      <c r="BI1861" s="28"/>
      <c r="BJ1861" s="38"/>
      <c r="BK1861" s="28"/>
    </row>
    <row r="1862" customFormat="false" ht="15.75" hidden="false" customHeight="false" outlineLevel="0" collapsed="false">
      <c r="A1862" s="28"/>
      <c r="B1862" s="28"/>
      <c r="C1862" s="28"/>
      <c r="D1862" s="5"/>
      <c r="E1862" s="38"/>
      <c r="F1862" s="28"/>
      <c r="G1862" s="28"/>
      <c r="H1862" s="38"/>
      <c r="I1862" s="28"/>
      <c r="J1862" s="40"/>
      <c r="K1862" s="40"/>
      <c r="L1862" s="5"/>
      <c r="M1862" s="5"/>
      <c r="N1862" s="28"/>
      <c r="O1862" s="28"/>
      <c r="P1862" s="28"/>
      <c r="Q1862" s="28"/>
      <c r="R1862" s="28"/>
      <c r="S1862" s="28"/>
      <c r="T1862" s="28"/>
      <c r="V1862" s="28"/>
      <c r="W1862" s="5"/>
      <c r="X1862" s="5"/>
      <c r="Z1862" s="28"/>
      <c r="AA1862" s="28"/>
      <c r="AB1862" s="28"/>
      <c r="AC1862" s="28"/>
      <c r="AD1862" s="28"/>
      <c r="AE1862" s="28"/>
      <c r="AF1862" s="28"/>
      <c r="AG1862" s="28"/>
      <c r="AH1862" s="28"/>
      <c r="AI1862" s="28"/>
      <c r="AJ1862" s="28"/>
      <c r="AK1862" s="28"/>
      <c r="AL1862" s="28"/>
      <c r="AM1862" s="28"/>
      <c r="AN1862" s="28"/>
      <c r="AO1862" s="28"/>
      <c r="AP1862" s="28"/>
      <c r="AQ1862" s="28"/>
      <c r="AR1862" s="28"/>
      <c r="AS1862" s="28"/>
      <c r="AT1862" s="5"/>
      <c r="AU1862" s="28"/>
      <c r="AV1862" s="28"/>
      <c r="AX1862" s="28"/>
      <c r="AY1862" s="28"/>
      <c r="BA1862" s="28"/>
      <c r="BB1862" s="28"/>
      <c r="BF1862" s="28"/>
      <c r="BH1862" s="28"/>
      <c r="BI1862" s="28"/>
      <c r="BJ1862" s="38"/>
      <c r="BK1862" s="28"/>
    </row>
    <row r="1863" customFormat="false" ht="15.75" hidden="false" customHeight="false" outlineLevel="0" collapsed="false">
      <c r="A1863" s="28"/>
      <c r="B1863" s="28"/>
      <c r="C1863" s="28"/>
      <c r="D1863" s="5"/>
      <c r="E1863" s="38"/>
      <c r="F1863" s="28"/>
      <c r="G1863" s="28"/>
      <c r="H1863" s="38"/>
      <c r="I1863" s="28"/>
      <c r="J1863" s="40"/>
      <c r="K1863" s="40"/>
      <c r="L1863" s="5"/>
      <c r="M1863" s="5"/>
      <c r="N1863" s="28"/>
      <c r="O1863" s="28"/>
      <c r="P1863" s="28"/>
      <c r="Q1863" s="28"/>
      <c r="R1863" s="28"/>
      <c r="S1863" s="28"/>
      <c r="T1863" s="28"/>
      <c r="V1863" s="28"/>
      <c r="W1863" s="5"/>
      <c r="X1863" s="5"/>
      <c r="Z1863" s="28"/>
      <c r="AA1863" s="28"/>
      <c r="AB1863" s="28"/>
      <c r="AC1863" s="28"/>
      <c r="AD1863" s="28"/>
      <c r="AE1863" s="28"/>
      <c r="AF1863" s="28"/>
      <c r="AG1863" s="28"/>
      <c r="AH1863" s="28"/>
      <c r="AI1863" s="28"/>
      <c r="AJ1863" s="28"/>
      <c r="AK1863" s="28"/>
      <c r="AL1863" s="28"/>
      <c r="AM1863" s="28"/>
      <c r="AN1863" s="28"/>
      <c r="AO1863" s="28"/>
      <c r="AP1863" s="28"/>
      <c r="AQ1863" s="28"/>
      <c r="AR1863" s="28"/>
      <c r="AS1863" s="28"/>
      <c r="AT1863" s="5"/>
      <c r="AU1863" s="28"/>
      <c r="AV1863" s="28"/>
      <c r="AX1863" s="28"/>
      <c r="AY1863" s="28"/>
      <c r="BA1863" s="28"/>
      <c r="BB1863" s="28"/>
      <c r="BF1863" s="28"/>
      <c r="BH1863" s="28"/>
      <c r="BI1863" s="28"/>
      <c r="BJ1863" s="38"/>
      <c r="BK1863" s="28"/>
    </row>
    <row r="1864" customFormat="false" ht="15.75" hidden="false" customHeight="false" outlineLevel="0" collapsed="false">
      <c r="A1864" s="28"/>
      <c r="B1864" s="28"/>
      <c r="C1864" s="28"/>
      <c r="D1864" s="5"/>
      <c r="E1864" s="38"/>
      <c r="F1864" s="28"/>
      <c r="G1864" s="28"/>
      <c r="H1864" s="38"/>
      <c r="I1864" s="28"/>
      <c r="J1864" s="40"/>
      <c r="K1864" s="40"/>
      <c r="L1864" s="5"/>
      <c r="M1864" s="5"/>
      <c r="N1864" s="28"/>
      <c r="O1864" s="28"/>
      <c r="P1864" s="28"/>
      <c r="Q1864" s="28"/>
      <c r="R1864" s="28"/>
      <c r="S1864" s="28"/>
      <c r="T1864" s="28"/>
      <c r="V1864" s="28"/>
      <c r="W1864" s="5"/>
      <c r="X1864" s="5"/>
      <c r="Z1864" s="28"/>
      <c r="AA1864" s="28"/>
      <c r="AB1864" s="28"/>
      <c r="AC1864" s="28"/>
      <c r="AD1864" s="28"/>
      <c r="AE1864" s="28"/>
      <c r="AF1864" s="28"/>
      <c r="AG1864" s="28"/>
      <c r="AH1864" s="28"/>
      <c r="AI1864" s="28"/>
      <c r="AJ1864" s="28"/>
      <c r="AK1864" s="28"/>
      <c r="AL1864" s="28"/>
      <c r="AM1864" s="28"/>
      <c r="AN1864" s="28"/>
      <c r="AO1864" s="28"/>
      <c r="AP1864" s="28"/>
      <c r="AQ1864" s="28"/>
      <c r="AR1864" s="28"/>
      <c r="AS1864" s="28"/>
      <c r="AT1864" s="5"/>
      <c r="AU1864" s="28"/>
      <c r="AV1864" s="28"/>
      <c r="AX1864" s="28"/>
      <c r="AY1864" s="28"/>
      <c r="BA1864" s="28"/>
      <c r="BB1864" s="28"/>
      <c r="BF1864" s="28"/>
      <c r="BH1864" s="28"/>
      <c r="BI1864" s="28"/>
      <c r="BJ1864" s="38"/>
      <c r="BK1864" s="28"/>
    </row>
    <row r="1865" customFormat="false" ht="15.75" hidden="false" customHeight="false" outlineLevel="0" collapsed="false">
      <c r="A1865" s="28"/>
      <c r="B1865" s="28"/>
      <c r="C1865" s="28"/>
      <c r="D1865" s="5"/>
      <c r="E1865" s="38"/>
      <c r="F1865" s="28"/>
      <c r="G1865" s="28"/>
      <c r="H1865" s="38"/>
      <c r="I1865" s="28"/>
      <c r="J1865" s="40"/>
      <c r="K1865" s="40"/>
      <c r="L1865" s="5"/>
      <c r="M1865" s="5"/>
      <c r="N1865" s="28"/>
      <c r="O1865" s="28"/>
      <c r="P1865" s="28"/>
      <c r="Q1865" s="28"/>
      <c r="R1865" s="28"/>
      <c r="S1865" s="28"/>
      <c r="T1865" s="28"/>
      <c r="V1865" s="28"/>
      <c r="W1865" s="5"/>
      <c r="X1865" s="5"/>
      <c r="Z1865" s="28"/>
      <c r="AA1865" s="28"/>
      <c r="AB1865" s="28"/>
      <c r="AC1865" s="28"/>
      <c r="AD1865" s="28"/>
      <c r="AE1865" s="28"/>
      <c r="AF1865" s="28"/>
      <c r="AG1865" s="28"/>
      <c r="AH1865" s="28"/>
      <c r="AI1865" s="28"/>
      <c r="AJ1865" s="28"/>
      <c r="AK1865" s="28"/>
      <c r="AL1865" s="28"/>
      <c r="AM1865" s="28"/>
      <c r="AN1865" s="28"/>
      <c r="AO1865" s="28"/>
      <c r="AP1865" s="28"/>
      <c r="AQ1865" s="28"/>
      <c r="AR1865" s="28"/>
      <c r="AS1865" s="28"/>
      <c r="AT1865" s="5"/>
      <c r="AU1865" s="28"/>
      <c r="AV1865" s="28"/>
      <c r="AX1865" s="28"/>
      <c r="AY1865" s="28"/>
      <c r="BA1865" s="28"/>
      <c r="BB1865" s="28"/>
      <c r="BF1865" s="28"/>
      <c r="BH1865" s="28"/>
      <c r="BI1865" s="28"/>
      <c r="BJ1865" s="38"/>
      <c r="BK1865" s="28"/>
    </row>
    <row r="1866" customFormat="false" ht="15.75" hidden="false" customHeight="false" outlineLevel="0" collapsed="false">
      <c r="A1866" s="28"/>
      <c r="B1866" s="28"/>
      <c r="C1866" s="28"/>
      <c r="D1866" s="5"/>
      <c r="E1866" s="38"/>
      <c r="F1866" s="28"/>
      <c r="G1866" s="28"/>
      <c r="H1866" s="38"/>
      <c r="I1866" s="28"/>
      <c r="J1866" s="40"/>
      <c r="K1866" s="40"/>
      <c r="L1866" s="5"/>
      <c r="M1866" s="5"/>
      <c r="N1866" s="28"/>
      <c r="O1866" s="28"/>
      <c r="P1866" s="28"/>
      <c r="Q1866" s="28"/>
      <c r="R1866" s="28"/>
      <c r="S1866" s="28"/>
      <c r="T1866" s="28"/>
      <c r="V1866" s="28"/>
      <c r="W1866" s="5"/>
      <c r="X1866" s="5"/>
      <c r="Z1866" s="28"/>
      <c r="AA1866" s="28"/>
      <c r="AB1866" s="28"/>
      <c r="AC1866" s="28"/>
      <c r="AD1866" s="28"/>
      <c r="AE1866" s="28"/>
      <c r="AF1866" s="28"/>
      <c r="AG1866" s="28"/>
      <c r="AH1866" s="28"/>
      <c r="AI1866" s="28"/>
      <c r="AJ1866" s="28"/>
      <c r="AK1866" s="28"/>
      <c r="AL1866" s="28"/>
      <c r="AM1866" s="28"/>
      <c r="AN1866" s="28"/>
      <c r="AO1866" s="28"/>
      <c r="AP1866" s="28"/>
      <c r="AQ1866" s="28"/>
      <c r="AR1866" s="28"/>
      <c r="AS1866" s="28"/>
      <c r="AT1866" s="5"/>
      <c r="AU1866" s="28"/>
      <c r="AV1866" s="28"/>
      <c r="AX1866" s="28"/>
      <c r="AY1866" s="28"/>
      <c r="BA1866" s="28"/>
      <c r="BB1866" s="28"/>
      <c r="BF1866" s="28"/>
      <c r="BH1866" s="28"/>
      <c r="BI1866" s="28"/>
      <c r="BJ1866" s="38"/>
      <c r="BK1866" s="28"/>
    </row>
    <row r="1867" customFormat="false" ht="15.75" hidden="false" customHeight="false" outlineLevel="0" collapsed="false">
      <c r="A1867" s="28"/>
      <c r="B1867" s="28"/>
      <c r="C1867" s="28"/>
      <c r="D1867" s="5"/>
      <c r="E1867" s="38"/>
      <c r="F1867" s="28"/>
      <c r="G1867" s="28"/>
      <c r="H1867" s="38"/>
      <c r="I1867" s="28"/>
      <c r="J1867" s="40"/>
      <c r="K1867" s="40"/>
      <c r="L1867" s="5"/>
      <c r="M1867" s="5"/>
      <c r="N1867" s="28"/>
      <c r="O1867" s="28"/>
      <c r="P1867" s="28"/>
      <c r="Q1867" s="28"/>
      <c r="R1867" s="28"/>
      <c r="S1867" s="28"/>
      <c r="T1867" s="28"/>
      <c r="V1867" s="28"/>
      <c r="W1867" s="5"/>
      <c r="X1867" s="5"/>
      <c r="Z1867" s="28"/>
      <c r="AA1867" s="28"/>
      <c r="AB1867" s="28"/>
      <c r="AC1867" s="28"/>
      <c r="AD1867" s="28"/>
      <c r="AE1867" s="28"/>
      <c r="AF1867" s="28"/>
      <c r="AG1867" s="28"/>
      <c r="AH1867" s="28"/>
      <c r="AI1867" s="28"/>
      <c r="AJ1867" s="28"/>
      <c r="AK1867" s="28"/>
      <c r="AL1867" s="28"/>
      <c r="AM1867" s="28"/>
      <c r="AN1867" s="28"/>
      <c r="AO1867" s="28"/>
      <c r="AP1867" s="28"/>
      <c r="AQ1867" s="28"/>
      <c r="AR1867" s="28"/>
      <c r="AS1867" s="28"/>
      <c r="AT1867" s="5"/>
      <c r="AU1867" s="28"/>
      <c r="AV1867" s="28"/>
      <c r="AX1867" s="28"/>
      <c r="AY1867" s="28"/>
      <c r="BA1867" s="28"/>
      <c r="BB1867" s="28"/>
      <c r="BF1867" s="28"/>
      <c r="BH1867" s="28"/>
      <c r="BI1867" s="28"/>
      <c r="BJ1867" s="38"/>
      <c r="BK1867" s="28"/>
    </row>
    <row r="1868" customFormat="false" ht="15.75" hidden="false" customHeight="false" outlineLevel="0" collapsed="false">
      <c r="A1868" s="28"/>
      <c r="B1868" s="28"/>
      <c r="C1868" s="28"/>
      <c r="D1868" s="5"/>
      <c r="E1868" s="38"/>
      <c r="F1868" s="28"/>
      <c r="G1868" s="28"/>
      <c r="H1868" s="38"/>
      <c r="I1868" s="28"/>
      <c r="J1868" s="40"/>
      <c r="K1868" s="40"/>
      <c r="L1868" s="5"/>
      <c r="M1868" s="5"/>
      <c r="N1868" s="28"/>
      <c r="O1868" s="28"/>
      <c r="P1868" s="28"/>
      <c r="Q1868" s="28"/>
      <c r="R1868" s="28"/>
      <c r="S1868" s="28"/>
      <c r="T1868" s="28"/>
      <c r="V1868" s="28"/>
      <c r="W1868" s="5"/>
      <c r="X1868" s="5"/>
      <c r="Z1868" s="28"/>
      <c r="AA1868" s="28"/>
      <c r="AB1868" s="28"/>
      <c r="AC1868" s="28"/>
      <c r="AD1868" s="28"/>
      <c r="AE1868" s="28"/>
      <c r="AF1868" s="28"/>
      <c r="AG1868" s="28"/>
      <c r="AH1868" s="28"/>
      <c r="AI1868" s="28"/>
      <c r="AJ1868" s="28"/>
      <c r="AK1868" s="28"/>
      <c r="AL1868" s="28"/>
      <c r="AM1868" s="28"/>
      <c r="AN1868" s="28"/>
      <c r="AO1868" s="28"/>
      <c r="AP1868" s="28"/>
      <c r="AQ1868" s="28"/>
      <c r="AR1868" s="28"/>
      <c r="AS1868" s="28"/>
      <c r="AT1868" s="5"/>
      <c r="AU1868" s="28"/>
      <c r="AV1868" s="28"/>
      <c r="AX1868" s="28"/>
      <c r="AY1868" s="28"/>
      <c r="BA1868" s="28"/>
      <c r="BB1868" s="28"/>
      <c r="BF1868" s="28"/>
      <c r="BH1868" s="28"/>
      <c r="BI1868" s="28"/>
      <c r="BJ1868" s="38"/>
      <c r="BK1868" s="28"/>
    </row>
    <row r="1869" customFormat="false" ht="15.75" hidden="false" customHeight="false" outlineLevel="0" collapsed="false">
      <c r="A1869" s="28"/>
      <c r="B1869" s="28"/>
      <c r="C1869" s="28"/>
      <c r="D1869" s="5"/>
      <c r="E1869" s="38"/>
      <c r="F1869" s="28"/>
      <c r="G1869" s="28"/>
      <c r="H1869" s="38"/>
      <c r="I1869" s="28"/>
      <c r="J1869" s="40"/>
      <c r="K1869" s="40"/>
      <c r="L1869" s="5"/>
      <c r="M1869" s="5"/>
      <c r="N1869" s="28"/>
      <c r="O1869" s="28"/>
      <c r="P1869" s="28"/>
      <c r="Q1869" s="28"/>
      <c r="R1869" s="28"/>
      <c r="S1869" s="28"/>
      <c r="T1869" s="28"/>
      <c r="V1869" s="28"/>
      <c r="W1869" s="5"/>
      <c r="X1869" s="5"/>
      <c r="Z1869" s="28"/>
      <c r="AA1869" s="28"/>
      <c r="AB1869" s="28"/>
      <c r="AC1869" s="28"/>
      <c r="AD1869" s="28"/>
      <c r="AE1869" s="28"/>
      <c r="AF1869" s="28"/>
      <c r="AG1869" s="28"/>
      <c r="AH1869" s="28"/>
      <c r="AI1869" s="28"/>
      <c r="AJ1869" s="28"/>
      <c r="AK1869" s="28"/>
      <c r="AL1869" s="28"/>
      <c r="AM1869" s="28"/>
      <c r="AN1869" s="28"/>
      <c r="AO1869" s="28"/>
      <c r="AP1869" s="28"/>
      <c r="AQ1869" s="28"/>
      <c r="AR1869" s="28"/>
      <c r="AS1869" s="28"/>
      <c r="AT1869" s="5"/>
      <c r="AU1869" s="28"/>
      <c r="AV1869" s="28"/>
      <c r="AX1869" s="28"/>
      <c r="AY1869" s="28"/>
      <c r="BA1869" s="28"/>
      <c r="BB1869" s="28"/>
      <c r="BF1869" s="28"/>
      <c r="BH1869" s="28"/>
      <c r="BI1869" s="28"/>
      <c r="BJ1869" s="38"/>
      <c r="BK1869" s="28"/>
    </row>
    <row r="1870" customFormat="false" ht="15.75" hidden="false" customHeight="false" outlineLevel="0" collapsed="false">
      <c r="A1870" s="28"/>
      <c r="B1870" s="28"/>
      <c r="C1870" s="28"/>
      <c r="D1870" s="5"/>
      <c r="E1870" s="38"/>
      <c r="F1870" s="28"/>
      <c r="G1870" s="28"/>
      <c r="H1870" s="38"/>
      <c r="I1870" s="28"/>
      <c r="J1870" s="40"/>
      <c r="K1870" s="40"/>
      <c r="L1870" s="5"/>
      <c r="M1870" s="5"/>
      <c r="N1870" s="28"/>
      <c r="O1870" s="28"/>
      <c r="P1870" s="28"/>
      <c r="Q1870" s="28"/>
      <c r="R1870" s="28"/>
      <c r="S1870" s="28"/>
      <c r="T1870" s="28"/>
      <c r="V1870" s="28"/>
      <c r="W1870" s="5"/>
      <c r="X1870" s="5"/>
      <c r="Z1870" s="28"/>
      <c r="AA1870" s="28"/>
      <c r="AB1870" s="28"/>
      <c r="AC1870" s="28"/>
      <c r="AD1870" s="28"/>
      <c r="AE1870" s="28"/>
      <c r="AF1870" s="28"/>
      <c r="AG1870" s="28"/>
      <c r="AH1870" s="28"/>
      <c r="AI1870" s="28"/>
      <c r="AJ1870" s="28"/>
      <c r="AK1870" s="28"/>
      <c r="AL1870" s="28"/>
      <c r="AM1870" s="28"/>
      <c r="AN1870" s="28"/>
      <c r="AO1870" s="28"/>
      <c r="AP1870" s="28"/>
      <c r="AQ1870" s="28"/>
      <c r="AR1870" s="28"/>
      <c r="AS1870" s="28"/>
      <c r="AT1870" s="5"/>
      <c r="AU1870" s="28"/>
      <c r="AV1870" s="28"/>
      <c r="AX1870" s="28"/>
      <c r="AY1870" s="28"/>
      <c r="BA1870" s="28"/>
      <c r="BB1870" s="28"/>
      <c r="BF1870" s="28"/>
      <c r="BH1870" s="28"/>
      <c r="BI1870" s="28"/>
      <c r="BJ1870" s="38"/>
      <c r="BK1870" s="28"/>
    </row>
    <row r="1871" customFormat="false" ht="15.75" hidden="false" customHeight="false" outlineLevel="0" collapsed="false">
      <c r="A1871" s="28"/>
      <c r="B1871" s="28"/>
      <c r="C1871" s="28"/>
      <c r="D1871" s="5"/>
      <c r="E1871" s="38"/>
      <c r="F1871" s="28"/>
      <c r="G1871" s="28"/>
      <c r="H1871" s="38"/>
      <c r="I1871" s="28"/>
      <c r="J1871" s="40"/>
      <c r="K1871" s="40"/>
      <c r="L1871" s="5"/>
      <c r="M1871" s="5"/>
      <c r="N1871" s="28"/>
      <c r="O1871" s="28"/>
      <c r="P1871" s="28"/>
      <c r="Q1871" s="28"/>
      <c r="R1871" s="28"/>
      <c r="S1871" s="28"/>
      <c r="T1871" s="28"/>
      <c r="V1871" s="28"/>
      <c r="W1871" s="5"/>
      <c r="X1871" s="5"/>
      <c r="Z1871" s="28"/>
      <c r="AA1871" s="28"/>
      <c r="AB1871" s="28"/>
      <c r="AC1871" s="28"/>
      <c r="AD1871" s="28"/>
      <c r="AE1871" s="28"/>
      <c r="AF1871" s="28"/>
      <c r="AG1871" s="28"/>
      <c r="AH1871" s="28"/>
      <c r="AI1871" s="28"/>
      <c r="AJ1871" s="28"/>
      <c r="AK1871" s="28"/>
      <c r="AL1871" s="28"/>
      <c r="AM1871" s="28"/>
      <c r="AN1871" s="28"/>
      <c r="AO1871" s="28"/>
      <c r="AP1871" s="28"/>
      <c r="AQ1871" s="28"/>
      <c r="AR1871" s="28"/>
      <c r="AS1871" s="28"/>
      <c r="AT1871" s="5"/>
      <c r="AU1871" s="28"/>
      <c r="AV1871" s="28"/>
      <c r="AX1871" s="28"/>
      <c r="AY1871" s="28"/>
      <c r="BA1871" s="28"/>
      <c r="BB1871" s="28"/>
      <c r="BF1871" s="28"/>
      <c r="BH1871" s="28"/>
      <c r="BI1871" s="28"/>
      <c r="BJ1871" s="38"/>
      <c r="BK1871" s="28"/>
    </row>
    <row r="1872" customFormat="false" ht="15.75" hidden="false" customHeight="false" outlineLevel="0" collapsed="false">
      <c r="A1872" s="28"/>
      <c r="B1872" s="28"/>
      <c r="C1872" s="28"/>
      <c r="D1872" s="5"/>
      <c r="E1872" s="38"/>
      <c r="F1872" s="28"/>
      <c r="G1872" s="28"/>
      <c r="H1872" s="38"/>
      <c r="I1872" s="28"/>
      <c r="J1872" s="40"/>
      <c r="K1872" s="40"/>
      <c r="L1872" s="5"/>
      <c r="M1872" s="5"/>
      <c r="N1872" s="28"/>
      <c r="O1872" s="28"/>
      <c r="P1872" s="28"/>
      <c r="Q1872" s="28"/>
      <c r="R1872" s="28"/>
      <c r="S1872" s="28"/>
      <c r="T1872" s="28"/>
      <c r="V1872" s="28"/>
      <c r="W1872" s="5"/>
      <c r="X1872" s="5"/>
      <c r="Z1872" s="28"/>
      <c r="AA1872" s="28"/>
      <c r="AB1872" s="28"/>
      <c r="AC1872" s="28"/>
      <c r="AD1872" s="28"/>
      <c r="AE1872" s="28"/>
      <c r="AF1872" s="28"/>
      <c r="AG1872" s="28"/>
      <c r="AH1872" s="28"/>
      <c r="AI1872" s="28"/>
      <c r="AJ1872" s="28"/>
      <c r="AK1872" s="28"/>
      <c r="AL1872" s="28"/>
      <c r="AM1872" s="28"/>
      <c r="AN1872" s="28"/>
      <c r="AO1872" s="28"/>
      <c r="AP1872" s="28"/>
      <c r="AQ1872" s="28"/>
      <c r="AR1872" s="28"/>
      <c r="AS1872" s="28"/>
      <c r="AT1872" s="5"/>
      <c r="AU1872" s="28"/>
      <c r="AV1872" s="28"/>
      <c r="AX1872" s="28"/>
      <c r="AY1872" s="28"/>
      <c r="BA1872" s="28"/>
      <c r="BB1872" s="28"/>
      <c r="BF1872" s="28"/>
      <c r="BH1872" s="28"/>
      <c r="BI1872" s="28"/>
      <c r="BJ1872" s="38"/>
      <c r="BK1872" s="28"/>
    </row>
    <row r="1873" customFormat="false" ht="15.75" hidden="false" customHeight="false" outlineLevel="0" collapsed="false">
      <c r="A1873" s="28"/>
      <c r="B1873" s="28"/>
      <c r="C1873" s="28"/>
      <c r="D1873" s="5"/>
      <c r="E1873" s="38"/>
      <c r="F1873" s="28"/>
      <c r="G1873" s="28"/>
      <c r="H1873" s="38"/>
      <c r="I1873" s="28"/>
      <c r="J1873" s="40"/>
      <c r="K1873" s="40"/>
      <c r="L1873" s="5"/>
      <c r="M1873" s="5"/>
      <c r="N1873" s="28"/>
      <c r="O1873" s="28"/>
      <c r="P1873" s="28"/>
      <c r="Q1873" s="28"/>
      <c r="R1873" s="28"/>
      <c r="S1873" s="28"/>
      <c r="T1873" s="28"/>
      <c r="V1873" s="28"/>
      <c r="W1873" s="5"/>
      <c r="X1873" s="5"/>
      <c r="Z1873" s="28"/>
      <c r="AA1873" s="28"/>
      <c r="AB1873" s="28"/>
      <c r="AC1873" s="28"/>
      <c r="AD1873" s="28"/>
      <c r="AE1873" s="28"/>
      <c r="AF1873" s="28"/>
      <c r="AG1873" s="28"/>
      <c r="AH1873" s="28"/>
      <c r="AI1873" s="28"/>
      <c r="AJ1873" s="28"/>
      <c r="AK1873" s="28"/>
      <c r="AL1873" s="28"/>
      <c r="AM1873" s="28"/>
      <c r="AN1873" s="28"/>
      <c r="AO1873" s="28"/>
      <c r="AP1873" s="28"/>
      <c r="AQ1873" s="28"/>
      <c r="AR1873" s="28"/>
      <c r="AS1873" s="28"/>
      <c r="AT1873" s="5"/>
      <c r="AU1873" s="28"/>
      <c r="AV1873" s="28"/>
      <c r="AX1873" s="28"/>
      <c r="AY1873" s="28"/>
      <c r="BA1873" s="28"/>
      <c r="BB1873" s="28"/>
      <c r="BF1873" s="28"/>
      <c r="BH1873" s="28"/>
      <c r="BI1873" s="28"/>
      <c r="BJ1873" s="38"/>
      <c r="BK1873" s="28"/>
    </row>
    <row r="1874" customFormat="false" ht="15.75" hidden="false" customHeight="false" outlineLevel="0" collapsed="false">
      <c r="A1874" s="28"/>
      <c r="B1874" s="28"/>
      <c r="C1874" s="28"/>
      <c r="D1874" s="5"/>
      <c r="E1874" s="38"/>
      <c r="F1874" s="28"/>
      <c r="G1874" s="28"/>
      <c r="H1874" s="38"/>
      <c r="I1874" s="28"/>
      <c r="J1874" s="40"/>
      <c r="K1874" s="40"/>
      <c r="L1874" s="5"/>
      <c r="M1874" s="5"/>
      <c r="N1874" s="28"/>
      <c r="O1874" s="28"/>
      <c r="P1874" s="28"/>
      <c r="Q1874" s="28"/>
      <c r="R1874" s="28"/>
      <c r="S1874" s="28"/>
      <c r="T1874" s="28"/>
      <c r="V1874" s="28"/>
      <c r="W1874" s="5"/>
      <c r="X1874" s="5"/>
      <c r="Z1874" s="28"/>
      <c r="AA1874" s="28"/>
      <c r="AB1874" s="28"/>
      <c r="AC1874" s="28"/>
      <c r="AD1874" s="28"/>
      <c r="AE1874" s="28"/>
      <c r="AF1874" s="28"/>
      <c r="AG1874" s="28"/>
      <c r="AH1874" s="28"/>
      <c r="AI1874" s="28"/>
      <c r="AJ1874" s="28"/>
      <c r="AK1874" s="28"/>
      <c r="AL1874" s="28"/>
      <c r="AM1874" s="28"/>
      <c r="AN1874" s="28"/>
      <c r="AO1874" s="28"/>
      <c r="AP1874" s="28"/>
      <c r="AQ1874" s="28"/>
      <c r="AR1874" s="28"/>
      <c r="AS1874" s="28"/>
      <c r="AT1874" s="5"/>
      <c r="AU1874" s="28"/>
      <c r="AV1874" s="28"/>
      <c r="AX1874" s="28"/>
      <c r="AY1874" s="28"/>
      <c r="BA1874" s="28"/>
      <c r="BB1874" s="28"/>
      <c r="BF1874" s="28"/>
      <c r="BH1874" s="28"/>
      <c r="BI1874" s="28"/>
      <c r="BJ1874" s="38"/>
      <c r="BK1874" s="28"/>
    </row>
    <row r="1875" customFormat="false" ht="15.75" hidden="false" customHeight="false" outlineLevel="0" collapsed="false">
      <c r="A1875" s="28"/>
      <c r="B1875" s="28"/>
      <c r="C1875" s="28"/>
      <c r="D1875" s="5"/>
      <c r="E1875" s="38"/>
      <c r="F1875" s="28"/>
      <c r="G1875" s="28"/>
      <c r="H1875" s="38"/>
      <c r="I1875" s="28"/>
      <c r="J1875" s="40"/>
      <c r="K1875" s="40"/>
      <c r="L1875" s="5"/>
      <c r="M1875" s="5"/>
      <c r="N1875" s="28"/>
      <c r="O1875" s="28"/>
      <c r="P1875" s="28"/>
      <c r="Q1875" s="28"/>
      <c r="R1875" s="28"/>
      <c r="S1875" s="28"/>
      <c r="T1875" s="28"/>
      <c r="V1875" s="28"/>
      <c r="W1875" s="5"/>
      <c r="X1875" s="5"/>
      <c r="Z1875" s="28"/>
      <c r="AA1875" s="28"/>
      <c r="AB1875" s="28"/>
      <c r="AC1875" s="28"/>
      <c r="AD1875" s="28"/>
      <c r="AE1875" s="28"/>
      <c r="AF1875" s="28"/>
      <c r="AG1875" s="28"/>
      <c r="AH1875" s="28"/>
      <c r="AI1875" s="28"/>
      <c r="AJ1875" s="28"/>
      <c r="AK1875" s="28"/>
      <c r="AL1875" s="28"/>
      <c r="AM1875" s="28"/>
      <c r="AN1875" s="28"/>
      <c r="AO1875" s="28"/>
      <c r="AP1875" s="28"/>
      <c r="AQ1875" s="28"/>
      <c r="AR1875" s="28"/>
      <c r="AS1875" s="28"/>
      <c r="AT1875" s="5"/>
      <c r="AU1875" s="28"/>
      <c r="AV1875" s="28"/>
      <c r="AX1875" s="28"/>
      <c r="AY1875" s="28"/>
      <c r="BA1875" s="28"/>
      <c r="BB1875" s="28"/>
      <c r="BF1875" s="28"/>
      <c r="BH1875" s="28"/>
      <c r="BI1875" s="28"/>
      <c r="BJ1875" s="38"/>
      <c r="BK1875" s="28"/>
    </row>
    <row r="1876" customFormat="false" ht="15.75" hidden="false" customHeight="false" outlineLevel="0" collapsed="false">
      <c r="A1876" s="28"/>
      <c r="B1876" s="28"/>
      <c r="C1876" s="28"/>
      <c r="D1876" s="5"/>
      <c r="E1876" s="38"/>
      <c r="F1876" s="28"/>
      <c r="G1876" s="28"/>
      <c r="H1876" s="38"/>
      <c r="I1876" s="28"/>
      <c r="J1876" s="40"/>
      <c r="K1876" s="40"/>
      <c r="L1876" s="5"/>
      <c r="M1876" s="5"/>
      <c r="N1876" s="28"/>
      <c r="O1876" s="28"/>
      <c r="P1876" s="28"/>
      <c r="Q1876" s="28"/>
      <c r="R1876" s="28"/>
      <c r="S1876" s="28"/>
      <c r="T1876" s="28"/>
      <c r="V1876" s="28"/>
      <c r="W1876" s="5"/>
      <c r="X1876" s="5"/>
      <c r="Z1876" s="28"/>
      <c r="AA1876" s="28"/>
      <c r="AB1876" s="28"/>
      <c r="AC1876" s="28"/>
      <c r="AD1876" s="28"/>
      <c r="AE1876" s="28"/>
      <c r="AF1876" s="28"/>
      <c r="AG1876" s="28"/>
      <c r="AH1876" s="28"/>
      <c r="AI1876" s="28"/>
      <c r="AJ1876" s="28"/>
      <c r="AK1876" s="28"/>
      <c r="AL1876" s="28"/>
      <c r="AM1876" s="28"/>
      <c r="AN1876" s="28"/>
      <c r="AO1876" s="28"/>
      <c r="AP1876" s="28"/>
      <c r="AQ1876" s="28"/>
      <c r="AR1876" s="28"/>
      <c r="AS1876" s="28"/>
      <c r="AT1876" s="5"/>
      <c r="AU1876" s="28"/>
      <c r="AV1876" s="28"/>
      <c r="AX1876" s="28"/>
      <c r="AY1876" s="28"/>
      <c r="BA1876" s="28"/>
      <c r="BB1876" s="28"/>
      <c r="BF1876" s="28"/>
      <c r="BH1876" s="28"/>
      <c r="BI1876" s="28"/>
      <c r="BJ1876" s="38"/>
      <c r="BK1876" s="28"/>
    </row>
    <row r="1877" customFormat="false" ht="15.75" hidden="false" customHeight="false" outlineLevel="0" collapsed="false">
      <c r="A1877" s="28"/>
      <c r="B1877" s="28"/>
      <c r="C1877" s="28"/>
      <c r="D1877" s="5"/>
      <c r="E1877" s="38"/>
      <c r="F1877" s="28"/>
      <c r="G1877" s="28"/>
      <c r="H1877" s="38"/>
      <c r="I1877" s="28"/>
      <c r="J1877" s="40"/>
      <c r="K1877" s="40"/>
      <c r="L1877" s="5"/>
      <c r="M1877" s="5"/>
      <c r="N1877" s="28"/>
      <c r="O1877" s="28"/>
      <c r="P1877" s="28"/>
      <c r="Q1877" s="28"/>
      <c r="R1877" s="28"/>
      <c r="S1877" s="28"/>
      <c r="T1877" s="28"/>
      <c r="V1877" s="28"/>
      <c r="W1877" s="5"/>
      <c r="X1877" s="5"/>
      <c r="Z1877" s="28"/>
      <c r="AA1877" s="28"/>
      <c r="AB1877" s="28"/>
      <c r="AC1877" s="28"/>
      <c r="AD1877" s="28"/>
      <c r="AE1877" s="28"/>
      <c r="AF1877" s="28"/>
      <c r="AG1877" s="28"/>
      <c r="AH1877" s="28"/>
      <c r="AI1877" s="28"/>
      <c r="AJ1877" s="28"/>
      <c r="AK1877" s="28"/>
      <c r="AL1877" s="28"/>
      <c r="AM1877" s="28"/>
      <c r="AN1877" s="28"/>
      <c r="AO1877" s="28"/>
      <c r="AP1877" s="28"/>
      <c r="AQ1877" s="28"/>
      <c r="AR1877" s="28"/>
      <c r="AS1877" s="28"/>
      <c r="AT1877" s="5"/>
      <c r="AU1877" s="28"/>
      <c r="AV1877" s="28"/>
      <c r="AX1877" s="28"/>
      <c r="AY1877" s="28"/>
      <c r="BA1877" s="28"/>
      <c r="BB1877" s="28"/>
      <c r="BF1877" s="28"/>
      <c r="BH1877" s="28"/>
      <c r="BI1877" s="28"/>
      <c r="BJ1877" s="38"/>
      <c r="BK1877" s="28"/>
    </row>
    <row r="1878" customFormat="false" ht="15.75" hidden="false" customHeight="false" outlineLevel="0" collapsed="false">
      <c r="A1878" s="28"/>
      <c r="B1878" s="28"/>
      <c r="C1878" s="28"/>
      <c r="D1878" s="5"/>
      <c r="E1878" s="38"/>
      <c r="F1878" s="28"/>
      <c r="G1878" s="28"/>
      <c r="H1878" s="38"/>
      <c r="I1878" s="28"/>
      <c r="J1878" s="40"/>
      <c r="K1878" s="40"/>
      <c r="L1878" s="5"/>
      <c r="M1878" s="5"/>
      <c r="N1878" s="28"/>
      <c r="O1878" s="28"/>
      <c r="P1878" s="28"/>
      <c r="Q1878" s="28"/>
      <c r="R1878" s="28"/>
      <c r="S1878" s="28"/>
      <c r="T1878" s="28"/>
      <c r="V1878" s="28"/>
      <c r="W1878" s="5"/>
      <c r="X1878" s="5"/>
      <c r="Z1878" s="28"/>
      <c r="AA1878" s="28"/>
      <c r="AB1878" s="28"/>
      <c r="AC1878" s="28"/>
      <c r="AD1878" s="28"/>
      <c r="AE1878" s="28"/>
      <c r="AF1878" s="28"/>
      <c r="AG1878" s="28"/>
      <c r="AH1878" s="28"/>
      <c r="AI1878" s="28"/>
      <c r="AJ1878" s="28"/>
      <c r="AK1878" s="28"/>
      <c r="AL1878" s="28"/>
      <c r="AM1878" s="28"/>
      <c r="AN1878" s="28"/>
      <c r="AO1878" s="28"/>
      <c r="AP1878" s="28"/>
      <c r="AQ1878" s="28"/>
      <c r="AR1878" s="28"/>
      <c r="AS1878" s="28"/>
      <c r="AT1878" s="5"/>
      <c r="AU1878" s="28"/>
      <c r="AV1878" s="28"/>
      <c r="AX1878" s="28"/>
      <c r="AY1878" s="28"/>
      <c r="BA1878" s="28"/>
      <c r="BB1878" s="28"/>
      <c r="BF1878" s="28"/>
      <c r="BH1878" s="28"/>
      <c r="BI1878" s="28"/>
      <c r="BJ1878" s="38"/>
      <c r="BK1878" s="28"/>
    </row>
    <row r="1879" customFormat="false" ht="15.75" hidden="false" customHeight="false" outlineLevel="0" collapsed="false">
      <c r="A1879" s="28"/>
      <c r="B1879" s="28"/>
      <c r="C1879" s="28"/>
      <c r="D1879" s="5"/>
      <c r="E1879" s="38"/>
      <c r="F1879" s="28"/>
      <c r="G1879" s="28"/>
      <c r="H1879" s="38"/>
      <c r="I1879" s="28"/>
      <c r="J1879" s="40"/>
      <c r="K1879" s="40"/>
      <c r="L1879" s="5"/>
      <c r="M1879" s="5"/>
      <c r="N1879" s="28"/>
      <c r="O1879" s="28"/>
      <c r="P1879" s="28"/>
      <c r="Q1879" s="28"/>
      <c r="R1879" s="28"/>
      <c r="S1879" s="28"/>
      <c r="T1879" s="28"/>
      <c r="V1879" s="28"/>
      <c r="W1879" s="5"/>
      <c r="X1879" s="5"/>
      <c r="Z1879" s="28"/>
      <c r="AA1879" s="28"/>
      <c r="AB1879" s="28"/>
      <c r="AC1879" s="28"/>
      <c r="AD1879" s="28"/>
      <c r="AE1879" s="28"/>
      <c r="AF1879" s="28"/>
      <c r="AG1879" s="28"/>
      <c r="AH1879" s="28"/>
      <c r="AI1879" s="28"/>
      <c r="AJ1879" s="28"/>
      <c r="AK1879" s="28"/>
      <c r="AL1879" s="28"/>
      <c r="AM1879" s="28"/>
      <c r="AN1879" s="28"/>
      <c r="AO1879" s="28"/>
      <c r="AP1879" s="28"/>
      <c r="AQ1879" s="28"/>
      <c r="AR1879" s="28"/>
      <c r="AS1879" s="28"/>
      <c r="AT1879" s="5"/>
      <c r="AU1879" s="28"/>
      <c r="AV1879" s="28"/>
      <c r="AX1879" s="28"/>
      <c r="AY1879" s="28"/>
      <c r="BA1879" s="28"/>
      <c r="BB1879" s="28"/>
      <c r="BF1879" s="28"/>
      <c r="BH1879" s="28"/>
      <c r="BI1879" s="28"/>
      <c r="BJ1879" s="38"/>
      <c r="BK1879" s="28"/>
    </row>
    <row r="1880" customFormat="false" ht="15.75" hidden="false" customHeight="false" outlineLevel="0" collapsed="false">
      <c r="A1880" s="28"/>
      <c r="B1880" s="28"/>
      <c r="C1880" s="28"/>
      <c r="D1880" s="5"/>
      <c r="E1880" s="38"/>
      <c r="F1880" s="28"/>
      <c r="G1880" s="28"/>
      <c r="H1880" s="38"/>
      <c r="I1880" s="28"/>
      <c r="J1880" s="40"/>
      <c r="K1880" s="40"/>
      <c r="L1880" s="5"/>
      <c r="M1880" s="5"/>
      <c r="N1880" s="28"/>
      <c r="O1880" s="28"/>
      <c r="P1880" s="28"/>
      <c r="Q1880" s="28"/>
      <c r="R1880" s="28"/>
      <c r="S1880" s="28"/>
      <c r="T1880" s="28"/>
      <c r="V1880" s="28"/>
      <c r="W1880" s="5"/>
      <c r="X1880" s="5"/>
      <c r="Z1880" s="28"/>
      <c r="AA1880" s="28"/>
      <c r="AB1880" s="28"/>
      <c r="AC1880" s="28"/>
      <c r="AD1880" s="28"/>
      <c r="AE1880" s="28"/>
      <c r="AF1880" s="28"/>
      <c r="AG1880" s="28"/>
      <c r="AH1880" s="28"/>
      <c r="AI1880" s="28"/>
      <c r="AJ1880" s="28"/>
      <c r="AK1880" s="28"/>
      <c r="AL1880" s="28"/>
      <c r="AM1880" s="28"/>
      <c r="AN1880" s="28"/>
      <c r="AO1880" s="28"/>
      <c r="AP1880" s="28"/>
      <c r="AQ1880" s="28"/>
      <c r="AR1880" s="28"/>
      <c r="AS1880" s="28"/>
      <c r="AT1880" s="5"/>
      <c r="AU1880" s="28"/>
      <c r="AV1880" s="28"/>
      <c r="AX1880" s="28"/>
      <c r="AY1880" s="28"/>
      <c r="BA1880" s="28"/>
      <c r="BB1880" s="28"/>
      <c r="BF1880" s="28"/>
      <c r="BH1880" s="28"/>
      <c r="BI1880" s="28"/>
      <c r="BJ1880" s="38"/>
      <c r="BK1880" s="28"/>
    </row>
    <row r="1881" customFormat="false" ht="15.75" hidden="false" customHeight="false" outlineLevel="0" collapsed="false">
      <c r="A1881" s="28"/>
      <c r="B1881" s="28"/>
      <c r="C1881" s="28"/>
      <c r="D1881" s="5"/>
      <c r="E1881" s="38"/>
      <c r="F1881" s="28"/>
      <c r="G1881" s="28"/>
      <c r="H1881" s="38"/>
      <c r="I1881" s="28"/>
      <c r="J1881" s="40"/>
      <c r="K1881" s="40"/>
      <c r="L1881" s="5"/>
      <c r="M1881" s="5"/>
      <c r="N1881" s="28"/>
      <c r="O1881" s="28"/>
      <c r="P1881" s="28"/>
      <c r="Q1881" s="28"/>
      <c r="R1881" s="28"/>
      <c r="S1881" s="28"/>
      <c r="T1881" s="28"/>
      <c r="V1881" s="28"/>
      <c r="W1881" s="5"/>
      <c r="X1881" s="5"/>
      <c r="Z1881" s="28"/>
      <c r="AA1881" s="28"/>
      <c r="AB1881" s="28"/>
      <c r="AC1881" s="28"/>
      <c r="AD1881" s="28"/>
      <c r="AE1881" s="28"/>
      <c r="AF1881" s="28"/>
      <c r="AG1881" s="28"/>
      <c r="AH1881" s="28"/>
      <c r="AI1881" s="28"/>
      <c r="AJ1881" s="28"/>
      <c r="AK1881" s="28"/>
      <c r="AL1881" s="28"/>
      <c r="AM1881" s="28"/>
      <c r="AN1881" s="28"/>
      <c r="AO1881" s="28"/>
      <c r="AP1881" s="28"/>
      <c r="AQ1881" s="28"/>
      <c r="AR1881" s="28"/>
      <c r="AS1881" s="28"/>
      <c r="AT1881" s="5"/>
      <c r="AU1881" s="28"/>
      <c r="AV1881" s="28"/>
      <c r="AX1881" s="28"/>
      <c r="AY1881" s="28"/>
      <c r="BA1881" s="28"/>
      <c r="BB1881" s="28"/>
      <c r="BF1881" s="28"/>
      <c r="BH1881" s="28"/>
      <c r="BI1881" s="28"/>
      <c r="BJ1881" s="38"/>
      <c r="BK1881" s="28"/>
    </row>
    <row r="1882" customFormat="false" ht="15.75" hidden="false" customHeight="false" outlineLevel="0" collapsed="false">
      <c r="A1882" s="28"/>
      <c r="B1882" s="28"/>
      <c r="C1882" s="28"/>
      <c r="D1882" s="5"/>
      <c r="E1882" s="38"/>
      <c r="F1882" s="28"/>
      <c r="G1882" s="28"/>
      <c r="H1882" s="38"/>
      <c r="I1882" s="28"/>
      <c r="J1882" s="40"/>
      <c r="K1882" s="40"/>
      <c r="L1882" s="5"/>
      <c r="M1882" s="5"/>
      <c r="N1882" s="28"/>
      <c r="O1882" s="28"/>
      <c r="P1882" s="28"/>
      <c r="Q1882" s="28"/>
      <c r="R1882" s="28"/>
      <c r="S1882" s="28"/>
      <c r="T1882" s="28"/>
      <c r="V1882" s="28"/>
      <c r="W1882" s="5"/>
      <c r="X1882" s="5"/>
      <c r="Z1882" s="28"/>
      <c r="AA1882" s="28"/>
      <c r="AB1882" s="28"/>
      <c r="AC1882" s="28"/>
      <c r="AD1882" s="28"/>
      <c r="AE1882" s="28"/>
      <c r="AF1882" s="28"/>
      <c r="AG1882" s="28"/>
      <c r="AH1882" s="28"/>
      <c r="AI1882" s="28"/>
      <c r="AJ1882" s="28"/>
      <c r="AK1882" s="28"/>
      <c r="AL1882" s="28"/>
      <c r="AM1882" s="28"/>
      <c r="AN1882" s="28"/>
      <c r="AO1882" s="28"/>
      <c r="AP1882" s="28"/>
      <c r="AQ1882" s="28"/>
      <c r="AR1882" s="28"/>
      <c r="AS1882" s="28"/>
      <c r="AT1882" s="5"/>
      <c r="AU1882" s="28"/>
      <c r="AV1882" s="28"/>
      <c r="AX1882" s="28"/>
      <c r="AY1882" s="28"/>
      <c r="BA1882" s="28"/>
      <c r="BB1882" s="28"/>
      <c r="BF1882" s="28"/>
      <c r="BH1882" s="28"/>
      <c r="BI1882" s="28"/>
      <c r="BJ1882" s="38"/>
      <c r="BK1882" s="28"/>
    </row>
    <row r="1883" customFormat="false" ht="15.75" hidden="false" customHeight="false" outlineLevel="0" collapsed="false">
      <c r="A1883" s="28"/>
      <c r="B1883" s="28"/>
      <c r="C1883" s="28"/>
      <c r="D1883" s="5"/>
      <c r="E1883" s="38"/>
      <c r="F1883" s="28"/>
      <c r="G1883" s="28"/>
      <c r="H1883" s="38"/>
      <c r="I1883" s="28"/>
      <c r="J1883" s="40"/>
      <c r="K1883" s="40"/>
      <c r="L1883" s="5"/>
      <c r="M1883" s="5"/>
      <c r="N1883" s="28"/>
      <c r="O1883" s="28"/>
      <c r="P1883" s="28"/>
      <c r="Q1883" s="28"/>
      <c r="R1883" s="28"/>
      <c r="S1883" s="28"/>
      <c r="T1883" s="28"/>
      <c r="V1883" s="28"/>
      <c r="W1883" s="5"/>
      <c r="X1883" s="5"/>
      <c r="Z1883" s="28"/>
      <c r="AA1883" s="28"/>
      <c r="AB1883" s="28"/>
      <c r="AC1883" s="28"/>
      <c r="AD1883" s="28"/>
      <c r="AE1883" s="28"/>
      <c r="AF1883" s="28"/>
      <c r="AG1883" s="28"/>
      <c r="AH1883" s="28"/>
      <c r="AI1883" s="28"/>
      <c r="AJ1883" s="28"/>
      <c r="AK1883" s="28"/>
      <c r="AL1883" s="28"/>
      <c r="AM1883" s="28"/>
      <c r="AN1883" s="28"/>
      <c r="AO1883" s="28"/>
      <c r="AP1883" s="28"/>
      <c r="AQ1883" s="28"/>
      <c r="AR1883" s="28"/>
      <c r="AS1883" s="28"/>
      <c r="AT1883" s="5"/>
      <c r="AU1883" s="28"/>
      <c r="AV1883" s="28"/>
      <c r="AX1883" s="28"/>
      <c r="AY1883" s="28"/>
      <c r="BA1883" s="28"/>
      <c r="BB1883" s="28"/>
      <c r="BF1883" s="28"/>
      <c r="BH1883" s="28"/>
      <c r="BI1883" s="28"/>
      <c r="BJ1883" s="38"/>
      <c r="BK1883" s="28"/>
    </row>
    <row r="1884" customFormat="false" ht="15.75" hidden="false" customHeight="false" outlineLevel="0" collapsed="false">
      <c r="A1884" s="28"/>
      <c r="B1884" s="28"/>
      <c r="C1884" s="28"/>
      <c r="D1884" s="5"/>
      <c r="E1884" s="38"/>
      <c r="F1884" s="28"/>
      <c r="G1884" s="28"/>
      <c r="H1884" s="38"/>
      <c r="I1884" s="28"/>
      <c r="J1884" s="40"/>
      <c r="K1884" s="40"/>
      <c r="L1884" s="5"/>
      <c r="M1884" s="5"/>
      <c r="N1884" s="28"/>
      <c r="O1884" s="28"/>
      <c r="P1884" s="28"/>
      <c r="Q1884" s="28"/>
      <c r="R1884" s="28"/>
      <c r="S1884" s="28"/>
      <c r="T1884" s="28"/>
      <c r="V1884" s="28"/>
      <c r="W1884" s="5"/>
      <c r="X1884" s="5"/>
      <c r="Z1884" s="28"/>
      <c r="AA1884" s="28"/>
      <c r="AB1884" s="28"/>
      <c r="AC1884" s="28"/>
      <c r="AD1884" s="28"/>
      <c r="AE1884" s="28"/>
      <c r="AF1884" s="28"/>
      <c r="AG1884" s="28"/>
      <c r="AH1884" s="28"/>
      <c r="AI1884" s="28"/>
      <c r="AJ1884" s="28"/>
      <c r="AK1884" s="28"/>
      <c r="AL1884" s="28"/>
      <c r="AM1884" s="28"/>
      <c r="AN1884" s="28"/>
      <c r="AO1884" s="28"/>
      <c r="AP1884" s="28"/>
      <c r="AQ1884" s="28"/>
      <c r="AR1884" s="28"/>
      <c r="AS1884" s="28"/>
      <c r="AT1884" s="5"/>
      <c r="AU1884" s="28"/>
      <c r="AV1884" s="28"/>
      <c r="AX1884" s="28"/>
      <c r="AY1884" s="28"/>
      <c r="BA1884" s="28"/>
      <c r="BB1884" s="28"/>
      <c r="BF1884" s="28"/>
      <c r="BH1884" s="28"/>
      <c r="BI1884" s="28"/>
      <c r="BJ1884" s="38"/>
      <c r="BK1884" s="28"/>
    </row>
    <row r="1885" customFormat="false" ht="15.75" hidden="false" customHeight="false" outlineLevel="0" collapsed="false">
      <c r="A1885" s="28"/>
      <c r="B1885" s="28"/>
      <c r="C1885" s="28"/>
      <c r="D1885" s="5"/>
      <c r="E1885" s="38"/>
      <c r="F1885" s="28"/>
      <c r="G1885" s="28"/>
      <c r="H1885" s="38"/>
      <c r="I1885" s="28"/>
      <c r="J1885" s="40"/>
      <c r="K1885" s="40"/>
      <c r="L1885" s="5"/>
      <c r="M1885" s="5"/>
      <c r="N1885" s="28"/>
      <c r="O1885" s="28"/>
      <c r="P1885" s="28"/>
      <c r="Q1885" s="28"/>
      <c r="R1885" s="28"/>
      <c r="S1885" s="28"/>
      <c r="T1885" s="28"/>
      <c r="V1885" s="28"/>
      <c r="W1885" s="5"/>
      <c r="X1885" s="5"/>
      <c r="Z1885" s="28"/>
      <c r="AA1885" s="28"/>
      <c r="AB1885" s="28"/>
      <c r="AC1885" s="28"/>
      <c r="AD1885" s="28"/>
      <c r="AE1885" s="28"/>
      <c r="AF1885" s="28"/>
      <c r="AG1885" s="28"/>
      <c r="AH1885" s="28"/>
      <c r="AI1885" s="28"/>
      <c r="AJ1885" s="28"/>
      <c r="AK1885" s="28"/>
      <c r="AL1885" s="28"/>
      <c r="AM1885" s="28"/>
      <c r="AN1885" s="28"/>
      <c r="AO1885" s="28"/>
      <c r="AP1885" s="28"/>
      <c r="AQ1885" s="28"/>
      <c r="AR1885" s="28"/>
      <c r="AS1885" s="28"/>
      <c r="AT1885" s="5"/>
      <c r="AU1885" s="28"/>
      <c r="AV1885" s="28"/>
      <c r="AX1885" s="28"/>
      <c r="AY1885" s="28"/>
      <c r="BA1885" s="28"/>
      <c r="BB1885" s="28"/>
      <c r="BF1885" s="28"/>
      <c r="BH1885" s="28"/>
      <c r="BI1885" s="28"/>
      <c r="BJ1885" s="38"/>
      <c r="BK1885" s="28"/>
    </row>
    <row r="1886" customFormat="false" ht="15.75" hidden="false" customHeight="false" outlineLevel="0" collapsed="false">
      <c r="A1886" s="28"/>
      <c r="B1886" s="28"/>
      <c r="C1886" s="28"/>
      <c r="D1886" s="5"/>
      <c r="E1886" s="38"/>
      <c r="F1886" s="28"/>
      <c r="G1886" s="28"/>
      <c r="H1886" s="38"/>
      <c r="I1886" s="28"/>
      <c r="J1886" s="40"/>
      <c r="K1886" s="40"/>
      <c r="L1886" s="5"/>
      <c r="M1886" s="5"/>
      <c r="N1886" s="28"/>
      <c r="O1886" s="28"/>
      <c r="P1886" s="28"/>
      <c r="Q1886" s="28"/>
      <c r="R1886" s="28"/>
      <c r="S1886" s="28"/>
      <c r="T1886" s="28"/>
      <c r="V1886" s="28"/>
      <c r="W1886" s="5"/>
      <c r="X1886" s="5"/>
      <c r="Z1886" s="28"/>
      <c r="AA1886" s="28"/>
      <c r="AB1886" s="28"/>
      <c r="AC1886" s="28"/>
      <c r="AD1886" s="28"/>
      <c r="AE1886" s="28"/>
      <c r="AF1886" s="28"/>
      <c r="AG1886" s="28"/>
      <c r="AH1886" s="28"/>
      <c r="AI1886" s="28"/>
      <c r="AJ1886" s="28"/>
      <c r="AK1886" s="28"/>
      <c r="AL1886" s="28"/>
      <c r="AM1886" s="28"/>
      <c r="AN1886" s="28"/>
      <c r="AO1886" s="28"/>
      <c r="AP1886" s="28"/>
      <c r="AQ1886" s="28"/>
      <c r="AR1886" s="28"/>
      <c r="AS1886" s="28"/>
      <c r="AT1886" s="5"/>
      <c r="AU1886" s="28"/>
      <c r="AV1886" s="28"/>
      <c r="AX1886" s="28"/>
      <c r="AY1886" s="28"/>
      <c r="BA1886" s="28"/>
      <c r="BB1886" s="28"/>
      <c r="BF1886" s="28"/>
      <c r="BH1886" s="28"/>
      <c r="BI1886" s="28"/>
      <c r="BJ1886" s="38"/>
      <c r="BK1886" s="28"/>
    </row>
    <row r="1887" customFormat="false" ht="15.75" hidden="false" customHeight="false" outlineLevel="0" collapsed="false">
      <c r="A1887" s="28"/>
      <c r="B1887" s="28"/>
      <c r="C1887" s="28"/>
      <c r="D1887" s="5"/>
      <c r="E1887" s="38"/>
      <c r="F1887" s="28"/>
      <c r="G1887" s="28"/>
      <c r="H1887" s="38"/>
      <c r="I1887" s="28"/>
      <c r="J1887" s="40"/>
      <c r="K1887" s="40"/>
      <c r="L1887" s="5"/>
      <c r="M1887" s="5"/>
      <c r="N1887" s="28"/>
      <c r="O1887" s="28"/>
      <c r="P1887" s="28"/>
      <c r="Q1887" s="28"/>
      <c r="R1887" s="28"/>
      <c r="S1887" s="28"/>
      <c r="T1887" s="28"/>
      <c r="V1887" s="28"/>
      <c r="W1887" s="5"/>
      <c r="X1887" s="5"/>
      <c r="Z1887" s="28"/>
      <c r="AA1887" s="28"/>
      <c r="AB1887" s="28"/>
      <c r="AC1887" s="28"/>
      <c r="AD1887" s="28"/>
      <c r="AE1887" s="28"/>
      <c r="AF1887" s="28"/>
      <c r="AG1887" s="28"/>
      <c r="AH1887" s="28"/>
      <c r="AI1887" s="28"/>
      <c r="AJ1887" s="28"/>
      <c r="AK1887" s="28"/>
      <c r="AL1887" s="28"/>
      <c r="AM1887" s="28"/>
      <c r="AN1887" s="28"/>
      <c r="AO1887" s="28"/>
      <c r="AP1887" s="28"/>
      <c r="AQ1887" s="28"/>
      <c r="AR1887" s="28"/>
      <c r="AS1887" s="28"/>
      <c r="AT1887" s="5"/>
      <c r="AU1887" s="28"/>
      <c r="AV1887" s="28"/>
      <c r="AX1887" s="28"/>
      <c r="AY1887" s="28"/>
      <c r="BA1887" s="28"/>
      <c r="BB1887" s="28"/>
      <c r="BF1887" s="28"/>
      <c r="BH1887" s="28"/>
      <c r="BI1887" s="28"/>
      <c r="BJ1887" s="38"/>
      <c r="BK1887" s="28"/>
    </row>
    <row r="1888" customFormat="false" ht="15.75" hidden="false" customHeight="false" outlineLevel="0" collapsed="false">
      <c r="A1888" s="28"/>
      <c r="B1888" s="28"/>
      <c r="C1888" s="28"/>
      <c r="D1888" s="5"/>
      <c r="E1888" s="38"/>
      <c r="F1888" s="28"/>
      <c r="G1888" s="28"/>
      <c r="H1888" s="38"/>
      <c r="I1888" s="28"/>
      <c r="J1888" s="40"/>
      <c r="K1888" s="40"/>
      <c r="L1888" s="5"/>
      <c r="M1888" s="5"/>
      <c r="N1888" s="28"/>
      <c r="O1888" s="28"/>
      <c r="P1888" s="28"/>
      <c r="Q1888" s="28"/>
      <c r="R1888" s="28"/>
      <c r="S1888" s="28"/>
      <c r="T1888" s="28"/>
      <c r="V1888" s="28"/>
      <c r="W1888" s="5"/>
      <c r="X1888" s="5"/>
      <c r="Z1888" s="28"/>
      <c r="AA1888" s="28"/>
      <c r="AB1888" s="28"/>
      <c r="AC1888" s="28"/>
      <c r="AD1888" s="28"/>
      <c r="AE1888" s="28"/>
      <c r="AF1888" s="28"/>
      <c r="AG1888" s="28"/>
      <c r="AH1888" s="28"/>
      <c r="AI1888" s="28"/>
      <c r="AJ1888" s="28"/>
      <c r="AK1888" s="28"/>
      <c r="AL1888" s="28"/>
      <c r="AM1888" s="28"/>
      <c r="AN1888" s="28"/>
      <c r="AO1888" s="28"/>
      <c r="AP1888" s="28"/>
      <c r="AQ1888" s="28"/>
      <c r="AR1888" s="28"/>
      <c r="AS1888" s="28"/>
      <c r="AT1888" s="5"/>
      <c r="AU1888" s="28"/>
      <c r="AV1888" s="28"/>
      <c r="AX1888" s="28"/>
      <c r="AY1888" s="28"/>
      <c r="BA1888" s="28"/>
      <c r="BB1888" s="28"/>
      <c r="BF1888" s="28"/>
      <c r="BH1888" s="28"/>
      <c r="BI1888" s="28"/>
      <c r="BJ1888" s="38"/>
      <c r="BK1888" s="28"/>
    </row>
    <row r="1889" customFormat="false" ht="15.75" hidden="false" customHeight="false" outlineLevel="0" collapsed="false">
      <c r="A1889" s="28"/>
      <c r="B1889" s="28"/>
      <c r="C1889" s="28"/>
      <c r="D1889" s="5"/>
      <c r="E1889" s="38"/>
      <c r="F1889" s="28"/>
      <c r="G1889" s="28"/>
      <c r="H1889" s="38"/>
      <c r="I1889" s="28"/>
      <c r="J1889" s="40"/>
      <c r="K1889" s="40"/>
      <c r="L1889" s="5"/>
      <c r="M1889" s="5"/>
      <c r="N1889" s="28"/>
      <c r="O1889" s="28"/>
      <c r="P1889" s="28"/>
      <c r="Q1889" s="28"/>
      <c r="R1889" s="28"/>
      <c r="S1889" s="28"/>
      <c r="T1889" s="28"/>
      <c r="V1889" s="28"/>
      <c r="W1889" s="5"/>
      <c r="X1889" s="5"/>
      <c r="Z1889" s="28"/>
      <c r="AA1889" s="28"/>
      <c r="AB1889" s="28"/>
      <c r="AC1889" s="28"/>
      <c r="AD1889" s="28"/>
      <c r="AE1889" s="28"/>
      <c r="AF1889" s="28"/>
      <c r="AG1889" s="28"/>
      <c r="AH1889" s="28"/>
      <c r="AI1889" s="28"/>
      <c r="AJ1889" s="28"/>
      <c r="AK1889" s="28"/>
      <c r="AL1889" s="28"/>
      <c r="AM1889" s="28"/>
      <c r="AN1889" s="28"/>
      <c r="AO1889" s="28"/>
      <c r="AP1889" s="28"/>
      <c r="AQ1889" s="28"/>
      <c r="AR1889" s="28"/>
      <c r="AS1889" s="28"/>
      <c r="AT1889" s="5"/>
      <c r="AU1889" s="28"/>
      <c r="AV1889" s="28"/>
      <c r="AX1889" s="28"/>
      <c r="AY1889" s="28"/>
      <c r="BA1889" s="28"/>
      <c r="BB1889" s="28"/>
      <c r="BF1889" s="28"/>
      <c r="BH1889" s="28"/>
      <c r="BI1889" s="28"/>
      <c r="BJ1889" s="38"/>
      <c r="BK1889" s="28"/>
    </row>
    <row r="1890" customFormat="false" ht="15.75" hidden="false" customHeight="false" outlineLevel="0" collapsed="false">
      <c r="A1890" s="28"/>
      <c r="B1890" s="28"/>
      <c r="C1890" s="28"/>
      <c r="D1890" s="5"/>
      <c r="E1890" s="38"/>
      <c r="F1890" s="28"/>
      <c r="G1890" s="28"/>
      <c r="H1890" s="38"/>
      <c r="I1890" s="28"/>
      <c r="J1890" s="40"/>
      <c r="K1890" s="40"/>
      <c r="L1890" s="5"/>
      <c r="M1890" s="5"/>
      <c r="N1890" s="28"/>
      <c r="O1890" s="28"/>
      <c r="P1890" s="28"/>
      <c r="Q1890" s="28"/>
      <c r="R1890" s="28"/>
      <c r="S1890" s="28"/>
      <c r="T1890" s="28"/>
      <c r="V1890" s="28"/>
      <c r="W1890" s="5"/>
      <c r="X1890" s="5"/>
      <c r="Z1890" s="28"/>
      <c r="AA1890" s="28"/>
      <c r="AB1890" s="28"/>
      <c r="AC1890" s="28"/>
      <c r="AD1890" s="28"/>
      <c r="AE1890" s="28"/>
      <c r="AF1890" s="28"/>
      <c r="AG1890" s="28"/>
      <c r="AH1890" s="28"/>
      <c r="AI1890" s="28"/>
      <c r="AJ1890" s="28"/>
      <c r="AK1890" s="28"/>
      <c r="AL1890" s="28"/>
      <c r="AM1890" s="28"/>
      <c r="AN1890" s="28"/>
      <c r="AO1890" s="28"/>
      <c r="AP1890" s="28"/>
      <c r="AQ1890" s="28"/>
      <c r="AR1890" s="28"/>
      <c r="AS1890" s="28"/>
      <c r="AT1890" s="5"/>
      <c r="AU1890" s="28"/>
      <c r="AV1890" s="28"/>
      <c r="AX1890" s="28"/>
      <c r="AY1890" s="28"/>
      <c r="BA1890" s="28"/>
      <c r="BB1890" s="28"/>
      <c r="BF1890" s="28"/>
      <c r="BH1890" s="28"/>
      <c r="BI1890" s="28"/>
      <c r="BJ1890" s="38"/>
      <c r="BK1890" s="28"/>
    </row>
    <row r="1891" customFormat="false" ht="15.75" hidden="false" customHeight="false" outlineLevel="0" collapsed="false">
      <c r="A1891" s="28"/>
      <c r="B1891" s="28"/>
      <c r="C1891" s="28"/>
      <c r="D1891" s="5"/>
      <c r="E1891" s="38"/>
      <c r="F1891" s="28"/>
      <c r="G1891" s="28"/>
      <c r="H1891" s="38"/>
      <c r="I1891" s="28"/>
      <c r="J1891" s="40"/>
      <c r="K1891" s="40"/>
      <c r="L1891" s="5"/>
      <c r="M1891" s="5"/>
      <c r="N1891" s="28"/>
      <c r="O1891" s="28"/>
      <c r="P1891" s="28"/>
      <c r="Q1891" s="28"/>
      <c r="R1891" s="28"/>
      <c r="S1891" s="28"/>
      <c r="T1891" s="28"/>
      <c r="V1891" s="28"/>
      <c r="W1891" s="5"/>
      <c r="X1891" s="5"/>
      <c r="Z1891" s="28"/>
      <c r="AA1891" s="28"/>
      <c r="AB1891" s="28"/>
      <c r="AC1891" s="28"/>
      <c r="AD1891" s="28"/>
      <c r="AE1891" s="28"/>
      <c r="AF1891" s="28"/>
      <c r="AG1891" s="28"/>
      <c r="AH1891" s="28"/>
      <c r="AI1891" s="28"/>
      <c r="AJ1891" s="28"/>
      <c r="AK1891" s="28"/>
      <c r="AL1891" s="28"/>
      <c r="AM1891" s="28"/>
      <c r="AN1891" s="28"/>
      <c r="AO1891" s="28"/>
      <c r="AP1891" s="28"/>
      <c r="AQ1891" s="28"/>
      <c r="AR1891" s="28"/>
      <c r="AS1891" s="28"/>
      <c r="AT1891" s="5"/>
      <c r="AU1891" s="28"/>
      <c r="AV1891" s="28"/>
      <c r="AX1891" s="28"/>
      <c r="AY1891" s="28"/>
      <c r="BA1891" s="28"/>
      <c r="BB1891" s="28"/>
      <c r="BF1891" s="28"/>
      <c r="BH1891" s="28"/>
      <c r="BI1891" s="28"/>
      <c r="BJ1891" s="38"/>
      <c r="BK1891" s="28"/>
    </row>
    <row r="1892" customFormat="false" ht="15.75" hidden="false" customHeight="false" outlineLevel="0" collapsed="false">
      <c r="A1892" s="28"/>
      <c r="B1892" s="28"/>
      <c r="C1892" s="28"/>
      <c r="D1892" s="5"/>
      <c r="E1892" s="38"/>
      <c r="F1892" s="28"/>
      <c r="G1892" s="28"/>
      <c r="H1892" s="38"/>
      <c r="I1892" s="28"/>
      <c r="J1892" s="40"/>
      <c r="K1892" s="40"/>
      <c r="L1892" s="5"/>
      <c r="M1892" s="5"/>
      <c r="N1892" s="28"/>
      <c r="O1892" s="28"/>
      <c r="P1892" s="28"/>
      <c r="Q1892" s="28"/>
      <c r="R1892" s="28"/>
      <c r="S1892" s="28"/>
      <c r="T1892" s="28"/>
      <c r="V1892" s="28"/>
      <c r="W1892" s="5"/>
      <c r="X1892" s="5"/>
      <c r="Z1892" s="28"/>
      <c r="AA1892" s="28"/>
      <c r="AB1892" s="28"/>
      <c r="AC1892" s="28"/>
      <c r="AD1892" s="28"/>
      <c r="AE1892" s="28"/>
      <c r="AF1892" s="28"/>
      <c r="AG1892" s="28"/>
      <c r="AH1892" s="28"/>
      <c r="AI1892" s="28"/>
      <c r="AJ1892" s="28"/>
      <c r="AK1892" s="28"/>
      <c r="AL1892" s="28"/>
      <c r="AM1892" s="28"/>
      <c r="AN1892" s="28"/>
      <c r="AO1892" s="28"/>
      <c r="AP1892" s="28"/>
      <c r="AQ1892" s="28"/>
      <c r="AR1892" s="28"/>
      <c r="AS1892" s="28"/>
      <c r="AT1892" s="5"/>
      <c r="AU1892" s="28"/>
      <c r="AV1892" s="28"/>
      <c r="AX1892" s="28"/>
      <c r="AY1892" s="28"/>
      <c r="BA1892" s="28"/>
      <c r="BB1892" s="28"/>
      <c r="BF1892" s="28"/>
      <c r="BH1892" s="28"/>
      <c r="BI1892" s="28"/>
      <c r="BJ1892" s="38"/>
      <c r="BK1892" s="28"/>
    </row>
    <row r="1893" customFormat="false" ht="15.75" hidden="false" customHeight="false" outlineLevel="0" collapsed="false">
      <c r="A1893" s="28"/>
      <c r="B1893" s="28"/>
      <c r="C1893" s="28"/>
      <c r="D1893" s="5"/>
      <c r="E1893" s="38"/>
      <c r="F1893" s="28"/>
      <c r="G1893" s="28"/>
      <c r="H1893" s="38"/>
      <c r="I1893" s="28"/>
      <c r="J1893" s="40"/>
      <c r="K1893" s="40"/>
      <c r="L1893" s="5"/>
      <c r="M1893" s="5"/>
      <c r="N1893" s="28"/>
      <c r="O1893" s="28"/>
      <c r="P1893" s="28"/>
      <c r="Q1893" s="28"/>
      <c r="R1893" s="28"/>
      <c r="S1893" s="28"/>
      <c r="T1893" s="28"/>
      <c r="V1893" s="28"/>
      <c r="W1893" s="5"/>
      <c r="X1893" s="5"/>
      <c r="Z1893" s="28"/>
      <c r="AA1893" s="28"/>
      <c r="AB1893" s="28"/>
      <c r="AC1893" s="28"/>
      <c r="AD1893" s="28"/>
      <c r="AE1893" s="28"/>
      <c r="AF1893" s="28"/>
      <c r="AG1893" s="28"/>
      <c r="AH1893" s="28"/>
      <c r="AI1893" s="28"/>
      <c r="AJ1893" s="28"/>
      <c r="AK1893" s="28"/>
      <c r="AL1893" s="28"/>
      <c r="AM1893" s="28"/>
      <c r="AN1893" s="28"/>
      <c r="AO1893" s="28"/>
      <c r="AP1893" s="28"/>
      <c r="AQ1893" s="28"/>
      <c r="AR1893" s="28"/>
      <c r="AS1893" s="28"/>
      <c r="AT1893" s="5"/>
      <c r="AU1893" s="28"/>
      <c r="AV1893" s="28"/>
      <c r="AX1893" s="28"/>
      <c r="AY1893" s="28"/>
      <c r="BA1893" s="28"/>
      <c r="BB1893" s="28"/>
      <c r="BF1893" s="28"/>
      <c r="BH1893" s="28"/>
      <c r="BI1893" s="28"/>
      <c r="BJ1893" s="38"/>
      <c r="BK1893" s="28"/>
    </row>
    <row r="1894" customFormat="false" ht="15.75" hidden="false" customHeight="false" outlineLevel="0" collapsed="false">
      <c r="A1894" s="28"/>
      <c r="B1894" s="28"/>
      <c r="C1894" s="28"/>
      <c r="D1894" s="5"/>
      <c r="E1894" s="38"/>
      <c r="F1894" s="28"/>
      <c r="G1894" s="28"/>
      <c r="H1894" s="38"/>
      <c r="I1894" s="28"/>
      <c r="J1894" s="40"/>
      <c r="K1894" s="40"/>
      <c r="L1894" s="5"/>
      <c r="M1894" s="5"/>
      <c r="N1894" s="28"/>
      <c r="O1894" s="28"/>
      <c r="P1894" s="28"/>
      <c r="Q1894" s="28"/>
      <c r="R1894" s="28"/>
      <c r="S1894" s="28"/>
      <c r="T1894" s="28"/>
      <c r="V1894" s="28"/>
      <c r="W1894" s="5"/>
      <c r="X1894" s="5"/>
      <c r="Z1894" s="28"/>
      <c r="AA1894" s="28"/>
      <c r="AB1894" s="28"/>
      <c r="AC1894" s="28"/>
      <c r="AD1894" s="28"/>
      <c r="AE1894" s="28"/>
      <c r="AF1894" s="28"/>
      <c r="AG1894" s="28"/>
      <c r="AH1894" s="28"/>
      <c r="AI1894" s="28"/>
      <c r="AJ1894" s="28"/>
      <c r="AK1894" s="28"/>
      <c r="AL1894" s="28"/>
      <c r="AM1894" s="28"/>
      <c r="AN1894" s="28"/>
      <c r="AO1894" s="28"/>
      <c r="AP1894" s="28"/>
      <c r="AQ1894" s="28"/>
      <c r="AR1894" s="28"/>
      <c r="AS1894" s="28"/>
      <c r="AT1894" s="5"/>
      <c r="AU1894" s="28"/>
      <c r="AV1894" s="28"/>
      <c r="AX1894" s="28"/>
      <c r="AY1894" s="28"/>
      <c r="BA1894" s="28"/>
      <c r="BB1894" s="28"/>
      <c r="BF1894" s="28"/>
      <c r="BH1894" s="28"/>
      <c r="BI1894" s="28"/>
      <c r="BJ1894" s="38"/>
      <c r="BK1894" s="28"/>
    </row>
    <row r="1895" customFormat="false" ht="15.75" hidden="false" customHeight="false" outlineLevel="0" collapsed="false">
      <c r="A1895" s="28"/>
      <c r="B1895" s="28"/>
      <c r="C1895" s="28"/>
      <c r="D1895" s="5"/>
      <c r="E1895" s="38"/>
      <c r="F1895" s="28"/>
      <c r="G1895" s="28"/>
      <c r="H1895" s="38"/>
      <c r="I1895" s="28"/>
      <c r="J1895" s="40"/>
      <c r="K1895" s="40"/>
      <c r="L1895" s="5"/>
      <c r="M1895" s="5"/>
      <c r="N1895" s="28"/>
      <c r="O1895" s="28"/>
      <c r="P1895" s="28"/>
      <c r="Q1895" s="28"/>
      <c r="R1895" s="28"/>
      <c r="S1895" s="28"/>
      <c r="T1895" s="28"/>
      <c r="V1895" s="28"/>
      <c r="W1895" s="5"/>
      <c r="X1895" s="5"/>
      <c r="Z1895" s="28"/>
      <c r="AA1895" s="28"/>
      <c r="AB1895" s="28"/>
      <c r="AC1895" s="28"/>
      <c r="AD1895" s="28"/>
      <c r="AE1895" s="28"/>
      <c r="AF1895" s="28"/>
      <c r="AG1895" s="28"/>
      <c r="AH1895" s="28"/>
      <c r="AI1895" s="28"/>
      <c r="AJ1895" s="28"/>
      <c r="AK1895" s="28"/>
      <c r="AL1895" s="28"/>
      <c r="AM1895" s="28"/>
      <c r="AN1895" s="28"/>
      <c r="AO1895" s="28"/>
      <c r="AP1895" s="28"/>
      <c r="AQ1895" s="28"/>
      <c r="AR1895" s="28"/>
      <c r="AS1895" s="28"/>
      <c r="AT1895" s="5"/>
      <c r="AU1895" s="28"/>
      <c r="AV1895" s="28"/>
      <c r="AX1895" s="28"/>
      <c r="AY1895" s="28"/>
      <c r="BA1895" s="28"/>
      <c r="BB1895" s="28"/>
      <c r="BF1895" s="28"/>
      <c r="BH1895" s="28"/>
      <c r="BI1895" s="28"/>
      <c r="BJ1895" s="38"/>
      <c r="BK1895" s="28"/>
    </row>
    <row r="1896" customFormat="false" ht="15.75" hidden="false" customHeight="false" outlineLevel="0" collapsed="false">
      <c r="A1896" s="28"/>
      <c r="B1896" s="28"/>
      <c r="C1896" s="28"/>
      <c r="D1896" s="5"/>
      <c r="E1896" s="38"/>
      <c r="F1896" s="28"/>
      <c r="G1896" s="28"/>
      <c r="H1896" s="38"/>
      <c r="I1896" s="28"/>
      <c r="J1896" s="40"/>
      <c r="K1896" s="40"/>
      <c r="L1896" s="5"/>
      <c r="M1896" s="5"/>
      <c r="N1896" s="28"/>
      <c r="O1896" s="28"/>
      <c r="P1896" s="28"/>
      <c r="Q1896" s="28"/>
      <c r="R1896" s="28"/>
      <c r="S1896" s="28"/>
      <c r="T1896" s="28"/>
      <c r="V1896" s="28"/>
      <c r="W1896" s="5"/>
      <c r="X1896" s="5"/>
      <c r="Z1896" s="28"/>
      <c r="AA1896" s="28"/>
      <c r="AB1896" s="28"/>
      <c r="AC1896" s="28"/>
      <c r="AD1896" s="28"/>
      <c r="AE1896" s="28"/>
      <c r="AF1896" s="28"/>
      <c r="AG1896" s="28"/>
      <c r="AH1896" s="28"/>
      <c r="AI1896" s="28"/>
      <c r="AJ1896" s="28"/>
      <c r="AK1896" s="28"/>
      <c r="AL1896" s="28"/>
      <c r="AM1896" s="28"/>
      <c r="AN1896" s="28"/>
      <c r="AO1896" s="28"/>
      <c r="AP1896" s="28"/>
      <c r="AQ1896" s="28"/>
      <c r="AR1896" s="28"/>
      <c r="AS1896" s="28"/>
      <c r="AT1896" s="5"/>
      <c r="AU1896" s="28"/>
      <c r="AV1896" s="28"/>
      <c r="AX1896" s="28"/>
      <c r="AY1896" s="28"/>
      <c r="BA1896" s="28"/>
      <c r="BB1896" s="28"/>
      <c r="BF1896" s="28"/>
      <c r="BH1896" s="28"/>
      <c r="BI1896" s="28"/>
      <c r="BJ1896" s="38"/>
      <c r="BK1896" s="28"/>
    </row>
    <row r="1897" customFormat="false" ht="15.75" hidden="false" customHeight="false" outlineLevel="0" collapsed="false">
      <c r="A1897" s="28"/>
      <c r="B1897" s="28"/>
      <c r="C1897" s="28"/>
      <c r="D1897" s="5"/>
      <c r="E1897" s="38"/>
      <c r="F1897" s="28"/>
      <c r="G1897" s="28"/>
      <c r="H1897" s="38"/>
      <c r="I1897" s="28"/>
      <c r="J1897" s="40"/>
      <c r="K1897" s="40"/>
      <c r="L1897" s="5"/>
      <c r="M1897" s="5"/>
      <c r="N1897" s="28"/>
      <c r="O1897" s="28"/>
      <c r="P1897" s="28"/>
      <c r="Q1897" s="28"/>
      <c r="R1897" s="28"/>
      <c r="S1897" s="28"/>
      <c r="T1897" s="28"/>
      <c r="V1897" s="28"/>
      <c r="W1897" s="5"/>
      <c r="X1897" s="5"/>
      <c r="Z1897" s="28"/>
      <c r="AA1897" s="28"/>
      <c r="AB1897" s="28"/>
      <c r="AC1897" s="28"/>
      <c r="AD1897" s="28"/>
      <c r="AE1897" s="28"/>
      <c r="AF1897" s="28"/>
      <c r="AG1897" s="28"/>
      <c r="AH1897" s="28"/>
      <c r="AI1897" s="28"/>
      <c r="AJ1897" s="28"/>
      <c r="AK1897" s="28"/>
      <c r="AL1897" s="28"/>
      <c r="AM1897" s="28"/>
      <c r="AN1897" s="28"/>
      <c r="AO1897" s="28"/>
      <c r="AP1897" s="28"/>
      <c r="AQ1897" s="28"/>
      <c r="AR1897" s="28"/>
      <c r="AS1897" s="28"/>
      <c r="AT1897" s="5"/>
      <c r="AU1897" s="28"/>
      <c r="AV1897" s="28"/>
      <c r="AX1897" s="28"/>
      <c r="AY1897" s="28"/>
      <c r="BA1897" s="28"/>
      <c r="BB1897" s="28"/>
      <c r="BF1897" s="28"/>
      <c r="BH1897" s="28"/>
      <c r="BI1897" s="28"/>
      <c r="BJ1897" s="38"/>
      <c r="BK1897" s="28"/>
    </row>
    <row r="1898" customFormat="false" ht="15.75" hidden="false" customHeight="false" outlineLevel="0" collapsed="false">
      <c r="A1898" s="28"/>
      <c r="B1898" s="28"/>
      <c r="C1898" s="28"/>
      <c r="D1898" s="5"/>
      <c r="E1898" s="38"/>
      <c r="F1898" s="28"/>
      <c r="G1898" s="28"/>
      <c r="H1898" s="38"/>
      <c r="I1898" s="28"/>
      <c r="J1898" s="40"/>
      <c r="K1898" s="40"/>
      <c r="L1898" s="5"/>
      <c r="M1898" s="5"/>
      <c r="N1898" s="28"/>
      <c r="O1898" s="28"/>
      <c r="P1898" s="28"/>
      <c r="Q1898" s="28"/>
      <c r="R1898" s="28"/>
      <c r="S1898" s="28"/>
      <c r="T1898" s="28"/>
      <c r="V1898" s="28"/>
      <c r="W1898" s="5"/>
      <c r="X1898" s="5"/>
      <c r="Z1898" s="28"/>
      <c r="AA1898" s="28"/>
      <c r="AB1898" s="28"/>
      <c r="AC1898" s="28"/>
      <c r="AD1898" s="28"/>
      <c r="AE1898" s="28"/>
      <c r="AF1898" s="28"/>
      <c r="AG1898" s="28"/>
      <c r="AH1898" s="28"/>
      <c r="AI1898" s="28"/>
      <c r="AJ1898" s="28"/>
      <c r="AK1898" s="28"/>
      <c r="AL1898" s="28"/>
      <c r="AM1898" s="28"/>
      <c r="AN1898" s="28"/>
      <c r="AO1898" s="28"/>
      <c r="AP1898" s="28"/>
      <c r="AQ1898" s="28"/>
      <c r="AR1898" s="28"/>
      <c r="AS1898" s="28"/>
      <c r="AT1898" s="5"/>
      <c r="AU1898" s="28"/>
      <c r="AV1898" s="28"/>
      <c r="AX1898" s="28"/>
      <c r="AY1898" s="28"/>
      <c r="BA1898" s="28"/>
      <c r="BB1898" s="28"/>
      <c r="BF1898" s="28"/>
      <c r="BH1898" s="28"/>
      <c r="BI1898" s="28"/>
      <c r="BJ1898" s="38"/>
      <c r="BK1898" s="28"/>
    </row>
    <row r="1899" customFormat="false" ht="15.75" hidden="false" customHeight="false" outlineLevel="0" collapsed="false">
      <c r="A1899" s="28"/>
      <c r="B1899" s="28"/>
      <c r="C1899" s="28"/>
      <c r="D1899" s="5"/>
      <c r="E1899" s="38"/>
      <c r="F1899" s="28"/>
      <c r="G1899" s="28"/>
      <c r="H1899" s="38"/>
      <c r="I1899" s="28"/>
      <c r="J1899" s="40"/>
      <c r="K1899" s="40"/>
      <c r="L1899" s="5"/>
      <c r="M1899" s="5"/>
      <c r="N1899" s="28"/>
      <c r="O1899" s="28"/>
      <c r="P1899" s="28"/>
      <c r="Q1899" s="28"/>
      <c r="R1899" s="28"/>
      <c r="S1899" s="28"/>
      <c r="T1899" s="28"/>
      <c r="V1899" s="28"/>
      <c r="W1899" s="5"/>
      <c r="X1899" s="5"/>
      <c r="Z1899" s="28"/>
      <c r="AA1899" s="28"/>
      <c r="AB1899" s="28"/>
      <c r="AC1899" s="28"/>
      <c r="AD1899" s="28"/>
      <c r="AE1899" s="28"/>
      <c r="AF1899" s="28"/>
      <c r="AG1899" s="28"/>
      <c r="AH1899" s="28"/>
      <c r="AI1899" s="28"/>
      <c r="AJ1899" s="28"/>
      <c r="AK1899" s="28"/>
      <c r="AL1899" s="28"/>
      <c r="AM1899" s="28"/>
      <c r="AN1899" s="28"/>
      <c r="AO1899" s="28"/>
      <c r="AP1899" s="28"/>
      <c r="AQ1899" s="28"/>
      <c r="AR1899" s="28"/>
      <c r="AS1899" s="28"/>
      <c r="AT1899" s="5"/>
      <c r="AU1899" s="28"/>
      <c r="AV1899" s="28"/>
      <c r="AX1899" s="28"/>
      <c r="AY1899" s="28"/>
      <c r="BA1899" s="28"/>
      <c r="BB1899" s="28"/>
      <c r="BF1899" s="28"/>
      <c r="BH1899" s="28"/>
      <c r="BI1899" s="28"/>
      <c r="BJ1899" s="38"/>
      <c r="BK1899" s="28"/>
    </row>
    <row r="1900" customFormat="false" ht="15.75" hidden="false" customHeight="false" outlineLevel="0" collapsed="false">
      <c r="A1900" s="28"/>
      <c r="B1900" s="28"/>
      <c r="C1900" s="28"/>
      <c r="D1900" s="5"/>
      <c r="E1900" s="38"/>
      <c r="F1900" s="28"/>
      <c r="G1900" s="28"/>
      <c r="H1900" s="38"/>
      <c r="I1900" s="28"/>
      <c r="J1900" s="40"/>
      <c r="K1900" s="40"/>
      <c r="L1900" s="5"/>
      <c r="M1900" s="5"/>
      <c r="N1900" s="28"/>
      <c r="O1900" s="28"/>
      <c r="P1900" s="28"/>
      <c r="Q1900" s="28"/>
      <c r="R1900" s="28"/>
      <c r="S1900" s="28"/>
      <c r="T1900" s="28"/>
      <c r="V1900" s="28"/>
      <c r="W1900" s="5"/>
      <c r="X1900" s="5"/>
      <c r="Z1900" s="28"/>
      <c r="AA1900" s="28"/>
      <c r="AB1900" s="28"/>
      <c r="AC1900" s="28"/>
      <c r="AD1900" s="28"/>
      <c r="AE1900" s="28"/>
      <c r="AF1900" s="28"/>
      <c r="AG1900" s="28"/>
      <c r="AH1900" s="28"/>
      <c r="AI1900" s="28"/>
      <c r="AJ1900" s="28"/>
      <c r="AK1900" s="28"/>
      <c r="AL1900" s="28"/>
      <c r="AM1900" s="28"/>
      <c r="AN1900" s="28"/>
      <c r="AO1900" s="28"/>
      <c r="AP1900" s="28"/>
      <c r="AQ1900" s="28"/>
      <c r="AR1900" s="28"/>
      <c r="AS1900" s="28"/>
      <c r="AT1900" s="5"/>
      <c r="AU1900" s="28"/>
      <c r="AV1900" s="28"/>
      <c r="AX1900" s="28"/>
      <c r="AY1900" s="28"/>
      <c r="BA1900" s="28"/>
      <c r="BB1900" s="28"/>
      <c r="BF1900" s="28"/>
      <c r="BH1900" s="28"/>
      <c r="BI1900" s="28"/>
      <c r="BJ1900" s="38"/>
      <c r="BK1900" s="28"/>
    </row>
    <row r="1901" customFormat="false" ht="15.75" hidden="false" customHeight="false" outlineLevel="0" collapsed="false">
      <c r="A1901" s="28"/>
      <c r="B1901" s="28"/>
      <c r="C1901" s="28"/>
      <c r="D1901" s="5"/>
      <c r="E1901" s="38"/>
      <c r="F1901" s="28"/>
      <c r="G1901" s="28"/>
      <c r="H1901" s="38"/>
      <c r="I1901" s="28"/>
      <c r="J1901" s="40"/>
      <c r="K1901" s="40"/>
      <c r="L1901" s="5"/>
      <c r="M1901" s="5"/>
      <c r="N1901" s="28"/>
      <c r="O1901" s="28"/>
      <c r="P1901" s="28"/>
      <c r="Q1901" s="28"/>
      <c r="R1901" s="28"/>
      <c r="S1901" s="28"/>
      <c r="T1901" s="28"/>
      <c r="V1901" s="28"/>
      <c r="W1901" s="5"/>
      <c r="X1901" s="5"/>
      <c r="Z1901" s="28"/>
      <c r="AA1901" s="28"/>
      <c r="AB1901" s="28"/>
      <c r="AC1901" s="28"/>
      <c r="AD1901" s="28"/>
      <c r="AE1901" s="28"/>
      <c r="AF1901" s="28"/>
      <c r="AG1901" s="28"/>
      <c r="AH1901" s="28"/>
      <c r="AI1901" s="28"/>
      <c r="AJ1901" s="28"/>
      <c r="AK1901" s="28"/>
      <c r="AL1901" s="28"/>
      <c r="AM1901" s="28"/>
      <c r="AN1901" s="28"/>
      <c r="AO1901" s="28"/>
      <c r="AP1901" s="28"/>
      <c r="AQ1901" s="28"/>
      <c r="AR1901" s="28"/>
      <c r="AS1901" s="28"/>
      <c r="AT1901" s="5"/>
      <c r="AU1901" s="28"/>
      <c r="AV1901" s="28"/>
      <c r="AX1901" s="28"/>
      <c r="AY1901" s="28"/>
      <c r="BA1901" s="28"/>
      <c r="BB1901" s="28"/>
      <c r="BF1901" s="28"/>
      <c r="BH1901" s="28"/>
      <c r="BI1901" s="28"/>
      <c r="BJ1901" s="38"/>
      <c r="BK1901" s="28"/>
    </row>
    <row r="1902" customFormat="false" ht="15.75" hidden="false" customHeight="false" outlineLevel="0" collapsed="false">
      <c r="A1902" s="28"/>
      <c r="B1902" s="28"/>
      <c r="C1902" s="28"/>
      <c r="D1902" s="5"/>
      <c r="E1902" s="38"/>
      <c r="F1902" s="28"/>
      <c r="G1902" s="28"/>
      <c r="H1902" s="38"/>
      <c r="I1902" s="28"/>
      <c r="J1902" s="40"/>
      <c r="K1902" s="40"/>
      <c r="L1902" s="5"/>
      <c r="M1902" s="5"/>
      <c r="N1902" s="28"/>
      <c r="O1902" s="28"/>
      <c r="P1902" s="28"/>
      <c r="Q1902" s="28"/>
      <c r="R1902" s="28"/>
      <c r="S1902" s="28"/>
      <c r="T1902" s="28"/>
      <c r="V1902" s="28"/>
      <c r="W1902" s="5"/>
      <c r="X1902" s="5"/>
      <c r="Z1902" s="28"/>
      <c r="AA1902" s="28"/>
      <c r="AB1902" s="28"/>
      <c r="AC1902" s="28"/>
      <c r="AD1902" s="28"/>
      <c r="AE1902" s="28"/>
      <c r="AF1902" s="28"/>
      <c r="AG1902" s="28"/>
      <c r="AH1902" s="28"/>
      <c r="AI1902" s="28"/>
      <c r="AJ1902" s="28"/>
      <c r="AK1902" s="28"/>
      <c r="AL1902" s="28"/>
      <c r="AM1902" s="28"/>
      <c r="AN1902" s="28"/>
      <c r="AO1902" s="28"/>
      <c r="AP1902" s="28"/>
      <c r="AQ1902" s="28"/>
      <c r="AR1902" s="28"/>
      <c r="AS1902" s="28"/>
      <c r="AT1902" s="5"/>
      <c r="AU1902" s="28"/>
      <c r="AV1902" s="28"/>
      <c r="AX1902" s="28"/>
      <c r="AY1902" s="28"/>
      <c r="BA1902" s="28"/>
      <c r="BB1902" s="28"/>
      <c r="BF1902" s="28"/>
      <c r="BH1902" s="28"/>
      <c r="BI1902" s="28"/>
      <c r="BJ1902" s="38"/>
      <c r="BK1902" s="28"/>
    </row>
    <row r="1903" customFormat="false" ht="15.75" hidden="false" customHeight="false" outlineLevel="0" collapsed="false">
      <c r="A1903" s="28"/>
      <c r="B1903" s="28"/>
      <c r="C1903" s="28"/>
      <c r="D1903" s="5"/>
      <c r="E1903" s="38"/>
      <c r="F1903" s="28"/>
      <c r="G1903" s="28"/>
      <c r="H1903" s="38"/>
      <c r="I1903" s="28"/>
      <c r="J1903" s="40"/>
      <c r="K1903" s="40"/>
      <c r="L1903" s="5"/>
      <c r="M1903" s="5"/>
      <c r="N1903" s="28"/>
      <c r="O1903" s="28"/>
      <c r="P1903" s="28"/>
      <c r="Q1903" s="28"/>
      <c r="R1903" s="28"/>
      <c r="S1903" s="28"/>
      <c r="T1903" s="28"/>
      <c r="V1903" s="28"/>
      <c r="W1903" s="5"/>
      <c r="X1903" s="5"/>
      <c r="Z1903" s="28"/>
      <c r="AA1903" s="28"/>
      <c r="AB1903" s="28"/>
      <c r="AC1903" s="28"/>
      <c r="AD1903" s="28"/>
      <c r="AE1903" s="28"/>
      <c r="AF1903" s="28"/>
      <c r="AG1903" s="28"/>
      <c r="AH1903" s="28"/>
      <c r="AI1903" s="28"/>
      <c r="AJ1903" s="28"/>
      <c r="AK1903" s="28"/>
      <c r="AL1903" s="28"/>
      <c r="AM1903" s="28"/>
      <c r="AN1903" s="28"/>
      <c r="AO1903" s="28"/>
      <c r="AP1903" s="28"/>
      <c r="AQ1903" s="28"/>
      <c r="AR1903" s="28"/>
      <c r="AS1903" s="28"/>
      <c r="AT1903" s="5"/>
      <c r="AU1903" s="28"/>
      <c r="AV1903" s="28"/>
      <c r="AX1903" s="28"/>
      <c r="AY1903" s="28"/>
      <c r="BA1903" s="28"/>
      <c r="BB1903" s="28"/>
      <c r="BF1903" s="28"/>
      <c r="BH1903" s="28"/>
      <c r="BI1903" s="28"/>
      <c r="BJ1903" s="38"/>
      <c r="BK1903" s="28"/>
    </row>
    <row r="1904" customFormat="false" ht="15.75" hidden="false" customHeight="false" outlineLevel="0" collapsed="false">
      <c r="A1904" s="28"/>
      <c r="B1904" s="28"/>
      <c r="C1904" s="28"/>
      <c r="D1904" s="5"/>
      <c r="E1904" s="38"/>
      <c r="F1904" s="28"/>
      <c r="G1904" s="28"/>
      <c r="H1904" s="38"/>
      <c r="I1904" s="28"/>
      <c r="J1904" s="40"/>
      <c r="K1904" s="40"/>
      <c r="L1904" s="5"/>
      <c r="M1904" s="5"/>
      <c r="N1904" s="28"/>
      <c r="O1904" s="28"/>
      <c r="P1904" s="28"/>
      <c r="Q1904" s="28"/>
      <c r="R1904" s="28"/>
      <c r="S1904" s="28"/>
      <c r="T1904" s="28"/>
      <c r="V1904" s="28"/>
      <c r="W1904" s="5"/>
      <c r="X1904" s="5"/>
      <c r="Z1904" s="28"/>
      <c r="AA1904" s="28"/>
      <c r="AB1904" s="28"/>
      <c r="AC1904" s="28"/>
      <c r="AD1904" s="28"/>
      <c r="AE1904" s="28"/>
      <c r="AF1904" s="28"/>
      <c r="AG1904" s="28"/>
      <c r="AH1904" s="28"/>
      <c r="AI1904" s="28"/>
      <c r="AJ1904" s="28"/>
      <c r="AK1904" s="28"/>
      <c r="AL1904" s="28"/>
      <c r="AM1904" s="28"/>
      <c r="AN1904" s="28"/>
      <c r="AO1904" s="28"/>
      <c r="AP1904" s="28"/>
      <c r="AQ1904" s="28"/>
      <c r="AR1904" s="28"/>
      <c r="AS1904" s="28"/>
      <c r="AT1904" s="5"/>
      <c r="AU1904" s="28"/>
      <c r="AV1904" s="28"/>
      <c r="AX1904" s="28"/>
      <c r="AY1904" s="28"/>
      <c r="BA1904" s="28"/>
      <c r="BB1904" s="28"/>
      <c r="BF1904" s="28"/>
      <c r="BH1904" s="28"/>
      <c r="BI1904" s="28"/>
      <c r="BJ1904" s="38"/>
      <c r="BK1904" s="28"/>
    </row>
  </sheetData>
  <autoFilter ref="A1:BK1177"/>
  <conditionalFormatting sqref="P1175:R1175">
    <cfRule type="expression" priority="2" aboveAverage="0" equalAverage="0" bottom="0" percent="0" rank="0" text="" dxfId="36">
      <formula>COUNTIF(O:O, P1175)&gt;1</formula>
    </cfRule>
  </conditionalFormatting>
  <conditionalFormatting sqref="T1131">
    <cfRule type="expression" priority="3" aboveAverage="0" equalAverage="0" bottom="0" percent="0" rank="0" text="" dxfId="36">
      <formula>COUNTIF(N:N, T1131)&gt;1</formula>
    </cfRule>
  </conditionalFormatting>
  <conditionalFormatting sqref="U1131">
    <cfRule type="expression" priority="4" aboveAverage="0" equalAverage="0" bottom="0" percent="0" rank="0" text="" dxfId="36">
      <formula>COUNTIF(O:O, U1131)&gt;1</formula>
    </cfRule>
  </conditionalFormatting>
  <conditionalFormatting sqref="N1:N1111 N1175:N1904">
    <cfRule type="expression" priority="5" aboveAverage="0" equalAverage="0" bottom="0" percent="0" rank="0" text="" dxfId="36">
      <formula>COUNTIF(N:N, N1)&gt;1</formula>
    </cfRule>
  </conditionalFormatting>
  <conditionalFormatting sqref="O1:O1130 O1176:O1904">
    <cfRule type="expression" priority="6" aboveAverage="0" equalAverage="0" bottom="0" percent="0" rank="0" text="" dxfId="36">
      <formula>COUNTIF(O:O, O1)&gt;1</formula>
    </cfRule>
  </conditionalFormatting>
  <dataValidations count="2">
    <dataValidation allowBlank="true" errorStyle="stop" operator="between" showDropDown="false" showErrorMessage="true" showInputMessage="false" sqref="AZ16" type="list">
      <formula1>"Host strain development ,Bioprocess design,Cell culture media,Feedstocks,Cell line development,Target molecule selection,Crop development,Ingredient optimisation,Texturisation methods,End product formulation,Scaffolding,Health/nutrition,Food safety &amp; qual"&amp;"ity,Consumer and market research,Env/impact assessments,other"</formula1>
      <formula2>0</formula2>
    </dataValidation>
    <dataValidation allowBlank="true" errorStyle="stop" operator="between" showDropDown="false" showErrorMessage="true" showInputMessage="false" sqref="AZ3:AZ7 AZ9:AZ15 AZ17:AZ37 AZ39:AZ74 AZ76:AZ86 AZ88:AZ92 AZ94:AZ100 AZ102:AZ581 AZ583:AZ626 AZ628:AZ650 AZ658:AZ985 AZ987:AZ1051 AZ1053:AZ1175 AZ1177" type="list">
      <formula1>"Host strain development ,Bioprocess design,Cell culture media,Feedstocks,Cell line development,Target molecule selection,Crop development,Ingredient optimisation,Texturisation methods,End product formulation,Scaffolding,Health/nutrition,Food safety &amp; qual"&amp;"ity,Consumer and market research,Env/impact assessments,other,cross-cutting"</formula1>
      <formula2>0</formula2>
    </dataValidation>
  </dataValidations>
  <hyperlinks>
    <hyperlink ref="N2" r:id="rId1" display="https://gfieurope.org/blog/denmark-plant-based-investment-in-climate-agreement/"/>
    <hyperlink ref="N3" r:id="rId2" display="https://novonordiskfonden.dk/en/news/new-open-collaborative-platform-will-accelerate-the-development-of-plant-based-foods/"/>
    <hyperlink ref="N4" r:id="rId3" display="https://novonordiskfonden.dk/en/news/co2-as-a-sustainable-raw-material-in-our-future-food-production/"/>
    <hyperlink ref="N5" r:id="rId4" display="https://nofima.no/prosjekt/precision-food-production/"/>
    <hyperlink ref="AP5" r:id="rId5" display="https://www.forskningsradet.no/en/call-for-proposals/2020/nye-strategiske-programmer-for-nofima-2021-2024/"/>
    <hyperlink ref="N6" r:id="rId6" display="https://novonordiskfonden.dk/en/news/major-grants-awarded-for-research-on-plant-proteins-as-meat-alternatives/"/>
    <hyperlink ref="N7" r:id="rId7" display="https://www.ukri.org/news/national-alternative-protein-innovation-centre-launches/"/>
    <hyperlink ref="AP7" r:id="rId8" display="https://www.ukri.org/opportunity/alternative-proteins-innovation-and-knowledge-centre/"/>
    <hyperlink ref="N8" r:id="rId9" display="https://www.greenqueen.com.hk/germany-federal-budget-bundestag-2024-38-million-investment-alt-protein-plant-based/?utm_source=foodtechweekly.beehiiv.com&amp;utm_medium=newsletter&amp;utm_campaign=foodtech-weekly-174-by-daniel-s-ruben"/>
    <hyperlink ref="N9" r:id="rId10" display="https://solarfoods.com/solar-foods-receives-a-34-million-grant-to-ramp-up-factory-01-and-start-preparations-for-factory-02/"/>
    <hyperlink ref="N10" r:id="rId11" display="https://nofima.com/projects/green-technology-for-plant-based-food/"/>
    <hyperlink ref="N11" r:id="rId12" display="https://acrobat.adobe.com/link/review?uri=urn%3Aaaid%3Ascds%3AUS%3Ad4e64a40-4679-3c42-a80f-ca1d80a890fd"/>
    <hyperlink ref="N12" r:id="rId13" display="https://gtr.ukri.org/projects?ref=EP%2FX038114%2F1"/>
    <hyperlink ref="N13" r:id="rId14" display="https://nofima.com/press-release/norwegian-focus-on-new-food-technology/"/>
    <hyperlink ref="N14" r:id="rId15" display="https://research.chalmers.se/en/project/11357"/>
    <hyperlink ref="N15" r:id="rId16" display="https://www.carlsbergfondet.dk/en/Forskningsaktiviteter/Bevillingsstatistik/Bevillingsoversigt/CF21_0677_Birgitte-Skadhauge"/>
    <hyperlink ref="N16" r:id="rId17" display="https://dca.au.dk/en/current-news/news/show/artikel/institut-for-foedevarer-saetter-skub-i-udviklingen-af-cellulaere-foedevarer"/>
    <hyperlink ref="BG16" r:id="rId18" display="https://docs.google.com/document/d/1tLlVtTn3KFv7qG4X8ZMC2gpJaQ1j-sRhGUMvrdp5kOM/edit?usp=share_link"/>
    <hyperlink ref="N17" r:id="rId19" display="https://www.foodingredientsfirst.com/news/uk-government-injects-%C2%A312m-into-microbial-food-hub-for-alt-protein-innovation.html"/>
    <hyperlink ref="BG17" r:id="rId20" display="https://docs.google.com/document/d/197_vHTSaVQSB77rGsyhQRGBpcoXMK26A/edit"/>
    <hyperlink ref="N18" r:id="rId21" display="https://cordis.europa.eu/project/id/101083961"/>
    <hyperlink ref="N19" r:id="rId22" display="https://cordis.europa.eu/project/id/101060247/reporting"/>
    <hyperlink ref="N20" r:id="rId23" display="https://vegconomist.com/investments-finance/enifer-e12m-eu-grant-mycoprotein-facility-finland/?utm_medium=email&amp;utm_source=rasa_io&amp;utm_campaign=newsletter"/>
    <hyperlink ref="N21" r:id="rId24" display="https://prosjektbanken.forskningsradet.no/en/project/FORISS/325403"/>
    <hyperlink ref="N22" r:id="rId25" display="https://www.futureofproteinproduction.com/post/pea-and-fava-bean-focus-of-new-multi-million-dollar-french-project"/>
    <hyperlink ref="N23" r:id="rId26" display="https://www.univ-tlse3.fr/un-projet-de-grande-envergure-pour-developper-la-culture-du-soja-germe-en-france"/>
    <hyperlink ref="AP23" r:id="rId27" display="https://anr.fr/fr/detail/call/developper-les-proteines-vegetales-et-diversifier-les-sources-de-proteines-volet-1-proteines-d/"/>
    <hyperlink ref="N24" r:id="rId28" display="https://cordis.europa.eu/project/id/101060218"/>
    <hyperlink ref="N25" r:id="rId29" display="https://www.futureofproteinproduction.com/post/umiami-acquires-unilever-factory-to-establish-made-in-france-plant-based-meat?utm_campaign=Future%20of%20Protein%20Production%20Newsletter&amp;utm_medium=email&amp;_hsmi=237582309&amp;_hsenc=p2ANqtz--ls134Q_DcfIXtZ0iaQCrzIsZibCzyZhRWcCiqD4NJp-FN4s_jil3nqi4CL4N5n9dw3QiuNcS1eqBk_6rgTgYOGwiS6Q&amp;utm_content=237580038&amp;utm_source=hs_email"/>
    <hyperlink ref="AP25" r:id="rId30" display="https://www.bpifrance.fr/nos-appels-a-projets-concours/appel-a-projets-france-2030-premiere-usine"/>
    <hyperlink ref="N26" r:id="rId31" display="https://cordis.europa.eu/project/id/101059632"/>
    <hyperlink ref="N27" r:id="rId32" location=":~:text=The%20funding%20from%20The%20Finnish,as%20its%20primary%20raw%20materials." display="https://solarfoods.com/solar-foods-accelerates-production-of-climate-friendly-protein-with-investment-from-the-finnish-climate-fund/#:~:text=The%20funding%20from%20The%20Finnish,as%20its%20primary%20raw%20materials."/>
    <hyperlink ref="N28" r:id="rId33" display="https://tech.eu/2023/10/03/plant-based-meat-alternatives-firm-umiami-eur325m-us-expansion/"/>
    <hyperlink ref="N29" r:id="rId34" display="https://cordis.europa.eu/project/id/101059824"/>
    <hyperlink ref="N30" r:id="rId35" display="https://cordis.europa.eu/project/id/862957"/>
    <hyperlink ref="N31" r:id="rId36" display="https://vegconomist.com/politics-law/polish-government-labfarm-e2m-grant-cultivated-chicken/"/>
    <hyperlink ref="N32" r:id="rId37" display="https://cordis.europa.eu/project/id/862862"/>
    <hyperlink ref="N33" r:id="rId38" display="https://solarfoods.com/business-finland-greenlights-solar-foods-e8-6m-project/"/>
    <hyperlink ref="N37" r:id="rId39" display="https://cordis.europa.eu/project/id/101081776"/>
    <hyperlink ref="N38" r:id="rId40" display="https://gfieurope.org/blog/horizon-europe-announces-e25-million-for-sustainable-proteins/"/>
    <hyperlink ref="AP38" r:id="rId41" display="https://ec.europa.eu/info/funding-tenders/opportunities/portal/screen/opportunities/topic-details/horizon-cl6-2023-farm2fork-01-13;callCode=null;freeTextSearchKeyword=HORIZON-CL6-2023-FARM2FORK-01-13;matchWholeText=true;typeCodes=0,1,2,8;statusCodes=31094501,31094502,31094503;programmePeriod=null;programCcm2Id=43108390;programDivisionCode=null;focusAreaCode=null;destinationGroup=null;missionGroup=null;geographicalZonesCode=null;programmeDivisionProspect=null;startDateLte=null;startDateGte=null;crossCuttingPriorityCode=null;cpvCode=null;performanceOfDelivery=null;sortQuery=sortStatus;orderBy=asc;onlyTenders=false;topicListKey=topicSearchTablePageState"/>
    <hyperlink ref="N39" r:id="rId42" display="https://gfieurope.org/blog/catalonia-invest-e7-million-in-cipa-hub-to-lead-alternative-protein-science-in-southern-europe/"/>
    <hyperlink ref="N40" r:id="rId43" display="https://advancedbiofuelsusa.info/synbio-powerlabs-secures-e-6-6-million-funding-to-build-a-revolutionary-biotechnology-plant-for-precision-fermentation"/>
    <hyperlink ref="N42" r:id="rId44" location="/project/2022-01928_Formas" display="https://www.vr.se/swecris.html#/project/2022-01928_Formas"/>
    <hyperlink ref="N43" r:id="rId45" location="/project/2022-02407_Formas" display="https://www.vr.se/swecris.html#/project/2022-02407_Formas"/>
    <hyperlink ref="N46" r:id="rId46" display="https://tech.eu/2023/09/11/hydrocow-generating-milk-from-carbon-dioxide-and-electricity/"/>
    <hyperlink ref="N47" r:id="rId47" display="https://www.nwo.nl/en/researchprogrammes/perspectief/perspectief-grants/fermi-fermentations-optimized-by-rational-models-to-improve-plant-based-substrates"/>
    <hyperlink ref="N48" r:id="rId48" display="https://www.bio-hk.com/news/industry-news/spains-biotech-foods-to-lead-us6-3m-government-backed-cultured-meat-project/"/>
    <hyperlink ref="N49" r:id="rId49" display="https://www.cbe.europa.eu/projects/innoprotein"/>
    <hyperlink ref="N50" r:id="rId50" location="/project/2022-02804_Formas" display="https://www.vr.se/swecris.html#/project/2022-02804_Formas"/>
    <hyperlink ref="N51" r:id="rId51" location="/project/2021-03368_Vinnova" display="https://www.vr.se/swecris.html#/project/2021-03368_Vinnova"/>
    <hyperlink ref="N52" r:id="rId52" display="https://www.labiotech.eu/trends-news/onego-bio-funding-sustainable-egg-white/"/>
    <hyperlink ref="N53" r:id="rId53" location="/project/2022-00807_Vinnova" display="https://www.vr.se/swecris.html#/project/2022-00807_Vinnova"/>
    <hyperlink ref="N54" r:id="rId54" display="https://cordis.europa.eu/project/id/101168870"/>
    <hyperlink ref="N56" r:id="rId55" location="/project/2023-02010_Formas" display="https://www.vr.se/swecris.html#/project/2023-02010_Formas"/>
    <hyperlink ref="N59" r:id="rId56" display="https://cordis.europa.eu/project/id/101010029"/>
    <hyperlink ref="N60" r:id="rId57" display="https://cordis.europa.eu/project/id/101120449"/>
    <hyperlink ref="N61" r:id="rId58" display="https://www.flandersfood.com/en/Lore%20Knaepen"/>
    <hyperlink ref="N62" r:id="rId59" location=":~:text=The%20project%20“ECOnti%20–%20Accelerated%2C,to%2010%20L%20batch%20size." display="https://www.pharmaceutical-networking.com/engenes-secure-significant-funding-for-econti-e-coli-continuous-manufacturing-project/#:~:text=The%20project%20%E2%80%9CECOnti%20%E2%80%93%20Accelerated%2C,to%2010%20L%20batch%20size."/>
    <hyperlink ref="N70" r:id="rId60" display="https://www.stimulus.nl/opzuid/avada_portfolio/feed-for-meat/"/>
    <hyperlink ref="N73" r:id="rId61" display="https://www.teagasc.ie/food/research-and-innovation/research-areas/food-chemistry--technology/research-projects/u-protein/"/>
    <hyperlink ref="N74" r:id="rId62" display="https://www.vinnova.se/en/p/towards-a-holistic-and-sustainable-swedish-value-chain-for-pea-biorefinery-100pea/"/>
    <hyperlink ref="N75" r:id="rId63" display="https://vegconomist.com/politics-law/standing-ovation-e3m-french-government-bpifrance-non-animal-caseins-novel-dairy-products/"/>
    <hyperlink ref="N76" r:id="rId64" display="https://www.maastrichtuniversity.nl/nl/nieuws/perspectief-subsidie-voor-onderzoek-naar-gereedschapskist-om-levend-materiaal-te-maken"/>
    <hyperlink ref="N77" r:id="rId65" display="https://www.vttresearch.com/en/news-and-ideas/finnish-companies-aim-hitting-ballpark-new-plant-protein-processes"/>
    <hyperlink ref="N80" r:id="rId66" location="/project/2022-00943_Formas" display="https://www.vr.se/swecris.html#/project/2022-00943_Formas"/>
    <hyperlink ref="N81" r:id="rId67" display="https://tech.au.dk/om-fakultetet/nyheder/vis/artikel/novo-millioner-til-forskning-i-baeredygtig-landbrugs-og-foedevareproduktion"/>
    <hyperlink ref="N85" r:id="rId68" display="https://emff.easme-web.eu/?p=101038453"/>
    <hyperlink ref="N86" r:id="rId69" display="https://cordis.europa.eu/project/id/958660"/>
    <hyperlink ref="BG86" r:id="rId70" display="https://docs.google.com/document/d/1ErpUhPPMas88ojI54tWPHCoJA_xmqZX96VMvjn0Iuis/edit?usp=sharing"/>
    <hyperlink ref="N87" r:id="rId71" display="https://www.euskadi.eus/web01-bopv/es/bopv2/datos/2023/04/2301848a.pdf"/>
    <hyperlink ref="N88" r:id="rId72" display="https://gtr.ukri.org/projects?ref=10061737"/>
    <hyperlink ref="N89" r:id="rId73" display="https://cordis.europa.eu/project/id/190112238"/>
    <hyperlink ref="N90" r:id="rId74" location="/project/2022-02593_Vinnova" display="https://www.vr.se/swecris.html#/project/2022-02593_Vinnova"/>
    <hyperlink ref="N91" r:id="rId75" display="https://gtr.ukri.org/projects?ref=BB%2FW017946%2F1"/>
    <hyperlink ref="N92" r:id="rId76" display="https://gtr.ukri.org/projects?ref=BB%2FW018012%2F1"/>
    <hyperlink ref="N93" r:id="rId77" display="https://thespoon.tech/multus-biotechnology-raises-9-5m-series-a-to-build-growth-media-production-plant/"/>
    <hyperlink ref="N94" r:id="rId78" display="https://www.vitagora.com/vitagora/actus-media/letsproseed/"/>
    <hyperlink ref="AP94" r:id="rId79" display="https://anr.fr/fr/detail/call/developper-les-proteines-vegetales-et-diversifier-les-sources-de-proteines-volet-1-proteines-d/"/>
    <hyperlink ref="N95" r:id="rId80" display="https://www.terresinovia.fr/-/legumes-secs-terres-inovia-se-mobilise-dans-le-projet-jack"/>
    <hyperlink ref="AP95" r:id="rId81" display="https://anr.fr/fr/detail/call/developper-les-proteines-vegetales-et-diversifier-les-sources-de-proteines-volet-1-proteines-d/"/>
    <hyperlink ref="N96" r:id="rId82" display="https://cordis.europa.eu/project/id/101070913"/>
    <hyperlink ref="N99" r:id="rId83" display="https://www.vttresearch.com/en/news-and-ideas/globally-competitive-plant-protein-based-foods-finland"/>
    <hyperlink ref="N100" r:id="rId84" display="https://www.aramis.admin.ch/Grunddaten/?ProjectID=53697&amp;Sprache=en-US"/>
    <hyperlink ref="N101" r:id="rId85" display="https://www.insidermedia.com/news/north-east/cpi-to-establish-food-grade-facility-with-2m-investment"/>
    <hyperlink ref="N102" r:id="rId86" display="https://biotechinfo.fr/article/la-foodtech-standing-ovation-recoit-une-aide-de-183me-euros-de-bpifrance-dans-le-cadre-de-lappel-a-projet-besoins-alimentaires-de-demain/"/>
    <hyperlink ref="N104" r:id="rId87" display="https://www.gouvernement.fr/sites/default/files/contenu/piece-jointe/2023/03/20230306_-_dp_115_laureats_agriculture_alimentation_de_france2030.pdf"/>
    <hyperlink ref="N105" r:id="rId88" display="https://www.gouvernement.fr/sites/default/files/contenu/piece-jointe/2023/03/20230306_-_dp_115_laureats_agriculture_alimentation_de_france2030.pdf"/>
    <hyperlink ref="N106" r:id="rId89" display="https://www.gouvernement.fr/sites/default/files/contenu/piece-jointe/2023/03/20230306_-_dp_115_laureats_agriculture_alimentation_de_france2030.pdf"/>
    <hyperlink ref="N107" r:id="rId90" display="https://www.gouvernement.fr/sites/default/files/contenu/piece-jointe/2023/03/20230306_-_dp_115_laureats_agriculture_alimentation_de_france2030.pdf"/>
    <hyperlink ref="N108" r:id="rId91" display="https://gtr.ukri.org/projects?ref=MR%2FY013662%2F1"/>
    <hyperlink ref="N111" r:id="rId92" display="https://cordis.europa.eu/project/id/101116452"/>
    <hyperlink ref="N113" r:id="rId93" display="https://www.mynewsdesk.com/de/universitaet-vechta/pressreleases/teilprojekt-an-der-universitaet-vechta-untersucht-akzeptanz-und-oekonomische-umsetzungschancen-von-zellbasierten-fischlebensmitteln-bundesministerium-bmel-foerdert-gesamtes-verbund-forschungsvorhaben-zu-innovativer-in-vitro-technologie-3279926"/>
    <hyperlink ref="N114" r:id="rId94" display="https://gtr.ukri.org/projects?ref=10014261"/>
    <hyperlink ref="N115" r:id="rId95" display="https://foerderportal.bund.de/foekat/jsp/SucheAction.do?actionMode=view&amp;fkz=281A815X21"/>
    <hyperlink ref="N116" r:id="rId96" display="https://research.fi/en/results/funding/78308"/>
    <hyperlink ref="N117" r:id="rId97" location="/project/2022-02588_Vinnova" display="https://www.vr.se/swecris.html#/project/2022-02588_Vinnova"/>
    <hyperlink ref="N118" r:id="rId98" display="https://www.fbn-dummerstorf.de/en/research/projects/0070/"/>
    <hyperlink ref="N120" r:id="rId99" display="https://gtr.ukri.org/projects?ref=BB%2FY007859%2F1"/>
    <hyperlink ref="N123" r:id="rId100" location="page=null" display="https://www.gov.ie/pdf/?file=https://assets.gov.ie/278893/6f712254-7a63-4a60-8232-27e8309d2cf5.pdf#page=null"/>
    <hyperlink ref="N124" r:id="rId101" display="https://gfieurope.org/blog/good-food-institute-welcomes-uk-investment-in-cultivated-meat-startup/"/>
    <hyperlink ref="N125" r:id="rId102" display="https://vegconomist.com/cultivated-cell-cultured-biotechnology/meatable-e1m-cultivated-meat/?utm_medium=email&amp;utm_source=rasa_io&amp;utm_campaign=newsletter"/>
    <hyperlink ref="AP125" r:id="rId103" display="https://www.nwo.nl/en/researchprogrammes/open-technology-programme"/>
    <hyperlink ref="N126" r:id="rId104" display="https://www.ukri.org/news/15-6-million-boost-for-low-emission-food-production-systems/"/>
    <hyperlink ref="N129" r:id="rId105" display="https://gtr.ukri.org/projects?ref=BB%2FW019221%2F1"/>
    <hyperlink ref="N130" r:id="rId106" display="https://starfos.tacr.cz/en/projekty/TP03020019"/>
    <hyperlink ref="N131" r:id="rId107" display="https://gtr.ukri.org/projects?ref=BB%2FX01889X%2F1"/>
    <hyperlink ref="N132" r:id="rId108" display="https://gtr.ukri.org/projects?ref=BB%2FW008734%2F1"/>
    <hyperlink ref="N133" r:id="rId109" display="https://www.nmbu.no/en/research/projects/editgrass4food"/>
    <hyperlink ref="N135" r:id="rId110" display="https://tietopankki.businessfinland.fi/anonymous/extensions/Julkisen_tutkimuksen_projektit/julkisen_tutkimuksen_projektit.html"/>
    <hyperlink ref="N136" r:id="rId111" display="https://gtr.ukri.org/projects?ref=10031578"/>
    <hyperlink ref="N137" r:id="rId112" display="https://foerderportal.bund.de/foekat/jsp/SucheAction.do?actionMode=view&amp;fkz=01IF22232N"/>
    <hyperlink ref="N138" r:id="rId113" display="https://gtr.ukri.org/projects?ref=10075778"/>
    <hyperlink ref="N139" r:id="rId114" display="https://vegconomist.com/investments-finance/investments-acquisitions/biotech-foods-spanish-foreign-trade-institute/"/>
    <hyperlink ref="N140" r:id="rId115" display="https://www.nwo.nl/en/projects/19739"/>
    <hyperlink ref="N141" r:id="rId116" display="https://www.aramis.admin.ch/Grunddaten/?ProjectID=52687&amp;Sprache=en-US"/>
    <hyperlink ref="N142" r:id="rId117" display="https://cordis.europa.eu/project/id/101136749"/>
    <hyperlink ref="AP142" r:id="rId118" display="https://ec.europa.eu/info/funding-tenders/opportunities/portal/screen/opportunities/topic-details/horizon-cl6-2023-farm2fork-01-13"/>
    <hyperlink ref="N146" r:id="rId119" display="https://www.aramis-a.admin.ch/Texte/?ProjectID=48959"/>
    <hyperlink ref="N148" r:id="rId120" display="https://gfieurope.org/blog/cultivated-meat-innovation-challenge-winners-unlock-e1-8-million-in-additional-funding/"/>
    <hyperlink ref="N149" r:id="rId121" display="https://gfieurope.org/blog/cultivated-meat-innovation-challenge-winners-unlock-e1-8-million-in-additional-funding/"/>
    <hyperlink ref="N154" r:id="rId122" display="https://www.aramis.admin.ch/Texte/?ProjectID=48459"/>
    <hyperlink ref="N155" r:id="rId123" display="https://www.aramis.admin.ch/Grunddaten/?ProjectID=50119&amp;Sprache=en-US"/>
    <hyperlink ref="N159" r:id="rId124" location="/tabOverview" display="https://gtr.ukri.org/projects?ref=10014258#/tabOverview"/>
    <hyperlink ref="N163" r:id="rId125" display="https://www.cranfield.ac.uk/research-projects/is-cultured-meat-a-threat-or-opportunity-for-uk-farmers"/>
    <hyperlink ref="N164" r:id="rId126" display="https://www.aramis.admin.ch/Grunddaten/?ProjectID=50850&amp;Sprache=en-US"/>
    <hyperlink ref="N165" r:id="rId127" display="https://foerderportal.bund.de/foekat/jsp/SucheAction.do?actionMode=view&amp;fkz=01IF23066N"/>
    <hyperlink ref="N168" r:id="rId128" display="https://foerderportal.bund.de/foekat/jsp/SucheAction.do?actionMode=view&amp;fkz=281A811A21"/>
    <hyperlink ref="N169" r:id="rId129" display="https://foerderportal.bund.de/foekat/jsp/SucheAction.do?actionMode=view&amp;fkz=281A807A21"/>
    <hyperlink ref="N170" r:id="rId130" display="https://vegconomist.com/fungi-mushrooms-mycelium/germany-kynda-government-grant-mycelial-protein-production-services/?utm_source=foodtechweekly.beehiiv.com&amp;utm_medium=newsletter&amp;utm_campaign=foodtech-weekly-174-by-daniel-s-ruben"/>
    <hyperlink ref="N171" r:id="rId131" display="https://www.aafarmer.co.uk/ag-tech/biotechnology/new-feasibility-study-on-domestic-chickpea-production.html"/>
    <hyperlink ref="N172" r:id="rId132" location="/project/2021-03590_Vinnova" display="https://www.vr.se/swecris.html#/project/2021-03590_Vinnova"/>
    <hyperlink ref="N173" r:id="rId133" display="https://foerderportal.bund.de/foekat/jsp/SucheAction.do?actionMode=view&amp;fkz=281A818A21"/>
    <hyperlink ref="N175" r:id="rId134" display="https://www.vinnova.se/en/p/proupside--removing-antinutritionals-for-protein-upgrading-in-agroindustrial-side-streams/"/>
    <hyperlink ref="N176" r:id="rId135" display="https://foerderportal.bund.de/foekat/jsp/SucheAction.do?actionMode=view&amp;fkz=281A603A19"/>
    <hyperlink ref="N177" r:id="rId136" display="https://gtr.ukri.org/projects?ref=10073961"/>
    <hyperlink ref="N178" r:id="rId137" display="https://www.ukri.org/news/15-6-million-boost-for-low-emission-food-production-systems/"/>
    <hyperlink ref="N179" r:id="rId138" display="https://www.ukri.org/news/15-6-million-boost-for-low-emission-food-production-systems/"/>
    <hyperlink ref="N180" r:id="rId139" display="https://www.ukri.org/news/15-6-million-boost-for-low-emission-food-production-systems/"/>
    <hyperlink ref="N181" r:id="rId140" display="https://www.ukri.org/news/15-6-million-boost-for-low-emission-food-production-systems/"/>
    <hyperlink ref="N182" r:id="rId141" display="https://www.ukri.org/news/15-6-million-boost-for-low-emission-food-production-systems/"/>
    <hyperlink ref="N183" r:id="rId142" display="https://www.ukri.org/news/15-6-million-boost-for-low-emission-food-production-systems/"/>
    <hyperlink ref="N184" r:id="rId143" display="https://www.ukri.org/news/15-6-million-boost-for-low-emission-food-production-systems/"/>
    <hyperlink ref="N185" r:id="rId144" display="https://www.ukri.org/news/15-6-million-boost-for-low-emission-food-production-systems/"/>
    <hyperlink ref="N186" r:id="rId145" display="https://www.ukri.org/news/15-6-million-boost-for-low-emission-food-production-systems/"/>
    <hyperlink ref="N187" r:id="rId146" display="https://www.ukri.org/news/15-6-million-boost-for-low-emission-food-production-systems/"/>
    <hyperlink ref="N188" r:id="rId147" display="https://www.ukri.org/news/15-6-million-boost-for-low-emission-food-production-systems/"/>
    <hyperlink ref="N189" r:id="rId148" display="https://www.ukri.org/news/15-6-million-boost-for-low-emission-food-production-systems/"/>
    <hyperlink ref="N190" r:id="rId149" display="https://www.ukri.org/news/15-6-million-boost-for-low-emission-food-production-systems/"/>
    <hyperlink ref="N191" r:id="rId150" display="https://www.ukri.org/news/15-6-million-boost-for-low-emission-food-production-systems/"/>
    <hyperlink ref="N192" r:id="rId151" display="https://www.ukri.org/news/15-6-million-boost-for-low-emission-food-production-systems/"/>
    <hyperlink ref="N193" r:id="rId152" display="https://foerderportal.bund.de/foekat/jsp/SucheAction.do?actionMode=view&amp;fkz=281A402217"/>
    <hyperlink ref="N194" r:id="rId153" display="https://foerderportal.bund.de/foekat/jsp/SucheAction.do?actionMode=view&amp;fkz=281A819A21"/>
    <hyperlink ref="N196" r:id="rId154" display="https://www.aramis.admin.ch/Texte/?ProjectID=47912"/>
    <hyperlink ref="N198" r:id="rId155" display="https://gtr.ukri.org/projects?ref=BB%2FX010872%2F1"/>
    <hyperlink ref="N199" r:id="rId156" display="https://foerderportal.bund.de/foekat/jsp/SucheAction.do?actionMode=view&amp;fkz=01IF23169N"/>
    <hyperlink ref="N201" r:id="rId157" display="https://foerderportal.bund.de/foekat/jsp/SucheAction.do?actionMode=view&amp;fkz=281A819B21"/>
    <hyperlink ref="N202" r:id="rId158" display="https://foerderportal.bund.de/foekat/jsp/SucheAction.do?actionMode=view&amp;fkz=281A814A21"/>
    <hyperlink ref="N203" r:id="rId159" display="https://www.dbu.de/projektdatenbank/34451-01/"/>
    <hyperlink ref="N205" r:id="rId160" display="https://foerderportal.bund.de/foekat/jsp/SucheAction.do?actionMode=view&amp;fkz=281A818B21"/>
    <hyperlink ref="N206" r:id="rId161" display="https://gtr.ukri.org/projects?ref=10046475"/>
    <hyperlink ref="N207" r:id="rId162" display="https://gtr.ukri.org/projects?ref=10074183"/>
    <hyperlink ref="N208" r:id="rId163" location="/project/2021-03716_Vinnova" display="https://www.vr.se/english/swecris.html#/project/2021-03716_Vinnova"/>
    <hyperlink ref="N210" r:id="rId164" display="https://foerderportal.bund.de/foekat/jsp/SucheAction.do?actionMode=view&amp;fkz=281A818C21"/>
    <hyperlink ref="N212" r:id="rId165" display="https://foerderportal.bund.de/foekat/jsp/SucheAction.do?actionMode=view&amp;fkz=281A806X21"/>
    <hyperlink ref="N217" r:id="rId166" display="https://gtr.ukri.org/projects?ref=10046064"/>
    <hyperlink ref="N218" r:id="rId167" display="https://www.linkedin.com/posts/gfi-europe_174m-funding-for-better-food-for-all-activity-7118230845726838784-CsCg/?utm_source=share&amp;utm_medium=member_desktop"/>
    <hyperlink ref="N220" r:id="rId168" display="https://gtr.ukri.org/projects?ref=10075636"/>
    <hyperlink ref="N223" r:id="rId169" display="https://foerderportal.bund.de/foekat/jsp/SucheAction.do?actionMode=view&amp;fkz=281A814B21"/>
    <hyperlink ref="N225" r:id="rId170" display="https://foerderportal.bund.de/foekat/jsp/SucheAction.do?actionMode=view&amp;fkz=281A802B21"/>
    <hyperlink ref="N226" r:id="rId171" display="https://foerderportal.bund.de/foekat/jsp/SucheAction.do?actionMode=view&amp;fkz=281A802A21"/>
    <hyperlink ref="N227" r:id="rId172" display="https://gtr.ukri.org/projects?ref=10079403"/>
    <hyperlink ref="N228" r:id="rId173" display="https://gtr.ukri.org/projects?ref=10065794"/>
    <hyperlink ref="N230" r:id="rId174" display="https://gtr.ukri.org/projects?ref=10018494"/>
    <hyperlink ref="N232" r:id="rId175" display="https://vegconomist.com/cultivated-cell-cultured-biotechnology/fermentation/libre-foods-wins-grant-pioneer-low-cost-mycelium-meat-alternatives/?utm_source=foodtechweekly.beehiiv.com&amp;utm_medium=newsletter&amp;utm_campaign=foodtech-weekly-178-by-daniel-s-ruben"/>
    <hyperlink ref="N233" r:id="rId176" display="https://gtr.ukri.org/projects?ref=10062619"/>
    <hyperlink ref="N235" r:id="rId177" location="/project/2021-03612_Vinnova" display="https://www.vr.se/swecris.html#/project/2021-03612_Vinnova"/>
    <hyperlink ref="N236" r:id="rId178" display="https://gtr.ukri.org/projects?ref=10034876"/>
    <hyperlink ref="N241" r:id="rId179" display="https://foerderportal.bund.de/foekat/jsp/SucheAction.do?actionMode=view&amp;fkz=281A816A21"/>
    <hyperlink ref="N242" r:id="rId180" display="https://foerderportal.bund.de/foekat/jsp/SucheAction.do?actionMode=view&amp;fkz=281A804B21"/>
    <hyperlink ref="N247" r:id="rId181" display="https://gtr.ukri.org/projects?ref=10033703"/>
    <hyperlink ref="N250" r:id="rId182" display="https://www.vinnova.se/en/p/edgy-veggie-plant-based-meat/"/>
    <hyperlink ref="N251" r:id="rId183" location="/project/2023-02161_Vinnova" display="https://www.vr.se/swecris.html#/project/2023-02161_Vinnova"/>
    <hyperlink ref="N252" r:id="rId184" display="https://www.wur.nl/nl/nieuws/tien-veni-beurzen-voor-wur.htm"/>
    <hyperlink ref="N255" r:id="rId185" location="/project/2022-02122_Vinnova" display="https://www.vr.se/swecris.html#/project/2022-02122_Vinnova"/>
    <hyperlink ref="N256" r:id="rId186" location="/project/2023-02435_Vinnova" display="https://www.vr.se/swecris.html#/project/2023-02435_Vinnova"/>
    <hyperlink ref="N258" r:id="rId187" location="/project/2023-02049_Vinnova" display="https://www.vr.se/swecris.html#/project/2023-02049_Vinnova"/>
    <hyperlink ref="N262" r:id="rId188" location="/project/2021-03556_Vinnova" display="https://www.vr.se/english/swecris.html#/project/2021-03556_Vinnova"/>
    <hyperlink ref="N263" r:id="rId189" display="https://www.carlsbergfondet.dk/en/what-we-have-funded/cf22-1151/"/>
    <hyperlink ref="N267" r:id="rId190" display="https://gtr.ukri.org/projects?ref=10030074"/>
    <hyperlink ref="N268" r:id="rId191" display="https://www.vinnova.se/en/p/sustainable-hemp-innovations---from-waste-to-win/"/>
    <hyperlink ref="N271" r:id="rId192" display="https://www.vinnova.se/en/p/from-fields-to-shelves-locally-produced-and-processed-fava-beans-for-meat-and-dairy-analogues/"/>
    <hyperlink ref="N275" r:id="rId193" display="https://foerderportal.bund.de/foekat/jsp/SucheAction.do?actionMode=view&amp;fkz=281A807B21"/>
    <hyperlink ref="N276" r:id="rId194" display="https://gtr.ukri.org/projects?ref=10061661"/>
    <hyperlink ref="N280" r:id="rId195" display="https://foerderportal.bund.de/foekat/jsp/SucheAction.do?actionMode=view&amp;fkz=01IF23019N"/>
    <hyperlink ref="N281" r:id="rId196" display="https://www.ukri.org/news/uk-switzerland-collaborations-announced-for-emerging-technology-projects/"/>
    <hyperlink ref="N282" r:id="rId197" display="https://www.ukri.org/news/uk-switzerland-collaborations-announced-for-emerging-technology-projects/"/>
    <hyperlink ref="N284" r:id="rId198" display="https://www.fei-bonn.de/gefoerderte-projekte/projektdatenbank/aif-21325-n.projekt"/>
    <hyperlink ref="N285" r:id="rId199" display="https://foerderportal.bund.de/foekat/jsp/SucheAction.do?actionMode=view&amp;fkz=031B0835B"/>
    <hyperlink ref="N287" r:id="rId200" display="https://foerderportal.bund.de/foekat/jsp/SucheAction.do?actionMode=view&amp;fkz=01IF21340N"/>
    <hyperlink ref="N288" r:id="rId201" display="https://gtr.ukri.org/projects?ref=10072090"/>
    <hyperlink ref="N290" r:id="rId202" display="https://gtr.ukri.org/projects?ref=BB%2FW01923X%2F1"/>
    <hyperlink ref="N292" r:id="rId203" display="https://gtr.ukri.org/project/41249181-D241-4DD8-8A99-DFD59E83C742"/>
    <hyperlink ref="N293" r:id="rId204" display="https://foerderportal.bund.de/foekat/jsp/SucheAction.do?actionMode=view&amp;fkz=031B0835A"/>
    <hyperlink ref="N295" r:id="rId205" display="https://foerderportal.bund.de/foekat/jsp/SucheAction.do?actionMode=view&amp;fkz=281A803A21"/>
    <hyperlink ref="N297" r:id="rId206" display="https://thespoon.tech/novameat-gets-e250000-funding-from-spanish-govt-partners-with-culinary-gastronomy-all-star-team-from-disfrutar/"/>
    <hyperlink ref="N298" r:id="rId207" display="https://sciproj.ptcris.pt/175916PRJ"/>
    <hyperlink ref="N302" r:id="rId208" display="https://gtr.ukri.org/projects?ref=10058186"/>
    <hyperlink ref="N306" r:id="rId209" display="https://gtr.ukri.org/projects?ref=ES%2FY003667%2F1"/>
    <hyperlink ref="N308" r:id="rId210" display="https://gtr.ukri.org/projects?ref=10086903"/>
    <hyperlink ref="N310" r:id="rId211" display="https://cordis.europa.eu/project/id/101106463"/>
    <hyperlink ref="N324" r:id="rId212" display="https://cordis.europa.eu/project/id/101107486"/>
    <hyperlink ref="N325" r:id="rId213" display="https://gtr.ukri.org/projects?ref=10077731"/>
    <hyperlink ref="N327" r:id="rId214" location="/tabOverview" display="https://gtr.ukri.org/projects?ref=51577#/tabOverview"/>
    <hyperlink ref="N332" r:id="rId215" display="https://cordis.europa.eu/project/id/101062730"/>
    <hyperlink ref="N334" r:id="rId216" display="https://vegconomist.com/politics-law/czech-government-mewery-e200k-grant-cultivate-pork/"/>
    <hyperlink ref="N335" r:id="rId217" display="https://cordis.europa.eu/project/id/101105558"/>
    <hyperlink ref="N339" r:id="rId218" display="https://gtr.ukri.org/projects?ref=10009430"/>
    <hyperlink ref="N347" r:id="rId219" display="https://foerderportal.bund.de/foekat/jsp/SucheAction.do?actionMode=view&amp;fkz=281A805A21"/>
    <hyperlink ref="N356" r:id="rId220" display="https://gtr.ukri.org/projects?ref=10067076"/>
    <hyperlink ref="N360" r:id="rId221" display="https://pep4meat.com/"/>
    <hyperlink ref="AP360" r:id="rId222" display="https://fondzanauku.gov.rs/2023/11/promis-2023-supported-30-research-projects-for-young-researchers/?lang=en"/>
    <hyperlink ref="N361" r:id="rId223" display="https://info.ktponline.org.uk/action/details/partnership.aspx?id=13974"/>
    <hyperlink ref="N362" r:id="rId224" display="https://foerderportal.bund.de/foekat/jsp/SucheAction.do?actionMode=view&amp;fkz=281A804A21"/>
    <hyperlink ref="N364" r:id="rId225" display="https://gtr.ukri.org/projects?ref=512077"/>
    <hyperlink ref="N365" r:id="rId226" display="https://gtr.ukri.org/projects?ref=89876"/>
    <hyperlink ref="N366" r:id="rId227" display="https://foerderportal.bund.de/foekat/jsp/SucheAction.do?actionMode=view&amp;fkz=281A805C21"/>
    <hyperlink ref="N367" r:id="rId228" display="https://foerderportal.bund.de/foekat/jsp/SucheAction.do?actionMode=view&amp;fkz=281A811B21"/>
    <hyperlink ref="N368" r:id="rId229" display="https://gtr.ukri.org/projects?ref=89176"/>
    <hyperlink ref="N370" r:id="rId230" display="https://foerderportal.bund.de/foekat/jsp/SucheAction.do?actionMode=view&amp;fkz=281A802C21"/>
    <hyperlink ref="N372" r:id="rId231" display="https://gtr.ukri.org/projects?ref=studentship-2725958"/>
    <hyperlink ref="N373" r:id="rId232" display="https://gtr.ukri.org/projects?ref=studentship-2733838"/>
    <hyperlink ref="N374" r:id="rId233" display="https://gtr.ukri.org/projects?ref=studentship-2745746"/>
    <hyperlink ref="N375" r:id="rId234" display="https://gtr.ukri.org/projects?ref=studentship-2669969"/>
    <hyperlink ref="N376" r:id="rId235" display="https://gtr.ukri.org/projects?ref=studentship-2743988"/>
    <hyperlink ref="N377" r:id="rId236" display="https://gtr.ukri.org/projects?ref=studentship-2747870"/>
    <hyperlink ref="N378" r:id="rId237" display="https://gtr.ukri.org/projects?ref=studentship-2441223"/>
    <hyperlink ref="N379" r:id="rId238" display="https://gtr.ukri.org/projects?ref=studentship-2749680"/>
    <hyperlink ref="N380" r:id="rId239" display="https://gtr.ukri.org/projects?ref=studentship-2506051"/>
    <hyperlink ref="N381" r:id="rId240" display="https://gtr.ukri.org/projects?ref=studentship-2725955"/>
    <hyperlink ref="N382" r:id="rId241" display="https://gtr.ukri.org/projects?ref=studentship-2602076"/>
    <hyperlink ref="N383" r:id="rId242" display="https://gtr.ukri.org/projects?ref=studentship-2742212"/>
    <hyperlink ref="N384" r:id="rId243" display="https://gtr.ukri.org/projects?ref=studentship-2594259"/>
    <hyperlink ref="N385" r:id="rId244" display="https://gtr.ukri.org/projects?ref=studentship-2628791"/>
    <hyperlink ref="N386" r:id="rId245" display="https://gtr.ukri.org/projects?ref=studentship-2644513"/>
    <hyperlink ref="N387" r:id="rId246" display="https://gtr.ukri.org/projects?ref=studentship-2745877"/>
    <hyperlink ref="N388" r:id="rId247" display="https://gtr.ukri.org/projects?ref=studentship-2898720"/>
    <hyperlink ref="N389" r:id="rId248" display="https://gtr.ukri.org/projects?ref=studentship-2878037"/>
    <hyperlink ref="N390" r:id="rId249" display="https://gtr.ukri.org/projects?ref=studentship-2748055"/>
    <hyperlink ref="N391" r:id="rId250" display="https://gtr.ukri.org/projects?ref=studentship-2886049"/>
    <hyperlink ref="N392" r:id="rId251" display="https://gtr.ukri.org/projects?ref=studentship-2889902"/>
    <hyperlink ref="N393" r:id="rId252" display="https://gtr.ukri.org/projects?ref=NC%2FY500604%2F1"/>
    <hyperlink ref="N394" r:id="rId253" display="https://gtr.ukri.org/projects?ref=studentship-2886145"/>
    <hyperlink ref="N395" r:id="rId254" display="https://gtr.ukri.org/projects?ref=studentship-2746407"/>
    <hyperlink ref="N396" r:id="rId255" display="https://gtr.ukri.org/projects?ref=studentship-2886464"/>
    <hyperlink ref="N397" r:id="rId256" display="https://gtr.ukri.org/projects?ref=studentship-2747962"/>
    <hyperlink ref="N398" r:id="rId257" display="https://gtr.ukri.org/projects?ref=studentship-2888035"/>
    <hyperlink ref="N399" r:id="rId258" display="https://gtr.ukri.org/projects?ref=studentship-2570538"/>
    <hyperlink ref="N400" r:id="rId259" display="https://gtr.ukri.org/projects?ref=studentship-2887956"/>
    <hyperlink ref="N401" r:id="rId260" display="https://gtr.ukri.org/project/A6436C3B-E6F5-4E25-A726-B8EB6108FCFF"/>
    <hyperlink ref="N403" r:id="rId261" display="https://foerderportal.bund.de/foekat/jsp/SucheAction.do?actionMode=view&amp;fkz=281A811D21"/>
    <hyperlink ref="N404" r:id="rId262" display="https://gtr.ukri.org/projects?ref=84687"/>
    <hyperlink ref="N405" r:id="rId263" display="https://gtr.ukri.org/projects?ref=85563"/>
    <hyperlink ref="N406" r:id="rId264" display="https://gtr.ukri.org/projects?ref=84594"/>
    <hyperlink ref="N407" r:id="rId265" display="https://gtr.ukri.org/projects?ref=studentship-2602606"/>
    <hyperlink ref="N408" r:id="rId266" display="https://gtr.ukri.org/projects?ref=studentship-2547521"/>
    <hyperlink ref="N409" r:id="rId267" display="https://gtr.ukri.org/projects?ref=studentship-2437214"/>
    <hyperlink ref="N410" r:id="rId268" display="https://gtr.ukri.org/projects?ref=studentship-2604202"/>
    <hyperlink ref="N411" r:id="rId269" location="/tabOverview" display="https://gtr.ukri.org/projects?ref=studentship-2499941#/tabOverview"/>
    <hyperlink ref="N412" r:id="rId270" display="https://gtr.ukri.org/projects?ref=studentship-2593581"/>
    <hyperlink ref="N414" r:id="rId271" display="https://eu-cap-network.ec.europa.eu/projects/pre-project-product-development-innovative-and-sustainable-organic-plant-based-drinks-oats_en"/>
    <hyperlink ref="N415" r:id="rId272" display="https://gtr.ukri.org/projects?ref=ES%2FY01040X%2F1"/>
    <hyperlink ref="N416" r:id="rId273" display="https://gfieurope.org/blog/algae-and-tobacco-plant-researchers-among-winners-of-e400000-prize-to-commercialise-cultivated-meat/"/>
    <hyperlink ref="N417" r:id="rId274" display="https://gfieurope.org/blog/algae-and-tobacco-plant-researchers-among-winners-of-e400000-prize-to-commercialise-cultivated-meat/"/>
    <hyperlink ref="N418" r:id="rId275" display="https://gfieurope.org/blog/algae-and-tobacco-plant-researchers-among-winners-of-e400000-prize-to-commercialise-cultivated-meat/"/>
    <hyperlink ref="N419" r:id="rId276" display="https://gfieurope.org/blog/algae-and-tobacco-plant-researchers-among-winners-of-e400000-prize-to-commercialise-cultivated-meat/"/>
    <hyperlink ref="N422" r:id="rId277" display="https://gtr.ukri.org/projects?ref=10108143"/>
    <hyperlink ref="N423" r:id="rId278" display="https://gtr.ukri.org/projects?ref=ES%2FX006735%2F1"/>
    <hyperlink ref="N425" r:id="rId279" display="https://foerderportal.bund.de/foekat/jsp/SucheAction.do?actionMode=view&amp;fkz=281A807C21"/>
    <hyperlink ref="N428" r:id="rId280" display="https://foerderportal.bund.de/foekat/jsp/SucheAction.do?actionMode=view&amp;fkz=281A603F19"/>
    <hyperlink ref="N430" r:id="rId281" display="https://foerderportal.bund.de/foekat/jsp/SucheAction.do?actionMode=view&amp;fkz=281A805D21"/>
    <hyperlink ref="N433" r:id="rId282" display="https://www.realdealmilk.com/ournews/real-deal-milk-wins-grant"/>
    <hyperlink ref="N436" r:id="rId283" location="/tabOverview" display="https://gtr.ukri.org/projects?ref=studentship-2445126#/tabOverview"/>
    <hyperlink ref="N437" r:id="rId284" display="https://foerderportal.bund.de/foekat/jsp/SucheAction.do?actionMode=view&amp;fkz=281A803B21"/>
    <hyperlink ref="N438" r:id="rId285" display="https://gtr.ukri.org/projects?ref=84835"/>
    <hyperlink ref="N442" r:id="rId286" display="https://gtr.ukri.org/projects?ref=86899"/>
    <hyperlink ref="N444" r:id="rId287" display="https://gtr.ukri.org/projects?ref=10050215"/>
    <hyperlink ref="N445" r:id="rId288" display="https://gtr.ukri.org/projects?ref=10024699"/>
    <hyperlink ref="N447" r:id="rId289" display="https://gtr.ukri.org/projects?ref=10044539"/>
    <hyperlink ref="N449" r:id="rId290" display="https://gtr.ukri.org/projects?ref=10042925"/>
    <hyperlink ref="N451" r:id="rId291" display="https://gtr.ukri.org/projects?ref=10044673"/>
    <hyperlink ref="N452" r:id="rId292" display="https://gtr.ukri.org/projects?ref=10044330"/>
    <hyperlink ref="N455" r:id="rId293" display="https://gtr.ukri.org:443/projects?ref=58496"/>
    <hyperlink ref="N456" r:id="rId294" display="https://gtr.ukri.org/projects?ref=10043374"/>
    <hyperlink ref="N457" r:id="rId295" display="https://foerderportal.bund.de/foekat/jsp/SucheAction.do?actionMode=view&amp;fkz=281A804C21"/>
    <hyperlink ref="N458" r:id="rId296" display="https://foerderportal.bund.de/foekat/jsp/SucheAction.do?actionMode=view&amp;fkz=281A805B21"/>
    <hyperlink ref="N459" r:id="rId297" display="https://gtr.ukri.org/projects?ref=BB%2FV018094%2F1"/>
    <hyperlink ref="N460" r:id="rId298" display="https://www.linkedin.com/feed/update/urn:li:activity:7013096423403454464/"/>
    <hyperlink ref="N461" r:id="rId299" display="https://interreg-baltic.eu/project/balt-pro/"/>
    <hyperlink ref="N462" r:id="rId300" display="https://gtr.ukri.org/projects?ref=10074091"/>
    <hyperlink ref="N463" r:id="rId301" display="https://www.vinnova.se/en/p/yeast--the-protein-source-of-the-future/"/>
    <hyperlink ref="N464" r:id="rId302" display="https://gtr.ukri.org/projects?ref=10076364"/>
    <hyperlink ref="N466" r:id="rId303" location="/project/2021-03597_Vinnova" display="https://www.vr.se/english/swecris.html#/project/2021-03597_Vinnova"/>
    <hyperlink ref="N467" r:id="rId304" display="https://foerderportal.bund.de/foekat/jsp/SucheAction.do?actionMode=view&amp;fkz=281A816C21"/>
    <hyperlink ref="N468" r:id="rId305" display="https://foerderportal.bund.de/foekat/jsp/SucheAction.do?actionMode=view&amp;fkz=281A816B21"/>
    <hyperlink ref="N471" r:id="rId306" display="https://research.fi/en/results/funding/70438"/>
    <hyperlink ref="N472" r:id="rId307" display="https://research.fi/en/results/funding/26483"/>
    <hyperlink ref="N473" r:id="rId308" display="https://gtr.ukri.org/projects?ref=10022593"/>
    <hyperlink ref="N474" r:id="rId309" display="https://gtr.ukri.org/projects?ref=74918"/>
    <hyperlink ref="N475" r:id="rId310" display="https://foerderportal.bund.de/foekat/jsp/SucheAction.do?actionMode=view&amp;fkz=281A402417"/>
    <hyperlink ref="N476" r:id="rId311" display="https://gtr.ukri.org/projects?ref=10039696"/>
    <hyperlink ref="N478" r:id="rId312" display="https://gtr.ukri.org/projects?ref=10020396"/>
    <hyperlink ref="N481" r:id="rId313" display="https://www.rabobank.com/nl/press/search/2020/rival-foods-susphos-en-bilihome-winnen-rabo-duurzame-innovatieprijs-2020.html"/>
    <hyperlink ref="N483" r:id="rId314" display="https://www.aramis.admin.ch/Grunddaten/?ProjectID=53530&amp;Sprache=en-US"/>
    <hyperlink ref="N486" r:id="rId315" display="https://foerderportal.bund.de/foekat/jsp/SucheAction.do?actionMode=view&amp;fkz=281A811C21"/>
    <hyperlink ref="N489" r:id="rId316" display="https://foerderportal.bund.de/foekat/jsp/SucheAction.do?actionMode=view&amp;fkz=281A402617"/>
    <hyperlink ref="N490" r:id="rId317" display="https://foerderportal.bund.de/foekat/jsp/SucheAction.do?actionMode=view&amp;fkz=281A402317"/>
    <hyperlink ref="N491" r:id="rId318" display="https://www.luke.fi/en/projects/nurmiproteiini"/>
    <hyperlink ref="N492" r:id="rId319" display="https://www.ruokavirasto.fi/en/vegeturva"/>
    <hyperlink ref="N493" r:id="rId320" display="https://cris.vtt.fi/en/projects/protein-quality-of-plant-cell-cultures-in-relation-to-digestive-p"/>
    <hyperlink ref="N494" r:id="rId321" display="https://www.nri.org/latest/news/2022/upcycling-food-waste-for-innovative-plant-based-meat-and-dairy-alternatives"/>
    <hyperlink ref="N495" r:id="rId322" display="https://www.cnr.it/en/research-projects/project/45495/funtomp-functionalized-tomato-products-dba-ad005-205"/>
    <hyperlink ref="N496" r:id="rId323" display="https://gepris.dfg.de/gepris/projekt/465588286?language=en"/>
    <hyperlink ref="N497" r:id="rId324" display="https://projekte.ffg.at/projekt/5120938"/>
    <hyperlink ref="N499" r:id="rId325" display="https://gtr.ukri.org/projects?ref=studentship-2573007"/>
    <hyperlink ref="N500" r:id="rId326" display="https://gtr.ukri.org/projects?ref=studentship-2666143"/>
    <hyperlink ref="N501" r:id="rId327" display="https://search.trdizin.gov.tr/yayin/detay/621930/bir-gida-atigi-olarak-domates-cekirdegindenkatma-degeri-yuksek-biyoaktif-gida-bilesenlerielde-edilmesi-karakterizasyonu-ve-fonksiyonelozelliklerinin-belirlenmesi"/>
    <hyperlink ref="N502" r:id="rId328" display="https://www.nwo.nl/en/projects/nwa129219302"/>
    <hyperlink ref="N503" r:id="rId329" display="https://www.nwo.nl/en/projects/kiemvrij04168"/>
    <hyperlink ref="N504" r:id="rId330" display="https://www.nwo.nl/en/projects/kiemvrij04137"/>
    <hyperlink ref="N505" r:id="rId331" display="https://www.nwo.nl/en/projects/kiemk2001084"/>
    <hyperlink ref="N506" r:id="rId332" display="https://projekte.ffg.at/projekt/4809622"/>
    <hyperlink ref="N507" r:id="rId333" display="https://igf.aif.de/innovationsfoerderung/industrielle-gemeinschaftsforschung/igf-steckbrief.php?id=25588&amp;suchtext="/>
    <hyperlink ref="N508" r:id="rId334" display="https://gtr.ukri.org/projects?ref=studentship-2432083"/>
    <hyperlink ref="N509" r:id="rId335" display="https://projekte.ffg.at/projekt/4695468"/>
    <hyperlink ref="N510" r:id="rId336" display="https://www.cnr.it/en/research-projects/project/40716/innovazione-nel-campo-dei-functional-foods-e-della-nutraceutica-per-migliorare-la-salute-ed-il-benessere-del-consumatore-con-sinergia-tra-ricerca-e-azienda-dsb-ad006-290"/>
    <hyperlink ref="N511" r:id="rId337" display="https://projekte.ffg.at/projekt/5031027"/>
    <hyperlink ref="N512" r:id="rId338" display="https://search.trdizin.gov.tr/yayin/detay/622132/fermente-sut-urunleri-uretiminde-kestane-sutu-kullanim-olanaklarinin-arastirilmasi"/>
    <hyperlink ref="N513" r:id="rId339" display="https://gepris.dfg.de/gepris/projekt/465450389?language=en"/>
    <hyperlink ref="N514" r:id="rId340" display="https://igf.aif.de/innovationsfoerderung/industrielle-gemeinschaftsforschung/igf-steckbrief.php?id=24514&amp;suchtext="/>
    <hyperlink ref="N515" r:id="rId341" display="https://gtr.ukri.org/projects?ref=studentship-2746491"/>
    <hyperlink ref="N516" r:id="rId342" display="https://projekte.ffg.at/projekt/4851371"/>
    <hyperlink ref="N517" r:id="rId343" display="https://gtr.ukri.org/projects?ref=studentship-2685518"/>
    <hyperlink ref="N518" r:id="rId344" display="https://www.nwo.nl/en/projects/023019042"/>
    <hyperlink ref="N519" r:id="rId345" display="https://www.saludcastillayleon.es/sanidad/cm/investigacion/tkContent?idContent=1465000&amp;locale=es_ES"/>
    <hyperlink ref="N520" r:id="rId346" display="http://www.rscf.ru/en/enprjcard?rid=20-66-47017"/>
    <hyperlink ref="N521" r:id="rId347" display="https://projekte.ffg.at/projekt/4856653"/>
    <hyperlink ref="N523" r:id="rId348" display="https://gtr.ukri.org/projects?ref=studentship-2826717"/>
    <hyperlink ref="N524" r:id="rId349" display="https://www.nwo.nl/en/projects/hbopd201805007"/>
    <hyperlink ref="N525" r:id="rId350" display="https://igf.aif.de/innovationsfoerderung/industrielle-gemeinschaftsforschung/igf-steckbrief.php?id=25191&amp;suchtext="/>
    <hyperlink ref="N526" r:id="rId351" display="https://igf.aif.de/innovationsfoerderung/industrielle-gemeinschaftsforschung/igf-steckbrief.php?id=24350&amp;suchtext="/>
    <hyperlink ref="N527" r:id="rId352" display="https://www.esa.int/Enabling_Support/Preparing_for_the_Future/Discovery_and_Preparation/On_the_road_to_cultured_meat_for_astronauts_and_Earthlings"/>
    <hyperlink ref="N528" r:id="rId353" display="https://www.esa.int/Enabling_Support/Preparing_for_the_Future/Discovery_and_Preparation/On_the_road_to_cultured_meat_for_astronauts_and_Earthlings"/>
    <hyperlink ref="N529" r:id="rId354" display="https://www.luke.fi/en/projects/diversiprot"/>
    <hyperlink ref="N530" r:id="rId355" display="https://www.consortiums.eu/articles/eu-consortium-to-develop-bio-purification-techniques-based-on-fermentation"/>
    <hyperlink ref="N531" r:id="rId356" display="https://www.belspo.be/belspo/invent/dproj.asp?l=en&amp;inst=KU%20Leuven&amp;code=9c00e7b4-8acf-469b-9cec-34f18208fa6f&amp;hi=meat%20analogues%20OR%20vegan%20meat%20OR%20plant-based%20protein"/>
    <hyperlink ref="N532" r:id="rId357" display="https://www.belspo.be/belspo/invent/dproj.asp?l=en&amp;inst=KU%20Leuven&amp;code=5c815b68-13e0-43ae-a30a-8d03b6898cb1&amp;hi=Egg%20replacement%20OR%20Cultivated%20meat%20OR%20Cultured%20meat"/>
    <hyperlink ref="N533" r:id="rId358" display="https://www.belspo.be/belspo/invent/dproj.asp?l=en&amp;inst=KU%20Leuven&amp;code=15361370-8f65-462a-acd5-8a122636e9bc&amp;hi=meat%20analogues%20OR%20vegan%20meat%20OR%20plant-based%20protein"/>
    <hyperlink ref="N534" r:id="rId359" display="https://www.belspo.be/belspo/invent/dproj.asp?l=en&amp;inst=UGent&amp;code=31eaea8a-9658-4b73-8a26-158772d0fb2e&amp;hi=Egg%20replacement%20OR%20Cultivated%20meat%20OR%20Cultured%20meat"/>
    <hyperlink ref="N535" r:id="rId360" display="https://www.belspo.be/belspo/invent/dproj.asp?l=en&amp;inst=UAntwerpen&amp;code=fac070de-8b97-4ca3-91ba-22c9b9edbea3&amp;hi=sustainable%20protein%20OR%20alternative%20protein%20OR%20novel%20protein%20sources"/>
    <hyperlink ref="N536" r:id="rId361" display="https://www.belspo.be/belspo/invent/dproj.asp?l=en&amp;inst=KU%20Leuven&amp;code=d5fa67c9-efd7-4697-a955-33591f9217be&amp;hi=insect%20protein%20OR%20fake%20meat%20OR%20meat%20substitutes"/>
    <hyperlink ref="N537" r:id="rId362" display="https://www.belspo.be/belspo/invent/dproj.asp?l=en&amp;inst=KU%20Leuven&amp;code=5e492b6e-a3ca-4fe1-886d-61139dfd7a99&amp;hi=insect%20protein%20OR%20fake%20meat%20OR%20meat%20substitutes"/>
    <hyperlink ref="N538" r:id="rId363" display="https://research.chalmers.se/en/project/11020"/>
    <hyperlink ref="N539" r:id="rId364" display="https://www.aramis.admin.ch/Texte/?ProjectID=47720"/>
    <hyperlink ref="N541" r:id="rId365" display="https://research.kuleuven.be/portal/en/project/3E200763"/>
    <hyperlink ref="N542" r:id="rId366" display="https://research.ugent.be/web/result/project/d3b6899f-0fb3-11eb-89fc-81e15036b2fa/details/en"/>
    <hyperlink ref="N544" r:id="rId367" display="https://research.kuleuven.be/portal/en/project/3E200944"/>
    <hyperlink ref="N545" r:id="rId368" display="https://www.nwo.nl/en/projects/gochkiemkgc02043"/>
    <hyperlink ref="N549" r:id="rId369" display="https://www.nwo.nl/en/projects/ocenwxl21xl21007"/>
    <hyperlink ref="N552" r:id="rId370" display="https://www.nwo.nl/en/projects/20759"/>
    <hyperlink ref="N558" r:id="rId371" display="https://research.kuleuven.be/portal/en/project/3M210158"/>
    <hyperlink ref="N560" r:id="rId372" display="https://www.nwo.nl/en/projects/ocenwxs222193"/>
    <hyperlink ref="N573" r:id="rId373" location="fundingprogramme" display="https://www.fisaonline.de/en/find-projects/research-projects-by-subject/details/?tx_fisaresearch_projects%5Baction%5D=projectDetails&amp;tx_fisaresearch_projects%5Bcontroller%5D=Projects&amp;tx_fisaresearch_projects%5Bp_id%5D=15956&amp;cHash=55d3e4f173ef3dbf33b01715c35151f4#fundingprogramme"/>
    <hyperlink ref="N575" r:id="rId374" display="https://research.kuleuven.be/portal/en/project/3E210285"/>
    <hyperlink ref="N577" r:id="rId375" display="https://bluepartnership.eu/projects/functional-processing-cultivated-seaweeds-novel-food-products"/>
    <hyperlink ref="N578" r:id="rId376" display="https://service.ble.de/ptdb/index2.php?detail_id=92708924&amp;ssk=5123229d68&amp;site_key=293&amp;zeilenzahl_zaehler=2683&amp;NextRow=1700"/>
    <hyperlink ref="N579" r:id="rId377" display="https://prosjektbanken.forskningsradet.no/en/project/FORISS/314318"/>
    <hyperlink ref="N580" r:id="rId378" display="https://en.cellulaireagricultuur.nl/news"/>
    <hyperlink ref="N582" r:id="rId379" display="https://eic.ec.europa.eu/system/files/2023-12/EIC-workprogramme-2024.pdf"/>
    <hyperlink ref="AP582" r:id="rId380" display="https://eic.ec.europa.eu/system/files/2023-12/EIC-workprogramme-2024.pdf"/>
    <hyperlink ref="N584" r:id="rId381" display="https://cordis.europa.eu/project/id/635727"/>
    <hyperlink ref="N585" r:id="rId382" location="/project/2018-01846_Formas" display="https://www.vr.se/swecris.html#/project/2018-01846_Formas"/>
    <hyperlink ref="N586" r:id="rId383" location="/project/2018-01869_Formas" display="https://www.vr.se/swecris.html#/project/2018-01869_Formas"/>
    <hyperlink ref="N587" r:id="rId384" display="https://prosjektbanken.forskningsradet.no/en/project/FORISS/317864"/>
    <hyperlink ref="N588" r:id="rId385" location="/project/2022-02404_Formas" display="https://www.vr.se/swecris.html#/project/2022-02404_Formas"/>
    <hyperlink ref="N589" r:id="rId386" display="https://cordis.europa.eu/project/id/101186662"/>
    <hyperlink ref="N590" r:id="rId387" location="/project/2022-01910_Formas" display="https://www.vr.se/swecris.html#/project/2022-01910_Formas"/>
    <hyperlink ref="N591" r:id="rId388" display="https://prosjektbanken.forskningsradet.no/en/project/FORISS/332243"/>
    <hyperlink ref="N592" r:id="rId389" display="https://cordis.europa.eu/project/id/887259"/>
    <hyperlink ref="N593" r:id="rId390" display="https://cordis.europa.eu/project/id/101180399"/>
    <hyperlink ref="N594" r:id="rId391" display="https://prosjektbanken.forskningsradet.no/en/project/FORISS/333879"/>
    <hyperlink ref="N595" r:id="rId392" display="https://cordis.europa.eu/project/id/101181822"/>
    <hyperlink ref="N596" r:id="rId393" display="https://cordis.europa.eu/project/id/101181661"/>
    <hyperlink ref="N597" r:id="rId394" location="/project/2018-01867_Formas" display="https://www.vr.se/swecris.html#/project/2018-01867_Formas"/>
    <hyperlink ref="N598" r:id="rId395" location="/project/2023-02041_Formas" display="https://www.vr.se/swecris.html#/project/2023-02041_Formas"/>
    <hyperlink ref="N600" r:id="rId396" location="/project/2020-00861_Formas" display="https://www.vr.se/swecris.html#/project/2020-00861_Formas"/>
    <hyperlink ref="N602" r:id="rId397" display="https://prosjektbanken.forskningsradet.no/en/project/FORISS/351740"/>
    <hyperlink ref="N603" r:id="rId398" location="/project/2022-02589_Vinnova" display="https://www.vr.se/swecris.html#/project/2022-02589_Vinnova"/>
    <hyperlink ref="N604" r:id="rId399" display="https://data.snf.ch/grants/grant/216727"/>
    <hyperlink ref="N606" r:id="rId400" display="https://cordis.europa.eu/project/id/101165614"/>
    <hyperlink ref="N607" r:id="rId401" display="https://cordis.europa.eu/project/id/190118690"/>
    <hyperlink ref="N609" r:id="rId402" location="/project/2017-02715_Vinnova" display="https://www.vr.se/swecris.html#/project/2017-02715_Vinnova"/>
    <hyperlink ref="N610" r:id="rId403" display="https://cordis.europa.eu/project/id/101182843"/>
    <hyperlink ref="N612" r:id="rId404" location="/project/2019-02025_Formas" display="https://www.vr.se/swecris.html#/project/2019-02025_Formas"/>
    <hyperlink ref="N613" r:id="rId405" display="https://gtr.ukri.org/projects?ref=103919"/>
    <hyperlink ref="BG614" r:id="rId406" display="https://docs.google.com/document/d/12Hw1wlumvULUfj2jdoEKGMXu-89LUtv3/edit?usp=sharing&amp;ouid=112921949693677010543&amp;rtpof=true&amp;sd=true"/>
    <hyperlink ref="N616" r:id="rId407" display="https://gtr.ukri.org/projects?ref=10046667"/>
    <hyperlink ref="N617" r:id="rId408" display="https://gtr.ukri.org/projects?ref=10050842"/>
    <hyperlink ref="N618" r:id="rId409" display="https://www.aramis.admin.ch/Grunddaten/?ProjectID=44477&amp;Sprache=en-US"/>
    <hyperlink ref="N619" r:id="rId410" location="/project/2016-02364_Vinnova" display="https://www.vr.se/swecris.html#/project/2016-02364_Vinnova"/>
    <hyperlink ref="N620" r:id="rId411" display="https://gtr.ukri.org/projects?ref=10087096"/>
    <hyperlink ref="N621" r:id="rId412" display="https://gtr.ukri.org/projects?ref=10077804"/>
    <hyperlink ref="N622" r:id="rId413" display="https://gtr.ukri.org/projects?ref=10048301"/>
    <hyperlink ref="N623" r:id="rId414" display="https://gtr.ukri.org/projects?ref=10072164"/>
    <hyperlink ref="N624" r:id="rId415" display="https://gtr.ukri.org/projects?ref=10073775"/>
    <hyperlink ref="N625" r:id="rId416" display="https://www.aramis.admin.ch/Grunddaten/?ProjectID=51743&amp;Sprache=en-US"/>
    <hyperlink ref="N626" r:id="rId417" location="/project/2021-03603_Vinnova" display="https://www.vr.se/swecris.html#/project/2021-03603_Vinnova"/>
    <hyperlink ref="N627" r:id="rId418" display="https://apply-for-innovation-funding.service.gov.uk/competition/96/overview"/>
    <hyperlink ref="BG627" r:id="rId419" display="https://drive.google.com/file/d/1ScnuxnJWWCv56GU678LzHMpJFkn_xzQY/view?usp=share_link"/>
    <hyperlink ref="N628" r:id="rId420" display="https://data.snf.ch/grants/grant/214584"/>
    <hyperlink ref="N629" r:id="rId421" display="https://cordis.europa.eu/project/id/101105437"/>
    <hyperlink ref="N630" r:id="rId422" display="https://data.snf.ch/grants/grant/211790"/>
    <hyperlink ref="N631" r:id="rId423" display="https://cordis.europa.eu/project/id/101151048"/>
    <hyperlink ref="N633" r:id="rId424" display="https://gtr.ukri.org/projects?ref=10074253"/>
    <hyperlink ref="N634" r:id="rId425" display="https://gtr.ukri.org/projects?ref=studentship-2746272"/>
    <hyperlink ref="N635" r:id="rId426" display="https://gtr.ukri.org/projects?ref=studentship-2906648"/>
    <hyperlink ref="N636" r:id="rId427" display="https://gtr.ukri.org/projects?ref=studentship-2284055"/>
    <hyperlink ref="N637" r:id="rId428" display="https://gtr.ukri.org/projects?ref=10108649"/>
    <hyperlink ref="N638" r:id="rId429" display="https://gtr.ukri.org/projects?ref=131916"/>
    <hyperlink ref="N639" r:id="rId430" display="https://cordis.europa.eu/project/id/101114558"/>
    <hyperlink ref="N640" r:id="rId431" display="https://cordis.europa.eu/project/id/816210"/>
    <hyperlink ref="N641" r:id="rId432" display="https://gtr.ukri.org/projects?ref=10072768"/>
    <hyperlink ref="N642" r:id="rId433" display="https://prosjektbanken.forskningsradet.no/en/project/FORISS/353737"/>
    <hyperlink ref="N643" r:id="rId434" display="https://gtr.ukri.org/projects?ref=10074042"/>
    <hyperlink ref="N644" r:id="rId435" display="https://gtr.ukri.org/projects?ref=10075312"/>
    <hyperlink ref="N645" r:id="rId436" display="https://gtr.ukri.org/projects?ref=studentship-2596703"/>
    <hyperlink ref="N646" r:id="rId437" display="https://gtr.ukri.org/projects?ref=studentship-2568599"/>
    <hyperlink ref="N648" r:id="rId438" display="https://gtr.ukri.org/projects?ref=studentship-2756416"/>
    <hyperlink ref="N649" r:id="rId439" display="https://gtr.ukri.org/projects?ref=studentship-2912492"/>
    <hyperlink ref="N650" r:id="rId440" display="https://gtr.ukri.org/projects?ref=studentship-2885034"/>
    <hyperlink ref="N651" r:id="rId441" display="https://research-and-innovation.ec.europa.eu/funding/funding-opportunities/funding-programmes-and-open-calls/horizon-2020_en"/>
    <hyperlink ref="BG651" r:id="rId442" display="https://docs.google.com/document/d/1V-O-NnxebDU6O0fRbTqQD5j97jil5__gf1pylexwm9k/edit?usp=sharing"/>
    <hyperlink ref="N652" r:id="rId443" display="https://ec.europa.eu/info/funding-tenders/opportunities/portal/screen/opportunities/topic-details/innosup-01-2018-2020"/>
    <hyperlink ref="BG652" r:id="rId444" display="https://docs.google.com/document/d/1q9QVbOYVPi6c4frYPaV6LFURNwoDuerjqlnRKyTDZ_s/edit?usp=sharing"/>
    <hyperlink ref="N653" r:id="rId445" display="https://research-and-innovation.ec.europa.eu/funding/funding-opportunities/funding-programmes-and-open-calls/horizon-2020_en"/>
    <hyperlink ref="BG653" r:id="rId446" display="https://docs.google.com/document/d/1IJSgRsrOQaALidKXY3U8th-8-858gggytA4yEmY-9Nc/edit?usp=sharing"/>
    <hyperlink ref="BG654" r:id="rId447" display="https://docs.google.com/document/d/1Oj9aQexkb3EGzQhhJ7SH4zDQhfCYr-JiCQj-lfNnqZ0/edit?usp=sharing"/>
    <hyperlink ref="BG655" r:id="rId448" display="https://docs.google.com/document/d/1ZfLBq6QdTqwlWfVbevqHKGM_eKuvIwmR-E_O3uKchKI/edit?usp=sharing"/>
    <hyperlink ref="N656" r:id="rId449" display="https://ec.europa.eu/info/funding-tenders/opportunities/portal/screen/opportunities/topic-details/horizon-cl4-2021-digital-emerging-01-13;callCode=null;freeTextSearchKeyword=;matchWholeText=true;typeCodes=1;statusCodes=31094503;programmePeriod=2021%20-%202027;programCcm2Id=43108390;programDivisionCode=null;focusAreaCode=null;destinationGroup=null;missionGroup=null;geographicalZonesCode=null;programmeDivisionProspect=null;startDateLte=null;startDateGte=null;crossCuttingPriorityCode=null;cpvCode=null;performanceOfDelivery=null;sortQuery=deadlineDate;orderBy=desc;onlyTenders=false;topicListKey=topicSearchTablePageState"/>
    <hyperlink ref="BG656" r:id="rId450" display="https://docs.google.com/document/d/1Wi3WDEGMV5QgP_nsbljwVfOgDsWYZUwQ3CgAajTftU4/edit?usp=sharing"/>
    <hyperlink ref="AP657" r:id="rId451" display="https://apply-for-innovation-funding.service.gov.uk/competition/1415/overview/ea580f20-6c68-4784-89b1-29ea076fdb3d"/>
    <hyperlink ref="N658" r:id="rId452" display="https://www.ivv.fraunhofer.de/en/food/future-proteins.html"/>
    <hyperlink ref="N659" r:id="rId453" display="https://www.eitfood.eu/projects/taste2meat"/>
    <hyperlink ref="N660" r:id="rId454" display="https://www.nwo.nl/en/projects/ocenwxs242078"/>
    <hyperlink ref="N661" r:id="rId455" display="https://gtr.ukri.org/projects?ref=studentship-2854398"/>
    <hyperlink ref="N662" r:id="rId456" display="https://cordis.europa.eu/project/id/101181982"/>
    <hyperlink ref="N663" r:id="rId457" location="/project/2024-04273_VR" display="https://www.vr.se/swecris.html#/project/2024-04273_VR"/>
    <hyperlink ref="N664" r:id="rId458" display="https://gtr.ukri.org/projects?ref=10131349"/>
    <hyperlink ref="N665" r:id="rId459" location="/project/2024-02052_Vinnova" display="https://www.vr.se/swecris.html#/project/2024-02052_Vinnova"/>
    <hyperlink ref="N666" r:id="rId460" display="https://gtr.ukri.org/projects?ref=10086928"/>
    <hyperlink ref="N667" r:id="rId461" display="https://gtr.ukri.org/projects?ref=10087261"/>
    <hyperlink ref="N668" r:id="rId462" display="https://gtr.ukri.org/projects?ref=BB%2FY513568%2F1"/>
    <hyperlink ref="N669" r:id="rId463" display="https://gtr.ukri.org/projects?ref=BB%2FY513556%2F1"/>
    <hyperlink ref="N670" r:id="rId464" display="https://gtr.ukri.org/projects?ref=10073346"/>
    <hyperlink ref="N671" r:id="rId465" display="https://cordis.europa.eu/project/id/101150806"/>
    <hyperlink ref="N672" r:id="rId466" location="/project/2024-01022_Formas" display="https://www.vr.se/swecris.html#/project/2024-01022_Formas"/>
    <hyperlink ref="N673" r:id="rId467" display="https://cordis.europa.eu/project/id/101188773"/>
    <hyperlink ref="N674" r:id="rId468" display="https://cordis.europa.eu/project/id/101188965"/>
    <hyperlink ref="N675" r:id="rId469" location="/project/2024-01020_Formas" display="https://www.vr.se/swecris.html#/project/2024-01020_Formas"/>
    <hyperlink ref="N676" r:id="rId470" display="https://cordis.europa.eu/project/id/101182324"/>
    <hyperlink ref="N677" r:id="rId471" display="https://cordis.europa.eu/project/id/101060607"/>
    <hyperlink ref="N678" r:id="rId472" display="https://gepris.dfg.de/gepris/projekt/555001364?context=projekt&amp;task=showDetail&amp;id=555001364&amp;"/>
    <hyperlink ref="N679" r:id="rId473" location="/project/2024-01030_Formas" display="https://www.vr.se/swecris.html#/project/2024-01030_Formas"/>
    <hyperlink ref="N680" r:id="rId474" display="https://www.nwo.nl/en/projects/20883"/>
    <hyperlink ref="N681" r:id="rId475" display="https://gtr.ukri.org/projects?ref=EP%2FZ000785%2F1"/>
    <hyperlink ref="N682" r:id="rId476" display="https://cordis.europa.eu/project/id/101149224"/>
    <hyperlink ref="N683" r:id="rId477" display="https://gtr.ukri.org/projects?ref=10127896"/>
    <hyperlink ref="N684" r:id="rId478" display="https://cordis.europa.eu/project/id/101188544"/>
    <hyperlink ref="N685" r:id="rId479" display="https://cordis.europa.eu/project/id/101158968"/>
    <hyperlink ref="N686" r:id="rId480" display="https://cordis.europa.eu/project/id/101158173"/>
    <hyperlink ref="N687" r:id="rId481" display="https://gtr.ukri.org/projects?ref=BB%2FZ516089%2F1"/>
    <hyperlink ref="N689" r:id="rId482" display="https://cordis.europa.eu/project/id/101157382"/>
    <hyperlink ref="N691" r:id="rId483" display="https://wellcome.org/research-funding/funding-portfolio/funded-grants/maximising-potential-plant-based-convenience-foods"/>
    <hyperlink ref="N692" r:id="rId484" display="https://gtr.ukri.org/projects?ref=EP%2FY032748%2F1"/>
    <hyperlink ref="N693" r:id="rId485" display="https://gtr.ukri.org/projects?ref=studentship-2905301"/>
    <hyperlink ref="N694" r:id="rId486" location="/project/2023-00381_Formas" display="https://www.vr.se/swecris.html#/project/2023-00381_Formas"/>
    <hyperlink ref="N695" r:id="rId487" display="https://gtr.ukri.org/projects?ref=studentship-2434424"/>
    <hyperlink ref="N696" r:id="rId488" display="https://www.aramis.admin.ch/Grunddaten/?ProjectID=46944&amp;Sprache=en-US"/>
    <hyperlink ref="N699" r:id="rId489" display="https://www.etis.ee/Portal/Projects/Display/682eb1d6-9107-4373-8d4c-177d38540ee4"/>
    <hyperlink ref="N700" r:id="rId490" location="fundingprogramme" display="https://www.fisaonline.de/en/find-projects/details/?tx_fisaresearch_projects%5Baction%5D=projectDetails&amp;tx_fisaresearch_projects%5Bcontroller%5D=Projects&amp;tx_fisaresearch_projects%5Bp_id%5D=18021&amp;cHash=b22a4a500f3926d8334e5f8b21a32e20#fundingprogramme"/>
    <hyperlink ref="N701" r:id="rId491" display="https://nofima.com/projects/sustainable-cell-culture-media-for-cultivated-meat/"/>
    <hyperlink ref="N702" r:id="rId492" display="http://gtr.ukri.org/projects?ref=10112087"/>
    <hyperlink ref="N703" r:id="rId493" display="http://gtr.ukri.org/projects?ref=studentship-2928996"/>
    <hyperlink ref="N704" r:id="rId494" display="https://www.aramis.admin.ch/Texte/?ProjectID=55932&amp;Sprache=en-US"/>
    <hyperlink ref="N705" r:id="rId495" display="https://portal.research.lu.se/en/projects/how-to-make-consumers-choose-plant-based-food-in-the-store-an-eco"/>
    <hyperlink ref="N706" r:id="rId496" display="https://www.vinnova.se/en/p/successful-protein-shift-in-schoolsprototyping-a-norm-change-tool-kit-towards-alternative-proteins/"/>
    <hyperlink ref="N707" r:id="rId497" display="https://www.vinnova.se/en/p/alternative-proteins-a-norm-challenging-guerrilla-experiment-in-festival-environment/"/>
    <hyperlink ref="N709" r:id="rId498" display="https://research.kuleuven.be/portal/en/project/3E231234"/>
    <hyperlink ref="N711" r:id="rId499" display="https://researchportal.be/en/project/matchmaking-unveiling-optimal-soybean-rhizobia-matches-north-western-european-environments"/>
    <hyperlink ref="N712" r:id="rId500" display="https://research.ugent.be/web/result/project/2332b727-ab0f-11ef-aed6-33a67d5acda9/details/en"/>
    <hyperlink ref="N715" r:id="rId501" display="https://www.zhaw.ch/en/research/project/77412"/>
    <hyperlink ref="N719" r:id="rId502" display="https://prosjektbanken.forskningsradet.no/en/project/FORISS/353505"/>
    <hyperlink ref="N720" r:id="rId503" display="https://gtr.ukri.org/projects?ref=10041447"/>
    <hyperlink ref="N721" r:id="rId504" display="https://cordis.europa.eu/project/id/720728"/>
    <hyperlink ref="N942" r:id="rId505" display="https://research.ie/assets/uploads/2023/09/GOI-Awardee-list-2023.pdf"/>
    <hyperlink ref="D964" r:id="rId506" display="NORA"/>
    <hyperlink ref="N964" r:id="rId507" display="https://socialsciences.ku.dk/news/2023/five-social-science-projects-to-investigate-green-transition/"/>
    <hyperlink ref="D965" r:id="rId508" display="NORA"/>
    <hyperlink ref="D966" r:id="rId509" display="UKRI"/>
    <hyperlink ref="N966" r:id="rId510" display="http://gtr.ukri.org/projects?ref=BB/Y513933/1"/>
    <hyperlink ref="D967" r:id="rId511" display="UKRI"/>
    <hyperlink ref="N967" r:id="rId512" display="http://gtr.ukri.org/projects?ref=10086903"/>
    <hyperlink ref="D968" r:id="rId513" display="UKRI"/>
    <hyperlink ref="N968" r:id="rId514" display="http://gtr.ukri.org/projects?ref=10108649"/>
    <hyperlink ref="D969" r:id="rId515" display="UKRI"/>
    <hyperlink ref="N969" r:id="rId516" display="http://gtr.ukri.org/projects?ref=10087261"/>
    <hyperlink ref="D970" r:id="rId517" display="UKRI"/>
    <hyperlink ref="N970" r:id="rId518" display="http://gtr.ukri.org/projects?ref=ES/Y01040X/1"/>
    <hyperlink ref="D971" r:id="rId519" display="UKRI"/>
    <hyperlink ref="N971" r:id="rId520" display="http://gtr.ukri.org/projects?ref=MR/Y013662/1"/>
    <hyperlink ref="D972" r:id="rId521" display="UKRI"/>
    <hyperlink ref="N972" r:id="rId522" display="http://gtr.ukri.org/projects?ref=EP/Z000785/1"/>
    <hyperlink ref="D973" r:id="rId523" display="UKRI"/>
    <hyperlink ref="N973" r:id="rId524" display="http://gtr.ukri.org/projects?ref=BB/Y513568/1"/>
    <hyperlink ref="D974" r:id="rId525" display="UKRI"/>
    <hyperlink ref="N974" r:id="rId526" display="http://gtr.ukri.org/projects?ref=ES/Y003667/1"/>
    <hyperlink ref="D975" r:id="rId527" display="UKRI"/>
    <hyperlink ref="N975" r:id="rId528" display="http://gtr.ukri.org/projects?ref=studentship-2905301"/>
    <hyperlink ref="D976" r:id="rId529" location="/project/2023-00473_Formas" display="https://www.vr.se/english/swecris.html#/project/2023-00473_Formas"/>
    <hyperlink ref="N976" r:id="rId530" display="https://www.oru.se/english/research/research-projects/rp/?rdb=p2655"/>
    <hyperlink ref="D977" r:id="rId531" location="/" display="https://www.vr.se/english/swecris.html#/"/>
    <hyperlink ref="N977" r:id="rId532" display="https://www.vr.se/english/swecris.html?project%3D2024-01030_Formas"/>
    <hyperlink ref="D978" r:id="rId533" display="FRIS"/>
    <hyperlink ref="N978" r:id="rId534" location=":~:text=By%20valorizing%20seaweed%20as%20a,self%2Dsufficiency%20in%20protein%20production." display="https://pureportal.ilvo.be/en/projects/duurzame-eiwitten-van-lokaal-gekweekt-zeewier#:~:text=By%20valorizing%20seaweed%20as%20a,self%2Dsufficiency%20in%20protein%20production."/>
    <hyperlink ref="D979" r:id="rId535" display="FRIS"/>
    <hyperlink ref="D980" r:id="rId536" display="FRIS"/>
    <hyperlink ref="N981" r:id="rId537" display="https://www.nwo.nl/en/projects/21120"/>
    <hyperlink ref="D982" r:id="rId538" display="scanR"/>
    <hyperlink ref="D983" r:id="rId539" display="scanR"/>
    <hyperlink ref="N983" r:id="rId540" display="https://anr.fr/Project-ANR-23-CE44-0028"/>
    <hyperlink ref="D984" r:id="rId541" display="scanR"/>
    <hyperlink ref="N985" r:id="rId542" display="https://cordis.europa.eu/project/id/101158710"/>
    <hyperlink ref="N986" r:id="rId543" display="https://vegconomist.com/investments-finance/91-million-investment-for-pea-protein-facility-in-sweden/?utm_medium=email&amp;utm_source=rasa_io&amp;utm_campaign=newsletter"/>
    <hyperlink ref="N987" r:id="rId544" display="https://cordis.europa.eu/project/id/613781"/>
    <hyperlink ref="N988" r:id="rId545" display="https://cordis.europa.eu/project/id/613551"/>
    <hyperlink ref="N989" r:id="rId546" display="https://cordis.europa.eu/project/id/862980"/>
    <hyperlink ref="N990" r:id="rId547" display="https://cordis.europa.eu/project/id/868154"/>
    <hyperlink ref="N991" r:id="rId548" display="https://www.carlsbergfondet.dk/en/what-we-have-funded/cf18-1024/"/>
    <hyperlink ref="N992" r:id="rId549" display="https://www.wur.nl/nl/onderzoek-resultaten/kennisonline-onderzoeksprojecten-lvvn/kennisonline/safe-precision-fermentation-for-production-of-dairy-and-meat-protein-analogues-saferment-1.htm"/>
    <hyperlink ref="N993" r:id="rId550" display="https://groenprojektbank.dk/plantefonden/2023/transforming-plant-based-protein-with-protein-rich-microorganisms"/>
    <hyperlink ref="N995" r:id="rId551" display="https://groenprojektbank.dk/plantefonden/2023/the-potential-of-different-oat-varieties-for-oat-drink-poatential"/>
    <hyperlink ref="N996" r:id="rId552" display="http://teknologisk.dk/figo-og-8211-forbrugerdreven-innovation-til-den-groenne-omstilling/45760"/>
    <hyperlink ref="N997" r:id="rId553" display="https://www.fei-bonn.de/gefoerderte-projekte/projektdatenbank/01if00364c.projekt"/>
    <hyperlink ref="N998" r:id="rId554" display="https://www.fei-bonn.de/gefoerderte-projekte/projektdatenbank/01if22378n.projekt"/>
    <hyperlink ref="N999" r:id="rId555" display="https://www.fei-bonn.de/gefoerderte-projekte/projektdatenbank/01if22476n.projekt"/>
    <hyperlink ref="N1000" r:id="rId556" display="https://www.fei-bonn.de/gefoerderte-projekte/projektdatenbank/01if22684n.projekt"/>
    <hyperlink ref="N1001" r:id="rId557" display="https://www.fei-bonn.de/gefoerderte-projekte/projektdatenbank/01if22876n.projekt"/>
    <hyperlink ref="N1002" r:id="rId558" display="https://www.fei-bonn.de/gefoerderte-projekte/projektdatenbank/01if23019n.projekt"/>
    <hyperlink ref="N1003" r:id="rId559" display="https://www.fei-bonn.de/gefoerderte-projekte/projektdatenbank/01if23031n.projekt"/>
    <hyperlink ref="N1004" r:id="rId560" display="https://www.fei-bonn.de/gefoerderte-projekte/projektdatenbank/01if23032n.projekt"/>
    <hyperlink ref="N1005" r:id="rId561" display="https://www.fei-bonn.de/gefoerderte-projekte/projektdatenbank/01if23036n.projekt"/>
    <hyperlink ref="N1006" r:id="rId562" display="https://www.fei-bonn.de/gefoerderte-projekte/projektdatenbank/01if23048n.projekt"/>
    <hyperlink ref="N1007" r:id="rId563" display="https://www.fei-bonn.de/gefoerderte-projekte/projektdatenbank/01if23346n.projekt"/>
    <hyperlink ref="N1008" r:id="rId564" display="https://www.fei-bonn.de/gefoerderte-projekte/projektdatenbank/01if23335n.projekt"/>
    <hyperlink ref="N1009" r:id="rId565" display="https://www.fei-bonn.de/gefoerderte-projekte/projektdatenbank/01if23315n.projekt"/>
    <hyperlink ref="N1010" r:id="rId566" display="https://www.middleeastvegansociety.org/blog/turkish-researchers-secure-horizon-europe-funding-for-plant-based-protein-innovation"/>
    <hyperlink ref="N1011" r:id="rId567" display="https://localnutleg.eu/"/>
    <hyperlink ref="N1012" r:id="rId568" display="https://cordis.europa.eu/project/id/101112884"/>
    <hyperlink ref="N1013" r:id="rId569" display="https://cordis.europa.eu/project/id/720719"/>
    <hyperlink ref="N1014" r:id="rId570" display="https://snis.ch/projects/the-political-economy-of-meat-system-transformation/"/>
    <hyperlink ref="N1015" r:id="rId571" display="https://agrifoodture.com/projects/safepro/"/>
    <hyperlink ref="N1016" r:id="rId572" display="https://www.mynewsdesk.com/de/universitaet-vechta/pressreleases/teilprojekt-an-der-universitaet-vechta-untersucht-akzeptanz-und-oekonomische-umsetzungschancen-von-zellbasierten-fischlebensmitteln-bundesministerium-bmel-foerdert-gesamtes-verbund-forschungsvorhaben-zu-innovativer-in-vitro-technologie-3279926"/>
    <hyperlink ref="N1017" r:id="rId573" display="https://www.cbe.europa.eu/projects/proteus"/>
    <hyperlink ref="N1018" r:id="rId574" display="https://www.gov.ie/en/department-of-agriculture-food-and-the-marine/press-releases/minister-heydon-announces-223-million-in-new-research-grants/"/>
    <hyperlink ref="N1019" r:id="rId575" display="https://www.gov.ie/en/department-of-agriculture-food-and-the-marine/press-releases/minister-heydon-announces-223-million-in-new-research-grants/"/>
    <hyperlink ref="N1020" r:id="rId576" display="https://techfundingnews.com/finnish-biotech-onego-bio-secures-e14m-to-scale-animal-free-egg-protein/"/>
    <hyperlink ref="N1021" r:id="rId577" display="https://vegconomist.com/company-news/meltmarble-e2-76m-eu-grants-market-launch-designer-fats-2025/?utm_medium=email&amp;utm_source=rasa_io&amp;utm_campaign=newsletter"/>
    <hyperlink ref="N1022" r:id="rId578" display="https://www.portalspozywczy.pl/mieso/wiadomosci/polska-spolka-na-technologie-wytwarzania-miesa-metoda-komorkowa-otrzymala-ponad-9-mln-zl-z-ncbr,261093.html"/>
    <hyperlink ref="N1023" r:id="rId579" display="https://www.ainia.com/proyectos-publicos/smartfarm/"/>
    <hyperlink ref="N1024" r:id="rId580" display="https://vegconomist.com/investments-finance/nandi-proteins-500000-egg-white-replacer-undesirable-ingredients/?utm_medium=email&amp;utm_source=rasa_io&amp;utm_campaign=newsletter"/>
    <hyperlink ref="N1025" r:id="rId581" display="https://cris.vtt.fi/en/projects/climate-smart-food-and-nutritition-research-infrastructure"/>
    <hyperlink ref="N1026" r:id="rId582" display="https://www.justfood.fi/en-US/About_the_project"/>
    <hyperlink ref="N1027" r:id="rId583" display="https://cordis.europa.eu/project/id/101112943/reporting"/>
    <hyperlink ref="N1028" r:id="rId584" display="https://www.valio.com/news/valio-is-launching-an-extensive-rdi-project-food-2-0-with-business-finlands-funding-to-develop-a-food-system-of-the-future/"/>
    <hyperlink ref="N1029" r:id="rId585" display="https://data.snf.ch/grants/grant/182725"/>
    <hyperlink ref="N1030" r:id="rId586" display="https://data.snf.ch/grants/grant/166764"/>
    <hyperlink ref="N1031" r:id="rId587" display="https://gtr.ukri.org/projects?ref=BB%2FY01278X%2F1"/>
    <hyperlink ref="N1032" r:id="rId588" display="https://gtr.ukri.org/projects?ref=10087894"/>
    <hyperlink ref="N1033" r:id="rId589" location="/tabOverview" display="https://gtr.ukri.org/projects?ref=ES%2FZ503174%2F1#/tabOverview"/>
    <hyperlink ref="N1034" r:id="rId590" location="/tabOverview" display="https://gtr.ukri.org/projects?ref=studentship-2925518#/tabOverview"/>
    <hyperlink ref="N1035" r:id="rId591" location="/tabOverview" display="https://gtr.ukri.org/projects?ref=10126544#/tabOverview"/>
    <hyperlink ref="N1036" r:id="rId592" display="https://gtr.ukri.org/projects?ref=10110181"/>
    <hyperlink ref="N1037" r:id="rId593" location="/tabOverview" display="https://gtr.ukri.org/projects?ref=10107612#/tabOverview"/>
    <hyperlink ref="N1038" r:id="rId594" display="https://gtr.ukri.org/projects?ref=10114832"/>
    <hyperlink ref="N1039" r:id="rId595" location="/tabOverview" display="http://gtr.ukri.org/projects?ref=10064370#/tabOverview"/>
    <hyperlink ref="N1040" r:id="rId596" display="https://gtr.ukri.org/projects?ref=10116412"/>
    <hyperlink ref="N1041" r:id="rId597" location="newContent" display="https://service.ble.de/ptdb/index2.php?detail_id=102854874&amp;ssk=PTDB-alles&amp;site_key=141&amp;sLfd=laufend&amp;lbm=1&amp;lbj=2024&amp;stichw=Alternative+Proteine&amp;zeilenzahl_zaehler=241#newContent"/>
    <hyperlink ref="N1042" r:id="rId598" location="newContent" display="https://service.ble.de/ptdb/index2.php?detail_id=114253832&amp;ssk=PTDB-alles&amp;site_key=141&amp;sLfd=laufend&amp;lbm=1&amp;lbj=2024&amp;stichw=Alternative+Proteine&amp;zeilenzahl_zaehler=241&amp;NextRow=20#newContent"/>
    <hyperlink ref="N1043" r:id="rId599" location="newContent" display="https://service.ble.de/ptdb/index2.php?detail_id=93964786&amp;ssk=PTDB-alles&amp;site_key=141&amp;sLfd=laufend&amp;lbm=1&amp;lbj=2024&amp;stichw=Alternative+Proteine&amp;zeilenzahl_zaehler=241&amp;NextRow=30#newContent"/>
    <hyperlink ref="N1044" r:id="rId600" location="newContent" display="https://service.ble.de/ptdb/index2.php?detail_id=119672759&amp;ssk=PTDB-alles&amp;site_key=141&amp;sLfd=laufend&amp;lbm=1&amp;lbj=2024&amp;stichw=Alternative+Proteine&amp;zeilenzahl_zaehler=241&amp;NextRow=30#newContent"/>
    <hyperlink ref="N1045" r:id="rId601" location="newContent" display="https://service.ble.de/ptdb/index2.php?detail_id=120014561&amp;ssk=PTDB-alles&amp;site_key=141&amp;sLfd=laufend&amp;lbm=1&amp;lbj=2024&amp;stichw=Alternative+Proteine&amp;zeilenzahl_zaehler=241&amp;NextRow=30#newContent"/>
    <hyperlink ref="N1046" r:id="rId602" location="newContent" display="https://service.ble.de/ptdb/index2.php?detail_id=97395452&amp;ssk=PTDB-alles&amp;site_key=141&amp;sLfd=laufend&amp;lbm=1&amp;lbj=2024&amp;stichw=Alternative+Proteine&amp;zeilenzahl_zaehler=241&amp;NextRow=90#newContent"/>
    <hyperlink ref="N1047" r:id="rId603" location="newContent" display="https://service.ble.de/ptdb/index2.php?detail_id=91379515&amp;ssk=PTDB-alles&amp;site_key=141&amp;stichw=Alternative+Proteine&amp;sLfd=laufend&amp;lbm=1&amp;lbj=2024&amp;zeilenzahl_zaehler=241&amp;NextRow=120#newContent"/>
    <hyperlink ref="N1048" r:id="rId604" location="newContent" display="https://service.ble.de/ptdb/index2.php?detail_id=113095757&amp;ssk=PTDB-alles&amp;site_key=141&amp;stichw=Alternative+Proteine&amp;sLfd=laufend&amp;lbm=1&amp;lbj=2024&amp;zeilenzahl_zaehler=241&amp;NextRow=130#newContent"/>
    <hyperlink ref="N1049" r:id="rId605" location="newContent" display="https://service.ble.de/ptdb/index2.php?detail_id=91861791&amp;ssk=PTDB-alles&amp;site_key=141&amp;stichw=Alternative+Proteine&amp;sLfd=laufend&amp;lbm=1&amp;lbj=2024&amp;zeilenzahl_zaehler=241&amp;NextRow=200#newContent"/>
    <hyperlink ref="N1050" r:id="rId606" location="newContent" display="https://service.ble.de/ptdb/index2.php?detail_id=91861771&amp;ssk=PTDB-alles&amp;site_key=141&amp;stichw=Alternative+Proteine&amp;sLfd=laufend&amp;lbm=1&amp;lbj=2024&amp;zeilenzahl_zaehler=241&amp;NextRow=110#newContent"/>
    <hyperlink ref="N1051" r:id="rId607" display="https://plantbasednews.org/news/economics/faerm-fermented-vegan-cheese/"/>
    <hyperlink ref="N1052" r:id="rId608" display="https://sifted.eu/articles/enifer-mycoprotein-raise-startup"/>
    <hyperlink ref="N1053" r:id="rId609" display="https://novonordiskfonden.dk/en/projects/bright/"/>
    <hyperlink ref="N1054" r:id="rId610" display="https://iuk-business-connect.org.uk/news/global-innovation-network-lead-customer-programme-projects-announced/"/>
    <hyperlink ref="N1055" r:id="rId611" display="https://iuk-business-connect.org.uk/news/global-innovation-network-lead-customer-programme-projects-announced/"/>
    <hyperlink ref="N1056" r:id="rId612" display="https://agrifoodture.com/projects/mycoflavor/"/>
    <hyperlink ref="N1057" r:id="rId613" display="https://food.ku.dk/english/news/2025/ai4naturalfood/?utm_source=www.foodtechweekly.com&amp;utm_medium=newsletter&amp;utm_campaign=foodtech-weekly-237-by-daniel-s-ruben"/>
    <hyperlink ref="N1062" r:id="rId614" display="https://www.aber.ac.uk/en/life-sciences/news/top-stories/title-267652-en.html"/>
    <hyperlink ref="N1063" r:id="rId615" display="https://research.birmingham.ac.uk/en/projects/integrated-risk-mapping-for-cultured-meat"/>
    <hyperlink ref="N1064" r:id="rId616" display="https://vegconomist.com/food-and-beverage/egg-alternatives/south-holland-invests-1-million-develop-plant-based-egg-alternative/?utm_medium=email&amp;utm_source=rasa_io&amp;utm_campaign=newsletter"/>
    <hyperlink ref="N1065" r:id="rId617" display="https://vegconomist.com/protein/solar-foods-advances-solein-new-funding-us-introduction-protein-bites"/>
    <hyperlink ref="N1066" r:id="rId618" display="https://tech.eu/2024/10/31/revo-foods-paleo-score-new-funding-for-imitation-vegan-salmon/"/>
    <hyperlink ref="N1067" r:id="rId619" display="https://www.linkedin.com/posts/those-vegan-cowboys-grassroots-bandits_vlaio-thosevegancowboys-duurzaamvoedsel-ugcPost-7231208720179830785-QAou"/>
    <hyperlink ref="N1068" r:id="rId620" display="https://www.meatable.com/releases-announcements/meatable-awarded-eur-7-6-million-rvo-innovation-credit/"/>
    <hyperlink ref="N1069" r:id="rId621" display="https://vegconomist.com/protein/finnish-alternative-protein-firms-secure-e10m-collaborative-rd-business-finland/"/>
    <hyperlink ref="N1070" r:id="rId622" display="https://vegconomist.com/protein/finnish-alternative-protein-firms-secure-e10m-collaborative-rd-business-finland/"/>
    <hyperlink ref="N1071" r:id="rId623" display="https://vegconomist.com/protein/pan-sweden-lantmannen-plant-based-protein-research/"/>
    <hyperlink ref="D1091" r:id="rId624" display="groenprojektbank.dk/"/>
    <hyperlink ref="N1091" r:id="rId625" display="https://groenprojektbank.dk/plantefonden/2024/plant-food-festival-2025-i-aarhus-og-koebenhavn"/>
    <hyperlink ref="D1092" r:id="rId626" display="groenprojektbank.dk/"/>
    <hyperlink ref="N1092" r:id="rId627" display="https://groenprojektbank.dk/plantefonden/2024/optimeret-holdbarhed-og-foedevaresikkerhed-af-plantebaserede-foedevarer-plantepredict"/>
    <hyperlink ref="D1093" r:id="rId628" display="groenprojektbank.dk/"/>
    <hyperlink ref="N1093" r:id="rId629" display="https://groenprojektbank.dk/plantefonden/2024/plate-the-effect-of-plant-based-diet-on-disease-activity-in-patients-with-rheumatoid-arthritis"/>
    <hyperlink ref="D1094" r:id="rId630" display="groenprojektbank.dk/"/>
    <hyperlink ref="N1094" r:id="rId631" display="https://groenprojektbank.dk/plantefonden/2024/mere-umami-med-baelgfrugter-umami-baelg"/>
    <hyperlink ref="D1095" r:id="rId632" display="groenprojektbank.dk/"/>
    <hyperlink ref="N1095" r:id="rId633" display="https://groenprojektbank.dk/plantefonden/2024/plantefermentater-for-bedre-holdbarhed-og-foedevaresikkerhed-af-salater-og-gryderetter-planteferm"/>
    <hyperlink ref="D1096" r:id="rId634" display="groenprojektbank.dk/"/>
    <hyperlink ref="N1096" r:id="rId635" display="https://groenprojektbank.dk/plantefonden/2024/rapeseeds-a-local-source-for-a-new-generation-of-food-products"/>
    <hyperlink ref="D1097" r:id="rId636" display="groenprojektbank.dk/"/>
    <hyperlink ref="N1097" r:id="rId637" display="https://groenprojektbank.dk/plantefonden/2024/craveable-fungi-futures"/>
    <hyperlink ref="D1098" r:id="rId638" display="groenprojektbank.dk/"/>
    <hyperlink ref="N1098" r:id="rId639" display="https://groenprojektbank.dk/plantefonden/2024/udviklingsforloeb-for-producenter-af-plantebaserede-foedevarer-plantevaekst"/>
    <hyperlink ref="D1099" r:id="rId640" display="groenprojektbank.dk/"/>
    <hyperlink ref="N1099" r:id="rId641" display="https://groenprojektbank.dk/plantefonden/2024/plantehub-10-sammen-er-vi-klogere"/>
    <hyperlink ref="D1100" r:id="rId642" display="groenprojektbank.dk/"/>
    <hyperlink ref="D1101" r:id="rId643" display="groenprojektbank.dk/"/>
    <hyperlink ref="N1101" r:id="rId644" display="https://groenprojektbank.dk/plantefonden/2024/lupiner-de-nye-baelgfrugter-i-klassen"/>
    <hyperlink ref="D1102" r:id="rId645" display="groenprojektbank.dk/"/>
    <hyperlink ref="N1102" r:id="rId646" display="https://groenprojektbank.dk/plantefonden/2024/fremtidens-supermarked"/>
    <hyperlink ref="D1103" r:id="rId647" display="groenprojektbank.dk/"/>
    <hyperlink ref="N1103" r:id="rId648" display="https://groenprojektbank.dk/plantefonden/2023/transforming-plant-based-protein-with-protein-rich-microorganisms"/>
    <hyperlink ref="D1104" r:id="rId649" display="groenprojektbank.dk/"/>
    <hyperlink ref="N1104" r:id="rId650" display="https://groenprojektbank.dk/gudp/2022/animal-free-protein-fermentation-produced-milk-protein"/>
    <hyperlink ref="D1105" r:id="rId651" display="groenprojektbank.dk/"/>
    <hyperlink ref="N1105" r:id="rId652" display="https://groenprojektbank.dk/gudp/2020/ferblend-fermentation-induced-valorization-of-side-stream-blends-from-oilseed-and-dairy-industry"/>
    <hyperlink ref="D1106" r:id="rId653" display="groenprojektbank.dk/"/>
    <hyperlink ref="N1106" r:id="rId654" display="https://groenprojektbank.dk/gudp/2024/continuous-fermentation-of-milk-protein-contimilk"/>
    <hyperlink ref="D1107" r:id="rId655" display="groenprojektbank.dk/"/>
    <hyperlink ref="N1107" r:id="rId656" display="https://groenprojektbank.dk/plantefonden/2023/the-potential-of-different-oat-varieties-for-oat-drink-poatential"/>
    <hyperlink ref="D1108" r:id="rId657" display="groenprojektbank.dk/"/>
    <hyperlink ref="N1108" r:id="rId658" display="https://groenprojektbank.dk/plantefonden/2023/futuredairy-non-animal-dairy-favorites-danbo-cheese-and-natural-yogurt"/>
    <hyperlink ref="D1112" r:id="rId659" display="https://prosjektbanken.forskningsradet.no/"/>
    <hyperlink ref="N1112" r:id="rId660" display="https://prosjektbanken.forskningsradet.no/en/project/FORISS/353521?Kilde=FORISS&amp;distribution=Ar&amp;chart=bar&amp;calcType=funding&amp;Sprak=no&amp;sortBy=score&amp;sortOrder=desc&amp;resultCount=30&amp;offset=0&amp;source=FORISS&amp;projectId=325452&amp;Fritekst=fermentation&amp;Ar=2024&amp;Ar=2023&amp;Ar=2025&amp;Ar=2022&amp;Ar=2021&amp;Ar=2020"/>
    <hyperlink ref="D1113" r:id="rId661" display="https://prosjektbanken.forskningsradet.no/"/>
    <hyperlink ref="N1113" r:id="rId662" display="https://prosjektbanken.forskningsradet.no/en/project/FORISS/329128?Kilde=FORISS&amp;distribution=Ar&amp;chart=bar&amp;calcType=funding&amp;Sprak=no&amp;sortBy=score&amp;sortOrder=desc&amp;resultCount=30&amp;offset=0&amp;source=FORISS&amp;projectId=325452&amp;Fritekst=fermentation&amp;Ar=2024&amp;Ar=2023&amp;Ar=2025&amp;Ar=2022&amp;Ar=2021&amp;Ar=2020"/>
    <hyperlink ref="D1114" r:id="rId663" display="https://prosjektbanken.forskningsradet.no/"/>
    <hyperlink ref="N1114" r:id="rId664" display="https://prosjektbanken.forskningsradet.no/en/project/FORISS/270048?Kilde=FORISS&amp;distribution=Ar&amp;chart=bar&amp;calcType=funding&amp;Sprak=no&amp;sortBy=score&amp;sortOrder=desc&amp;resultCount=30&amp;offset=0&amp;source=FORISS&amp;projectId=325452&amp;Fritekst=fermentation"/>
    <hyperlink ref="D1115" r:id="rId665" display="https://prosjektbanken.forskningsradet.no/"/>
    <hyperlink ref="N1115" r:id="rId666" display="https://prosjektbanken.forskningsradet.no/en/project/FORISS/331901?Kilde=FORISS&amp;distribution=Ar&amp;chart=bar&amp;calcType=funding&amp;Sprak=no&amp;sortBy=score&amp;sortOrder=desc&amp;resultCount=30&amp;offset=0&amp;source=FORISS&amp;projectId=270048&amp;Fritekst=fermentation&amp;Ar=2025&amp;Ar=2024&amp;Ar=2023&amp;Ar=2022&amp;Ar=2021&amp;Ar=2020"/>
    <hyperlink ref="D1116" r:id="rId667" display="https://prosjektbanken.forskningsradet.no/"/>
    <hyperlink ref="N1116" r:id="rId668" display="https://prosjektbanken.forskningsradet.no/en/project/FORISS/305215?Kilde=FORISS&amp;distribution=Ar&amp;chart=bar&amp;calcType=funding&amp;Sprak=no&amp;sortBy=score&amp;sortOrder=desc&amp;resultCount=30&amp;offset=0&amp;source=FORISS&amp;projectId=270048&amp;Fritekst=fermentation&amp;Ar=2025&amp;Ar=2024&amp;Ar=2023&amp;Ar=2022&amp;Ar=2021&amp;Ar=2020"/>
    <hyperlink ref="D1117" r:id="rId669" display="https://prosjektbanken.forskningsradet.no/"/>
    <hyperlink ref="N1117" r:id="rId670" display="https://prosjektbanken.forskningsradet.no/en/project/FORISS/355478?Kilde=FORISS&amp;distribution=Ar&amp;chart=bar&amp;calcType=funding&amp;Sprak=no&amp;sortBy=score&amp;sortOrder=desc&amp;resultCount=30&amp;offset=0&amp;source=FORISS&amp;projectId=270048&amp;Fritekst=fermentation&amp;Ar=2025&amp;Ar=2024&amp;Ar=2023&amp;Ar=2022&amp;Ar=2021&amp;Ar=2020"/>
    <hyperlink ref="V1117" r:id="rId671" display="SIFOTEK AS"/>
    <hyperlink ref="D1118" r:id="rId672" display="https://prosjektbanken.forskningsradet.no/"/>
    <hyperlink ref="N1118" r:id="rId673" display="https://prosjektbanken.forskningsradet.no/en/project/FORISS/353591?Kilde=FORISS&amp;distribution=Ar&amp;chart=bar&amp;calcType=funding&amp;Sprak=no&amp;sortBy=score&amp;sortOrder=desc&amp;resultCount=30&amp;offset=0&amp;source=FORISS&amp;projectId=270048&amp;Fritekst=fermentation&amp;Ar=2025&amp;Ar=2024&amp;Ar=2023&amp;Ar=2022&amp;Ar=2021&amp;Ar=2020"/>
    <hyperlink ref="V1118" r:id="rId674" display="SIFOTEK AS"/>
    <hyperlink ref="D1119" r:id="rId675" display="https://prosjektbanken.forskningsradet.no/"/>
    <hyperlink ref="N1119" r:id="rId676" display="https://prosjektbanken.forskningsradet.no/en/project/FORISS/284381?Kilde=FORISS&amp;distribution=Ar&amp;chart=bar&amp;calcType=funding&amp;Sprak=no&amp;sortBy=score&amp;sortOrder=desc&amp;resultCount=30&amp;offset=0&amp;source=FORISS&amp;projectId=270048&amp;Fritekst=fermentation&amp;Ar=2025&amp;Ar=2024&amp;Ar=2023&amp;Ar=2022&amp;Ar=2021&amp;Ar=2020"/>
    <hyperlink ref="D1120" r:id="rId677" display="https://prosjektbanken.forskningsradet.no/"/>
    <hyperlink ref="N1120" r:id="rId678" display="https://prosjektbanken.forskningsradet.no/en/project/FORISS/317645?Kilde=FORISS&amp;distribution=Ar&amp;chart=bar&amp;calcType=funding&amp;Sprak=no&amp;sortBy=score&amp;sortOrder=desc&amp;resultCount=30&amp;offset=0&amp;source=FORISS&amp;projectId=270048&amp;Fritekst=fermentation&amp;Ar=2025&amp;Ar=2024&amp;Ar=2023&amp;Ar=2022&amp;Ar=2021&amp;Ar=2020"/>
    <hyperlink ref="V1120" r:id="rId679" display="SEAWEED SOLUTIONS AS"/>
    <hyperlink ref="D1121" r:id="rId680" display="https://prosjektbanken.forskningsradet.no/"/>
    <hyperlink ref="N1121" r:id="rId681" display="https://prosjektbanken.forskningsradet.no/en/project/FORISS/309558?Kilde=FORISS&amp;distribution=Ar&amp;chart=bar&amp;calcType=funding&amp;Sprak=no&amp;sortBy=score&amp;sortOrder=desc&amp;resultCount=30&amp;offset=0&amp;source=FORISS&amp;projectId=270048&amp;Fritekst=fermentation&amp;Ar=2025&amp;Ar=2024&amp;Ar=2023&amp;Ar=2022&amp;Ar=2021&amp;Ar=2020"/>
    <hyperlink ref="V1121" r:id="rId682" display="SINTEF AS"/>
    <hyperlink ref="D1122" r:id="rId683" display="https://prosjektbanken.forskningsradet.no/"/>
    <hyperlink ref="N1122" r:id="rId684" display="https://prosjektbanken.forskningsradet.no/en/project/FORISS/326803?Kilde=FORISS&amp;distribution=Ar&amp;chart=bar&amp;calcType=funding&amp;Sprak=no&amp;sortBy=score&amp;sortOrder=desc&amp;resultCount=30&amp;offset=30&amp;source=FORISS&amp;projectId=270048&amp;Fritekst=fermentation&amp;Ar=2025&amp;Ar=2024&amp;Ar=2023&amp;Ar=2022&amp;Ar=2021&amp;Ar=2020"/>
    <hyperlink ref="V1122" r:id="rId685" display="MØREFORSKING AS"/>
    <hyperlink ref="D1123" r:id="rId686" display="https://prosjektbanken.forskningsradet.no/"/>
    <hyperlink ref="N1123" r:id="rId687" display="https://prosjektbanken.forskningsradet.no/en/project/FORISS/301834?Kilde=FORISS&amp;distribution=Ar&amp;chart=bar&amp;calcType=funding&amp;Sprak=no&amp;sortBy=score&amp;sortOrder=desc&amp;resultCount=30&amp;offset=30&amp;source=FORISS&amp;projectId=270048&amp;Fritekst=fermentation&amp;Ar=2025&amp;Ar=2024&amp;Ar=2023&amp;Ar=2022&amp;Ar=2021&amp;Ar=2020"/>
    <hyperlink ref="D1124" r:id="rId688" display="https://prosjektbanken.forskningsradet.no/"/>
    <hyperlink ref="N1124" r:id="rId689" display="https://prosjektbanken.forskningsradet.no/en/project/FORISS/353505?Kilde=FORISS&amp;distribution=Ar&amp;chart=bar&amp;calcType=funding&amp;Sprak=no&amp;sortBy=score&amp;sortOrder=desc&amp;resultCount=30&amp;offset=0&amp;source=FORISS&amp;projectId=270048&amp;Fritekst=cultivated+meat&amp;Ar=2025&amp;Ar=2024&amp;Ar=2023&amp;Ar=2022&amp;Ar=2021&amp;Ar=2020"/>
    <hyperlink ref="D1125" r:id="rId690" display="https://prosjektbanken.forskningsradet.no/"/>
    <hyperlink ref="N1125" r:id="rId691" display="https://prosjektbanken.forskningsradet.no/en/project/FORISS/294777?Kilde=FORISS&amp;distribution=Ar&amp;chart=bar&amp;calcType=funding&amp;Sprak=no&amp;sortBy=score&amp;sortOrder=desc&amp;resultCount=30&amp;offset=0&amp;source=FORISS&amp;projectId=270048&amp;Fritekst=cultivated+meat&amp;Ar=2025&amp;Ar=2024&amp;Ar=2023&amp;Ar=2022&amp;Ar=2021&amp;Ar=2020"/>
    <hyperlink ref="D1126" r:id="rId692" display="https://prosjektbanken.forskningsradet.no/"/>
    <hyperlink ref="N1126" r:id="rId693" display="https://prosjektbanken.forskningsradet.no/en/project/FORISS/323888?Kilde=FORISS&amp;distribution=Ar&amp;chart=bar&amp;calcType=funding&amp;Sprak=no&amp;sortBy=score&amp;sortOrder=desc&amp;resultCount=30&amp;offset=0&amp;source=FORISS&amp;projectId=270048&amp;Fritekst=cultivated+meat&amp;Ar=2025&amp;Ar=2024&amp;Ar=2023&amp;Ar=2022&amp;Ar=2021&amp;Ar=2020"/>
    <hyperlink ref="V1126" r:id="rId694" display="CORRELATE AS"/>
    <hyperlink ref="D1127" r:id="rId695" display="https://prosjektbanken.forskningsradet.no/"/>
    <hyperlink ref="N1127" r:id="rId696" display="https://prosjektbanken.forskningsradet.no/en/project/FORISS/269432?Kilde=FORISS&amp;distribution=Ar&amp;chart=bar&amp;calcType=funding&amp;Sprak=no&amp;sortBy=score&amp;sortOrder=desc&amp;resultCount=30&amp;offset=60&amp;source=FORISS&amp;projectId=270048&amp;Fritekst=cultivated+meat&amp;Ar=2025&amp;Ar=2024&amp;Ar=2023&amp;Ar=2022&amp;Ar=2021&amp;Ar=2020"/>
    <hyperlink ref="D1128" r:id="rId697" display="https://prosjektbanken.forskningsradet.no/"/>
    <hyperlink ref="N1128" r:id="rId698" display="https://prosjektbanken.forskningsradet.no/en/project/FORISS/314318?Kilde=FORISS&amp;distribution=Ar&amp;chart=bar&amp;calcType=funding&amp;Sprak=no&amp;sortBy=score&amp;sortOrder=desc&amp;resultCount=30&amp;offset=60&amp;source=FORISS&amp;projectId=270048&amp;Fritekst=cultivated+meat&amp;Ar=2025&amp;Ar=2024&amp;Ar=2023&amp;Ar=2022&amp;Ar=2021&amp;Ar=2020"/>
    <hyperlink ref="D1129" r:id="rId699" display="https://prosjektbanken.forskningsradet.no/"/>
    <hyperlink ref="N1129" r:id="rId700" display="https://prosjektbanken.forskningsradet.no/en/project/FORISS/352089?Kilde=FORISS&amp;distribution=Ar&amp;chart=bar&amp;calcType=funding&amp;Sprak=no&amp;sortBy=score&amp;sortOrder=desc&amp;resultCount=30&amp;offset=0&amp;source=FORISS&amp;projectId=270048&amp;Fritekst=plant-based&amp;Ar=2025&amp;Ar=2024&amp;Ar=2023&amp;Ar=2022&amp;Ar=2021&amp;Ar=2020"/>
    <hyperlink ref="D1130" r:id="rId701" display="https://prosjektbanken.forskningsradet.no/"/>
    <hyperlink ref="N1130" r:id="rId702" display="https://prosjektbanken.forskningsradet.no/en/project/FORISS/354183?Kilde=FORISS&amp;distribution=Ar&amp;chart=bar&amp;calcType=funding&amp;Sprak=no&amp;sortBy=score&amp;sortOrder=desc&amp;resultCount=30&amp;offset=0&amp;source=FORISS&amp;projectId=270048&amp;Fritekst=plant-based&amp;Ar=2025&amp;Ar=2024&amp;Ar=2023&amp;Ar=2022&amp;Ar=2021&amp;Ar=2020"/>
    <hyperlink ref="N1131" r:id="rId703" display="https://www.bezosearthfund.org/news-and-insights/bezos-center-for-sustainable-protein-launches-at-imperial-with-30m-funding"/>
    <hyperlink ref="N1132" r:id="rId704" display="https://vegconomist.com/cultivated-cell-cultured-biotechnology/3d-technology/revo-foods-mycorena-3d-printable-mycoprotein/"/>
    <hyperlink ref="N1133" r:id="rId705" display="https://gfi.org/researchgrants/"/>
    <hyperlink ref="N1134" r:id="rId706" display="https://gfi.org/researchgrants/"/>
    <hyperlink ref="N1135" r:id="rId707" display="https://gfi.org/researchgrants/"/>
    <hyperlink ref="N1136" r:id="rId708" display="https://gfi.org/researchgrants/"/>
    <hyperlink ref="N1137" r:id="rId709" display="https://uploads.mwp.mprod.getusinfo.com/uploads/sites/77/2022/04/Alumni-NOFO-FY2021-PAS-Belgrade.pdf"/>
    <hyperlink ref="N1138" r:id="rId710" display="https://gfi.org/researchgrants/"/>
    <hyperlink ref="N1139" r:id="rId711" display="https://gfi.org/researchgrants/"/>
    <hyperlink ref="N1140" r:id="rId712" display="https://gfi.org/researchgrants/"/>
    <hyperlink ref="N1141" r:id="rId713" display="https://gfi.org/researchgrants/"/>
    <hyperlink ref="N1142" r:id="rId714" display="https://gfi.org/researchgrants/"/>
    <hyperlink ref="N1143" r:id="rId715" display="https://gfi.org/researchgrants/"/>
    <hyperlink ref="N1144" r:id="rId716" display="https://gfi.org/researchgrants/"/>
    <hyperlink ref="N1145" r:id="rId717" display="https://gfi.org/researchgrants/"/>
    <hyperlink ref="N1146" r:id="rId718" display="https://gfi.org/researchgrants/"/>
    <hyperlink ref="N1147" r:id="rId719" display="https://gfi.org/researchgrants/"/>
    <hyperlink ref="N1148" r:id="rId720" display="https://gfi.org/researchgrants/"/>
    <hyperlink ref="N1149" r:id="rId721" display="https://gfi.org/researchgrants/"/>
    <hyperlink ref="N1150" r:id="rId722" display="https://gfi.org/researchgrants/"/>
    <hyperlink ref="N1151" r:id="rId723" display="https://gfi.org/researchgrants/"/>
    <hyperlink ref="N1152" r:id="rId724" display="https://gfi.org/researchgrants/"/>
    <hyperlink ref="N1153" r:id="rId725" display="https://gfi.org/researchgrants/"/>
    <hyperlink ref="N1154" r:id="rId726" display="https://gfi.org/researchgrants/"/>
    <hyperlink ref="N1155" r:id="rId727" display="https://gfi.org/researchgrants/"/>
    <hyperlink ref="N1156" r:id="rId728" display="https://gfi.org/researchgrants/"/>
    <hyperlink ref="N1157" r:id="rId729" display="https://new-harvest.org/research-projects/building-vessels/"/>
    <hyperlink ref="N1158" r:id="rId730" display="https://new-harvest.org/research-projects/scalable-bioreactors/"/>
    <hyperlink ref="N1159" r:id="rId731" display="https://new-harvest.org/research-projects/curved-culture-surfaces/"/>
    <hyperlink ref="N1160" r:id="rId732" display="https://new-harvest.org/research-projects/3d-printing-cultured-meat/"/>
    <hyperlink ref="N1161" r:id="rId733" display="https://new-harvest.org/research-projects/sustainability-cultured-meat/"/>
    <hyperlink ref="N1162" r:id="rId734" display="https://new-harvest.org/research-projects/crowded-culture/"/>
    <hyperlink ref="N1163" r:id="rId735" display="https://new-harvest.org/research-projects/cultured-mollusks/"/>
    <hyperlink ref="N1164" r:id="rId736" display="https://new-harvest.org/research-projects/continuous-bioprocessing/"/>
    <hyperlink ref="N1165" r:id="rId737" display="https://new-harvest.org/research-projects/bioreactor-and-media-interaction/"/>
    <hyperlink ref="N1166" r:id="rId738" display="https://new-harvest.org/research-projects/pattern-formation/"/>
    <hyperlink ref="N1167" r:id="rId739" display="https://web.archive.org/web/20201125103739/https://www.new-harvest.org/past_research_projects"/>
    <hyperlink ref="N1168" r:id="rId740" display="https://web.archive.org/web/20201125103739/https://www.new-harvest.org/past_research_projects"/>
    <hyperlink ref="N1169" r:id="rId741" display="https://experiment.com/projects/mapping-the-potential-for-uk-universities-to-become-research-and-teaching-hubs-for-cellular-agriculture?mc_cid=2abef4f850&amp;mc_eid=702607fe99"/>
    <hyperlink ref="N1170" r:id="rId742" display="https://experiment.com/projects/can-immune-cells-prevent-3d-printed-blood-vessels-from-falling-apart?mc_cid=327f1a8f2b&amp;mc_eid=702607fe99"/>
    <hyperlink ref="N1171" r:id="rId743" display="https://www.bezosearthfund.org/news-and-insights/phase-i-grants-ai-grand-challenge-climate-nature"/>
    <hyperlink ref="N1172" r:id="rId744" display="https://www.bezosearthfund.org/news-and-insights/phase-i-grants-ai-grand-challenge-climate-nature"/>
    <hyperlink ref="N1173" r:id="rId745" display="https://www.bezosearthfund.org/news-and-insights/phase-i-grants-ai-grand-challenge-climate-nature"/>
    <hyperlink ref="N1174" r:id="rId746" display="https://www.bezosearthfund.org/news-and-insights/phase-i-grants-ai-grand-challenge-climate-nature"/>
    <hyperlink ref="N1175" r:id="rId747" display="https://www.vinnova.se/en/p/food--biotech-heights/"/>
    <hyperlink ref="N1176" r:id="rId748" display="https://www.proteinproductiontechnology.com/post/biotech-heights-secures-continued-funding-to-drive-fermentation-led-food-innovation"/>
    <hyperlink ref="N1177" r:id="rId749" display="https://proveg.org/article/backing-the-future-of-food-polands-ncbr-on-funding-alt-protein-rd/"/>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50"/>
</worksheet>
</file>

<file path=docProps/app.xml><?xml version="1.0" encoding="utf-8"?>
<Properties xmlns="http://schemas.openxmlformats.org/officeDocument/2006/extended-properties" xmlns:vt="http://schemas.openxmlformats.org/officeDocument/2006/docPropsVTypes">
  <Template/>
  <TotalTime>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en-GB</dc:language>
  <cp:lastModifiedBy/>
  <dcterms:modified xsi:type="dcterms:W3CDTF">2026-06-30T11:33:42Z</dcterms:modified>
  <cp:revision>1</cp:revision>
  <dc:subject/>
  <dc:title/>
</cp:coreProperties>
</file>