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mensions combined" sheetId="1" r:id="rId5"/>
  </sheets>
  <definedNames>
    <definedName hidden="1" localSheetId="0" name="_xlnm._FilterDatabase">'Dimensions combined'!$A$1:$AV$55</definedName>
  </definedNames>
  <calcPr/>
</workbook>
</file>

<file path=xl/sharedStrings.xml><?xml version="1.0" encoding="utf-8"?>
<sst xmlns="http://schemas.openxmlformats.org/spreadsheetml/2006/main" count="1094" uniqueCount="644">
  <si>
    <t>Source</t>
  </si>
  <si>
    <t>Rank</t>
  </si>
  <si>
    <t>Grant ID</t>
  </si>
  <si>
    <t>duplicate check on grant ID</t>
  </si>
  <si>
    <t xml:space="preserve">return ID to check </t>
  </si>
  <si>
    <t>duplicate check with new airtabe entries</t>
  </si>
  <si>
    <t>Grant Number(s)</t>
  </si>
  <si>
    <t>Title</t>
  </si>
  <si>
    <t>Title translated</t>
  </si>
  <si>
    <t>Abstract</t>
  </si>
  <si>
    <t>Abstract translated</t>
  </si>
  <si>
    <t>AI Scope check?</t>
  </si>
  <si>
    <t>Technology Pillar</t>
  </si>
  <si>
    <t>Research Category</t>
  </si>
  <si>
    <t>Keywords</t>
  </si>
  <si>
    <t>Funding amount</t>
  </si>
  <si>
    <t>Currency</t>
  </si>
  <si>
    <t>Funding amount in USD</t>
  </si>
  <si>
    <t>Start date</t>
  </si>
  <si>
    <t>Start Year</t>
  </si>
  <si>
    <t>End Date</t>
  </si>
  <si>
    <t>End Year</t>
  </si>
  <si>
    <t>Researchers</t>
  </si>
  <si>
    <t>Research Organization - original</t>
  </si>
  <si>
    <t>Research Organization - standardized</t>
  </si>
  <si>
    <t>GRID ID</t>
  </si>
  <si>
    <t>City of standardized research organization</t>
  </si>
  <si>
    <t>State of standardized research organization</t>
  </si>
  <si>
    <t>Country of standardized research organization</t>
  </si>
  <si>
    <t>Funder</t>
  </si>
  <si>
    <t>Funder Group</t>
  </si>
  <si>
    <t>Funder Country</t>
  </si>
  <si>
    <t>Program</t>
  </si>
  <si>
    <t>NIH activity code</t>
  </si>
  <si>
    <t>Resulting publications</t>
  </si>
  <si>
    <t>Source Linkout</t>
  </si>
  <si>
    <t>Dimensions URL</t>
  </si>
  <si>
    <t>Fields of Research (ANZSRC 2020)</t>
  </si>
  <si>
    <t>RCDC Categories</t>
  </si>
  <si>
    <t>HRCS HC Categories</t>
  </si>
  <si>
    <t>HRCS RAC Categories</t>
  </si>
  <si>
    <t>Health Research Areas</t>
  </si>
  <si>
    <t>Broad Research Areas</t>
  </si>
  <si>
    <t>Cancer Types</t>
  </si>
  <si>
    <t>CSO Categories</t>
  </si>
  <si>
    <t>Units of Assessment</t>
  </si>
  <si>
    <t>Sustainable Development Goals</t>
  </si>
  <si>
    <t>2025 Dimensions CM</t>
  </si>
  <si>
    <t>grant.15195353</t>
  </si>
  <si>
    <t>22740</t>
  </si>
  <si>
    <t>Epigenetic Reprogramming for Cellular Agriculture (EPICA)</t>
  </si>
  <si>
    <t>Cellular agriculture has the potential to revolutionise protein production by offering sustainable and ethical alternatives to traditional animal farming. However, many challenges currently limit its commercial viability, including a critical lack of flexible, regulatory- and consumer-friendly technologies to engineer cell lines for large-scale production. EPICA (Epigenetic Reprogramming for Cellular Agriculture) will pioneer the use of epigenetic editing to enhance a variety of critical cell characteristics without genetic modification. We will build a toolkit for engineering of multiple cell types from different species, and demonstrate its use in industrial-scale cultivated meat and seafood bioprocesses, helping bring these technologies to market.</t>
  </si>
  <si>
    <t>Yes</t>
  </si>
  <si>
    <t>Cultivated</t>
  </si>
  <si>
    <t>Cell line development</t>
  </si>
  <si>
    <t>EUR</t>
  </si>
  <si>
    <t>2025-01-01</t>
  </si>
  <si>
    <t>Joshua Flack, Marcel Ottens, Marianne Rots</t>
  </si>
  <si>
    <t>Technische Universiteit Delft; Universitair Medisch Centrum Groningen</t>
  </si>
  <si>
    <t>Delft University of Technology; University Medical Center Groningen</t>
  </si>
  <si>
    <t>grid.5292.c; grid.4494.d</t>
  </si>
  <si>
    <t>Delft; Groningen</t>
  </si>
  <si>
    <t>Zuid-Holland; Groningen</t>
  </si>
  <si>
    <t>Netherlands; Netherlands</t>
  </si>
  <si>
    <t>Dutch Research Council</t>
  </si>
  <si>
    <t>cOAlition S</t>
  </si>
  <si>
    <t>Netherlands</t>
  </si>
  <si>
    <t>Open technologieprogramma OTP 2025 2025-3 (Funding Scheme)</t>
  </si>
  <si>
    <t>Not available</t>
  </si>
  <si>
    <t>https://app.dimensions.ai/details/grant/grant.15195353</t>
  </si>
  <si>
    <t>31 Biological Sciences; 3105 Genetics</t>
  </si>
  <si>
    <t>Genetics</t>
  </si>
  <si>
    <t>Generic health relevance</t>
  </si>
  <si>
    <t>A01 Clinical Medicine</t>
  </si>
  <si>
    <t>2 Zero Hunger</t>
  </si>
  <si>
    <t>grant.15195928</t>
  </si>
  <si>
    <t>10.61686/VFIVD43947; 21927</t>
  </si>
  <si>
    <t>3D Bioprinting of cultivated meat: Biopolymer matrices supporting formation of muscle fibers in vitro</t>
  </si>
  <si>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</si>
  <si>
    <t>Scaffolding &amp; Texturisation</t>
  </si>
  <si>
    <t>2025-10-01</t>
  </si>
  <si>
    <t>David Kilian</t>
  </si>
  <si>
    <t>Maastricht University</t>
  </si>
  <si>
    <t>grid.5012.6</t>
  </si>
  <si>
    <t>Maastricht</t>
  </si>
  <si>
    <t>Limburg</t>
  </si>
  <si>
    <t>NWO-Talentprogramma Veni TTW 2024 (Funding Scheme)</t>
  </si>
  <si>
    <t>https://doi.org/10.61686/VFIVD43947</t>
  </si>
  <si>
    <t>https://app.dimensions.ai/details/grant/grant.15195928</t>
  </si>
  <si>
    <t>30 Agricultural, Veterinary and Food Sciences; 3003 Animal Production; 31 Biological Sciences</t>
  </si>
  <si>
    <t>Biotechnology; Nutrition</t>
  </si>
  <si>
    <t>Biomedical</t>
  </si>
  <si>
    <t>Basic Science</t>
  </si>
  <si>
    <t>A06 Agriculture, Veterinary and Food Science</t>
  </si>
  <si>
    <t>grant.15156031</t>
  </si>
  <si>
    <t>565625683</t>
  </si>
  <si>
    <t>Engineered bionanoparticles as carriers for growth factors and peptides that promote cell attachment, proliferation and differentiation to improve the production of low-cost cultured meat (NanoMeat)</t>
  </si>
  <si>
    <t>Cultured or artificial meat is a form of cellular agriculture involving the production of meat from animal cells cultivated in vitro. This rapidly developing technology could provide meat to the world’s growing population while also addressing the drawbacks of traditional livestock agriculture, such as infectious diseases, antibiotic misuse, poor animal welfare, and greenhouse gas emissions. To become competitive, cultured meat must be economically comparable and ethically superior to natural meat, but this is challenging because fetal bovine serum (FBS) is needed in the culture medium to provide growth factors for cell proliferation and differentiation. FBS is expensive and can only be sourced by killing calves. A more cost-effective and ethical solution is the use of scaffolds for recombinant growth factors, offering the advantages of controlled release, greater efficacy and lower costs. Growth factors can be immobilized on plant virus-like nanoparticles (VNPs/VLPs), which are versatile and biocompatible scaffolds that act as protein-based carriers. VNPs/VLPs can be incorporated as hydrogel composites to enhance stem cell adhesion and promote cell differentiation in a 3D environment. Plant VNPs/VLPs are well tolerated by mammals and are neither toxic nor infectious to mammalian cells in vitro, making them ideal for the production of cultured meat. The proposed project will address the following research questions: (1) Can stem cells be cultivated with engineered VNPs/VLPs displaying cell adhesion peptides and growth factors in a hydrogel matrix? (2) Do these scaffolds promote stem cell attachment, proliferation, differentiation and maturation? (3) Can these scaffolds replace FBS, thus providing a safe, inexpensive and ethical alternative for cultured meat production?</t>
  </si>
  <si>
    <t>Cell culture media</t>
  </si>
  <si>
    <t>Che Julius Ngwa, Juliane Schuphan</t>
  </si>
  <si>
    <t>Fraunhofer-Institut für Molekularbiologie und Angewandte Oekologie; Rheinisch-Westfälische Technische Hochschule Aachen</t>
  </si>
  <si>
    <t>Fraunhofer Institute for Molecular Biology and Applied Ecology; RWTH Aachen University</t>
  </si>
  <si>
    <t>grid.418010.c; grid.1957.a</t>
  </si>
  <si>
    <t>Schmallenberg; Aachen</t>
  </si>
  <si>
    <t>Nordrhein-Westfalen</t>
  </si>
  <si>
    <t>Germany; Germany</t>
  </si>
  <si>
    <t>Deutsche Forschungsgemeinschaft</t>
  </si>
  <si>
    <t>Germany</t>
  </si>
  <si>
    <t>Research Grants (DFG Programme)</t>
  </si>
  <si>
    <t>https://gepris.dfg.de/gepris/projekt/565625683?language=en</t>
  </si>
  <si>
    <t>https://app.dimensions.ai/details/grant/grant.15156031</t>
  </si>
  <si>
    <t>30 Agricultural, Veterinary and Food Sciences; 3003 Animal Production; 31 Biological Sciences; 40 Engineering; 4003 Biomedical Engineering</t>
  </si>
  <si>
    <t>Bioengineering; Biotechnology; Nanotechnology; Regenerative Medicine; Stem Cell Research; Stem Cell Research - Nonembryonic - Human; Stem Cell Research - Nonembryonic - Non-Human</t>
  </si>
  <si>
    <t>5.2 Cellular and gene therapies</t>
  </si>
  <si>
    <t>A05 Biological Sciences</t>
  </si>
  <si>
    <t>3 Good Health and Well Being</t>
  </si>
  <si>
    <t>grant.14972651</t>
  </si>
  <si>
    <t>359609</t>
  </si>
  <si>
    <t>Cell-cultured octopus production through sustainable marine biomass valorization</t>
  </si>
  <si>
    <t>SEANERGIES aims to develop the scientific and technological foundation for producing cultivated octopus—meat grown from cells without killing animals. As global demand for protein rises, traditional fishing and aquaculture face major challenges, including overfishing, pollution, and animal welfare concerns. Octopuses are especially vulnerable, yet they are also highly valued for their nutrition and cultural significance.
The project uses an interdisciplinary approach combining marine biology, bioengineering, and social sciences. It will explore the octopus’s natural ability to regenerate muscle tissue to create the first stable octopus muscle cell line for use in cellular agriculture. To make this process sustainable and animal-free, SEANERGIES will develop innovative culture media based on microalgae and natural scaffolds from seaweed (Saccharina latissima, NORWEGIAN Partner's Role), providing the structure needed for muscle growth.
Key R&amp;D challenges include isolating and growing octopus cells long-term, replacing animal-derived nutrients in cell culture, and ensuring that marine-based materials can support cell attachment and development. The project will also assess the environmental and social impacts of cultivated seafood in Portugal, Italy, and Brazil.
SEANERGIES contributes to global food security and ocean health by offering a sustainable alternative to traditional seafood, aligned with EU Green Deal goals and the UN Sustainable Development Goals.</t>
  </si>
  <si>
    <t>Cell line development / Media</t>
  </si>
  <si>
    <t>NOK</t>
  </si>
  <si>
    <t>2028-12-31</t>
  </si>
  <si>
    <t>Alexander Jüterbock</t>
  </si>
  <si>
    <t>NORD UNIVERSITET</t>
  </si>
  <si>
    <t>Nord University</t>
  </si>
  <si>
    <t>grid.465487.c</t>
  </si>
  <si>
    <t>Bodø</t>
  </si>
  <si>
    <t>Norway</t>
  </si>
  <si>
    <t>The Research Council of Norway</t>
  </si>
  <si>
    <t>SEA-BASED-SEA-BASED (Funding scheme)</t>
  </si>
  <si>
    <t>https://prosjektbanken.forskningsradet.no/en/project/FORISS/359609</t>
  </si>
  <si>
    <t>https://app.dimensions.ai/details/grant/grant.14972651</t>
  </si>
  <si>
    <t>31 Biological Sciences; 41 Environmental Sciences; 4104 Environmental Management; 48 Law and Legal Studies; 4803 International and Comparative Law</t>
  </si>
  <si>
    <t>B07 Earth Systems and Environmental Sciences</t>
  </si>
  <si>
    <t>14 Life Below Water; 2 Zero Hunger</t>
  </si>
  <si>
    <t>grant.14970420</t>
  </si>
  <si>
    <t>BiochAIn - BiochAIn ist ein Softwareprojekt für die Optimierung einer gesamten biotechnologischen Verfahrenskette(Chain) mittels AI</t>
  </si>
  <si>
    <t>BiochAIn - BiochAIn is a software project for optimizing an entire biotechnological process chain using AI</t>
  </si>
  <si>
    <t>Biotechnologische Produktionsverfahren finden breite Anwendung in der pharmazeutischen Industrie, zur Herstellung von Feinchemikalien, in der Umwelttechnologie und in der Lebensmittelindustrie und generieren eine hohe Wertschöpfung. Aufgrund der hohen Komplexität dieser Verfahren, bedingt durch das vielschichtige Zusammenspiel von Biologie und Verfahrenstechnik, besteht in zahlreichen Fällen ein nur sehr eingeschränktes Prozessverständnis. Dies wiederum führt zu wenig effizienten und daher teuren Prozessen, limitiert die Möglichkeiten zur Prozessoptimierung und ist auch ein wesentlicher Grund dafür, dass bis dato die enormen Fortschritte im Bereich der Digitalisierung, Methoden der künstlichen Intelligenz und Modellierung/Simulation nicht im erforderlichen Ausmaß zur Auslegung und Führung von Bioprozessen zur Anwendung kommen.
Im Rahmen des Projektes soll daher eine generische Software-Toolbox entwickelt werden um genannte Fortschritte im Bereich der Digitalisierung den Experten der Domäne Bioprozess-technik zugänglich machen und eine Implementierung der Digitalisierung gemäß Industrie 4.0 im Bio-Manufacturing ermöglichen.
Mit dem BiochAIn Projekt hat sich die Novasign zum Ziel gesetzt, weltweit die erste digitale Prozessmodellierungstoolbox für die Optimierung aller biotechnologisch relevanten Verfahrensschritte zu entwickeln. Mit dieser Software-Suite soll es erstmals möglich werden, dass Biotechnologen und Bioprozessingenieur:innen über eine nutzerzentrierte grafische Bedienoberfläche alle Einzelschritte der Prozesskette, sowohl individuell als auch in ihrer Gesamtheit, mit Hilfe von Modellen und Simulation selbstständig und unabhängig von hochspezialisierten Softwareentwicklern und Data Scientists optimieren können. Die Software wird auch ermöglichen, dass Prozessingenieur:innen abteilungsübergreifend Herstellungsprozesse für Produkte (zum Beispiel einen Antikörper für die Krebstherapie) in einem integrativen Ansatz optimieren können um lebensrettende Medizin den Patient:innen früher und günstiger zur Verfügung stellen zu können.
Die Softwareentwicklung wird in 4 Blöcke aufgeteilt und soll über einen Zeitraum von 4 Jahren (durch schnelleren Fortschritt verkürzt auf 3 Jahre) erfolgen. Im ersten Schritt wurde eine geeignete Softwarearchitektur festgelegt, welche einerseits alle technischen Herausforderungen bewältigen kann und andererseits für Benutzer:innen, einfach bedienbar ist. In einem Datenvorverarbeitungs-/Visualisierungsblock werden Onlinedaten (Prozesssystem) und Offlinedaten (Messungen) mit Methoden der statistischen Datenaufbereitung und Analyse vorprozessiert, verknüpft und so für Visualisierung und Modellierung vorbereitet. Der Modellierblock wird so aufgesetzt, dass die unterschiedlichsten State-of-the-art Machine Learning (ML) Methoden implementiert werden und so die jeweils bestgeeignete Methode für zur Modellierung unterschiedlicher Bioprozessschritte eingesetzt werden kann. Im finalen Schritt, dem digitalen Zwilling, kann jeder einzelne der Modellblöcke individuell oder mittels drag-and-drop mit anderen Einheiten verknüpft zu einer Prozesskette nach einer bestimmten Zielgröße (z.B. höchstmögliche Produktausbeute oder kürzere Prozessdauer) optimiert werden und für die online Monitoring angewendet werden. Um Nutzer:innen bestmöglich unterstützen zu können, wird die Software über eine selbstlernende Funktion (Artificial Intelligence) verfügen, welche es möglich macht, jeden einzelnen Verfahrensschritt als auch die gesamte Prozesskette schnell, zielgerichtet und automatisiert entlang eines Workflows zu optimieren.
Die Software soll neben der biopharmazeutischen Industrie auch für die industrielle Biotechnologie (Herstellung von Enzymen und biobasierten Polymeren aus Abfallströmen) als auch im Bereich der Lebensmittelindustrie für die Erzeugung von Proteinersatzstoffen (Cultured Meat, Precision Fermentation) Verwendung finden.
Der Name BiochAIn leitet sich daher aus Bio (für Bioprozess), chain (für Prozesskette) und AI (für die Künstliche Intelligenz der Selbstlernfunktion) ab.</t>
  </si>
  <si>
    <t>Biotechnological production processes are widely used in the pharmaceutical industry, for the production of fine chemicals, in environmental technology, and in the food industry, and generate high added value. Due to the high complexity of these processes, caused by the complex interplay of biology and process engineering, in many cases there is only a very limited understanding of the processes. This, in turn, leads to inefficient and therefore expensive processes, limits the possibilities for process optimization, and is also a key reason why the enormous advances in digitalization, artificial intelligence methods, and modeling/simulation have not yet been applied to the required extent for the design and management of bioprocesses.
The project therefore aims to develop a generic software toolbox to make these advances in digitalization accessible to experts in the bioprocess engineering domain and enable the implementation of digitalization in accordance with Industry 4.0 in biomanufacturing.
With the BiochAIn project, Novasign aims to develop the world's first digital process modeling toolbox for optimizing all biotechnologically relevant process steps. This software suite will enable biotechnologists and bioprocess engineers to independently optimize all individual steps of the process chain, both individually and as a whole, using models and simulations via a user-centered graphical user interface, independently of highly specialized software developers and data scientists. The software will also enable process engineers to optimize manufacturing processes for products (e.g., an antibody for cancer therapy) across departments using an integrative approach to make life-saving medicine available to patients sooner and more cost-effectively.
Software development will be divided into four blocks and will be completed over a period of four years (shortened to three years due to faster progress). The first step involved defining a suitable software architecture that, on the one hand, can address all technical challenges and, on the other, is easy to use for users. In a data preprocessing/visualization block, online data (process system) and offline data (measurements) are preprocessed using statistical data processing and analysis methods, linked, and prepared for visualization and modeling. The modeling block is set up to implement a wide variety of state-of-the-art machine learning (ML) methods, allowing the most suitable method to be used for modeling different bioprocess steps. In the final step, the digital twin, each of the model blocks can be optimized individually or linked to other units via drag-and-drop to form a process chain according to a specific target (e.g., highest possible product yield or shorter process time) and applied for online monitoring. To provide the best possible support to users, the software will feature a self-learning function (artificial intelligence), which makes it possible to quickly, specifically, and automatically optimize each individual process step as well as the entire process chain along a workflow.
In addition to the biopharmaceutical industry, the software is also intended to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</si>
  <si>
    <t>Cross-cutting</t>
  </si>
  <si>
    <t>Bioprocess design</t>
  </si>
  <si>
    <t>2025-01-04</t>
  </si>
  <si>
    <t>2026-03-31</t>
  </si>
  <si>
    <t>Novasign GmbH</t>
  </si>
  <si>
    <t>Austrian Research Promotion Agency</t>
  </si>
  <si>
    <t>Austria</t>
  </si>
  <si>
    <t>IWI 24/26 (program); Basic Program Call for Proposals 2025 (program)</t>
  </si>
  <si>
    <t>https://projekte.ffg.at/projekt/5139169</t>
  </si>
  <si>
    <t>https://app.dimensions.ai/details/grant/grant.14970420</t>
  </si>
  <si>
    <t>46 Information and Computing Sciences; 4612 Software Engineering</t>
  </si>
  <si>
    <t>Bioengineering; Biotechnology; Data Science; Machine Learning and Artificial Intelligence; Networking and Information Technology R&amp;D (NITRD)</t>
  </si>
  <si>
    <t>B12 Engineering</t>
  </si>
  <si>
    <t>9 Industry, Innovation and Infrastructure</t>
  </si>
  <si>
    <t>grant.15084865</t>
  </si>
  <si>
    <t>101182025; 277738; GREENGROCER; 10.3030/101182025</t>
  </si>
  <si>
    <t>Maturing food footprint tools, solutions, and uptake to accelerate a rapid EU food transition</t>
  </si>
  <si>
    <t>There is a recognized and urgent need for better food footprint data to accurately inform the sustainable food system transition as the current knowledge infrastructure is inadequate both in terms of scientific robustness and real-world suitability for regulatory and business decision support. The objective of GREENGROCER is to make foundation-strengthening investments in critical knowledge infrastructure in order to advance food footprint data from lab to application. The project packages investments across over a dozen leading mainstream tools including Trase, HESTIA, CoolFarm, FABIO, and EXIOBASE, which collectively form the foundation of most food footprint data currently in use. Work in GREENGROCER: 1) improves the scientific depth by revisiting long standing weak areas including on subnational supply chain specificity, reliability information, and novel and neglected products and impacts such as spices, seaweed, insect protein, cellular agriculture, cold chain energy use, and seafloor disturbance; 2) makes foundation-strengthening investments that take all models towards full compliance with the EU’s Product Environmental Footprint standards and improve FAIRness and interoperability; and 3) promotes exploitation through multi-stakeholder dialogue between food system researchers, industry, and regulators aimed at prioritising pain points and supporting effective regulation. Finally, to collate data without yet another centralised repository, the project leverages Europe’s competitive advantage in marrying AI with scientific expertise to pioneer a fact-based AI expert which can interact with and gather the rapidly growing volume of food system science. Aimed at the Horizon Europe work program destination of reducing the environmental impact of the food system, GREENGROCER outputs are oriented around 13 specific relevant EU policy frameworks including FSFS, EUDR, ESRS, CSRD, CSDDD, and the CAP.</t>
  </si>
  <si>
    <t>Impact assessments</t>
  </si>
  <si>
    <t>2025-09-01</t>
  </si>
  <si>
    <t>2029-08-31</t>
  </si>
  <si>
    <t>UNIVERSITEIT LEIDEN; HOEGSKOLAN KRISTIANSTAD; TETRA PAK PACKAGING SOLUTIONS AB; NILU KLIMAT OCH MILJOINSTITUTET AB; INESC TEC - INSTITUTO DE ENGENHARIADE SISTEMAS E COMPUTADORES, TECNOLOGIA E CIENCIA; ARBORETICA BV; STIFTELSEN NILU; STIFTELSEN THE STOCKHOLM ENVIRONMENT INSTITUTE; SANTA MARIA AB; ECOLE NORMALE SUPERIEURE; UNIVERSITY OF YORK; BERGISCHE UNIVERSITAET  WUPPERTAL; EIDGENOESSISCHE TECHNISCHE HOCHSCHULE ZUERICH; COOL FARM ALLIANCE COMMUNITY INTEREST COMPANY; CLIMATE AND COMPANY PUBLIC AFFAIRS UG; GLOBESCAN INCORPORATED; LATVIJAS UNIVERSITATE; THE CHANCELLOR, MASTERS AND SCHOLARS OF THE UNIVERSITY OF OXFORD; Départ de Sentier; CENTRE NATIONAL DE LA RECHERCHE SCIENTIFIQUE CNRS; ZURCHER HOCHSCHULE FUR ANGEWANDTE WISSENSCHAFTEN; CHALMERS TEKNISKA HOGSKOLA AB</t>
  </si>
  <si>
    <t>Leiden University; Kristianstad University; Tetra Pak Packaging Solutions AB; INESC TEC - Institute for Systems and Computer Engineering, Technology and Science; Stockholm Environment Institute; Santa Maria AB; École Normale Supérieure - PSL; University of York; University of Wuppertal; ETH Zurich; Cool Farm Alliance; University of Latvia; University of Oxford; French National Centre for Scientific Research; Zurich University of Applied Sciences; Chalmers University of Technology</t>
  </si>
  <si>
    <t>grid.5132.5; grid.16982.34; grid.570819.2; grid.20384.3d; grid.35843.39; grid.534081.b; grid.5607.4; grid.5685.e; grid.7787.f; grid.5801.c; grid.500093.f; grid.9845.0; grid.4991.5; grid.4444.0; grid.19739.35; grid.5371.0</t>
  </si>
  <si>
    <t>Leiden; Kristianstad; Lund; Porto; Stockholm; Paris; York; Wuppertal; Zurich; London; Riga; Oxford; Paris; Winterthur; Gothenburg</t>
  </si>
  <si>
    <t>Île-de-France; York; Nordrhein-Westfalen; Oxfordshire</t>
  </si>
  <si>
    <t>Netherlands; Sweden; Sweden; Portugal; Sweden; Sweden; France; United Kingdom; Germany; Switzerland; United Kingdom; Latvia; United Kingdom; France; Switzerland; Sweden</t>
  </si>
  <si>
    <t>European Commission</t>
  </si>
  <si>
    <t>EC &amp; ERC - European Union; cOAlition S</t>
  </si>
  <si>
    <t>Belgium</t>
  </si>
  <si>
    <t>HORIZON.2.6 - Food, Bioeconomy Natural Resources, Agriculture and Environment (Programme); HORIZON-RIA - HORIZON  Research and Innovation Actions (Funding scheme); HORIZON-CL6-2024-ZEROPOLLUTION-01 (Call for proposal)</t>
  </si>
  <si>
    <t>https://cordis.europa.eu/project/id/101182025</t>
  </si>
  <si>
    <t>https://app.dimensions.ai/details/grant/grant.15084865</t>
  </si>
  <si>
    <t>30 Agricultural, Veterinary and Food Sciences; 3006 Food Sciences; 46 Information and Computing Sciences</t>
  </si>
  <si>
    <t>C18 Law</t>
  </si>
  <si>
    <t>12 Responsible Consumption and Production</t>
  </si>
  <si>
    <t>grant.15201033</t>
  </si>
  <si>
    <t>UKRI633</t>
  </si>
  <si>
    <t>Advanced Microchannel Structured SiC Hollow Fibre Membranes for Value-Added Oil Recovery in Precision Fermentation (PF)</t>
  </si>
  <si>
    <t>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</si>
  <si>
    <t>Fermentation</t>
  </si>
  <si>
    <t>GBP</t>
  </si>
  <si>
    <t>2025-06-02</t>
  </si>
  <si>
    <t>2027-06-02</t>
  </si>
  <si>
    <t>Zhentao Wu, Ming Xie</t>
  </si>
  <si>
    <t>Aston University</t>
  </si>
  <si>
    <t>grid.7273.1</t>
  </si>
  <si>
    <t>Birmingham</t>
  </si>
  <si>
    <t>United Kingdom</t>
  </si>
  <si>
    <t>Engineering and Physical Sciences Research Council</t>
  </si>
  <si>
    <t>cOAlition S; UKRI - UK Research and Innovation</t>
  </si>
  <si>
    <t>Research and Innovation (Project Category)</t>
  </si>
  <si>
    <t>https://gtr.ukri.org/projects?ref=UKRI633</t>
  </si>
  <si>
    <t>https://app.dimensions.ai/details/grant/grant.15201033</t>
  </si>
  <si>
    <t>40 Engineering; 4004 Chemical Engineering</t>
  </si>
  <si>
    <t>13 Climate Action; 7 Affordable and Clean Energy</t>
  </si>
  <si>
    <t>grant.15054223</t>
  </si>
  <si>
    <t>10144450</t>
  </si>
  <si>
    <t>Scaling sustainable cocoa butter production using cellular agriculture</t>
  </si>
  <si>
    <t>For the third year running, cocoa demand has outstripped supply, with a 2023/24 deficit of 462,000 tons predicted by the International Cocoa Organization. Consequently, in April 2024, cocoa prices reached an historic high of USD12,261/ton, compared to around USD3,000/ton in April 2023\.
Cocoa yields, which are expected to fall by 11.7% in 2023/24, are already significantly affected by both the climate crisis and prevailing climate patterns (El Nino), which have led to more extreme weather conditions in key cocoa-producing regions. Seasonally wetter conditions have driven devastating fungal disease outbreaks (black pod disease causes 20-30% yield losses globally and up to 100% locally). Seasonally warmer and drier conditions have also driven mealybug outbreaks, exacerbating the spread of endemic viral diseases (cocoa swollen shoot virus disease can cause local yield losses of 15-50%). By 2050, it is estimated that 89.5% of cocoa-producing areas will be less suitable for production.
Alongside climate and disease challenges, the rising price of agricultural inputs (including fertiliser and pesticides) has forced farmers to reduce application rates, further reducing yield and profits. With smallholder farmers having limited investment opportunities, cocoa trees are also ageing and less productive. Coupling these production challenges with low farm-gate prices and small farm sizes, the majority of farmers in the two main cocoa-producing countries (Côte d'Ivoire and Ghana) are unable to earn a living income. Consequently, younger generations are increasingly seeking more rewarding employment opportunities.
Cocoa continues to be a major driver of deforestation, biodiversity loss, and serious labour issues including child labour and forced labour. With cocoa demand continuing to rise, alternatives to traditional cocoa that can future-proof supplies and offer improved social and environmental impacts are receiving increasing attention.
First-generation cocoa alternatives substitute cocoa for natural alternatives (e.g., carob), but they cannot recreate the authentic organoleptic properties of cocoa.
Second-generation cocoa alternatives use precision fermentation to recreate key components of cocoa, but because they do not generate the full range of natural compounds in cocoa, they cannot recreate the full organoleptic properties of cocoa. Precision fermentation techniques also rely on energy-intensive genetically modified microbial production processes, which are challenging to scale.
Recently, plant cell culture processes have been developed that uniquely offer the opportunity to recreate nature-identical cocoa, without requiring the development or use of genetically modified microbes, and with an energy-efficient and theoretically scalable production process.
Here, Extracellular (UK) and Celleste Bio (Israel) will scale plant cell cultured cocoa production.</t>
  </si>
  <si>
    <t>N/A</t>
  </si>
  <si>
    <t>2025-04-30</t>
  </si>
  <si>
    <t>2027-04-29</t>
  </si>
  <si>
    <t>Jamie Thompson</t>
  </si>
  <si>
    <t>EXTRACELLULAR LTD</t>
  </si>
  <si>
    <t>Innovate UK</t>
  </si>
  <si>
    <t>Collaborative R&amp;D (Project Category)</t>
  </si>
  <si>
    <t>https://gtr.ukri.org/projects?ref=10144450</t>
  </si>
  <si>
    <t>https://app.dimensions.ai/details/grant/grant.15054223</t>
  </si>
  <si>
    <t>30 Agricultural, Veterinary and Food Sciences; 3002 Agriculture, Land and Farm Management</t>
  </si>
  <si>
    <t>Complementary and Integrative Health</t>
  </si>
  <si>
    <t>13 Climate Action; 15 Life on Land; 2 Zero Hunger</t>
  </si>
  <si>
    <t>2025 Dimensions F</t>
  </si>
  <si>
    <t>grant.14933116</t>
  </si>
  <si>
    <t>101214268; 272166; UNICO2RN; 10.3030/101214268</t>
  </si>
  <si>
    <t>Flexible and Efficient Capture and Bioconversion of CO2 to Materials and Ingredients</t>
  </si>
  <si>
    <t>The UNICO2RN project aims to demonstrate novel routes to convert biogenic CO2 into ingredients and materials, involving metal organic framework-based capture and purification technology and biotechnological processes based on Hydrogen Oxidizing Bacteria. The modularity and flexibility of the developed processes will be shown through 2 demonstration cases in real industrial settings at TRL 7 for sustainable and efficient production of microbial proteins and PHA, from 2 types of biogenic CO2 sources of different concentration and purity. These new routes bring clear advantages in terms of efficiency, safety, environmental footprint and greenhouse gas emission reductions with respect to benchmarks. Their development to TRL7 will enable their industrialization and thus lead to major positive economic, environmental and social/societal impacts.</t>
  </si>
  <si>
    <t>2025-06-01</t>
  </si>
  <si>
    <t>2029-05-31</t>
  </si>
  <si>
    <t>VLAAMSE INSTELLING VOOR TECHNOLOGISCH ONDERZOEK N.V.; NIZO FOOD RESEARCH BV; CO2BIOCLEAN GMBH; VEOLIA NV-SA; LESAFFRE INTERNATIONAL; SABIO SRL; NOVA-INSTITUT FUR POLITISCHE UND OKOLOGISCHE INNOVATION GMBH; IDENER RESEARCH &amp; DEVELOPMENT AIE; MOF TECHNOLOGIES LIMITED; AERBIO A/S; AERBIO BV</t>
  </si>
  <si>
    <t>Flemish Institute for Technological Research; Nederlands Instituut Voor Zuivel Oonderzoek; Lesaffre International SARL; Nova Institut</t>
  </si>
  <si>
    <t>grid.6717.7; grid.419921.6; grid.700749.d; grid.425930.9</t>
  </si>
  <si>
    <t>Mol; Ede; Hürth</t>
  </si>
  <si>
    <t>Belgium; Netherlands; France; Germany</t>
  </si>
  <si>
    <t>HORIZON.2.6 - Food, Bioeconomy Natural Resources, Agriculture and Environment (Programme); HORIZON-JU-IA - HORIZON JU Innovation Actions (Funding scheme); HORIZON-JU-CBE-2024 (Call for proposal)</t>
  </si>
  <si>
    <t>https://cordis.europa.eu/project/id/101214268</t>
  </si>
  <si>
    <t>https://app.dimensions.ai/details/grant/grant.14933116</t>
  </si>
  <si>
    <t>13 Climate Action</t>
  </si>
  <si>
    <t>grant.15166434</t>
  </si>
  <si>
    <t>APVV-24-0069; 47a3727f-b41e-40a8-b1a3-4d27984ab6ba</t>
  </si>
  <si>
    <t>Sustainable production of microbial proteins and their application in value-added cereal goods manufacturing</t>
  </si>
  <si>
    <t>As demand for animal origin food products increases faster than a global production can offer, novel strategies for carbon-neutral food manufacturing are an important part for diversifying food products and ensuring food self-sufficiency. Nowadays, more than one-fifth of global greenhouse gas emissions come from agriculture. Therefore, the development of alternative proteins and their adoption by consumers is critical to reduce negative climate change. Although plant-based alternatives make up 99% of this market, and most other proteins types (insects or microbes) are still in research and development pushing their greater commercialization at the end of this decade. The market with microbial proteins will be driven mainly by the expected increase in the world population, associated with countries' effort to secure food self-sufficiency and current trends in food consumption, which won’t be reachable by conventional agriculture/economy. Among the advantages of microbial proteins is their simple production, which includes a very short production time compared to the duration of growing crops, or raising animals, and also lower land and water requirements. Moreover, already available and producible mycoproteins (used as whole-cell products; without necessity of protein concentration or isolation) contain 40 % protein, have a high fibre content, limited saccharides content and don’t contain cholesterol, which makes them nutritionally more interesting compared to „classic“ proteins.
The presented project focuses on potential production of microbial proteins using filamentous fungi and yeast by utilization of waste byproducts from industry. The main waste side-stream would be corn mash (form ethanol production) and glycerol (from biodiesel production). Returning of such waste into production has significant environmental effect. Furthermore, the produced biomass will be employed into process of bakery good production. Thus the effect of usage of these alternative would b</t>
  </si>
  <si>
    <t>End product formulation</t>
  </si>
  <si>
    <t>microbial biomass; circular economy; industrial waste processing; bakery products</t>
  </si>
  <si>
    <t>2025-01-09</t>
  </si>
  <si>
    <t>Tatiana Klempová, Milan Čertík, Zlatica Kohajdová, Michaela Lauková, Peter Gajdoš, Lucia Minarovičová</t>
  </si>
  <si>
    <t>Research and Development center s.r.o.; Slovak University of Technology in Bratislava, Faculty of Chemical and Food Technology</t>
  </si>
  <si>
    <t>Slovak University of Technology in Bratislava</t>
  </si>
  <si>
    <t>grid.440789.6</t>
  </si>
  <si>
    <t>Bratislava</t>
  </si>
  <si>
    <t>Slovakia</t>
  </si>
  <si>
    <t>Slovak Research and Development Agency</t>
  </si>
  <si>
    <t>SR&amp;DA (APVV) Public Call (Program type, financial source)</t>
  </si>
  <si>
    <t>https://www.skcris.sk/sk/register-projektov/detail/47a3727f-b41e-40a8-b1a3-4d27984ab6ba</t>
  </si>
  <si>
    <t>https://app.dimensions.ai/details/grant/grant.15166434</t>
  </si>
  <si>
    <t>30 Agricultural, Veterinary and Food Sciences; 31 Biological Sciences; 44 Human Society; 4410 Sociology</t>
  </si>
  <si>
    <t>13 Climate Action; 2 Zero Hunger</t>
  </si>
  <si>
    <t>grant.14933075</t>
  </si>
  <si>
    <t>101212855; 271884; MYCOCIRCLE; 10.3030/101212855</t>
  </si>
  <si>
    <t>Upcycling mushroom waste to replace animal derived chemicals</t>
  </si>
  <si>
    <t>Animal-derived materials are surprisingly widespread in everyday products. For example, in the cosmetics, pharmaceutical and agrochemicals industries, squalene (from shark liver oil), chitin/chitosan (from crustaceans) and animal-derived proteins and fats are widely exploited despite growing ethical and sustainability concerns.
Fungal biomass is rich in chitin, while recent advances in fermentation technologies offer opportunities to convert fungal glucans into microbial proteins, oils and even triterpenes such as squalene.
However, scalability is a major challenge, due to the limited availability of clean fungal biomass and competition with food/feed value chains. Moreover, oil production using existing fungal fermentation routes is limited to low-value triglycerides, and efficient product extraction remains a bottleneck.
Feedstock diversification is needed, alongside innovation towards higher-value products and more efficient processes.
The production of edible mushrooms produces ~189M tpa of mycelium rich wastes, contaminated with lignocellulosic growth substrate. This contamination makes these wastes unsuitable for food/feeds, and incompatible with existing valorisation approaches.
MYCOCIRCLE will focus on this challenging feedstock, developing new technologies including an enzymatic fractionation process, two parallel fermentation routes, and novel enzymatic chitin conversion reactions.
The resulting product streams, including fungal chitosan/chito-oligosaccharides, a high-value squalene-rich microbial oil, and microbial proteins, will be validated as replacements to animal derived materials in cosmetic and agrochemical applications.
The MYCOCIRCLE consortium represents the entire value chain, from feedstock producers (SYLVAN, KORONA) to industrial biotechnology companies (GST), and end users (GI, THGL). This value chain will be supported by world experts in biomass valorisation, enzymatic processing, and SSbD development: TUM, SINTEF, NMBU, SLU and IDENER.</t>
  </si>
  <si>
    <t>Ingredient optimisation</t>
  </si>
  <si>
    <t>2028-08-31</t>
  </si>
  <si>
    <t>SOMYCEL SA; TECHNISCHE UNIVERSITAET MUENCHEN; SINTEF AS; IDENER RESEARCH &amp; DEVELOPMENT AIE; NORGES MILJO-OG BIOVITENSKAPELIGE UNIVERSITET; SVERIGES LANTBRUKSUNIVERSITET; GREEN IMPULSE; GLOBAL SUSTAINABLE TRANSFORMATION GST GmbH; Acheson &amp; Acheson Limited T/A THG Labs</t>
  </si>
  <si>
    <t>Technical University of Munich; SINTEF AS; Norwegian University of Life Sciences; Swedish University of Agricultural Sciences</t>
  </si>
  <si>
    <t>grid.6936.a; grid.4319.f; grid.19477.3c; grid.6341.0</t>
  </si>
  <si>
    <t>Munich; Trondheim; Ås; Uppsala</t>
  </si>
  <si>
    <t>Germany; Norway; Norway; Sweden</t>
  </si>
  <si>
    <t>HORIZON.2.6 - Food, Bioeconomy Natural Resources, Agriculture and Environment (Programme); HORIZON-JU-RIA - HORIZON JU Research and Innovation Actions (Funding scheme); HORIZON-JU-CBE-2024 (Call for proposal)</t>
  </si>
  <si>
    <t>https://cordis.europa.eu/project/id/101212855</t>
  </si>
  <si>
    <t>https://app.dimensions.ai/details/grant/grant.14933075</t>
  </si>
  <si>
    <t>31 Biological Sciences; 3106 Industrial Biotechnology</t>
  </si>
  <si>
    <t>grant.14878552</t>
  </si>
  <si>
    <t>LS24-058</t>
  </si>
  <si>
    <t>Designing a professional-secretory synthetic endoplasmic reticulum in yeasts and plant cells</t>
  </si>
  <si>
    <t>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</si>
  <si>
    <t>Cell line development / Strain development</t>
  </si>
  <si>
    <t>2025-07-01</t>
  </si>
  <si>
    <t>2029-06-30</t>
  </si>
  <si>
    <t>Brigitte Gasser, Eva Stöger</t>
  </si>
  <si>
    <t>BOKU - University of Natural Resources and Life Sciences</t>
  </si>
  <si>
    <t>University of Natural Resources and Life Sciences</t>
  </si>
  <si>
    <t>grid.5173.0</t>
  </si>
  <si>
    <t>Vienna</t>
  </si>
  <si>
    <t>Vienna Science and Technology Fund</t>
  </si>
  <si>
    <t>Life Sciences (Programs)</t>
  </si>
  <si>
    <t>https://www.wwtf.at/funding/programmes/ls/LS24-058</t>
  </si>
  <si>
    <t>https://app.dimensions.ai/details/grant/grant.14878552</t>
  </si>
  <si>
    <t>31 Biological Sciences; 3101 Biochemistry and Cell Biology</t>
  </si>
  <si>
    <t>Biotechnology</t>
  </si>
  <si>
    <t>grant.15078549</t>
  </si>
  <si>
    <t>2024-02716_Formas</t>
  </si>
  <si>
    <t>SEAlgaePower － Sustainable development of microalgae-based ingredients using waste streams from aquaculture and seafood processing industry as feedstock</t>
  </si>
  <si>
    <t>The overall objective of the SEAlgaePower project is to develop innovative microalgae-based technologies to clean wastewater from the aquaculture and seafood processing industry while simultaneously producing biomass for novel ingredients in a sustainable way. The specific aims are to: (i) select suitable microalgae species from the North and the Mediterranean Sea in a lab-scale cultivation system based on the ability to grow in different wastewater types; (ii) develop protocols for pilot-scale algae cultivation and wastewater cleaning; (iii) develop biorefinery protocols for protein, lipid and carbohydrate recovery from the microalgal biomass; (iv)  develop microalgae-based product prototypes and ingredients; (v) assess environmental and socio-economic aspects associated with the project solutions for wastewater cleaning, microalgae cultivation and biomass valorisation, and (v) maximise the project impact, visibility, and legacy. In this project, UGOT will employ a two-stage cultivation in lab-scale for screening of microalgae growth in wastewater from salmon aquaculture and process waters from the seafood industry. Chalmers will analyse the biochemical composition of the various water types and will also contribute to biorefining of microalgal biomass by extracting protein for development of alternative food protein ingredients. RISE will use polysaccharide-enriched fractions from the biorefinery to develop fibre prototypes for use in wound care and regenerative medicine.</t>
  </si>
  <si>
    <t>Plant-based</t>
  </si>
  <si>
    <t>SEK</t>
  </si>
  <si>
    <t>2025-08-01</t>
  </si>
  <si>
    <t>2028-07-31</t>
  </si>
  <si>
    <t>Cornelia Spetea Wiklund, Markus Andersson Trojer, Ingrid Undeland</t>
  </si>
  <si>
    <t>University of Gothenburg</t>
  </si>
  <si>
    <t>grid.8761.8</t>
  </si>
  <si>
    <t>Gothenburg</t>
  </si>
  <si>
    <t>Sweden</t>
  </si>
  <si>
    <t>Swedish Research Council for Environment Agricultural Sciences and Spatial Planning</t>
  </si>
  <si>
    <t>20901:Bioprocessteknik, Bioprocess Technology (SCB); 2:Teknik, Engineering and Technology (SCB); 209:Industriell bioteknik, Industrial Biotechnology (SCB)</t>
  </si>
  <si>
    <t>https://www.vr.se/swecris.html#/project/2024-02716_Formas</t>
  </si>
  <si>
    <t>https://app.dimensions.ai/details/grant/grant.15078549</t>
  </si>
  <si>
    <t>grant.15051286</t>
  </si>
  <si>
    <t>360345</t>
  </si>
  <si>
    <t>SEAlgaePower: Sustainable development of microalgae-based products using waste streams from aquaculture and seafood processing industry</t>
  </si>
  <si>
    <t>The fast-growing land-based aquaculture and seafood processing industry generate large amounts of nutrient-rich wastewater, posing a high cost for discharge and environmental impact. At the same time, there is an increasing demand for new resources intended for carbon-neutral production of food, material and energy. The ability of microalgae to perform photosynthesis and efficiently convert dissolved nutrients into valuable biomass could contribute to solving this dual problem. The overall objective of SEAlgaePower is to develop microalgae-based technologies to clean wastewater from the aquaculture and seafood processing industry while simultaneously producing biomass for novel ingredients in a sustainable way.  The specific aims are to: (i) select suitable microalgae species/strains from the North and the Mediterranean Sea in a lab-scale cultivation system based on the ability to grow in different wastewater types; ((ii) develop pilot-scale algae cultivation protocols and wastewater cleaning; (iii) develop biorefinery protocols for protein, lipid and carbohydrate recovery from the microalgal biomass; (iv) develop microalgae-based prototypes and ingredients; (v) assess environmental and socio-economic aspects associated with the project solutions on wastewater cleaning, microalgae cultivation and biomass valorisation, and (v) maximise the project impact, visibility, and legacy.
The SEAlgaePower consortium, coordinated by the University of Gothenburg, consists of thirteen partners from seven countries: Chalmers University of Technology, NORCE Norwegian Research Centre, University of Aveiro, University of Palermo, Sustainable Innovation Technology Services, RISE Research Institutes of Sweden, Nordicflexhouse, Danish Technological Institute, Universidade de Sao Paulo, Norwegian Institute of Bioeconomy Research, Klädesholmen Seafood, and RAGN-SELLS HAVBRUK.</t>
  </si>
  <si>
    <t>Hanna Böpple</t>
  </si>
  <si>
    <t>NORCE RESEARCH AS</t>
  </si>
  <si>
    <t>BIOTEKNOLOGI-BIOTEKNOLOGI (Funding scheme)</t>
  </si>
  <si>
    <t>https://prosjektbanken.forskningsradet.no/en/project/FORISS/360345</t>
  </si>
  <si>
    <t>https://app.dimensions.ai/details/grant/grant.15051286</t>
  </si>
  <si>
    <t>31 Biological Sciences; 3106 Industrial Biotechnology; 41 Environmental Sciences; 4104 Environmental Management</t>
  </si>
  <si>
    <t>grant.14955094</t>
  </si>
  <si>
    <t>101213354; 272325; CleanAlgae2Value; 10.3030/101213354</t>
  </si>
  <si>
    <t>Demonstrating a cost competitive, sustainable, scalable intensified micro-algae bioprocess for the production of food-grade medium value, carbon negative Ingredients exceeding Market Standards</t>
  </si>
  <si>
    <t>Micro-Algae offer a solution to many of the European bioeconomy needs. Nevertheless, significant challenges still exist to their acceptance on the market, including organoleptic and functionality challenges. CleanAlgae2Value seeks to unlock such potential via a cascading approach to white-microalgae-derived medium-price ingredients, including protein isolates, oils, natural pigments and starch. The project will build and operate a replicable “upgrading-module” to drastically enhance relevant biorefineries performance via a cost-competitive, sustainable, and scalable microalgae fractionation and valorisation process for producing food-grade, medium-value, carbon-negative ingredients that exceed market standards. More specifically, the project will prove the effectiveness and efficiency of a “Micro-Algae Biorefinery Upgrade Module” (MABUM), able to unlock productions of protein isolates, protein concentrates, starch-rich fraction and oils (respectively 2, 1.3, 3.98 and 1.8 tons) to be validated into 15 prototypes, 13 for food and 2 for bio-packaging markets. The project will do so while increasing operative margins, by decreasing “value-normalised” CAPEX and OPEX, also thanks to modelling optimisation, contributing to market penetration. Importantly, CleanAlgae2Value would also benefit from synergies with a recently granted EIC Accelerator project, which focuses on upstream algae production from CO2 via SOL two-step fermentation, using solely CO2 as carbon source. The project brings together 16 organizations from 9 European countries, collaborating with end-users to produce added value ingredients. Holistic evaluations, including both empirical (surveys, workshops) and horizontal considerations (LCA, TEA, SSbD), will allow for the assessment of market acceptance and environmental, economic and societal sustainability, as well as further support and boost the project DCE activities and pathways towards EFSA positive opinion for those ingredients that still require it.</t>
  </si>
  <si>
    <t>2029-09-30</t>
  </si>
  <si>
    <t>DELTA ANONYMI VIOMICHANIKI KAI EMPORIKI ETAIREIA TROFIMON MONOPROSOPI A.E.; CENTRE FOR PROCESS INNOVATION LIMITED LBG; CENTRO NACIONAL DE TECNOLOGIA Y SEGURIDAD ALIMENTARIA; EROSKI SCOOP; BEVO, biotehnoloske resitve, d.o.o; BIO BASE EUROPE PILOT PLANT VZW; MAGFI LTD; KNOELL GERMANY GMBH; DANMARKS TEKNISKE UNIVERSITET; AUZO LAGUN S. COOP; SOLMEGIA MONOPROSOPI I.K.E.; Hooked Foods AB; EURO-FUNDING EU PROJECTS SOCIEDAD LIMITADA; NUEVAS TECNOLOGIAS PARA EL DESARROLLO DE PACKAGING Y PRODUCTOS AGROALIMENTARIOS CON COMPONENTE PLASTICA SL; CHALMERS TEKNISKA HOGSKOLA AB</t>
  </si>
  <si>
    <t>Centre for Process Innovation; National Centre for Technology and Food Safety; Eroski S Coop; Bevo Biotehnoloske Resitve doo; Bio Base Europe; Technical University of Denmark; Chalmers University of Technology</t>
  </si>
  <si>
    <t>grid.420713.3; grid.433452.7; grid.745750.4; grid.613057.6; grid.432888.d; grid.5170.3; grid.5371.0</t>
  </si>
  <si>
    <t>Redcar; San Adrián; Ghent; Kongens Lyngby; Gothenburg</t>
  </si>
  <si>
    <t>Hovedstaden</t>
  </si>
  <si>
    <t>United Kingdom; Spain; Spain; Slovenia; Belgium; Denmark; Sweden</t>
  </si>
  <si>
    <t>https://cordis.europa.eu/project/id/101213354</t>
  </si>
  <si>
    <t>https://app.dimensions.ai/details/grant/grant.14955094</t>
  </si>
  <si>
    <t>C13 Architecture, Built Environment and Planning</t>
  </si>
  <si>
    <t>12 Responsible Consumption and Production; 2 Zero Hunger</t>
  </si>
  <si>
    <t>grant.15162542</t>
  </si>
  <si>
    <t>PCI2025-167111-2</t>
  </si>
  <si>
    <t>MICROALGAL BIOMASS VALORIZATION FOR SUSTAINABLE PRODUCTION OF FUNCTIONAL FOOD AND FEED INGREDIENTS</t>
  </si>
  <si>
    <t>EL PROYECTO BIOVAL RESPONDE AL CRECIENTE DESAFIO DE GARANTIZAR ALIMENTOS SOSTENIBLES Y SALUDABLES MEDIANTE EL DESARROLLO DE UNA BIORREFINERIA AVANZADA DE MICROALGAS, CONCEBIDA BAJO UN MODELO DE CERO RESIDUOS Y ECONOMICAMENTE VIABLE. SE TRABAJARA CON TRES ESPECIES MARINAS DE ALTO POTENCIAL BIOTECNOLOGICO (PHAEODACTYLUM TRICORNUTUM, TETRASELMIS CHUII Y SKELETONEMA MARINOI), ORIENTANDO LA PRODUCCION HACIA 2-MONOACILGLICERIDOS (2-MAGS) DE ELEVADO VALOR AÑADIDO, ESPECIALMENTE ENRIQUECIDOS EN ACIDOS GRASOS OMEGA-3 (EPA Y DHA), CON APLICACIONES FUNCIONALES EN LA INDUSTRIA ALIMENTARIA PARA LA PREVENCION DEL SINDROME METABOLICO. 
LA SINTESIS QUIMICA CONVENCIONAL DE MAGS PRESENTA LIMITACIONES CRITICAS (ALTAS TEMPERATURAS, CATALIZADORES Y SUBPRODUCTOS TOXICOS COMO ESTERES DE GLICIDILO). BIOVAL PROPONE UNA ESTRATEGIA DISRUPTIVA Y SOSTENIBLE BASADA EN LA EXTRACCION  VERDE  DE 2-MAGS NATIVOS Y, PRINCIPALMENTE, EN SU SINTESIS ENZIMATICA CONTROLADA, GARANTIZANDO PRODUCTOS MAS PUROS Y SEGUROS, CON MAYOR EFICIENCIA DE PROCESO. 
LA INNOVACION ABARCA TODA LA CADENA DE VALOR: 
CULTIVO: IMPLEMENTACION DE ESTRATEGIAS MIXOTROFICAS EMPLEANDO SUBPRODUCTOS AGRICOLAS HIDROLIZADOS COMO FUENTE DE CARBONO ORGANICO, OPTIMIZANDO PRODUCTIVIDAD DE BIOMASA Y LIPIDOS. 
DIGITALIZACION: USO DE INTELIGENCIA ARTIFICIAL MEDIANTE REDES NEURONALES ARTIFICIALES PARA MODELAR Y OPTIMIZAR CONDICIONES DE CULTIVO EN TIEMPO REAL. 
MEJORA DE CEPAS: APLICACION DE TECNOLOGIAS OMICAS (GENOMICA, TRANSCRIPTOMICA Y METABOLOMICA) PARA  
IDENTIFICAR Y MODULAR RUTAS METABOLICAS CLAVE EN LA BIOSINTESIS DE 2-MAGS. 
VALIDACION FUNCIONAL: ENSAYOS IN VITRO E IN VIVO PARA EVALUAR LA BIOACTIVIDAD DE LOS 2-MAGS (CAPACIDAD ANTIINFLAMATORIA Y MEJORA DE LA SENSIBILIDAD A LA INSULINA). 
EL PROCESO SE DISEÑARA PARA ALCANZAR TRL 6, VALIDANDO LA TECNOLOGIA EN UN ENTORNO INDUSTRIALMENTE RELEVANTE. LAS FRACCIONES RESIDUALES (PROTEINAS, CARBOHIDRATOS) SE CO-VALORIZARAN EN PIENSOS FUNCIONALES PARA ACUICULTURA, CERRANDO EL CICLO PRODUCTIVO Y MAXIMIZANDO EL APROVECHAMIENTO INTEGRAL DE LA BIOMASA. 
BIOVAL CONTRIBUIRA A LOS OBJETIVOS DEL SUSTAINABLE BLUE ECONOMY PARTNERSHIP, IMPULSANDO LA BIOECONOMIA AZUL CIRCULAR, LA REDUCCION DE LA HUELLA DE CARBONO Y LA GENERACION DE INGREDIENTES FUNCIONALES SEGUROS Y SOSTENIBLES, CON IMPACTO DIRECTO EN LA SALUD PUBLICA, LA COMPETITIVIDAD INDUSTRIAL Y LA RESILIENCIA DEL SECTOR ACUICOLA EUROPEO.</t>
  </si>
  <si>
    <t>The BIOVAL project responds to the growing challenge of ensuring sustainable and healthy food through the development of an advanced microalgae biorefinery, designed under a zero-waste and economically viable model. We will work with three marine species with high biotechnological potential (Phaeodactylum tricornutum, Tetraselmis chuii, and Skeletonema marinoi), focusing production on high-value-added 2-monoacylglycerides (2-MAGS), especially those enriched in omega-3 fatty acids (EPA and DHA), with functional applications in the food industry for the prevention of metabolic syndrome.
The conventional chemical synthesis of MAGS presents critical limitations (high temperatures, catalysts, and toxic byproducts such as glycidyl esters). BIOVAL proposes a disruptive and sustainable strategy based on the green extraction of native 2-MAGS and, primarily, on their controlled enzymatic synthesis, guaranteeing purer and safer products with greater process efficiency.
The innovation encompasses the entire value chain:
CULTIVATION: Implementation of mixotrophic strategies using hydrolyzed agricultural byproducts as a source of organic carbon, optimizing biomass and lipid productivity.
DIGITALIZATION: Use of artificial intelligence through artificial neural networks to model and optimize cultivation conditions in real time.
Strain Enhancement: Application of omics technologies (genomics, transcription, and metabolomics) to identify and modulate key metabolic pathways in 2-magnesium biosynthesis.
Functional Validation: In vitro and in vivo assays to evaluate the bioactivity of 2-magnesium (anti-inflammatory capacity and insulin sensitivity enhancement).
The process will be designed to achieve a Technology Readiness Level (TRL) of 6, validating the technology in an industrially relevant setting. The residual fractions (proteins, carbohydrates) will be co-valorized in functional aquaculture feeds, closing the production cycle and maximizing the comprehensive use of biomass.
BIOVAL will contribute to the Sustainable Blue Economy Partnership objectives, promoting the circular blue bioeconomy, reducing the carbon footprint, and generating safe and sustainable functional ingredients, with a direct impact on public health, industrial competitiveness, and the resilience of the European aquaculture sector.</t>
  </si>
  <si>
    <t>UNIVERSIDAD DE ALMERIA</t>
  </si>
  <si>
    <t>University of Almería</t>
  </si>
  <si>
    <t>grid.28020.38</t>
  </si>
  <si>
    <t>Almería</t>
  </si>
  <si>
    <t>Spain</t>
  </si>
  <si>
    <t>State Research Agency</t>
  </si>
  <si>
    <t>International Collaboration Projects (Call)</t>
  </si>
  <si>
    <t>https://www.aei.gob.es/ayudas-concedidas/buscador-ayudas-concedidas</t>
  </si>
  <si>
    <t>https://app.dimensions.ai/details/grant/grant.15162542</t>
  </si>
  <si>
    <t>31 Biological Sciences; 3106 Industrial Biotechnology; 32 Biomedical and Clinical Sciences; 3205 Medical Biochemistry and Metabolomics</t>
  </si>
  <si>
    <t>grant.14973726</t>
  </si>
  <si>
    <t>101219355; 273209; SOLARSPOON; 10.3030/101219355</t>
  </si>
  <si>
    <t>Solar-driven synthesis of proteins and lipids via photoelectrochemistry of living organisms</t>
  </si>
  <si>
    <t>Biohybrid systems offer unique energy-efficient routes to harness solar energy for the fixation of CO2 and nitrogen into valuable, complex molecules. This project will integrate living photosynthetic bacteria and food-producing autotrophic bacteria into stand-alone photoelectrochemical devices tailored for the direct production of proteins and lipids from sunlight, air and water. Cyanobacteria will supply electrons via light-driven water oxidation, organic dyes will provide these electrons with sufficient energy to generate substrates that would directly feed either a culture or a consortia of food producing microorganisms in the same device. The result will be the demonstration of the first direct conversion of CO2 and N2 from air to protein- or lipid-rich food materials using solar energy, with the aim to produce a prototype that can reach 1% solar-conversion efficiency or surpass present food production processes via agriculture.
Our bioengineering efforts will focus on three key innovations: (i) overcoming complex electron transfer pathway barriers at the cell-electrode interface, aided by the coupling of electrode engineering with advanced modelling of the interface; (ii) expanding the range of Solar-to-X products to two essential food groups (proteins and lipids), enabled by the formation of novel microbial consortia on redox polymer films that mitigate their conflicting microenvironment needs; and iii) device engineering that synergizes the different outputs and needs of the bio-anode and cathode whilst also facilitating easy food-product collection. The delivery of our envisioned Solar-to-Food devices will open the door to re-imagining sustainable food production for off-grid locations, kitchens in future households and spaceships. Current food industries, such as our partner Solar Foods, would be an immediate benefactor. Our envisioned solar-to-lipids production process could be a stepping stone to fuels production lines of the future.</t>
  </si>
  <si>
    <t>2025-11-01</t>
  </si>
  <si>
    <t>2029-10-31</t>
  </si>
  <si>
    <t>THE CHANCELLOR MASTERS AND SCHOLARS OF THE UNIVERSITY OF CAMBRIDGE; IMPERIAL COLLEGE OF SCIENCE TECHNOLOGY AND MEDICINE; TECHNISCHE UNIVERSITAET MUENCHEN; DANMARKS TEKNISKE UNIVERSITET; SOLAR FOODS OY</t>
  </si>
  <si>
    <t>University of Cambridge; Imperial College London; Technical University of Munich; Technical University of Denmark; Solar Foods Oy</t>
  </si>
  <si>
    <t>grid.5335.0; grid.7445.2; grid.6936.a; grid.5170.3; grid.679995.d</t>
  </si>
  <si>
    <t>Cambridge; London; Munich; Kongens Lyngby</t>
  </si>
  <si>
    <t>Westminster; Hovedstaden</t>
  </si>
  <si>
    <t>United Kingdom; United Kingdom; Germany; Denmark; Finland</t>
  </si>
  <si>
    <t>HORIZON.3.1 - The European Innovation Council (EIC) (Programme); HORIZON-EIC - HORIZON EIC Grants (Funding scheme); HORIZON-EIC-2024-PATHFINDERCHALLENGES-01 (Call for proposal)</t>
  </si>
  <si>
    <t>https://cordis.europa.eu/project/id/101219355</t>
  </si>
  <si>
    <t>https://app.dimensions.ai/details/grant/grant.14973726</t>
  </si>
  <si>
    <t>31 Biological Sciences; 34 Chemical Sciences; 40 Engineering; 4004 Chemical Engineering</t>
  </si>
  <si>
    <t>2 Zero Hunger; 7 Affordable and Clean Energy</t>
  </si>
  <si>
    <t>grant.14704971</t>
  </si>
  <si>
    <t>25-23-20221</t>
  </si>
  <si>
    <t>Development of approaches to complex processing of microalgae biomass for the production of cosmetic and food products</t>
  </si>
  <si>
    <t>The proposed study is devoted to the development of fundamental improved approaches to the complex processing of microalgae biomass by hydrolysis and hydrolysis-reduction to obtain a set of products that are promising for use in the cosmetic and food industries, such as protein-carbohydrate extracts with antioxidant activity and higher polyols used as sugar substitutes and in pharmaceuticals.
The relevance of the research is justified by the following factors.
1. The deficit, absence of a significant amount of domestic production, and the high cost and low availability under sanctions of imported bio-raw materials for the production of cosmetic and cosmeceutical products based on microalgae biomass.
2. The significant demand for sorbitol, which is widely used in the food, cosmetics industry and in medicine, in Russia with complete import dependence.
3. Approaches using microalgae to obtain valuable products are highly relevant from an environmental point of view. It has been shown that microalgae can be cultivated using water containing organic pollutants. Thus, microalgae cultivation can be used in water purification processes with the simultaneous production of high-margin products.
4. Development of methods for synthesizing microalgae with their subsequent processing meets modern requirements for increasing the carbon neutrality of production, since microalgae actively consume carbon dioxide during their growth. The project will last for two years, and upon its completion, the following fundamental results will be obtained.
1. New promising microalgae strains have been identified, the biomass of which has a high potential for use in the cosmetics industry (antioxidant activity of aqueous hydrolysates) and the food industry (high carbohydrate content).
2. Effective approaches to hydrothermal and acid hydrolysis of microalgae biomass to obtain carbohydrates and aqueous hydrolysates, including the isolation and purification of carbohydrates, have been developed.
3. The study has been conducted of the prospects for using aqueous hydrolysates as cosmetics for external use (skin care) taking into account data on antioxidant activity.
4. Methods have been developed for preparing carbohydrate raw materials from microalgae by removing impurities that prevent deep processing into valuable substances.
5. The approach has been developed for the catalytic hydrolysis-reduction of carbohydrates from microalgae biomass to obtain higher polyols (sorbitol) used in the food industry (sweetener). The project will be carried out at the intersection of catalysis and biotechnology. An interdisciplinary approach to the work will allow obtaining results that are highly innovative. The novelty of the project can also be noted in the following:
1. In the creation of a complex technology for obtaining a group of products suitable for use in cosmetology and the food industry.
2. In the use of original highly effective solid catalysts for the formation of polyhydric alcohols.
3. In the development of an effective method for purifying microalgae biomass carbohydrates from impurities, which allows removing restrictions on the processing of such raw materials into valuable products.
4. For the first time, a method for obtaining polyhydric alcohols, such as sorbitol, from microalgae carbohydrates (glucose and starch) will be developed.
5. In a single-stage one-pot approach to the hydrolysis-reduction of the carbohydrate component of microalgae biomass.
6. For the first time, the possibility of using some collection and our own strains of microalgae of the genus Chlorella, Parachlorella, Desmodesmus, Bracteacoccus and others to create cosmetics and food products will be studied.
7. For the first time, the antioxidant activity of aqueous extracts from the biomass of the microalgae strains used in this work will be studied.</t>
  </si>
  <si>
    <t>Microalgae; cultivation; antioxidant activity; carbohydrates; carbohydrate biomass; hydrolysis; hydrolysis-hydrogenation catalysts; sorbitol</t>
  </si>
  <si>
    <t>2026-12-31</t>
  </si>
  <si>
    <t>Nikolay Gromov</t>
  </si>
  <si>
    <t>Federal Research Center Boreskov Institute of Catalysis</t>
  </si>
  <si>
    <t>Boreskov Institute of Catalysis</t>
  </si>
  <si>
    <t>grid.418421.a</t>
  </si>
  <si>
    <t>Novosibirsk</t>
  </si>
  <si>
    <t>Russia</t>
  </si>
  <si>
    <t>Russian Science Foundation</t>
  </si>
  <si>
    <t>http://www.rscf.ru/en/enprjcard?rid=25-23-20221</t>
  </si>
  <si>
    <t>https://app.dimensions.ai/details/grant/grant.14704971</t>
  </si>
  <si>
    <t>grant.15073719</t>
  </si>
  <si>
    <t>10.61686/YXAIY95286; FOOD.KIEM.02.004</t>
  </si>
  <si>
    <t>Zilt &amp; Zuur</t>
  </si>
  <si>
    <t>The Zilt &amp; Zuur project explores how fermentation can make toothed wrack (seaweed) more palatable and digestible. Seaweed is a sustainable protein source but is rarely consumed due to its flavour (fishy, salty) and texture. Fermentation can enhance its appeal for the hospitality and food industries. In collaboration with Michelin-starred restaurant De Kromme Watergang and Zeeuwse Zeewierhandel, HZ University of Applied Sciences is developing a fermentation protocol to create new culinary applications. This research contributes to a more sustainable food system and offers economic opportunities for Zeeland by opening new markets for fermented seaweed.</t>
  </si>
  <si>
    <t>Marlies Eenennaam</t>
  </si>
  <si>
    <t>HZ University of Applied Sciences</t>
  </si>
  <si>
    <t>grid.448873.4</t>
  </si>
  <si>
    <t>Flushing</t>
  </si>
  <si>
    <t>KIEM GoFood KIEM GoFood 2024-2026 KIEM GoFood 2025 KIEM GoFood 2025 - Batch 1 (Funding Scheme)</t>
  </si>
  <si>
    <t>https://doi.org/10.61686/YXAIY95286</t>
  </si>
  <si>
    <t>https://app.dimensions.ai/details/grant/grant.15073719</t>
  </si>
  <si>
    <t>31 Biological Sciences; 35 Commerce, Management, Tourism and Services; 3504 Commercial Services</t>
  </si>
  <si>
    <t>C17 Business and Management Studies</t>
  </si>
  <si>
    <t>grant.14972633</t>
  </si>
  <si>
    <t>359485</t>
  </si>
  <si>
    <t>AlgFlavor, Enhancing algal biomass consumer acceptance for food markets</t>
  </si>
  <si>
    <t>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</si>
  <si>
    <t>Consumer &amp; market research</t>
  </si>
  <si>
    <t>Runar Solstad</t>
  </si>
  <si>
    <t>NOFIMA AS</t>
  </si>
  <si>
    <t>Nofima</t>
  </si>
  <si>
    <t>grid.22736.32</t>
  </si>
  <si>
    <t>Tromsø</t>
  </si>
  <si>
    <t>https://prosjektbanken.forskningsradet.no/en/project/FORISS/359485</t>
  </si>
  <si>
    <t>https://app.dimensions.ai/details/grant/grant.14972633</t>
  </si>
  <si>
    <t>30 Agricultural, Veterinary and Food Sciences; 31 Biological Sciences; 3106 Industrial Biotechnology</t>
  </si>
  <si>
    <t>Dietary Supplements; Nutrition</t>
  </si>
  <si>
    <t>Cardiovascular</t>
  </si>
  <si>
    <t>3.3 Nutrition and chemoprevention</t>
  </si>
  <si>
    <t>grant.14954840</t>
  </si>
  <si>
    <t>101180167; 272628; PRIMARY; 10.3030/101180167</t>
  </si>
  <si>
    <t>New business for farmers and cooperatives in rural areas by local upcycling solutions using underutilized agricultural feedstocks</t>
  </si>
  <si>
    <t>PRIMARY aims to develop and pilot local solutions for the production of food, feed, bio-based materials, bioenergy, and fertilizers by valorizing agricultural biomass feedstocks, including grass, greenhouse and cotton by-products, and olive tree pruning that are currently underutilized and exist in substantial amounts in Europe. The project focuses on North-East Europe (Finland) and South-East Europe (Greece), providing business models and demonstrations in rural areas where pilot and demo plants are rare.  
PRIMARY works with primary producers and local actors, and pilots six process concepts: 1) separation of protein and fibre rich fractions from grass to produce food/feed and biobased materials, respectively; 2) submerged and 3) solid-state fermentation processes to upcycle the feedstocks to protein rich food and feed ingredients; 4) fibre forming technology to enable production of packaging and construction materials; 5) pelletizing process to solid biofuel for gasification to bioenergy from olive-tree pruning and cotton byproducts; 6) pyrolysis of cotton and olive byproducts to biochar for fertilizer and material applications. 
The solutions piloted in the project are selected based on cascading use of the feedstocks to find the highest possible value, considering the regional conditions. Sustainability of the new value chains is broadly assessed. To maximise project outcomes and impact, other partners and regions are engaged through an open innovation call to promote the ecosystem for valorizing agricultural biomass, and to show replicability of the project solutions. PRIMARY outcomes, including new processes, products and service concepts, will be communicated via various channels, including a stakeholder platform, to ensure wide exploitation of the solutions. A multi-actor approach is used in the development of processes and replicable business models, and for delivering guidance to farmers and SMEs, and advice to policymakers at national and EU level.</t>
  </si>
  <si>
    <t>Strain development / Ingredient optimisation</t>
  </si>
  <si>
    <t>2025-05-01</t>
  </si>
  <si>
    <t>2029-04-30</t>
  </si>
  <si>
    <t>ELLINIKOS GEORGIKOS ORGANISMOS - DIMITRA; ETHNIKO KENTRO EREVNAS KAI TECHNOLOGIKIS ANAPTYXIS; FIBERWOOD OY; TEKNOLOGIAN TUTKIMUSKESKUS VTT OY; MAA- JA METSATALOUSTUOTTAJAIN KESKUSLIITTO MTK RY; AGROTIKOS SYNETAIRISMOS KARDITSAS I NEA ENOSI; LUONNONVARAKESKUS; REFRAME FOOD ASTIKI MI KERDOSKOPIKI ETAIRIA; ENERGEIAKH KOINOTHTA KARDITSAS SYNPE; MTU CIVITTA FOUNDATION; MINOA ENERGEIAKI KOINOTITA POLITON SYN.P.E; VALIO OY</t>
  </si>
  <si>
    <t>VTT Technical Research Centre of Finland; Natural Resources Institute Finland; Valio Oy</t>
  </si>
  <si>
    <t>grid.6324.3; grid.22642.30; grid.438888.7</t>
  </si>
  <si>
    <t>Espoo; Helsinki; Helsinki</t>
  </si>
  <si>
    <t>Finland; Finland; Finland</t>
  </si>
  <si>
    <t>HORIZON.2.6 - Food, Bioeconomy Natural Resources, Agriculture and Environment (Programme); HORIZON-IA - HORIZON Innovation Actions (Funding scheme); HORIZON-CL6-2024-CIRCBIO-02 (Call for proposal)</t>
  </si>
  <si>
    <t>https://cordis.europa.eu/project/id/101180167</t>
  </si>
  <si>
    <t>https://app.dimensions.ai/details/grant/grant.14954840</t>
  </si>
  <si>
    <t>31 Biological Sciences; 3106 Industrial Biotechnology; 44 Human Society; 4406 Human Geography</t>
  </si>
  <si>
    <t>grant.15145615</t>
  </si>
  <si>
    <t>AlgFlavor - Verbeteren van de consumentenacceptatie van algen voor de voedselmarkt</t>
  </si>
  <si>
    <t>AlgFlavor - Improving consumer acceptance of algae for the food market</t>
  </si>
  <si>
    <t>AlgFlavor gaat over het gebruik van zeewier en microalgen (samen alg genoemd) als duurzamevoedselbron. Deze zijn rijk aan voedingsstoffen zoals eiwitten, mineralen en omega-3 vetzuren, enkunnen helpen aan de groeiende vraag naar gezonde, duurzame voeding. Er zijn uitdagingen omvoedsel op basis van algen beter te maken, voornamelijk vanwege hun smaak en geur.Om deze uitdagingen aan te pakken, werkt AlgFlavor aan het verbeteren van deconsumentenacceptatie van voedingsmiddelen met algen. Verschillende soorten algen hebbenverschillende smaken, variërend van bitter tot hartig. Sommige algen hebben zelfs een smaak dielijkt op zeevruchten, waardoor ze geschikt zijn voor plantaardige alternatieven voor zeevruchten.De smaak van algen kan worden beïnvloed door hoe ze worden geteeld en verwerkt. AlgFlavor zaldeze omstandigheden optimaliseren om een consistente smaak te garanderen en om algen teverwerken in verschillende voedingsproducten (oa brood, sauzen).Algen hebben veelbelovende smaak- en voedingseigenschappen, maar moeten consistenter,betaalbaarder en beter worden voor consumptie. AlgFlavor zal dit doen door sensorische evaluatiesen chemische analyses uit te voeren en diverse voedselprototypes te ontwikkelen.Het ultieme doel is om een markt te creëren voor voedingsmiddelen op basis van algen, gericht opplantaardige alternatieven voor zeevruchten, door de consumentenacceptatie te verbeteren en debehoeften van zowel producenten als consumenten te begrijpen.</t>
  </si>
  <si>
    <t>AlgFlavor focuses on the use of seaweed and microalgae (collectively called algae) as a sustainable food source. These are rich in nutrients such as protein, minerals, and omega-3 fatty acids and can help meet the growing demand for healthy, sustainable food. There are challenges to improving algae-based foods, primarily due to their taste and aroma. To address these challenges, AlgFlavor is working to improve consumer acceptance of algae-based foods. Different types of algae have distinct flavors, ranging from bitter to savory. Some algae even have a taste similar to seafood, making them suitable for plant-based seafood alternatives. The flavor of algae can be influenced by how it is grown and processed. AlgFlavor will optimize these conditions to ensure consistent flavor and to incorporate algae into various food products (e.g., bread, sauces). Algae has promising flavor and nutritional properties but needs to become more consistent, affordable, and better for consumption. AlgFlavor will achieve this by conducting sensory evaluations and chemical analyses and developing various food prototypes. The ultimate goal is to create a market for algae-based foods, focusing on plant-based seafood alternatives, by improving consumer acceptance and understanding the needs of both producers and consumers.</t>
  </si>
  <si>
    <t>75</t>
  </si>
  <si>
    <t>Christine Yung Hung</t>
  </si>
  <si>
    <t>Ghent University</t>
  </si>
  <si>
    <t>grid.5342.0</t>
  </si>
  <si>
    <t>Ghent</t>
  </si>
  <si>
    <t>Research Foundation - Flanders</t>
  </si>
  <si>
    <t>ICRP - International Cancer Research Partnership</t>
  </si>
  <si>
    <t>https://researchportal.be/nl/project/algflavor-verbeteren-van-de-consumentenacceptatie-van-algen-voor-de-voedselmarkt</t>
  </si>
  <si>
    <t>https://app.dimensions.ai/details/grant/grant.15145615</t>
  </si>
  <si>
    <t>30 Agricultural, Veterinary and Food Sciences; 3006 Food Sciences</t>
  </si>
  <si>
    <t>Complementary and Integrative Health; Dietary Supplements; Nutrition</t>
  </si>
  <si>
    <t>Metabolic and endocrine</t>
  </si>
  <si>
    <t>Public Health</t>
  </si>
  <si>
    <t>grant.15148228</t>
  </si>
  <si>
    <t>UKRI1967</t>
  </si>
  <si>
    <t>UKProNet2025</t>
  </si>
  <si>
    <t>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</si>
  <si>
    <t>Other (Network/Coordination)</t>
  </si>
  <si>
    <t>2025-03-30</t>
  </si>
  <si>
    <t>2028-03-30</t>
  </si>
  <si>
    <t>Della David, Colin Adrain, Bernadette Carroll, Simon Cook, Ari Sadanandom</t>
  </si>
  <si>
    <t>Babraham Institute</t>
  </si>
  <si>
    <t>grid.418195.0</t>
  </si>
  <si>
    <t>Cambridge</t>
  </si>
  <si>
    <t>Biotechnology and Biological Sciences Research Council</t>
  </si>
  <si>
    <t>ICRP - International Cancer Research Partnership; cOAlition S; UKRI - UK Research and Innovation</t>
  </si>
  <si>
    <t>https://gtr.ukri.org/projects?ref=UKRI1967</t>
  </si>
  <si>
    <t>https://app.dimensions.ai/details/grant/grant.15148228</t>
  </si>
  <si>
    <t>Health Disparities and Racial or Ethnic Minority Health Research</t>
  </si>
  <si>
    <t>1.5 Resources and infrastructure (underpinning)</t>
  </si>
  <si>
    <t>grant.15145414</t>
  </si>
  <si>
    <t>VegVit</t>
  </si>
  <si>
    <t>"VegVit" is een interdisciplinair project dat gericht is op de ontwikkeling van een assortiment veganistische zuivel- en vleesalternatieven met een verbeterd nutritioneel profiel (vitamine B12, maar ook proteïnekwaliteit/breder aminozuurprofiel). Het eerste concrete doel van het project is dat voedselveilige starterculturen geïdentificeerd en geselecteerd kunnen worden die onder geschikte omstandigheden hoge niveaus van vitamine B12 vormen. Het tweede concrete doel is dat vitamine B12-verrijkte ingrediënten geproduceerd kunnen worden door eerst grondstoffen zoals geëxtrudeerde plantaardige eiwitten of eiwitsuspensies te fermenteren. Deze verrijkte ingrediënten kunnen vervolgens in een tweede stap worden omgezet in hoogwaardige analogen met verhoogde B12-gehaltes en een beter proteïnekwaliteit. Het derde concrete doel is dat vitamine B12 in-situ gevormd wordt via een co-fermentatieproces, door tijdens het productieproces van salami- yoghurt- of smeerkaasanalogen geschikte starterculturen toe te voegen. Afhankelijk van de aard en samenstelling van de matrix (geselecteerde ingrediënten, homogene of heterogene matrix structuur, pH, wateractiviteit) kan de ene aanpak voordeliger zijn dan de andere. Hierbij ligt de focus op het creëren van producten die zowel in kwaliteit als voedingswaarde voldoen aan de verwachtingen van de consument.</t>
  </si>
  <si>
    <t>"VegVit" is an interdisciplinary project aimed at developing a range of vegan dairy and meat alternatives with an improved nutritional profile (vitamin B12, as well as protein quality/broader amino acid profile). The first concrete goal of the project is to identify and select food-safe starter cultures that produce high levels of vitamin B12 under suitable conditions. The second concrete goal is to produce vitamin B12-enriched ingredients by first fermenting raw materials such as extruded vegetable proteins or protein suspensions. These enriched ingredients can then be converted in a second step into high-quality analogues with increased B12 levels and improved protein quality. The third concrete goal is to produce vitamin B12 in situ via a co-fermentation process, by adding suitable starter cultures during the production process of salami, yogurt, or cheese spread analogues. Depending on the nature and composition of the matrix (selected ingredients, homogeneous or heterogeneous matrix structure, pH, water activity), one approach may be more advantageous than another. The focus here is on creating products that meet consumer expectations in both quality and nutritional value.</t>
  </si>
  <si>
    <t>Ingredient optimisation / End product formulation</t>
  </si>
  <si>
    <t>fermentation; vitamin B12; vegan alternatives</t>
  </si>
  <si>
    <t>Myriam Loeffler</t>
  </si>
  <si>
    <t>KU Leuven</t>
  </si>
  <si>
    <t>grid.5596.f</t>
  </si>
  <si>
    <t>Leuven</t>
  </si>
  <si>
    <t>Flanders Innovation and Entrepreneurship</t>
  </si>
  <si>
    <t>https://researchportal.be/nl/project/vegvit</t>
  </si>
  <si>
    <t>https://app.dimensions.ai/details/grant/grant.15145414</t>
  </si>
  <si>
    <t>grant.15145355</t>
  </si>
  <si>
    <t>Een systeembiologie benadering om EPS-productie door melkzuurbacteriën te optimaliseren voor voedseltoepassingen</t>
  </si>
  <si>
    <t>A systems biology approach to optimize EPS production by lactic acid bacteria for food applications</t>
  </si>
  <si>
    <t>In-situ heteropolysaccharide (HePS)-producerende melkzuurbacteriën (LAB), zoals Lactobacillus plantarum, hebben de aandacht van de voedselindustrie getrokken, aangezien HePS structurerende, viscositeit verhogende en emulgerende eigenschappen hebben. Bepaalde stressfactoren kunnen echter, afhankelijk van de gebruikte stam, de HePS-vorming bevorderen of verminderen, wat mogelijk commerciële toepassingen beperkt. Dit project heeft als doel om beter te begrijpen waarom de biosynthese van HePS binnen dezelfde LAB-soort anders reageert op verschillende koolstofbronnen, evenals op temperatuur en zout (stress), en welke combinatie de in-situ HePS-productie het beste stimuleert (gekwantificeerd door middel van HPLC). Dit zal worden onderzocht door groeitesten (e.g. high-throughput fenotypering) te combineren met verschillende omics-technieken, wat zal leiden tot de identificatie van HePS-geassocieerde genen/eiwitten. De resultaten zullen worden gevalideerd in een (plantaardige) yoghurt(analoog), waarbij niet alleen de HePS-vorming wordt geëvalueerd, maar ook de verzuringskinetiek en de structuurvorming, die samen de textuureigenschappen beïnvloeden.</t>
  </si>
  <si>
    <t>In situ heteropolysaccharide (HePS)-producing lactic acid bacteria (LAB), such as Lactobacillus plantarum, have attracted the attention of the food industry, as HePS possesses structuring, viscosity-enhancing, and emulsifying properties. However, certain stress factors can either promote or reduce HePS formation, depending on the strain used, potentially limiting commercial applications. This project aims to better understand why HePS biosynthesis within the same LAB species responds differently to different carbon sources, as well as to temperature and salt (stress), and which combination best stimulates in situ HePS production (quantified by HPLC). This will be investigated by combining growth assays (e.g., high-throughput phenotyping) with various omics techniques, leading to the identification of HePS-associated genes/proteins. The results will be validated in a (plant-based) yoghurt (analogue), evaluating not only HePS formation but also acidification kinetics and structure formation, which together influence texture properties.</t>
  </si>
  <si>
    <t>food application; heteropolysaccharides (heps); stimulation of in-situ heps-formation; lactobacillus plantarum; omics technologies</t>
  </si>
  <si>
    <t>Myriam Loeffler, Sam Crauwels, Florian Weiland</t>
  </si>
  <si>
    <t>Flemish Government</t>
  </si>
  <si>
    <t>https://researchportal.be/nl/project/een-systeembiologie-benadering-om-eps-productie-door-melkzuurbacterien-te-optimaliseren</t>
  </si>
  <si>
    <t>https://app.dimensions.ai/details/grant/grant.15145355</t>
  </si>
  <si>
    <t>grant.14934327</t>
  </si>
  <si>
    <t>UTF 753.03.25</t>
  </si>
  <si>
    <t>UpGrain Presswasser-Aufbereitung</t>
  </si>
  <si>
    <t>UpGrain press water treatment</t>
  </si>
  <si>
    <t>Die Firma UpGrain AG hat zusammen mit der Brauerei Locher ein Verfahren entwickelt, bei dem aus dem Nebenstrom des Biertrebers verschiedene Produkte gewonnen werden. Die so gewonnenen Proteine weisen auch gegenüber pflanzlichen Proteinen eine geringere Treibhausgasbelastung auf, weil die Belastung aus der Primärproduktion entfällt. 2023 wurde die erste Anlage bei der Brauerei Locher in Betrieb genommen. Einzelne Produkte aus den zurückgewonnenen Gerstenproteine und -fasern sind bereits im Handel erhältlich. UpGrain verkauft die Anlage und Technologie für das Biertreber-Recycling, entwickelt und vertreibt aber auch die Produkte aus den zurückgewonnenen Bestandteilen. Damit der Prozess möglichst nachhaltig ist, erfolgt die Trocknung des Trebers mechanisch. Dabei fallen grosse Mengen an Presswasser an – allein bei der Brauerei Locher 35'000 l /Tag. Dessen CSB (Chemischer Sauerstoff-Bedarf) -Wert als Mass für die organische Belastung ist zu hoch für die direkte Einleitung in die Kanalisation oder um in einer Biogasanlage vergärt zu werden. 
Deshalb kann die Anlage für das Biertreber Upcycling zurzeit nur in Teillast betrieben werden. Die Presswasseraufbereitung ist damit ein Knackpunkt im ganzen Prozess, gleichzeitig aber ein weiterer Nebenstrom, dessen Inhaltsstoffe in einem nächsten Schritt verwertet werden könnten In diesem Projekt soll ein Verfahren zur Abtrennung der Feststoffe aus dem Presswasser entwickelt werden. In Vorversuchen hat sich die Kombination aus Sedimentation (z.B. Zentrifugation) mit einer anschliessenden Membranfiltration als erfolgversprechend gezeigt. Neben der geeigneten Kombination von Trennoperationen müssen auch die optimalen Prozessparameter gefunden werden, um einen stabilen und ökonomischen Trennprozess zu gewährleisten. Mit der Gruppe «Lebensmittelprozesstechnologie und Innovation» der Berner Fachhochschule wird ein in diesem Bereich erfahrener Partner aus der Forschung beigezogen.</t>
  </si>
  <si>
    <t>UpGrain AG, together with the Locher Brewery, has developed a process in which various products are extracted from the sidestream of spent grains. The proteins obtained in this way also have a lower greenhouse gas impact than plant proteins because the impact from primary production is eliminated. The first plant at the Locher Brewery went into operation in 2023. Individual products made from the recovered barley proteins and fibers are already commercially available. UpGrain sells the plant and technology for spent grain recycling, but also develops and distributes the products made from the recovered components. To ensure the process is as sustainable as possible, the spent grain is dried mechanically. This process produces large quantities of press water – 35,000 liters per day at the Locher Brewery alone. Its COD (Chemical Oxygen Demand) value, a measure of organic pollution, is too high for direct discharge into the sewer system or for fermentation in a biogas plant.
For this reason, the spent grain upcycling plant can currently only operate at partial capacity. Press water treatment is therefore a crucial point in the entire process, but at the same time it represents another side stream whose constituents could be utilized in a subsequent step. This project aims to develop a process for separating the solids from the press water. Preliminary tests have shown that a combination of sedimentation (e.g., centrifugation) followed by membrane filtration is promising. In addition to finding the right combination of separation operations, optimal process parameters must also be found to ensure a stable and economical separation process. The "Food Process Technology and Innovation" group at the Bern University of Applied Sciences is a research partner with experience in this field.</t>
  </si>
  <si>
    <t>CHF</t>
  </si>
  <si>
    <t>2025-02-27</t>
  </si>
  <si>
    <t>2025-09-30</t>
  </si>
  <si>
    <t>Vincent Vida, Aurèle Meyer, Christoph Denkel</t>
  </si>
  <si>
    <t>Berner Fachhochschule Lebensmittelprozesstechnologie</t>
  </si>
  <si>
    <t>Bern University of Applied Sciences</t>
  </si>
  <si>
    <t>grid.424060.4</t>
  </si>
  <si>
    <t>Burgdorf</t>
  </si>
  <si>
    <t>Switzerland</t>
  </si>
  <si>
    <t>Federal Office for the Environment</t>
  </si>
  <si>
    <t>https://www.aramis.admin.ch/Grunddaten/?ProjectID=57661&amp;Sprache=en-US</t>
  </si>
  <si>
    <t>https://app.dimensions.ai/details/grant/grant.14934327</t>
  </si>
  <si>
    <t>40 Engineering; 4004 Chemical Engineering; 4011 Environmental Engineering</t>
  </si>
  <si>
    <t>grant.15162599</t>
  </si>
  <si>
    <t>PCI2025-167076-2</t>
  </si>
  <si>
    <t>RESOURCE RECOVERY FROM WASTEWATER BASED ON PHOTO-BIO-ELECTROCHEMICAL AND MEMBRANE PROCESSES WITH MINIMAL CHEMICAL ADDITION TO OBTAIN ADDED VALUE GOODS</t>
  </si>
  <si>
    <t>EL PROYECTO REWADD TIENE COMO OBJETIVO DESARROLLAR PROCESOS PARA RECUPERAR, CONCENTRAR Y RECICLAR NUTRIENTES, ESPECIALMENTE NITROGENO Y FOSFORO, DE LAS CORRIENTES DE AGUAS RESIDUALES, A LA VEZ QUE SE ABORDA LA ELIMINACION DE CONTAMINANTES DE PEOCUPACION EMERGENTE. EL OBJETIVO GLOBAL DEL PROYECTO ES CAMBIAR LA CONCEPCION TRADICIONAL DE LAS PLANTAS DE TRATAMIENTO DE AGUAS RESIDUALES COMO INSTALACIONES DE GESTION DE RESIDUOS POR UN NUEVO PARADIGMA EN EL QUE LAS AGUAS RESIDUALES SE CONSIDEREN UNA FUENTE DE RECURSOS Y LAS PLANTAS DE TRATAMIENTO SE CONVIERTAN EN FABRICAS PARA PRODUCIR BIENES DE VALOR AÑADIDO Y GARANTIZAR LA SEGURIDAD HIDRICA PARA TODOS. EN REWADD SE EXPLORA LA PRODUCCION DE PRODUCTOS DE ALTO VALOR AÑADIDO A PARTIR DE CUATRO FUENTES DE AGUA: EL EFLUENTE QUE SALE DEL CLARIFICADOR PRIMARIO DE LAS PLANTAS DE TRATAMIENTO DE AGUAS RESIDUALES, EL EFLUENTE QUE SALE DEL CLARIFICADOR SECUNDARIO, LAS FRACCIONES LIQUIDAS RESULTANTES DE LOS BIORREACTORES ANAEROBICOS Y LAS AGUAS RESIDUALES GENERADAS EN LA INDUSTRIA ALIMENTARIA. 
LOS ESQUEMAS DE PROCESO INVESTIGADOS EN REWADD SE BASAN EN PROCESOS DE ELECTROMEMBRANA Y PROCESOS DE MEMBRANA POR GRADIENTE DE PRESION, Y EN SISTEMAS HIBRIDOS BIO Y FOTOELECTROQUIMICOS. ESTOS PROCESOS, COMBINADOS DE MANERA EFICIENTE, DAN LUGAR A SINERGIAS ENTRE SUS RESPECTIVAS CORRIENTES DE SALIDA, QUE PUEDEN UTILIZARSE COMO MATERIAS PRIMAS EN OTRAS UNIDADES DE PROCESO. LOS PRODUCTOS DE VALOR AÑADIDO OBTENIDOS A PARTIR DE LOS DIFERENTES ESQUEMAS DE PROCESO INCLUYEN FERTILIZANTES N-P, PRODUCTOS PROTEICOS UNICELULARES, SOLUCIONES ACIDAS Y ALCALINAS, Y AGUA LIMPIA PARA SU REUTILIZACION. A MODO DE EJEMPLO, LOS FLUJOS RICOS EN ALCALIS Y N-P GENERADOS POR LA ELECTRODIALISIS DE MEMBRANA BIPOLAR SE ALIMENTARAN A SISTEMAS DE CRISTALIZACION PARA LA PRODUCCION DE FERTILIZANTES, MIENTRAS QUE LAS SOLUCIONES ACIDAS SE PUEDEN UTILIZAR EN LA LIMPIEZA DE MEMBRANAS DE OSMOSIS INVERSA.  
A DIFERENCIA DE LOS METODOS MAS AVANZADOS PARA LA ELIMINACION DE NUTRIENTES, ESTAS TECNOLOGIAS PERMITEN AHORRAR EN LA ADICION DE PRODUCTOS QUIMICOS E IMPLICAN UNA REDUCCION DEL VOLUMEN DE LODOS GENERADOS EN LAS PLANTAS DE TRATAMIENTO DE AGUAS RESIDUALES. LAS TECNOLOGIAS PROPUESTAS FUNCIONAN A TEMPERATURA AMBIENTE, SON MODULARES Y FACILMENTE ESCALABLES, Y PUEDEN ALIMENTARSE FACILMENTE MEDIANTE UNA RED ELECTRIFICADA O FUENTES DE ENERGIA RENOVABLES. EL PROYECTO INCLUYE ACTIVIDADES PARA PROBAR LAS UNIDADES DE FUNCIONAMIENTO A ESCALA DE LABORATORIO, REEVALUAR Y OPTIMIZAR SU ACOPLAMIENTO EN DIFERENTES ESQUEMAS DE PROCESO, Y REALIZAR ESTUDIOS DE EVALUACION DEL CICLO DE VIDA, TECNOECONOMICOS Y DE ESCALABILIDAD PARA GARANTIZAR LA FUTURA IMPLEMENTACION DEL PROCESO A MAYOR ESCALA. ADEMAS, SE LLEVARAN A CABO PRUEBAS PILOTO CON EFLUENTES GENERADOS EN LA INDUSTRIA ALIMENTARIA Y CON AGUAS RESIDUALES URBANAS.</t>
  </si>
  <si>
    <t>UNIVERSITAT POLITÈCNICA DE VALÈNCIA</t>
  </si>
  <si>
    <t>Universitat Politècnica de València</t>
  </si>
  <si>
    <t>grid.157927.f</t>
  </si>
  <si>
    <t>Valencia</t>
  </si>
  <si>
    <t>https://app.dimensions.ai/details/grant/grant.15162599</t>
  </si>
  <si>
    <t>13 Climate Action; 6 Clean Water and Sanitation</t>
  </si>
  <si>
    <t>2025 Dimensions PB</t>
  </si>
  <si>
    <t>grant.14917108</t>
  </si>
  <si>
    <t>101182843</t>
  </si>
  <si>
    <t>Scientific Exchange to assess QUality and Risks of FOODs obtained by novel processing and PackagingTechnologies</t>
  </si>
  <si>
    <t>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</si>
  <si>
    <t>Food safety &amp; quality</t>
  </si>
  <si>
    <t>novel foods; bioactive food packaging; shelf life; risk assessment; functional foods</t>
  </si>
  <si>
    <t>UNIVERSITATEA DE STIINTE AGRICOLE SI MEDICINA VETERINARA CLUJ NAPOCA; PANEPISTIMIO KRITIS; SZKOLA GLOWNA GOSPODARSTWA WIEJSKIEGO; UNIVERSIDAD DE SEVILLA; UNIVERSIDAD POLITECNICA DE CARTAGENA; WITPOL SPOLKA Z OGRANICZONA ODPOWIEDZIALNOSCIA; UNIVERSIDAD DE LA SABANA; Corporación Vidarium, Centro de Investigación en Nutrición Salud y Bienestar; AGENCIA ESTATAL CONSEJO SUPERIOR DE INVESTIGACIONES CIENTIFICAS</t>
  </si>
  <si>
    <t>University of Agricultural Sciences and Veterinary Medicine of Cluj-Napoca; University of Crete; Warsaw University of Life Sciences; University of Seville; Polytechnic University of Cartagena; University of La Sabana; Spanish National Research Council</t>
  </si>
  <si>
    <t>grid.413013.4; grid.8127.c; grid.13276.31; grid.9224.d; grid.218430.c; grid.412166.6; grid.4711.3</t>
  </si>
  <si>
    <t>Cluj-Napoca; Rethymno; Warsaw; Seville; Cartagena; Chía; Madrid</t>
  </si>
  <si>
    <t>Andalucía</t>
  </si>
  <si>
    <t>Romania; Greece; Poland; Spain; Spain; Colombia; Spain</t>
  </si>
  <si>
    <t>Horizon Europe (HORIZON) (Programme)</t>
  </si>
  <si>
    <t>https://ec.europa.eu/info/funding-tenders/opportunities/portal/screen/opportunities/projects-details/43108390/101182843/HORIZON</t>
  </si>
  <si>
    <t>https://app.dimensions.ai/details/grant/grant.14917108</t>
  </si>
  <si>
    <t>Nutrition</t>
  </si>
  <si>
    <t>2025 Dimensions gen</t>
  </si>
  <si>
    <t>grant.14972658</t>
  </si>
  <si>
    <t>359541</t>
  </si>
  <si>
    <t>Unlocking Potential of Seaweeds and Halophytes through Biorefinery for Enhanced Resilience in Aquaculture Agri-Food and Chemical Industries</t>
  </si>
  <si>
    <t>The ReSEAlience project is rethinking how we use marine plants like seaweed and Salicornia, a salt-tolerant plant, to create a more sustainable future. By developing a smart, eco-friendly “biorefinery,” the project turns these plants into useful products—like biofuels, animal feed, and even textiles—while helping to clean our oceans. One of the project’s key ideas is using these plants in Integrated Multi-Trophic Aquaculture (IMTA) systems. This means growing fish, shellfish, and plants together in a way that helps reduce pollution, especially excess nutrients in the water.
At the heart of the process is a green extraction method called HALOREFINE, which safely pulls out valuable compounds from the plants without using harmful chemicals. Remaining fractions after extraction of main and valuable component is turned into other materials—like cellulose for textiles, sugars for energy, and proteins for feed—ensuring nothing is wasted. In an exciting twist, co-streams after plant processing is even being turned into sustainable fabrics. Special methods are used to extract fibers from both Salicornia and seaweed, offering an eco-friendly alternative to cotton and synthetic materials. With this zero-waste approach, ReSEAlience is showing how sea plants can power a cleaner, more resilient future across farming, fashion, and fuel.</t>
  </si>
  <si>
    <t>Rasa Slizyte</t>
  </si>
  <si>
    <t>SINTEF OCEAN AS</t>
  </si>
  <si>
    <t>SINTEF Ocean AS</t>
  </si>
  <si>
    <t>grid.410353.0</t>
  </si>
  <si>
    <t>Trondheim</t>
  </si>
  <si>
    <t>https://prosjektbanken.forskningsradet.no/en/project/FORISS/359541</t>
  </si>
  <si>
    <t>https://app.dimensions.ai/details/grant/grant.14972658</t>
  </si>
  <si>
    <t>30 Agricultural, Veterinary and Food Sciences; 31 Biological Sciences; 41 Environmental Sciences; 4104 Environmental Management</t>
  </si>
  <si>
    <t>D32 Art and Design: History, Practice and Theory</t>
  </si>
  <si>
    <t>grant.15195759</t>
  </si>
  <si>
    <t>NWA.1766.24.021</t>
  </si>
  <si>
    <t>REAP2SOW: Resilient and Efficient Agricultural Proteins to Sustain Our World</t>
  </si>
  <si>
    <t>REAP2SOW aims to develop sustainable, climate-resilient food systems by promoting novel plant-based protein crops like quinoa, white lupin, and aardaker. These crops enhance biodiversity, improve soil health, and support the protein transition away from animal-based sources. The project integrates research on breeding, soil ecosystem functions, cultivation practices, consumer behavior, health impacts, and supply chains. Through its interlinked work packages, REAP2SOW focuses on genetic improvement, nutrient use efficiency, food safety, consumer acceptance, and historical insights. It emphasizes outreach to policymakers, farmers, and the public, fostering a resilient, sustainable food system for the Netherlands.</t>
  </si>
  <si>
    <t>Crop development</t>
  </si>
  <si>
    <t>Wouter Kohlen, Jan Willem Erisman, Yvonne Westphal, Jessica Kiefte-de Jong, Cheng Liu, Arnout Fischer, Petra Rozema-Hoekerd, Kaisa Kajala, Peter Bourke, Harry Wichers, Viola Willemsen, Andries Temme, Casper Quist, Ellis Hoffland, Harm Zwarts, Julian Helfenstein, Martijn Zanten, José Mogollón, Patrik Henriksson, Peter Bodegom, Klaas Bouwmeester, Thekla Bismarck, Emilia Hannula, Jonne Rodenburg, Anneke Horstman, Joran Lammers, Robert Loo, Steven Driever, Funda Yildirim, Bob Douma, Sylvia Kalli</t>
  </si>
  <si>
    <t>Wageningen University &amp; Research; Universiteit Leiden; Stichting Wageningen Research; Universiteit Utrecht; Rijksuniversiteit Groningen; Jan IngenHousz Institute; Universiteit Twente</t>
  </si>
  <si>
    <t>Wageningen University &amp; Research; Leiden University; Utrecht University; University of Groningen; University of Twente</t>
  </si>
  <si>
    <t>grid.4818.5; grid.5132.5; grid.5477.1; grid.4830.f; grid.6214.1</t>
  </si>
  <si>
    <t>Wageningen; Leiden; Utrecht; Groningen; Enschede</t>
  </si>
  <si>
    <t>Utrecht; Groningen; Overijssel</t>
  </si>
  <si>
    <t>Netherlands; Netherlands; Netherlands; Netherlands; Netherlands</t>
  </si>
  <si>
    <t>NWA L1 - Research on Routes by Consortia 2024 - NWA-ORC 2024 (Funding Scheme)</t>
  </si>
  <si>
    <t>https://app.dimensions.ai/details/grant/grant.15195759</t>
  </si>
  <si>
    <t>11 Sustainable Cities and Communities; 12 Responsible Consumption and Production; 2 Zero Hunger</t>
  </si>
  <si>
    <t>grant.14912380</t>
  </si>
  <si>
    <t>10.61686/EBLWP68612; NWA.1418.24.024</t>
  </si>
  <si>
    <t>Plant Power: Leveraging Consumer Insights and Food Environments for Long-Term Dietary Change</t>
  </si>
  <si>
    <t>A shift toward more plant-based proteins is essential for the environment, public health, and animal welfare. In the Netherlands, this transition is slow, and the consumption of animal proteins remains high (61%). This project explores how long-term behavior change toward plant-based diets can be promoted and how a more sustainable food environment can be supported.</t>
  </si>
  <si>
    <t>Marleen Onwezen</t>
  </si>
  <si>
    <t>Stichting Wageningen Research</t>
  </si>
  <si>
    <t>Wageningen University &amp; Research</t>
  </si>
  <si>
    <t>grid.4818.5</t>
  </si>
  <si>
    <t>Wageningen</t>
  </si>
  <si>
    <t>NWA L3 - Vernieuwing - Innovatieve projecten in routes 2024 (Funding Scheme)</t>
  </si>
  <si>
    <t>https://doi.org/10.61686/EBLWP68612</t>
  </si>
  <si>
    <t>https://app.dimensions.ai/details/grant/grant.14912380</t>
  </si>
  <si>
    <t>31 Biological Sciences; 32 Biomedical and Clinical Sciences; 3210 Nutrition and Dietetics</t>
  </si>
  <si>
    <t>grant.15196842</t>
  </si>
  <si>
    <t>EP.1721.25.007</t>
  </si>
  <si>
    <t>Accelerating plant-based protein emulsion design with microfluidics and intelligent software tools for sustainable foods (MIPRODESIGN)</t>
  </si>
  <si>
    <t>-</t>
  </si>
  <si>
    <t>Texturisation methods</t>
  </si>
  <si>
    <t>Karin Schroën</t>
  </si>
  <si>
    <t>INT - EU Partnerschappen (1)  - Sustainable Future of Food Systems (FutureFoodS) Call 2024 (Funding Scheme)</t>
  </si>
  <si>
    <t>https://app.dimensions.ai/details/grant/grant.15196842</t>
  </si>
  <si>
    <t>31 Biological Sciences; 46 Information and Computing Sciences; 4612 Software Engineering</t>
  </si>
  <si>
    <t>Bioengineering; Biotechnology</t>
  </si>
  <si>
    <t>grant.14956082</t>
  </si>
  <si>
    <t>235045</t>
  </si>
  <si>
    <t>Enhancing biodiversity and ecosystem services through legume production and dietary change (BiodiversityField2Fork)</t>
  </si>
  <si>
    <t>Background and rationale: Agricultural production is essential for humans but can pose a threat to biodiversity and ecosystem services. It has led to significant decline in biodiversity due to intensification and land use change. Impacts are driven by food consumption patterns, particularly by animal-based foods. Legumes play a key role in substituting animal protein. A transition to a more plant-based diet, combined with increased legume cultivation, is therefore a promising pathway to reduce environmental impacts and improve both biodiversity and ecosystem services both in Switzerland and abroad.Overall objectives: The BiodiversityField2Fork project aims to assess the potential for increasing biodiversity and ecosystem services through the dual pathways of a dietary shift towards more plant-based foods and the simultaneous cultivation of more food legumes in Switzerland.Specific aims: The following research questions will be answered:1.How can a legume-based food system be designed to enhance ecosystem services and improve biodiversity conditions compared to the current food system, while ensuring that the population receives an adequate amount and quality of nutrition?2.How do changes in dietary patterns and cropping systems influence agricultural land use and land-use change, both domestically and abroad, and what potential does this transformation have for biodiversity conditions and the provision of ecosystem services?3.What are the synergies and trade-offs between the provision of ecosystem services, enhancement of biodiversity, other environmental impacts such as climate change and eutrophication and the nutritional needs of the population in the transition to a more legume-based food system?4.What are the promoting and hindering factors for this transition, caused by conflicting stakeholder interests, and how could barriers be overcome?5.What are the most promising pathways for a transition to a more legume-based food system that enhances biodiversity and ecosystem services, considering factors such as crop selection, production methods, and consumer acceptance?Methods: The project will follow an iterative process, starting with a transdisciplinary co-creation process, which will lay the foundation for the products, consumption scenarios and transition pathways to be analysed and discuss interim results as well as the need to change modelling assumptions. We will assess the impact of legume crops and cropping systems on biodiversity and ecosystem services using the SALCA method (Swiss Agricultural Life Cycle Assessment). The relevant legume-based food products, value chains and diets and their impact on biodiversity and ecosystem services will be evaluated. With the SWISSfoodSys model, we will simulate scenarios for the whole Swiss food system with increased legume production and consumption and their impact on domestic agricultural production, import volumes of foods and feeds. We will simulate scenarios that are optimized for their impact on biodiversity and ecosystem services. The global impact of these scenarios on biodiversity and ecosystem services will be assessed using the FABIO (food and agriculture biomass input output) model together with multi-regional input-output data.Expected results: We will provide scientific evidence of the impact of specific legume cropping and legume-based food systems on biodiversity and ecosystem services, taking a holistic view of worldwide impacts and linking them to other environmental impacts (including climate change) and economic indicators. We will calculate the impact of legume crops and cropping systems as well as legume-based food value chains and diets in Switzerland on biodiversity and ecosystem services. Simultaneously, we will investigate the quantity and origin of foods and feeds imported into Switzerland and their impact on biodiversity and ecosystem services abroad. These data will be used to calculate the impact of the whole Swiss food system on biodiversity and ecosystem services for a number of scenarios with an increased legume production and consumption. These scenarios will be optimized for their biodiversity and ecosystem service impact. The outputs we generate will be geared towards stakeholders (fact sheets, discussions at workshops, entries on agripedia.ch, policy briefs) as well as the scientific community.Impact: Our research project will provide scientific evidence for addressing urgent challenges to biodiversity and ecosystem services by targeting food production and consumption as a key levers. We analyse interactions between all relevant points in the value chain and will produce actionable results for key stakeholders, disseminating knowledge directly to practitioners and consumers. With an improved understanding of the impacts of the food system on biodiversity and the benefits of promoting ecosystem services, we expect stakeholders to become more strongly motivated to enact change along the dual pathways of changing agricultural land use in Switzerland and adapting the Swiss food system to enhance biodiversity and ecosystem services.</t>
  </si>
  <si>
    <t>ecosystem services of legumes; biodiversity of legumes; food legumes; dietary change; land use change; crop diversification; environmental impact</t>
  </si>
  <si>
    <t>2028-10-31</t>
  </si>
  <si>
    <t>Maria Bystricky, Utkur Djanibekov, Stephan Pfister, Sanzio Rombini, Dany Schulthess, Philippe Jeanneret, Thomas Nemecek, Albert von Ow, Christie Walker</t>
  </si>
  <si>
    <t>Forschungsgruppe Ökobilanzen  Agroscope, Switzerland; Agroscope, Ukraine; Chair of Ecological Systems Design Institute of Environmental Engineering ETH Zürich, Switzerland; AGRIDEA, Switzerland; Strickhof, Switzerland; Agricultural Landscapes and Biodiversity Institute for Sustainability Sciences ISS Agroscope, Switzerland; Forschungsanstalt Agroscope Environmental Analytics, Switzerland; Institute of Environmental Engineering - IfU D-BAUG ETH Zurich, Switzerland</t>
  </si>
  <si>
    <t>Agroscope; ETH Zurich; AGRIDEA</t>
  </si>
  <si>
    <t>grid.417771.3; grid.5801.c; grid.483057.d</t>
  </si>
  <si>
    <t>Bern; Zurich; Lausanne</t>
  </si>
  <si>
    <t>Switzerland; Switzerland; Switzerland</t>
  </si>
  <si>
    <t>Swiss National Science Foundation</t>
  </si>
  <si>
    <t>NFP 82 - Biodiversity and Ecosystem Services (Funding Instrument); National Research Programmes (NRPs) (Funding Instrument Hierarchy); Programmes (Funding Instrument Hierarchy)</t>
  </si>
  <si>
    <t>https://data.snf.ch/grants/grant/235045</t>
  </si>
  <si>
    <t>https://app.dimensions.ai/details/grant/grant.14956082</t>
  </si>
  <si>
    <t>30 Agricultural, Veterinary and Food Sciences; 41 Environmental Sciences; 4102 Ecological Applications</t>
  </si>
  <si>
    <t>Oral and gastrointestinal</t>
  </si>
  <si>
    <t>15 Life on Land; 2 Zero Hunger</t>
  </si>
  <si>
    <t>grant.15195859</t>
  </si>
  <si>
    <t>10.61686/JBVZB40581; 406.XS.25.02.108</t>
  </si>
  <si>
    <t>Food workers of the world unite! A qualitative investigation of labour relations in alternative food system transitions</t>
  </si>
  <si>
    <t>Our contemporary food system is failing us: it is widely recognised we must transition to alternative forms of food production and consumption built on principles of sustainability and justice. Missing in this debate about transition, however, is the position of agricultural and food workers, who are often the most marginalised actors in food systems. This project will investigate what happens to labour in alternative food systems through in-depth case studies of agroecological farms and plant-based protein companies in the Netherlands and Ireland. The insights generated by the project will help support positive outcomes for labour in alternative food system transitions.</t>
  </si>
  <si>
    <t>2025-12-01</t>
  </si>
  <si>
    <t>Mark Vicol</t>
  </si>
  <si>
    <t>SGW Open Competitie XS 2025 - ronde 2 (Funding Scheme)</t>
  </si>
  <si>
    <t>https://doi.org/10.61686/JBVZB40581</t>
  </si>
  <si>
    <t>https://app.dimensions.ai/details/grant/grant.15195859</t>
  </si>
  <si>
    <t>44 Human Society; 4406 Human Geography; 4410 Sociology</t>
  </si>
  <si>
    <t>C14 Geography and Environmental Studies</t>
  </si>
  <si>
    <t>grant.15164609</t>
  </si>
  <si>
    <t>2024/53/N/NZ9/03652</t>
  </si>
  <si>
    <t>Badanie potencjału kompleksów białkowo-pektynowych do poprawy właściwości funkcjonalnych tuszy do druku 3D</t>
  </si>
  <si>
    <t>Investigating the potential of protein-pectin complexes to improve the functional properties of 3D printing inks</t>
  </si>
  <si>
    <t>Starzenie się społeczeństwa to problem globalny XXI wieku, który wpływa na liczne obszary życia, w tym  również na sektor spożywczy. Przy tak zmieniającej się strukturze demograficznej, zapewnienie odżywczej i atrakcyjnej wizualnie żywności  dla osób starszych czy hospitalizowanych  stało się istotnym wyzwaniem. Technologią umożliwiającą tworzenie takiej żywności jest druk 3D, który  pozwala na przygotowanie produktów o złożonej strukturze, uzyskiwan ych warstwa po warstwie, zgodnie z zaprojektowanym modelem cyfrowym. Zaletą tej technologii jest możliwość dostosowania cech żywieniowych i sen sorycznych do indywidualnych potrzeb konsumentów. Jednakże większość produktów spożywczych, w tym również owoce, mogą być drukowane dopiero po przetworzeniu i  dodaniu substancji poprawiających ich płynność. Większość takich substancji nie jest pozytywnie p ostrzegana przez konsumentów (np. guma guar, karagen), wymaga specyficznych warunków żelowania, lub ich żelowanie trwa bardzo długo. Dodatek białka do owoców może poprawić teksturę produktów, a dodatkowo przyczynić się do poprawy ich wartości odżywczej. Większość białek roślinnych charakteryzuje się  jednak niekorzystnymi właściwościami funkcjonalnymi  w porównaniu do białek pochodzenia zwierzęcego , dlatego należy poszukiwać metod modyfikacji ich właściwości, które jednocześnie będą przyjazne dla środowiska. Tworzenie kompleksów z  pektynami oraz wybrane metody  fizyczne (obróbki ultradźwiękami i mikrofal ami) mogą wpływać na zmianę struktury i poprawę właściwości białek roślinnych, zwiększając tym samym możliwości ich zastosowania.  Celem projektu jest  kompleksowa ocena potencjału wykorzystania kompleksów białko  konopne-pektyna do tworzenia past do druku 3D z wytłoków owocowych. Zostanie zbadany wpływ obróbek ultradźwiękami i mikrofalami na wybrane właściwości kompleksów.  Ponadto, aby ocenić możliwość  utrwalenia wydrukowanego materiału, zostanie przeprowadzone suszenie mikrofalowo-próżniowe o różnych parametrach, a także suszenie konwekcyjne i liofilizacja jako metody referencyjne.  Do tworzenia kompleksów zostaną wykorzystane i zolat lub koncentrat białka  konopnego oraz wybrane preparaty pektynowe z pektyny cytrusowej i/lub jabłkowej. Kompleksy zostaną poddane obróbkom ultradźwiękowej i mikrofalowej i zbadane zostaną ich właściwości fizyczne i chemiczne. Równolegle, wytłoki owocowe o pożądanej konsystencji  i strukturze zostaną uzyskane przez wyciskanie soku, homogenizację i przetarcie przez sito. Kompleksy białkowo-pektynowe o najbardziej obiecujących właściwościach zostaną dodane do przetworzonych wytłoków w celu wytworzenia pasty do druku  3D. Proces druku  3D zostanie zoptymalizowany, z uwzględnieniem licznych parametrów, w tym średnicy dyszy, prędkości drukowania czy współczynnik wypełnienia, a następnie zbadane zostaną właściwości fizyczne i chemiczne drukowanych past. Wybrane warianty wydruków zostaną po ddane suszeniu mikrofalowo-próżniowemu, w którym temperatura, optymalizowane będą temperatura, ciśnienie i moc mikrofal. Hipoteza badawcza zakłada, że odpowiedni skład (rodzaj pektyny, stężenie białka i stosunek białko/pektyna), warunki środowiskowe (pH, temperatura, siła jonowa) oraz łagodna obróbka wspomagająca (ultradźwięki, mikrofale) pozwolą na uzyskanie kompleksów białko  konopne-pektyna o pożądanych właściwościach funkcjonalnych i będą mogły posłużyć do p oprawy drukowalności wytłoków owocowych. Badanie będzie odpowiedzią na globalne problemy, takie jak zagospodarowanie produktów ubocznych z przemysłu spożywczego (wytłoki, pektyny - przemysł owocowo-warzywny, białko konopne – przemysł olejarski) czy rosnąca zapotrzebowanie na żywność pochodzenia roślinnego – naturalną i bogatą w składniki odżywcze. Zaproponowane  badania pomogą zrozumieć interakcje między białkiem konopnym a  pektyną poddawanym wybranym obróbkom fizycznym, co może przyczynić się do potencjalnego stosowania takich kompleksów jako alternatyw dla negatywnie postrzeganych stabilizatorów stosowanych w żywności roślinnej. Dodatkowo, badania dostarczą nowej wiedzy na temat drukowalności wytłoków owocowych oraz możliwości wykorzystania kompleksów białkowo -pektynowych w celu poprawy drukowalności past spożywczych. Wyniki badań mogą być interesujące również w związku z poszukiwaniem rozwiązań w zakresie utrwalania produktów drukowanych 3D , co w przyszłości mogłoby przyczynić się do zwiększenia ich dostępności na rynku. Rezultaty projektu mogą b yć przydatne w przyszłości do projektowania żywności o określonych cechach sensorycznych, np. specyficznej teksturze i strukturze, a także żywieniowych, np. o zwiększonej zawartości składników biologicznie czynnych.</t>
  </si>
  <si>
    <t>The aging population is a global problem of the 21st century, affecting numerous areas of life, including the food sector. With such a changing demographic structure, providing nutritious and visually appealing food for the elderly and hospitalized has become a significant challenge. The technology enabling the creation of such food is 3D printing, which allows for the preparation of products with complex structures, obtained layer by layer, according to a designed digital model. The advantage of this technology is the ability to customize nutritional and sensory characteristics to individual consumer needs. However, most food products, including fruit, can be printed only after processing and the addition of substances that improve their flowability. Most of these substances are not positively perceived by consumers (e.g., guar gum, carrageenan), require specific gelation conditions, or their gelation takes a very long time. Adding protein to fruit can improve the texture of products and additionally contribute to their nutritional value. However, most plant proteins have unfavorable functional properties compared to animal proteins, so it is necessary to seek methods for modifying their properties that are also environmentally friendly. The formation of complexes with pectins and selected physical methods (ultrasound and microwave treatment) can alter the structure and improve the properties of plant proteins, thus increasing their application potential. The aim of the project is to comprehensively assess the potential of using hemp protein-pectin complexes to create pastes for 3D printing from fruit pomace. The effect of ultrasonic and microwave treatments on selected properties of the complexes will be examined. Furthermore, to assess the possibility of fixing the printed material, microwave-vacuum drying with various parameters will be conducted, as well as convective drying and freeze-drying as reference methods. Hemp protein isolate or concentrate, as well as selected pectin preparations from citrus and/or apple pectin, will be used to create the complexes. The complexes will be subjected to ultrasonic and microwave treatments, and their physical and chemical properties will be examined. In parallel, fruit pomace with the desired consistency and structure will be obtained by squeezing the juice, homogenizing it, and sieving it. Protein-pectin complexes with the most promising properties will be added to the processed pomace to produce a paste for 3D printing. The 3D printing process will be optimized, taking into account numerous parameters, including nozzle diameter, printing speed, and fill factor. The physical and chemical properties of the printed pastes will then be examined. Selected print variants will then be subjected to microwave-vacuum drying, with optimized temperature, pressure, and microwave power. The research hypothesis assumes that the appropriate composition (pectin type, protein concentration, and protein/pectin ratio), environmental conditions (pH, temperature, ionic strength), and mild auxiliary processing (ultrasound, microwaves) will allow for the production of hemp protein-pectin complexes with the desired functional properties and can be used to improve the printability of fruit pomace. The research will be a response to global problems, such as the management of by-products from the food industry (pomace, pectin - fruit and vegetable industry, hemp protein - oil industry) or the growing demand for plant-based food - natural and rich in nutrients.The proposed research will help understand the interactions between hemp protein and pectin subjected to selected physical treatments, which may contribute to the potential use of such complexes as alternatives to the negatively perceived stabilizers used in plant-based foods. Additionally, the research will provide new knowledge on the printability of fruit pomace and the possibility of using protein-pectin complexes to improve the printability of food pastes. The research results may also be of interest in connection with the search for solutions for the stabilization of 3D printed products, which could contribute to their increased availability on the market in the future. The project results may be useful in the future for designing foods with specific sensory characteristics, such as specific texture and structure, as well as nutritional characteristics, such as those with increased content of biologically active ingredients.</t>
  </si>
  <si>
    <t>Hemp protein; pectin; convection drying; freeze-drying; texture.; microwaves; structure; rheological properties; 3D printing; fruit pomace; microwave-vacuum drying; ultrasounds</t>
  </si>
  <si>
    <t>PLN</t>
  </si>
  <si>
    <t>2025-02-05</t>
  </si>
  <si>
    <t>2028-02-04</t>
  </si>
  <si>
    <t>Magdalena Urszula Trusińska</t>
  </si>
  <si>
    <t>Szkoła Główna Gospodarstwa Wiejskiego w Warszawie</t>
  </si>
  <si>
    <t>Warsaw University of Life Sciences</t>
  </si>
  <si>
    <t>grid.13276.31</t>
  </si>
  <si>
    <t>Warsaw</t>
  </si>
  <si>
    <t>Poland</t>
  </si>
  <si>
    <t>National Science Center</t>
  </si>
  <si>
    <t>PRELUDIUM 23 (Competition)</t>
  </si>
  <si>
    <t>https://projekty.ncn.gov.pl/index.php?projekt_id=614524</t>
  </si>
  <si>
    <t>https://app.dimensions.ai/details/grant/grant.15164609</t>
  </si>
  <si>
    <t>grant.15053559</t>
  </si>
  <si>
    <t>10154415</t>
  </si>
  <si>
    <t>Designing a manufacturing facility of the future for cell cultivated products</t>
  </si>
  <si>
    <t>The UN's goal of eliminating hunger will be missed by 660m people (WHO) with food production needing to increase by 50% by 2050 and projected protein provision being insufficient for healthy diets.
Traditional food production cannot meet this demand, with livestock agriculture already consuming 70% of available arable land and 27% of global freshwater. It is a major contributor to climate change, contributing 15% of all global anthropogenic greenhouse gas emissions, alongside agriculture-related pollution and eutrophication and human health risks including zoonotic disease and antibiotic resistance.
Cell cultivated food products from plant and animal cells are accepted as a game-changing sustainable solution to these challenges, with the potential to produce products indistinguishable from conventional agricultural products through cultivation of cells using bioprocessing techniques. However, this nascent industry urgently needs solutions to enable production-at-scale to realise the enormous potential to feed more people with fewer resources, decarbonising meat production and reducing land and water usage.
Key technological barriers to entry and scale for new cell cultivated products include the prohibitively long, expensive, high risk product development cycles and the huge cost of setting up and optimising equipment, manufacturing facilities and processes. Manufacturing foods of the future require facilities of the future to support their production. These facilities need to be designed with a customer, people and planet centric design in order to fulfil the expectation of reducing environmental impact from food production.</t>
  </si>
  <si>
    <t>Other</t>
  </si>
  <si>
    <t>2025-05-31</t>
  </si>
  <si>
    <t>2025-10-31</t>
  </si>
  <si>
    <t>EXTRACELLULAR LTD; CAWSAM BIOPROCESS CONSULTING LTD</t>
  </si>
  <si>
    <t>Business Connect (Project Category)</t>
  </si>
  <si>
    <t>https://gtr.ukri.org/projects?ref=10154415</t>
  </si>
  <si>
    <t>https://app.dimensions.ai/details/grant/grant.15053559</t>
  </si>
  <si>
    <t>30 Agricultural, Veterinary and Food Sciences; 40 Engineering; 4014 Manufacturing Engineering</t>
  </si>
  <si>
    <t>grant.15145313</t>
  </si>
  <si>
    <t>Opbouwen van een kennisbasis voor ‘ultrasound’-geïnduceerde wijzigingen in de structuur en functionaliteit van peulvruchtproteïnen</t>
  </si>
  <si>
    <t>Building a knowledge base for ultrasound-induced changes in the structure and functionality of legume proteins</t>
  </si>
  <si>
    <t>‘Ultrasound’ behandelingen kunnen de structurele organisatie van peulvruchtproteïnen en bijgevolg hun functionaliteit in voeding veranderen. Dit project beoogt een fundamentele kennisbasis op te bouwen over hoge-intensiteit ‘ultrasound’ behandelingen voor structurele en functionele modificatie van peulvruchtproteïnen. Een veelvoud aan ‘ultrasound’ behandelingen met verschillende intensiteiten zal onderzocht worden, met als doel specifieke structurele wijzigingen in natieve soja-, erwt-, en veldboonproteïnen te veroorzaken, zoals sub-unit dissociatie of aggregatie. Een specifieke focus is het karakteriseren en begrijpen van deze structurele veranderingen op meerdere lengteschalen. De opgebouwde analytische toolbox zal dan gebruikt worden om de invloed van pH en ionische sterkte tijdens ‘ultrasound’ behandeling op de geïnduceerde structurele wijzigingen te begrijpen. Tot slot zullen de emulgerende eigenschappen van structureel verschillende stalen bestudeerd worden. Mechanistische inzichten zullen verkregen worden uit olie-water interfase tensiometrie en geavanceerde microscopie. Het project zal resulteren in (i) het begrijpen van ‘ultrasound’-geïnduceerde structurele wijzigingen in natieve plantaardige globulines over verschillende lengteschalen, en (ii) betekenisvolle relaties tussen de structuur van peulvruchtproteïnen en hun emulgerende eigenschappen. Hierdoor draagt het project bij aan de eiwittransitie door de toepasbaarheid van peulvruchtproteïnen in voeding te verhogen.</t>
  </si>
  <si>
    <t>Ultrasound treatments can alter the structural organization of legume proteins and, consequently, their functionality in food. This project aims to build a fundamental knowledge base on high-intensity ultrasound treatments for structural and functional modification of legume proteins. A variety of ultrasound treatments with different intensities will be investigated, aiming to induce specific structural changes in native soy, pea, and faba bean proteins, such as subunit dissociation or aggregation. A specific focus is on characterizing and understanding these structural changes at multiple length scales. The developed analytical toolbox will then be used to understand the influence of pH and ionic strength during ultrasound treatment on the induced structural changes. Finally, the emulsifying properties of structurally different samples will be studied. Mechanistic insights will be obtained from oil-water interphase tensiometry and advanced microscopy. The project will result in (i) understanding ultrasound-induced structural changes in native plant globulins across different length scales, and (ii) meaningful relationships between the structure of legume proteins and their emulsifying properties. In doing so, the project contributes to the protein transition by increasing the applicability of legume proteins in food.</t>
  </si>
  <si>
    <t>legume proteins; food emulsions; ultrasound</t>
  </si>
  <si>
    <t>Arno Wouters, Ben Van den Wouwer</t>
  </si>
  <si>
    <t>https://researchportal.be/nl/project/opbouwen-van-een-kennisbasis-voor-ultrasound-geinduceerde-wijzigingen-de-structuur-en</t>
  </si>
  <si>
    <t>https://app.dimensions.ai/details/grant/grant.15145313</t>
  </si>
  <si>
    <t>30 Agricultural, Veterinary and Food Sciences; 3006 Food Sciences; 31 Biological Sciences</t>
  </si>
  <si>
    <t>Biomedical Imaging</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</si>
</sst>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font>
    <font>
      <b/>
      <sz val="11.0"/>
      <color theme="1"/>
      <name val="Calibri"/>
    </font>
    <font>
      <b/>
      <color rgb="FF1F1F1F"/>
      <name val="Google Sans Text"/>
    </font>
    <font>
      <color theme="1"/>
      <name val="Arial"/>
    </font>
    <font>
      <sz val="11.0"/>
      <color theme="1"/>
      <name val="Calibri"/>
    </font>
    <font>
      <color rgb="FF1F1F1F"/>
      <name val="Google Sans Text"/>
    </font>
    <font>
      <b/>
      <color rgb="FF1F1F1F"/>
      <name val="&quot;Google Sans Text&quot;"/>
    </font>
    <font>
      <color rgb="FF1F1F1F"/>
      <name val="&quot;Google Sans Text&quot;"/>
    </font>
    <font>
      <color theme="1"/>
      <name val="Arial"/>
      <scheme val="minor"/>
    </font>
  </fonts>
  <fills count="4">
    <fill>
      <patternFill patternType="none"/>
    </fill>
    <fill>
      <patternFill patternType="lightGray"/>
    </fill>
    <fill>
      <patternFill patternType="solid">
        <fgColor rgb="FFF3F3F3"/>
        <bgColor rgb="FFF3F3F3"/>
      </patternFill>
    </fill>
    <fill>
      <patternFill patternType="solid">
        <fgColor rgb="FFD9EAD3"/>
        <bgColor rgb="FFD9EAD3"/>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2" fontId="2" numFmtId="0" xfId="0" applyAlignment="1" applyFill="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horizontal="right" vertical="bottom"/>
    </xf>
    <xf borderId="0" fillId="0" fontId="5" numFmtId="0" xfId="0" applyAlignment="1" applyFont="1">
      <alignment vertical="bottom"/>
    </xf>
    <xf borderId="0" fillId="0" fontId="5" numFmtId="0" xfId="0" applyAlignment="1" applyFont="1">
      <alignment horizontal="center" vertical="bottom"/>
    </xf>
    <xf borderId="0" fillId="0" fontId="4" numFmtId="0" xfId="0" applyAlignment="1" applyFont="1">
      <alignment horizontal="center" vertical="bottom"/>
    </xf>
    <xf borderId="0" fillId="0" fontId="6" numFmtId="0" xfId="0" applyAlignment="1" applyFont="1">
      <alignment vertical="bottom"/>
    </xf>
    <xf borderId="0" fillId="3" fontId="5" numFmtId="0" xfId="0" applyAlignment="1" applyFill="1" applyFont="1">
      <alignment vertical="bottom"/>
    </xf>
    <xf borderId="0" fillId="0" fontId="7" numFmtId="0" xfId="0" applyAlignment="1" applyFont="1">
      <alignment readingOrder="0"/>
    </xf>
    <xf borderId="0" fillId="0" fontId="8" numFmtId="0" xfId="0" applyAlignment="1" applyFont="1">
      <alignment readingOrder="0"/>
    </xf>
    <xf borderId="0" fillId="2" fontId="5" numFmtId="0" xfId="0" applyAlignment="1" applyFont="1">
      <alignment vertical="bottom"/>
    </xf>
    <xf borderId="0" fillId="2"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6.5" customHeight="1">
      <c r="A1" s="1" t="s">
        <v>0</v>
      </c>
      <c r="B1" s="2" t="s">
        <v>1</v>
      </c>
      <c r="C1" s="2" t="s">
        <v>2</v>
      </c>
      <c r="D1" s="3" t="s">
        <v>3</v>
      </c>
      <c r="E1" s="3" t="s">
        <v>4</v>
      </c>
      <c r="F1" s="3" t="s">
        <v>5</v>
      </c>
      <c r="G1" s="3" t="s">
        <v>4</v>
      </c>
      <c r="H1" s="2" t="s">
        <v>6</v>
      </c>
      <c r="I1" s="2" t="s">
        <v>7</v>
      </c>
      <c r="J1" s="2" t="s">
        <v>8</v>
      </c>
      <c r="K1" s="2" t="s">
        <v>9</v>
      </c>
      <c r="L1" s="2" t="s">
        <v>10</v>
      </c>
      <c r="M1" s="4" t="s">
        <v>11</v>
      </c>
      <c r="N1" s="4" t="s">
        <v>12</v>
      </c>
      <c r="O1" s="4"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row>
    <row r="2" ht="16.5" customHeight="1">
      <c r="A2" s="5" t="s">
        <v>47</v>
      </c>
      <c r="B2" s="6">
        <v>1500.0</v>
      </c>
      <c r="C2" s="7" t="s">
        <v>48</v>
      </c>
      <c r="D2" s="8" t="b">
        <f t="shared" ref="D2:D38" si="1">ISNUMBER(MATCH(C2, 'Airtable copy'!N:N, 0))</f>
        <v>0</v>
      </c>
      <c r="E2" s="5" t="str">
        <f t="shared" ref="E2:E38" si="2">VLOOKUP(C2,'Airtable copy'!N:N,1,FALSE)</f>
        <v>#REF!</v>
      </c>
      <c r="F2" s="8" t="b">
        <f t="shared" ref="F2:F38" si="3">ISNUMBER(MATCH(C2, 'Grants tracker download'!O:O, 0))</f>
        <v>0</v>
      </c>
      <c r="G2" s="9" t="str">
        <f t="shared" ref="G2:G38" si="4">VLOOKUP(C2,'Grants tracker download'!O:O,1,FALSE)</f>
        <v>#REF!</v>
      </c>
      <c r="H2" s="7" t="s">
        <v>49</v>
      </c>
      <c r="I2" s="7" t="s">
        <v>50</v>
      </c>
      <c r="J2" s="7" t="s">
        <v>50</v>
      </c>
      <c r="K2" s="7" t="s">
        <v>51</v>
      </c>
      <c r="L2" s="7" t="s">
        <v>51</v>
      </c>
      <c r="M2" s="4" t="s">
        <v>52</v>
      </c>
      <c r="N2" s="10" t="s">
        <v>53</v>
      </c>
      <c r="O2" s="10" t="s">
        <v>54</v>
      </c>
      <c r="P2" s="5"/>
      <c r="Q2" s="6">
        <v>904867.0</v>
      </c>
      <c r="R2" s="7" t="s">
        <v>55</v>
      </c>
      <c r="S2" s="6">
        <v>960340.0</v>
      </c>
      <c r="T2" s="7" t="s">
        <v>56</v>
      </c>
      <c r="U2" s="6">
        <v>2025.0</v>
      </c>
      <c r="V2" s="5"/>
      <c r="W2" s="5"/>
      <c r="X2" s="7" t="s">
        <v>57</v>
      </c>
      <c r="Y2" s="7" t="s">
        <v>58</v>
      </c>
      <c r="Z2" s="7" t="s">
        <v>59</v>
      </c>
      <c r="AA2" s="7" t="s">
        <v>60</v>
      </c>
      <c r="AB2" s="7" t="s">
        <v>61</v>
      </c>
      <c r="AC2" s="7" t="s">
        <v>62</v>
      </c>
      <c r="AD2" s="7" t="s">
        <v>63</v>
      </c>
      <c r="AE2" s="7" t="s">
        <v>64</v>
      </c>
      <c r="AF2" s="7" t="s">
        <v>65</v>
      </c>
      <c r="AG2" s="7" t="s">
        <v>66</v>
      </c>
      <c r="AH2" s="7" t="s">
        <v>67</v>
      </c>
      <c r="AI2" s="7" t="s">
        <v>68</v>
      </c>
      <c r="AJ2" s="5"/>
      <c r="AK2" s="5"/>
      <c r="AL2" s="7" t="s">
        <v>69</v>
      </c>
      <c r="AM2" s="7" t="s">
        <v>70</v>
      </c>
      <c r="AN2" s="7" t="s">
        <v>71</v>
      </c>
      <c r="AO2" s="7" t="s">
        <v>72</v>
      </c>
      <c r="AP2" s="5"/>
      <c r="AQ2" s="5"/>
      <c r="AR2" s="5"/>
      <c r="AS2" s="5"/>
      <c r="AT2" s="5"/>
      <c r="AU2" s="7" t="s">
        <v>73</v>
      </c>
      <c r="AV2" s="7" t="s">
        <v>74</v>
      </c>
    </row>
    <row r="3" ht="16.5" customHeight="1">
      <c r="A3" s="5" t="s">
        <v>47</v>
      </c>
      <c r="B3" s="6">
        <v>1395.0</v>
      </c>
      <c r="C3" s="7" t="s">
        <v>75</v>
      </c>
      <c r="D3" s="8" t="b">
        <f t="shared" si="1"/>
        <v>0</v>
      </c>
      <c r="E3" s="5" t="str">
        <f t="shared" si="2"/>
        <v>#REF!</v>
      </c>
      <c r="F3" s="8" t="b">
        <f t="shared" si="3"/>
        <v>0</v>
      </c>
      <c r="G3" s="9" t="str">
        <f t="shared" si="4"/>
        <v>#REF!</v>
      </c>
      <c r="H3" s="7" t="s">
        <v>76</v>
      </c>
      <c r="I3" s="7" t="s">
        <v>77</v>
      </c>
      <c r="J3" s="7" t="s">
        <v>77</v>
      </c>
      <c r="K3" s="7" t="s">
        <v>78</v>
      </c>
      <c r="L3" s="7" t="s">
        <v>78</v>
      </c>
      <c r="M3" s="4" t="s">
        <v>52</v>
      </c>
      <c r="N3" s="10" t="s">
        <v>53</v>
      </c>
      <c r="O3" s="10" t="s">
        <v>79</v>
      </c>
      <c r="P3" s="5"/>
      <c r="Q3" s="6">
        <v>320000.0</v>
      </c>
      <c r="R3" s="7" t="s">
        <v>55</v>
      </c>
      <c r="S3" s="6">
        <v>339617.0</v>
      </c>
      <c r="T3" s="7" t="s">
        <v>80</v>
      </c>
      <c r="U3" s="6">
        <v>2025.0</v>
      </c>
      <c r="V3" s="5"/>
      <c r="W3" s="5"/>
      <c r="X3" s="7" t="s">
        <v>81</v>
      </c>
      <c r="Y3" s="7" t="s">
        <v>82</v>
      </c>
      <c r="Z3" s="7" t="s">
        <v>82</v>
      </c>
      <c r="AA3" s="7" t="s">
        <v>83</v>
      </c>
      <c r="AB3" s="7" t="s">
        <v>84</v>
      </c>
      <c r="AC3" s="7" t="s">
        <v>85</v>
      </c>
      <c r="AD3" s="7" t="s">
        <v>66</v>
      </c>
      <c r="AE3" s="7" t="s">
        <v>64</v>
      </c>
      <c r="AF3" s="7" t="s">
        <v>65</v>
      </c>
      <c r="AG3" s="7" t="s">
        <v>66</v>
      </c>
      <c r="AH3" s="7" t="s">
        <v>86</v>
      </c>
      <c r="AI3" s="7" t="s">
        <v>68</v>
      </c>
      <c r="AJ3" s="5"/>
      <c r="AK3" s="7" t="s">
        <v>87</v>
      </c>
      <c r="AL3" s="7" t="s">
        <v>88</v>
      </c>
      <c r="AM3" s="7" t="s">
        <v>89</v>
      </c>
      <c r="AN3" s="7" t="s">
        <v>90</v>
      </c>
      <c r="AO3" s="5"/>
      <c r="AP3" s="5"/>
      <c r="AQ3" s="7" t="s">
        <v>91</v>
      </c>
      <c r="AR3" s="7" t="s">
        <v>92</v>
      </c>
      <c r="AS3" s="5"/>
      <c r="AT3" s="5"/>
      <c r="AU3" s="7" t="s">
        <v>93</v>
      </c>
      <c r="AV3" s="7" t="s">
        <v>74</v>
      </c>
    </row>
    <row r="4" ht="16.5" customHeight="1">
      <c r="A4" s="5" t="s">
        <v>47</v>
      </c>
      <c r="B4" s="6">
        <v>1328.0</v>
      </c>
      <c r="C4" s="7" t="s">
        <v>94</v>
      </c>
      <c r="D4" s="8" t="b">
        <f t="shared" si="1"/>
        <v>0</v>
      </c>
      <c r="E4" s="5" t="str">
        <f t="shared" si="2"/>
        <v>#REF!</v>
      </c>
      <c r="F4" s="8" t="b">
        <f t="shared" si="3"/>
        <v>0</v>
      </c>
      <c r="G4" s="9" t="str">
        <f t="shared" si="4"/>
        <v>#REF!</v>
      </c>
      <c r="H4" s="7" t="s">
        <v>95</v>
      </c>
      <c r="I4" s="7" t="s">
        <v>96</v>
      </c>
      <c r="J4" s="7" t="s">
        <v>96</v>
      </c>
      <c r="K4" s="7" t="s">
        <v>97</v>
      </c>
      <c r="L4" s="7" t="s">
        <v>97</v>
      </c>
      <c r="M4" s="4" t="s">
        <v>52</v>
      </c>
      <c r="N4" s="10" t="s">
        <v>53</v>
      </c>
      <c r="O4" s="10" t="s">
        <v>98</v>
      </c>
      <c r="P4" s="5"/>
      <c r="Q4" s="6">
        <v>0.0</v>
      </c>
      <c r="R4" s="5"/>
      <c r="S4" s="6">
        <v>0.0</v>
      </c>
      <c r="T4" s="7" t="s">
        <v>56</v>
      </c>
      <c r="U4" s="6">
        <v>2025.0</v>
      </c>
      <c r="V4" s="5"/>
      <c r="W4" s="5"/>
      <c r="X4" s="7" t="s">
        <v>99</v>
      </c>
      <c r="Y4" s="7" t="s">
        <v>100</v>
      </c>
      <c r="Z4" s="7" t="s">
        <v>101</v>
      </c>
      <c r="AA4" s="7" t="s">
        <v>102</v>
      </c>
      <c r="AB4" s="7" t="s">
        <v>103</v>
      </c>
      <c r="AC4" s="7" t="s">
        <v>104</v>
      </c>
      <c r="AD4" s="7" t="s">
        <v>105</v>
      </c>
      <c r="AE4" s="7" t="s">
        <v>106</v>
      </c>
      <c r="AF4" s="5"/>
      <c r="AG4" s="7" t="s">
        <v>107</v>
      </c>
      <c r="AH4" s="7" t="s">
        <v>108</v>
      </c>
      <c r="AI4" s="7" t="s">
        <v>68</v>
      </c>
      <c r="AJ4" s="5"/>
      <c r="AK4" s="7" t="s">
        <v>109</v>
      </c>
      <c r="AL4" s="7" t="s">
        <v>110</v>
      </c>
      <c r="AM4" s="7" t="s">
        <v>111</v>
      </c>
      <c r="AN4" s="7" t="s">
        <v>112</v>
      </c>
      <c r="AO4" s="5"/>
      <c r="AP4" s="7" t="s">
        <v>113</v>
      </c>
      <c r="AQ4" s="7" t="s">
        <v>91</v>
      </c>
      <c r="AR4" s="7" t="s">
        <v>92</v>
      </c>
      <c r="AS4" s="5"/>
      <c r="AT4" s="5"/>
      <c r="AU4" s="7" t="s">
        <v>114</v>
      </c>
      <c r="AV4" s="7" t="s">
        <v>115</v>
      </c>
    </row>
    <row r="5" ht="16.5" customHeight="1">
      <c r="A5" s="5" t="s">
        <v>47</v>
      </c>
      <c r="B5" s="6">
        <v>1301.0</v>
      </c>
      <c r="C5" s="7" t="s">
        <v>116</v>
      </c>
      <c r="D5" s="8" t="b">
        <f t="shared" si="1"/>
        <v>0</v>
      </c>
      <c r="E5" s="5" t="str">
        <f t="shared" si="2"/>
        <v>#REF!</v>
      </c>
      <c r="F5" s="8" t="b">
        <f t="shared" si="3"/>
        <v>0</v>
      </c>
      <c r="G5" s="9" t="str">
        <f t="shared" si="4"/>
        <v>#REF!</v>
      </c>
      <c r="H5" s="7" t="s">
        <v>117</v>
      </c>
      <c r="I5" s="7" t="s">
        <v>118</v>
      </c>
      <c r="J5" s="7" t="s">
        <v>118</v>
      </c>
      <c r="K5" s="7" t="s">
        <v>119</v>
      </c>
      <c r="L5" s="7" t="s">
        <v>119</v>
      </c>
      <c r="M5" s="4" t="s">
        <v>52</v>
      </c>
      <c r="N5" s="10" t="s">
        <v>53</v>
      </c>
      <c r="O5" s="10" t="s">
        <v>120</v>
      </c>
      <c r="P5" s="5"/>
      <c r="Q5" s="6">
        <v>2891999.0</v>
      </c>
      <c r="R5" s="7" t="s">
        <v>121</v>
      </c>
      <c r="S5" s="6">
        <v>262375.0</v>
      </c>
      <c r="T5" s="7" t="s">
        <v>56</v>
      </c>
      <c r="U5" s="6">
        <v>2025.0</v>
      </c>
      <c r="V5" s="7" t="s">
        <v>122</v>
      </c>
      <c r="W5" s="6">
        <v>2028.0</v>
      </c>
      <c r="X5" s="7" t="s">
        <v>123</v>
      </c>
      <c r="Y5" s="7" t="s">
        <v>124</v>
      </c>
      <c r="Z5" s="7" t="s">
        <v>125</v>
      </c>
      <c r="AA5" s="7" t="s">
        <v>126</v>
      </c>
      <c r="AB5" s="7" t="s">
        <v>127</v>
      </c>
      <c r="AC5" s="5"/>
      <c r="AD5" s="7" t="s">
        <v>128</v>
      </c>
      <c r="AE5" s="7" t="s">
        <v>129</v>
      </c>
      <c r="AF5" s="7" t="s">
        <v>65</v>
      </c>
      <c r="AG5" s="7" t="s">
        <v>128</v>
      </c>
      <c r="AH5" s="7" t="s">
        <v>130</v>
      </c>
      <c r="AI5" s="7" t="s">
        <v>68</v>
      </c>
      <c r="AJ5" s="5"/>
      <c r="AK5" s="7" t="s">
        <v>131</v>
      </c>
      <c r="AL5" s="7" t="s">
        <v>132</v>
      </c>
      <c r="AM5" s="7" t="s">
        <v>133</v>
      </c>
      <c r="AN5" s="5"/>
      <c r="AO5" s="7" t="s">
        <v>72</v>
      </c>
      <c r="AP5" s="5"/>
      <c r="AQ5" s="5"/>
      <c r="AR5" s="5"/>
      <c r="AS5" s="5"/>
      <c r="AT5" s="5"/>
      <c r="AU5" s="7" t="s">
        <v>134</v>
      </c>
      <c r="AV5" s="7" t="s">
        <v>135</v>
      </c>
    </row>
    <row r="6" ht="16.5" customHeight="1">
      <c r="A6" s="5" t="s">
        <v>47</v>
      </c>
      <c r="B6" s="6">
        <v>493.0</v>
      </c>
      <c r="C6" s="7" t="s">
        <v>136</v>
      </c>
      <c r="D6" s="8" t="b">
        <f t="shared" si="1"/>
        <v>0</v>
      </c>
      <c r="E6" s="5" t="str">
        <f t="shared" si="2"/>
        <v>#REF!</v>
      </c>
      <c r="F6" s="8" t="b">
        <f t="shared" si="3"/>
        <v>0</v>
      </c>
      <c r="G6" s="9" t="str">
        <f t="shared" si="4"/>
        <v>#REF!</v>
      </c>
      <c r="H6" s="5"/>
      <c r="I6" s="7" t="s">
        <v>137</v>
      </c>
      <c r="J6" s="7" t="s">
        <v>138</v>
      </c>
      <c r="K6" s="7" t="s">
        <v>139</v>
      </c>
      <c r="L6" s="7" t="s">
        <v>140</v>
      </c>
      <c r="M6" s="4" t="s">
        <v>52</v>
      </c>
      <c r="N6" s="10" t="s">
        <v>141</v>
      </c>
      <c r="O6" s="10" t="s">
        <v>142</v>
      </c>
      <c r="P6" s="5"/>
      <c r="Q6" s="6">
        <v>0.0</v>
      </c>
      <c r="R6" s="5"/>
      <c r="S6" s="6">
        <v>0.0</v>
      </c>
      <c r="T6" s="7" t="s">
        <v>143</v>
      </c>
      <c r="U6" s="6">
        <v>2025.0</v>
      </c>
      <c r="V6" s="7" t="s">
        <v>144</v>
      </c>
      <c r="W6" s="6">
        <v>2026.0</v>
      </c>
      <c r="X6" s="5"/>
      <c r="Y6" s="7" t="s">
        <v>145</v>
      </c>
      <c r="Z6" s="5"/>
      <c r="AA6" s="5"/>
      <c r="AB6" s="5"/>
      <c r="AC6" s="5"/>
      <c r="AD6" s="5"/>
      <c r="AE6" s="7" t="s">
        <v>146</v>
      </c>
      <c r="AF6" s="5"/>
      <c r="AG6" s="7" t="s">
        <v>147</v>
      </c>
      <c r="AH6" s="7" t="s">
        <v>148</v>
      </c>
      <c r="AI6" s="7" t="s">
        <v>68</v>
      </c>
      <c r="AJ6" s="5"/>
      <c r="AK6" s="7" t="s">
        <v>149</v>
      </c>
      <c r="AL6" s="7" t="s">
        <v>150</v>
      </c>
      <c r="AM6" s="7" t="s">
        <v>151</v>
      </c>
      <c r="AN6" s="7" t="s">
        <v>152</v>
      </c>
      <c r="AO6" s="7" t="s">
        <v>72</v>
      </c>
      <c r="AP6" s="5"/>
      <c r="AQ6" s="5"/>
      <c r="AR6" s="5"/>
      <c r="AS6" s="5"/>
      <c r="AT6" s="5"/>
      <c r="AU6" s="7" t="s">
        <v>153</v>
      </c>
      <c r="AV6" s="7" t="s">
        <v>154</v>
      </c>
    </row>
    <row r="7" ht="16.5" customHeight="1">
      <c r="A7" s="5" t="s">
        <v>47</v>
      </c>
      <c r="B7" s="6">
        <v>410.0</v>
      </c>
      <c r="C7" s="7" t="s">
        <v>155</v>
      </c>
      <c r="D7" s="8" t="b">
        <f t="shared" si="1"/>
        <v>0</v>
      </c>
      <c r="E7" s="5" t="str">
        <f t="shared" si="2"/>
        <v>#REF!</v>
      </c>
      <c r="F7" s="8" t="b">
        <f t="shared" si="3"/>
        <v>0</v>
      </c>
      <c r="G7" s="9" t="str">
        <f t="shared" si="4"/>
        <v>#REF!</v>
      </c>
      <c r="H7" s="7" t="s">
        <v>156</v>
      </c>
      <c r="I7" s="7" t="s">
        <v>157</v>
      </c>
      <c r="J7" s="7" t="s">
        <v>157</v>
      </c>
      <c r="K7" s="7" t="s">
        <v>158</v>
      </c>
      <c r="L7" s="7" t="s">
        <v>158</v>
      </c>
      <c r="M7" s="4" t="s">
        <v>52</v>
      </c>
      <c r="N7" s="10" t="s">
        <v>141</v>
      </c>
      <c r="O7" s="10" t="s">
        <v>159</v>
      </c>
      <c r="P7" s="5"/>
      <c r="Q7" s="6">
        <v>6999521.0</v>
      </c>
      <c r="R7" s="7" t="s">
        <v>55</v>
      </c>
      <c r="S7" s="6">
        <v>7428611.0</v>
      </c>
      <c r="T7" s="7" t="s">
        <v>160</v>
      </c>
      <c r="U7" s="6">
        <v>2025.0</v>
      </c>
      <c r="V7" s="7" t="s">
        <v>161</v>
      </c>
      <c r="W7" s="6">
        <v>2029.0</v>
      </c>
      <c r="X7" s="5"/>
      <c r="Y7" s="7" t="s">
        <v>162</v>
      </c>
      <c r="Z7" s="7" t="s">
        <v>163</v>
      </c>
      <c r="AA7" s="7" t="s">
        <v>164</v>
      </c>
      <c r="AB7" s="7" t="s">
        <v>165</v>
      </c>
      <c r="AC7" s="7" t="s">
        <v>166</v>
      </c>
      <c r="AD7" s="7" t="s">
        <v>167</v>
      </c>
      <c r="AE7" s="7" t="s">
        <v>168</v>
      </c>
      <c r="AF7" s="7" t="s">
        <v>169</v>
      </c>
      <c r="AG7" s="7" t="s">
        <v>170</v>
      </c>
      <c r="AH7" s="7" t="s">
        <v>171</v>
      </c>
      <c r="AI7" s="7" t="s">
        <v>68</v>
      </c>
      <c r="AJ7" s="5"/>
      <c r="AK7" s="7" t="s">
        <v>172</v>
      </c>
      <c r="AL7" s="7" t="s">
        <v>173</v>
      </c>
      <c r="AM7" s="7" t="s">
        <v>174</v>
      </c>
      <c r="AN7" s="5"/>
      <c r="AO7" s="5"/>
      <c r="AP7" s="5"/>
      <c r="AQ7" s="5"/>
      <c r="AR7" s="5"/>
      <c r="AS7" s="5"/>
      <c r="AT7" s="5"/>
      <c r="AU7" s="7" t="s">
        <v>175</v>
      </c>
      <c r="AV7" s="7" t="s">
        <v>176</v>
      </c>
    </row>
    <row r="8" ht="16.5" customHeight="1">
      <c r="A8" s="5" t="s">
        <v>47</v>
      </c>
      <c r="B8" s="6">
        <v>369.0</v>
      </c>
      <c r="C8" s="7" t="s">
        <v>177</v>
      </c>
      <c r="D8" s="8" t="b">
        <f t="shared" si="1"/>
        <v>0</v>
      </c>
      <c r="E8" s="5" t="str">
        <f t="shared" si="2"/>
        <v>#REF!</v>
      </c>
      <c r="F8" s="8" t="b">
        <f t="shared" si="3"/>
        <v>0</v>
      </c>
      <c r="G8" s="9" t="str">
        <f t="shared" si="4"/>
        <v>#REF!</v>
      </c>
      <c r="H8" s="7" t="s">
        <v>178</v>
      </c>
      <c r="I8" s="7" t="s">
        <v>179</v>
      </c>
      <c r="J8" s="7" t="s">
        <v>179</v>
      </c>
      <c r="K8" s="7" t="s">
        <v>180</v>
      </c>
      <c r="L8" s="7" t="s">
        <v>180</v>
      </c>
      <c r="M8" s="4" t="s">
        <v>52</v>
      </c>
      <c r="N8" s="10" t="s">
        <v>181</v>
      </c>
      <c r="O8" s="10" t="s">
        <v>142</v>
      </c>
      <c r="P8" s="5"/>
      <c r="Q8" s="6">
        <v>258814.0</v>
      </c>
      <c r="R8" s="7" t="s">
        <v>182</v>
      </c>
      <c r="S8" s="6">
        <v>327300.0</v>
      </c>
      <c r="T8" s="7" t="s">
        <v>183</v>
      </c>
      <c r="U8" s="6">
        <v>2025.0</v>
      </c>
      <c r="V8" s="7" t="s">
        <v>184</v>
      </c>
      <c r="W8" s="6">
        <v>2027.0</v>
      </c>
      <c r="X8" s="7" t="s">
        <v>185</v>
      </c>
      <c r="Y8" s="7" t="s">
        <v>186</v>
      </c>
      <c r="Z8" s="7" t="s">
        <v>186</v>
      </c>
      <c r="AA8" s="7" t="s">
        <v>187</v>
      </c>
      <c r="AB8" s="7" t="s">
        <v>188</v>
      </c>
      <c r="AC8" s="5"/>
      <c r="AD8" s="7" t="s">
        <v>189</v>
      </c>
      <c r="AE8" s="7" t="s">
        <v>190</v>
      </c>
      <c r="AF8" s="7" t="s">
        <v>191</v>
      </c>
      <c r="AG8" s="7" t="s">
        <v>189</v>
      </c>
      <c r="AH8" s="7" t="s">
        <v>192</v>
      </c>
      <c r="AI8" s="7" t="s">
        <v>68</v>
      </c>
      <c r="AJ8" s="5"/>
      <c r="AK8" s="7" t="s">
        <v>193</v>
      </c>
      <c r="AL8" s="7" t="s">
        <v>194</v>
      </c>
      <c r="AM8" s="7" t="s">
        <v>195</v>
      </c>
      <c r="AN8" s="5"/>
      <c r="AO8" s="5"/>
      <c r="AP8" s="5"/>
      <c r="AQ8" s="5"/>
      <c r="AR8" s="5"/>
      <c r="AS8" s="5"/>
      <c r="AT8" s="5"/>
      <c r="AU8" s="7" t="s">
        <v>153</v>
      </c>
      <c r="AV8" s="7" t="s">
        <v>196</v>
      </c>
    </row>
    <row r="9" ht="16.5" customHeight="1">
      <c r="A9" s="5" t="s">
        <v>47</v>
      </c>
      <c r="B9" s="6">
        <v>357.0</v>
      </c>
      <c r="C9" s="7" t="s">
        <v>197</v>
      </c>
      <c r="D9" s="8" t="b">
        <f t="shared" si="1"/>
        <v>0</v>
      </c>
      <c r="E9" s="5" t="str">
        <f t="shared" si="2"/>
        <v>#REF!</v>
      </c>
      <c r="F9" s="8" t="b">
        <f t="shared" si="3"/>
        <v>0</v>
      </c>
      <c r="G9" s="9" t="str">
        <f t="shared" si="4"/>
        <v>#REF!</v>
      </c>
      <c r="H9" s="7" t="s">
        <v>198</v>
      </c>
      <c r="I9" s="11" t="s">
        <v>199</v>
      </c>
      <c r="J9" s="7" t="s">
        <v>199</v>
      </c>
      <c r="K9" s="7" t="s">
        <v>200</v>
      </c>
      <c r="L9" s="7" t="s">
        <v>200</v>
      </c>
      <c r="M9" s="4" t="s">
        <v>52</v>
      </c>
      <c r="N9" s="10" t="s">
        <v>201</v>
      </c>
      <c r="O9" s="10" t="s">
        <v>201</v>
      </c>
      <c r="P9" s="5"/>
      <c r="Q9" s="6">
        <v>249927.0</v>
      </c>
      <c r="R9" s="7" t="s">
        <v>182</v>
      </c>
      <c r="S9" s="6">
        <v>316058.0</v>
      </c>
      <c r="T9" s="7" t="s">
        <v>202</v>
      </c>
      <c r="U9" s="6">
        <v>2025.0</v>
      </c>
      <c r="V9" s="7" t="s">
        <v>203</v>
      </c>
      <c r="W9" s="6">
        <v>2027.0</v>
      </c>
      <c r="X9" s="7" t="s">
        <v>204</v>
      </c>
      <c r="Y9" s="7" t="s">
        <v>205</v>
      </c>
      <c r="Z9" s="5"/>
      <c r="AA9" s="5"/>
      <c r="AB9" s="5"/>
      <c r="AC9" s="5"/>
      <c r="AD9" s="5"/>
      <c r="AE9" s="7" t="s">
        <v>206</v>
      </c>
      <c r="AF9" s="7" t="s">
        <v>191</v>
      </c>
      <c r="AG9" s="7" t="s">
        <v>189</v>
      </c>
      <c r="AH9" s="7" t="s">
        <v>207</v>
      </c>
      <c r="AI9" s="7" t="s">
        <v>68</v>
      </c>
      <c r="AJ9" s="5"/>
      <c r="AK9" s="7" t="s">
        <v>208</v>
      </c>
      <c r="AL9" s="7" t="s">
        <v>209</v>
      </c>
      <c r="AM9" s="7" t="s">
        <v>210</v>
      </c>
      <c r="AN9" s="7" t="s">
        <v>211</v>
      </c>
      <c r="AO9" s="5"/>
      <c r="AP9" s="5"/>
      <c r="AQ9" s="5"/>
      <c r="AR9" s="5"/>
      <c r="AS9" s="5"/>
      <c r="AT9" s="5"/>
      <c r="AU9" s="7" t="s">
        <v>93</v>
      </c>
      <c r="AV9" s="7" t="s">
        <v>212</v>
      </c>
    </row>
    <row r="10" ht="16.5" customHeight="1">
      <c r="A10" s="5" t="s">
        <v>213</v>
      </c>
      <c r="B10" s="6">
        <v>3162.0</v>
      </c>
      <c r="C10" s="7" t="s">
        <v>214</v>
      </c>
      <c r="D10" s="8" t="b">
        <f t="shared" si="1"/>
        <v>0</v>
      </c>
      <c r="E10" s="5" t="str">
        <f t="shared" si="2"/>
        <v>#REF!</v>
      </c>
      <c r="F10" s="8" t="b">
        <f t="shared" si="3"/>
        <v>0</v>
      </c>
      <c r="G10" s="9" t="str">
        <f t="shared" si="4"/>
        <v>#REF!</v>
      </c>
      <c r="H10" s="7" t="s">
        <v>215</v>
      </c>
      <c r="I10" s="7" t="s">
        <v>216</v>
      </c>
      <c r="J10" s="7" t="s">
        <v>216</v>
      </c>
      <c r="K10" s="7" t="s">
        <v>217</v>
      </c>
      <c r="L10" s="7" t="s">
        <v>217</v>
      </c>
      <c r="M10" s="4" t="s">
        <v>52</v>
      </c>
      <c r="N10" s="10" t="s">
        <v>181</v>
      </c>
      <c r="O10" s="10" t="s">
        <v>142</v>
      </c>
      <c r="P10" s="5"/>
      <c r="Q10" s="6">
        <v>7499958.0</v>
      </c>
      <c r="R10" s="7" t="s">
        <v>55</v>
      </c>
      <c r="S10" s="6">
        <v>7959724.0</v>
      </c>
      <c r="T10" s="7" t="s">
        <v>218</v>
      </c>
      <c r="U10" s="6">
        <v>2025.0</v>
      </c>
      <c r="V10" s="7" t="s">
        <v>219</v>
      </c>
      <c r="W10" s="6">
        <v>2029.0</v>
      </c>
      <c r="X10" s="5"/>
      <c r="Y10" s="7" t="s">
        <v>220</v>
      </c>
      <c r="Z10" s="7" t="s">
        <v>221</v>
      </c>
      <c r="AA10" s="7" t="s">
        <v>222</v>
      </c>
      <c r="AB10" s="7" t="s">
        <v>223</v>
      </c>
      <c r="AC10" s="5"/>
      <c r="AD10" s="7" t="s">
        <v>224</v>
      </c>
      <c r="AE10" s="7" t="s">
        <v>168</v>
      </c>
      <c r="AF10" s="7" t="s">
        <v>169</v>
      </c>
      <c r="AG10" s="7" t="s">
        <v>170</v>
      </c>
      <c r="AH10" s="7" t="s">
        <v>225</v>
      </c>
      <c r="AI10" s="7" t="s">
        <v>68</v>
      </c>
      <c r="AJ10" s="5"/>
      <c r="AK10" s="7" t="s">
        <v>226</v>
      </c>
      <c r="AL10" s="7" t="s">
        <v>227</v>
      </c>
      <c r="AM10" s="7" t="s">
        <v>195</v>
      </c>
      <c r="AN10" s="5"/>
      <c r="AO10" s="5"/>
      <c r="AP10" s="5"/>
      <c r="AQ10" s="5"/>
      <c r="AR10" s="5"/>
      <c r="AS10" s="5"/>
      <c r="AT10" s="5"/>
      <c r="AU10" s="7" t="s">
        <v>153</v>
      </c>
      <c r="AV10" s="7" t="s">
        <v>228</v>
      </c>
    </row>
    <row r="11" ht="16.5" customHeight="1">
      <c r="A11" s="5" t="s">
        <v>213</v>
      </c>
      <c r="B11" s="6">
        <v>2438.0</v>
      </c>
      <c r="C11" s="7" t="s">
        <v>229</v>
      </c>
      <c r="D11" s="8" t="b">
        <f t="shared" si="1"/>
        <v>0</v>
      </c>
      <c r="E11" s="5" t="str">
        <f t="shared" si="2"/>
        <v>#REF!</v>
      </c>
      <c r="F11" s="8" t="b">
        <f t="shared" si="3"/>
        <v>0</v>
      </c>
      <c r="G11" s="9" t="str">
        <f t="shared" si="4"/>
        <v>#REF!</v>
      </c>
      <c r="H11" s="7" t="s">
        <v>230</v>
      </c>
      <c r="I11" s="7" t="s">
        <v>231</v>
      </c>
      <c r="J11" s="7" t="s">
        <v>231</v>
      </c>
      <c r="K11" s="7" t="s">
        <v>232</v>
      </c>
      <c r="L11" s="7" t="s">
        <v>232</v>
      </c>
      <c r="M11" s="4" t="s">
        <v>52</v>
      </c>
      <c r="N11" s="10" t="s">
        <v>181</v>
      </c>
      <c r="O11" s="10" t="s">
        <v>233</v>
      </c>
      <c r="P11" s="7" t="s">
        <v>234</v>
      </c>
      <c r="Q11" s="6">
        <v>300000.0</v>
      </c>
      <c r="R11" s="7" t="s">
        <v>55</v>
      </c>
      <c r="S11" s="6">
        <v>318365.0</v>
      </c>
      <c r="T11" s="7" t="s">
        <v>235</v>
      </c>
      <c r="U11" s="6">
        <v>2025.0</v>
      </c>
      <c r="V11" s="7" t="s">
        <v>161</v>
      </c>
      <c r="W11" s="6">
        <v>2029.0</v>
      </c>
      <c r="X11" s="7" t="s">
        <v>236</v>
      </c>
      <c r="Y11" s="7" t="s">
        <v>237</v>
      </c>
      <c r="Z11" s="7" t="s">
        <v>238</v>
      </c>
      <c r="AA11" s="7" t="s">
        <v>239</v>
      </c>
      <c r="AB11" s="7" t="s">
        <v>240</v>
      </c>
      <c r="AC11" s="5"/>
      <c r="AD11" s="7" t="s">
        <v>241</v>
      </c>
      <c r="AE11" s="7" t="s">
        <v>242</v>
      </c>
      <c r="AF11" s="5"/>
      <c r="AG11" s="7" t="s">
        <v>241</v>
      </c>
      <c r="AH11" s="7" t="s">
        <v>243</v>
      </c>
      <c r="AI11" s="7" t="s">
        <v>68</v>
      </c>
      <c r="AJ11" s="5"/>
      <c r="AK11" s="7" t="s">
        <v>244</v>
      </c>
      <c r="AL11" s="7" t="s">
        <v>245</v>
      </c>
      <c r="AM11" s="7" t="s">
        <v>246</v>
      </c>
      <c r="AN11" s="5"/>
      <c r="AO11" s="5"/>
      <c r="AP11" s="5"/>
      <c r="AQ11" s="5"/>
      <c r="AR11" s="5"/>
      <c r="AS11" s="5"/>
      <c r="AT11" s="5"/>
      <c r="AU11" s="7" t="s">
        <v>93</v>
      </c>
      <c r="AV11" s="7" t="s">
        <v>247</v>
      </c>
    </row>
    <row r="12" ht="16.5" customHeight="1">
      <c r="A12" s="5" t="s">
        <v>213</v>
      </c>
      <c r="B12" s="6">
        <v>2354.0</v>
      </c>
      <c r="C12" s="7" t="s">
        <v>248</v>
      </c>
      <c r="D12" s="8" t="b">
        <f t="shared" si="1"/>
        <v>0</v>
      </c>
      <c r="E12" s="5" t="str">
        <f t="shared" si="2"/>
        <v>#REF!</v>
      </c>
      <c r="F12" s="8" t="b">
        <f t="shared" si="3"/>
        <v>0</v>
      </c>
      <c r="G12" s="9" t="str">
        <f t="shared" si="4"/>
        <v>#REF!</v>
      </c>
      <c r="H12" s="7" t="s">
        <v>249</v>
      </c>
      <c r="I12" s="7" t="s">
        <v>250</v>
      </c>
      <c r="J12" s="7" t="s">
        <v>250</v>
      </c>
      <c r="K12" s="7" t="s">
        <v>251</v>
      </c>
      <c r="L12" s="7" t="s">
        <v>251</v>
      </c>
      <c r="M12" s="4" t="s">
        <v>52</v>
      </c>
      <c r="N12" s="10" t="s">
        <v>181</v>
      </c>
      <c r="O12" s="10" t="s">
        <v>252</v>
      </c>
      <c r="P12" s="5"/>
      <c r="Q12" s="6">
        <v>3486568.0</v>
      </c>
      <c r="R12" s="7" t="s">
        <v>55</v>
      </c>
      <c r="S12" s="6">
        <v>3700302.0</v>
      </c>
      <c r="T12" s="7" t="s">
        <v>160</v>
      </c>
      <c r="U12" s="6">
        <v>2025.0</v>
      </c>
      <c r="V12" s="7" t="s">
        <v>253</v>
      </c>
      <c r="W12" s="6">
        <v>2028.0</v>
      </c>
      <c r="X12" s="5"/>
      <c r="Y12" s="7" t="s">
        <v>254</v>
      </c>
      <c r="Z12" s="7" t="s">
        <v>255</v>
      </c>
      <c r="AA12" s="7" t="s">
        <v>256</v>
      </c>
      <c r="AB12" s="7" t="s">
        <v>257</v>
      </c>
      <c r="AC12" s="5"/>
      <c r="AD12" s="7" t="s">
        <v>258</v>
      </c>
      <c r="AE12" s="7" t="s">
        <v>168</v>
      </c>
      <c r="AF12" s="7" t="s">
        <v>169</v>
      </c>
      <c r="AG12" s="7" t="s">
        <v>170</v>
      </c>
      <c r="AH12" s="7" t="s">
        <v>259</v>
      </c>
      <c r="AI12" s="7" t="s">
        <v>68</v>
      </c>
      <c r="AJ12" s="5"/>
      <c r="AK12" s="7" t="s">
        <v>260</v>
      </c>
      <c r="AL12" s="7" t="s">
        <v>261</v>
      </c>
      <c r="AM12" s="7" t="s">
        <v>262</v>
      </c>
      <c r="AN12" s="5"/>
      <c r="AO12" s="5"/>
      <c r="AP12" s="5"/>
      <c r="AQ12" s="5"/>
      <c r="AR12" s="5"/>
      <c r="AS12" s="5"/>
      <c r="AT12" s="5"/>
      <c r="AU12" s="7" t="s">
        <v>153</v>
      </c>
      <c r="AV12" s="7" t="s">
        <v>176</v>
      </c>
    </row>
    <row r="13" ht="16.5" customHeight="1">
      <c r="A13" s="5" t="s">
        <v>213</v>
      </c>
      <c r="B13" s="6">
        <v>1862.0</v>
      </c>
      <c r="C13" s="7" t="s">
        <v>263</v>
      </c>
      <c r="D13" s="8" t="b">
        <f t="shared" si="1"/>
        <v>0</v>
      </c>
      <c r="E13" s="5" t="str">
        <f t="shared" si="2"/>
        <v>#REF!</v>
      </c>
      <c r="F13" s="8" t="b">
        <f t="shared" si="3"/>
        <v>0</v>
      </c>
      <c r="G13" s="9" t="str">
        <f t="shared" si="4"/>
        <v>#REF!</v>
      </c>
      <c r="H13" s="7" t="s">
        <v>264</v>
      </c>
      <c r="I13" s="7" t="s">
        <v>265</v>
      </c>
      <c r="J13" s="7" t="s">
        <v>265</v>
      </c>
      <c r="K13" s="7" t="s">
        <v>266</v>
      </c>
      <c r="L13" s="7" t="s">
        <v>266</v>
      </c>
      <c r="M13" s="4" t="s">
        <v>52</v>
      </c>
      <c r="N13" s="10" t="s">
        <v>141</v>
      </c>
      <c r="O13" s="10" t="s">
        <v>267</v>
      </c>
      <c r="P13" s="5"/>
      <c r="Q13" s="6">
        <v>897906.0</v>
      </c>
      <c r="R13" s="7" t="s">
        <v>55</v>
      </c>
      <c r="S13" s="6">
        <v>952937.0</v>
      </c>
      <c r="T13" s="7" t="s">
        <v>268</v>
      </c>
      <c r="U13" s="6">
        <v>2025.0</v>
      </c>
      <c r="V13" s="7" t="s">
        <v>269</v>
      </c>
      <c r="W13" s="6">
        <v>2029.0</v>
      </c>
      <c r="X13" s="7" t="s">
        <v>270</v>
      </c>
      <c r="Y13" s="7" t="s">
        <v>271</v>
      </c>
      <c r="Z13" s="7" t="s">
        <v>272</v>
      </c>
      <c r="AA13" s="7" t="s">
        <v>273</v>
      </c>
      <c r="AB13" s="7" t="s">
        <v>274</v>
      </c>
      <c r="AC13" s="5"/>
      <c r="AD13" s="7" t="s">
        <v>147</v>
      </c>
      <c r="AE13" s="7" t="s">
        <v>275</v>
      </c>
      <c r="AF13" s="5"/>
      <c r="AG13" s="7" t="s">
        <v>147</v>
      </c>
      <c r="AH13" s="7" t="s">
        <v>276</v>
      </c>
      <c r="AI13" s="7" t="s">
        <v>68</v>
      </c>
      <c r="AJ13" s="5"/>
      <c r="AK13" s="7" t="s">
        <v>277</v>
      </c>
      <c r="AL13" s="7" t="s">
        <v>278</v>
      </c>
      <c r="AM13" s="7" t="s">
        <v>279</v>
      </c>
      <c r="AN13" s="7" t="s">
        <v>280</v>
      </c>
      <c r="AO13" s="7" t="s">
        <v>72</v>
      </c>
      <c r="AP13" s="5"/>
      <c r="AQ13" s="5"/>
      <c r="AR13" s="7" t="s">
        <v>92</v>
      </c>
      <c r="AS13" s="5"/>
      <c r="AT13" s="5"/>
      <c r="AU13" s="7" t="s">
        <v>114</v>
      </c>
      <c r="AV13" s="5"/>
    </row>
    <row r="14" ht="16.5" customHeight="1">
      <c r="A14" s="5" t="s">
        <v>213</v>
      </c>
      <c r="B14" s="6">
        <v>1722.0</v>
      </c>
      <c r="C14" s="7" t="s">
        <v>281</v>
      </c>
      <c r="D14" s="8" t="b">
        <f t="shared" si="1"/>
        <v>0</v>
      </c>
      <c r="E14" s="5" t="str">
        <f t="shared" si="2"/>
        <v>#REF!</v>
      </c>
      <c r="F14" s="8" t="b">
        <f t="shared" si="3"/>
        <v>0</v>
      </c>
      <c r="G14" s="9" t="str">
        <f t="shared" si="4"/>
        <v>#REF!</v>
      </c>
      <c r="H14" s="7" t="s">
        <v>282</v>
      </c>
      <c r="I14" s="7" t="s">
        <v>283</v>
      </c>
      <c r="J14" s="7" t="s">
        <v>283</v>
      </c>
      <c r="K14" s="7" t="s">
        <v>284</v>
      </c>
      <c r="L14" s="7" t="s">
        <v>284</v>
      </c>
      <c r="M14" s="4" t="s">
        <v>52</v>
      </c>
      <c r="N14" s="10" t="s">
        <v>285</v>
      </c>
      <c r="O14" s="10" t="s">
        <v>252</v>
      </c>
      <c r="P14" s="5"/>
      <c r="Q14" s="6">
        <v>5734593.0</v>
      </c>
      <c r="R14" s="7" t="s">
        <v>286</v>
      </c>
      <c r="S14" s="6">
        <v>542741.0</v>
      </c>
      <c r="T14" s="7" t="s">
        <v>287</v>
      </c>
      <c r="U14" s="6">
        <v>2025.0</v>
      </c>
      <c r="V14" s="7" t="s">
        <v>288</v>
      </c>
      <c r="W14" s="6">
        <v>2028.0</v>
      </c>
      <c r="X14" s="7" t="s">
        <v>289</v>
      </c>
      <c r="Y14" s="7" t="s">
        <v>290</v>
      </c>
      <c r="Z14" s="7" t="s">
        <v>290</v>
      </c>
      <c r="AA14" s="7" t="s">
        <v>291</v>
      </c>
      <c r="AB14" s="7" t="s">
        <v>292</v>
      </c>
      <c r="AC14" s="5"/>
      <c r="AD14" s="7" t="s">
        <v>293</v>
      </c>
      <c r="AE14" s="7" t="s">
        <v>294</v>
      </c>
      <c r="AF14" s="7" t="s">
        <v>65</v>
      </c>
      <c r="AG14" s="7" t="s">
        <v>293</v>
      </c>
      <c r="AH14" s="7" t="s">
        <v>295</v>
      </c>
      <c r="AI14" s="7" t="s">
        <v>68</v>
      </c>
      <c r="AJ14" s="5"/>
      <c r="AK14" s="7" t="s">
        <v>296</v>
      </c>
      <c r="AL14" s="7" t="s">
        <v>297</v>
      </c>
      <c r="AM14" s="7" t="s">
        <v>262</v>
      </c>
      <c r="AN14" s="5"/>
      <c r="AO14" s="7" t="s">
        <v>72</v>
      </c>
      <c r="AP14" s="5"/>
      <c r="AQ14" s="5"/>
      <c r="AR14" s="5"/>
      <c r="AS14" s="5"/>
      <c r="AT14" s="5"/>
      <c r="AU14" s="7" t="s">
        <v>153</v>
      </c>
      <c r="AV14" s="5"/>
    </row>
    <row r="15" ht="16.5" customHeight="1">
      <c r="A15" s="5" t="s">
        <v>213</v>
      </c>
      <c r="B15" s="6">
        <v>1529.0</v>
      </c>
      <c r="C15" s="7" t="s">
        <v>298</v>
      </c>
      <c r="D15" s="8" t="b">
        <f t="shared" si="1"/>
        <v>0</v>
      </c>
      <c r="E15" s="5" t="str">
        <f t="shared" si="2"/>
        <v>#REF!</v>
      </c>
      <c r="F15" s="8" t="b">
        <f t="shared" si="3"/>
        <v>0</v>
      </c>
      <c r="G15" s="9" t="str">
        <f t="shared" si="4"/>
        <v>#REF!</v>
      </c>
      <c r="H15" s="7" t="s">
        <v>299</v>
      </c>
      <c r="I15" s="7" t="s">
        <v>300</v>
      </c>
      <c r="J15" s="7" t="s">
        <v>300</v>
      </c>
      <c r="K15" s="7" t="s">
        <v>301</v>
      </c>
      <c r="L15" s="7" t="s">
        <v>301</v>
      </c>
      <c r="M15" s="4" t="s">
        <v>52</v>
      </c>
      <c r="N15" s="10" t="s">
        <v>285</v>
      </c>
      <c r="O15" s="10" t="s">
        <v>252</v>
      </c>
      <c r="P15" s="5"/>
      <c r="Q15" s="6">
        <v>2890999.0</v>
      </c>
      <c r="R15" s="7" t="s">
        <v>121</v>
      </c>
      <c r="S15" s="6">
        <v>262284.0</v>
      </c>
      <c r="T15" s="7" t="s">
        <v>56</v>
      </c>
      <c r="U15" s="6">
        <v>2025.0</v>
      </c>
      <c r="V15" s="7" t="s">
        <v>122</v>
      </c>
      <c r="W15" s="6">
        <v>2028.0</v>
      </c>
      <c r="X15" s="7" t="s">
        <v>302</v>
      </c>
      <c r="Y15" s="7" t="s">
        <v>303</v>
      </c>
      <c r="Z15" s="5"/>
      <c r="AA15" s="5"/>
      <c r="AB15" s="5"/>
      <c r="AC15" s="5"/>
      <c r="AD15" s="5"/>
      <c r="AE15" s="7" t="s">
        <v>129</v>
      </c>
      <c r="AF15" s="7" t="s">
        <v>65</v>
      </c>
      <c r="AG15" s="7" t="s">
        <v>128</v>
      </c>
      <c r="AH15" s="7" t="s">
        <v>304</v>
      </c>
      <c r="AI15" s="7" t="s">
        <v>68</v>
      </c>
      <c r="AJ15" s="5"/>
      <c r="AK15" s="7" t="s">
        <v>305</v>
      </c>
      <c r="AL15" s="7" t="s">
        <v>306</v>
      </c>
      <c r="AM15" s="7" t="s">
        <v>307</v>
      </c>
      <c r="AN15" s="5"/>
      <c r="AO15" s="5"/>
      <c r="AP15" s="5"/>
      <c r="AQ15" s="5"/>
      <c r="AR15" s="5"/>
      <c r="AS15" s="5"/>
      <c r="AT15" s="5"/>
      <c r="AU15" s="7" t="s">
        <v>153</v>
      </c>
      <c r="AV15" s="5"/>
    </row>
    <row r="16" ht="16.5" customHeight="1">
      <c r="A16" s="5" t="s">
        <v>213</v>
      </c>
      <c r="B16" s="6">
        <v>1354.0</v>
      </c>
      <c r="C16" s="7" t="s">
        <v>308</v>
      </c>
      <c r="D16" s="8" t="b">
        <f t="shared" si="1"/>
        <v>0</v>
      </c>
      <c r="E16" s="5" t="str">
        <f t="shared" si="2"/>
        <v>#REF!</v>
      </c>
      <c r="F16" s="8" t="b">
        <f t="shared" si="3"/>
        <v>0</v>
      </c>
      <c r="G16" s="9" t="str">
        <f t="shared" si="4"/>
        <v>#REF!</v>
      </c>
      <c r="H16" s="7" t="s">
        <v>309</v>
      </c>
      <c r="I16" s="7" t="s">
        <v>310</v>
      </c>
      <c r="J16" s="7" t="s">
        <v>310</v>
      </c>
      <c r="K16" s="7" t="s">
        <v>311</v>
      </c>
      <c r="L16" s="7" t="s">
        <v>311</v>
      </c>
      <c r="M16" s="4" t="s">
        <v>52</v>
      </c>
      <c r="N16" s="10" t="s">
        <v>285</v>
      </c>
      <c r="O16" s="10" t="s">
        <v>252</v>
      </c>
      <c r="P16" s="5"/>
      <c r="Q16" s="6">
        <v>7483218.0</v>
      </c>
      <c r="R16" s="7" t="s">
        <v>55</v>
      </c>
      <c r="S16" s="6">
        <v>7941964.0</v>
      </c>
      <c r="T16" s="7" t="s">
        <v>80</v>
      </c>
      <c r="U16" s="6">
        <v>2025.0</v>
      </c>
      <c r="V16" s="7" t="s">
        <v>312</v>
      </c>
      <c r="W16" s="6">
        <v>2029.0</v>
      </c>
      <c r="X16" s="5"/>
      <c r="Y16" s="7" t="s">
        <v>313</v>
      </c>
      <c r="Z16" s="7" t="s">
        <v>314</v>
      </c>
      <c r="AA16" s="7" t="s">
        <v>315</v>
      </c>
      <c r="AB16" s="7" t="s">
        <v>316</v>
      </c>
      <c r="AC16" s="7" t="s">
        <v>317</v>
      </c>
      <c r="AD16" s="7" t="s">
        <v>318</v>
      </c>
      <c r="AE16" s="7" t="s">
        <v>168</v>
      </c>
      <c r="AF16" s="7" t="s">
        <v>169</v>
      </c>
      <c r="AG16" s="7" t="s">
        <v>170</v>
      </c>
      <c r="AH16" s="7" t="s">
        <v>225</v>
      </c>
      <c r="AI16" s="7" t="s">
        <v>68</v>
      </c>
      <c r="AJ16" s="5"/>
      <c r="AK16" s="7" t="s">
        <v>319</v>
      </c>
      <c r="AL16" s="7" t="s">
        <v>320</v>
      </c>
      <c r="AM16" s="7" t="s">
        <v>262</v>
      </c>
      <c r="AN16" s="5"/>
      <c r="AO16" s="5"/>
      <c r="AP16" s="5"/>
      <c r="AQ16" s="5"/>
      <c r="AR16" s="5"/>
      <c r="AS16" s="5"/>
      <c r="AT16" s="5"/>
      <c r="AU16" s="7" t="s">
        <v>321</v>
      </c>
      <c r="AV16" s="7" t="s">
        <v>322</v>
      </c>
    </row>
    <row r="17" ht="16.5" customHeight="1">
      <c r="A17" s="5" t="s">
        <v>213</v>
      </c>
      <c r="B17" s="6">
        <v>1097.0</v>
      </c>
      <c r="C17" s="7" t="s">
        <v>323</v>
      </c>
      <c r="D17" s="8" t="b">
        <f t="shared" si="1"/>
        <v>0</v>
      </c>
      <c r="E17" s="5" t="str">
        <f t="shared" si="2"/>
        <v>#REF!</v>
      </c>
      <c r="F17" s="8" t="b">
        <f t="shared" si="3"/>
        <v>0</v>
      </c>
      <c r="G17" s="9" t="str">
        <f t="shared" si="4"/>
        <v>#REF!</v>
      </c>
      <c r="H17" s="7" t="s">
        <v>324</v>
      </c>
      <c r="I17" s="7" t="s">
        <v>325</v>
      </c>
      <c r="J17" s="7" t="s">
        <v>325</v>
      </c>
      <c r="K17" s="7" t="s">
        <v>326</v>
      </c>
      <c r="L17" s="7" t="s">
        <v>327</v>
      </c>
      <c r="M17" s="4" t="s">
        <v>52</v>
      </c>
      <c r="N17" s="10" t="s">
        <v>285</v>
      </c>
      <c r="O17" s="10" t="s">
        <v>252</v>
      </c>
      <c r="P17" s="5"/>
      <c r="Q17" s="6">
        <v>212500.0</v>
      </c>
      <c r="R17" s="7" t="s">
        <v>55</v>
      </c>
      <c r="S17" s="6">
        <v>225527.0</v>
      </c>
      <c r="T17" s="7" t="s">
        <v>56</v>
      </c>
      <c r="U17" s="6">
        <v>2025.0</v>
      </c>
      <c r="V17" s="5"/>
      <c r="W17" s="5"/>
      <c r="X17" s="5"/>
      <c r="Y17" s="7" t="s">
        <v>328</v>
      </c>
      <c r="Z17" s="7" t="s">
        <v>329</v>
      </c>
      <c r="AA17" s="7" t="s">
        <v>330</v>
      </c>
      <c r="AB17" s="7" t="s">
        <v>331</v>
      </c>
      <c r="AC17" s="5"/>
      <c r="AD17" s="7" t="s">
        <v>332</v>
      </c>
      <c r="AE17" s="7" t="s">
        <v>333</v>
      </c>
      <c r="AF17" s="5"/>
      <c r="AG17" s="7" t="s">
        <v>332</v>
      </c>
      <c r="AH17" s="7" t="s">
        <v>334</v>
      </c>
      <c r="AI17" s="7" t="s">
        <v>68</v>
      </c>
      <c r="AJ17" s="5"/>
      <c r="AK17" s="7" t="s">
        <v>335</v>
      </c>
      <c r="AL17" s="7" t="s">
        <v>336</v>
      </c>
      <c r="AM17" s="7" t="s">
        <v>337</v>
      </c>
      <c r="AN17" s="5"/>
      <c r="AO17" s="5"/>
      <c r="AP17" s="5"/>
      <c r="AQ17" s="5"/>
      <c r="AR17" s="5"/>
      <c r="AS17" s="5"/>
      <c r="AT17" s="5"/>
      <c r="AU17" s="7" t="s">
        <v>153</v>
      </c>
      <c r="AV17" s="7" t="s">
        <v>176</v>
      </c>
    </row>
    <row r="18" ht="16.5" customHeight="1">
      <c r="A18" s="5" t="s">
        <v>213</v>
      </c>
      <c r="B18" s="6">
        <v>1091.0</v>
      </c>
      <c r="C18" s="7" t="s">
        <v>338</v>
      </c>
      <c r="D18" s="8" t="b">
        <f t="shared" si="1"/>
        <v>0</v>
      </c>
      <c r="E18" s="5" t="str">
        <f t="shared" si="2"/>
        <v>#REF!</v>
      </c>
      <c r="F18" s="8" t="b">
        <f t="shared" si="3"/>
        <v>0</v>
      </c>
      <c r="G18" s="9" t="str">
        <f t="shared" si="4"/>
        <v>#REF!</v>
      </c>
      <c r="H18" s="7" t="s">
        <v>339</v>
      </c>
      <c r="I18" s="7" t="s">
        <v>340</v>
      </c>
      <c r="J18" s="7" t="s">
        <v>340</v>
      </c>
      <c r="K18" s="7" t="s">
        <v>341</v>
      </c>
      <c r="L18" s="7" t="s">
        <v>341</v>
      </c>
      <c r="M18" s="4" t="s">
        <v>52</v>
      </c>
      <c r="N18" s="10" t="s">
        <v>181</v>
      </c>
      <c r="O18" s="10" t="s">
        <v>142</v>
      </c>
      <c r="P18" s="5"/>
      <c r="Q18" s="6">
        <v>3999732.0</v>
      </c>
      <c r="R18" s="7" t="s">
        <v>55</v>
      </c>
      <c r="S18" s="6">
        <v>4244915.0</v>
      </c>
      <c r="T18" s="7" t="s">
        <v>342</v>
      </c>
      <c r="U18" s="6">
        <v>2025.0</v>
      </c>
      <c r="V18" s="7" t="s">
        <v>343</v>
      </c>
      <c r="W18" s="6">
        <v>2029.0</v>
      </c>
      <c r="X18" s="5"/>
      <c r="Y18" s="7" t="s">
        <v>344</v>
      </c>
      <c r="Z18" s="7" t="s">
        <v>345</v>
      </c>
      <c r="AA18" s="7" t="s">
        <v>346</v>
      </c>
      <c r="AB18" s="7" t="s">
        <v>347</v>
      </c>
      <c r="AC18" s="7" t="s">
        <v>348</v>
      </c>
      <c r="AD18" s="7" t="s">
        <v>349</v>
      </c>
      <c r="AE18" s="7" t="s">
        <v>168</v>
      </c>
      <c r="AF18" s="7" t="s">
        <v>169</v>
      </c>
      <c r="AG18" s="7" t="s">
        <v>170</v>
      </c>
      <c r="AH18" s="7" t="s">
        <v>350</v>
      </c>
      <c r="AI18" s="7" t="s">
        <v>68</v>
      </c>
      <c r="AJ18" s="5"/>
      <c r="AK18" s="7" t="s">
        <v>351</v>
      </c>
      <c r="AL18" s="7" t="s">
        <v>352</v>
      </c>
      <c r="AM18" s="7" t="s">
        <v>353</v>
      </c>
      <c r="AN18" s="5"/>
      <c r="AO18" s="5"/>
      <c r="AP18" s="5"/>
      <c r="AQ18" s="5"/>
      <c r="AR18" s="5"/>
      <c r="AS18" s="5"/>
      <c r="AT18" s="5"/>
      <c r="AU18" s="7" t="s">
        <v>153</v>
      </c>
      <c r="AV18" s="7" t="s">
        <v>354</v>
      </c>
    </row>
    <row r="19" ht="16.5" customHeight="1">
      <c r="A19" s="5" t="s">
        <v>213</v>
      </c>
      <c r="B19" s="6">
        <v>1064.0</v>
      </c>
      <c r="C19" s="7" t="s">
        <v>355</v>
      </c>
      <c r="D19" s="8" t="b">
        <f t="shared" si="1"/>
        <v>0</v>
      </c>
      <c r="E19" s="5" t="str">
        <f t="shared" si="2"/>
        <v>#REF!</v>
      </c>
      <c r="F19" s="8" t="b">
        <f t="shared" si="3"/>
        <v>0</v>
      </c>
      <c r="G19" s="9" t="str">
        <f t="shared" si="4"/>
        <v>#REF!</v>
      </c>
      <c r="H19" s="7" t="s">
        <v>356</v>
      </c>
      <c r="I19" s="7" t="s">
        <v>357</v>
      </c>
      <c r="J19" s="7" t="s">
        <v>357</v>
      </c>
      <c r="K19" s="7" t="s">
        <v>358</v>
      </c>
      <c r="L19" s="7" t="s">
        <v>358</v>
      </c>
      <c r="M19" s="4" t="s">
        <v>52</v>
      </c>
      <c r="N19" s="10" t="s">
        <v>285</v>
      </c>
      <c r="O19" s="10" t="s">
        <v>252</v>
      </c>
      <c r="P19" s="7" t="s">
        <v>359</v>
      </c>
      <c r="Q19" s="6">
        <v>0.0</v>
      </c>
      <c r="R19" s="5"/>
      <c r="S19" s="6">
        <v>0.0</v>
      </c>
      <c r="T19" s="7" t="s">
        <v>56</v>
      </c>
      <c r="U19" s="6">
        <v>2025.0</v>
      </c>
      <c r="V19" s="7" t="s">
        <v>360</v>
      </c>
      <c r="W19" s="6">
        <v>2026.0</v>
      </c>
      <c r="X19" s="7" t="s">
        <v>361</v>
      </c>
      <c r="Y19" s="7" t="s">
        <v>362</v>
      </c>
      <c r="Z19" s="7" t="s">
        <v>363</v>
      </c>
      <c r="AA19" s="7" t="s">
        <v>364</v>
      </c>
      <c r="AB19" s="7" t="s">
        <v>365</v>
      </c>
      <c r="AC19" s="5"/>
      <c r="AD19" s="7" t="s">
        <v>366</v>
      </c>
      <c r="AE19" s="7" t="s">
        <v>367</v>
      </c>
      <c r="AF19" s="5"/>
      <c r="AG19" s="7" t="s">
        <v>366</v>
      </c>
      <c r="AH19" s="5"/>
      <c r="AI19" s="7" t="s">
        <v>68</v>
      </c>
      <c r="AJ19" s="5"/>
      <c r="AK19" s="7" t="s">
        <v>368</v>
      </c>
      <c r="AL19" s="7" t="s">
        <v>369</v>
      </c>
      <c r="AM19" s="7" t="s">
        <v>262</v>
      </c>
      <c r="AN19" s="5"/>
      <c r="AO19" s="5"/>
      <c r="AP19" s="5"/>
      <c r="AQ19" s="5"/>
      <c r="AR19" s="5"/>
      <c r="AS19" s="5"/>
      <c r="AT19" s="5"/>
      <c r="AU19" s="7" t="s">
        <v>153</v>
      </c>
      <c r="AV19" s="5"/>
    </row>
    <row r="20" ht="16.5" customHeight="1">
      <c r="A20" s="5" t="s">
        <v>213</v>
      </c>
      <c r="B20" s="6">
        <v>1011.0</v>
      </c>
      <c r="C20" s="7" t="s">
        <v>370</v>
      </c>
      <c r="D20" s="8" t="b">
        <f t="shared" si="1"/>
        <v>0</v>
      </c>
      <c r="E20" s="5" t="str">
        <f t="shared" si="2"/>
        <v>#REF!</v>
      </c>
      <c r="F20" s="8" t="b">
        <f t="shared" si="3"/>
        <v>0</v>
      </c>
      <c r="G20" s="9" t="str">
        <f t="shared" si="4"/>
        <v>#REF!</v>
      </c>
      <c r="H20" s="7" t="s">
        <v>371</v>
      </c>
      <c r="I20" s="7" t="s">
        <v>372</v>
      </c>
      <c r="J20" s="7" t="s">
        <v>372</v>
      </c>
      <c r="K20" s="7" t="s">
        <v>373</v>
      </c>
      <c r="L20" s="7" t="s">
        <v>373</v>
      </c>
      <c r="M20" s="4" t="s">
        <v>52</v>
      </c>
      <c r="N20" s="10" t="s">
        <v>285</v>
      </c>
      <c r="O20" s="10" t="s">
        <v>233</v>
      </c>
      <c r="P20" s="5"/>
      <c r="Q20" s="6">
        <v>40000.0</v>
      </c>
      <c r="R20" s="7" t="s">
        <v>55</v>
      </c>
      <c r="S20" s="6">
        <v>42452.0</v>
      </c>
      <c r="T20" s="7" t="s">
        <v>160</v>
      </c>
      <c r="U20" s="6">
        <v>2025.0</v>
      </c>
      <c r="V20" s="5"/>
      <c r="W20" s="5"/>
      <c r="X20" s="7" t="s">
        <v>374</v>
      </c>
      <c r="Y20" s="7" t="s">
        <v>375</v>
      </c>
      <c r="Z20" s="7" t="s">
        <v>375</v>
      </c>
      <c r="AA20" s="7" t="s">
        <v>376</v>
      </c>
      <c r="AB20" s="7" t="s">
        <v>377</v>
      </c>
      <c r="AC20" s="5"/>
      <c r="AD20" s="7" t="s">
        <v>66</v>
      </c>
      <c r="AE20" s="7" t="s">
        <v>64</v>
      </c>
      <c r="AF20" s="7" t="s">
        <v>65</v>
      </c>
      <c r="AG20" s="7" t="s">
        <v>66</v>
      </c>
      <c r="AH20" s="7" t="s">
        <v>378</v>
      </c>
      <c r="AI20" s="7" t="s">
        <v>68</v>
      </c>
      <c r="AJ20" s="5"/>
      <c r="AK20" s="7" t="s">
        <v>379</v>
      </c>
      <c r="AL20" s="7" t="s">
        <v>380</v>
      </c>
      <c r="AM20" s="7" t="s">
        <v>381</v>
      </c>
      <c r="AN20" s="5"/>
      <c r="AO20" s="5"/>
      <c r="AP20" s="5"/>
      <c r="AQ20" s="5"/>
      <c r="AR20" s="5"/>
      <c r="AS20" s="5"/>
      <c r="AT20" s="5"/>
      <c r="AU20" s="7" t="s">
        <v>382</v>
      </c>
      <c r="AV20" s="7" t="s">
        <v>74</v>
      </c>
    </row>
    <row r="21" ht="16.5" customHeight="1">
      <c r="A21" s="5" t="s">
        <v>213</v>
      </c>
      <c r="B21" s="6">
        <v>987.0</v>
      </c>
      <c r="C21" s="7" t="s">
        <v>383</v>
      </c>
      <c r="D21" s="8" t="b">
        <f t="shared" si="1"/>
        <v>0</v>
      </c>
      <c r="E21" s="5" t="str">
        <f t="shared" si="2"/>
        <v>#REF!</v>
      </c>
      <c r="F21" s="8" t="b">
        <f t="shared" si="3"/>
        <v>0</v>
      </c>
      <c r="G21" s="9" t="str">
        <f t="shared" si="4"/>
        <v>#REF!</v>
      </c>
      <c r="H21" s="7" t="s">
        <v>384</v>
      </c>
      <c r="I21" s="7" t="s">
        <v>385</v>
      </c>
      <c r="J21" s="7" t="s">
        <v>385</v>
      </c>
      <c r="K21" s="7" t="s">
        <v>386</v>
      </c>
      <c r="L21" s="7" t="s">
        <v>386</v>
      </c>
      <c r="M21" s="4" t="s">
        <v>52</v>
      </c>
      <c r="N21" s="10" t="s">
        <v>285</v>
      </c>
      <c r="O21" s="10" t="s">
        <v>387</v>
      </c>
      <c r="P21" s="5"/>
      <c r="Q21" s="6">
        <v>2856999.0</v>
      </c>
      <c r="R21" s="7" t="s">
        <v>121</v>
      </c>
      <c r="S21" s="6">
        <v>259197.0</v>
      </c>
      <c r="T21" s="7" t="s">
        <v>56</v>
      </c>
      <c r="U21" s="6">
        <v>2025.0</v>
      </c>
      <c r="V21" s="7" t="s">
        <v>122</v>
      </c>
      <c r="W21" s="6">
        <v>2028.0</v>
      </c>
      <c r="X21" s="7" t="s">
        <v>388</v>
      </c>
      <c r="Y21" s="7" t="s">
        <v>389</v>
      </c>
      <c r="Z21" s="7" t="s">
        <v>390</v>
      </c>
      <c r="AA21" s="7" t="s">
        <v>391</v>
      </c>
      <c r="AB21" s="7" t="s">
        <v>392</v>
      </c>
      <c r="AC21" s="5"/>
      <c r="AD21" s="7" t="s">
        <v>128</v>
      </c>
      <c r="AE21" s="7" t="s">
        <v>129</v>
      </c>
      <c r="AF21" s="7" t="s">
        <v>65</v>
      </c>
      <c r="AG21" s="7" t="s">
        <v>128</v>
      </c>
      <c r="AH21" s="7" t="s">
        <v>130</v>
      </c>
      <c r="AI21" s="7" t="s">
        <v>68</v>
      </c>
      <c r="AJ21" s="5"/>
      <c r="AK21" s="7" t="s">
        <v>393</v>
      </c>
      <c r="AL21" s="7" t="s">
        <v>394</v>
      </c>
      <c r="AM21" s="7" t="s">
        <v>395</v>
      </c>
      <c r="AN21" s="7" t="s">
        <v>396</v>
      </c>
      <c r="AO21" s="7" t="s">
        <v>397</v>
      </c>
      <c r="AP21" s="7" t="s">
        <v>398</v>
      </c>
      <c r="AQ21" s="5"/>
      <c r="AR21" s="5"/>
      <c r="AS21" s="5"/>
      <c r="AT21" s="5"/>
      <c r="AU21" s="7" t="s">
        <v>93</v>
      </c>
      <c r="AV21" s="5"/>
    </row>
    <row r="22" ht="16.5" customHeight="1">
      <c r="A22" s="5" t="s">
        <v>213</v>
      </c>
      <c r="B22" s="6">
        <v>806.0</v>
      </c>
      <c r="C22" s="7" t="s">
        <v>399</v>
      </c>
      <c r="D22" s="8" t="b">
        <f t="shared" si="1"/>
        <v>0</v>
      </c>
      <c r="E22" s="5" t="str">
        <f t="shared" si="2"/>
        <v>#REF!</v>
      </c>
      <c r="F22" s="8" t="b">
        <f t="shared" si="3"/>
        <v>0</v>
      </c>
      <c r="G22" s="9" t="str">
        <f t="shared" si="4"/>
        <v>#REF!</v>
      </c>
      <c r="H22" s="7" t="s">
        <v>400</v>
      </c>
      <c r="I22" s="7" t="s">
        <v>401</v>
      </c>
      <c r="J22" s="7" t="s">
        <v>401</v>
      </c>
      <c r="K22" s="7" t="s">
        <v>402</v>
      </c>
      <c r="L22" s="7" t="s">
        <v>402</v>
      </c>
      <c r="M22" s="4" t="s">
        <v>52</v>
      </c>
      <c r="N22" s="10" t="s">
        <v>181</v>
      </c>
      <c r="O22" s="10" t="s">
        <v>403</v>
      </c>
      <c r="P22" s="5"/>
      <c r="Q22" s="6">
        <v>4996936.0</v>
      </c>
      <c r="R22" s="7" t="s">
        <v>55</v>
      </c>
      <c r="S22" s="6">
        <v>5303254.0</v>
      </c>
      <c r="T22" s="7" t="s">
        <v>404</v>
      </c>
      <c r="U22" s="6">
        <v>2025.0</v>
      </c>
      <c r="V22" s="7" t="s">
        <v>405</v>
      </c>
      <c r="W22" s="6">
        <v>2029.0</v>
      </c>
      <c r="X22" s="5"/>
      <c r="Y22" s="7" t="s">
        <v>406</v>
      </c>
      <c r="Z22" s="7" t="s">
        <v>407</v>
      </c>
      <c r="AA22" s="7" t="s">
        <v>408</v>
      </c>
      <c r="AB22" s="7" t="s">
        <v>409</v>
      </c>
      <c r="AC22" s="5"/>
      <c r="AD22" s="7" t="s">
        <v>410</v>
      </c>
      <c r="AE22" s="7" t="s">
        <v>168</v>
      </c>
      <c r="AF22" s="7" t="s">
        <v>169</v>
      </c>
      <c r="AG22" s="7" t="s">
        <v>170</v>
      </c>
      <c r="AH22" s="7" t="s">
        <v>411</v>
      </c>
      <c r="AI22" s="7" t="s">
        <v>68</v>
      </c>
      <c r="AJ22" s="5"/>
      <c r="AK22" s="7" t="s">
        <v>412</v>
      </c>
      <c r="AL22" s="7" t="s">
        <v>413</v>
      </c>
      <c r="AM22" s="7" t="s">
        <v>414</v>
      </c>
      <c r="AN22" s="5"/>
      <c r="AO22" s="5"/>
      <c r="AP22" s="5"/>
      <c r="AQ22" s="5"/>
      <c r="AR22" s="5"/>
      <c r="AS22" s="5"/>
      <c r="AT22" s="5"/>
      <c r="AU22" s="7" t="s">
        <v>153</v>
      </c>
      <c r="AV22" s="7" t="s">
        <v>74</v>
      </c>
    </row>
    <row r="23" ht="16.5" customHeight="1">
      <c r="A23" s="5" t="s">
        <v>213</v>
      </c>
      <c r="B23" s="6">
        <v>738.0</v>
      </c>
      <c r="C23" s="7" t="s">
        <v>415</v>
      </c>
      <c r="D23" s="8" t="b">
        <f t="shared" si="1"/>
        <v>0</v>
      </c>
      <c r="E23" s="5" t="str">
        <f t="shared" si="2"/>
        <v>#REF!</v>
      </c>
      <c r="F23" s="8" t="b">
        <f t="shared" si="3"/>
        <v>0</v>
      </c>
      <c r="G23" s="9" t="str">
        <f t="shared" si="4"/>
        <v>#REF!</v>
      </c>
      <c r="H23" s="5"/>
      <c r="I23" s="7" t="s">
        <v>416</v>
      </c>
      <c r="J23" s="7" t="s">
        <v>417</v>
      </c>
      <c r="K23" s="7" t="s">
        <v>418</v>
      </c>
      <c r="L23" s="7" t="s">
        <v>419</v>
      </c>
      <c r="M23" s="4" t="s">
        <v>52</v>
      </c>
      <c r="N23" s="10" t="s">
        <v>285</v>
      </c>
      <c r="O23" s="10" t="s">
        <v>387</v>
      </c>
      <c r="P23" s="7" t="s">
        <v>420</v>
      </c>
      <c r="Q23" s="6">
        <v>0.0</v>
      </c>
      <c r="R23" s="5"/>
      <c r="S23" s="6">
        <v>0.0</v>
      </c>
      <c r="T23" s="7" t="s">
        <v>160</v>
      </c>
      <c r="U23" s="6">
        <v>2025.0</v>
      </c>
      <c r="V23" s="5"/>
      <c r="W23" s="5"/>
      <c r="X23" s="7" t="s">
        <v>421</v>
      </c>
      <c r="Y23" s="7" t="s">
        <v>422</v>
      </c>
      <c r="Z23" s="7" t="s">
        <v>422</v>
      </c>
      <c r="AA23" s="7" t="s">
        <v>423</v>
      </c>
      <c r="AB23" s="7" t="s">
        <v>424</v>
      </c>
      <c r="AC23" s="5"/>
      <c r="AD23" s="7" t="s">
        <v>170</v>
      </c>
      <c r="AE23" s="7" t="s">
        <v>425</v>
      </c>
      <c r="AF23" s="7" t="s">
        <v>426</v>
      </c>
      <c r="AG23" s="7" t="s">
        <v>170</v>
      </c>
      <c r="AH23" s="5"/>
      <c r="AI23" s="7" t="s">
        <v>68</v>
      </c>
      <c r="AJ23" s="5"/>
      <c r="AK23" s="7" t="s">
        <v>427</v>
      </c>
      <c r="AL23" s="7" t="s">
        <v>428</v>
      </c>
      <c r="AM23" s="7" t="s">
        <v>429</v>
      </c>
      <c r="AN23" s="7" t="s">
        <v>430</v>
      </c>
      <c r="AO23" s="7" t="s">
        <v>431</v>
      </c>
      <c r="AP23" s="7" t="s">
        <v>398</v>
      </c>
      <c r="AQ23" s="5"/>
      <c r="AR23" s="7" t="s">
        <v>432</v>
      </c>
      <c r="AS23" s="5"/>
      <c r="AT23" s="5"/>
      <c r="AU23" s="7" t="s">
        <v>93</v>
      </c>
      <c r="AV23" s="7" t="s">
        <v>74</v>
      </c>
    </row>
    <row r="24" ht="16.5" customHeight="1">
      <c r="A24" s="5" t="s">
        <v>213</v>
      </c>
      <c r="B24" s="6">
        <v>677.0</v>
      </c>
      <c r="C24" s="7" t="s">
        <v>433</v>
      </c>
      <c r="D24" s="8" t="b">
        <f t="shared" si="1"/>
        <v>0</v>
      </c>
      <c r="E24" s="5" t="str">
        <f t="shared" si="2"/>
        <v>#REF!</v>
      </c>
      <c r="F24" s="8" t="b">
        <f t="shared" si="3"/>
        <v>0</v>
      </c>
      <c r="G24" s="9" t="str">
        <f t="shared" si="4"/>
        <v>#REF!</v>
      </c>
      <c r="H24" s="7" t="s">
        <v>434</v>
      </c>
      <c r="I24" s="7" t="s">
        <v>435</v>
      </c>
      <c r="J24" s="7" t="s">
        <v>435</v>
      </c>
      <c r="K24" s="7" t="s">
        <v>436</v>
      </c>
      <c r="L24" s="7" t="s">
        <v>436</v>
      </c>
      <c r="M24" s="4" t="s">
        <v>52</v>
      </c>
      <c r="N24" s="10" t="s">
        <v>141</v>
      </c>
      <c r="O24" s="10" t="s">
        <v>437</v>
      </c>
      <c r="P24" s="5"/>
      <c r="Q24" s="6">
        <v>585382.0</v>
      </c>
      <c r="R24" s="7" t="s">
        <v>182</v>
      </c>
      <c r="S24" s="6">
        <v>740294.0</v>
      </c>
      <c r="T24" s="7" t="s">
        <v>438</v>
      </c>
      <c r="U24" s="6">
        <v>2025.0</v>
      </c>
      <c r="V24" s="7" t="s">
        <v>439</v>
      </c>
      <c r="W24" s="6">
        <v>2028.0</v>
      </c>
      <c r="X24" s="7" t="s">
        <v>440</v>
      </c>
      <c r="Y24" s="7" t="s">
        <v>441</v>
      </c>
      <c r="Z24" s="7" t="s">
        <v>441</v>
      </c>
      <c r="AA24" s="7" t="s">
        <v>442</v>
      </c>
      <c r="AB24" s="7" t="s">
        <v>443</v>
      </c>
      <c r="AC24" s="5"/>
      <c r="AD24" s="7" t="s">
        <v>189</v>
      </c>
      <c r="AE24" s="7" t="s">
        <v>444</v>
      </c>
      <c r="AF24" s="7" t="s">
        <v>445</v>
      </c>
      <c r="AG24" s="7" t="s">
        <v>189</v>
      </c>
      <c r="AH24" s="7" t="s">
        <v>192</v>
      </c>
      <c r="AI24" s="7" t="s">
        <v>68</v>
      </c>
      <c r="AJ24" s="5"/>
      <c r="AK24" s="7" t="s">
        <v>446</v>
      </c>
      <c r="AL24" s="7" t="s">
        <v>447</v>
      </c>
      <c r="AM24" s="7" t="s">
        <v>279</v>
      </c>
      <c r="AN24" s="7" t="s">
        <v>448</v>
      </c>
      <c r="AO24" s="7" t="s">
        <v>72</v>
      </c>
      <c r="AP24" s="7" t="s">
        <v>449</v>
      </c>
      <c r="AQ24" s="7" t="s">
        <v>91</v>
      </c>
      <c r="AR24" s="7" t="s">
        <v>92</v>
      </c>
      <c r="AS24" s="5"/>
      <c r="AT24" s="5"/>
      <c r="AU24" s="7" t="s">
        <v>93</v>
      </c>
      <c r="AV24" s="5"/>
    </row>
    <row r="25" ht="16.5" customHeight="1">
      <c r="A25" s="5" t="s">
        <v>213</v>
      </c>
      <c r="B25" s="6">
        <v>660.0</v>
      </c>
      <c r="C25" s="7" t="s">
        <v>450</v>
      </c>
      <c r="D25" s="8" t="b">
        <f t="shared" si="1"/>
        <v>0</v>
      </c>
      <c r="E25" s="5" t="str">
        <f t="shared" si="2"/>
        <v>#REF!</v>
      </c>
      <c r="F25" s="8" t="b">
        <f t="shared" si="3"/>
        <v>0</v>
      </c>
      <c r="G25" s="9" t="str">
        <f t="shared" si="4"/>
        <v>#REF!</v>
      </c>
      <c r="H25" s="5"/>
      <c r="I25" s="7" t="s">
        <v>451</v>
      </c>
      <c r="J25" s="7" t="s">
        <v>451</v>
      </c>
      <c r="K25" s="7" t="s">
        <v>452</v>
      </c>
      <c r="L25" s="7" t="s">
        <v>453</v>
      </c>
      <c r="M25" s="4" t="s">
        <v>52</v>
      </c>
      <c r="N25" s="10" t="s">
        <v>285</v>
      </c>
      <c r="O25" s="10" t="s">
        <v>454</v>
      </c>
      <c r="P25" s="7" t="s">
        <v>455</v>
      </c>
      <c r="Q25" s="6">
        <v>0.0</v>
      </c>
      <c r="R25" s="5"/>
      <c r="S25" s="6">
        <v>0.0</v>
      </c>
      <c r="T25" s="7" t="s">
        <v>160</v>
      </c>
      <c r="U25" s="6">
        <v>2025.0</v>
      </c>
      <c r="V25" s="5"/>
      <c r="W25" s="5"/>
      <c r="X25" s="7" t="s">
        <v>456</v>
      </c>
      <c r="Y25" s="7" t="s">
        <v>457</v>
      </c>
      <c r="Z25" s="7" t="s">
        <v>457</v>
      </c>
      <c r="AA25" s="7" t="s">
        <v>458</v>
      </c>
      <c r="AB25" s="7" t="s">
        <v>459</v>
      </c>
      <c r="AC25" s="5"/>
      <c r="AD25" s="7" t="s">
        <v>170</v>
      </c>
      <c r="AE25" s="7" t="s">
        <v>460</v>
      </c>
      <c r="AF25" s="5"/>
      <c r="AG25" s="7" t="s">
        <v>170</v>
      </c>
      <c r="AH25" s="5"/>
      <c r="AI25" s="7" t="s">
        <v>68</v>
      </c>
      <c r="AJ25" s="5"/>
      <c r="AK25" s="7" t="s">
        <v>461</v>
      </c>
      <c r="AL25" s="7" t="s">
        <v>462</v>
      </c>
      <c r="AM25" s="7" t="s">
        <v>429</v>
      </c>
      <c r="AN25" s="7" t="s">
        <v>396</v>
      </c>
      <c r="AO25" s="5"/>
      <c r="AP25" s="7" t="s">
        <v>398</v>
      </c>
      <c r="AQ25" s="5"/>
      <c r="AR25" s="5"/>
      <c r="AS25" s="5"/>
      <c r="AT25" s="5"/>
      <c r="AU25" s="7" t="s">
        <v>93</v>
      </c>
      <c r="AV25" s="5"/>
    </row>
    <row r="26" ht="16.5" customHeight="1">
      <c r="A26" s="5" t="s">
        <v>213</v>
      </c>
      <c r="B26" s="6">
        <v>630.0</v>
      </c>
      <c r="C26" s="7" t="s">
        <v>463</v>
      </c>
      <c r="D26" s="8" t="b">
        <f t="shared" si="1"/>
        <v>0</v>
      </c>
      <c r="E26" s="5" t="str">
        <f t="shared" si="2"/>
        <v>#REF!</v>
      </c>
      <c r="F26" s="8" t="b">
        <f t="shared" si="3"/>
        <v>0</v>
      </c>
      <c r="G26" s="9" t="str">
        <f t="shared" si="4"/>
        <v>#REF!</v>
      </c>
      <c r="H26" s="5"/>
      <c r="I26" s="7" t="s">
        <v>464</v>
      </c>
      <c r="J26" s="7" t="s">
        <v>465</v>
      </c>
      <c r="K26" s="7" t="s">
        <v>466</v>
      </c>
      <c r="L26" s="7" t="s">
        <v>467</v>
      </c>
      <c r="M26" s="4" t="s">
        <v>52</v>
      </c>
      <c r="N26" s="10" t="s">
        <v>181</v>
      </c>
      <c r="O26" s="10" t="s">
        <v>252</v>
      </c>
      <c r="P26" s="7" t="s">
        <v>468</v>
      </c>
      <c r="Q26" s="6">
        <v>0.0</v>
      </c>
      <c r="R26" s="5"/>
      <c r="S26" s="6">
        <v>0.0</v>
      </c>
      <c r="T26" s="7" t="s">
        <v>80</v>
      </c>
      <c r="U26" s="6">
        <v>2025.0</v>
      </c>
      <c r="V26" s="5"/>
      <c r="W26" s="5"/>
      <c r="X26" s="7" t="s">
        <v>469</v>
      </c>
      <c r="Y26" s="7" t="s">
        <v>457</v>
      </c>
      <c r="Z26" s="7" t="s">
        <v>457</v>
      </c>
      <c r="AA26" s="7" t="s">
        <v>458</v>
      </c>
      <c r="AB26" s="7" t="s">
        <v>459</v>
      </c>
      <c r="AC26" s="5"/>
      <c r="AD26" s="7" t="s">
        <v>170</v>
      </c>
      <c r="AE26" s="7" t="s">
        <v>470</v>
      </c>
      <c r="AF26" s="5"/>
      <c r="AG26" s="7" t="s">
        <v>170</v>
      </c>
      <c r="AH26" s="5"/>
      <c r="AI26" s="7" t="s">
        <v>68</v>
      </c>
      <c r="AJ26" s="5"/>
      <c r="AK26" s="7" t="s">
        <v>471</v>
      </c>
      <c r="AL26" s="7" t="s">
        <v>472</v>
      </c>
      <c r="AM26" s="7" t="s">
        <v>262</v>
      </c>
      <c r="AN26" s="5"/>
      <c r="AO26" s="5"/>
      <c r="AP26" s="5"/>
      <c r="AQ26" s="5"/>
      <c r="AR26" s="5"/>
      <c r="AS26" s="5"/>
      <c r="AT26" s="5"/>
      <c r="AU26" s="7" t="s">
        <v>153</v>
      </c>
      <c r="AV26" s="5"/>
    </row>
    <row r="27" ht="16.5" customHeight="1">
      <c r="A27" s="5" t="s">
        <v>213</v>
      </c>
      <c r="B27" s="6">
        <v>570.0</v>
      </c>
      <c r="C27" s="7" t="s">
        <v>473</v>
      </c>
      <c r="D27" s="8" t="b">
        <f t="shared" si="1"/>
        <v>0</v>
      </c>
      <c r="E27" s="5" t="str">
        <f t="shared" si="2"/>
        <v>#REF!</v>
      </c>
      <c r="F27" s="8" t="b">
        <f t="shared" si="3"/>
        <v>0</v>
      </c>
      <c r="G27" s="9" t="str">
        <f t="shared" si="4"/>
        <v>#REF!</v>
      </c>
      <c r="H27" s="7" t="s">
        <v>474</v>
      </c>
      <c r="I27" s="7" t="s">
        <v>475</v>
      </c>
      <c r="J27" s="7" t="s">
        <v>476</v>
      </c>
      <c r="K27" s="7" t="s">
        <v>477</v>
      </c>
      <c r="L27" s="7" t="s">
        <v>478</v>
      </c>
      <c r="M27" s="4" t="s">
        <v>52</v>
      </c>
      <c r="N27" s="10" t="s">
        <v>285</v>
      </c>
      <c r="O27" s="10" t="s">
        <v>252</v>
      </c>
      <c r="P27" s="5"/>
      <c r="Q27" s="6">
        <v>149999.0</v>
      </c>
      <c r="R27" s="7" t="s">
        <v>479</v>
      </c>
      <c r="S27" s="6">
        <v>168399.0</v>
      </c>
      <c r="T27" s="7" t="s">
        <v>480</v>
      </c>
      <c r="U27" s="6">
        <v>2025.0</v>
      </c>
      <c r="V27" s="7" t="s">
        <v>481</v>
      </c>
      <c r="W27" s="6">
        <v>2025.0</v>
      </c>
      <c r="X27" s="7" t="s">
        <v>482</v>
      </c>
      <c r="Y27" s="7" t="s">
        <v>483</v>
      </c>
      <c r="Z27" s="7" t="s">
        <v>484</v>
      </c>
      <c r="AA27" s="7" t="s">
        <v>485</v>
      </c>
      <c r="AB27" s="7" t="s">
        <v>486</v>
      </c>
      <c r="AC27" s="5"/>
      <c r="AD27" s="7" t="s">
        <v>487</v>
      </c>
      <c r="AE27" s="7" t="s">
        <v>488</v>
      </c>
      <c r="AF27" s="5"/>
      <c r="AG27" s="7" t="s">
        <v>487</v>
      </c>
      <c r="AH27" s="5"/>
      <c r="AI27" s="7" t="s">
        <v>68</v>
      </c>
      <c r="AJ27" s="5"/>
      <c r="AK27" s="7" t="s">
        <v>489</v>
      </c>
      <c r="AL27" s="7" t="s">
        <v>490</v>
      </c>
      <c r="AM27" s="7" t="s">
        <v>491</v>
      </c>
      <c r="AN27" s="5"/>
      <c r="AO27" s="5"/>
      <c r="AP27" s="5"/>
      <c r="AQ27" s="5"/>
      <c r="AR27" s="5"/>
      <c r="AS27" s="5"/>
      <c r="AT27" s="5"/>
      <c r="AU27" s="7" t="s">
        <v>153</v>
      </c>
      <c r="AV27" s="5"/>
    </row>
    <row r="28" ht="16.5" customHeight="1">
      <c r="A28" s="5" t="s">
        <v>213</v>
      </c>
      <c r="B28" s="6">
        <v>396.0</v>
      </c>
      <c r="C28" s="7" t="s">
        <v>492</v>
      </c>
      <c r="D28" s="8" t="b">
        <f t="shared" si="1"/>
        <v>0</v>
      </c>
      <c r="E28" s="5" t="str">
        <f t="shared" si="2"/>
        <v>#REF!</v>
      </c>
      <c r="F28" s="8" t="b">
        <f t="shared" si="3"/>
        <v>0</v>
      </c>
      <c r="G28" s="9" t="str">
        <f t="shared" si="4"/>
        <v>#REF!</v>
      </c>
      <c r="H28" s="7" t="s">
        <v>493</v>
      </c>
      <c r="I28" s="7" t="s">
        <v>494</v>
      </c>
      <c r="J28" s="7" t="s">
        <v>494</v>
      </c>
      <c r="K28" s="7" t="s">
        <v>495</v>
      </c>
      <c r="L28" s="5"/>
      <c r="M28" s="4" t="s">
        <v>52</v>
      </c>
      <c r="N28" s="10" t="s">
        <v>181</v>
      </c>
      <c r="O28" s="10" t="s">
        <v>142</v>
      </c>
      <c r="P28" s="5"/>
      <c r="Q28" s="6">
        <v>257500.0</v>
      </c>
      <c r="R28" s="7" t="s">
        <v>55</v>
      </c>
      <c r="S28" s="6">
        <v>273286.0</v>
      </c>
      <c r="T28" s="7" t="s">
        <v>56</v>
      </c>
      <c r="U28" s="6">
        <v>2025.0</v>
      </c>
      <c r="V28" s="5"/>
      <c r="W28" s="5"/>
      <c r="X28" s="5"/>
      <c r="Y28" s="7" t="s">
        <v>496</v>
      </c>
      <c r="Z28" s="7" t="s">
        <v>497</v>
      </c>
      <c r="AA28" s="7" t="s">
        <v>498</v>
      </c>
      <c r="AB28" s="7" t="s">
        <v>499</v>
      </c>
      <c r="AC28" s="5"/>
      <c r="AD28" s="7" t="s">
        <v>332</v>
      </c>
      <c r="AE28" s="7" t="s">
        <v>333</v>
      </c>
      <c r="AF28" s="5"/>
      <c r="AG28" s="7" t="s">
        <v>332</v>
      </c>
      <c r="AH28" s="7" t="s">
        <v>334</v>
      </c>
      <c r="AI28" s="7" t="s">
        <v>68</v>
      </c>
      <c r="AJ28" s="5"/>
      <c r="AK28" s="7" t="s">
        <v>335</v>
      </c>
      <c r="AL28" s="7" t="s">
        <v>500</v>
      </c>
      <c r="AM28" s="7" t="s">
        <v>491</v>
      </c>
      <c r="AN28" s="5"/>
      <c r="AO28" s="5"/>
      <c r="AP28" s="5"/>
      <c r="AQ28" s="5"/>
      <c r="AR28" s="5"/>
      <c r="AS28" s="5"/>
      <c r="AT28" s="5"/>
      <c r="AU28" s="7" t="s">
        <v>153</v>
      </c>
      <c r="AV28" s="7" t="s">
        <v>501</v>
      </c>
    </row>
    <row r="29" ht="16.5" customHeight="1">
      <c r="A29" s="5" t="s">
        <v>502</v>
      </c>
      <c r="B29" s="6">
        <v>791.0</v>
      </c>
      <c r="C29" s="7" t="s">
        <v>503</v>
      </c>
      <c r="D29" s="8" t="b">
        <f t="shared" si="1"/>
        <v>0</v>
      </c>
      <c r="E29" s="5" t="str">
        <f t="shared" si="2"/>
        <v>#REF!</v>
      </c>
      <c r="F29" s="8" t="b">
        <f t="shared" si="3"/>
        <v>0</v>
      </c>
      <c r="G29" s="9" t="str">
        <f t="shared" si="4"/>
        <v>#REF!</v>
      </c>
      <c r="H29" s="7" t="s">
        <v>504</v>
      </c>
      <c r="I29" s="7" t="s">
        <v>505</v>
      </c>
      <c r="J29" s="7" t="s">
        <v>505</v>
      </c>
      <c r="K29" s="7" t="s">
        <v>506</v>
      </c>
      <c r="L29" s="7" t="s">
        <v>506</v>
      </c>
      <c r="M29" s="4" t="s">
        <v>52</v>
      </c>
      <c r="N29" s="10" t="s">
        <v>285</v>
      </c>
      <c r="O29" s="10" t="s">
        <v>507</v>
      </c>
      <c r="P29" s="7" t="s">
        <v>508</v>
      </c>
      <c r="Q29" s="6">
        <v>1656000.0</v>
      </c>
      <c r="R29" s="7" t="s">
        <v>55</v>
      </c>
      <c r="S29" s="6">
        <v>1757503.0</v>
      </c>
      <c r="T29" s="7" t="s">
        <v>56</v>
      </c>
      <c r="U29" s="6">
        <v>2025.0</v>
      </c>
      <c r="V29" s="7" t="s">
        <v>122</v>
      </c>
      <c r="W29" s="6">
        <v>2028.0</v>
      </c>
      <c r="X29" s="5"/>
      <c r="Y29" s="7" t="s">
        <v>509</v>
      </c>
      <c r="Z29" s="7" t="s">
        <v>510</v>
      </c>
      <c r="AA29" s="7" t="s">
        <v>511</v>
      </c>
      <c r="AB29" s="7" t="s">
        <v>512</v>
      </c>
      <c r="AC29" s="7" t="s">
        <v>513</v>
      </c>
      <c r="AD29" s="7" t="s">
        <v>514</v>
      </c>
      <c r="AE29" s="7" t="s">
        <v>168</v>
      </c>
      <c r="AF29" s="7" t="s">
        <v>169</v>
      </c>
      <c r="AG29" s="7" t="s">
        <v>170</v>
      </c>
      <c r="AH29" s="7" t="s">
        <v>515</v>
      </c>
      <c r="AI29" s="7" t="s">
        <v>68</v>
      </c>
      <c r="AJ29" s="5"/>
      <c r="AK29" s="7" t="s">
        <v>516</v>
      </c>
      <c r="AL29" s="7" t="s">
        <v>517</v>
      </c>
      <c r="AM29" s="7" t="s">
        <v>429</v>
      </c>
      <c r="AN29" s="7" t="s">
        <v>518</v>
      </c>
      <c r="AO29" s="7" t="s">
        <v>431</v>
      </c>
      <c r="AP29" s="7" t="s">
        <v>398</v>
      </c>
      <c r="AQ29" s="5"/>
      <c r="AR29" s="5"/>
      <c r="AS29" s="5"/>
      <c r="AT29" s="5"/>
      <c r="AU29" s="7" t="s">
        <v>93</v>
      </c>
      <c r="AV29" s="7" t="s">
        <v>74</v>
      </c>
    </row>
    <row r="30" ht="16.5" customHeight="1">
      <c r="A30" s="5" t="s">
        <v>519</v>
      </c>
      <c r="B30" s="6">
        <v>1303.0</v>
      </c>
      <c r="C30" s="7" t="s">
        <v>520</v>
      </c>
      <c r="D30" s="8" t="b">
        <f t="shared" si="1"/>
        <v>0</v>
      </c>
      <c r="E30" s="5" t="str">
        <f t="shared" si="2"/>
        <v>#REF!</v>
      </c>
      <c r="F30" s="8" t="b">
        <f t="shared" si="3"/>
        <v>0</v>
      </c>
      <c r="G30" s="9" t="str">
        <f t="shared" si="4"/>
        <v>#REF!</v>
      </c>
      <c r="H30" s="7" t="s">
        <v>521</v>
      </c>
      <c r="I30" s="7" t="s">
        <v>522</v>
      </c>
      <c r="J30" s="7" t="s">
        <v>522</v>
      </c>
      <c r="K30" s="7" t="s">
        <v>523</v>
      </c>
      <c r="L30" s="7" t="s">
        <v>523</v>
      </c>
      <c r="M30" s="4" t="s">
        <v>52</v>
      </c>
      <c r="N30" s="10" t="s">
        <v>285</v>
      </c>
      <c r="O30" s="10" t="s">
        <v>252</v>
      </c>
      <c r="P30" s="5"/>
      <c r="Q30" s="6">
        <v>2775999.0</v>
      </c>
      <c r="R30" s="7" t="s">
        <v>121</v>
      </c>
      <c r="S30" s="6">
        <v>251849.0</v>
      </c>
      <c r="T30" s="7" t="s">
        <v>56</v>
      </c>
      <c r="U30" s="6">
        <v>2025.0</v>
      </c>
      <c r="V30" s="7" t="s">
        <v>122</v>
      </c>
      <c r="W30" s="6">
        <v>2028.0</v>
      </c>
      <c r="X30" s="7" t="s">
        <v>524</v>
      </c>
      <c r="Y30" s="7" t="s">
        <v>525</v>
      </c>
      <c r="Z30" s="7" t="s">
        <v>526</v>
      </c>
      <c r="AA30" s="7" t="s">
        <v>527</v>
      </c>
      <c r="AB30" s="7" t="s">
        <v>528</v>
      </c>
      <c r="AC30" s="5"/>
      <c r="AD30" s="7" t="s">
        <v>128</v>
      </c>
      <c r="AE30" s="7" t="s">
        <v>129</v>
      </c>
      <c r="AF30" s="7" t="s">
        <v>65</v>
      </c>
      <c r="AG30" s="7" t="s">
        <v>128</v>
      </c>
      <c r="AH30" s="7" t="s">
        <v>130</v>
      </c>
      <c r="AI30" s="7" t="s">
        <v>68</v>
      </c>
      <c r="AJ30" s="5"/>
      <c r="AK30" s="7" t="s">
        <v>529</v>
      </c>
      <c r="AL30" s="7" t="s">
        <v>530</v>
      </c>
      <c r="AM30" s="7" t="s">
        <v>531</v>
      </c>
      <c r="AN30" s="5"/>
      <c r="AO30" s="5"/>
      <c r="AP30" s="5"/>
      <c r="AQ30" s="5"/>
      <c r="AR30" s="5"/>
      <c r="AS30" s="5"/>
      <c r="AT30" s="5"/>
      <c r="AU30" s="7" t="s">
        <v>532</v>
      </c>
      <c r="AV30" s="7" t="s">
        <v>176</v>
      </c>
    </row>
    <row r="31" ht="16.5" customHeight="1">
      <c r="A31" s="5" t="s">
        <v>519</v>
      </c>
      <c r="B31" s="6">
        <v>1302.0</v>
      </c>
      <c r="C31" s="7" t="s">
        <v>533</v>
      </c>
      <c r="D31" s="8" t="b">
        <f t="shared" si="1"/>
        <v>0</v>
      </c>
      <c r="E31" s="5" t="str">
        <f t="shared" si="2"/>
        <v>#REF!</v>
      </c>
      <c r="F31" s="8" t="b">
        <f t="shared" si="3"/>
        <v>0</v>
      </c>
      <c r="G31" s="9" t="str">
        <f t="shared" si="4"/>
        <v>#REF!</v>
      </c>
      <c r="H31" s="7" t="s">
        <v>534</v>
      </c>
      <c r="I31" s="7" t="s">
        <v>535</v>
      </c>
      <c r="J31" s="7" t="s">
        <v>535</v>
      </c>
      <c r="K31" s="7" t="s">
        <v>536</v>
      </c>
      <c r="L31" s="7" t="s">
        <v>536</v>
      </c>
      <c r="M31" s="4" t="s">
        <v>52</v>
      </c>
      <c r="N31" s="10" t="s">
        <v>285</v>
      </c>
      <c r="O31" s="10" t="s">
        <v>537</v>
      </c>
      <c r="P31" s="5"/>
      <c r="Q31" s="6">
        <v>6776354.0</v>
      </c>
      <c r="R31" s="7" t="s">
        <v>55</v>
      </c>
      <c r="S31" s="6">
        <v>7191779.0</v>
      </c>
      <c r="T31" s="7" t="s">
        <v>56</v>
      </c>
      <c r="U31" s="6">
        <v>2025.0</v>
      </c>
      <c r="V31" s="5"/>
      <c r="W31" s="5"/>
      <c r="X31" s="7" t="s">
        <v>538</v>
      </c>
      <c r="Y31" s="7" t="s">
        <v>539</v>
      </c>
      <c r="Z31" s="7" t="s">
        <v>540</v>
      </c>
      <c r="AA31" s="7" t="s">
        <v>541</v>
      </c>
      <c r="AB31" s="7" t="s">
        <v>542</v>
      </c>
      <c r="AC31" s="7" t="s">
        <v>543</v>
      </c>
      <c r="AD31" s="7" t="s">
        <v>544</v>
      </c>
      <c r="AE31" s="7" t="s">
        <v>64</v>
      </c>
      <c r="AF31" s="7" t="s">
        <v>65</v>
      </c>
      <c r="AG31" s="7" t="s">
        <v>66</v>
      </c>
      <c r="AH31" s="7" t="s">
        <v>545</v>
      </c>
      <c r="AI31" s="7" t="s">
        <v>68</v>
      </c>
      <c r="AJ31" s="5"/>
      <c r="AK31" s="5"/>
      <c r="AL31" s="7" t="s">
        <v>546</v>
      </c>
      <c r="AM31" s="7" t="s">
        <v>429</v>
      </c>
      <c r="AN31" s="5"/>
      <c r="AO31" s="7" t="s">
        <v>72</v>
      </c>
      <c r="AP31" s="5"/>
      <c r="AQ31" s="5"/>
      <c r="AR31" s="5"/>
      <c r="AS31" s="5"/>
      <c r="AT31" s="5"/>
      <c r="AU31" s="7" t="s">
        <v>93</v>
      </c>
      <c r="AV31" s="7" t="s">
        <v>547</v>
      </c>
    </row>
    <row r="32" ht="16.5" customHeight="1">
      <c r="A32" s="5" t="s">
        <v>519</v>
      </c>
      <c r="B32" s="6">
        <v>1216.0</v>
      </c>
      <c r="C32" s="7" t="s">
        <v>548</v>
      </c>
      <c r="D32" s="8" t="b">
        <f t="shared" si="1"/>
        <v>0</v>
      </c>
      <c r="E32" s="5" t="str">
        <f t="shared" si="2"/>
        <v>#REF!</v>
      </c>
      <c r="F32" s="8" t="b">
        <f t="shared" si="3"/>
        <v>0</v>
      </c>
      <c r="G32" s="9" t="str">
        <f t="shared" si="4"/>
        <v>#REF!</v>
      </c>
      <c r="H32" s="7" t="s">
        <v>549</v>
      </c>
      <c r="I32" s="7" t="s">
        <v>550</v>
      </c>
      <c r="J32" s="7" t="s">
        <v>550</v>
      </c>
      <c r="K32" s="7" t="s">
        <v>551</v>
      </c>
      <c r="L32" s="7" t="s">
        <v>551</v>
      </c>
      <c r="M32" s="4" t="s">
        <v>52</v>
      </c>
      <c r="N32" s="10" t="s">
        <v>285</v>
      </c>
      <c r="O32" s="10" t="s">
        <v>387</v>
      </c>
      <c r="P32" s="5"/>
      <c r="Q32" s="6">
        <v>150000.0</v>
      </c>
      <c r="R32" s="7" t="s">
        <v>55</v>
      </c>
      <c r="S32" s="6">
        <v>159195.0</v>
      </c>
      <c r="T32" s="7" t="s">
        <v>404</v>
      </c>
      <c r="U32" s="6">
        <v>2025.0</v>
      </c>
      <c r="V32" s="5"/>
      <c r="W32" s="5"/>
      <c r="X32" s="7" t="s">
        <v>552</v>
      </c>
      <c r="Y32" s="7" t="s">
        <v>553</v>
      </c>
      <c r="Z32" s="7" t="s">
        <v>554</v>
      </c>
      <c r="AA32" s="7" t="s">
        <v>555</v>
      </c>
      <c r="AB32" s="7" t="s">
        <v>556</v>
      </c>
      <c r="AC32" s="5"/>
      <c r="AD32" s="7" t="s">
        <v>66</v>
      </c>
      <c r="AE32" s="7" t="s">
        <v>64</v>
      </c>
      <c r="AF32" s="7" t="s">
        <v>65</v>
      </c>
      <c r="AG32" s="7" t="s">
        <v>66</v>
      </c>
      <c r="AH32" s="7" t="s">
        <v>557</v>
      </c>
      <c r="AI32" s="7" t="s">
        <v>68</v>
      </c>
      <c r="AJ32" s="5"/>
      <c r="AK32" s="7" t="s">
        <v>558</v>
      </c>
      <c r="AL32" s="7" t="s">
        <v>559</v>
      </c>
      <c r="AM32" s="7" t="s">
        <v>560</v>
      </c>
      <c r="AN32" s="7" t="s">
        <v>396</v>
      </c>
      <c r="AO32" s="5"/>
      <c r="AP32" s="5"/>
      <c r="AQ32" s="5"/>
      <c r="AR32" s="5"/>
      <c r="AS32" s="5"/>
      <c r="AT32" s="5"/>
      <c r="AU32" s="7" t="s">
        <v>93</v>
      </c>
      <c r="AV32" s="5"/>
    </row>
    <row r="33" ht="16.5" customHeight="1">
      <c r="A33" s="5" t="s">
        <v>519</v>
      </c>
      <c r="B33" s="6">
        <v>1165.0</v>
      </c>
      <c r="C33" s="7" t="s">
        <v>561</v>
      </c>
      <c r="D33" s="8" t="b">
        <f t="shared" si="1"/>
        <v>0</v>
      </c>
      <c r="E33" s="5" t="str">
        <f t="shared" si="2"/>
        <v>#REF!</v>
      </c>
      <c r="F33" s="8" t="b">
        <f t="shared" si="3"/>
        <v>0</v>
      </c>
      <c r="G33" s="9" t="str">
        <f t="shared" si="4"/>
        <v>#REF!</v>
      </c>
      <c r="H33" s="7" t="s">
        <v>562</v>
      </c>
      <c r="I33" s="7" t="s">
        <v>563</v>
      </c>
      <c r="J33" s="7" t="s">
        <v>563</v>
      </c>
      <c r="K33" s="7" t="s">
        <v>564</v>
      </c>
      <c r="L33" s="7" t="s">
        <v>564</v>
      </c>
      <c r="M33" s="4" t="s">
        <v>52</v>
      </c>
      <c r="N33" s="10" t="s">
        <v>285</v>
      </c>
      <c r="O33" s="10" t="s">
        <v>565</v>
      </c>
      <c r="P33" s="5"/>
      <c r="Q33" s="6">
        <v>360477.0</v>
      </c>
      <c r="R33" s="7" t="s">
        <v>55</v>
      </c>
      <c r="S33" s="6">
        <v>382576.0</v>
      </c>
      <c r="T33" s="7" t="s">
        <v>56</v>
      </c>
      <c r="U33" s="6">
        <v>2025.0</v>
      </c>
      <c r="V33" s="5"/>
      <c r="W33" s="5"/>
      <c r="X33" s="7" t="s">
        <v>566</v>
      </c>
      <c r="Y33" s="7" t="s">
        <v>554</v>
      </c>
      <c r="Z33" s="7" t="s">
        <v>554</v>
      </c>
      <c r="AA33" s="7" t="s">
        <v>555</v>
      </c>
      <c r="AB33" s="7" t="s">
        <v>556</v>
      </c>
      <c r="AC33" s="5"/>
      <c r="AD33" s="7" t="s">
        <v>66</v>
      </c>
      <c r="AE33" s="7" t="s">
        <v>64</v>
      </c>
      <c r="AF33" s="7" t="s">
        <v>65</v>
      </c>
      <c r="AG33" s="7" t="s">
        <v>66</v>
      </c>
      <c r="AH33" s="7" t="s">
        <v>567</v>
      </c>
      <c r="AI33" s="7" t="s">
        <v>68</v>
      </c>
      <c r="AJ33" s="5"/>
      <c r="AK33" s="5"/>
      <c r="AL33" s="7" t="s">
        <v>568</v>
      </c>
      <c r="AM33" s="7" t="s">
        <v>569</v>
      </c>
      <c r="AN33" s="7" t="s">
        <v>570</v>
      </c>
      <c r="AO33" s="5"/>
      <c r="AP33" s="5"/>
      <c r="AQ33" s="5"/>
      <c r="AR33" s="5"/>
      <c r="AS33" s="5"/>
      <c r="AT33" s="5"/>
      <c r="AU33" s="5"/>
      <c r="AV33" s="5"/>
    </row>
    <row r="34" ht="16.5" customHeight="1">
      <c r="A34" s="5" t="s">
        <v>519</v>
      </c>
      <c r="B34" s="6">
        <v>1111.0</v>
      </c>
      <c r="C34" s="7" t="s">
        <v>571</v>
      </c>
      <c r="D34" s="8" t="b">
        <f t="shared" si="1"/>
        <v>0</v>
      </c>
      <c r="E34" s="5" t="str">
        <f t="shared" si="2"/>
        <v>#REF!</v>
      </c>
      <c r="F34" s="8" t="b">
        <f t="shared" si="3"/>
        <v>0</v>
      </c>
      <c r="G34" s="9" t="str">
        <f t="shared" si="4"/>
        <v>#REF!</v>
      </c>
      <c r="H34" s="7" t="s">
        <v>572</v>
      </c>
      <c r="I34" s="7" t="s">
        <v>573</v>
      </c>
      <c r="J34" s="7" t="s">
        <v>573</v>
      </c>
      <c r="K34" s="7" t="s">
        <v>574</v>
      </c>
      <c r="L34" s="7" t="s">
        <v>574</v>
      </c>
      <c r="M34" s="4" t="s">
        <v>52</v>
      </c>
      <c r="N34" s="10" t="s">
        <v>285</v>
      </c>
      <c r="O34" s="10" t="s">
        <v>159</v>
      </c>
      <c r="P34" s="7" t="s">
        <v>575</v>
      </c>
      <c r="Q34" s="6">
        <v>749801.0</v>
      </c>
      <c r="R34" s="7" t="s">
        <v>479</v>
      </c>
      <c r="S34" s="6">
        <v>841774.0</v>
      </c>
      <c r="T34" s="7" t="s">
        <v>342</v>
      </c>
      <c r="U34" s="6">
        <v>2025.0</v>
      </c>
      <c r="V34" s="7" t="s">
        <v>576</v>
      </c>
      <c r="W34" s="6">
        <v>2028.0</v>
      </c>
      <c r="X34" s="7" t="s">
        <v>577</v>
      </c>
      <c r="Y34" s="7" t="s">
        <v>578</v>
      </c>
      <c r="Z34" s="7" t="s">
        <v>579</v>
      </c>
      <c r="AA34" s="7" t="s">
        <v>580</v>
      </c>
      <c r="AB34" s="7" t="s">
        <v>581</v>
      </c>
      <c r="AC34" s="5"/>
      <c r="AD34" s="7" t="s">
        <v>582</v>
      </c>
      <c r="AE34" s="7" t="s">
        <v>583</v>
      </c>
      <c r="AF34" s="7" t="s">
        <v>65</v>
      </c>
      <c r="AG34" s="7" t="s">
        <v>487</v>
      </c>
      <c r="AH34" s="7" t="s">
        <v>584</v>
      </c>
      <c r="AI34" s="7" t="s">
        <v>68</v>
      </c>
      <c r="AJ34" s="5"/>
      <c r="AK34" s="7" t="s">
        <v>585</v>
      </c>
      <c r="AL34" s="7" t="s">
        <v>586</v>
      </c>
      <c r="AM34" s="7" t="s">
        <v>587</v>
      </c>
      <c r="AN34" s="7" t="s">
        <v>518</v>
      </c>
      <c r="AO34" s="7" t="s">
        <v>588</v>
      </c>
      <c r="AP34" s="5"/>
      <c r="AQ34" s="5"/>
      <c r="AR34" s="5"/>
      <c r="AS34" s="5"/>
      <c r="AT34" s="5"/>
      <c r="AU34" s="7" t="s">
        <v>93</v>
      </c>
      <c r="AV34" s="7" t="s">
        <v>589</v>
      </c>
    </row>
    <row r="35" ht="16.5" customHeight="1">
      <c r="A35" s="5" t="s">
        <v>519</v>
      </c>
      <c r="B35" s="6">
        <v>1065.0</v>
      </c>
      <c r="C35" s="7" t="s">
        <v>590</v>
      </c>
      <c r="D35" s="8" t="b">
        <f t="shared" si="1"/>
        <v>0</v>
      </c>
      <c r="E35" s="5" t="str">
        <f t="shared" si="2"/>
        <v>#REF!</v>
      </c>
      <c r="F35" s="8" t="b">
        <f t="shared" si="3"/>
        <v>0</v>
      </c>
      <c r="G35" s="9" t="str">
        <f t="shared" si="4"/>
        <v>#REF!</v>
      </c>
      <c r="H35" s="7" t="s">
        <v>591</v>
      </c>
      <c r="I35" s="7" t="s">
        <v>592</v>
      </c>
      <c r="J35" s="7" t="s">
        <v>592</v>
      </c>
      <c r="K35" s="7" t="s">
        <v>593</v>
      </c>
      <c r="L35" s="7" t="s">
        <v>593</v>
      </c>
      <c r="M35" s="4" t="s">
        <v>52</v>
      </c>
      <c r="N35" s="10" t="s">
        <v>141</v>
      </c>
      <c r="O35" s="10" t="s">
        <v>159</v>
      </c>
      <c r="P35" s="5"/>
      <c r="Q35" s="6">
        <v>49554.0</v>
      </c>
      <c r="R35" s="7" t="s">
        <v>55</v>
      </c>
      <c r="S35" s="6">
        <v>52591.0</v>
      </c>
      <c r="T35" s="7" t="s">
        <v>594</v>
      </c>
      <c r="U35" s="6">
        <v>2025.0</v>
      </c>
      <c r="V35" s="5"/>
      <c r="W35" s="5"/>
      <c r="X35" s="7" t="s">
        <v>595</v>
      </c>
      <c r="Y35" s="7" t="s">
        <v>554</v>
      </c>
      <c r="Z35" s="7" t="s">
        <v>554</v>
      </c>
      <c r="AA35" s="7" t="s">
        <v>555</v>
      </c>
      <c r="AB35" s="7" t="s">
        <v>556</v>
      </c>
      <c r="AC35" s="5"/>
      <c r="AD35" s="7" t="s">
        <v>66</v>
      </c>
      <c r="AE35" s="7" t="s">
        <v>64</v>
      </c>
      <c r="AF35" s="7" t="s">
        <v>65</v>
      </c>
      <c r="AG35" s="7" t="s">
        <v>66</v>
      </c>
      <c r="AH35" s="7" t="s">
        <v>596</v>
      </c>
      <c r="AI35" s="7" t="s">
        <v>68</v>
      </c>
      <c r="AJ35" s="5"/>
      <c r="AK35" s="7" t="s">
        <v>597</v>
      </c>
      <c r="AL35" s="7" t="s">
        <v>598</v>
      </c>
      <c r="AM35" s="7" t="s">
        <v>599</v>
      </c>
      <c r="AN35" s="5"/>
      <c r="AO35" s="5"/>
      <c r="AP35" s="5"/>
      <c r="AQ35" s="5"/>
      <c r="AR35" s="5"/>
      <c r="AS35" s="5"/>
      <c r="AT35" s="5"/>
      <c r="AU35" s="7" t="s">
        <v>600</v>
      </c>
      <c r="AV35" s="7" t="s">
        <v>74</v>
      </c>
    </row>
    <row r="36" ht="16.5" customHeight="1">
      <c r="A36" s="5" t="s">
        <v>519</v>
      </c>
      <c r="B36" s="6">
        <v>988.0</v>
      </c>
      <c r="C36" s="7" t="s">
        <v>601</v>
      </c>
      <c r="D36" s="8" t="b">
        <f t="shared" si="1"/>
        <v>0</v>
      </c>
      <c r="E36" s="5" t="str">
        <f t="shared" si="2"/>
        <v>#REF!</v>
      </c>
      <c r="F36" s="8" t="b">
        <f t="shared" si="3"/>
        <v>0</v>
      </c>
      <c r="G36" s="9" t="str">
        <f t="shared" si="4"/>
        <v>#REF!</v>
      </c>
      <c r="H36" s="7" t="s">
        <v>602</v>
      </c>
      <c r="I36" s="7" t="s">
        <v>603</v>
      </c>
      <c r="J36" s="7" t="s">
        <v>604</v>
      </c>
      <c r="K36" s="7" t="s">
        <v>605</v>
      </c>
      <c r="L36" s="7" t="s">
        <v>606</v>
      </c>
      <c r="M36" s="4" t="s">
        <v>52</v>
      </c>
      <c r="N36" s="10" t="s">
        <v>285</v>
      </c>
      <c r="O36" s="10" t="s">
        <v>565</v>
      </c>
      <c r="P36" s="7" t="s">
        <v>607</v>
      </c>
      <c r="Q36" s="6">
        <v>210000.0</v>
      </c>
      <c r="R36" s="7" t="s">
        <v>608</v>
      </c>
      <c r="S36" s="6">
        <v>52868.0</v>
      </c>
      <c r="T36" s="7" t="s">
        <v>609</v>
      </c>
      <c r="U36" s="6">
        <v>2025.0</v>
      </c>
      <c r="V36" s="7" t="s">
        <v>610</v>
      </c>
      <c r="W36" s="6">
        <v>2028.0</v>
      </c>
      <c r="X36" s="7" t="s">
        <v>611</v>
      </c>
      <c r="Y36" s="7" t="s">
        <v>612</v>
      </c>
      <c r="Z36" s="7" t="s">
        <v>613</v>
      </c>
      <c r="AA36" s="7" t="s">
        <v>614</v>
      </c>
      <c r="AB36" s="7" t="s">
        <v>615</v>
      </c>
      <c r="AC36" s="5"/>
      <c r="AD36" s="7" t="s">
        <v>616</v>
      </c>
      <c r="AE36" s="7" t="s">
        <v>617</v>
      </c>
      <c r="AF36" s="7" t="s">
        <v>65</v>
      </c>
      <c r="AG36" s="7" t="s">
        <v>616</v>
      </c>
      <c r="AH36" s="7" t="s">
        <v>618</v>
      </c>
      <c r="AI36" s="7" t="s">
        <v>68</v>
      </c>
      <c r="AJ36" s="5"/>
      <c r="AK36" s="7" t="s">
        <v>619</v>
      </c>
      <c r="AL36" s="7" t="s">
        <v>620</v>
      </c>
      <c r="AM36" s="7" t="s">
        <v>429</v>
      </c>
      <c r="AN36" s="5"/>
      <c r="AO36" s="5"/>
      <c r="AP36" s="5"/>
      <c r="AQ36" s="5"/>
      <c r="AR36" s="5"/>
      <c r="AS36" s="5"/>
      <c r="AT36" s="5"/>
      <c r="AU36" s="7" t="s">
        <v>153</v>
      </c>
      <c r="AV36" s="7" t="s">
        <v>74</v>
      </c>
    </row>
    <row r="37" ht="16.5" customHeight="1">
      <c r="A37" s="5" t="s">
        <v>519</v>
      </c>
      <c r="B37" s="6">
        <v>643.0</v>
      </c>
      <c r="C37" s="7" t="s">
        <v>621</v>
      </c>
      <c r="D37" s="8" t="b">
        <f t="shared" si="1"/>
        <v>0</v>
      </c>
      <c r="E37" s="5" t="str">
        <f t="shared" si="2"/>
        <v>#REF!</v>
      </c>
      <c r="F37" s="8" t="b">
        <f t="shared" si="3"/>
        <v>0</v>
      </c>
      <c r="G37" s="9" t="str">
        <f t="shared" si="4"/>
        <v>#REF!</v>
      </c>
      <c r="H37" s="7" t="s">
        <v>622</v>
      </c>
      <c r="I37" s="7" t="s">
        <v>623</v>
      </c>
      <c r="J37" s="7" t="s">
        <v>623</v>
      </c>
      <c r="K37" s="7" t="s">
        <v>624</v>
      </c>
      <c r="L37" s="7" t="s">
        <v>624</v>
      </c>
      <c r="M37" s="4" t="s">
        <v>52</v>
      </c>
      <c r="N37" s="10" t="s">
        <v>141</v>
      </c>
      <c r="O37" s="10" t="s">
        <v>625</v>
      </c>
      <c r="P37" s="5"/>
      <c r="Q37" s="6">
        <v>74716.0</v>
      </c>
      <c r="R37" s="7" t="s">
        <v>182</v>
      </c>
      <c r="S37" s="6">
        <v>94487.0</v>
      </c>
      <c r="T37" s="7" t="s">
        <v>626</v>
      </c>
      <c r="U37" s="6">
        <v>2025.0</v>
      </c>
      <c r="V37" s="7" t="s">
        <v>627</v>
      </c>
      <c r="W37" s="6">
        <v>2025.0</v>
      </c>
      <c r="X37" s="7" t="s">
        <v>204</v>
      </c>
      <c r="Y37" s="7" t="s">
        <v>628</v>
      </c>
      <c r="Z37" s="5"/>
      <c r="AA37" s="5"/>
      <c r="AB37" s="5"/>
      <c r="AC37" s="5"/>
      <c r="AD37" s="5"/>
      <c r="AE37" s="7" t="s">
        <v>206</v>
      </c>
      <c r="AF37" s="7" t="s">
        <v>191</v>
      </c>
      <c r="AG37" s="7" t="s">
        <v>189</v>
      </c>
      <c r="AH37" s="7" t="s">
        <v>629</v>
      </c>
      <c r="AI37" s="7" t="s">
        <v>68</v>
      </c>
      <c r="AJ37" s="5"/>
      <c r="AK37" s="7" t="s">
        <v>630</v>
      </c>
      <c r="AL37" s="7" t="s">
        <v>631</v>
      </c>
      <c r="AM37" s="7" t="s">
        <v>632</v>
      </c>
      <c r="AN37" s="5"/>
      <c r="AO37" s="5"/>
      <c r="AP37" s="5"/>
      <c r="AQ37" s="5"/>
      <c r="AR37" s="5"/>
      <c r="AS37" s="5"/>
      <c r="AT37" s="5"/>
      <c r="AU37" s="7" t="s">
        <v>93</v>
      </c>
      <c r="AV37" s="7" t="s">
        <v>247</v>
      </c>
    </row>
    <row r="38" ht="16.5" customHeight="1">
      <c r="A38" s="5" t="s">
        <v>519</v>
      </c>
      <c r="B38" s="6">
        <v>587.0</v>
      </c>
      <c r="C38" s="7" t="s">
        <v>633</v>
      </c>
      <c r="D38" s="8" t="b">
        <f t="shared" si="1"/>
        <v>0</v>
      </c>
      <c r="E38" s="5" t="str">
        <f t="shared" si="2"/>
        <v>#REF!</v>
      </c>
      <c r="F38" s="8" t="b">
        <f t="shared" si="3"/>
        <v>0</v>
      </c>
      <c r="G38" s="9" t="str">
        <f t="shared" si="4"/>
        <v>#REF!</v>
      </c>
      <c r="H38" s="5"/>
      <c r="I38" s="7" t="s">
        <v>634</v>
      </c>
      <c r="J38" s="7" t="s">
        <v>635</v>
      </c>
      <c r="K38" s="7" t="s">
        <v>636</v>
      </c>
      <c r="L38" s="7" t="s">
        <v>637</v>
      </c>
      <c r="M38" s="4" t="s">
        <v>52</v>
      </c>
      <c r="N38" s="10" t="s">
        <v>285</v>
      </c>
      <c r="O38" s="10" t="s">
        <v>252</v>
      </c>
      <c r="P38" s="7" t="s">
        <v>638</v>
      </c>
      <c r="Q38" s="6">
        <v>0.0</v>
      </c>
      <c r="R38" s="5"/>
      <c r="S38" s="6">
        <v>0.0</v>
      </c>
      <c r="T38" s="7" t="s">
        <v>80</v>
      </c>
      <c r="U38" s="6">
        <v>2025.0</v>
      </c>
      <c r="V38" s="5"/>
      <c r="W38" s="5"/>
      <c r="X38" s="7" t="s">
        <v>639</v>
      </c>
      <c r="Y38" s="7" t="s">
        <v>457</v>
      </c>
      <c r="Z38" s="7" t="s">
        <v>457</v>
      </c>
      <c r="AA38" s="7" t="s">
        <v>458</v>
      </c>
      <c r="AB38" s="7" t="s">
        <v>459</v>
      </c>
      <c r="AC38" s="5"/>
      <c r="AD38" s="7" t="s">
        <v>170</v>
      </c>
      <c r="AE38" s="7" t="s">
        <v>425</v>
      </c>
      <c r="AF38" s="7" t="s">
        <v>426</v>
      </c>
      <c r="AG38" s="7" t="s">
        <v>170</v>
      </c>
      <c r="AH38" s="5"/>
      <c r="AI38" s="7" t="s">
        <v>68</v>
      </c>
      <c r="AJ38" s="5"/>
      <c r="AK38" s="7" t="s">
        <v>640</v>
      </c>
      <c r="AL38" s="7" t="s">
        <v>641</v>
      </c>
      <c r="AM38" s="7" t="s">
        <v>642</v>
      </c>
      <c r="AN38" s="7" t="s">
        <v>643</v>
      </c>
      <c r="AO38" s="7" t="s">
        <v>72</v>
      </c>
      <c r="AP38" s="5"/>
      <c r="AQ38" s="5"/>
      <c r="AR38" s="5"/>
      <c r="AS38" s="5"/>
      <c r="AT38" s="5"/>
      <c r="AU38" s="7" t="s">
        <v>153</v>
      </c>
      <c r="AV38" s="5"/>
    </row>
    <row r="39" ht="16.5" customHeight="1">
      <c r="B39" s="6"/>
      <c r="C39" s="7"/>
      <c r="D39" s="7"/>
      <c r="F39" s="7"/>
      <c r="H39" s="7"/>
      <c r="I39" s="7"/>
      <c r="J39" s="7"/>
      <c r="K39" s="7"/>
      <c r="L39" s="7"/>
      <c r="M39" s="12"/>
      <c r="N39" s="13"/>
      <c r="O39" s="13"/>
      <c r="P39" s="7"/>
      <c r="Q39" s="6"/>
      <c r="R39" s="7"/>
      <c r="S39" s="6"/>
      <c r="T39" s="7"/>
      <c r="U39" s="6"/>
      <c r="V39" s="7"/>
      <c r="W39" s="6"/>
      <c r="X39" s="7"/>
      <c r="Y39" s="7"/>
      <c r="Z39" s="7"/>
      <c r="AA39" s="7"/>
      <c r="AB39" s="7"/>
      <c r="AC39" s="7"/>
      <c r="AD39" s="7"/>
      <c r="AE39" s="7"/>
      <c r="AF39" s="7"/>
      <c r="AG39" s="7"/>
      <c r="AH39" s="7"/>
      <c r="AI39" s="7"/>
      <c r="AJ39" s="7"/>
      <c r="AK39" s="7"/>
      <c r="AL39" s="7"/>
      <c r="AM39" s="7"/>
      <c r="AN39" s="7"/>
      <c r="AO39" s="7"/>
      <c r="AP39" s="7"/>
      <c r="AQ39" s="7"/>
      <c r="AR39" s="7"/>
      <c r="AS39" s="7"/>
      <c r="AT39" s="7"/>
      <c r="AU39" s="7"/>
      <c r="AV39" s="7"/>
    </row>
    <row r="40" ht="16.5" customHeight="1">
      <c r="B40" s="6"/>
      <c r="C40" s="7"/>
      <c r="D40" s="7"/>
      <c r="F40" s="7"/>
      <c r="H40" s="7"/>
      <c r="I40" s="7"/>
      <c r="J40" s="7"/>
      <c r="K40" s="7"/>
      <c r="L40" s="7"/>
      <c r="M40" s="12"/>
      <c r="N40" s="13"/>
      <c r="O40" s="13"/>
      <c r="P40" s="7"/>
      <c r="Q40" s="6"/>
      <c r="R40" s="7"/>
      <c r="S40" s="6"/>
      <c r="T40" s="7"/>
      <c r="U40" s="6"/>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row>
    <row r="41" ht="16.5" customHeight="1">
      <c r="B41" s="6"/>
      <c r="C41" s="7"/>
      <c r="D41" s="7"/>
      <c r="F41" s="7"/>
      <c r="H41" s="7"/>
      <c r="I41" s="7"/>
      <c r="J41" s="7"/>
      <c r="K41" s="7"/>
      <c r="L41" s="7"/>
      <c r="M41" s="12"/>
      <c r="N41" s="13"/>
      <c r="O41" s="13"/>
      <c r="P41" s="7"/>
      <c r="Q41" s="6"/>
      <c r="R41" s="7"/>
      <c r="S41" s="6"/>
      <c r="T41" s="7"/>
      <c r="U41" s="6"/>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row>
    <row r="42" ht="16.5" customHeight="1">
      <c r="B42" s="6"/>
      <c r="C42" s="7"/>
      <c r="D42" s="7"/>
      <c r="F42" s="7"/>
      <c r="H42" s="7"/>
      <c r="I42" s="7"/>
      <c r="J42" s="7"/>
      <c r="K42" s="7"/>
      <c r="L42" s="7"/>
      <c r="M42" s="12"/>
      <c r="N42" s="13"/>
      <c r="O42" s="13"/>
      <c r="P42" s="7"/>
      <c r="Q42" s="6"/>
      <c r="R42" s="7"/>
      <c r="S42" s="6"/>
      <c r="T42" s="7"/>
      <c r="U42" s="6"/>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row>
    <row r="43" ht="16.5" customHeight="1">
      <c r="B43" s="6"/>
      <c r="C43" s="7"/>
      <c r="D43" s="7"/>
      <c r="F43" s="7"/>
      <c r="H43" s="7"/>
      <c r="I43" s="7"/>
      <c r="J43" s="7"/>
      <c r="K43" s="7"/>
      <c r="L43" s="7"/>
      <c r="M43" s="12"/>
      <c r="N43" s="13"/>
      <c r="O43" s="13"/>
      <c r="P43" s="7"/>
      <c r="Q43" s="6"/>
      <c r="R43" s="7"/>
      <c r="S43" s="6"/>
      <c r="T43" s="7"/>
      <c r="U43" s="6"/>
      <c r="V43" s="7"/>
      <c r="W43" s="6"/>
      <c r="X43" s="7"/>
      <c r="Y43" s="7"/>
      <c r="Z43" s="7"/>
      <c r="AA43" s="7"/>
      <c r="AB43" s="7"/>
      <c r="AC43" s="7"/>
      <c r="AD43" s="7"/>
      <c r="AE43" s="7"/>
      <c r="AF43" s="7"/>
      <c r="AG43" s="7"/>
      <c r="AH43" s="7"/>
      <c r="AI43" s="7"/>
      <c r="AJ43" s="7"/>
      <c r="AK43" s="7"/>
      <c r="AL43" s="7"/>
      <c r="AM43" s="7"/>
      <c r="AN43" s="7"/>
      <c r="AO43" s="7"/>
      <c r="AP43" s="7"/>
      <c r="AQ43" s="7"/>
      <c r="AR43" s="7"/>
      <c r="AS43" s="7"/>
      <c r="AT43" s="7"/>
      <c r="AU43" s="7"/>
      <c r="AV43" s="7"/>
    </row>
    <row r="44" ht="16.5" customHeight="1">
      <c r="B44" s="6"/>
      <c r="C44" s="7"/>
      <c r="D44" s="7"/>
      <c r="F44" s="7"/>
      <c r="H44" s="7"/>
      <c r="I44" s="7"/>
      <c r="J44" s="7"/>
      <c r="K44" s="7"/>
      <c r="L44" s="7"/>
      <c r="M44" s="12"/>
      <c r="N44" s="13"/>
      <c r="O44" s="13"/>
      <c r="P44" s="7"/>
      <c r="Q44" s="6"/>
      <c r="R44" s="7"/>
      <c r="S44" s="6"/>
      <c r="T44" s="7"/>
      <c r="U44" s="6"/>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row>
    <row r="45" ht="16.5" customHeight="1">
      <c r="B45" s="6"/>
      <c r="C45" s="7"/>
      <c r="D45" s="7"/>
      <c r="F45" s="7"/>
      <c r="H45" s="7"/>
      <c r="I45" s="7"/>
      <c r="J45" s="7"/>
      <c r="K45" s="7"/>
      <c r="L45" s="7"/>
      <c r="M45" s="12"/>
      <c r="N45" s="13"/>
      <c r="O45" s="13"/>
      <c r="P45" s="7"/>
      <c r="Q45" s="6"/>
      <c r="R45" s="7"/>
      <c r="S45" s="6"/>
      <c r="T45" s="7"/>
      <c r="U45" s="6"/>
      <c r="V45" s="7"/>
      <c r="W45" s="6"/>
      <c r="X45" s="7"/>
      <c r="Y45" s="7"/>
      <c r="Z45" s="7"/>
      <c r="AA45" s="7"/>
      <c r="AB45" s="7"/>
      <c r="AC45" s="7"/>
      <c r="AD45" s="7"/>
      <c r="AE45" s="7"/>
      <c r="AF45" s="7"/>
      <c r="AG45" s="7"/>
      <c r="AH45" s="7"/>
      <c r="AI45" s="7"/>
      <c r="AJ45" s="7"/>
      <c r="AK45" s="7"/>
      <c r="AL45" s="7"/>
      <c r="AM45" s="7"/>
      <c r="AN45" s="7"/>
      <c r="AO45" s="7"/>
      <c r="AP45" s="7"/>
      <c r="AQ45" s="7"/>
      <c r="AR45" s="7"/>
      <c r="AS45" s="7"/>
      <c r="AT45" s="7"/>
      <c r="AU45" s="7"/>
      <c r="AV45" s="7"/>
    </row>
    <row r="46" ht="16.5" customHeight="1">
      <c r="B46" s="6"/>
      <c r="C46" s="7"/>
      <c r="D46" s="7"/>
      <c r="F46" s="7"/>
      <c r="H46" s="7"/>
      <c r="I46" s="7"/>
      <c r="J46" s="7"/>
      <c r="K46" s="7"/>
      <c r="L46" s="7"/>
      <c r="M46" s="12"/>
      <c r="N46" s="13"/>
      <c r="O46" s="13"/>
      <c r="P46" s="7"/>
      <c r="Q46" s="6"/>
      <c r="R46" s="7"/>
      <c r="S46" s="6"/>
      <c r="T46" s="7"/>
      <c r="U46" s="6"/>
      <c r="V46" s="7"/>
      <c r="W46" s="6"/>
      <c r="X46" s="7"/>
      <c r="Y46" s="7"/>
      <c r="Z46" s="7"/>
      <c r="AA46" s="7"/>
      <c r="AB46" s="7"/>
      <c r="AC46" s="7"/>
      <c r="AD46" s="7"/>
      <c r="AE46" s="7"/>
      <c r="AF46" s="7"/>
      <c r="AG46" s="7"/>
      <c r="AH46" s="7"/>
      <c r="AI46" s="7"/>
      <c r="AJ46" s="7"/>
      <c r="AK46" s="7"/>
      <c r="AL46" s="7"/>
      <c r="AM46" s="7"/>
      <c r="AN46" s="7"/>
      <c r="AO46" s="7"/>
      <c r="AP46" s="7"/>
      <c r="AQ46" s="7"/>
      <c r="AR46" s="7"/>
      <c r="AS46" s="7"/>
      <c r="AT46" s="7"/>
      <c r="AU46" s="7"/>
      <c r="AV46" s="7"/>
    </row>
    <row r="47" ht="16.5" customHeight="1">
      <c r="B47" s="6"/>
      <c r="C47" s="7"/>
      <c r="D47" s="7"/>
      <c r="F47" s="7"/>
      <c r="H47" s="7"/>
      <c r="I47" s="7"/>
      <c r="J47" s="7"/>
      <c r="K47" s="7"/>
      <c r="L47" s="7"/>
      <c r="M47" s="12"/>
      <c r="N47" s="13"/>
      <c r="O47" s="13"/>
      <c r="P47" s="7"/>
      <c r="Q47" s="6"/>
      <c r="R47" s="7"/>
      <c r="S47" s="6"/>
      <c r="T47" s="7"/>
      <c r="U47" s="6"/>
      <c r="V47" s="7"/>
      <c r="W47" s="6"/>
      <c r="X47" s="7"/>
      <c r="Y47" s="7"/>
      <c r="Z47" s="7"/>
      <c r="AA47" s="7"/>
      <c r="AB47" s="7"/>
      <c r="AC47" s="7"/>
      <c r="AD47" s="7"/>
      <c r="AE47" s="7"/>
      <c r="AF47" s="7"/>
      <c r="AG47" s="7"/>
      <c r="AH47" s="7"/>
      <c r="AI47" s="7"/>
      <c r="AJ47" s="7"/>
      <c r="AK47" s="7"/>
      <c r="AL47" s="7"/>
      <c r="AM47" s="7"/>
      <c r="AN47" s="7"/>
      <c r="AO47" s="7"/>
      <c r="AP47" s="7"/>
      <c r="AQ47" s="7"/>
      <c r="AR47" s="7"/>
      <c r="AS47" s="7"/>
      <c r="AT47" s="7"/>
      <c r="AU47" s="7"/>
      <c r="AV47" s="7"/>
    </row>
    <row r="48" ht="16.5" customHeight="1">
      <c r="B48" s="6"/>
      <c r="C48" s="7"/>
      <c r="D48" s="7"/>
      <c r="F48" s="7"/>
      <c r="H48" s="7"/>
      <c r="I48" s="7"/>
      <c r="J48" s="7"/>
      <c r="K48" s="7"/>
      <c r="L48" s="7"/>
      <c r="M48" s="12"/>
      <c r="N48" s="13"/>
      <c r="O48" s="13"/>
      <c r="P48" s="7"/>
      <c r="Q48" s="6"/>
      <c r="R48" s="7"/>
      <c r="S48" s="6"/>
      <c r="T48" s="7"/>
      <c r="U48" s="6"/>
      <c r="V48" s="7"/>
      <c r="W48" s="6"/>
      <c r="X48" s="7"/>
      <c r="Y48" s="7"/>
      <c r="Z48" s="7"/>
      <c r="AA48" s="7"/>
      <c r="AB48" s="7"/>
      <c r="AC48" s="7"/>
      <c r="AD48" s="7"/>
      <c r="AE48" s="7"/>
      <c r="AF48" s="7"/>
      <c r="AG48" s="7"/>
      <c r="AH48" s="7"/>
      <c r="AI48" s="7"/>
      <c r="AJ48" s="7"/>
      <c r="AK48" s="7"/>
      <c r="AL48" s="7"/>
      <c r="AM48" s="7"/>
      <c r="AN48" s="7"/>
      <c r="AO48" s="7"/>
      <c r="AP48" s="7"/>
      <c r="AQ48" s="7"/>
      <c r="AR48" s="7"/>
      <c r="AS48" s="7"/>
      <c r="AT48" s="7"/>
      <c r="AU48" s="7"/>
      <c r="AV48" s="7"/>
    </row>
    <row r="49" ht="16.5" customHeight="1">
      <c r="B49" s="6"/>
      <c r="C49" s="7"/>
      <c r="D49" s="7"/>
      <c r="F49" s="7"/>
      <c r="H49" s="7"/>
      <c r="I49" s="7"/>
      <c r="J49" s="7"/>
      <c r="K49" s="7"/>
      <c r="L49" s="7"/>
      <c r="M49" s="12"/>
      <c r="N49" s="13"/>
      <c r="O49" s="13"/>
      <c r="P49" s="7"/>
      <c r="Q49" s="6"/>
      <c r="R49" s="7"/>
      <c r="S49" s="6"/>
      <c r="T49" s="7"/>
      <c r="U49" s="6"/>
      <c r="V49" s="7"/>
      <c r="W49" s="6"/>
      <c r="X49" s="7"/>
      <c r="Y49" s="7"/>
      <c r="Z49" s="7"/>
      <c r="AA49" s="7"/>
      <c r="AB49" s="7"/>
      <c r="AC49" s="7"/>
      <c r="AD49" s="7"/>
      <c r="AE49" s="7"/>
      <c r="AF49" s="7"/>
      <c r="AG49" s="7"/>
      <c r="AH49" s="7"/>
      <c r="AI49" s="7"/>
      <c r="AJ49" s="7"/>
      <c r="AK49" s="7"/>
      <c r="AL49" s="7"/>
      <c r="AM49" s="7"/>
      <c r="AN49" s="7"/>
      <c r="AO49" s="7"/>
      <c r="AP49" s="7"/>
      <c r="AQ49" s="7"/>
      <c r="AR49" s="7"/>
      <c r="AS49" s="7"/>
      <c r="AT49" s="7"/>
      <c r="AU49" s="7"/>
      <c r="AV49" s="7"/>
    </row>
    <row r="50" ht="16.5" customHeight="1">
      <c r="B50" s="6"/>
      <c r="C50" s="7"/>
      <c r="D50" s="7"/>
      <c r="F50" s="7"/>
      <c r="H50" s="7"/>
      <c r="I50" s="7"/>
      <c r="J50" s="7"/>
      <c r="K50" s="7"/>
      <c r="L50" s="7"/>
      <c r="M50" s="12"/>
      <c r="N50" s="13"/>
      <c r="O50" s="13"/>
      <c r="P50" s="7"/>
      <c r="Q50" s="6"/>
      <c r="R50" s="7"/>
      <c r="S50" s="6"/>
      <c r="T50" s="7"/>
      <c r="U50" s="6"/>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row>
    <row r="51" ht="16.5" customHeight="1">
      <c r="B51" s="6"/>
      <c r="C51" s="7"/>
      <c r="D51" s="7"/>
      <c r="F51" s="7"/>
      <c r="H51" s="7"/>
      <c r="I51" s="7"/>
      <c r="J51" s="7"/>
      <c r="K51" s="7"/>
      <c r="L51" s="7"/>
      <c r="M51" s="12"/>
      <c r="N51" s="13"/>
      <c r="O51" s="13"/>
      <c r="P51" s="7"/>
      <c r="Q51" s="6"/>
      <c r="R51" s="7"/>
      <c r="S51" s="6"/>
      <c r="T51" s="7"/>
      <c r="U51" s="6"/>
      <c r="V51" s="7"/>
      <c r="W51" s="6"/>
      <c r="X51" s="7"/>
      <c r="Y51" s="7"/>
      <c r="Z51" s="7"/>
      <c r="AA51" s="7"/>
      <c r="AB51" s="7"/>
      <c r="AC51" s="7"/>
      <c r="AD51" s="7"/>
      <c r="AE51" s="7"/>
      <c r="AF51" s="7"/>
      <c r="AG51" s="7"/>
      <c r="AH51" s="7"/>
      <c r="AI51" s="7"/>
      <c r="AJ51" s="7"/>
      <c r="AK51" s="7"/>
      <c r="AL51" s="7"/>
      <c r="AM51" s="7"/>
      <c r="AN51" s="7"/>
      <c r="AO51" s="7"/>
      <c r="AP51" s="7"/>
      <c r="AQ51" s="7"/>
      <c r="AR51" s="7"/>
      <c r="AS51" s="7"/>
      <c r="AT51" s="7"/>
      <c r="AU51" s="7"/>
      <c r="AV51" s="7"/>
    </row>
    <row r="52" ht="16.5" customHeight="1">
      <c r="B52" s="6"/>
      <c r="C52" s="7"/>
      <c r="D52" s="7"/>
      <c r="F52" s="7"/>
      <c r="H52" s="7"/>
      <c r="I52" s="7"/>
      <c r="J52" s="7"/>
      <c r="K52" s="7"/>
      <c r="L52" s="7"/>
      <c r="M52" s="12"/>
      <c r="N52" s="13"/>
      <c r="O52" s="13"/>
      <c r="P52" s="7"/>
      <c r="Q52" s="6"/>
      <c r="R52" s="7"/>
      <c r="S52" s="6"/>
      <c r="T52" s="7"/>
      <c r="U52" s="6"/>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row>
    <row r="53" ht="16.5" customHeight="1">
      <c r="B53" s="6"/>
      <c r="C53" s="7"/>
      <c r="D53" s="7"/>
      <c r="F53" s="7"/>
      <c r="H53" s="7"/>
      <c r="I53" s="7"/>
      <c r="J53" s="7"/>
      <c r="K53" s="7"/>
      <c r="L53" s="7"/>
      <c r="M53" s="12"/>
      <c r="N53" s="13"/>
      <c r="O53" s="13"/>
      <c r="P53" s="7"/>
      <c r="Q53" s="6"/>
      <c r="R53" s="7"/>
      <c r="S53" s="6"/>
      <c r="T53" s="7"/>
      <c r="U53" s="6"/>
      <c r="V53" s="7"/>
      <c r="W53" s="6"/>
      <c r="X53" s="7"/>
      <c r="Y53" s="7"/>
      <c r="Z53" s="7"/>
      <c r="AA53" s="7"/>
      <c r="AB53" s="7"/>
      <c r="AC53" s="7"/>
      <c r="AD53" s="7"/>
      <c r="AE53" s="7"/>
      <c r="AF53" s="7"/>
      <c r="AG53" s="7"/>
      <c r="AH53" s="7"/>
      <c r="AI53" s="7"/>
      <c r="AJ53" s="7"/>
      <c r="AK53" s="7"/>
      <c r="AL53" s="7"/>
      <c r="AM53" s="7"/>
      <c r="AN53" s="7"/>
      <c r="AO53" s="7"/>
      <c r="AP53" s="7"/>
      <c r="AQ53" s="7"/>
      <c r="AR53" s="7"/>
      <c r="AS53" s="7"/>
      <c r="AT53" s="7"/>
      <c r="AU53" s="7"/>
      <c r="AV53" s="7"/>
    </row>
    <row r="54" ht="16.5" customHeight="1">
      <c r="B54" s="6"/>
      <c r="C54" s="7"/>
      <c r="D54" s="7"/>
      <c r="F54" s="7"/>
      <c r="H54" s="7"/>
      <c r="I54" s="7"/>
      <c r="J54" s="7"/>
      <c r="K54" s="7"/>
      <c r="L54" s="7"/>
      <c r="M54" s="12"/>
      <c r="N54" s="13"/>
      <c r="O54" s="13"/>
      <c r="P54" s="7"/>
      <c r="Q54" s="6"/>
      <c r="R54" s="7"/>
      <c r="S54" s="6"/>
      <c r="T54" s="7"/>
      <c r="U54" s="6"/>
      <c r="V54" s="7"/>
      <c r="W54" s="6"/>
      <c r="X54" s="7"/>
      <c r="Y54" s="7"/>
      <c r="Z54" s="7"/>
      <c r="AA54" s="7"/>
      <c r="AB54" s="7"/>
      <c r="AC54" s="7"/>
      <c r="AD54" s="7"/>
      <c r="AE54" s="7"/>
      <c r="AF54" s="7"/>
      <c r="AG54" s="7"/>
      <c r="AH54" s="7"/>
      <c r="AI54" s="7"/>
      <c r="AJ54" s="7"/>
      <c r="AK54" s="7"/>
      <c r="AL54" s="7"/>
      <c r="AM54" s="7"/>
      <c r="AN54" s="7"/>
      <c r="AO54" s="7"/>
      <c r="AP54" s="7"/>
      <c r="AQ54" s="7"/>
      <c r="AR54" s="7"/>
      <c r="AS54" s="7"/>
      <c r="AT54" s="7"/>
      <c r="AU54" s="7"/>
      <c r="AV54" s="7"/>
    </row>
    <row r="55" ht="16.5" customHeight="1">
      <c r="B55" s="6"/>
      <c r="C55" s="7"/>
      <c r="D55" s="7"/>
      <c r="F55" s="7"/>
      <c r="H55" s="7"/>
      <c r="I55" s="7"/>
      <c r="J55" s="7"/>
      <c r="K55" s="7"/>
      <c r="L55" s="7"/>
      <c r="M55" s="12"/>
      <c r="N55" s="13"/>
      <c r="O55" s="13"/>
      <c r="P55" s="7"/>
      <c r="Q55" s="6"/>
      <c r="R55" s="7"/>
      <c r="S55" s="6"/>
      <c r="T55" s="7"/>
      <c r="U55" s="6"/>
      <c r="V55" s="7"/>
      <c r="W55" s="6"/>
      <c r="X55" s="7"/>
      <c r="Y55" s="7"/>
      <c r="Z55" s="7"/>
      <c r="AA55" s="7"/>
      <c r="AB55" s="7"/>
      <c r="AC55" s="7"/>
      <c r="AD55" s="7"/>
      <c r="AE55" s="7"/>
      <c r="AF55" s="7"/>
      <c r="AG55" s="7"/>
      <c r="AH55" s="7"/>
      <c r="AI55" s="7"/>
      <c r="AJ55" s="7"/>
      <c r="AK55" s="7"/>
      <c r="AL55" s="7"/>
      <c r="AM55" s="7"/>
      <c r="AN55" s="7"/>
      <c r="AO55" s="7"/>
      <c r="AP55" s="7"/>
      <c r="AQ55" s="7"/>
      <c r="AR55" s="7"/>
      <c r="AS55" s="7"/>
      <c r="AT55" s="7"/>
      <c r="AU55" s="7"/>
      <c r="AV55" s="7"/>
    </row>
    <row r="56" ht="16.5" customHeight="1">
      <c r="D56" s="14"/>
      <c r="E56" s="14"/>
      <c r="F56" s="14"/>
    </row>
    <row r="57" ht="16.5" customHeight="1">
      <c r="D57" s="14"/>
      <c r="E57" s="14"/>
      <c r="F57" s="14"/>
    </row>
    <row r="58" ht="16.5" customHeight="1">
      <c r="D58" s="14"/>
      <c r="E58" s="14"/>
      <c r="F58" s="14"/>
    </row>
    <row r="59" ht="16.5" customHeight="1">
      <c r="D59" s="14"/>
      <c r="E59" s="14"/>
      <c r="F59" s="14"/>
    </row>
    <row r="60" ht="16.5" customHeight="1">
      <c r="D60" s="14"/>
      <c r="E60" s="14"/>
      <c r="F60" s="14"/>
    </row>
    <row r="61" ht="16.5" customHeight="1">
      <c r="D61" s="14"/>
      <c r="E61" s="14"/>
      <c r="F61" s="14"/>
    </row>
    <row r="62" ht="16.5" customHeight="1">
      <c r="D62" s="14"/>
      <c r="E62" s="14"/>
      <c r="F62" s="14"/>
    </row>
    <row r="63" ht="16.5" customHeight="1">
      <c r="D63" s="14"/>
      <c r="E63" s="14"/>
      <c r="F63" s="14"/>
    </row>
    <row r="64" ht="16.5" customHeight="1">
      <c r="D64" s="14"/>
      <c r="E64" s="14"/>
      <c r="F64" s="14"/>
    </row>
    <row r="65" ht="16.5" customHeight="1">
      <c r="D65" s="14"/>
      <c r="E65" s="14"/>
      <c r="F65" s="14"/>
    </row>
    <row r="66" ht="16.5" customHeight="1">
      <c r="D66" s="14"/>
      <c r="E66" s="14"/>
      <c r="F66" s="14"/>
    </row>
    <row r="67" ht="16.5" customHeight="1">
      <c r="D67" s="14"/>
      <c r="E67" s="14"/>
      <c r="F67" s="14"/>
    </row>
    <row r="68" ht="16.5" customHeight="1">
      <c r="D68" s="14"/>
      <c r="E68" s="14"/>
      <c r="F68" s="14"/>
      <c r="G68" s="14"/>
    </row>
    <row r="69" ht="16.5" customHeight="1">
      <c r="D69" s="14"/>
      <c r="E69" s="14"/>
      <c r="F69" s="14"/>
      <c r="G69" s="14"/>
    </row>
    <row r="70" ht="16.5" customHeight="1">
      <c r="D70" s="14"/>
      <c r="E70" s="14"/>
      <c r="F70" s="14"/>
      <c r="G70" s="14"/>
    </row>
    <row r="71" ht="16.5" customHeight="1">
      <c r="D71" s="14"/>
      <c r="E71" s="14"/>
      <c r="F71" s="14"/>
      <c r="G71" s="14"/>
    </row>
    <row r="72" ht="16.5" customHeight="1">
      <c r="D72" s="15"/>
      <c r="E72" s="15"/>
      <c r="F72" s="14"/>
      <c r="G72" s="15"/>
    </row>
    <row r="73" ht="16.5" customHeight="1">
      <c r="D73" s="15"/>
      <c r="E73" s="15"/>
      <c r="F73" s="14"/>
      <c r="G73" s="15"/>
    </row>
    <row r="74" ht="16.5" customHeight="1">
      <c r="D74" s="15"/>
      <c r="E74" s="15"/>
      <c r="F74" s="15"/>
      <c r="G74" s="15"/>
    </row>
    <row r="75" ht="16.5" customHeight="1">
      <c r="D75" s="15"/>
      <c r="E75" s="15"/>
      <c r="F75" s="15"/>
      <c r="G75" s="15"/>
    </row>
    <row r="76" ht="16.5" customHeight="1">
      <c r="D76" s="15"/>
      <c r="E76" s="15"/>
      <c r="F76" s="15"/>
      <c r="G76" s="15"/>
    </row>
    <row r="77" ht="16.5" customHeight="1">
      <c r="D77" s="15"/>
      <c r="E77" s="15"/>
      <c r="F77" s="15"/>
      <c r="G77" s="15"/>
    </row>
    <row r="78" ht="16.5" customHeight="1">
      <c r="D78" s="15"/>
      <c r="E78" s="15"/>
      <c r="F78" s="15"/>
      <c r="G78" s="15"/>
    </row>
    <row r="79" ht="16.5" customHeight="1">
      <c r="D79" s="15"/>
      <c r="E79" s="15"/>
      <c r="F79" s="15"/>
      <c r="G79" s="15"/>
    </row>
    <row r="80" ht="16.5" customHeight="1">
      <c r="D80" s="15"/>
      <c r="E80" s="15"/>
      <c r="F80" s="15"/>
      <c r="G80" s="15"/>
    </row>
    <row r="81" ht="16.5" customHeight="1">
      <c r="D81" s="15"/>
      <c r="E81" s="15"/>
      <c r="F81" s="15"/>
      <c r="G81" s="15"/>
    </row>
    <row r="82" ht="16.5" customHeight="1">
      <c r="D82" s="15"/>
      <c r="E82" s="15"/>
      <c r="F82" s="15"/>
      <c r="G82" s="15"/>
    </row>
    <row r="83" ht="16.5" customHeight="1">
      <c r="D83" s="15"/>
      <c r="E83" s="15"/>
      <c r="F83" s="15"/>
      <c r="G83" s="15"/>
    </row>
    <row r="84" ht="16.5" customHeight="1">
      <c r="D84" s="15"/>
      <c r="E84" s="15"/>
      <c r="F84" s="15"/>
      <c r="G84" s="15"/>
    </row>
    <row r="85" ht="16.5" customHeight="1">
      <c r="D85" s="15"/>
      <c r="E85" s="15"/>
      <c r="F85" s="15"/>
      <c r="G85" s="15"/>
    </row>
    <row r="86" ht="16.5" customHeight="1">
      <c r="D86" s="15"/>
      <c r="E86" s="15"/>
      <c r="F86" s="15"/>
      <c r="G86" s="15"/>
    </row>
    <row r="87" ht="16.5" customHeight="1">
      <c r="D87" s="15"/>
      <c r="E87" s="15"/>
      <c r="F87" s="15"/>
      <c r="G87" s="15"/>
    </row>
    <row r="88" ht="16.5" customHeight="1">
      <c r="D88" s="15"/>
      <c r="E88" s="15"/>
      <c r="F88" s="15"/>
      <c r="G88" s="15"/>
    </row>
    <row r="89" ht="16.5" customHeight="1">
      <c r="D89" s="15"/>
      <c r="E89" s="15"/>
      <c r="F89" s="15"/>
      <c r="G89" s="15"/>
    </row>
    <row r="90" ht="16.5" customHeight="1">
      <c r="D90" s="15"/>
      <c r="E90" s="15"/>
      <c r="F90" s="15"/>
      <c r="G90" s="15"/>
    </row>
    <row r="91" ht="16.5" customHeight="1">
      <c r="D91" s="15"/>
      <c r="E91" s="15"/>
      <c r="F91" s="15"/>
      <c r="G91" s="15"/>
    </row>
    <row r="92" ht="16.5" customHeight="1">
      <c r="D92" s="15"/>
      <c r="E92" s="15"/>
      <c r="F92" s="15"/>
      <c r="G92" s="15"/>
    </row>
    <row r="93" ht="16.5" customHeight="1">
      <c r="D93" s="15"/>
      <c r="E93" s="15"/>
      <c r="F93" s="15"/>
      <c r="G93" s="15"/>
    </row>
    <row r="94" ht="16.5" customHeight="1">
      <c r="D94" s="15"/>
      <c r="E94" s="15"/>
      <c r="F94" s="15"/>
      <c r="G94" s="15"/>
    </row>
    <row r="95" ht="16.5" customHeight="1">
      <c r="D95" s="15"/>
      <c r="E95" s="15"/>
      <c r="F95" s="15"/>
      <c r="G95" s="15"/>
    </row>
    <row r="96" ht="16.5" customHeight="1">
      <c r="D96" s="15"/>
      <c r="E96" s="15"/>
      <c r="F96" s="15"/>
      <c r="G96" s="15"/>
    </row>
    <row r="97" ht="16.5" customHeight="1">
      <c r="D97" s="15"/>
      <c r="E97" s="15"/>
      <c r="F97" s="15"/>
      <c r="G97" s="15"/>
    </row>
    <row r="98" ht="16.5" customHeight="1">
      <c r="D98" s="15"/>
      <c r="E98" s="15"/>
      <c r="F98" s="15"/>
      <c r="G98" s="15"/>
    </row>
    <row r="99" ht="16.5" customHeight="1">
      <c r="D99" s="15"/>
      <c r="E99" s="15"/>
      <c r="F99" s="15"/>
      <c r="G99" s="15"/>
    </row>
    <row r="100" ht="16.5" customHeight="1">
      <c r="D100" s="15"/>
      <c r="E100" s="15"/>
      <c r="F100" s="15"/>
      <c r="G100" s="15"/>
    </row>
    <row r="101" ht="16.5" customHeight="1">
      <c r="D101" s="15"/>
      <c r="E101" s="15"/>
      <c r="F101" s="15"/>
      <c r="G101" s="15"/>
    </row>
    <row r="102" ht="16.5" customHeight="1">
      <c r="D102" s="15"/>
      <c r="E102" s="15"/>
      <c r="F102" s="15"/>
      <c r="G102" s="15"/>
    </row>
    <row r="103" ht="16.5" customHeight="1">
      <c r="D103" s="15"/>
      <c r="E103" s="15"/>
      <c r="F103" s="15"/>
      <c r="G103" s="15"/>
    </row>
    <row r="104" ht="16.5" customHeight="1">
      <c r="D104" s="15"/>
      <c r="E104" s="15"/>
      <c r="F104" s="15"/>
      <c r="G104" s="15"/>
    </row>
    <row r="105" ht="16.5" customHeight="1">
      <c r="D105" s="15"/>
      <c r="E105" s="15"/>
      <c r="F105" s="15"/>
      <c r="G105" s="15"/>
    </row>
    <row r="106" ht="16.5" customHeight="1">
      <c r="D106" s="15"/>
      <c r="E106" s="15"/>
      <c r="F106" s="15"/>
      <c r="G106" s="15"/>
    </row>
    <row r="107" ht="16.5" customHeight="1">
      <c r="D107" s="15"/>
      <c r="E107" s="15"/>
      <c r="F107" s="15"/>
      <c r="G107" s="15"/>
    </row>
    <row r="108" ht="16.5" customHeight="1">
      <c r="D108" s="15"/>
      <c r="E108" s="15"/>
      <c r="F108" s="15"/>
      <c r="G108" s="15"/>
    </row>
    <row r="109" ht="16.5" customHeight="1">
      <c r="D109" s="15"/>
      <c r="E109" s="15"/>
      <c r="F109" s="15"/>
      <c r="G109" s="15"/>
    </row>
    <row r="110" ht="16.5" customHeight="1">
      <c r="D110" s="15"/>
      <c r="E110" s="15"/>
      <c r="F110" s="15"/>
      <c r="G110" s="15"/>
    </row>
    <row r="111" ht="16.5" customHeight="1">
      <c r="D111" s="15"/>
      <c r="E111" s="15"/>
      <c r="F111" s="15"/>
      <c r="G111" s="15"/>
    </row>
    <row r="112" ht="16.5" customHeight="1">
      <c r="D112" s="15"/>
      <c r="E112" s="15"/>
      <c r="F112" s="15"/>
      <c r="G112" s="15"/>
    </row>
    <row r="113" ht="16.5" customHeight="1">
      <c r="D113" s="15"/>
      <c r="E113" s="15"/>
      <c r="F113" s="15"/>
      <c r="G113" s="15"/>
    </row>
    <row r="114" ht="16.5" customHeight="1">
      <c r="D114" s="15"/>
      <c r="E114" s="15"/>
      <c r="F114" s="15"/>
      <c r="G114" s="15"/>
    </row>
    <row r="115" ht="16.5" customHeight="1">
      <c r="D115" s="15"/>
      <c r="E115" s="15"/>
      <c r="F115" s="15"/>
      <c r="G115" s="15"/>
    </row>
    <row r="116" ht="16.5" customHeight="1">
      <c r="D116" s="15"/>
      <c r="E116" s="15"/>
      <c r="F116" s="15"/>
      <c r="G116" s="15"/>
    </row>
    <row r="117" ht="16.5" customHeight="1">
      <c r="D117" s="15"/>
      <c r="E117" s="15"/>
      <c r="F117" s="15"/>
      <c r="G117" s="15"/>
    </row>
    <row r="118" ht="16.5" customHeight="1">
      <c r="D118" s="15"/>
      <c r="E118" s="15"/>
      <c r="F118" s="15"/>
      <c r="G118" s="15"/>
    </row>
    <row r="119" ht="16.5" customHeight="1">
      <c r="D119" s="15"/>
      <c r="E119" s="15"/>
      <c r="F119" s="15"/>
      <c r="G119" s="15"/>
    </row>
    <row r="120" ht="16.5" customHeight="1">
      <c r="D120" s="15"/>
      <c r="E120" s="15"/>
      <c r="F120" s="15"/>
      <c r="G120" s="15"/>
    </row>
    <row r="121" ht="16.5" customHeight="1">
      <c r="D121" s="15"/>
      <c r="E121" s="15"/>
      <c r="F121" s="15"/>
      <c r="G121" s="15"/>
    </row>
    <row r="122" ht="16.5" customHeight="1">
      <c r="D122" s="15"/>
      <c r="E122" s="15"/>
      <c r="F122" s="15"/>
      <c r="G122" s="15"/>
    </row>
    <row r="123" ht="16.5" customHeight="1">
      <c r="D123" s="15"/>
      <c r="E123" s="15"/>
      <c r="F123" s="15"/>
      <c r="G123" s="15"/>
    </row>
    <row r="124" ht="16.5" customHeight="1">
      <c r="D124" s="15"/>
      <c r="E124" s="15"/>
      <c r="F124" s="15"/>
      <c r="G124" s="15"/>
    </row>
    <row r="125" ht="16.5" customHeight="1">
      <c r="D125" s="15"/>
      <c r="E125" s="15"/>
      <c r="F125" s="15"/>
      <c r="G125" s="15"/>
    </row>
    <row r="126" ht="16.5" customHeight="1">
      <c r="D126" s="15"/>
      <c r="E126" s="15"/>
      <c r="F126" s="15"/>
      <c r="G126" s="15"/>
    </row>
    <row r="127" ht="16.5" customHeight="1">
      <c r="D127" s="15"/>
      <c r="E127" s="15"/>
      <c r="F127" s="15"/>
      <c r="G127" s="15"/>
    </row>
    <row r="128" ht="16.5" customHeight="1">
      <c r="D128" s="15"/>
      <c r="E128" s="15"/>
      <c r="F128" s="15"/>
      <c r="G128" s="15"/>
    </row>
    <row r="129" ht="16.5" customHeight="1">
      <c r="D129" s="15"/>
      <c r="E129" s="15"/>
      <c r="F129" s="15"/>
      <c r="G129" s="15"/>
    </row>
    <row r="130" ht="16.5" customHeight="1">
      <c r="D130" s="15"/>
      <c r="E130" s="15"/>
      <c r="F130" s="15"/>
      <c r="G130" s="15"/>
    </row>
    <row r="131" ht="16.5" customHeight="1">
      <c r="D131" s="15"/>
      <c r="E131" s="15"/>
      <c r="F131" s="15"/>
      <c r="G131" s="15"/>
    </row>
    <row r="132" ht="16.5" customHeight="1">
      <c r="D132" s="15"/>
      <c r="E132" s="15"/>
      <c r="F132" s="15"/>
      <c r="G132" s="15"/>
    </row>
    <row r="133" ht="16.5" customHeight="1">
      <c r="D133" s="15"/>
      <c r="E133" s="15"/>
      <c r="F133" s="15"/>
      <c r="G133" s="15"/>
    </row>
    <row r="134" ht="16.5" customHeight="1">
      <c r="D134" s="15"/>
      <c r="E134" s="15"/>
      <c r="F134" s="15"/>
      <c r="G134" s="15"/>
    </row>
    <row r="135" ht="16.5" customHeight="1">
      <c r="D135" s="15"/>
      <c r="E135" s="15"/>
      <c r="F135" s="15"/>
      <c r="G135" s="15"/>
    </row>
    <row r="136" ht="16.5" customHeight="1">
      <c r="D136" s="15"/>
      <c r="E136" s="15"/>
      <c r="F136" s="15"/>
      <c r="G136" s="15"/>
    </row>
    <row r="137" ht="16.5" customHeight="1">
      <c r="D137" s="15"/>
      <c r="E137" s="15"/>
      <c r="F137" s="15"/>
      <c r="G137" s="15"/>
    </row>
    <row r="138" ht="16.5" customHeight="1">
      <c r="D138" s="15"/>
      <c r="E138" s="15"/>
      <c r="F138" s="15"/>
      <c r="G138" s="15"/>
    </row>
    <row r="139" ht="16.5" customHeight="1">
      <c r="D139" s="15"/>
      <c r="E139" s="15"/>
      <c r="F139" s="15"/>
      <c r="G139" s="15"/>
    </row>
    <row r="140" ht="16.5" customHeight="1">
      <c r="D140" s="15"/>
      <c r="E140" s="15"/>
      <c r="F140" s="15"/>
      <c r="G140" s="15"/>
    </row>
    <row r="141" ht="16.5" customHeight="1">
      <c r="D141" s="15"/>
      <c r="E141" s="15"/>
      <c r="F141" s="15"/>
      <c r="G141" s="15"/>
    </row>
    <row r="142" ht="16.5" customHeight="1">
      <c r="D142" s="15"/>
      <c r="E142" s="15"/>
      <c r="F142" s="15"/>
      <c r="G142" s="15"/>
    </row>
    <row r="143" ht="16.5" customHeight="1">
      <c r="D143" s="15"/>
      <c r="E143" s="15"/>
      <c r="F143" s="15"/>
      <c r="G143" s="15"/>
    </row>
    <row r="144" ht="16.5" customHeight="1">
      <c r="D144" s="15"/>
      <c r="E144" s="15"/>
      <c r="F144" s="15"/>
      <c r="G144" s="15"/>
    </row>
    <row r="145" ht="16.5" customHeight="1">
      <c r="D145" s="15"/>
      <c r="E145" s="15"/>
      <c r="F145" s="15"/>
      <c r="G145" s="15"/>
    </row>
    <row r="146" ht="16.5" customHeight="1">
      <c r="D146" s="15"/>
      <c r="E146" s="15"/>
      <c r="F146" s="15"/>
      <c r="G146" s="15"/>
    </row>
    <row r="147" ht="16.5" customHeight="1">
      <c r="D147" s="15"/>
      <c r="E147" s="15"/>
      <c r="F147" s="15"/>
      <c r="G147" s="15"/>
    </row>
    <row r="148" ht="16.5" customHeight="1">
      <c r="D148" s="15"/>
      <c r="E148" s="15"/>
      <c r="F148" s="15"/>
      <c r="G148" s="15"/>
    </row>
    <row r="149" ht="16.5" customHeight="1">
      <c r="D149" s="15"/>
      <c r="E149" s="15"/>
      <c r="F149" s="15"/>
      <c r="G149" s="15"/>
    </row>
    <row r="150" ht="16.5" customHeight="1">
      <c r="D150" s="15"/>
      <c r="E150" s="15"/>
      <c r="F150" s="15"/>
      <c r="G150" s="15"/>
    </row>
    <row r="151" ht="16.5" customHeight="1">
      <c r="D151" s="15"/>
      <c r="E151" s="15"/>
      <c r="F151" s="15"/>
      <c r="G151" s="15"/>
    </row>
    <row r="152" ht="16.5" customHeight="1">
      <c r="D152" s="15"/>
      <c r="E152" s="15"/>
      <c r="F152" s="15"/>
      <c r="G152" s="15"/>
    </row>
    <row r="153" ht="16.5" customHeight="1">
      <c r="D153" s="15"/>
      <c r="E153" s="15"/>
      <c r="F153" s="15"/>
      <c r="G153" s="15"/>
    </row>
    <row r="154" ht="16.5" customHeight="1">
      <c r="D154" s="15"/>
      <c r="E154" s="15"/>
      <c r="F154" s="15"/>
      <c r="G154" s="15"/>
    </row>
    <row r="155" ht="16.5" customHeight="1">
      <c r="D155" s="15"/>
      <c r="E155" s="15"/>
      <c r="F155" s="15"/>
      <c r="G155" s="15"/>
    </row>
    <row r="156" ht="16.5" customHeight="1">
      <c r="D156" s="15"/>
      <c r="E156" s="15"/>
      <c r="F156" s="15"/>
      <c r="G156" s="15"/>
    </row>
    <row r="157" ht="16.5" customHeight="1">
      <c r="D157" s="15"/>
      <c r="E157" s="15"/>
      <c r="F157" s="15"/>
      <c r="G157" s="15"/>
    </row>
    <row r="158" ht="16.5" customHeight="1">
      <c r="D158" s="15"/>
      <c r="E158" s="15"/>
      <c r="F158" s="15"/>
      <c r="G158" s="15"/>
    </row>
    <row r="159" ht="16.5" customHeight="1">
      <c r="D159" s="15"/>
      <c r="E159" s="15"/>
      <c r="F159" s="15"/>
      <c r="G159" s="15"/>
    </row>
    <row r="160" ht="16.5" customHeight="1">
      <c r="D160" s="15"/>
      <c r="E160" s="15"/>
      <c r="F160" s="15"/>
      <c r="G160" s="15"/>
    </row>
    <row r="161" ht="16.5" customHeight="1">
      <c r="D161" s="15"/>
      <c r="E161" s="15"/>
      <c r="F161" s="15"/>
      <c r="G161" s="15"/>
    </row>
    <row r="162" ht="16.5" customHeight="1">
      <c r="D162" s="15"/>
      <c r="E162" s="15"/>
      <c r="F162" s="15"/>
      <c r="G162" s="15"/>
    </row>
    <row r="163" ht="16.5" customHeight="1">
      <c r="D163" s="15"/>
      <c r="E163" s="15"/>
      <c r="F163" s="15"/>
      <c r="G163" s="15"/>
    </row>
    <row r="164" ht="16.5" customHeight="1">
      <c r="D164" s="15"/>
      <c r="E164" s="15"/>
      <c r="F164" s="15"/>
      <c r="G164" s="15"/>
    </row>
    <row r="165" ht="16.5" customHeight="1">
      <c r="D165" s="15"/>
      <c r="E165" s="15"/>
      <c r="F165" s="15"/>
      <c r="G165" s="15"/>
    </row>
    <row r="166" ht="16.5" customHeight="1">
      <c r="D166" s="15"/>
      <c r="E166" s="15"/>
      <c r="F166" s="15"/>
      <c r="G166" s="15"/>
    </row>
    <row r="167" ht="16.5" customHeight="1">
      <c r="D167" s="15"/>
      <c r="E167" s="15"/>
      <c r="F167" s="15"/>
      <c r="G167" s="15"/>
    </row>
    <row r="168" ht="16.5" customHeight="1">
      <c r="D168" s="15"/>
      <c r="E168" s="15"/>
      <c r="F168" s="15"/>
      <c r="G168" s="15"/>
    </row>
    <row r="169" ht="16.5" customHeight="1">
      <c r="D169" s="15"/>
      <c r="E169" s="15"/>
      <c r="F169" s="15"/>
      <c r="G169" s="15"/>
    </row>
    <row r="170" ht="16.5" customHeight="1">
      <c r="D170" s="15"/>
      <c r="E170" s="15"/>
      <c r="F170" s="15"/>
      <c r="G170" s="15"/>
    </row>
    <row r="171" ht="16.5" customHeight="1">
      <c r="D171" s="15"/>
      <c r="E171" s="15"/>
      <c r="F171" s="15"/>
      <c r="G171" s="15"/>
    </row>
    <row r="172" ht="16.5" customHeight="1">
      <c r="D172" s="15"/>
      <c r="E172" s="15"/>
      <c r="F172" s="15"/>
      <c r="G172" s="15"/>
    </row>
    <row r="173" ht="16.5" customHeight="1">
      <c r="D173" s="15"/>
      <c r="E173" s="15"/>
      <c r="F173" s="15"/>
      <c r="G173" s="15"/>
    </row>
    <row r="174" ht="16.5" customHeight="1">
      <c r="D174" s="15"/>
      <c r="E174" s="15"/>
      <c r="F174" s="15"/>
      <c r="G174" s="15"/>
    </row>
    <row r="175" ht="16.5" customHeight="1">
      <c r="D175" s="15"/>
      <c r="E175" s="15"/>
      <c r="F175" s="15"/>
      <c r="G175" s="15"/>
    </row>
    <row r="176" ht="16.5" customHeight="1">
      <c r="D176" s="15"/>
      <c r="E176" s="15"/>
      <c r="F176" s="15"/>
      <c r="G176" s="15"/>
    </row>
    <row r="177" ht="16.5" customHeight="1">
      <c r="D177" s="15"/>
      <c r="E177" s="15"/>
      <c r="F177" s="15"/>
      <c r="G177" s="15"/>
    </row>
    <row r="178" ht="16.5" customHeight="1">
      <c r="D178" s="15"/>
      <c r="E178" s="15"/>
      <c r="F178" s="15"/>
      <c r="G178" s="15"/>
    </row>
    <row r="179" ht="16.5" customHeight="1">
      <c r="D179" s="15"/>
      <c r="E179" s="15"/>
      <c r="F179" s="15"/>
      <c r="G179" s="15"/>
    </row>
    <row r="180" ht="16.5" customHeight="1">
      <c r="D180" s="15"/>
      <c r="E180" s="15"/>
      <c r="F180" s="15"/>
      <c r="G180" s="15"/>
    </row>
    <row r="181" ht="16.5" customHeight="1">
      <c r="D181" s="15"/>
      <c r="E181" s="15"/>
      <c r="F181" s="15"/>
      <c r="G181" s="15"/>
    </row>
    <row r="182" ht="16.5" customHeight="1">
      <c r="D182" s="15"/>
      <c r="E182" s="15"/>
      <c r="F182" s="15"/>
      <c r="G182" s="15"/>
    </row>
    <row r="183" ht="16.5" customHeight="1">
      <c r="D183" s="15"/>
      <c r="E183" s="15"/>
      <c r="F183" s="15"/>
      <c r="G183" s="15"/>
    </row>
    <row r="184" ht="16.5" customHeight="1">
      <c r="D184" s="15"/>
      <c r="E184" s="15"/>
      <c r="F184" s="15"/>
      <c r="G184" s="15"/>
    </row>
    <row r="185" ht="16.5" customHeight="1">
      <c r="D185" s="15"/>
      <c r="E185" s="15"/>
      <c r="F185" s="15"/>
      <c r="G185" s="15"/>
    </row>
    <row r="186" ht="16.5" customHeight="1">
      <c r="D186" s="15"/>
      <c r="E186" s="15"/>
      <c r="F186" s="15"/>
      <c r="G186" s="15"/>
    </row>
    <row r="187" ht="16.5" customHeight="1">
      <c r="D187" s="15"/>
      <c r="E187" s="15"/>
      <c r="F187" s="15"/>
      <c r="G187" s="15"/>
    </row>
    <row r="188" ht="16.5" customHeight="1">
      <c r="D188" s="15"/>
      <c r="E188" s="15"/>
      <c r="F188" s="15"/>
      <c r="G188" s="15"/>
    </row>
    <row r="189" ht="16.5" customHeight="1">
      <c r="D189" s="15"/>
      <c r="E189" s="15"/>
      <c r="F189" s="15"/>
      <c r="G189" s="15"/>
    </row>
    <row r="190" ht="16.5" customHeight="1">
      <c r="D190" s="15"/>
      <c r="E190" s="15"/>
      <c r="F190" s="15"/>
      <c r="G190" s="15"/>
    </row>
    <row r="191" ht="16.5" customHeight="1">
      <c r="D191" s="15"/>
      <c r="E191" s="15"/>
      <c r="F191" s="15"/>
      <c r="G191" s="15"/>
    </row>
    <row r="192" ht="16.5" customHeight="1">
      <c r="D192" s="15"/>
      <c r="E192" s="15"/>
      <c r="F192" s="15"/>
      <c r="G192" s="15"/>
    </row>
    <row r="193" ht="16.5" customHeight="1">
      <c r="D193" s="15"/>
      <c r="E193" s="15"/>
      <c r="F193" s="15"/>
      <c r="G193" s="15"/>
    </row>
    <row r="194" ht="16.5" customHeight="1">
      <c r="D194" s="15"/>
      <c r="E194" s="15"/>
      <c r="F194" s="15"/>
      <c r="G194" s="15"/>
    </row>
    <row r="195" ht="16.5" customHeight="1">
      <c r="D195" s="15"/>
      <c r="E195" s="15"/>
      <c r="F195" s="15"/>
      <c r="G195" s="15"/>
    </row>
    <row r="196" ht="16.5" customHeight="1">
      <c r="D196" s="15"/>
      <c r="E196" s="15"/>
      <c r="F196" s="15"/>
      <c r="G196" s="15"/>
    </row>
    <row r="197" ht="16.5" customHeight="1">
      <c r="D197" s="15"/>
      <c r="E197" s="15"/>
      <c r="F197" s="15"/>
      <c r="G197" s="15"/>
    </row>
    <row r="198" ht="16.5" customHeight="1">
      <c r="D198" s="15"/>
      <c r="E198" s="15"/>
      <c r="F198" s="15"/>
      <c r="G198" s="15"/>
    </row>
    <row r="199" ht="16.5" customHeight="1">
      <c r="D199" s="15"/>
      <c r="E199" s="15"/>
      <c r="F199" s="15"/>
      <c r="G199" s="15"/>
    </row>
    <row r="200" ht="16.5" customHeight="1">
      <c r="D200" s="15"/>
      <c r="E200" s="15"/>
      <c r="F200" s="15"/>
      <c r="G200" s="15"/>
    </row>
    <row r="201" ht="16.5" customHeight="1">
      <c r="D201" s="15"/>
      <c r="E201" s="15"/>
      <c r="F201" s="15"/>
      <c r="G201" s="15"/>
    </row>
    <row r="202" ht="16.5" customHeight="1">
      <c r="D202" s="15"/>
      <c r="E202" s="15"/>
      <c r="F202" s="15"/>
      <c r="G202" s="15"/>
    </row>
    <row r="203" ht="16.5" customHeight="1">
      <c r="D203" s="15"/>
      <c r="E203" s="15"/>
      <c r="F203" s="15"/>
      <c r="G203" s="15"/>
    </row>
    <row r="204" ht="16.5" customHeight="1">
      <c r="D204" s="15"/>
      <c r="E204" s="15"/>
      <c r="F204" s="15"/>
      <c r="G204" s="15"/>
    </row>
    <row r="205" ht="16.5" customHeight="1">
      <c r="D205" s="15"/>
      <c r="E205" s="15"/>
      <c r="F205" s="15"/>
      <c r="G205" s="15"/>
    </row>
    <row r="206" ht="16.5" customHeight="1">
      <c r="D206" s="15"/>
      <c r="E206" s="15"/>
      <c r="F206" s="15"/>
      <c r="G206" s="15"/>
    </row>
    <row r="207" ht="16.5" customHeight="1">
      <c r="D207" s="15"/>
      <c r="E207" s="15"/>
      <c r="F207" s="15"/>
      <c r="G207" s="15"/>
    </row>
    <row r="208" ht="16.5" customHeight="1">
      <c r="D208" s="15"/>
      <c r="E208" s="15"/>
      <c r="F208" s="15"/>
      <c r="G208" s="15"/>
    </row>
    <row r="209" ht="16.5" customHeight="1">
      <c r="D209" s="15"/>
      <c r="E209" s="15"/>
      <c r="F209" s="15"/>
      <c r="G209" s="15"/>
    </row>
    <row r="210" ht="16.5" customHeight="1">
      <c r="D210" s="15"/>
      <c r="E210" s="15"/>
      <c r="F210" s="15"/>
      <c r="G210" s="15"/>
    </row>
    <row r="211" ht="16.5" customHeight="1">
      <c r="D211" s="15"/>
      <c r="E211" s="15"/>
      <c r="F211" s="15"/>
      <c r="G211" s="15"/>
    </row>
    <row r="212" ht="16.5" customHeight="1">
      <c r="D212" s="15"/>
      <c r="E212" s="15"/>
      <c r="F212" s="15"/>
      <c r="G212" s="15"/>
    </row>
    <row r="213" ht="16.5" customHeight="1">
      <c r="D213" s="15"/>
      <c r="E213" s="15"/>
      <c r="F213" s="15"/>
      <c r="G213" s="15"/>
    </row>
    <row r="214" ht="16.5" customHeight="1">
      <c r="D214" s="15"/>
      <c r="E214" s="15"/>
      <c r="F214" s="15"/>
      <c r="G214" s="15"/>
    </row>
    <row r="215" ht="16.5" customHeight="1">
      <c r="D215" s="15"/>
      <c r="E215" s="15"/>
      <c r="F215" s="15"/>
      <c r="G215" s="15"/>
    </row>
    <row r="216" ht="16.5" customHeight="1">
      <c r="D216" s="15"/>
      <c r="E216" s="15"/>
      <c r="F216" s="15"/>
      <c r="G216" s="15"/>
    </row>
    <row r="217" ht="16.5" customHeight="1">
      <c r="D217" s="15"/>
      <c r="E217" s="15"/>
      <c r="F217" s="15"/>
      <c r="G217" s="15"/>
    </row>
    <row r="218" ht="16.5" customHeight="1">
      <c r="D218" s="15"/>
      <c r="E218" s="15"/>
      <c r="F218" s="15"/>
      <c r="G218" s="15"/>
    </row>
    <row r="219" ht="16.5" customHeight="1">
      <c r="D219" s="15"/>
      <c r="E219" s="15"/>
      <c r="F219" s="15"/>
      <c r="G219" s="15"/>
    </row>
    <row r="220" ht="16.5" customHeight="1">
      <c r="D220" s="15"/>
      <c r="E220" s="15"/>
      <c r="F220" s="15"/>
      <c r="G220" s="15"/>
    </row>
    <row r="221" ht="16.5" customHeight="1">
      <c r="D221" s="15"/>
      <c r="E221" s="15"/>
      <c r="F221" s="15"/>
      <c r="G221" s="15"/>
    </row>
    <row r="222" ht="16.5" customHeight="1">
      <c r="D222" s="15"/>
      <c r="E222" s="15"/>
      <c r="F222" s="15"/>
      <c r="G222" s="15"/>
    </row>
    <row r="223" ht="16.5" customHeight="1">
      <c r="D223" s="15"/>
      <c r="E223" s="15"/>
      <c r="F223" s="15"/>
      <c r="G223" s="15"/>
    </row>
    <row r="224" ht="16.5" customHeight="1">
      <c r="D224" s="15"/>
      <c r="E224" s="15"/>
      <c r="F224" s="15"/>
      <c r="G224" s="15"/>
    </row>
    <row r="225" ht="16.5" customHeight="1">
      <c r="D225" s="15"/>
      <c r="E225" s="15"/>
      <c r="F225" s="15"/>
      <c r="G225" s="15"/>
    </row>
    <row r="226" ht="16.5" customHeight="1">
      <c r="D226" s="15"/>
      <c r="E226" s="15"/>
      <c r="F226" s="15"/>
      <c r="G226" s="15"/>
    </row>
    <row r="227" ht="16.5" customHeight="1">
      <c r="D227" s="15"/>
      <c r="E227" s="15"/>
      <c r="F227" s="15"/>
      <c r="G227" s="15"/>
    </row>
    <row r="228" ht="16.5" customHeight="1">
      <c r="D228" s="15"/>
      <c r="E228" s="15"/>
      <c r="F228" s="15"/>
      <c r="G228" s="15"/>
    </row>
    <row r="229" ht="16.5" customHeight="1">
      <c r="D229" s="15"/>
      <c r="E229" s="15"/>
      <c r="F229" s="15"/>
      <c r="G229" s="15"/>
    </row>
    <row r="230" ht="16.5" customHeight="1">
      <c r="D230" s="15"/>
      <c r="E230" s="15"/>
      <c r="F230" s="15"/>
      <c r="G230" s="15"/>
    </row>
    <row r="231" ht="16.5" customHeight="1">
      <c r="D231" s="15"/>
      <c r="E231" s="15"/>
      <c r="F231" s="15"/>
      <c r="G231" s="15"/>
    </row>
    <row r="232" ht="16.5" customHeight="1">
      <c r="D232" s="15"/>
      <c r="E232" s="15"/>
      <c r="F232" s="15"/>
      <c r="G232" s="15"/>
    </row>
    <row r="233" ht="16.5" customHeight="1">
      <c r="D233" s="15"/>
      <c r="E233" s="15"/>
      <c r="F233" s="15"/>
      <c r="G233" s="15"/>
    </row>
    <row r="234" ht="16.5" customHeight="1">
      <c r="D234" s="15"/>
      <c r="E234" s="15"/>
      <c r="F234" s="15"/>
      <c r="G234" s="15"/>
    </row>
    <row r="235" ht="16.5" customHeight="1">
      <c r="D235" s="15"/>
      <c r="E235" s="15"/>
      <c r="F235" s="15"/>
      <c r="G235" s="15"/>
    </row>
    <row r="236" ht="16.5" customHeight="1">
      <c r="D236" s="15"/>
      <c r="E236" s="15"/>
      <c r="F236" s="15"/>
      <c r="G236" s="15"/>
    </row>
    <row r="237" ht="16.5" customHeight="1">
      <c r="D237" s="15"/>
      <c r="E237" s="15"/>
      <c r="F237" s="15"/>
      <c r="G237" s="15"/>
    </row>
    <row r="238" ht="16.5" customHeight="1">
      <c r="D238" s="15"/>
      <c r="E238" s="15"/>
      <c r="F238" s="15"/>
      <c r="G238" s="15"/>
    </row>
    <row r="239" ht="16.5" customHeight="1">
      <c r="D239" s="15"/>
      <c r="E239" s="15"/>
      <c r="F239" s="15"/>
      <c r="G239" s="15"/>
    </row>
    <row r="240" ht="16.5" customHeight="1">
      <c r="D240" s="15"/>
      <c r="E240" s="15"/>
      <c r="F240" s="15"/>
      <c r="G240" s="15"/>
    </row>
    <row r="241" ht="16.5" customHeight="1">
      <c r="D241" s="15"/>
      <c r="E241" s="15"/>
      <c r="F241" s="15"/>
      <c r="G241" s="15"/>
    </row>
    <row r="242" ht="16.5" customHeight="1">
      <c r="D242" s="15"/>
      <c r="E242" s="15"/>
      <c r="F242" s="15"/>
      <c r="G242" s="15"/>
    </row>
    <row r="243" ht="16.5" customHeight="1">
      <c r="D243" s="15"/>
      <c r="E243" s="15"/>
      <c r="F243" s="15"/>
      <c r="G243" s="15"/>
    </row>
    <row r="244" ht="16.5" customHeight="1">
      <c r="D244" s="15"/>
      <c r="E244" s="15"/>
      <c r="F244" s="15"/>
      <c r="G244" s="15"/>
    </row>
    <row r="245" ht="16.5" customHeight="1">
      <c r="D245" s="15"/>
      <c r="E245" s="15"/>
      <c r="F245" s="15"/>
      <c r="G245" s="15"/>
    </row>
    <row r="246" ht="16.5" customHeight="1">
      <c r="D246" s="15"/>
      <c r="E246" s="15"/>
      <c r="F246" s="15"/>
      <c r="G246" s="15"/>
    </row>
    <row r="247" ht="16.5" customHeight="1">
      <c r="D247" s="15"/>
      <c r="E247" s="15"/>
      <c r="F247" s="15"/>
      <c r="G247" s="15"/>
    </row>
    <row r="248" ht="16.5" customHeight="1">
      <c r="D248" s="15"/>
      <c r="E248" s="15"/>
      <c r="F248" s="15"/>
      <c r="G248" s="15"/>
    </row>
    <row r="249" ht="16.5" customHeight="1">
      <c r="D249" s="15"/>
      <c r="E249" s="15"/>
      <c r="F249" s="15"/>
      <c r="G249" s="15"/>
    </row>
    <row r="250" ht="16.5" customHeight="1">
      <c r="D250" s="15"/>
      <c r="E250" s="15"/>
      <c r="F250" s="15"/>
      <c r="G250" s="15"/>
    </row>
    <row r="251" ht="16.5" customHeight="1">
      <c r="D251" s="15"/>
      <c r="E251" s="15"/>
      <c r="F251" s="15"/>
      <c r="G251" s="15"/>
    </row>
    <row r="252" ht="16.5" customHeight="1">
      <c r="D252" s="15"/>
      <c r="E252" s="15"/>
      <c r="F252" s="15"/>
      <c r="G252" s="15"/>
    </row>
    <row r="253" ht="16.5" customHeight="1">
      <c r="D253" s="15"/>
      <c r="E253" s="15"/>
      <c r="F253" s="15"/>
      <c r="G253" s="15"/>
    </row>
    <row r="254" ht="16.5" customHeight="1">
      <c r="D254" s="15"/>
      <c r="E254" s="15"/>
      <c r="F254" s="15"/>
      <c r="G254" s="15"/>
    </row>
    <row r="255" ht="16.5" customHeight="1">
      <c r="D255" s="15"/>
      <c r="E255" s="15"/>
      <c r="F255" s="15"/>
      <c r="G255" s="15"/>
    </row>
    <row r="256" ht="16.5" customHeight="1">
      <c r="D256" s="15"/>
      <c r="E256" s="15"/>
      <c r="F256" s="15"/>
      <c r="G256" s="15"/>
    </row>
    <row r="257" ht="16.5" customHeight="1">
      <c r="D257" s="15"/>
      <c r="E257" s="15"/>
      <c r="F257" s="15"/>
      <c r="G257" s="15"/>
    </row>
    <row r="258" ht="16.5" customHeight="1">
      <c r="D258" s="15"/>
      <c r="E258" s="15"/>
      <c r="F258" s="15"/>
      <c r="G258" s="15"/>
    </row>
    <row r="259" ht="16.5" customHeight="1">
      <c r="D259" s="15"/>
      <c r="E259" s="15"/>
      <c r="F259" s="15"/>
      <c r="G259" s="15"/>
    </row>
    <row r="260" ht="16.5" customHeight="1">
      <c r="D260" s="15"/>
      <c r="E260" s="15"/>
      <c r="F260" s="15"/>
      <c r="G260" s="15"/>
    </row>
    <row r="261" ht="16.5" customHeight="1">
      <c r="D261" s="15"/>
      <c r="E261" s="15"/>
      <c r="F261" s="15"/>
      <c r="G261" s="15"/>
    </row>
    <row r="262" ht="16.5" customHeight="1">
      <c r="D262" s="15"/>
      <c r="E262" s="15"/>
      <c r="F262" s="15"/>
      <c r="G262" s="15"/>
    </row>
    <row r="263" ht="16.5" customHeight="1">
      <c r="D263" s="15"/>
      <c r="E263" s="15"/>
      <c r="F263" s="15"/>
      <c r="G263" s="15"/>
    </row>
    <row r="264" ht="16.5" customHeight="1">
      <c r="D264" s="15"/>
      <c r="E264" s="15"/>
      <c r="F264" s="15"/>
      <c r="G264" s="15"/>
    </row>
    <row r="265" ht="16.5" customHeight="1">
      <c r="D265" s="15"/>
      <c r="E265" s="15"/>
      <c r="F265" s="15"/>
      <c r="G265" s="15"/>
    </row>
    <row r="266" ht="16.5" customHeight="1">
      <c r="D266" s="15"/>
      <c r="E266" s="15"/>
      <c r="F266" s="15"/>
      <c r="G266" s="15"/>
    </row>
    <row r="267" ht="16.5" customHeight="1">
      <c r="D267" s="15"/>
      <c r="E267" s="15"/>
      <c r="F267" s="15"/>
      <c r="G267" s="15"/>
    </row>
    <row r="268" ht="16.5" customHeight="1">
      <c r="D268" s="15"/>
      <c r="E268" s="15"/>
      <c r="F268" s="15"/>
      <c r="G268" s="15"/>
    </row>
    <row r="269" ht="16.5" customHeight="1">
      <c r="D269" s="15"/>
      <c r="E269" s="15"/>
      <c r="F269" s="15"/>
      <c r="G269" s="15"/>
    </row>
    <row r="270" ht="16.5" customHeight="1">
      <c r="D270" s="15"/>
      <c r="E270" s="15"/>
      <c r="F270" s="15"/>
      <c r="G270" s="15"/>
    </row>
    <row r="271" ht="16.5" customHeight="1">
      <c r="D271" s="15"/>
      <c r="E271" s="15"/>
      <c r="F271" s="15"/>
      <c r="G271" s="15"/>
    </row>
    <row r="272" ht="16.5" customHeight="1">
      <c r="D272" s="15"/>
      <c r="E272" s="15"/>
      <c r="F272" s="15"/>
      <c r="G272" s="15"/>
    </row>
    <row r="273" ht="16.5" customHeight="1">
      <c r="D273" s="15"/>
      <c r="E273" s="15"/>
      <c r="F273" s="15"/>
      <c r="G273" s="15"/>
    </row>
    <row r="274" ht="16.5" customHeight="1">
      <c r="D274" s="15"/>
      <c r="E274" s="15"/>
      <c r="F274" s="15"/>
      <c r="G274" s="15"/>
    </row>
    <row r="275" ht="16.5" customHeight="1">
      <c r="D275" s="15"/>
      <c r="E275" s="15"/>
      <c r="F275" s="15"/>
      <c r="G275" s="15"/>
    </row>
    <row r="276" ht="16.5" customHeight="1">
      <c r="D276" s="15"/>
      <c r="E276" s="15"/>
      <c r="F276" s="15"/>
      <c r="G276" s="15"/>
    </row>
    <row r="277" ht="16.5" customHeight="1">
      <c r="D277" s="15"/>
      <c r="E277" s="15"/>
      <c r="F277" s="15"/>
      <c r="G277" s="15"/>
    </row>
    <row r="278" ht="16.5" customHeight="1">
      <c r="D278" s="15"/>
      <c r="E278" s="15"/>
      <c r="F278" s="15"/>
      <c r="G278" s="15"/>
    </row>
    <row r="279" ht="16.5" customHeight="1">
      <c r="D279" s="15"/>
      <c r="E279" s="15"/>
      <c r="F279" s="15"/>
      <c r="G279" s="15"/>
    </row>
    <row r="280" ht="16.5" customHeight="1">
      <c r="D280" s="15"/>
      <c r="E280" s="15"/>
      <c r="F280" s="15"/>
      <c r="G280" s="15"/>
    </row>
    <row r="281" ht="16.5" customHeight="1">
      <c r="D281" s="15"/>
      <c r="E281" s="15"/>
      <c r="F281" s="15"/>
      <c r="G281" s="15"/>
    </row>
    <row r="282" ht="16.5" customHeight="1">
      <c r="D282" s="15"/>
      <c r="E282" s="15"/>
      <c r="F282" s="15"/>
      <c r="G282" s="15"/>
    </row>
    <row r="283" ht="16.5" customHeight="1">
      <c r="D283" s="15"/>
      <c r="E283" s="15"/>
      <c r="F283" s="15"/>
      <c r="G283" s="15"/>
    </row>
    <row r="284" ht="16.5" customHeight="1">
      <c r="D284" s="15"/>
      <c r="E284" s="15"/>
      <c r="F284" s="15"/>
      <c r="G284" s="15"/>
    </row>
    <row r="285" ht="16.5" customHeight="1">
      <c r="D285" s="15"/>
      <c r="E285" s="15"/>
      <c r="F285" s="15"/>
      <c r="G285" s="15"/>
    </row>
    <row r="286" ht="16.5" customHeight="1">
      <c r="D286" s="15"/>
      <c r="E286" s="15"/>
      <c r="F286" s="15"/>
      <c r="G286" s="15"/>
    </row>
    <row r="287" ht="16.5" customHeight="1">
      <c r="D287" s="15"/>
      <c r="E287" s="15"/>
      <c r="F287" s="15"/>
      <c r="G287" s="15"/>
    </row>
    <row r="288" ht="16.5" customHeight="1">
      <c r="D288" s="15"/>
      <c r="E288" s="15"/>
      <c r="F288" s="15"/>
      <c r="G288" s="15"/>
    </row>
    <row r="289" ht="16.5" customHeight="1">
      <c r="D289" s="15"/>
      <c r="E289" s="15"/>
      <c r="F289" s="15"/>
      <c r="G289" s="15"/>
    </row>
    <row r="290" ht="16.5" customHeight="1">
      <c r="D290" s="15"/>
      <c r="E290" s="15"/>
      <c r="F290" s="15"/>
      <c r="G290" s="15"/>
    </row>
    <row r="291" ht="16.5" customHeight="1">
      <c r="D291" s="15"/>
      <c r="E291" s="15"/>
      <c r="F291" s="15"/>
      <c r="G291" s="15"/>
    </row>
    <row r="292" ht="16.5" customHeight="1">
      <c r="D292" s="15"/>
      <c r="E292" s="15"/>
      <c r="F292" s="15"/>
      <c r="G292" s="15"/>
    </row>
    <row r="293" ht="16.5" customHeight="1">
      <c r="D293" s="15"/>
      <c r="E293" s="15"/>
      <c r="F293" s="15"/>
      <c r="G293" s="15"/>
    </row>
    <row r="294" ht="16.5" customHeight="1">
      <c r="D294" s="15"/>
      <c r="E294" s="15"/>
      <c r="F294" s="15"/>
      <c r="G294" s="15"/>
    </row>
    <row r="295" ht="16.5" customHeight="1">
      <c r="D295" s="15"/>
      <c r="E295" s="15"/>
      <c r="F295" s="15"/>
      <c r="G295" s="15"/>
    </row>
    <row r="296" ht="16.5" customHeight="1">
      <c r="D296" s="15"/>
      <c r="E296" s="15"/>
      <c r="F296" s="15"/>
      <c r="G296" s="15"/>
    </row>
    <row r="297" ht="16.5" customHeight="1">
      <c r="D297" s="15"/>
      <c r="E297" s="15"/>
      <c r="F297" s="15"/>
      <c r="G297" s="15"/>
    </row>
    <row r="298" ht="16.5" customHeight="1">
      <c r="D298" s="15"/>
      <c r="E298" s="15"/>
      <c r="F298" s="15"/>
      <c r="G298" s="15"/>
    </row>
    <row r="299" ht="16.5" customHeight="1">
      <c r="D299" s="15"/>
      <c r="E299" s="15"/>
      <c r="F299" s="15"/>
      <c r="G299" s="15"/>
    </row>
    <row r="300" ht="16.5" customHeight="1">
      <c r="D300" s="15"/>
      <c r="E300" s="15"/>
      <c r="F300" s="15"/>
      <c r="G300" s="15"/>
    </row>
    <row r="301" ht="16.5" customHeight="1">
      <c r="D301" s="15"/>
      <c r="E301" s="15"/>
      <c r="F301" s="15"/>
      <c r="G301" s="15"/>
    </row>
    <row r="302" ht="16.5" customHeight="1">
      <c r="D302" s="15"/>
      <c r="E302" s="15"/>
      <c r="F302" s="15"/>
      <c r="G302" s="15"/>
    </row>
    <row r="303" ht="16.5" customHeight="1">
      <c r="D303" s="15"/>
      <c r="E303" s="15"/>
      <c r="F303" s="15"/>
      <c r="G303" s="15"/>
    </row>
    <row r="304" ht="16.5" customHeight="1">
      <c r="D304" s="15"/>
      <c r="E304" s="15"/>
      <c r="F304" s="15"/>
      <c r="G304" s="15"/>
    </row>
    <row r="305" ht="16.5" customHeight="1">
      <c r="D305" s="15"/>
      <c r="E305" s="15"/>
      <c r="F305" s="15"/>
      <c r="G305" s="15"/>
    </row>
    <row r="306" ht="16.5" customHeight="1">
      <c r="D306" s="15"/>
      <c r="E306" s="15"/>
      <c r="F306" s="15"/>
      <c r="G306" s="15"/>
    </row>
    <row r="307" ht="16.5" customHeight="1">
      <c r="D307" s="15"/>
      <c r="E307" s="15"/>
      <c r="F307" s="15"/>
      <c r="G307" s="15"/>
    </row>
    <row r="308" ht="16.5" customHeight="1">
      <c r="D308" s="15"/>
      <c r="E308" s="15"/>
      <c r="F308" s="15"/>
      <c r="G308" s="15"/>
    </row>
    <row r="309" ht="16.5" customHeight="1">
      <c r="D309" s="15"/>
      <c r="E309" s="15"/>
      <c r="F309" s="15"/>
      <c r="G309" s="15"/>
    </row>
    <row r="310" ht="16.5" customHeight="1">
      <c r="D310" s="15"/>
      <c r="E310" s="15"/>
      <c r="F310" s="15"/>
      <c r="G310" s="15"/>
    </row>
    <row r="311" ht="16.5" customHeight="1">
      <c r="D311" s="15"/>
      <c r="E311" s="15"/>
      <c r="F311" s="15"/>
      <c r="G311" s="15"/>
    </row>
    <row r="312" ht="16.5" customHeight="1">
      <c r="D312" s="15"/>
      <c r="E312" s="15"/>
      <c r="F312" s="15"/>
      <c r="G312" s="15"/>
    </row>
    <row r="313" ht="16.5" customHeight="1">
      <c r="D313" s="15"/>
      <c r="E313" s="15"/>
      <c r="F313" s="15"/>
      <c r="G313" s="15"/>
    </row>
    <row r="314" ht="16.5" customHeight="1">
      <c r="D314" s="15"/>
      <c r="E314" s="15"/>
      <c r="F314" s="15"/>
      <c r="G314" s="15"/>
    </row>
    <row r="315" ht="16.5" customHeight="1">
      <c r="D315" s="15"/>
      <c r="E315" s="15"/>
      <c r="F315" s="15"/>
      <c r="G315" s="15"/>
    </row>
    <row r="316" ht="16.5" customHeight="1">
      <c r="D316" s="15"/>
      <c r="E316" s="15"/>
      <c r="F316" s="15"/>
      <c r="G316" s="15"/>
    </row>
    <row r="317" ht="16.5" customHeight="1">
      <c r="D317" s="15"/>
      <c r="E317" s="15"/>
      <c r="F317" s="15"/>
      <c r="G317" s="15"/>
    </row>
    <row r="318" ht="16.5" customHeight="1">
      <c r="D318" s="15"/>
      <c r="E318" s="15"/>
      <c r="F318" s="15"/>
      <c r="G318" s="15"/>
    </row>
    <row r="319" ht="16.5" customHeight="1">
      <c r="D319" s="15"/>
      <c r="E319" s="15"/>
      <c r="F319" s="15"/>
      <c r="G319" s="15"/>
    </row>
    <row r="320" ht="16.5" customHeight="1">
      <c r="D320" s="15"/>
      <c r="E320" s="15"/>
      <c r="F320" s="15"/>
      <c r="G320" s="15"/>
    </row>
    <row r="321" ht="16.5" customHeight="1">
      <c r="D321" s="15"/>
      <c r="E321" s="15"/>
      <c r="F321" s="15"/>
      <c r="G321" s="15"/>
    </row>
    <row r="322" ht="16.5" customHeight="1">
      <c r="D322" s="15"/>
      <c r="E322" s="15"/>
      <c r="F322" s="15"/>
      <c r="G322" s="15"/>
    </row>
    <row r="323" ht="16.5" customHeight="1">
      <c r="D323" s="15"/>
      <c r="E323" s="15"/>
      <c r="F323" s="15"/>
      <c r="G323" s="15"/>
    </row>
    <row r="324" ht="16.5" customHeight="1">
      <c r="D324" s="15"/>
      <c r="E324" s="15"/>
      <c r="F324" s="15"/>
      <c r="G324" s="15"/>
    </row>
    <row r="325" ht="16.5" customHeight="1">
      <c r="D325" s="15"/>
      <c r="E325" s="15"/>
      <c r="F325" s="15"/>
      <c r="G325" s="15"/>
    </row>
    <row r="326" ht="16.5" customHeight="1">
      <c r="D326" s="15"/>
      <c r="E326" s="15"/>
      <c r="F326" s="15"/>
      <c r="G326" s="15"/>
    </row>
    <row r="327" ht="16.5" customHeight="1">
      <c r="D327" s="15"/>
      <c r="E327" s="15"/>
      <c r="F327" s="15"/>
      <c r="G327" s="15"/>
    </row>
    <row r="328" ht="16.5" customHeight="1">
      <c r="D328" s="15"/>
      <c r="E328" s="15"/>
      <c r="F328" s="15"/>
      <c r="G328" s="15"/>
    </row>
    <row r="329" ht="16.5" customHeight="1">
      <c r="D329" s="15"/>
      <c r="E329" s="15"/>
      <c r="F329" s="15"/>
      <c r="G329" s="15"/>
    </row>
    <row r="330" ht="16.5" customHeight="1">
      <c r="D330" s="15"/>
      <c r="E330" s="15"/>
      <c r="F330" s="15"/>
      <c r="G330" s="15"/>
    </row>
    <row r="331" ht="16.5" customHeight="1">
      <c r="D331" s="15"/>
      <c r="E331" s="15"/>
      <c r="F331" s="15"/>
      <c r="G331" s="15"/>
    </row>
    <row r="332" ht="16.5" customHeight="1">
      <c r="D332" s="15"/>
      <c r="E332" s="15"/>
      <c r="F332" s="15"/>
      <c r="G332" s="15"/>
    </row>
    <row r="333" ht="16.5" customHeight="1">
      <c r="D333" s="15"/>
      <c r="E333" s="15"/>
      <c r="F333" s="15"/>
      <c r="G333" s="15"/>
    </row>
    <row r="334" ht="16.5" customHeight="1">
      <c r="D334" s="15"/>
      <c r="E334" s="15"/>
      <c r="F334" s="15"/>
      <c r="G334" s="15"/>
    </row>
    <row r="335" ht="16.5" customHeight="1">
      <c r="D335" s="15"/>
      <c r="E335" s="15"/>
      <c r="F335" s="15"/>
      <c r="G335" s="15"/>
    </row>
    <row r="336" ht="16.5" customHeight="1">
      <c r="D336" s="15"/>
      <c r="E336" s="15"/>
      <c r="F336" s="15"/>
      <c r="G336" s="15"/>
    </row>
    <row r="337" ht="16.5" customHeight="1">
      <c r="D337" s="15"/>
      <c r="E337" s="15"/>
      <c r="F337" s="15"/>
      <c r="G337" s="15"/>
    </row>
    <row r="338" ht="16.5" customHeight="1">
      <c r="D338" s="15"/>
      <c r="E338" s="15"/>
      <c r="F338" s="15"/>
      <c r="G338" s="15"/>
    </row>
    <row r="339" ht="16.5" customHeight="1">
      <c r="D339" s="15"/>
      <c r="E339" s="15"/>
      <c r="F339" s="15"/>
      <c r="G339" s="15"/>
    </row>
    <row r="340" ht="16.5" customHeight="1">
      <c r="D340" s="15"/>
      <c r="E340" s="15"/>
      <c r="F340" s="15"/>
      <c r="G340" s="15"/>
    </row>
    <row r="341" ht="16.5" customHeight="1">
      <c r="D341" s="15"/>
      <c r="E341" s="15"/>
      <c r="F341" s="15"/>
      <c r="G341" s="15"/>
    </row>
    <row r="342" ht="16.5" customHeight="1">
      <c r="D342" s="15"/>
      <c r="E342" s="15"/>
      <c r="F342" s="15"/>
      <c r="G342" s="15"/>
    </row>
    <row r="343" ht="16.5" customHeight="1">
      <c r="D343" s="15"/>
      <c r="E343" s="15"/>
      <c r="F343" s="15"/>
      <c r="G343" s="15"/>
    </row>
    <row r="344" ht="16.5" customHeight="1">
      <c r="D344" s="15"/>
      <c r="E344" s="15"/>
      <c r="F344" s="15"/>
      <c r="G344" s="15"/>
    </row>
    <row r="345" ht="16.5" customHeight="1">
      <c r="D345" s="15"/>
      <c r="E345" s="15"/>
      <c r="F345" s="15"/>
      <c r="G345" s="15"/>
    </row>
    <row r="346" ht="16.5" customHeight="1">
      <c r="D346" s="15"/>
      <c r="E346" s="15"/>
      <c r="F346" s="15"/>
      <c r="G346" s="15"/>
    </row>
    <row r="347" ht="16.5" customHeight="1">
      <c r="D347" s="15"/>
      <c r="E347" s="15"/>
      <c r="F347" s="15"/>
      <c r="G347" s="15"/>
    </row>
    <row r="348" ht="16.5" customHeight="1">
      <c r="D348" s="15"/>
      <c r="E348" s="15"/>
      <c r="F348" s="15"/>
      <c r="G348" s="15"/>
    </row>
    <row r="349" ht="16.5" customHeight="1">
      <c r="D349" s="15"/>
      <c r="E349" s="15"/>
      <c r="F349" s="15"/>
      <c r="G349" s="15"/>
    </row>
    <row r="350" ht="16.5" customHeight="1">
      <c r="D350" s="15"/>
      <c r="E350" s="15"/>
      <c r="F350" s="15"/>
      <c r="G350" s="15"/>
    </row>
    <row r="351" ht="16.5" customHeight="1">
      <c r="D351" s="15"/>
      <c r="E351" s="15"/>
      <c r="F351" s="15"/>
      <c r="G351" s="15"/>
    </row>
    <row r="352" ht="16.5" customHeight="1">
      <c r="D352" s="15"/>
      <c r="E352" s="15"/>
      <c r="F352" s="15"/>
      <c r="G352" s="15"/>
    </row>
    <row r="353" ht="16.5" customHeight="1">
      <c r="D353" s="15"/>
      <c r="E353" s="15"/>
      <c r="F353" s="15"/>
      <c r="G353" s="15"/>
    </row>
    <row r="354" ht="16.5" customHeight="1">
      <c r="D354" s="15"/>
      <c r="E354" s="15"/>
      <c r="F354" s="15"/>
      <c r="G354" s="15"/>
    </row>
    <row r="355" ht="16.5" customHeight="1">
      <c r="D355" s="15"/>
      <c r="E355" s="15"/>
      <c r="F355" s="15"/>
      <c r="G355" s="15"/>
    </row>
    <row r="356" ht="16.5" customHeight="1">
      <c r="D356" s="15"/>
      <c r="E356" s="15"/>
      <c r="F356" s="15"/>
      <c r="G356" s="15"/>
    </row>
    <row r="357" ht="16.5" customHeight="1">
      <c r="D357" s="15"/>
      <c r="E357" s="15"/>
      <c r="F357" s="15"/>
      <c r="G357" s="15"/>
    </row>
    <row r="358" ht="16.5" customHeight="1">
      <c r="D358" s="15"/>
      <c r="E358" s="15"/>
      <c r="F358" s="15"/>
      <c r="G358" s="15"/>
    </row>
    <row r="359" ht="16.5" customHeight="1">
      <c r="D359" s="15"/>
      <c r="E359" s="15"/>
      <c r="F359" s="15"/>
      <c r="G359" s="15"/>
    </row>
    <row r="360" ht="16.5" customHeight="1">
      <c r="D360" s="15"/>
      <c r="E360" s="15"/>
      <c r="F360" s="15"/>
      <c r="G360" s="15"/>
    </row>
    <row r="361" ht="16.5" customHeight="1">
      <c r="D361" s="15"/>
      <c r="E361" s="15"/>
      <c r="F361" s="15"/>
      <c r="G361" s="15"/>
    </row>
    <row r="362" ht="16.5" customHeight="1">
      <c r="D362" s="15"/>
      <c r="E362" s="15"/>
      <c r="F362" s="15"/>
      <c r="G362" s="15"/>
    </row>
    <row r="363" ht="16.5" customHeight="1">
      <c r="D363" s="15"/>
      <c r="E363" s="15"/>
      <c r="F363" s="15"/>
      <c r="G363" s="15"/>
    </row>
    <row r="364" ht="16.5" customHeight="1">
      <c r="D364" s="15"/>
      <c r="E364" s="15"/>
      <c r="F364" s="15"/>
      <c r="G364" s="15"/>
    </row>
    <row r="365" ht="16.5" customHeight="1">
      <c r="D365" s="15"/>
      <c r="E365" s="15"/>
      <c r="F365" s="15"/>
      <c r="G365" s="15"/>
    </row>
    <row r="366" ht="16.5" customHeight="1">
      <c r="D366" s="15"/>
      <c r="E366" s="15"/>
      <c r="F366" s="15"/>
      <c r="G366" s="15"/>
    </row>
    <row r="367" ht="16.5" customHeight="1">
      <c r="D367" s="15"/>
      <c r="E367" s="15"/>
      <c r="F367" s="15"/>
      <c r="G367" s="15"/>
    </row>
    <row r="368" ht="16.5" customHeight="1">
      <c r="D368" s="15"/>
      <c r="E368" s="15"/>
      <c r="F368" s="15"/>
      <c r="G368" s="15"/>
    </row>
    <row r="369" ht="16.5" customHeight="1">
      <c r="D369" s="15"/>
      <c r="E369" s="15"/>
      <c r="F369" s="15"/>
      <c r="G369" s="15"/>
    </row>
    <row r="370" ht="16.5" customHeight="1">
      <c r="D370" s="15"/>
      <c r="E370" s="15"/>
      <c r="F370" s="15"/>
      <c r="G370" s="15"/>
    </row>
    <row r="371" ht="16.5" customHeight="1">
      <c r="D371" s="15"/>
      <c r="E371" s="15"/>
      <c r="F371" s="15"/>
      <c r="G371" s="15"/>
    </row>
    <row r="372" ht="16.5" customHeight="1">
      <c r="D372" s="15"/>
      <c r="E372" s="15"/>
      <c r="F372" s="15"/>
      <c r="G372" s="15"/>
    </row>
    <row r="373" ht="16.5" customHeight="1">
      <c r="D373" s="15"/>
      <c r="E373" s="15"/>
      <c r="F373" s="15"/>
      <c r="G373" s="15"/>
    </row>
    <row r="374" ht="16.5" customHeight="1">
      <c r="D374" s="15"/>
      <c r="E374" s="15"/>
      <c r="F374" s="15"/>
      <c r="G374" s="15"/>
    </row>
    <row r="375" ht="16.5" customHeight="1">
      <c r="D375" s="15"/>
      <c r="E375" s="15"/>
      <c r="F375" s="15"/>
      <c r="G375" s="15"/>
    </row>
    <row r="376" ht="16.5" customHeight="1">
      <c r="D376" s="15"/>
      <c r="E376" s="15"/>
      <c r="F376" s="15"/>
      <c r="G376" s="15"/>
    </row>
    <row r="377" ht="16.5" customHeight="1">
      <c r="D377" s="15"/>
      <c r="E377" s="15"/>
      <c r="F377" s="15"/>
      <c r="G377" s="15"/>
    </row>
    <row r="378" ht="16.5" customHeight="1">
      <c r="D378" s="15"/>
      <c r="E378" s="15"/>
      <c r="F378" s="15"/>
      <c r="G378" s="15"/>
    </row>
    <row r="379" ht="16.5" customHeight="1">
      <c r="D379" s="15"/>
      <c r="E379" s="15"/>
      <c r="F379" s="15"/>
      <c r="G379" s="15"/>
    </row>
    <row r="380" ht="16.5" customHeight="1">
      <c r="D380" s="15"/>
      <c r="E380" s="15"/>
      <c r="F380" s="15"/>
      <c r="G380" s="15"/>
    </row>
    <row r="381" ht="16.5" customHeight="1">
      <c r="D381" s="15"/>
      <c r="E381" s="15"/>
      <c r="F381" s="15"/>
      <c r="G381" s="15"/>
    </row>
    <row r="382" ht="16.5" customHeight="1">
      <c r="D382" s="15"/>
      <c r="E382" s="15"/>
      <c r="F382" s="15"/>
      <c r="G382" s="15"/>
    </row>
    <row r="383" ht="16.5" customHeight="1">
      <c r="D383" s="15"/>
      <c r="E383" s="15"/>
      <c r="F383" s="15"/>
      <c r="G383" s="15"/>
    </row>
    <row r="384" ht="16.5" customHeight="1">
      <c r="D384" s="15"/>
      <c r="E384" s="15"/>
      <c r="F384" s="15"/>
      <c r="G384" s="15"/>
    </row>
    <row r="385" ht="16.5" customHeight="1">
      <c r="D385" s="15"/>
      <c r="E385" s="15"/>
      <c r="F385" s="15"/>
      <c r="G385" s="15"/>
    </row>
    <row r="386" ht="16.5" customHeight="1">
      <c r="D386" s="15"/>
      <c r="E386" s="15"/>
      <c r="F386" s="15"/>
      <c r="G386" s="15"/>
    </row>
    <row r="387" ht="16.5" customHeight="1">
      <c r="D387" s="15"/>
      <c r="E387" s="15"/>
      <c r="F387" s="15"/>
      <c r="G387" s="15"/>
    </row>
    <row r="388" ht="16.5" customHeight="1">
      <c r="D388" s="15"/>
      <c r="E388" s="15"/>
      <c r="F388" s="15"/>
      <c r="G388" s="15"/>
    </row>
    <row r="389" ht="16.5" customHeight="1">
      <c r="D389" s="15"/>
      <c r="E389" s="15"/>
      <c r="F389" s="15"/>
      <c r="G389" s="15"/>
    </row>
    <row r="390" ht="16.5" customHeight="1">
      <c r="D390" s="15"/>
      <c r="E390" s="15"/>
      <c r="F390" s="15"/>
      <c r="G390" s="15"/>
    </row>
    <row r="391" ht="16.5" customHeight="1">
      <c r="D391" s="15"/>
      <c r="E391" s="15"/>
      <c r="F391" s="15"/>
      <c r="G391" s="15"/>
    </row>
    <row r="392" ht="16.5" customHeight="1">
      <c r="D392" s="15"/>
      <c r="E392" s="15"/>
      <c r="F392" s="15"/>
      <c r="G392" s="15"/>
    </row>
    <row r="393" ht="16.5" customHeight="1">
      <c r="D393" s="15"/>
      <c r="E393" s="15"/>
      <c r="F393" s="15"/>
      <c r="G393" s="15"/>
    </row>
    <row r="394" ht="16.5" customHeight="1">
      <c r="D394" s="15"/>
      <c r="E394" s="15"/>
      <c r="F394" s="15"/>
      <c r="G394" s="15"/>
    </row>
    <row r="395" ht="16.5" customHeight="1">
      <c r="D395" s="15"/>
      <c r="E395" s="15"/>
      <c r="F395" s="15"/>
      <c r="G395" s="15"/>
    </row>
    <row r="396" ht="16.5" customHeight="1">
      <c r="D396" s="15"/>
      <c r="E396" s="15"/>
      <c r="F396" s="15"/>
      <c r="G396" s="15"/>
    </row>
    <row r="397" ht="16.5" customHeight="1">
      <c r="D397" s="15"/>
      <c r="E397" s="15"/>
      <c r="F397" s="15"/>
      <c r="G397" s="15"/>
    </row>
    <row r="398" ht="16.5" customHeight="1">
      <c r="D398" s="15"/>
      <c r="E398" s="15"/>
      <c r="F398" s="15"/>
      <c r="G398" s="15"/>
    </row>
    <row r="399" ht="16.5" customHeight="1">
      <c r="D399" s="15"/>
      <c r="E399" s="15"/>
      <c r="F399" s="15"/>
      <c r="G399" s="15"/>
    </row>
    <row r="400" ht="16.5" customHeight="1">
      <c r="D400" s="15"/>
      <c r="E400" s="15"/>
      <c r="F400" s="15"/>
      <c r="G400" s="15"/>
    </row>
    <row r="401" ht="16.5" customHeight="1">
      <c r="D401" s="15"/>
      <c r="E401" s="15"/>
      <c r="F401" s="15"/>
      <c r="G401" s="15"/>
    </row>
    <row r="402" ht="16.5" customHeight="1">
      <c r="D402" s="15"/>
      <c r="E402" s="15"/>
      <c r="F402" s="15"/>
      <c r="G402" s="15"/>
    </row>
    <row r="403" ht="16.5" customHeight="1">
      <c r="D403" s="15"/>
      <c r="E403" s="15"/>
      <c r="F403" s="15"/>
      <c r="G403" s="15"/>
    </row>
    <row r="404" ht="16.5" customHeight="1">
      <c r="D404" s="15"/>
      <c r="E404" s="15"/>
      <c r="F404" s="15"/>
      <c r="G404" s="15"/>
    </row>
    <row r="405" ht="16.5" customHeight="1">
      <c r="D405" s="15"/>
      <c r="E405" s="15"/>
      <c r="F405" s="15"/>
      <c r="G405" s="15"/>
    </row>
    <row r="406" ht="16.5" customHeight="1">
      <c r="D406" s="15"/>
      <c r="E406" s="15"/>
      <c r="F406" s="15"/>
      <c r="G406" s="15"/>
    </row>
    <row r="407" ht="16.5" customHeight="1">
      <c r="D407" s="15"/>
      <c r="E407" s="15"/>
      <c r="F407" s="15"/>
      <c r="G407" s="15"/>
    </row>
    <row r="408" ht="16.5" customHeight="1">
      <c r="D408" s="15"/>
      <c r="E408" s="15"/>
      <c r="F408" s="15"/>
      <c r="G408" s="15"/>
    </row>
    <row r="409" ht="16.5" customHeight="1">
      <c r="D409" s="15"/>
      <c r="E409" s="15"/>
      <c r="F409" s="15"/>
      <c r="G409" s="15"/>
    </row>
    <row r="410" ht="16.5" customHeight="1">
      <c r="D410" s="15"/>
      <c r="E410" s="15"/>
      <c r="F410" s="15"/>
      <c r="G410" s="15"/>
    </row>
    <row r="411" ht="16.5" customHeight="1">
      <c r="D411" s="15"/>
      <c r="E411" s="15"/>
      <c r="F411" s="15"/>
      <c r="G411" s="15"/>
    </row>
    <row r="412" ht="16.5" customHeight="1">
      <c r="D412" s="15"/>
      <c r="E412" s="15"/>
      <c r="F412" s="15"/>
      <c r="G412" s="15"/>
    </row>
    <row r="413" ht="16.5" customHeight="1">
      <c r="D413" s="15"/>
      <c r="E413" s="15"/>
      <c r="F413" s="15"/>
      <c r="G413" s="15"/>
    </row>
    <row r="414" ht="16.5" customHeight="1">
      <c r="D414" s="15"/>
      <c r="E414" s="15"/>
      <c r="F414" s="15"/>
      <c r="G414" s="15"/>
    </row>
    <row r="415" ht="16.5" customHeight="1">
      <c r="D415" s="15"/>
      <c r="E415" s="15"/>
      <c r="F415" s="15"/>
      <c r="G415" s="15"/>
    </row>
    <row r="416" ht="16.5" customHeight="1">
      <c r="D416" s="15"/>
      <c r="E416" s="15"/>
      <c r="F416" s="15"/>
      <c r="G416" s="15"/>
    </row>
    <row r="417" ht="16.5" customHeight="1">
      <c r="D417" s="15"/>
      <c r="E417" s="15"/>
      <c r="F417" s="15"/>
      <c r="G417" s="15"/>
    </row>
    <row r="418" ht="16.5" customHeight="1">
      <c r="D418" s="15"/>
      <c r="E418" s="15"/>
      <c r="F418" s="15"/>
      <c r="G418" s="15"/>
    </row>
    <row r="419" ht="16.5" customHeight="1">
      <c r="D419" s="15"/>
      <c r="E419" s="15"/>
      <c r="F419" s="15"/>
      <c r="G419" s="15"/>
    </row>
    <row r="420" ht="16.5" customHeight="1">
      <c r="D420" s="15"/>
      <c r="E420" s="15"/>
      <c r="F420" s="15"/>
      <c r="G420" s="15"/>
    </row>
    <row r="421" ht="16.5" customHeight="1">
      <c r="D421" s="15"/>
      <c r="E421" s="15"/>
      <c r="F421" s="15"/>
      <c r="G421" s="15"/>
    </row>
    <row r="422" ht="16.5" customHeight="1">
      <c r="D422" s="15"/>
      <c r="E422" s="15"/>
      <c r="F422" s="15"/>
      <c r="G422" s="15"/>
    </row>
    <row r="423" ht="16.5" customHeight="1">
      <c r="D423" s="15"/>
      <c r="E423" s="15"/>
      <c r="F423" s="15"/>
      <c r="G423" s="15"/>
    </row>
    <row r="424" ht="16.5" customHeight="1">
      <c r="D424" s="15"/>
      <c r="E424" s="15"/>
      <c r="F424" s="15"/>
      <c r="G424" s="15"/>
    </row>
    <row r="425" ht="16.5" customHeight="1">
      <c r="D425" s="15"/>
      <c r="E425" s="15"/>
      <c r="F425" s="15"/>
      <c r="G425" s="15"/>
    </row>
    <row r="426" ht="16.5" customHeight="1">
      <c r="D426" s="15"/>
      <c r="E426" s="15"/>
      <c r="F426" s="15"/>
      <c r="G426" s="15"/>
    </row>
    <row r="427" ht="16.5" customHeight="1">
      <c r="D427" s="15"/>
      <c r="E427" s="15"/>
      <c r="F427" s="15"/>
      <c r="G427" s="15"/>
    </row>
    <row r="428" ht="16.5" customHeight="1">
      <c r="D428" s="15"/>
      <c r="E428" s="15"/>
      <c r="F428" s="15"/>
      <c r="G428" s="15"/>
    </row>
    <row r="429" ht="16.5" customHeight="1">
      <c r="D429" s="15"/>
      <c r="E429" s="15"/>
      <c r="F429" s="15"/>
      <c r="G429" s="15"/>
    </row>
    <row r="430" ht="16.5" customHeight="1">
      <c r="D430" s="15"/>
      <c r="E430" s="15"/>
      <c r="F430" s="15"/>
      <c r="G430" s="15"/>
    </row>
    <row r="431" ht="16.5" customHeight="1">
      <c r="D431" s="15"/>
      <c r="E431" s="15"/>
      <c r="F431" s="15"/>
      <c r="G431" s="15"/>
    </row>
    <row r="432" ht="16.5" customHeight="1">
      <c r="D432" s="15"/>
      <c r="E432" s="15"/>
      <c r="F432" s="15"/>
      <c r="G432" s="15"/>
    </row>
    <row r="433" ht="16.5" customHeight="1">
      <c r="D433" s="15"/>
      <c r="E433" s="15"/>
      <c r="F433" s="15"/>
      <c r="G433" s="15"/>
    </row>
    <row r="434" ht="16.5" customHeight="1">
      <c r="D434" s="15"/>
      <c r="E434" s="15"/>
      <c r="F434" s="15"/>
      <c r="G434" s="15"/>
    </row>
    <row r="435" ht="16.5" customHeight="1">
      <c r="D435" s="15"/>
      <c r="E435" s="15"/>
      <c r="F435" s="15"/>
      <c r="G435" s="15"/>
    </row>
    <row r="436" ht="16.5" customHeight="1">
      <c r="D436" s="15"/>
      <c r="E436" s="15"/>
      <c r="F436" s="15"/>
      <c r="G436" s="15"/>
    </row>
    <row r="437" ht="16.5" customHeight="1">
      <c r="D437" s="15"/>
      <c r="E437" s="15"/>
      <c r="F437" s="15"/>
      <c r="G437" s="15"/>
    </row>
    <row r="438" ht="16.5" customHeight="1">
      <c r="D438" s="15"/>
      <c r="E438" s="15"/>
      <c r="F438" s="15"/>
      <c r="G438" s="15"/>
    </row>
    <row r="439" ht="16.5" customHeight="1">
      <c r="D439" s="15"/>
      <c r="E439" s="15"/>
      <c r="F439" s="15"/>
      <c r="G439" s="15"/>
    </row>
    <row r="440" ht="16.5" customHeight="1">
      <c r="D440" s="15"/>
      <c r="E440" s="15"/>
      <c r="F440" s="15"/>
      <c r="G440" s="15"/>
    </row>
    <row r="441" ht="16.5" customHeight="1">
      <c r="D441" s="15"/>
      <c r="E441" s="15"/>
      <c r="F441" s="15"/>
      <c r="G441" s="15"/>
    </row>
    <row r="442" ht="16.5" customHeight="1">
      <c r="D442" s="15"/>
      <c r="E442" s="15"/>
      <c r="F442" s="15"/>
      <c r="G442" s="15"/>
    </row>
    <row r="443" ht="16.5" customHeight="1">
      <c r="D443" s="15"/>
      <c r="E443" s="15"/>
      <c r="F443" s="15"/>
      <c r="G443" s="15"/>
    </row>
    <row r="444" ht="16.5" customHeight="1">
      <c r="D444" s="15"/>
      <c r="E444" s="15"/>
      <c r="F444" s="15"/>
      <c r="G444" s="15"/>
    </row>
    <row r="445" ht="16.5" customHeight="1">
      <c r="D445" s="15"/>
      <c r="E445" s="15"/>
      <c r="F445" s="15"/>
      <c r="G445" s="15"/>
    </row>
    <row r="446" ht="16.5" customHeight="1">
      <c r="D446" s="15"/>
      <c r="E446" s="15"/>
      <c r="F446" s="15"/>
      <c r="G446" s="15"/>
    </row>
    <row r="447" ht="16.5" customHeight="1">
      <c r="D447" s="15"/>
      <c r="E447" s="15"/>
      <c r="F447" s="15"/>
      <c r="G447" s="15"/>
    </row>
    <row r="448" ht="16.5" customHeight="1">
      <c r="D448" s="15"/>
      <c r="E448" s="15"/>
      <c r="F448" s="15"/>
      <c r="G448" s="15"/>
    </row>
    <row r="449" ht="16.5" customHeight="1">
      <c r="D449" s="15"/>
      <c r="E449" s="15"/>
      <c r="F449" s="15"/>
      <c r="G449" s="15"/>
    </row>
    <row r="450" ht="16.5" customHeight="1">
      <c r="D450" s="15"/>
      <c r="E450" s="15"/>
      <c r="F450" s="15"/>
      <c r="G450" s="15"/>
    </row>
    <row r="451" ht="16.5" customHeight="1">
      <c r="D451" s="15"/>
      <c r="E451" s="15"/>
      <c r="F451" s="15"/>
      <c r="G451" s="15"/>
    </row>
    <row r="452" ht="16.5" customHeight="1">
      <c r="D452" s="15"/>
      <c r="E452" s="15"/>
      <c r="F452" s="15"/>
      <c r="G452" s="15"/>
    </row>
    <row r="453" ht="16.5" customHeight="1">
      <c r="D453" s="15"/>
      <c r="E453" s="15"/>
      <c r="F453" s="15"/>
      <c r="G453" s="15"/>
    </row>
    <row r="454" ht="16.5" customHeight="1">
      <c r="D454" s="15"/>
      <c r="E454" s="15"/>
      <c r="F454" s="15"/>
      <c r="G454" s="15"/>
    </row>
    <row r="455" ht="16.5" customHeight="1">
      <c r="D455" s="15"/>
      <c r="E455" s="15"/>
      <c r="F455" s="15"/>
      <c r="G455" s="15"/>
    </row>
    <row r="456" ht="16.5" customHeight="1">
      <c r="D456" s="15"/>
      <c r="E456" s="15"/>
      <c r="F456" s="15"/>
      <c r="G456" s="15"/>
    </row>
    <row r="457" ht="16.5" customHeight="1">
      <c r="D457" s="15"/>
      <c r="E457" s="15"/>
      <c r="F457" s="15"/>
      <c r="G457" s="15"/>
    </row>
    <row r="458" ht="16.5" customHeight="1">
      <c r="D458" s="15"/>
      <c r="E458" s="15"/>
      <c r="F458" s="15"/>
      <c r="G458" s="15"/>
    </row>
    <row r="459" ht="16.5" customHeight="1">
      <c r="D459" s="15"/>
      <c r="E459" s="15"/>
      <c r="F459" s="15"/>
      <c r="G459" s="15"/>
    </row>
    <row r="460" ht="16.5" customHeight="1">
      <c r="D460" s="15"/>
      <c r="E460" s="15"/>
      <c r="F460" s="15"/>
      <c r="G460" s="15"/>
    </row>
    <row r="461" ht="16.5" customHeight="1">
      <c r="D461" s="15"/>
      <c r="E461" s="15"/>
      <c r="F461" s="15"/>
      <c r="G461" s="15"/>
    </row>
    <row r="462" ht="16.5" customHeight="1">
      <c r="D462" s="15"/>
      <c r="E462" s="15"/>
      <c r="F462" s="15"/>
      <c r="G462" s="15"/>
    </row>
    <row r="463" ht="16.5" customHeight="1">
      <c r="D463" s="15"/>
      <c r="E463" s="15"/>
      <c r="F463" s="15"/>
      <c r="G463" s="15"/>
    </row>
    <row r="464" ht="16.5" customHeight="1">
      <c r="D464" s="15"/>
      <c r="E464" s="15"/>
      <c r="F464" s="15"/>
      <c r="G464" s="15"/>
    </row>
    <row r="465" ht="16.5" customHeight="1">
      <c r="D465" s="15"/>
      <c r="E465" s="15"/>
      <c r="F465" s="15"/>
      <c r="G465" s="15"/>
    </row>
    <row r="466" ht="16.5" customHeight="1">
      <c r="D466" s="15"/>
      <c r="E466" s="15"/>
      <c r="F466" s="15"/>
      <c r="G466" s="15"/>
    </row>
    <row r="467" ht="16.5" customHeight="1">
      <c r="D467" s="15"/>
      <c r="E467" s="15"/>
      <c r="F467" s="15"/>
      <c r="G467" s="15"/>
    </row>
    <row r="468" ht="16.5" customHeight="1">
      <c r="D468" s="15"/>
      <c r="E468" s="15"/>
      <c r="F468" s="15"/>
      <c r="G468" s="15"/>
    </row>
    <row r="469" ht="16.5" customHeight="1">
      <c r="D469" s="15"/>
      <c r="E469" s="15"/>
      <c r="F469" s="15"/>
      <c r="G469" s="15"/>
    </row>
    <row r="470" ht="16.5" customHeight="1">
      <c r="D470" s="15"/>
      <c r="E470" s="15"/>
      <c r="F470" s="15"/>
      <c r="G470" s="15"/>
    </row>
    <row r="471" ht="16.5" customHeight="1">
      <c r="D471" s="15"/>
      <c r="E471" s="15"/>
      <c r="F471" s="15"/>
      <c r="G471" s="15"/>
    </row>
    <row r="472" ht="16.5" customHeight="1">
      <c r="D472" s="15"/>
      <c r="E472" s="15"/>
      <c r="F472" s="15"/>
      <c r="G472" s="15"/>
    </row>
    <row r="473" ht="16.5" customHeight="1">
      <c r="D473" s="15"/>
      <c r="E473" s="15"/>
      <c r="F473" s="15"/>
      <c r="G473" s="15"/>
    </row>
    <row r="474" ht="16.5" customHeight="1">
      <c r="D474" s="15"/>
      <c r="E474" s="15"/>
      <c r="F474" s="15"/>
      <c r="G474" s="15"/>
    </row>
    <row r="475" ht="16.5" customHeight="1">
      <c r="D475" s="15"/>
      <c r="E475" s="15"/>
      <c r="F475" s="15"/>
      <c r="G475" s="15"/>
    </row>
    <row r="476" ht="16.5" customHeight="1">
      <c r="D476" s="15"/>
      <c r="E476" s="15"/>
      <c r="F476" s="15"/>
      <c r="G476" s="15"/>
    </row>
    <row r="477" ht="16.5" customHeight="1">
      <c r="D477" s="15"/>
      <c r="E477" s="15"/>
      <c r="F477" s="15"/>
      <c r="G477" s="15"/>
    </row>
    <row r="478" ht="16.5" customHeight="1">
      <c r="D478" s="15"/>
      <c r="E478" s="15"/>
      <c r="F478" s="15"/>
      <c r="G478" s="15"/>
    </row>
    <row r="479" ht="16.5" customHeight="1">
      <c r="D479" s="15"/>
      <c r="E479" s="15"/>
      <c r="F479" s="15"/>
      <c r="G479" s="15"/>
    </row>
    <row r="480" ht="16.5" customHeight="1">
      <c r="D480" s="15"/>
      <c r="E480" s="15"/>
      <c r="F480" s="15"/>
      <c r="G480" s="15"/>
    </row>
    <row r="481" ht="16.5" customHeight="1">
      <c r="D481" s="15"/>
      <c r="E481" s="15"/>
      <c r="F481" s="15"/>
      <c r="G481" s="15"/>
    </row>
    <row r="482" ht="16.5" customHeight="1">
      <c r="D482" s="15"/>
      <c r="E482" s="15"/>
      <c r="F482" s="15"/>
      <c r="G482" s="15"/>
    </row>
    <row r="483" ht="16.5" customHeight="1">
      <c r="D483" s="15"/>
      <c r="E483" s="15"/>
      <c r="F483" s="15"/>
      <c r="G483" s="15"/>
    </row>
    <row r="484" ht="16.5" customHeight="1">
      <c r="D484" s="15"/>
      <c r="E484" s="15"/>
      <c r="F484" s="15"/>
      <c r="G484" s="15"/>
    </row>
    <row r="485" ht="16.5" customHeight="1">
      <c r="D485" s="15"/>
      <c r="E485" s="15"/>
      <c r="F485" s="15"/>
      <c r="G485" s="15"/>
    </row>
    <row r="486" ht="16.5" customHeight="1">
      <c r="D486" s="15"/>
      <c r="E486" s="15"/>
      <c r="F486" s="15"/>
      <c r="G486" s="15"/>
    </row>
    <row r="487" ht="16.5" customHeight="1">
      <c r="D487" s="15"/>
      <c r="E487" s="15"/>
      <c r="F487" s="15"/>
      <c r="G487" s="15"/>
    </row>
    <row r="488" ht="16.5" customHeight="1">
      <c r="D488" s="15"/>
      <c r="E488" s="15"/>
      <c r="F488" s="15"/>
      <c r="G488" s="15"/>
    </row>
    <row r="489" ht="16.5" customHeight="1">
      <c r="D489" s="15"/>
      <c r="E489" s="15"/>
      <c r="F489" s="15"/>
      <c r="G489" s="15"/>
    </row>
    <row r="490" ht="16.5" customHeight="1">
      <c r="D490" s="15"/>
      <c r="E490" s="15"/>
      <c r="F490" s="15"/>
      <c r="G490" s="15"/>
    </row>
    <row r="491" ht="16.5" customHeight="1">
      <c r="D491" s="15"/>
      <c r="E491" s="15"/>
      <c r="F491" s="15"/>
      <c r="G491" s="15"/>
    </row>
    <row r="492" ht="16.5" customHeight="1">
      <c r="D492" s="15"/>
      <c r="E492" s="15"/>
      <c r="F492" s="15"/>
      <c r="G492" s="15"/>
    </row>
    <row r="493" ht="16.5" customHeight="1">
      <c r="D493" s="15"/>
      <c r="E493" s="15"/>
      <c r="F493" s="15"/>
      <c r="G493" s="15"/>
    </row>
    <row r="494" ht="16.5" customHeight="1">
      <c r="D494" s="15"/>
      <c r="E494" s="15"/>
      <c r="F494" s="15"/>
      <c r="G494" s="15"/>
    </row>
    <row r="495" ht="16.5" customHeight="1">
      <c r="D495" s="15"/>
      <c r="E495" s="15"/>
      <c r="F495" s="15"/>
      <c r="G495" s="15"/>
    </row>
    <row r="496" ht="16.5" customHeight="1">
      <c r="D496" s="15"/>
      <c r="E496" s="15"/>
      <c r="F496" s="15"/>
      <c r="G496" s="15"/>
    </row>
    <row r="497" ht="16.5" customHeight="1">
      <c r="D497" s="15"/>
      <c r="E497" s="15"/>
      <c r="F497" s="15"/>
      <c r="G497" s="15"/>
    </row>
    <row r="498" ht="16.5" customHeight="1">
      <c r="D498" s="15"/>
      <c r="E498" s="15"/>
      <c r="F498" s="15"/>
      <c r="G498" s="15"/>
    </row>
    <row r="499" ht="16.5" customHeight="1">
      <c r="D499" s="15"/>
      <c r="E499" s="15"/>
      <c r="F499" s="15"/>
      <c r="G499" s="15"/>
    </row>
    <row r="500" ht="16.5" customHeight="1">
      <c r="D500" s="15"/>
      <c r="E500" s="15"/>
      <c r="F500" s="15"/>
      <c r="G500" s="15"/>
    </row>
    <row r="501" ht="16.5" customHeight="1">
      <c r="D501" s="15"/>
      <c r="E501" s="15"/>
      <c r="F501" s="15"/>
      <c r="G501" s="15"/>
    </row>
    <row r="502" ht="16.5" customHeight="1">
      <c r="D502" s="15"/>
      <c r="E502" s="15"/>
      <c r="F502" s="15"/>
      <c r="G502" s="15"/>
    </row>
    <row r="503" ht="16.5" customHeight="1">
      <c r="D503" s="15"/>
      <c r="E503" s="15"/>
      <c r="F503" s="15"/>
      <c r="G503" s="15"/>
    </row>
    <row r="504" ht="16.5" customHeight="1">
      <c r="D504" s="15"/>
      <c r="E504" s="15"/>
      <c r="F504" s="15"/>
      <c r="G504" s="15"/>
    </row>
    <row r="505" ht="16.5" customHeight="1">
      <c r="D505" s="15"/>
      <c r="E505" s="15"/>
      <c r="F505" s="15"/>
      <c r="G505" s="15"/>
    </row>
    <row r="506" ht="16.5" customHeight="1">
      <c r="D506" s="15"/>
      <c r="E506" s="15"/>
      <c r="F506" s="15"/>
      <c r="G506" s="15"/>
    </row>
    <row r="507" ht="16.5" customHeight="1">
      <c r="D507" s="15"/>
      <c r="E507" s="15"/>
      <c r="F507" s="15"/>
      <c r="G507" s="15"/>
    </row>
    <row r="508" ht="16.5" customHeight="1">
      <c r="D508" s="15"/>
      <c r="E508" s="15"/>
      <c r="F508" s="15"/>
      <c r="G508" s="15"/>
    </row>
    <row r="509" ht="16.5" customHeight="1">
      <c r="D509" s="15"/>
      <c r="E509" s="15"/>
      <c r="F509" s="15"/>
      <c r="G509" s="15"/>
    </row>
    <row r="510" ht="16.5" customHeight="1">
      <c r="D510" s="15"/>
      <c r="E510" s="15"/>
      <c r="F510" s="15"/>
      <c r="G510" s="15"/>
    </row>
    <row r="511" ht="16.5" customHeight="1">
      <c r="D511" s="15"/>
      <c r="E511" s="15"/>
      <c r="F511" s="15"/>
      <c r="G511" s="15"/>
    </row>
    <row r="512" ht="16.5" customHeight="1">
      <c r="D512" s="15"/>
      <c r="E512" s="15"/>
      <c r="F512" s="15"/>
      <c r="G512" s="15"/>
    </row>
    <row r="513" ht="16.5" customHeight="1">
      <c r="D513" s="15"/>
      <c r="E513" s="15"/>
      <c r="F513" s="15"/>
      <c r="G513" s="15"/>
    </row>
    <row r="514" ht="16.5" customHeight="1">
      <c r="D514" s="15"/>
      <c r="E514" s="15"/>
      <c r="F514" s="15"/>
      <c r="G514" s="15"/>
    </row>
    <row r="515" ht="16.5" customHeight="1">
      <c r="D515" s="15"/>
      <c r="E515" s="15"/>
      <c r="F515" s="15"/>
      <c r="G515" s="15"/>
    </row>
    <row r="516" ht="16.5" customHeight="1">
      <c r="D516" s="15"/>
      <c r="E516" s="15"/>
      <c r="F516" s="15"/>
      <c r="G516" s="15"/>
    </row>
    <row r="517" ht="16.5" customHeight="1">
      <c r="D517" s="15"/>
      <c r="E517" s="15"/>
      <c r="F517" s="15"/>
      <c r="G517" s="15"/>
    </row>
    <row r="518" ht="16.5" customHeight="1">
      <c r="D518" s="15"/>
      <c r="E518" s="15"/>
      <c r="F518" s="15"/>
      <c r="G518" s="15"/>
    </row>
    <row r="519" ht="16.5" customHeight="1">
      <c r="D519" s="15"/>
      <c r="E519" s="15"/>
      <c r="F519" s="15"/>
      <c r="G519" s="15"/>
    </row>
    <row r="520" ht="16.5" customHeight="1">
      <c r="D520" s="15"/>
      <c r="E520" s="15"/>
      <c r="F520" s="15"/>
      <c r="G520" s="15"/>
    </row>
    <row r="521" ht="16.5" customHeight="1">
      <c r="D521" s="15"/>
      <c r="E521" s="15"/>
      <c r="F521" s="15"/>
      <c r="G521" s="15"/>
    </row>
    <row r="522" ht="16.5" customHeight="1">
      <c r="D522" s="15"/>
      <c r="E522" s="15"/>
      <c r="F522" s="15"/>
      <c r="G522" s="15"/>
    </row>
    <row r="523" ht="16.5" customHeight="1">
      <c r="D523" s="15"/>
      <c r="E523" s="15"/>
      <c r="F523" s="15"/>
      <c r="G523" s="15"/>
    </row>
    <row r="524" ht="16.5" customHeight="1">
      <c r="D524" s="15"/>
      <c r="E524" s="15"/>
      <c r="F524" s="15"/>
      <c r="G524" s="15"/>
    </row>
    <row r="525" ht="16.5" customHeight="1">
      <c r="D525" s="15"/>
      <c r="E525" s="15"/>
      <c r="F525" s="15"/>
      <c r="G525" s="15"/>
    </row>
    <row r="526" ht="16.5" customHeight="1">
      <c r="D526" s="15"/>
      <c r="E526" s="15"/>
      <c r="F526" s="15"/>
      <c r="G526" s="15"/>
    </row>
    <row r="527" ht="16.5" customHeight="1">
      <c r="D527" s="15"/>
      <c r="E527" s="15"/>
      <c r="F527" s="15"/>
      <c r="G527" s="15"/>
    </row>
    <row r="528" ht="16.5" customHeight="1">
      <c r="D528" s="15"/>
      <c r="E528" s="15"/>
      <c r="F528" s="15"/>
      <c r="G528" s="15"/>
    </row>
    <row r="529" ht="16.5" customHeight="1">
      <c r="D529" s="15"/>
      <c r="E529" s="15"/>
      <c r="F529" s="15"/>
      <c r="G529" s="15"/>
    </row>
    <row r="530" ht="16.5" customHeight="1">
      <c r="D530" s="15"/>
      <c r="E530" s="15"/>
      <c r="F530" s="15"/>
      <c r="G530" s="15"/>
    </row>
    <row r="531" ht="16.5" customHeight="1">
      <c r="D531" s="15"/>
      <c r="E531" s="15"/>
      <c r="F531" s="15"/>
      <c r="G531" s="15"/>
    </row>
    <row r="532" ht="16.5" customHeight="1">
      <c r="D532" s="15"/>
      <c r="E532" s="15"/>
      <c r="F532" s="15"/>
      <c r="G532" s="15"/>
    </row>
    <row r="533" ht="16.5" customHeight="1">
      <c r="D533" s="15"/>
      <c r="E533" s="15"/>
      <c r="F533" s="15"/>
      <c r="G533" s="15"/>
    </row>
    <row r="534" ht="16.5" customHeight="1">
      <c r="D534" s="15"/>
      <c r="E534" s="15"/>
      <c r="F534" s="15"/>
      <c r="G534" s="15"/>
    </row>
    <row r="535" ht="16.5" customHeight="1">
      <c r="D535" s="15"/>
      <c r="E535" s="15"/>
      <c r="F535" s="15"/>
      <c r="G535" s="15"/>
    </row>
    <row r="536" ht="16.5" customHeight="1">
      <c r="D536" s="15"/>
      <c r="E536" s="15"/>
      <c r="F536" s="15"/>
      <c r="G536" s="15"/>
    </row>
    <row r="537" ht="16.5" customHeight="1">
      <c r="D537" s="15"/>
      <c r="E537" s="15"/>
      <c r="F537" s="15"/>
      <c r="G537" s="15"/>
    </row>
    <row r="538" ht="16.5" customHeight="1">
      <c r="D538" s="15"/>
      <c r="E538" s="15"/>
      <c r="F538" s="15"/>
      <c r="G538" s="15"/>
    </row>
    <row r="539" ht="16.5" customHeight="1">
      <c r="D539" s="15"/>
      <c r="E539" s="15"/>
      <c r="F539" s="15"/>
      <c r="G539" s="15"/>
    </row>
    <row r="540" ht="16.5" customHeight="1">
      <c r="D540" s="15"/>
      <c r="E540" s="15"/>
      <c r="F540" s="15"/>
      <c r="G540" s="15"/>
    </row>
    <row r="541" ht="16.5" customHeight="1">
      <c r="D541" s="15"/>
      <c r="E541" s="15"/>
      <c r="F541" s="15"/>
      <c r="G541" s="15"/>
    </row>
    <row r="542" ht="16.5" customHeight="1">
      <c r="D542" s="15"/>
      <c r="E542" s="15"/>
      <c r="F542" s="15"/>
      <c r="G542" s="15"/>
    </row>
    <row r="543" ht="16.5" customHeight="1">
      <c r="D543" s="15"/>
      <c r="E543" s="15"/>
      <c r="F543" s="15"/>
      <c r="G543" s="15"/>
    </row>
    <row r="544" ht="16.5" customHeight="1">
      <c r="D544" s="15"/>
      <c r="E544" s="15"/>
      <c r="F544" s="15"/>
      <c r="G544" s="15"/>
    </row>
    <row r="545" ht="16.5" customHeight="1">
      <c r="D545" s="15"/>
      <c r="E545" s="15"/>
      <c r="F545" s="15"/>
      <c r="G545" s="15"/>
    </row>
    <row r="546" ht="16.5" customHeight="1">
      <c r="D546" s="15"/>
      <c r="E546" s="15"/>
      <c r="F546" s="15"/>
      <c r="G546" s="15"/>
    </row>
    <row r="547" ht="16.5" customHeight="1">
      <c r="D547" s="15"/>
      <c r="E547" s="15"/>
      <c r="F547" s="15"/>
      <c r="G547" s="15"/>
    </row>
    <row r="548" ht="16.5" customHeight="1">
      <c r="D548" s="15"/>
      <c r="E548" s="15"/>
      <c r="F548" s="15"/>
      <c r="G548" s="15"/>
    </row>
    <row r="549" ht="16.5" customHeight="1">
      <c r="D549" s="15"/>
      <c r="E549" s="15"/>
      <c r="F549" s="15"/>
      <c r="G549" s="15"/>
    </row>
    <row r="550" ht="16.5" customHeight="1">
      <c r="D550" s="15"/>
      <c r="E550" s="15"/>
      <c r="F550" s="15"/>
      <c r="G550" s="15"/>
    </row>
    <row r="551" ht="16.5" customHeight="1">
      <c r="D551" s="15"/>
      <c r="E551" s="15"/>
      <c r="F551" s="15"/>
      <c r="G551" s="15"/>
    </row>
    <row r="552" ht="16.5" customHeight="1">
      <c r="D552" s="15"/>
      <c r="E552" s="15"/>
      <c r="F552" s="15"/>
      <c r="G552" s="15"/>
    </row>
    <row r="553" ht="16.5" customHeight="1">
      <c r="D553" s="15"/>
      <c r="E553" s="15"/>
      <c r="F553" s="15"/>
      <c r="G553" s="15"/>
    </row>
    <row r="554" ht="16.5" customHeight="1">
      <c r="D554" s="15"/>
      <c r="E554" s="15"/>
      <c r="F554" s="15"/>
      <c r="G554" s="15"/>
    </row>
    <row r="555" ht="16.5" customHeight="1">
      <c r="D555" s="15"/>
      <c r="E555" s="15"/>
      <c r="F555" s="15"/>
      <c r="G555" s="15"/>
    </row>
    <row r="556" ht="16.5" customHeight="1">
      <c r="D556" s="15"/>
      <c r="E556" s="15"/>
      <c r="F556" s="15"/>
      <c r="G556" s="15"/>
    </row>
    <row r="557" ht="16.5" customHeight="1">
      <c r="D557" s="15"/>
      <c r="E557" s="15"/>
      <c r="F557" s="15"/>
      <c r="G557" s="15"/>
    </row>
    <row r="558" ht="16.5" customHeight="1">
      <c r="D558" s="15"/>
      <c r="E558" s="15"/>
      <c r="F558" s="15"/>
      <c r="G558" s="15"/>
    </row>
    <row r="559" ht="16.5" customHeight="1">
      <c r="D559" s="15"/>
      <c r="E559" s="15"/>
      <c r="F559" s="15"/>
      <c r="G559" s="15"/>
    </row>
    <row r="560" ht="16.5" customHeight="1">
      <c r="D560" s="15"/>
      <c r="E560" s="15"/>
      <c r="F560" s="15"/>
      <c r="G560" s="15"/>
    </row>
    <row r="561" ht="16.5" customHeight="1">
      <c r="D561" s="15"/>
      <c r="E561" s="15"/>
      <c r="F561" s="15"/>
      <c r="G561" s="15"/>
    </row>
    <row r="562" ht="16.5" customHeight="1">
      <c r="D562" s="15"/>
      <c r="E562" s="15"/>
      <c r="F562" s="15"/>
      <c r="G562" s="15"/>
    </row>
    <row r="563" ht="16.5" customHeight="1">
      <c r="D563" s="15"/>
      <c r="E563" s="15"/>
      <c r="F563" s="15"/>
      <c r="G563" s="15"/>
    </row>
    <row r="564" ht="16.5" customHeight="1">
      <c r="D564" s="15"/>
      <c r="E564" s="15"/>
      <c r="F564" s="15"/>
      <c r="G564" s="15"/>
    </row>
    <row r="565" ht="16.5" customHeight="1">
      <c r="D565" s="15"/>
      <c r="E565" s="15"/>
      <c r="F565" s="15"/>
      <c r="G565" s="15"/>
    </row>
    <row r="566" ht="16.5" customHeight="1">
      <c r="D566" s="15"/>
      <c r="E566" s="15"/>
      <c r="F566" s="15"/>
      <c r="G566" s="15"/>
    </row>
    <row r="567" ht="16.5" customHeight="1">
      <c r="D567" s="15"/>
      <c r="E567" s="15"/>
      <c r="F567" s="15"/>
      <c r="G567" s="15"/>
    </row>
    <row r="568" ht="16.5" customHeight="1">
      <c r="D568" s="15"/>
      <c r="E568" s="15"/>
      <c r="F568" s="15"/>
      <c r="G568" s="15"/>
    </row>
    <row r="569" ht="16.5" customHeight="1">
      <c r="D569" s="15"/>
      <c r="E569" s="15"/>
      <c r="F569" s="15"/>
      <c r="G569" s="15"/>
    </row>
    <row r="570" ht="16.5" customHeight="1">
      <c r="D570" s="15"/>
      <c r="E570" s="15"/>
      <c r="F570" s="15"/>
      <c r="G570" s="15"/>
    </row>
    <row r="571" ht="16.5" customHeight="1">
      <c r="D571" s="15"/>
      <c r="E571" s="15"/>
      <c r="F571" s="15"/>
      <c r="G571" s="15"/>
    </row>
    <row r="572" ht="16.5" customHeight="1">
      <c r="D572" s="15"/>
      <c r="E572" s="15"/>
      <c r="F572" s="15"/>
      <c r="G572" s="15"/>
    </row>
    <row r="573" ht="16.5" customHeight="1">
      <c r="D573" s="15"/>
      <c r="E573" s="15"/>
      <c r="F573" s="15"/>
      <c r="G573" s="15"/>
    </row>
    <row r="574" ht="16.5" customHeight="1">
      <c r="D574" s="15"/>
      <c r="E574" s="15"/>
      <c r="F574" s="15"/>
      <c r="G574" s="15"/>
    </row>
    <row r="575" ht="16.5" customHeight="1">
      <c r="D575" s="15"/>
      <c r="E575" s="15"/>
      <c r="F575" s="15"/>
      <c r="G575" s="15"/>
    </row>
    <row r="576" ht="16.5" customHeight="1">
      <c r="D576" s="15"/>
      <c r="E576" s="15"/>
      <c r="F576" s="15"/>
      <c r="G576" s="15"/>
    </row>
    <row r="577" ht="16.5" customHeight="1">
      <c r="D577" s="15"/>
      <c r="E577" s="15"/>
      <c r="F577" s="15"/>
      <c r="G577" s="15"/>
    </row>
    <row r="578" ht="16.5" customHeight="1">
      <c r="D578" s="15"/>
      <c r="E578" s="15"/>
      <c r="F578" s="15"/>
      <c r="G578" s="15"/>
    </row>
    <row r="579" ht="16.5" customHeight="1">
      <c r="D579" s="15"/>
      <c r="E579" s="15"/>
      <c r="F579" s="15"/>
      <c r="G579" s="15"/>
    </row>
    <row r="580" ht="16.5" customHeight="1">
      <c r="D580" s="15"/>
      <c r="E580" s="15"/>
      <c r="F580" s="15"/>
      <c r="G580" s="15"/>
    </row>
    <row r="581" ht="16.5" customHeight="1">
      <c r="D581" s="15"/>
      <c r="E581" s="15"/>
      <c r="F581" s="15"/>
      <c r="G581" s="15"/>
    </row>
    <row r="582" ht="16.5" customHeight="1">
      <c r="D582" s="15"/>
      <c r="E582" s="15"/>
      <c r="F582" s="15"/>
      <c r="G582" s="15"/>
    </row>
    <row r="583" ht="16.5" customHeight="1">
      <c r="D583" s="15"/>
      <c r="E583" s="15"/>
      <c r="F583" s="15"/>
      <c r="G583" s="15"/>
    </row>
    <row r="584" ht="16.5" customHeight="1">
      <c r="D584" s="15"/>
      <c r="E584" s="15"/>
      <c r="F584" s="15"/>
      <c r="G584" s="15"/>
    </row>
    <row r="585" ht="16.5" customHeight="1">
      <c r="D585" s="15"/>
      <c r="E585" s="15"/>
      <c r="F585" s="15"/>
      <c r="G585" s="15"/>
    </row>
    <row r="586" ht="16.5" customHeight="1">
      <c r="D586" s="15"/>
      <c r="E586" s="15"/>
      <c r="F586" s="15"/>
      <c r="G586" s="15"/>
    </row>
    <row r="587" ht="16.5" customHeight="1">
      <c r="D587" s="15"/>
      <c r="E587" s="15"/>
      <c r="F587" s="15"/>
      <c r="G587" s="15"/>
    </row>
    <row r="588" ht="16.5" customHeight="1">
      <c r="D588" s="15"/>
      <c r="E588" s="15"/>
      <c r="F588" s="15"/>
      <c r="G588" s="15"/>
    </row>
    <row r="589" ht="16.5" customHeight="1">
      <c r="D589" s="15"/>
      <c r="E589" s="15"/>
      <c r="F589" s="15"/>
      <c r="G589" s="15"/>
    </row>
    <row r="590" ht="16.5" customHeight="1">
      <c r="D590" s="15"/>
      <c r="E590" s="15"/>
      <c r="F590" s="15"/>
      <c r="G590" s="15"/>
    </row>
    <row r="591" ht="16.5" customHeight="1">
      <c r="D591" s="15"/>
      <c r="E591" s="15"/>
      <c r="F591" s="15"/>
      <c r="G591" s="15"/>
    </row>
    <row r="592" ht="16.5" customHeight="1">
      <c r="D592" s="15"/>
      <c r="E592" s="15"/>
      <c r="F592" s="15"/>
      <c r="G592" s="15"/>
    </row>
    <row r="593" ht="16.5" customHeight="1">
      <c r="D593" s="15"/>
      <c r="E593" s="15"/>
      <c r="F593" s="15"/>
      <c r="G593" s="15"/>
    </row>
    <row r="594" ht="16.5" customHeight="1">
      <c r="D594" s="15"/>
      <c r="E594" s="15"/>
      <c r="F594" s="15"/>
      <c r="G594" s="15"/>
    </row>
    <row r="595" ht="16.5" customHeight="1">
      <c r="D595" s="15"/>
      <c r="E595" s="15"/>
      <c r="F595" s="15"/>
      <c r="G595" s="15"/>
    </row>
    <row r="596" ht="16.5" customHeight="1">
      <c r="D596" s="15"/>
      <c r="E596" s="15"/>
      <c r="F596" s="15"/>
      <c r="G596" s="15"/>
    </row>
    <row r="597" ht="16.5" customHeight="1">
      <c r="D597" s="15"/>
      <c r="E597" s="15"/>
      <c r="F597" s="15"/>
      <c r="G597" s="15"/>
    </row>
    <row r="598" ht="16.5" customHeight="1">
      <c r="D598" s="15"/>
      <c r="E598" s="15"/>
      <c r="F598" s="15"/>
      <c r="G598" s="15"/>
    </row>
    <row r="599" ht="16.5" customHeight="1">
      <c r="D599" s="15"/>
      <c r="E599" s="15"/>
      <c r="F599" s="15"/>
      <c r="G599" s="15"/>
    </row>
    <row r="600" ht="16.5" customHeight="1">
      <c r="D600" s="15"/>
      <c r="E600" s="15"/>
      <c r="F600" s="15"/>
      <c r="G600" s="15"/>
    </row>
    <row r="601" ht="16.5" customHeight="1">
      <c r="D601" s="15"/>
      <c r="E601" s="15"/>
      <c r="F601" s="15"/>
      <c r="G601" s="15"/>
    </row>
    <row r="602" ht="16.5" customHeight="1">
      <c r="D602" s="15"/>
      <c r="E602" s="15"/>
      <c r="F602" s="15"/>
      <c r="G602" s="15"/>
    </row>
    <row r="603" ht="16.5" customHeight="1">
      <c r="D603" s="15"/>
      <c r="E603" s="15"/>
      <c r="F603" s="15"/>
      <c r="G603" s="15"/>
    </row>
    <row r="604" ht="16.5" customHeight="1">
      <c r="D604" s="15"/>
      <c r="E604" s="15"/>
      <c r="F604" s="15"/>
      <c r="G604" s="15"/>
    </row>
    <row r="605" ht="16.5" customHeight="1">
      <c r="D605" s="15"/>
      <c r="E605" s="15"/>
      <c r="F605" s="15"/>
      <c r="G605" s="15"/>
    </row>
    <row r="606" ht="16.5" customHeight="1">
      <c r="D606" s="15"/>
      <c r="E606" s="15"/>
      <c r="F606" s="15"/>
      <c r="G606" s="15"/>
    </row>
    <row r="607" ht="16.5" customHeight="1">
      <c r="D607" s="15"/>
      <c r="E607" s="15"/>
      <c r="F607" s="15"/>
      <c r="G607" s="15"/>
    </row>
    <row r="608" ht="16.5" customHeight="1">
      <c r="D608" s="15"/>
      <c r="E608" s="15"/>
      <c r="F608" s="15"/>
      <c r="G608" s="15"/>
    </row>
    <row r="609" ht="16.5" customHeight="1">
      <c r="D609" s="15"/>
      <c r="E609" s="15"/>
      <c r="F609" s="15"/>
      <c r="G609" s="15"/>
    </row>
    <row r="610" ht="16.5" customHeight="1">
      <c r="D610" s="15"/>
      <c r="E610" s="15"/>
      <c r="F610" s="15"/>
      <c r="G610" s="15"/>
    </row>
    <row r="611" ht="16.5" customHeight="1">
      <c r="D611" s="15"/>
      <c r="E611" s="15"/>
      <c r="F611" s="15"/>
      <c r="G611" s="15"/>
    </row>
    <row r="612" ht="16.5" customHeight="1">
      <c r="D612" s="15"/>
      <c r="E612" s="15"/>
      <c r="F612" s="15"/>
      <c r="G612" s="15"/>
    </row>
    <row r="613" ht="16.5" customHeight="1">
      <c r="D613" s="15"/>
      <c r="E613" s="15"/>
      <c r="F613" s="15"/>
      <c r="G613" s="15"/>
    </row>
    <row r="614" ht="16.5" customHeight="1">
      <c r="D614" s="15"/>
      <c r="E614" s="15"/>
      <c r="F614" s="15"/>
      <c r="G614" s="15"/>
    </row>
    <row r="615" ht="16.5" customHeight="1">
      <c r="D615" s="15"/>
      <c r="E615" s="15"/>
      <c r="F615" s="15"/>
      <c r="G615" s="15"/>
    </row>
    <row r="616" ht="16.5" customHeight="1">
      <c r="D616" s="15"/>
      <c r="E616" s="15"/>
      <c r="F616" s="15"/>
      <c r="G616" s="15"/>
    </row>
    <row r="617" ht="16.5" customHeight="1">
      <c r="D617" s="15"/>
      <c r="E617" s="15"/>
      <c r="F617" s="15"/>
      <c r="G617" s="15"/>
    </row>
    <row r="618" ht="16.5" customHeight="1">
      <c r="D618" s="15"/>
      <c r="E618" s="15"/>
      <c r="F618" s="15"/>
      <c r="G618" s="15"/>
    </row>
    <row r="619" ht="16.5" customHeight="1">
      <c r="D619" s="15"/>
      <c r="E619" s="15"/>
      <c r="F619" s="15"/>
      <c r="G619" s="15"/>
    </row>
    <row r="620" ht="16.5" customHeight="1">
      <c r="D620" s="15"/>
      <c r="E620" s="15"/>
      <c r="F620" s="15"/>
      <c r="G620" s="15"/>
    </row>
    <row r="621" ht="16.5" customHeight="1">
      <c r="D621" s="15"/>
      <c r="E621" s="15"/>
      <c r="F621" s="15"/>
      <c r="G621" s="15"/>
    </row>
    <row r="622" ht="16.5" customHeight="1">
      <c r="D622" s="15"/>
      <c r="E622" s="15"/>
      <c r="F622" s="15"/>
      <c r="G622" s="15"/>
    </row>
    <row r="623" ht="16.5" customHeight="1">
      <c r="D623" s="15"/>
      <c r="E623" s="15"/>
      <c r="F623" s="15"/>
      <c r="G623" s="15"/>
    </row>
    <row r="624" ht="16.5" customHeight="1">
      <c r="D624" s="15"/>
      <c r="E624" s="15"/>
      <c r="F624" s="15"/>
      <c r="G624" s="15"/>
    </row>
    <row r="625" ht="16.5" customHeight="1">
      <c r="D625" s="15"/>
      <c r="E625" s="15"/>
      <c r="F625" s="15"/>
      <c r="G625" s="15"/>
    </row>
    <row r="626" ht="16.5" customHeight="1">
      <c r="D626" s="15"/>
      <c r="E626" s="15"/>
      <c r="F626" s="15"/>
      <c r="G626" s="15"/>
    </row>
    <row r="627" ht="16.5" customHeight="1">
      <c r="D627" s="15"/>
      <c r="E627" s="15"/>
      <c r="F627" s="15"/>
      <c r="G627" s="15"/>
    </row>
    <row r="628" ht="16.5" customHeight="1">
      <c r="D628" s="15"/>
      <c r="E628" s="15"/>
      <c r="F628" s="15"/>
      <c r="G628" s="15"/>
    </row>
    <row r="629" ht="16.5" customHeight="1">
      <c r="D629" s="15"/>
      <c r="E629" s="15"/>
      <c r="F629" s="15"/>
      <c r="G629" s="15"/>
    </row>
    <row r="630" ht="16.5" customHeight="1">
      <c r="D630" s="15"/>
      <c r="E630" s="15"/>
      <c r="F630" s="15"/>
      <c r="G630" s="15"/>
    </row>
    <row r="631" ht="16.5" customHeight="1">
      <c r="D631" s="15"/>
      <c r="E631" s="15"/>
      <c r="F631" s="15"/>
      <c r="G631" s="15"/>
    </row>
    <row r="632" ht="16.5" customHeight="1">
      <c r="D632" s="15"/>
      <c r="E632" s="15"/>
      <c r="F632" s="15"/>
      <c r="G632" s="15"/>
    </row>
    <row r="633" ht="16.5" customHeight="1">
      <c r="D633" s="15"/>
      <c r="E633" s="15"/>
      <c r="F633" s="15"/>
      <c r="G633" s="15"/>
    </row>
    <row r="634" ht="16.5" customHeight="1">
      <c r="D634" s="15"/>
      <c r="E634" s="15"/>
      <c r="F634" s="15"/>
      <c r="G634" s="15"/>
    </row>
    <row r="635" ht="16.5" customHeight="1">
      <c r="D635" s="15"/>
      <c r="E635" s="15"/>
      <c r="F635" s="15"/>
      <c r="G635" s="15"/>
    </row>
    <row r="636" ht="16.5" customHeight="1">
      <c r="D636" s="15"/>
      <c r="E636" s="15"/>
      <c r="F636" s="15"/>
      <c r="G636" s="15"/>
    </row>
    <row r="637" ht="16.5" customHeight="1">
      <c r="D637" s="15"/>
      <c r="E637" s="15"/>
      <c r="F637" s="15"/>
      <c r="G637" s="15"/>
    </row>
    <row r="638" ht="16.5" customHeight="1">
      <c r="D638" s="15"/>
      <c r="E638" s="15"/>
      <c r="F638" s="15"/>
      <c r="G638" s="15"/>
    </row>
    <row r="639" ht="16.5" customHeight="1">
      <c r="D639" s="15"/>
      <c r="E639" s="15"/>
      <c r="F639" s="15"/>
      <c r="G639" s="15"/>
    </row>
    <row r="640" ht="16.5" customHeight="1">
      <c r="D640" s="15"/>
      <c r="E640" s="15"/>
      <c r="F640" s="15"/>
      <c r="G640" s="15"/>
    </row>
    <row r="641" ht="16.5" customHeight="1">
      <c r="D641" s="15"/>
      <c r="E641" s="15"/>
      <c r="F641" s="15"/>
      <c r="G641" s="15"/>
    </row>
    <row r="642" ht="16.5" customHeight="1">
      <c r="D642" s="15"/>
      <c r="E642" s="15"/>
      <c r="F642" s="15"/>
      <c r="G642" s="15"/>
    </row>
    <row r="643" ht="16.5" customHeight="1">
      <c r="D643" s="15"/>
      <c r="E643" s="15"/>
      <c r="F643" s="15"/>
      <c r="G643" s="15"/>
    </row>
    <row r="644" ht="16.5" customHeight="1">
      <c r="D644" s="15"/>
      <c r="E644" s="15"/>
      <c r="F644" s="15"/>
      <c r="G644" s="15"/>
    </row>
    <row r="645" ht="16.5" customHeight="1">
      <c r="D645" s="15"/>
      <c r="E645" s="15"/>
      <c r="F645" s="15"/>
      <c r="G645" s="15"/>
    </row>
    <row r="646" ht="16.5" customHeight="1">
      <c r="D646" s="15"/>
      <c r="E646" s="15"/>
      <c r="F646" s="15"/>
      <c r="G646" s="15"/>
    </row>
    <row r="647" ht="16.5" customHeight="1">
      <c r="D647" s="15"/>
      <c r="E647" s="15"/>
      <c r="F647" s="15"/>
      <c r="G647" s="15"/>
    </row>
    <row r="648" ht="16.5" customHeight="1">
      <c r="D648" s="15"/>
      <c r="E648" s="15"/>
      <c r="F648" s="15"/>
      <c r="G648" s="15"/>
    </row>
    <row r="649" ht="16.5" customHeight="1">
      <c r="D649" s="15"/>
      <c r="E649" s="15"/>
      <c r="F649" s="15"/>
      <c r="G649" s="15"/>
    </row>
    <row r="650" ht="16.5" customHeight="1">
      <c r="D650" s="15"/>
      <c r="E650" s="15"/>
      <c r="F650" s="15"/>
      <c r="G650" s="15"/>
    </row>
    <row r="651" ht="16.5" customHeight="1">
      <c r="D651" s="15"/>
      <c r="E651" s="15"/>
      <c r="F651" s="15"/>
      <c r="G651" s="15"/>
    </row>
    <row r="652" ht="16.5" customHeight="1">
      <c r="D652" s="15"/>
      <c r="E652" s="15"/>
      <c r="F652" s="15"/>
      <c r="G652" s="15"/>
    </row>
    <row r="653" ht="16.5" customHeight="1">
      <c r="D653" s="15"/>
      <c r="E653" s="15"/>
      <c r="F653" s="15"/>
      <c r="G653" s="15"/>
    </row>
    <row r="654" ht="16.5" customHeight="1">
      <c r="D654" s="15"/>
      <c r="E654" s="15"/>
      <c r="F654" s="15"/>
      <c r="G654" s="15"/>
    </row>
    <row r="655" ht="16.5" customHeight="1">
      <c r="D655" s="15"/>
      <c r="E655" s="15"/>
      <c r="F655" s="15"/>
      <c r="G655" s="15"/>
    </row>
    <row r="656" ht="16.5" customHeight="1">
      <c r="D656" s="15"/>
      <c r="E656" s="15"/>
      <c r="F656" s="15"/>
      <c r="G656" s="15"/>
    </row>
    <row r="657" ht="16.5" customHeight="1">
      <c r="D657" s="15"/>
      <c r="E657" s="15"/>
      <c r="F657" s="15"/>
      <c r="G657" s="15"/>
    </row>
    <row r="658" ht="16.5" customHeight="1">
      <c r="D658" s="15"/>
      <c r="E658" s="15"/>
      <c r="F658" s="15"/>
      <c r="G658" s="15"/>
    </row>
    <row r="659" ht="16.5" customHeight="1">
      <c r="D659" s="15"/>
      <c r="E659" s="15"/>
      <c r="F659" s="15"/>
      <c r="G659" s="15"/>
    </row>
    <row r="660" ht="16.5" customHeight="1">
      <c r="D660" s="15"/>
      <c r="E660" s="15"/>
      <c r="F660" s="15"/>
      <c r="G660" s="15"/>
    </row>
    <row r="661" ht="16.5" customHeight="1">
      <c r="D661" s="15"/>
      <c r="E661" s="15"/>
      <c r="F661" s="15"/>
      <c r="G661" s="15"/>
    </row>
    <row r="662" ht="16.5" customHeight="1">
      <c r="D662" s="15"/>
      <c r="E662" s="15"/>
      <c r="F662" s="15"/>
      <c r="G662" s="15"/>
    </row>
    <row r="663" ht="16.5" customHeight="1">
      <c r="D663" s="15"/>
      <c r="E663" s="15"/>
      <c r="F663" s="15"/>
      <c r="G663" s="15"/>
    </row>
    <row r="664" ht="16.5" customHeight="1">
      <c r="D664" s="15"/>
      <c r="E664" s="15"/>
      <c r="F664" s="15"/>
      <c r="G664" s="15"/>
    </row>
    <row r="665" ht="16.5" customHeight="1">
      <c r="D665" s="15"/>
      <c r="E665" s="15"/>
      <c r="F665" s="15"/>
      <c r="G665" s="15"/>
    </row>
    <row r="666" ht="16.5" customHeight="1">
      <c r="D666" s="15"/>
      <c r="E666" s="15"/>
      <c r="F666" s="15"/>
      <c r="G666" s="15"/>
    </row>
    <row r="667" ht="16.5" customHeight="1">
      <c r="D667" s="15"/>
      <c r="E667" s="15"/>
      <c r="F667" s="15"/>
      <c r="G667" s="15"/>
    </row>
    <row r="668" ht="16.5" customHeight="1">
      <c r="D668" s="15"/>
      <c r="E668" s="15"/>
      <c r="F668" s="15"/>
      <c r="G668" s="15"/>
    </row>
    <row r="669" ht="16.5" customHeight="1">
      <c r="D669" s="15"/>
      <c r="E669" s="15"/>
      <c r="F669" s="15"/>
      <c r="G669" s="15"/>
    </row>
    <row r="670" ht="16.5" customHeight="1">
      <c r="D670" s="15"/>
      <c r="E670" s="15"/>
      <c r="F670" s="15"/>
      <c r="G670" s="15"/>
    </row>
    <row r="671" ht="16.5" customHeight="1">
      <c r="D671" s="15"/>
      <c r="E671" s="15"/>
      <c r="F671" s="15"/>
      <c r="G671" s="15"/>
    </row>
    <row r="672" ht="16.5" customHeight="1">
      <c r="D672" s="15"/>
      <c r="E672" s="15"/>
      <c r="F672" s="15"/>
      <c r="G672" s="15"/>
    </row>
    <row r="673" ht="16.5" customHeight="1">
      <c r="D673" s="15"/>
      <c r="E673" s="15"/>
      <c r="F673" s="15"/>
      <c r="G673" s="15"/>
    </row>
    <row r="674" ht="16.5" customHeight="1">
      <c r="D674" s="15"/>
      <c r="E674" s="15"/>
      <c r="F674" s="15"/>
      <c r="G674" s="15"/>
    </row>
    <row r="675" ht="16.5" customHeight="1">
      <c r="D675" s="15"/>
      <c r="E675" s="15"/>
      <c r="F675" s="15"/>
      <c r="G675" s="15"/>
    </row>
    <row r="676" ht="16.5" customHeight="1">
      <c r="D676" s="15"/>
      <c r="E676" s="15"/>
      <c r="F676" s="15"/>
      <c r="G676" s="15"/>
    </row>
    <row r="677" ht="16.5" customHeight="1">
      <c r="D677" s="15"/>
      <c r="E677" s="15"/>
      <c r="F677" s="15"/>
      <c r="G677" s="15"/>
    </row>
    <row r="678" ht="16.5" customHeight="1">
      <c r="D678" s="15"/>
      <c r="E678" s="15"/>
      <c r="F678" s="15"/>
      <c r="G678" s="15"/>
    </row>
    <row r="679" ht="16.5" customHeight="1">
      <c r="D679" s="15"/>
      <c r="E679" s="15"/>
      <c r="F679" s="15"/>
      <c r="G679" s="15"/>
    </row>
    <row r="680" ht="16.5" customHeight="1">
      <c r="D680" s="15"/>
      <c r="E680" s="15"/>
      <c r="F680" s="15"/>
      <c r="G680" s="15"/>
    </row>
    <row r="681" ht="16.5" customHeight="1">
      <c r="D681" s="15"/>
      <c r="E681" s="15"/>
      <c r="F681" s="15"/>
      <c r="G681" s="15"/>
    </row>
    <row r="682" ht="16.5" customHeight="1">
      <c r="D682" s="15"/>
      <c r="E682" s="15"/>
      <c r="F682" s="15"/>
      <c r="G682" s="15"/>
    </row>
    <row r="683" ht="16.5" customHeight="1">
      <c r="D683" s="15"/>
      <c r="E683" s="15"/>
      <c r="F683" s="15"/>
      <c r="G683" s="15"/>
    </row>
    <row r="684" ht="16.5" customHeight="1">
      <c r="D684" s="15"/>
      <c r="E684" s="15"/>
      <c r="F684" s="15"/>
      <c r="G684" s="15"/>
    </row>
    <row r="685" ht="16.5" customHeight="1">
      <c r="D685" s="15"/>
      <c r="E685" s="15"/>
      <c r="F685" s="15"/>
      <c r="G685" s="15"/>
    </row>
    <row r="686" ht="16.5" customHeight="1">
      <c r="D686" s="15"/>
      <c r="E686" s="15"/>
      <c r="F686" s="15"/>
      <c r="G686" s="15"/>
    </row>
    <row r="687" ht="16.5" customHeight="1">
      <c r="D687" s="15"/>
      <c r="E687" s="15"/>
      <c r="F687" s="15"/>
      <c r="G687" s="15"/>
    </row>
    <row r="688" ht="16.5" customHeight="1">
      <c r="D688" s="15"/>
      <c r="E688" s="15"/>
      <c r="F688" s="15"/>
      <c r="G688" s="15"/>
    </row>
    <row r="689" ht="16.5" customHeight="1">
      <c r="D689" s="15"/>
      <c r="E689" s="15"/>
      <c r="F689" s="15"/>
      <c r="G689" s="15"/>
    </row>
    <row r="690" ht="16.5" customHeight="1">
      <c r="D690" s="15"/>
      <c r="E690" s="15"/>
      <c r="F690" s="15"/>
      <c r="G690" s="15"/>
    </row>
    <row r="691" ht="16.5" customHeight="1">
      <c r="D691" s="15"/>
      <c r="E691" s="15"/>
      <c r="F691" s="15"/>
      <c r="G691" s="15"/>
    </row>
    <row r="692" ht="16.5" customHeight="1">
      <c r="D692" s="15"/>
      <c r="E692" s="15"/>
      <c r="F692" s="15"/>
      <c r="G692" s="15"/>
    </row>
    <row r="693" ht="16.5" customHeight="1">
      <c r="D693" s="15"/>
      <c r="E693" s="15"/>
      <c r="F693" s="15"/>
      <c r="G693" s="15"/>
    </row>
    <row r="694" ht="16.5" customHeight="1">
      <c r="D694" s="15"/>
      <c r="E694" s="15"/>
      <c r="F694" s="15"/>
      <c r="G694" s="15"/>
    </row>
    <row r="695" ht="16.5" customHeight="1">
      <c r="D695" s="15"/>
      <c r="E695" s="15"/>
      <c r="F695" s="15"/>
      <c r="G695" s="15"/>
    </row>
    <row r="696" ht="16.5" customHeight="1">
      <c r="D696" s="15"/>
      <c r="E696" s="15"/>
      <c r="F696" s="15"/>
      <c r="G696" s="15"/>
    </row>
    <row r="697" ht="16.5" customHeight="1">
      <c r="D697" s="15"/>
      <c r="E697" s="15"/>
      <c r="F697" s="15"/>
      <c r="G697" s="15"/>
    </row>
    <row r="698" ht="16.5" customHeight="1">
      <c r="D698" s="15"/>
      <c r="E698" s="15"/>
      <c r="F698" s="15"/>
      <c r="G698" s="15"/>
    </row>
    <row r="699" ht="16.5" customHeight="1">
      <c r="D699" s="15"/>
      <c r="E699" s="15"/>
      <c r="F699" s="15"/>
      <c r="G699" s="15"/>
    </row>
    <row r="700" ht="16.5" customHeight="1">
      <c r="D700" s="15"/>
      <c r="E700" s="15"/>
      <c r="F700" s="15"/>
      <c r="G700" s="15"/>
    </row>
    <row r="701" ht="16.5" customHeight="1">
      <c r="D701" s="15"/>
      <c r="E701" s="15"/>
      <c r="F701" s="15"/>
      <c r="G701" s="15"/>
    </row>
    <row r="702" ht="16.5" customHeight="1">
      <c r="D702" s="15"/>
      <c r="E702" s="15"/>
      <c r="F702" s="15"/>
      <c r="G702" s="15"/>
    </row>
    <row r="703" ht="16.5" customHeight="1">
      <c r="D703" s="15"/>
      <c r="E703" s="15"/>
      <c r="F703" s="15"/>
      <c r="G703" s="15"/>
    </row>
    <row r="704" ht="16.5" customHeight="1">
      <c r="D704" s="15"/>
      <c r="E704" s="15"/>
      <c r="F704" s="15"/>
      <c r="G704" s="15"/>
    </row>
    <row r="705" ht="16.5" customHeight="1">
      <c r="D705" s="15"/>
      <c r="E705" s="15"/>
      <c r="F705" s="15"/>
      <c r="G705" s="15"/>
    </row>
    <row r="706" ht="16.5" customHeight="1">
      <c r="D706" s="15"/>
      <c r="E706" s="15"/>
      <c r="F706" s="15"/>
      <c r="G706" s="15"/>
    </row>
    <row r="707" ht="16.5" customHeight="1">
      <c r="D707" s="15"/>
      <c r="E707" s="15"/>
      <c r="F707" s="15"/>
      <c r="G707" s="15"/>
    </row>
    <row r="708" ht="16.5" customHeight="1">
      <c r="D708" s="15"/>
      <c r="E708" s="15"/>
      <c r="F708" s="15"/>
      <c r="G708" s="15"/>
    </row>
    <row r="709" ht="16.5" customHeight="1">
      <c r="D709" s="15"/>
      <c r="E709" s="15"/>
      <c r="F709" s="15"/>
      <c r="G709" s="15"/>
    </row>
    <row r="710" ht="16.5" customHeight="1">
      <c r="D710" s="15"/>
      <c r="E710" s="15"/>
      <c r="F710" s="15"/>
      <c r="G710" s="15"/>
    </row>
    <row r="711" ht="16.5" customHeight="1">
      <c r="D711" s="15"/>
      <c r="E711" s="15"/>
      <c r="F711" s="15"/>
      <c r="G711" s="15"/>
    </row>
    <row r="712" ht="16.5" customHeight="1">
      <c r="D712" s="15"/>
      <c r="E712" s="15"/>
      <c r="F712" s="15"/>
      <c r="G712" s="15"/>
    </row>
    <row r="713" ht="16.5" customHeight="1">
      <c r="D713" s="15"/>
      <c r="E713" s="15"/>
      <c r="F713" s="15"/>
      <c r="G713" s="15"/>
    </row>
    <row r="714" ht="16.5" customHeight="1">
      <c r="D714" s="15"/>
      <c r="E714" s="15"/>
      <c r="F714" s="15"/>
      <c r="G714" s="15"/>
    </row>
    <row r="715" ht="16.5" customHeight="1">
      <c r="D715" s="15"/>
      <c r="E715" s="15"/>
      <c r="F715" s="15"/>
      <c r="G715" s="15"/>
    </row>
    <row r="716" ht="16.5" customHeight="1">
      <c r="D716" s="15"/>
      <c r="E716" s="15"/>
      <c r="F716" s="15"/>
      <c r="G716" s="15"/>
    </row>
    <row r="717" ht="16.5" customHeight="1">
      <c r="D717" s="15"/>
      <c r="E717" s="15"/>
      <c r="F717" s="15"/>
      <c r="G717" s="15"/>
    </row>
    <row r="718" ht="16.5" customHeight="1">
      <c r="D718" s="15"/>
      <c r="E718" s="15"/>
      <c r="F718" s="15"/>
      <c r="G718" s="15"/>
    </row>
    <row r="719" ht="16.5" customHeight="1">
      <c r="D719" s="15"/>
      <c r="E719" s="15"/>
      <c r="F719" s="15"/>
      <c r="G719" s="15"/>
    </row>
    <row r="720" ht="16.5" customHeight="1">
      <c r="D720" s="15"/>
      <c r="E720" s="15"/>
      <c r="F720" s="15"/>
      <c r="G720" s="15"/>
    </row>
    <row r="721" ht="16.5" customHeight="1">
      <c r="D721" s="15"/>
      <c r="E721" s="15"/>
      <c r="F721" s="15"/>
      <c r="G721" s="15"/>
    </row>
    <row r="722" ht="16.5" customHeight="1">
      <c r="D722" s="15"/>
      <c r="E722" s="15"/>
      <c r="F722" s="15"/>
      <c r="G722" s="15"/>
    </row>
    <row r="723" ht="16.5" customHeight="1">
      <c r="D723" s="15"/>
      <c r="E723" s="15"/>
      <c r="F723" s="15"/>
      <c r="G723" s="15"/>
    </row>
    <row r="724" ht="16.5" customHeight="1">
      <c r="D724" s="15"/>
      <c r="E724" s="15"/>
      <c r="F724" s="15"/>
      <c r="G724" s="15"/>
    </row>
    <row r="725" ht="16.5" customHeight="1">
      <c r="D725" s="15"/>
      <c r="E725" s="15"/>
      <c r="F725" s="15"/>
      <c r="G725" s="15"/>
    </row>
    <row r="726" ht="16.5" customHeight="1">
      <c r="D726" s="15"/>
      <c r="E726" s="15"/>
      <c r="F726" s="15"/>
      <c r="G726" s="15"/>
    </row>
    <row r="727" ht="16.5" customHeight="1">
      <c r="D727" s="15"/>
      <c r="E727" s="15"/>
      <c r="F727" s="15"/>
      <c r="G727" s="15"/>
    </row>
    <row r="728" ht="16.5" customHeight="1">
      <c r="D728" s="15"/>
      <c r="E728" s="15"/>
      <c r="F728" s="15"/>
      <c r="G728" s="15"/>
    </row>
    <row r="729" ht="16.5" customHeight="1">
      <c r="D729" s="15"/>
      <c r="E729" s="15"/>
      <c r="F729" s="15"/>
      <c r="G729" s="15"/>
    </row>
    <row r="730" ht="16.5" customHeight="1">
      <c r="D730" s="15"/>
      <c r="E730" s="15"/>
      <c r="F730" s="15"/>
      <c r="G730" s="15"/>
    </row>
    <row r="731" ht="16.5" customHeight="1">
      <c r="D731" s="15"/>
      <c r="E731" s="15"/>
      <c r="F731" s="15"/>
      <c r="G731" s="15"/>
    </row>
    <row r="732" ht="16.5" customHeight="1">
      <c r="D732" s="15"/>
      <c r="E732" s="15"/>
      <c r="F732" s="15"/>
      <c r="G732" s="15"/>
    </row>
    <row r="733" ht="16.5" customHeight="1">
      <c r="D733" s="15"/>
      <c r="E733" s="15"/>
      <c r="F733" s="15"/>
      <c r="G733" s="15"/>
    </row>
    <row r="734" ht="16.5" customHeight="1">
      <c r="D734" s="15"/>
      <c r="E734" s="15"/>
      <c r="F734" s="15"/>
      <c r="G734" s="15"/>
    </row>
    <row r="735" ht="16.5" customHeight="1">
      <c r="D735" s="15"/>
      <c r="E735" s="15"/>
      <c r="F735" s="15"/>
      <c r="G735" s="15"/>
    </row>
    <row r="736" ht="16.5" customHeight="1">
      <c r="D736" s="15"/>
      <c r="E736" s="15"/>
      <c r="F736" s="15"/>
      <c r="G736" s="15"/>
    </row>
    <row r="737" ht="16.5" customHeight="1">
      <c r="D737" s="15"/>
      <c r="E737" s="15"/>
      <c r="F737" s="15"/>
      <c r="G737" s="15"/>
    </row>
    <row r="738" ht="16.5" customHeight="1">
      <c r="D738" s="15"/>
      <c r="E738" s="15"/>
      <c r="F738" s="15"/>
      <c r="G738" s="15"/>
    </row>
    <row r="739" ht="16.5" customHeight="1">
      <c r="D739" s="15"/>
      <c r="E739" s="15"/>
      <c r="F739" s="15"/>
      <c r="G739" s="15"/>
    </row>
    <row r="740" ht="16.5" customHeight="1">
      <c r="D740" s="15"/>
      <c r="E740" s="15"/>
      <c r="F740" s="15"/>
      <c r="G740" s="15"/>
    </row>
    <row r="741" ht="16.5" customHeight="1">
      <c r="D741" s="15"/>
      <c r="E741" s="15"/>
      <c r="F741" s="15"/>
      <c r="G741" s="15"/>
    </row>
    <row r="742" ht="16.5" customHeight="1">
      <c r="D742" s="15"/>
      <c r="E742" s="15"/>
      <c r="F742" s="15"/>
      <c r="G742" s="15"/>
    </row>
    <row r="743" ht="16.5" customHeight="1">
      <c r="D743" s="15"/>
      <c r="E743" s="15"/>
      <c r="F743" s="15"/>
      <c r="G743" s="15"/>
    </row>
    <row r="744" ht="16.5" customHeight="1">
      <c r="D744" s="15"/>
      <c r="E744" s="15"/>
      <c r="F744" s="15"/>
      <c r="G744" s="15"/>
    </row>
    <row r="745" ht="16.5" customHeight="1">
      <c r="D745" s="15"/>
      <c r="E745" s="15"/>
      <c r="F745" s="15"/>
      <c r="G745" s="15"/>
    </row>
    <row r="746" ht="16.5" customHeight="1">
      <c r="D746" s="15"/>
      <c r="E746" s="15"/>
      <c r="F746" s="15"/>
      <c r="G746" s="15"/>
    </row>
    <row r="747" ht="16.5" customHeight="1">
      <c r="D747" s="15"/>
      <c r="E747" s="15"/>
      <c r="F747" s="15"/>
      <c r="G747" s="15"/>
    </row>
    <row r="748" ht="16.5" customHeight="1">
      <c r="D748" s="15"/>
      <c r="E748" s="15"/>
      <c r="F748" s="15"/>
      <c r="G748" s="15"/>
    </row>
    <row r="749" ht="16.5" customHeight="1">
      <c r="D749" s="15"/>
      <c r="E749" s="15"/>
      <c r="F749" s="15"/>
      <c r="G749" s="15"/>
    </row>
    <row r="750" ht="16.5" customHeight="1">
      <c r="D750" s="15"/>
      <c r="E750" s="15"/>
      <c r="F750" s="15"/>
      <c r="G750" s="15"/>
    </row>
    <row r="751" ht="16.5" customHeight="1">
      <c r="D751" s="15"/>
      <c r="E751" s="15"/>
      <c r="F751" s="15"/>
      <c r="G751" s="15"/>
    </row>
    <row r="752" ht="16.5" customHeight="1">
      <c r="D752" s="15"/>
      <c r="E752" s="15"/>
      <c r="F752" s="15"/>
      <c r="G752" s="15"/>
    </row>
    <row r="753" ht="16.5" customHeight="1">
      <c r="D753" s="15"/>
      <c r="E753" s="15"/>
      <c r="F753" s="15"/>
      <c r="G753" s="15"/>
    </row>
    <row r="754" ht="16.5" customHeight="1">
      <c r="D754" s="15"/>
      <c r="E754" s="15"/>
      <c r="F754" s="15"/>
      <c r="G754" s="15"/>
    </row>
    <row r="755" ht="16.5" customHeight="1">
      <c r="D755" s="15"/>
      <c r="E755" s="15"/>
      <c r="F755" s="15"/>
      <c r="G755" s="15"/>
    </row>
    <row r="756" ht="16.5" customHeight="1">
      <c r="D756" s="15"/>
      <c r="E756" s="15"/>
      <c r="F756" s="15"/>
      <c r="G756" s="15"/>
    </row>
    <row r="757" ht="16.5" customHeight="1">
      <c r="D757" s="15"/>
      <c r="E757" s="15"/>
      <c r="F757" s="15"/>
      <c r="G757" s="15"/>
    </row>
    <row r="758" ht="16.5" customHeight="1">
      <c r="D758" s="15"/>
      <c r="E758" s="15"/>
      <c r="F758" s="15"/>
      <c r="G758" s="15"/>
    </row>
    <row r="759" ht="16.5" customHeight="1">
      <c r="D759" s="15"/>
      <c r="E759" s="15"/>
      <c r="F759" s="15"/>
      <c r="G759" s="15"/>
    </row>
    <row r="760" ht="16.5" customHeight="1">
      <c r="D760" s="15"/>
      <c r="E760" s="15"/>
      <c r="F760" s="15"/>
      <c r="G760" s="15"/>
    </row>
    <row r="761" ht="16.5" customHeight="1">
      <c r="D761" s="15"/>
      <c r="E761" s="15"/>
      <c r="F761" s="15"/>
      <c r="G761" s="15"/>
    </row>
    <row r="762" ht="16.5" customHeight="1">
      <c r="D762" s="15"/>
      <c r="E762" s="15"/>
      <c r="F762" s="15"/>
      <c r="G762" s="15"/>
    </row>
    <row r="763" ht="16.5" customHeight="1">
      <c r="D763" s="15"/>
      <c r="E763" s="15"/>
      <c r="F763" s="15"/>
      <c r="G763" s="15"/>
    </row>
    <row r="764" ht="16.5" customHeight="1">
      <c r="D764" s="15"/>
      <c r="E764" s="15"/>
      <c r="F764" s="15"/>
      <c r="G764" s="15"/>
    </row>
    <row r="765" ht="16.5" customHeight="1">
      <c r="D765" s="15"/>
      <c r="E765" s="15"/>
      <c r="F765" s="15"/>
      <c r="G765" s="15"/>
    </row>
    <row r="766" ht="16.5" customHeight="1">
      <c r="D766" s="15"/>
      <c r="E766" s="15"/>
      <c r="F766" s="15"/>
      <c r="G766" s="15"/>
    </row>
    <row r="767" ht="16.5" customHeight="1">
      <c r="D767" s="15"/>
      <c r="E767" s="15"/>
      <c r="F767" s="15"/>
      <c r="G767" s="15"/>
    </row>
    <row r="768" ht="16.5" customHeight="1">
      <c r="D768" s="15"/>
      <c r="E768" s="15"/>
      <c r="F768" s="15"/>
      <c r="G768" s="15"/>
    </row>
    <row r="769" ht="16.5" customHeight="1">
      <c r="D769" s="15"/>
      <c r="E769" s="15"/>
      <c r="F769" s="15"/>
      <c r="G769" s="15"/>
    </row>
    <row r="770" ht="16.5" customHeight="1">
      <c r="D770" s="15"/>
      <c r="E770" s="15"/>
      <c r="F770" s="15"/>
      <c r="G770" s="15"/>
    </row>
    <row r="771" ht="16.5" customHeight="1">
      <c r="D771" s="15"/>
      <c r="E771" s="15"/>
      <c r="F771" s="15"/>
      <c r="G771" s="15"/>
    </row>
    <row r="772" ht="16.5" customHeight="1">
      <c r="D772" s="15"/>
      <c r="E772" s="15"/>
      <c r="F772" s="15"/>
      <c r="G772" s="15"/>
    </row>
    <row r="773" ht="16.5" customHeight="1">
      <c r="D773" s="15"/>
      <c r="E773" s="15"/>
      <c r="F773" s="15"/>
      <c r="G773" s="15"/>
    </row>
    <row r="774" ht="16.5" customHeight="1">
      <c r="D774" s="15"/>
      <c r="E774" s="15"/>
      <c r="F774" s="15"/>
      <c r="G774" s="15"/>
    </row>
    <row r="775" ht="16.5" customHeight="1">
      <c r="D775" s="15"/>
      <c r="E775" s="15"/>
      <c r="F775" s="15"/>
      <c r="G775" s="15"/>
    </row>
    <row r="776" ht="16.5" customHeight="1">
      <c r="D776" s="15"/>
      <c r="E776" s="15"/>
      <c r="F776" s="15"/>
      <c r="G776" s="15"/>
    </row>
    <row r="777" ht="16.5" customHeight="1">
      <c r="D777" s="15"/>
      <c r="E777" s="15"/>
      <c r="F777" s="15"/>
      <c r="G777" s="15"/>
    </row>
    <row r="778" ht="16.5" customHeight="1">
      <c r="D778" s="15"/>
      <c r="E778" s="15"/>
      <c r="F778" s="15"/>
      <c r="G778" s="15"/>
    </row>
    <row r="779" ht="16.5" customHeight="1">
      <c r="D779" s="15"/>
      <c r="E779" s="15"/>
      <c r="F779" s="15"/>
      <c r="G779" s="15"/>
    </row>
    <row r="780" ht="16.5" customHeight="1">
      <c r="D780" s="15"/>
      <c r="E780" s="15"/>
      <c r="F780" s="15"/>
      <c r="G780" s="15"/>
    </row>
    <row r="781" ht="16.5" customHeight="1">
      <c r="D781" s="15"/>
      <c r="E781" s="15"/>
      <c r="F781" s="15"/>
      <c r="G781" s="15"/>
    </row>
    <row r="782" ht="16.5" customHeight="1">
      <c r="D782" s="15"/>
      <c r="E782" s="15"/>
      <c r="F782" s="15"/>
      <c r="G782" s="15"/>
    </row>
    <row r="783" ht="16.5" customHeight="1">
      <c r="D783" s="15"/>
      <c r="E783" s="15"/>
      <c r="F783" s="15"/>
      <c r="G783" s="15"/>
    </row>
    <row r="784" ht="16.5" customHeight="1">
      <c r="D784" s="15"/>
      <c r="E784" s="15"/>
      <c r="F784" s="15"/>
      <c r="G784" s="15"/>
    </row>
    <row r="785" ht="16.5" customHeight="1">
      <c r="D785" s="15"/>
      <c r="E785" s="15"/>
      <c r="F785" s="15"/>
      <c r="G785" s="15"/>
    </row>
    <row r="786" ht="16.5" customHeight="1">
      <c r="D786" s="15"/>
      <c r="E786" s="15"/>
      <c r="F786" s="15"/>
      <c r="G786" s="15"/>
    </row>
    <row r="787" ht="16.5" customHeight="1">
      <c r="D787" s="15"/>
      <c r="E787" s="15"/>
      <c r="F787" s="15"/>
      <c r="G787" s="15"/>
    </row>
    <row r="788" ht="16.5" customHeight="1">
      <c r="D788" s="15"/>
      <c r="E788" s="15"/>
      <c r="F788" s="15"/>
      <c r="G788" s="15"/>
    </row>
    <row r="789" ht="16.5" customHeight="1">
      <c r="D789" s="15"/>
      <c r="E789" s="15"/>
      <c r="F789" s="15"/>
      <c r="G789" s="15"/>
    </row>
    <row r="790" ht="16.5" customHeight="1">
      <c r="D790" s="15"/>
      <c r="E790" s="15"/>
      <c r="F790" s="15"/>
      <c r="G790" s="15"/>
    </row>
    <row r="791" ht="16.5" customHeight="1">
      <c r="D791" s="15"/>
      <c r="E791" s="15"/>
      <c r="F791" s="15"/>
      <c r="G791" s="15"/>
    </row>
    <row r="792" ht="16.5" customHeight="1">
      <c r="D792" s="15"/>
      <c r="E792" s="15"/>
      <c r="F792" s="15"/>
      <c r="G792" s="15"/>
    </row>
    <row r="793" ht="16.5" customHeight="1">
      <c r="D793" s="15"/>
      <c r="E793" s="15"/>
      <c r="F793" s="15"/>
      <c r="G793" s="15"/>
    </row>
    <row r="794" ht="16.5" customHeight="1">
      <c r="D794" s="15"/>
      <c r="E794" s="15"/>
      <c r="F794" s="15"/>
      <c r="G794" s="15"/>
    </row>
    <row r="795" ht="16.5" customHeight="1">
      <c r="D795" s="15"/>
      <c r="E795" s="15"/>
      <c r="F795" s="15"/>
      <c r="G795" s="15"/>
    </row>
    <row r="796" ht="16.5" customHeight="1">
      <c r="D796" s="15"/>
      <c r="E796" s="15"/>
      <c r="F796" s="15"/>
      <c r="G796" s="15"/>
    </row>
    <row r="797" ht="16.5" customHeight="1">
      <c r="D797" s="15"/>
      <c r="E797" s="15"/>
      <c r="F797" s="15"/>
      <c r="G797" s="15"/>
    </row>
    <row r="798" ht="16.5" customHeight="1">
      <c r="D798" s="15"/>
      <c r="E798" s="15"/>
      <c r="F798" s="15"/>
      <c r="G798" s="15"/>
    </row>
    <row r="799" ht="16.5" customHeight="1">
      <c r="D799" s="15"/>
      <c r="E799" s="15"/>
      <c r="F799" s="15"/>
      <c r="G799" s="15"/>
    </row>
    <row r="800" ht="16.5" customHeight="1">
      <c r="D800" s="15"/>
      <c r="E800" s="15"/>
      <c r="F800" s="15"/>
      <c r="G800" s="15"/>
    </row>
    <row r="801" ht="16.5" customHeight="1">
      <c r="D801" s="15"/>
      <c r="E801" s="15"/>
      <c r="F801" s="15"/>
      <c r="G801" s="15"/>
    </row>
    <row r="802" ht="16.5" customHeight="1">
      <c r="D802" s="15"/>
      <c r="E802" s="15"/>
      <c r="F802" s="15"/>
      <c r="G802" s="15"/>
    </row>
    <row r="803" ht="16.5" customHeight="1">
      <c r="D803" s="15"/>
      <c r="E803" s="15"/>
      <c r="F803" s="15"/>
      <c r="G803" s="15"/>
    </row>
    <row r="804" ht="16.5" customHeight="1">
      <c r="D804" s="15"/>
      <c r="E804" s="15"/>
      <c r="F804" s="15"/>
      <c r="G804" s="15"/>
    </row>
    <row r="805" ht="16.5" customHeight="1">
      <c r="D805" s="15"/>
      <c r="E805" s="15"/>
      <c r="F805" s="15"/>
      <c r="G805" s="15"/>
    </row>
    <row r="806" ht="16.5" customHeight="1">
      <c r="D806" s="15"/>
      <c r="E806" s="15"/>
      <c r="F806" s="15"/>
      <c r="G806" s="15"/>
    </row>
    <row r="807" ht="16.5" customHeight="1">
      <c r="D807" s="15"/>
      <c r="E807" s="15"/>
      <c r="F807" s="15"/>
      <c r="G807" s="15"/>
    </row>
    <row r="808" ht="16.5" customHeight="1">
      <c r="D808" s="15"/>
      <c r="E808" s="15"/>
      <c r="F808" s="15"/>
      <c r="G808" s="15"/>
    </row>
    <row r="809" ht="16.5" customHeight="1">
      <c r="D809" s="15"/>
      <c r="E809" s="15"/>
      <c r="F809" s="15"/>
      <c r="G809" s="15"/>
    </row>
    <row r="810" ht="16.5" customHeight="1">
      <c r="D810" s="15"/>
      <c r="E810" s="15"/>
      <c r="F810" s="15"/>
      <c r="G810" s="15"/>
    </row>
    <row r="811" ht="16.5" customHeight="1">
      <c r="D811" s="15"/>
      <c r="E811" s="15"/>
      <c r="F811" s="15"/>
      <c r="G811" s="15"/>
    </row>
    <row r="812" ht="16.5" customHeight="1">
      <c r="D812" s="15"/>
      <c r="E812" s="15"/>
      <c r="F812" s="15"/>
      <c r="G812" s="15"/>
    </row>
    <row r="813" ht="16.5" customHeight="1">
      <c r="D813" s="15"/>
      <c r="E813" s="15"/>
      <c r="F813" s="15"/>
      <c r="G813" s="15"/>
    </row>
    <row r="814" ht="16.5" customHeight="1">
      <c r="D814" s="15"/>
      <c r="E814" s="15"/>
      <c r="F814" s="15"/>
      <c r="G814" s="15"/>
    </row>
    <row r="815" ht="16.5" customHeight="1">
      <c r="D815" s="15"/>
      <c r="E815" s="15"/>
      <c r="F815" s="15"/>
      <c r="G815" s="15"/>
    </row>
    <row r="816" ht="16.5" customHeight="1">
      <c r="D816" s="15"/>
      <c r="E816" s="15"/>
      <c r="F816" s="15"/>
      <c r="G816" s="15"/>
    </row>
    <row r="817" ht="16.5" customHeight="1">
      <c r="D817" s="15"/>
      <c r="E817" s="15"/>
      <c r="F817" s="15"/>
      <c r="G817" s="15"/>
    </row>
    <row r="818" ht="16.5" customHeight="1">
      <c r="D818" s="15"/>
      <c r="E818" s="15"/>
      <c r="F818" s="15"/>
      <c r="G818" s="15"/>
    </row>
    <row r="819" ht="16.5" customHeight="1">
      <c r="D819" s="15"/>
      <c r="E819" s="15"/>
      <c r="F819" s="15"/>
      <c r="G819" s="15"/>
    </row>
    <row r="820" ht="16.5" customHeight="1">
      <c r="D820" s="15"/>
      <c r="E820" s="15"/>
      <c r="F820" s="15"/>
      <c r="G820" s="15"/>
    </row>
    <row r="821" ht="16.5" customHeight="1">
      <c r="D821" s="15"/>
      <c r="E821" s="15"/>
      <c r="F821" s="15"/>
      <c r="G821" s="15"/>
    </row>
    <row r="822" ht="16.5" customHeight="1">
      <c r="D822" s="15"/>
      <c r="E822" s="15"/>
      <c r="F822" s="15"/>
      <c r="G822" s="15"/>
    </row>
    <row r="823" ht="16.5" customHeight="1">
      <c r="D823" s="15"/>
      <c r="E823" s="15"/>
      <c r="F823" s="15"/>
      <c r="G823" s="15"/>
    </row>
    <row r="824" ht="16.5" customHeight="1">
      <c r="D824" s="15"/>
      <c r="E824" s="15"/>
      <c r="F824" s="15"/>
      <c r="G824" s="15"/>
    </row>
    <row r="825" ht="16.5" customHeight="1">
      <c r="D825" s="15"/>
      <c r="E825" s="15"/>
      <c r="F825" s="15"/>
      <c r="G825" s="15"/>
    </row>
    <row r="826" ht="16.5" customHeight="1">
      <c r="D826" s="15"/>
      <c r="E826" s="15"/>
      <c r="F826" s="15"/>
      <c r="G826" s="15"/>
    </row>
    <row r="827" ht="16.5" customHeight="1">
      <c r="D827" s="15"/>
      <c r="E827" s="15"/>
      <c r="F827" s="15"/>
      <c r="G827" s="15"/>
    </row>
    <row r="828" ht="16.5" customHeight="1">
      <c r="D828" s="15"/>
      <c r="E828" s="15"/>
      <c r="F828" s="15"/>
      <c r="G828" s="15"/>
    </row>
    <row r="829" ht="16.5" customHeight="1">
      <c r="D829" s="15"/>
      <c r="E829" s="15"/>
      <c r="F829" s="15"/>
      <c r="G829" s="15"/>
    </row>
    <row r="830" ht="16.5" customHeight="1">
      <c r="D830" s="15"/>
      <c r="E830" s="15"/>
      <c r="F830" s="15"/>
      <c r="G830" s="15"/>
    </row>
    <row r="831" ht="16.5" customHeight="1">
      <c r="D831" s="15"/>
      <c r="E831" s="15"/>
      <c r="F831" s="15"/>
      <c r="G831" s="15"/>
    </row>
    <row r="832" ht="16.5" customHeight="1">
      <c r="D832" s="15"/>
      <c r="E832" s="15"/>
      <c r="F832" s="15"/>
      <c r="G832" s="15"/>
    </row>
    <row r="833" ht="16.5" customHeight="1">
      <c r="D833" s="15"/>
      <c r="E833" s="15"/>
      <c r="F833" s="15"/>
      <c r="G833" s="15"/>
    </row>
    <row r="834" ht="16.5" customHeight="1">
      <c r="D834" s="15"/>
      <c r="E834" s="15"/>
      <c r="F834" s="15"/>
      <c r="G834" s="15"/>
    </row>
  </sheetData>
  <autoFilter ref="$A$1:$AV$55"/>
  <drawing r:id="rId1"/>
</worksheet>
</file>