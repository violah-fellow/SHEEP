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parison" sheetId="1" state="visible" r:id="rId3"/>
    <sheet name="metrics" sheetId="2" state="visible" r:id="rId4"/>
    <sheet name="eval" sheetId="3" state="visible" r:id="rId5"/>
  </sheets>
  <definedNames>
    <definedName function="false" hidden="true" localSheetId="0" name="_xlnm._FilterDatabase" vbProcedure="false">comparison!$A$1:$Q$174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<sst xmlns="http://schemas.openxmlformats.org/spreadsheetml/2006/main" count="1596" uniqueCount="730">
  <si>
    <t xml:space="preserve">Grant 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</si>
  <si>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</si>
  <si>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</si>
  <si>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</si>
  <si>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</si>
  <si>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</si>
  <si>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</si>
  <si>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</si>
  <si>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</si>
  <si>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</si>
  <si>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</si>
  <si>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</si>
  <si>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</si>
  <si>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</si>
  <si>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</si>
  <si>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status</t>
  </si>
  <si>
    <t xml:space="preserve">error</t>
  </si>
  <si>
    <t xml:space="preserve">grant.14917108</t>
  </si>
  <si>
    <t xml:space="preserve">Scientific Exchange to assess QUality and Risks of FOODs obtained by novel processing and PackagingTechnologies</t>
  </si>
  <si>
    <t xml:space="preserve">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</si>
  <si>
    <t xml:space="preserve">out</t>
  </si>
  <si>
    <t xml:space="preserve">Although the project includes oat milk as a case study, the research focuses on novel food processing and packaging technologies for food safety and shelf-life across a broad range of products (fruits, coffee, palm oil), with no stated focus on alternative protein development or substitution of animal-derived products.</t>
  </si>
  <si>
    <t xml:space="preserve">NA</t>
  </si>
  <si>
    <t xml:space="preserve">ok</t>
  </si>
  <si>
    <t xml:space="preserve">grant.15145414</t>
  </si>
  <si>
    <t xml:space="preserve">VegVit</t>
  </si>
  <si>
    <t xml:space="preserve">"VegVit" is een interdisciplinair project dat gericht is op de ontwikkeling van een assortiment veganistische zuivel- en vleesalternatieven met een verbeterd nutritioneel profiel (vitamine B12, maar ook proteïnekwaliteit/breder aminozuurprofiel). Het eerste concrete doel van het project is dat voedselveilige starterculturen geïdentificeerd en geselecteerd kunnen worden die onder geschikte omstandigheden hoge niveaus van vitamine B12 vormen. Het tweede concrete doel is dat vitamine B12-verrijkte ingrediënten geproduceerd kunnen worden door eerst grondstoffen zoals geëxtrudeerde plantaardige eiwitten of eiwitsuspensies te fermenteren. Deze verrijkte ingrediënten kunnen vervolgens in een tweede stap worden omgezet in hoogwaardige analogen met verhoogde B12-gehaltes en een beter proteïnekwaliteit. Het derde concrete doel is dat vitamine B12 in-situ gevormd wordt via een co-fermentatieproces, door tijdens het productieproces van salami- yoghurt- of smeerkaasanalogen geschikte starterculturen toe te voegen. Afhankelijk van de aard en samenstelling van de matrix (geselecteerde ingrediënten, homogene of heterogene matrix structuur, pH, wateractiviteit) kan de ene aanpak voordeliger zijn dan de andere. Hierbij ligt de focus op het creëren van producten die zowel in kwaliteit als voedingswaarde voldoen aan de verwachtingen van de consument.</t>
  </si>
  <si>
    <t xml:space="preserve">in</t>
  </si>
  <si>
    <t xml:space="preserve">This project explicitly develops vegan dairy and meat analogues (salami, yoghurt, cheese analogues) using fermentation of plant-based proteins to improve nutritional profile (vitamin B12 and protein quality), directly advancing alternative protein product development.</t>
  </si>
  <si>
    <t xml:space="preserve">PB</t>
  </si>
  <si>
    <t xml:space="preserve">CC</t>
  </si>
  <si>
    <t xml:space="preserve">Acceptable as CC, but PB preferred.</t>
  </si>
  <si>
    <t xml:space="preserve">grant.14631940</t>
  </si>
  <si>
    <t xml:space="preserve">Growing well Study (GWS): the role of portion size, plant-based foods and commercially manufactured foods and drinks</t>
  </si>
  <si>
    <t xml:space="preserve">What are the study aims?  To understand more about eating habits of children aged 1-5 years old, and how this affects their growth and dental health. We also want to find age-appropriate food/drink portion sizes.  Why is this research important?  Healthy diets in early years are important for growth and development. However, it is difficult to give parents clear guidance on what and how much children should eat due to lack of up-to-date information. Commercially manufactured foods/drinks for young children are often high in free sugars, salt, and fat. Plant-based diets (PBDs) may also be low in important nutrients.  What will we do?  Part 1: Collect data on foods/nutrients/dietary patterns of children to determine optimum growth and dental health  At baseline, parents of children aged 1-5 years from Leeds, Doncaster and East London will complete questionnaires about their child s food intake. They will be asked to record what their child has eaten for three one-day periods across 6 months using an online system called  myfood24 . This has a large commercial product database with child-appropriate portion sizes. Parents will also attend one in-person session with their child. Children s length/height, weight, and head circumference will be measured at local children s centres/nurseries or in homes.  We will ask these same people to complete surveys again one year later, with another measurement session to look at growth. We will also assess dental health to identify healthy and decayed teeth.  Part 2: Analyse the results of surveys and measurements  We want to understand how growth and dental health are influenced by nutrient intakes (e.g. sugar or fat), diet pattern (vegetarian/vegan/dairy free), and portion sizes for key food groups. We will identify how much of different foods children should be eating for their age.  We can also find out whether commercial foods designed for children are needed.  How will parents be involved?  Our parent advisors have provided input to this summary and helped in study design including planning how best to collect information and engage with participants. We will create a  Parent Advisory Group  in Leeds/Doncaster/East London. Representatives will form part of the Project Steering Committee.  What do we expect to achieve and what happens next?  We will identify the optimum nutrient composition of diets to support healthier children; and how sub-optimal intakes in vulnerable groups may be redressed. Guidelines will be developed to help parents and policy-makers promote age-appropriate portion sizes of foods. We will also know whether contemporary vegetarian/vegan/non-dairy dietary patterns can support optimum growth. New guidance will be provided on caring for children s teeth.  Our findings will be shared in written reports, through a social media/media campaign to promote guidelines; plus visual storytelling feedback for participants and key influencer groups.Research question  We will answer questions posed by the recent Scientific Advisory Committee on Nutrition (SACN) report:    What are age-appropriate food and drink portion sizes in relation to growth and dental health?  What are the short-term effects (12 months) on growth and dental health of commercial foods for children; vegetarian/vegan/dairy-free dietary patterns?  What is the impact on growth and dental health of macro- and micro-nutrient intakes; fruit juices/free sugars; formula milks for 12m+; sweeteners?   Background  In the UK, little contemporary data exists on diet in young children but worrying trends in preschool overweight and dental health are reported. Current young child diets do not meet dietary recommendations and evidence-driven age-appropriate portion size recommendations are missing. Further research into the impact of plant-based diets, the use of commercial foods, and toddler milks is also recommended by SACN.  Aims and Objectives  To provide new evidence on diet in children aged 1-5y, linked to optimum growth and dental health. Quantifying age-appropriate portion sizes for different foods and drinks.    Collect data on child dietary intake, portion sizes.  Collect data on parent and child attributes, including child anthropometrics and dental health.  Evaluate food and nutrient intake in relation to i) growth over 12 months, ii) child and parent characteristics, including ethnic diversity, deprivation and iii) dental health.  Make recommendations for nutrition and age-appropriate portions.   Methods  We will recruit 2100 parents of young children (1-5years) through the Born and Bred in (BaBi) Network birth cohorts in Leeds, Doncaster, and East London. Recruitment will include at least 400 in each year bracket, 20% non-white, 20% from deprived locations, and 300 (15%) vegetarian/vegan/non-dairy diet. Plans are in place to ensure recruitment targets are met. Protocols, consent forms, and questionnaires will be co-designed with our Parent Advisory Group.  Baseline data will be collected using i) online survey, ii) face-to-face growth measures of height, weight, length, head circumference iii) 3 x 24h measures of diet spanning 6 months. Follow-up data collected after 12 months will repeat baseline measures and include a dental assessment.  Cross-sectional and longitudinal analysis will explore how growth and dental health are influenced by nutrient intakes, diet pattern, and food portion sizes. Age/gender appropriate portion sizes for key food groups will be characterised with linear mixed-effects modelling for specific foods/food groups in relation to the child s position on the growth chart centiles.  Timelines  Month 3 Study start (ethics, questionnaires etc.) completed.  Month 5 Pilot test.  Months 6-12 baseline data collection.  Month 18 all baseline diet information collected.  Months 19- 24 follow-up data collected.  Month 36 analysis and write up complete.  Anticipated Impact and Dissemination  Knowledge of associations between food and nutrient intakes and growth/dental health and knowledge of suboptimal intakes in vegan/vegetarian/dairy-free or vulnerable groups will enable evidence-based guidelines on age-appropriate portion sizes and optimal diet composition.  Guideline promotion to key stakeholders and visual feedback to participants will support intake of age-appropriate portions and healthier diets. Ultimately resulting in healthier children, with better dental health. Guidelines will also highlight social inequalities, indicating specific actions to redress imbalances.</t>
  </si>
  <si>
    <t xml:space="preserve">This study examines dietary habits and growth outcomes in young children, including vegetarian/vegan/dairy-free diets, but focuses on general nutritional epidemiology rather than the development, characterisation, or societal aspects of alternative protein products specifically.</t>
  </si>
  <si>
    <t xml:space="preserve">grant.15060106</t>
  </si>
  <si>
    <t xml:space="preserve">"Een Exclusieve Duurzaamheidstransitie van de Mode? Hoe Culturele Duurzaamheidsentrepreneurs in Culturele Industrieën Klimaatpolarisatie Riskeren"</t>
  </si>
  <si>
    <t xml:space="preserve">Dit project neemt de ecologisch destructieve case van mode om te bestuderen hoe belangrijke klimaatvoorvechters in culturele industrieën, zoals groene influencers, mogelijk bijdragen aan polarisatie door burgers met andere achtergronden en opvattingen over duurzaamheid uit te sluiten en te moraliseren. Aangezien de cultuursociologie aantoont dat culturele industrieën gedomineerd worden door witte hogere middenklassen, en klimaatsociologie waarschuwt dat hun klimaatbenadering moraliserend is, verwacht dit project dat duurzaamheid in culturele velden gericht is op de 'havermelkelite', met mogelijke polarisatie en klimaattegenslag tot gevolg. Door deze perspectieven uit de cultuursociologie, klimaatsociologie en politicologie te verbinden, toont dit project (1) wie, in termen van sociaal, cultureel en economisch kapitaal, het duurzaamheidsframe in de mode bepalen, (2) in welke mate en hoe ze burgers met minder kapitaal en andere duurzaamheidsbenaderingen moraliseren en uitsluiten (3) hoe dit leidt tot affectieve polarisatie tot ver buiten de mode. Door kwalitatieve en kwantitatieve methoden te combineren, bestudeert dit project deze vragen in 3 Europese landen (België, Zweden en Italië) met nadruk op sociale media, de plek voor de discursieve constructie van duurzaamheid in de mode en daarbuiten. Dit project toont zo hoe de ongelijkheden van culturele productie uitsluiting en polarisatie rond de klimaatcrisis veroorzaakt en legt de culturele wortels van klimaatpolarisatie bloot.</t>
  </si>
  <si>
    <t xml:space="preserve">This grant concerns the sociology of sustainability in the fashion industry, studying climate polarisation and cultural inequality — it has no connection to alternative proteins or food science.</t>
  </si>
  <si>
    <t xml:space="preserve">grant.15150934</t>
  </si>
  <si>
    <t xml:space="preserve">From Potato Waste to Mycoprotein – A Sustainable Food Innovation</t>
  </si>
  <si>
    <t xml:space="preserve">This project aims to upcycle food-grade potato side streams from Orkla, into protein-rich food ingredients via solid-state fermentation with the filamentous fungus Fusarium venenatum (used in Quorn). The resulting mycoprotein is a biomass high in protein and fiber that can serve as a sustainable meat alternative. Our approach tackles two challenges simultaneously: reducing food waste by valorizing agro-industrial by-products, and creating new climate-friendly protein sources. A prior proof-of-concept demonstrated that Fusarium can effectively grow on potato and significantly increase their protein content. Building on this foundation, the plan is to develop the fermentation process further, enabling the next step of implementing the process in pre-pilot scale utilising Biotech Heights, with Orkla, providing side streams in-kind and help align the research with relevant conditions. The project will deliver optimized fermentation protocols, comparisons of different reactor designs, nutritional and sensory evaluation of the resulting protein, and prototype food products incorporating it. The expected outcomes will show a circular “food-from-food-waste” model in which potato residues are converted into a valuable protein ingredient. This aligns with the objectives of the national research program on Food and Climate by developing resource-efficient, circular production systems that reduce environmental impact while enhancing sustainable food supply and industry competitiveness.</t>
  </si>
  <si>
    <t xml:space="preserve">This grant directly concerns biomass fermentation using Fusarium venenatum (the organism used in Quorn mycoprotein) on potato side streams to produce a protein-rich meat alternative ingredient, which is clearly within the fermentation alternative protein category.</t>
  </si>
  <si>
    <t xml:space="preserve">F</t>
  </si>
  <si>
    <t xml:space="preserve">grant.14933116</t>
  </si>
  <si>
    <t xml:space="preserve">Flexible and Efficient Capture and Bioconversion of CO2 to Materials and Ingredients</t>
  </si>
  <si>
    <t xml:space="preserve">The UNICO2RN project aims to demonstrate novel routes to convert biogenic CO2 into ingredients and materials, involving metal organic framework-based capture and purification technology and biotechnological processes based on Hydrogen Oxidizing Bacteria. The modularity and flexibility of the developed processes will be shown through 2 demonstration cases in real industrial settings at TRL 7 for sustainable and efficient production of microbial proteins and PHA, from 2 types of biogenic CO2 sources of different concentration and purity. These new routes bring clear advantages in terms of efficiency, safety, environmental footprint and greenhouse gas emission reductions with respect to benchmarks. Their development to TRL7 will enable their industrialization and thus lead to major positive economic, environmental and social/societal impacts.</t>
  </si>
  <si>
    <t xml:space="preserve">The project involves Hydrogen Oxidizing Bacteria to produce microbial proteins (single-cell protein via biomass fermentation), which is an alternative protein production method within the fermentation category.</t>
  </si>
  <si>
    <t xml:space="preserve">grant.15162658</t>
  </si>
  <si>
    <t xml:space="preserve">FUNGAL SINGLE CELL PROTEIN FROM MACROALGAL WASTE FERMENTATION: IMPROVING SUSTAINABILITY AND REDUCING THE CARBON FOOTPRINT OF FISH AQUAFEEDS</t>
  </si>
  <si>
    <t xml:space="preserve">ALFUNFEED BUSCA TRANSFORMAR LA PRODUCCION DE ALIMENTOS ACUICOLAS MEDIANTE PROCESOS BIOTECNOLOGICOS INNOVADORES. SU OBJETIVO PRINCIPAL ES SUSTITUIR LAS FUENTES DE PROTEINA VEGETAL (PP) EN ALIMENTOS ACUICOLAS PARA ESPECIES DE PECES CARNIVOROS POR PROTEINA UNICELULAR (SCP) DERIVADA DE LA FERMENTACION FUNGICA DE SUSTRATOS A BASE DE MACROALGAS. ALFUNFEED SE BASA EN UN ENFOQUE MULTIDISCIPLINARIO QUE APROVECHA LA EXPERIENCIA DE DIVERSOS CAMPOS. LA FASE INICIAL, LIDERADA POR ODS, SE CENTRA EN EL DESARROLLO DE SCP A PARTIR DE TRES CEPAS DE HONGOS FILAMENTOSOS (NEUROSPORA CRASSA, RHIZOPUS ORYZAE Y FUSARIUM VENENATUM), CONSIDERANDO CUATRO VARIABLES DE PRODUCCION (TEMPERATURA, PH, OXIGENACION Y COMPOSICION DEL MEDIO), LO QUE DA COMO RESULTADO TRES SCP QUE SUSTITUYEN EL 15 % DE PP EN LAS DIETAS DE LUBINA (DICENTRARCHUS LABRAX), COMO MODELO DE ESPECIES DE PECES CARNIVOROS. CON LAS CONDICIONES OPTIMAS DEFINIDAS, SE FORMULARAN TRES DIETAS CON SCP DE CADA CEPA PARA ALIMENTAR A JUVENILES DE LUBINA EN UN ESTUDIO PILOTO QUE INCLUYE PRUEBAS DE ALIMENTACION Y EVALUACION DEL ESTADO INMUNITARIO (CIIMAR), REGULACION DE LA INGESTA DE ALIMENTO, PERFIL NUTRICIONAL Y FUNCION DIGESTIVA (UVIGO), MICROBIOTA INTESTINAL (UTH) Y BIENESTAR DE LOS PECES (UNIVPM). EL SCP MAS PROMETEDOR DEL ESTUDIO PILOTO SE SOMETERA A UN ESTUDIO DE VALIDACION SEGUN LAS RECOMENDACIONES DE LA EFSA CON DIFERENTES NIVELES DE SUSTITUCION DE PP (15-25%) PARA DETERMINAR LA SUSTITUCION OPTIMA SIN COMPROMETER LA ROBUSTEZ DE LOS PECES. TAMBIEN SE EVALUARA EL ANALISIS DE COSTES Y EL IMPACTO AMBIENTAL DEL SCP Y LA PRODUCCION DE ALIMENTOS ACUICOLAS INTEGRALES. LOS SOCIOS DEL CONSORCIO, PROCEDENTES DE PAISES EUROPEOS CLAVE EN ACUICULTURA (GRECIA, ESPAÑA, ITALIA Y PORTUGAL), QUE REPRESENTAN LAS CUENCAS MEDITERRANEA Y ATLANTICA, BUSCAN GENERAR INFORMACION Y DATOS VALIOSOS QUE BENEFICIEN LAS PRACTICAS ACUICOLAS A NIVEL MUNDIAL. ESTE ESFUERZO COLABORATIVO ENCARNA EL MODELO DE LA CUADRUPLE HELICE, INVOLUCRANDO AL MUNDO ACADEMICO, LA INDUSTRIA, EL GOBIERNO Y LA SOCIEDAD CIVIL PARA IMPULSAR EL SECTOR ACUICOLA HACIA LA SOSTENIBILIDAD Y LA RESILIENCIA. EL PROYECTO ENFATIZA LOS PRINCIPIOS DE SOSTENIBILIDAD Y ECONOMIA CIRCULAR AL VALORIZAR LOS DESCARTES DE MACROALGAS COMO UN RECURSO VALIOSO PARA LA PRODUCCION DE SCP. ALFUNFEED CONTRIBUYE AL DESARROLLO DE UNA ECONOMIA OCEANICA MAS EQUITATIVA Y RESPETUOSA CON EL MEDIO AMBIENTE, ALINEANDOSE CON LOS DESAFIOS ESPECIFICOS DESCRITOS EN EL DECENIO DE LAS NACIONES UNIDAS DE LAS CIENCIAS OCEANICAS, COMO EL DESARROLLO SOSTENIBLE DE LA ECONOMIA OCEANICA Y LA SEGURIDAD ALIMENTARIA MUNDIAL, ABORDANDO ASI PROBLEMAS GLOBALES CRITICOS. ALFUNFEED TAMBIEN PRIORIZA LAS ACTIVIDADES DE SENSIBILIZACION Y PARTICIPACION PARA PROMOVER LA CULTURA OCEANICA Y LAS PRACTICAS ACUICOLAS RESPONSABLES. A TRAVES DE INICIATIVAS DE DIFUSION, EL PROYECTO BUSCA LLEGAR A PUBLICOS DIVERSOS Y FOMENTAR UNA COMPRENSION MAS PROFUNDA DE LA IMPORTANCIA DE LA PRESERVACION DE LOS RECURSOS MARINOS. LA IMPLEMENTACION EXITOSA DE ALFUNFEED PODRIA CONDUCIR A LA ADOPCION GENERALIZADA DE FORMULAS DE ALIMENTOS ACUICOLAS SOSTENIBLES A ESCALA INDUSTRIAL. SE HAN IMPLEMENTADO ESTRATEGIAS INTEGRALES DE DIFUSION Y GESTION DE LA PROPIEDAD INTELECTUAL PARA GARANTIZAR LA EXPLOTACION RESPONSABLE DE LOS RESULTADOS DEL PROYECTO, MAXIMIZANDO SU IMPACTO Y FACILITANDO LA TRANSICION HACIA UN SECTOR ACUICOLA MAS SOSTENIBLE.</t>
  </si>
  <si>
    <t xml:space="preserve">This grant focuses on producing fungal single-cell protein from macroalgal waste for use in aquafeeds (fish feed) for carnivorous fish species, which is explicitly a non-human food/aquafeed application and therefore out of scope.</t>
  </si>
  <si>
    <t xml:space="preserve">grant.15166434</t>
  </si>
  <si>
    <t xml:space="preserve">Sustainable production of microbial proteins and their application in value-added cereal goods manufacturing</t>
  </si>
  <si>
    <t xml:space="preserve">As demand for animal origin food products increases faster than a global production can offer, novel strategies for carbon-neutral food manufacturing are an important part for diversifying food products and ensuring food self-sufficiency. Nowadays, more than one-fifth of global greenhouse gas emissions come from agriculture. Therefore, the development of alternative proteins and their adoption by consumers is critical to reduce negative climate change. Although plant-based alternatives make up 99% of this market, and most other proteins types (insects or microbes) are still in research and development pushing their greater commercialization at the end of this decade. The market with microbial proteins will be driven mainly by the expected increase in the world population, associated with countries' effort to secure food self-sufficiency and current trends in food consumption, which won’t be reachable by conventional agriculture/economy. Among the advantages of microbial proteins is their simple production, which includes a very short production time compared to the duration of growing crops, or raising animals, and also lower land and water requirements. Moreover, already available and producible mycoproteins (used as whole-cell products; without necessity of protein concentration or isolation) contain 40 % protein, have a high fibre content, limited saccharides content and don’t contain cholesterol, which makes them nutritionally more interesting compared to „classic“ proteins.
The presented project focuses on potential production of microbial proteins using filamentous fungi and yeast by utilization of waste byproducts from industry. The main waste side-stream would be corn mash (form ethanol production) and glycerol (from biodiesel production). Returning of such waste into production has significant environmental effect. Furthermore, the produced biomass will be employed into process of bakery good production. Thus the effect of usage of these alternative would b</t>
  </si>
  <si>
    <t xml:space="preserve">The grant focuses on biomass fermentation using filamentous fungi and yeast to produce microbial proteins (mycoprotein) as alternative protein ingredients for food applications, which is clearly within scope.</t>
  </si>
  <si>
    <t xml:space="preserve">grant.14933075</t>
  </si>
  <si>
    <t xml:space="preserve">Upcycling mushroom waste to replace animal derived chemicals</t>
  </si>
  <si>
    <t xml:space="preserve">Animal-derived materials are surprisingly widespread in everyday products. For example, in the cosmetics, pharmaceutical and agrochemicals industries, squalene (from shark liver oil), chitin/chitosan (from crustaceans) and animal-derived proteins and fats are widely exploited despite growing ethical and sustainability concerns.
Fungal biomass is rich in chitin, while recent advances in fermentation technologies offer opportunities to convert fungal glucans into microbial proteins, oils and even triterpenes such as squalene.
However, scalability is a major challenge, due to the limited availability of clean fungal biomass and competition with food/feed value chains. Moreover, oil production using existing fungal fermentation routes is limited to low-value triglycerides, and efficient product extraction remains a bottleneck.
Feedstock diversification is needed, alongside innovation towards higher-value products and more efficient processes.
The production of edible mushrooms produces ~189M tpa of mycelium rich wastes, contaminated with lignocellulosic growth substrate. This contamination makes these wastes unsuitable for food/feeds, and incompatible with existing valorisation approaches.
MYCOCIRCLE will focus on this challenging feedstock, developing new technologies including an enzymatic fractionation process, two parallel fermentation routes, and novel enzymatic chitin conversion reactions.
The resulting product streams, including fungal chitosan/chito-oligosaccharides, a high-value squalene-rich microbial oil, and microbial proteins, will be validated as replacements to animal derived materials in cosmetic and agrochemical applications.
The MYCOCIRCLE consortium represents the entire value chain, from feedstock producers (SYLVAN, KORONA) to industrial biotechnology companies (GST), and end users (GI, THGL). This value chain will be supported by world experts in biomass valorisation, enzymatic processing, and SSbD development: TUM, SINTEF, NMBU, SLU and IDENER.</t>
  </si>
  <si>
    <t xml:space="preserve">The grant focuses on upcycling mushroom waste to produce chitin/chitosan, squalene-rich oils, and microbial proteins for cosmetic and agrochemical applications — not for human food or as substitutes for animal-derived food products.</t>
  </si>
  <si>
    <t xml:space="preserve">grant.14486646</t>
  </si>
  <si>
    <t xml:space="preserve">Rim-kinases in fungal secondary metabolism and pathogenicity</t>
  </si>
  <si>
    <t xml:space="preserve">Molds play a variety of ecological roles on our planet, especially in natural nutrient cycles and as 
pathogens of plants and animals. Of particular interest is their ability to produce a wide variety of 
small, bioactive molecules. One example of a very useful molecule is the antibiotic penicillin, which 
has saved millions of lives to date. But there are also dangerous molecules, such as toxins produced 
by molds, that can contaminate our food and thereby threaten consumer health. So the final goal 
must be to precisely understand the molecular and cellular programs in those fungi and thus develop 
natural solutions against fungal infections. 
Our previous research has shown that epigenetic processes regulate toxin production, but also a 
specific kinase - a regulatory protein that can chemically modify other proteins in its environment - 
plays a decisive role. In a previously unknown way, it is able to transmit a starvation signal in the cell, 
which ultimately leads to a complete change in the cellular metabolism and thereby activates the 
genetic machinery for toxin formation. 
In this project, we are now addressing the question of exactly how the starvation signal is processed 
by the fungal cell so that mycotoxins are formed. For this, we are using as experimental systems a 
conventional mold that is present ubiquitously in nature and buildings (Aspergillus) and a fungus 
that is considered one of the most important pathogens in crop plants worldwide (Fusarium). 
The entire genetic response of both fungi at the RNA level and at the protein level will be analyzed 
molecularly, biochemically and bioinformatically during different stages of their life cycles. In 
addition, those proteins whose function is regulated by the kinase should be identified. In this way, 
the signaling pathway from nutrient deficiency from the cell surface to the genetic activation of toxin 
production in two different molds should be elucidated as completely as possible. 
Ultimately, the results of this research could close a gap in the fundamental understanding of cellular 
processes during toxin production in mold fungi. This knowledge can then be used to develop new 
control strategies to ward off plant diseases and prevent biological contamination of food.</t>
  </si>
  <si>
    <t xml:space="preserve">This grant concerns fungal pathogenicity and mycotoxin production mechanisms in Aspergillus and Fusarium, with no connection to alternative protein development or production.</t>
  </si>
  <si>
    <t xml:space="preserve">grant.14878552</t>
  </si>
  <si>
    <t xml:space="preserve">Designing a professional-secretory synthetic endoplasmic reticulum in yeasts and plant cells</t>
  </si>
  <si>
    <t xml:space="preserve">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</si>
  <si>
    <t xml:space="preserve">This grant focuses on engineering the endoplasmic reticulum in yeast and plant cells to improve recombinant protein secretion for biopharmaceutical and general biotechnology applications, with no specific mention of alternative protein products or ingredients intended to substitute animal-derived foods.</t>
  </si>
  <si>
    <t xml:space="preserve">grant.15078549</t>
  </si>
  <si>
    <r>
      <rPr>
        <sz val="11"/>
        <color theme="1"/>
        <rFont val="Calibri"/>
        <family val="2"/>
        <charset val="1"/>
      </rPr>
      <t xml:space="preserve">SEAlgaePower </t>
    </r>
    <r>
      <rPr>
        <sz val="11"/>
        <color theme="1"/>
        <rFont val="Microsoft YaHei"/>
        <family val="2"/>
        <charset val="1"/>
      </rPr>
      <t xml:space="preserve">－ </t>
    </r>
    <r>
      <rPr>
        <sz val="11"/>
        <color theme="1"/>
        <rFont val="Calibri"/>
        <family val="2"/>
        <charset val="1"/>
      </rPr>
      <t xml:space="preserve">Sustainable development of microalgae-based ingredients using waste streams from aquaculture and seafood processing industry as feedstock</t>
    </r>
  </si>
  <si>
    <t xml:space="preserve">The overall objective of the SEAlgaePower project is to develop innovative microalgae-based technologies to clean wastewater from the aquaculture and seafood processing industry while simultaneously producing biomass for novel ingredients in a sustainable way. The specific aims are to: (i) select suitable microalgae species from the North and the Mediterranean Sea in a lab-scale cultivation system based on the ability to grow in different wastewater types; (ii) develop protocols for pilot-scale algae cultivation and wastewater cleaning; (iii) develop biorefinery protocols for protein, lipid and carbohydrate recovery from the microalgal biomass; (iv)  develop microalgae-based product prototypes and ingredients; (v) assess environmental and socio-economic aspects associated with the project solutions for wastewater cleaning, microalgae cultivation and biomass valorisation, and (v) maximise the project impact, visibility, and legacy. In this project, UGOT will employ a two-stage cultivation in lab-scale for screening of microalgae growth in wastewater from salmon aquaculture and process waters from the seafood industry. Chalmers will analyse the biochemical composition of the various water types and will also contribute to biorefining of microalgal biomass by extracting protein for development of alternative food protein ingredients. RISE will use polysaccharide-enriched fractions from the biorefinery to develop fibre prototypes for use in wound care and regenerative medicine.</t>
  </si>
  <si>
    <t xml:space="preserve">The project explicitly aims to extract protein from microalgal biomass for development of alternative food protein ingredients, which falls under fermentation/biomass fermentation scope, though the project also includes out-of-scope elements such as wastewater treatment, aquafeed, and medical applications (wound care, regenerative medicine).</t>
  </si>
  <si>
    <t xml:space="preserve">grant.15201530</t>
  </si>
  <si>
    <t xml:space="preserve">24BBR: Integrated bioinformatics resources for fungal and oomycetes pathogens of plants</t>
  </si>
  <si>
    <t xml:space="preserve">The spread of fungal and oomycete species presents significant challenges for current and future efforts in global food security, and threatens important non-food plant species in the UK ecosystem. Monoculture farming, changing climate and international trade are driving phytopathogen expansion into new geographical regions and new hosts. Discovery and translational research is increasingly reliant on genomic and other large-scale technologies, for example to identify genes implicated in invasion, pathogenesis, and plant responses/immunity. Genomes, population diversity data, and genomic-scale gene/protein expression datasets are now available in archival repositories for many phytopathogens, but, these static repositories do not support robust updating, querying and data-mining, making them difficult to exploit even by groups with extensive bioinformatics expertise.
Our teams are responsible for the development and dissemination of two major international genome database resources: Ensembl and VEuPathDB (the Eukaryotic Pathogen, Vector and Host Knowledgebase) – both recognized as Global Core Biodata and Core Elixir Data resources, reflecting their international importance. Ensembl subsites relevant to plant health include Ensembl Fungi, Ensembl Protists (including oomycetes) and Ensembl Plants. Key features include a powerful, customisable genome browser supporting community tracks, phylogenetic gene trees displaying ortholog and paralog relationships across taxa, and visualisation of synteny, driven by whole genome alignments. Ensembl also provides production-grade genome annotation and transcriptome analysis, used in-house and integrated into the VEuPathDB pipeline to maximise efficiency and consistency, and minimise duplication of effort.
VEuPathDB includes subsites focussed on infectious disease pathogens, including human and animal diseases prioritised by past/current funders, but also including plant pathogens with extensive functional data. The FungiDB component supports hundreds of species, including scores of important plant pathogens (Blumeria, Botrytis, Colletotrichum, Fusarium, Magnaporthe, Melampsora, Phytophthora, Puccinia, Ustilago, Zymoseptoria, etc) as well as taxa important in the food production and biotech sectors. In addition to gene/genome browsers, this knowledgebase provides powerful web-based tools and APIs for data integration and exploration, enabling users to ask their own questions in silico, seeking (for example) plant pathogen effectors based on protein motifs, gene/protein expression timing, signatures of selection and epigenetic marks, gene set enrichment, and leveraging orthology for cross-species functional inference based on phenotypic information. The HostDB component supports simultaneous interrogation of combined host-pathogen datasets.
These proven, cost-effective resources have coordinated efforts for years, but have not previously benefited from dedicated funding to focus on phytopathogens.  We propose to:
Load or update 80+ genomes from archival repositories, using Ensembl annotation pipelines to build new or improve gene annotations, and the Apollo interface to capture expert knowledge from the community.
Generate orthology mappings across taxa, protein domain annotations for all genomes, and further develop/deploy fungal-specific annotation tools focused on virulence factors, biosynthetic gene clusters and, protein structure-driven discovery of new or updated functions.
Process/load 200+ functional genomic datasets and 30-40 plant response to infection datasets, enabling user-driven queries to identify genes of interest (e.g. for specific plant diseases), including support for analysis and visualisation of host-pathogen interactions (e.g. co-expression networks).
Building on a history of successful collaboration and community engagement, outreach efforts will obtain community input on dataset prioritisation, and promote/explain effective use of informatics tools to advance research.
FAIR data access is a priority; all datasets, tools and code will be fully open source and freely available through multiple routes (web browser, API, downloads) in support of plant health research.</t>
  </si>
  <si>
    <t xml:space="preserve">This grant concerns bioinformatics database resources for fungal and oomycete plant pathogens to support plant health and food security research, with no connection to alternative protein development, production, or any related societal/environmental analysis.</t>
  </si>
  <si>
    <t xml:space="preserve">grant.15195928</t>
  </si>
  <si>
    <t xml:space="preserve">3D Bioprinting of cultivated meat: Biopolymer matrices supporting formation of muscle fibers in vitro</t>
  </si>
  <si>
    <t xml:space="preserve">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</si>
  <si>
    <t xml:space="preserve">This grant explicitly focuses on cultivated meat, including scaffolding/biopolymer matrices, bioprinting techniques, and in vitro muscle fiber formation for growing beef cuts under animal-free conditions.</t>
  </si>
  <si>
    <t xml:space="preserve">CM</t>
  </si>
  <si>
    <t xml:space="preserve">grant.15051286</t>
  </si>
  <si>
    <t xml:space="preserve">SEAlgaePower: Sustainable development of microalgae-based products using waste streams from aquaculture and seafood processing industry</t>
  </si>
  <si>
    <t xml:space="preserve">The fast-growing land-based aquaculture and seafood processing industry generate large amounts of nutrient-rich wastewater, posing a high cost for discharge and environmental impact. At the same time, there is an increasing demand for new resources intended for carbon-neutral production of food, material and energy. The ability of microalgae to perform photosynthesis and efficiently convert dissolved nutrients into valuable biomass could contribute to solving this dual problem. The overall objective of SEAlgaePower is to develop microalgae-based technologies to clean wastewater from the aquaculture and seafood processing industry while simultaneously producing biomass for novel ingredients in a sustainable way.  The specific aims are to: (i) select suitable microalgae species/strains from the North and the Mediterranean Sea in a lab-scale cultivation system based on the ability to grow in different wastewater types; ((ii) develop pilot-scale algae cultivation protocols and wastewater cleaning; (iii) develop biorefinery protocols for protein, lipid and carbohydrate recovery from the microalgal biomass; (iv) develop microalgae-based prototypes and ingredients; (v) assess environmental and socio-economic aspects associated with the project solutions on wastewater cleaning, microalgae cultivation and biomass valorisation, and (v) maximise the project impact, visibility, and legacy.
The SEAlgaePower consortium, coordinated by the University of Gothenburg, consists of thirteen partners from seven countries: Chalmers University of Technology, NORCE Norwegian Research Centre, University of Aveiro, University of Palermo, Sustainable Innovation Technology Services, RISE Research Institutes of Sweden, Nordicflexhouse, Danish Technological Institute, Universidade de Sao Paulo, Norwegian Institute of Bioeconomy Research, Klädesholmen Seafood, and RAGN-SELLS HAVBRUK.</t>
  </si>
  <si>
    <t xml:space="preserve">The project develops microalgae biomass as a source of protein, lipid, and carbohydrate ingredients for novel food products, which falls under biomass fermentation/microalgae as an alternative protein source, though the application to alternative proteins specifically is implied rather than explicitly stated and the project also covers non-food applications (materials, energy, wastewater treatment).</t>
  </si>
  <si>
    <t xml:space="preserve">grant.14881068</t>
  </si>
  <si>
    <t xml:space="preserve">Expanding the CRISPR Toolbox for Engineering Synthetic Oscillators in Bacteria</t>
  </si>
  <si>
    <t xml:space="preserve">Synthetic biology offers innovative solutions to pressing global challenges such as climate change, food security, environmental degradation, and public health crises. Synthetic gene regulatory networks play a key role in harnessing the power of engineered biological systems. However, the inherent constraints of commonly used transcription factors, such the burden they place on the host metabolism, insufficient orthogonality, modularity and programmability, limit progress in engineering complex synthetic circuits for precise and programmable control of gene expression. CRISPR (clustered regularly interspaced short palindromic repeats)-based synthetic circuits, where interactions between different network nodes are implemented with CRISPR interference (CRISPRi) and CRISPR activation (CRISPRa), circumvent some of those shortcomings and make circuit design more modular and scalable. Despite the enormous potential, research on how to engineer such circuits in bacteria is still at its beginning. I propose to further improve the toolbox of bacterial CRISPR-based dynamic synthetic circuits and to apply it to build CRISPR-based synthetic oscillators in Escherichia coli. Oscillatory circuits exhibit periodic fluctuations in gene expression and are pervasive in living organisms, with examples in cell cycles, circadian rhythms, metabolic activities, and pattern formation during multicellular development. Diverse applications of synthetic oscillators have already been proposed, ranging from fundamental research, bioproduction, biological computing and therapeutic applications to biological timers.We will establish a collection of synthetic CRISPRi-based oscillators with different Cas proteins and circuit topologies. The collection will span oscillators differing in their properties, such as amplitude, frequency, and accuracy. We will also go beyond the-state-of-the-art in integrating CRISPRi and CRISPRa in the same circuit. Finally, we will assess and if necessary, improve the evolutionary stability of the built CRISPR-based oscillators. To reach our objectives, we will apply a combination of experimental approaches (including optogenetics, microfluidics, and evolutionary experiments) and computational modelling.Our work will be at the forefront of synthetic biology by developing novel CRISPRi/a systems, applying them to synthetic oscillators and enabling the combination of multiple circuits within a single cell. Ensuring the stability of our circuits will enhance their future applications in fields as diverse as biotechnology, medicine, biological sensors, engineered living materials and biocomputing. The results of this project are also highly relevant to developmental biology, where temporal oscillations play a critical role in pattern formation during embryonic development. In summary, this project holds potential to unlock new possibilities in both fundamental biology and applied science.</t>
  </si>
  <si>
    <t xml:space="preserve">This grant concerns CRISPR-based synthetic gene regulatory circuits and oscillators in bacteria for general synthetic biology applications, with no connection to alternative protein production or any alternative protein product.</t>
  </si>
  <si>
    <t xml:space="preserve">grant.14950468</t>
  </si>
  <si>
    <t xml:space="preserve">Mechanisms of enoyl reductase recruitment and iterative module suppression in trans-acyltransferase polyketide synthases</t>
  </si>
  <si>
    <t xml:space="preserve">Bacteria are remarkable chemists capable of assembling complex molecules that enter cells and bind biomolecular targets with high affinity and selectivity. Consequently, bacterial natural products have wide-ranging applications in medicine (as antibiotics, anticancer agents, and immunomodulators) and agriculture (as insecticides, fungicides, and herbicides). How the "blind watchmaker" of evolution creates structurally diverse molecular architectures is a key question in contemporary biosynthesis research.
In this proposal, we seek to illuminate how enoylreductase (ER) enzymes contribute to structural diversification of an important class of bacterial natural products called polyketides by understanding how trans-acting ERs are recruited to and suppress iteration in specific modules of trans-acyltransferase (trans-AT) polyketide synthases (PKSs).
The specific objectives of our proposal are:
Establish the structural basis for productive interaction between trans-acting ERs and specific acyl carrier protein domains in trans-AT PKSs.
Elucidate the substrate tolerance and catalytic mechanism of trans-acting ERs involved in the assembly of the antibiotic gladiolin and the anticancer agent gladiostatin.
Investigate the generality and molecular mechanism for suppression of trans-AT PKS module iteration by trans-acting ERs.
The knowledge gained from this interdisciplinary research will enable the development of bioengineering approaches to alter the degree of unsaturation and chain length of polyketide natural products, which often require structural modification to optimise them for therapeutic or agricultural application. Structural modification of polyketides using synthetic chemistry is challenging due to their complexity. Moreover, such methods rely on non-renewable petrochemical feedstocks, are energy intensive, create environmentally damaging byproducts, and are expensive. In contrast, structural modification of polyketides via bioengineering enables optimised derivatives to be produced via fermentation, which is cheaper, more energy efficient, has lower environmental impact, and utilises sustainable plant-derived feedstocks.
This research is directly relevant to the Engineering Biology theme of BBSRC's Transformative Technologies priority of the Advancing the Frontiers of Bioscience Discovery high level objective. It also aligns with the Sustainable Agricultural Systems focus area of the Bioscience for Sustainable Agriculture and Food priority, the Production of More Sustainable Products focus area of the Bioscience for Advanced Manufacturing and Clean Growth priority, and the Combatting Antimicrobial Resistance research priority of the Bioscience for an Integrated Understanding of Health priority of BBSRC's Tackling Strategic Challenges high level objective.</t>
  </si>
  <si>
    <t xml:space="preserve">This grant concerns fundamental biochemistry of polyketide synthases for antibiotic and anticancer agent development, with no connection to alternative proteins or animal product substitution.</t>
  </si>
  <si>
    <t xml:space="preserve">grant.14959694</t>
  </si>
  <si>
    <t xml:space="preserve">Samenwerking tussen methanotrofen en sulfide oxiderende bacteriën om uit biogas hoogwaardig eiwitrijk aquacultuur voeder te produceren.</t>
  </si>
  <si>
    <t xml:space="preserve">Duurzame voedselvoorziening voor de groeiende wereldbevolking is een belangrijke uitdaging in de 21e eeuw. Aquacultuur kan hierin een centrale rol spelen, maar gebruikt momenteel vismeel en andere dierlijke eiwitten als voeder om een eiwitrijk product te genereren met alle essentiële aminozuren voor de mens. Er is dus nood aan de ontwikkeling van nieuwe, duurzame voedingsbronnen uit herwonnen, hernieuwbare grondstoffen. Hier zullen we biogas gebruiken, geproduceerd uit afval van recirculerende aquacultuursystemen, om hoogwaardige microbiële eiwitten te produceren. We zullen een nieuw consortium creëren van methaan-oxiderende (MOB) en sulfide-oxiderende (SOB) bacteriën die rijk zijn aan alle essentiële aminozuren. Eerst zullen we MOB combineren met SOB door (1) het individueel en samen opgroeien van pure MOB- en SOB-culturen en (2) het (samen) aanrijken van de SOB en MOB. Vervolgens zullen de meest optimale MOB-SOB-partnerschappen, op basis van het essentieel aminozuurgehalte, worden gebruikt om nieuwe macrostructuren of “biovlokken” te creëren. Vervolgens zullen we deze MOB-SOB microbiële biomassa gebruiken als voeder voor Artemia. Ten slotte zullen we de MOB-SOB-biomassa direct (als biovlokken) en indirect (als Artemia gekweekt op MOB-SOB-biomassa) gebruiken als voeder om garnalen te kweken tot een voedselbron, rijk aan alle essentiële aminozuren. De hier gegenereerde kennis zal het mogelijk maken om naar circulariteit in de aquacultuur te evolueren.</t>
  </si>
  <si>
    <t xml:space="preserve">This grant concerns the production of microbial protein (from methanotrophs and sulfide-oxidizing bacteria) as aquafeed for shrimp and Artemia aquaculture, not as a substitute for animal-derived foods for human consumption, placing it outside the scope of alternative proteins for human food.</t>
  </si>
  <si>
    <t xml:space="preserve">grant.14955094</t>
  </si>
  <si>
    <t xml:space="preserve">Demonstrating a cost competitive, sustainable, scalable intensified micro-algae bioprocess for the production of food-grade medium value, carbon negative Ingredients exceeding Market Standards</t>
  </si>
  <si>
    <t xml:space="preserve">Micro-Algae offer a solution to many of the European bioeconomy needs. Nevertheless, significant challenges still exist to their acceptance on the market, including organoleptic and functionality challenges. CleanAlgae2Value seeks to unlock such potential via a cascading approach to white-microalgae-derived medium-price ingredients, including protein isolates, oils, natural pigments and starch. The project will build and operate a replicable “upgrading-module” to drastically enhance relevant biorefineries performance via a cost-competitive, sustainable, and scalable microalgae fractionation and valorisation process for producing food-grade, medium-value, carbon-negative ingredients that exceed market standards. More specifically, the project will prove the effectiveness and efficiency of a “Micro-Algae Biorefinery Upgrade Module” (MABUM), able to unlock productions of protein isolates, protein concentrates, starch-rich fraction and oils (respectively 2, 1.3, 3.98 and 1.8 tons) to be validated into 15 prototypes, 13 for food and 2 for bio-packaging markets. The project will do so while increasing operative margins, by decreasing “value-normalised” CAPEX and OPEX, also thanks to modelling optimisation, contributing to market penetration. Importantly, CleanAlgae2Value would also benefit from synergies with a recently granted EIC Accelerator project, which focuses on upstream algae production from CO2 via SOL two-step fermentation, using solely CO2 as carbon source. The project brings together 16 organizations from 9 European countries, collaborating with end-users to produce added value ingredients. Holistic evaluations, including both empirical (surveys, workshops) and horizontal considerations (LCA, TEA, SSbD), will allow for the assessment of market acceptance and environmental, economic and societal sustainability, as well as further support and boost the project DCE activities and pathways towards EFSA positive opinion for those ingredients that still require it.</t>
  </si>
  <si>
    <t xml:space="preserve">The grant focuses on microalgae biorefinery processes to produce protein isolates and concentrates as food-grade ingredients, which falls under fermentation/biomass fermentation (microalgae as a protein source), with explicit food applications and LCA/TEA assessments relevant to alternative proteins.</t>
  </si>
  <si>
    <t xml:space="preserve">grant.15196386</t>
  </si>
  <si>
    <t xml:space="preserve">OPTIPRO: Optimizing protein production in Bacillus</t>
  </si>
  <si>
    <t xml:space="preserve">Bacillus species are widely used for the industrial-scale production of enzymes used in e.g. washing powders, food and agricultural applications and in the pharmaceutical and biotechnological industry. However, the range of enzymes that are secreted at high-levels by these bacteria is currently limited. The University of Amsterdam, VU University, and 4 biotech firms are collaborating to address this problem by combining deep sequencing-based transposon mutagenesis with novel high-throughput single cell selection techniques to improve the production of a diverse set of commercially relevant enzymes. This project will provide valuable knowledge to optimize enzyme secretion in Bacillus species, and other microbial production platforms.</t>
  </si>
  <si>
    <t xml:space="preserve">This grant focuses on optimizing enzyme secretion in Bacillus species for industrial applications (washing powders, pharmaceuticals, agriculture), with no stated application in alternative protein production or substitution of animal-derived foods.</t>
  </si>
  <si>
    <t xml:space="preserve">grant.14751838</t>
  </si>
  <si>
    <t xml:space="preserve">Secondary treatment of RAS water and nutrient revalorization by site-specific microbial biofilm</t>
  </si>
  <si>
    <t xml:space="preserve">Rising demand for nutritious fish and seafood, coupled with declining wild catches, has made aquaculture the fastest growing sector in food production. Two of the largest current bottlenecks for sustainable increased production of farmed fish are 1) identifying alternative and sustainable sources of protein and fatty acids for fish feed, and 2) finding new solutions for sustainable treatment of side streams in recirculating aquaculture systems (RAS). To steer away from current unsustainable practices innovative and sustainable ideas focusing on re-valorisation and bio-circularity needs to be implemented. In this project we propose the integration of a microalgal reactor as a modular process unit that can be included in RAS facilities, to upcycle side streams from the fish farming and generate a valuable biomass that can be valorized in the agri-food sector. In the module we will growth a naturally selected, benthic biofilm community arising from a mixture of organisms already present in the nitrogen (N)-rich RAS water of the facility. This benthic community, native to the RAS water, can effectively capture nutrients in the water phase. With an interdisciplinary team of chemist, biologist, engeeniers and modellers we plan to build and run pilots at two industrial RAS sites and evaluate the production yield and the composition of recovered microalgal biomass for different end-uses. We will explore where this system can be integrated in the process scheme of a RAS facility and evaluate the footprint and costs connected to running it. Once harvested the biomass will be evaluated for suitability as a feed ingredient (for chicken or salmon) or directly as food for snails. Biggest challenges this project will help solve are related to the high costs of productivity, feasibility of integration of the system in a RAS facility, evaluation the environmental footprint and reproducibility/consistency of recovered biomass between different farms.</t>
  </si>
  <si>
    <t xml:space="preserve">This grant focuses on microalgal biofilm for treating aquaculture wastewater and producing biomass for animal feed (chicken, salmon) or snail food, not for human alternative protein products.</t>
  </si>
  <si>
    <t xml:space="preserve">grant.14932889</t>
  </si>
  <si>
    <t xml:space="preserve">Tailored immune receptor engineering for resistance against rice blast disease</t>
  </si>
  <si>
    <t xml:space="preserve">Fungal pathogens are a major constraint to crop production worldwide. As part of their virulence strategy, pathogens secrete effector
proteins to manipulate host machinery and promote colonization. Effectors can be recognized by host immune receptors that launch
a robust immune response that restricts pathogen spread. Pathogens quickly overcome immune receptor-mediated resistance by
modifying or losing effectors to evade detection. In the Tailored Immunity project, our aim is to massively expand the effector
recognition specificity of immune receptors to provide durable disease resistance against the fungus Magnaportha oryzae, the causal
agent of blast disease, and one of the most destructive diseases of rice. In order to do this, we will use a host-target guided
engineering approach to replace the heavy-metal associated (HMA) effector binding domain of nucleotide-binding and leucine-rich
repeat domain (NLR) immune receptors from rice with the HMA domain of host proteins that are targeted by multiple M. oryzae
effectors. We hypothesize that introducing the HMA domain of the newly identified effector hubs to NLRs will allow the simultaneous
recognition of numerous effectors. As the pathogen would need to undergo complex mutation pathways to escape this detection,
and since changing multiple effectors is presumably associated with high fitness costs, we expect that this new strategy will generate
resistance that the pathogen has difficulties to overcome and that is therefore highly durable. By these means, this ambitious project promises to provide a proof-of-concept for a new knowledge-guided and powerful approach for the creation of durable immune receptors that will be highly valuable for the improvement of a large range of crop species. In addition to boosting host immunity, the Tailored Immunity project will provide invaluable information about how immune receptors can be engineered for tailored disease resistance in crops.</t>
  </si>
  <si>
    <t xml:space="preserve">parse_error</t>
  </si>
  <si>
    <t xml:space="preserve">no structured output</t>
  </si>
  <si>
    <t xml:space="preserve">grant.15172132</t>
  </si>
  <si>
    <t xml:space="preserve">The uniqueness of the genetic diversity of Slovak beans: Innovative approaches to increase resistance to phytopathogenic fungi and viruses</t>
  </si>
  <si>
    <t xml:space="preserve">Common bean (Phaseolus vulgaris L.) is one of the key protein crops, playing a crucial role in agriculture and food security. The project focuses on utilizing a unique collection of Slovak bean cultivars, landraces, and breeding material of Phaseolus vulgaris L., maintained in the Slovak Gene Bank. These cultivars represent not only an essential part of natural and cultural heritage but also a valuable genetic resource that can be used to improve agronomic traits of beans, such as resistance or increased tolerance to phytopathogenic fungi and viruses. The biological experiments will be preceded by a detailed assessment of the current distribution and molecular diversity of selected bean pathogens in Slovakia (fColletotrichum lindemuthianum, potyviruses). Representative isolates of these pathogens will be used to study pathogen-plant interactions. The project combines innovative approaches, incorporating modern biotechnological techniques such as RT-qPCR and high-throughput sequencing, along with inoculation experiments conducted under controlled and field conditions. The aim of the research is to obtain missing original and practical data contributing to the improvement of bean resistance to selected phytopathogenic fungi and viruses. These findings can support more sustainable agriculture and the breeding of new bean cultivars with enhanced agronomic traits.</t>
  </si>
  <si>
    <t xml:space="preserve">This grant focuses on agronomic research on bean disease resistance (fungal and viral pathogens) with no stated application to protein extraction, processing, or alternative protein product development.</t>
  </si>
  <si>
    <t xml:space="preserve">grant.14611344</t>
  </si>
  <si>
    <t xml:space="preserve">Mucin glycans as key mediators of gut health</t>
  </si>
  <si>
    <t xml:space="preserve">The human gut is populated by helpful bacteria that assist food digestion. To support these bacteria, the intestine produces a mucus slime layer consisting of proteins and sugar molecules. Gut bacteria break down mucus and they eat the freed proteins and sugars. Excessive mucus breakdown destroys the mucus layer leading to inflammation and Crohn’s disease. Many aspects of how bacteria degrade human mucus are unknown. Therefore, novel molecular probes and methods for measuring bacterial mucus breakdown will be developed. Moreover, molecules that stop excessive mucus degradation will be created to reduce inflammation in the gut.</t>
  </si>
  <si>
    <t xml:space="preserve">This grant concerns gut health, mucin glycans, and bacterial mucus degradation related to inflammation and Crohn's disease, with no connection to alternative proteins or substitutes for animal-derived foods.</t>
  </si>
  <si>
    <t xml:space="preserve">grant.15197259</t>
  </si>
  <si>
    <t xml:space="preserve">Interplay of sHsp sequestrases and protein disaggregases in extreme bacterial stress resistance</t>
  </si>
  <si>
    <t xml:space="preserve">Bacteria as single-celled organisms are particularly exposed to environmental stress conditions challenging protein homeostasis. This demands for a sophisticated protein quality control (PQC) network protecting cells from protein unfolding and aggregation. Small heat shock proteins (sHsps) are central components of PQC systems. The bacterial sHsp member IbpA binds misfolded proteins to sequester them in IbpA/substrate complexes. Dissociation and reactivation of IbpA-bound substrates requires the activity of a disaggregation activity executed by the canonical Hsp70/ClpB disaggregase. Bacteria can acquire additional sHsps and protein disaggregases raising the question whether the expansions of their sHsp and disaggregase repertories are functionally linked. The presence of novel sHsps might also allow for optimized adaptation to environmental growth conditions and provide enhanced stress resistance. Here, we will use the major pathogen Pseudomonas aeruginosa as model system to dissect whether and how the expansion of sHsp and disaggregase repertoires is linked to the acquisition of extreme stress resistance protecting bacteria against temperature-based sterilization protocols used in food industry and clinics. P. aeruginosa harbors Hsp20 and ClpG as novel sHsp and disaggregase members. Both genes are coorganized on the mobile tLST island, which provides extreme stress resistance. Our initial data indicate specific Hsp20 features, separating it from the canonical IbpA sHsp. These features include a temperature-based activity control and a specific cooperation with the ClpG disaggregase. By combining our complementary expertises in chaperone biochemistry and P. aeruginosa genetics and physiology we plan to: (1) Determine the substrate pools of IbpA and Hsp20 under diverse stress conditions and dissect the mechanistic basis of the differing sHsp substrate specificities. (2) Determine the consequences of extreme temperatures on sHsp activities and stabilities and their individual contributions to bacterial survival at extreme temperatures. (3) Determine the mode of the selective interplay of sHsps and protein disaggregases and the relevance of sHsp/disaggregase cooperations in bacterial resistance against severe stress.</t>
  </si>
  <si>
    <t xml:space="preserve">This grant concerns bacterial protein quality control mechanisms and stress resistance in Pseudomonas aeruginosa, with no connection to alternative proteins or food protein substitutes.</t>
  </si>
  <si>
    <t xml:space="preserve">grant.15162542</t>
  </si>
  <si>
    <t xml:space="preserve">MICROALGAL BIOMASS VALORIZATION FOR SUSTAINABLE PRODUCTION OF FUNCTIONAL FOOD AND FEED INGREDIENTS</t>
  </si>
  <si>
    <t xml:space="preserve">EL PROYECTO BIOVAL RESPONDE AL CRECIENTE DESAFIO DE GARANTIZAR ALIMENTOS SOSTENIBLES Y SALUDABLES MEDIANTE EL DESARROLLO DE UNA BIORREFINERIA AVANZADA DE MICROALGAS, CONCEBIDA BAJO UN MODELO DE CERO RESIDUOS Y ECONOMICAMENTE VIABLE. SE TRABAJARA CON TRES ESPECIES MARINAS DE ALTO POTENCIAL BIOTECNOLOGICO (PHAEODACTYLUM TRICORNUTUM, TETRASELMIS CHUII Y SKELETONEMA MARINOI), ORIENTANDO LA PRODUCCION HACIA 2-MONOACILGLICERIDOS (2-MAGS) DE ELEVADO VALOR AÑADIDO, ESPECIALMENTE ENRIQUECIDOS EN ACIDOS GRASOS OMEGA-3 (EPA Y DHA), CON APLICACIONES FUNCIONALES EN LA INDUSTRIA ALIMENTARIA PARA LA PREVENCION DEL SINDROME METABOLICO. 
LA SINTESIS QUIMICA CONVENCIONAL DE MAGS PRESENTA LIMITACIONES CRITICAS (ALTAS TEMPERATURAS, CATALIZADORES Y SUBPRODUCTOS TOXICOS COMO ESTERES DE GLICIDILO). BIOVAL PROPONE UNA ESTRATEGIA DISRUPTIVA Y SOSTENIBLE BASADA EN LA EXTRACCION  VERDE  DE 2-MAGS NATIVOS Y, PRINCIPALMENTE, EN SU SINTESIS ENZIMATICA CONTROLADA, GARANTIZANDO PRODUCTOS MAS PUROS Y SEGUROS, CON MAYOR EFICIENCIA DE PROCESO. 
LA INNOVACION ABARCA TODA LA CADENA DE VALOR: 
CULTIVO: IMPLEMENTACION DE ESTRATEGIAS MIXOTROFICAS EMPLEANDO SUBPRODUCTOS AGRICOLAS HIDROLIZADOS COMO FUENTE DE CARBONO ORGANICO, OPTIMIZANDO PRODUCTIVIDAD DE BIOMASA Y LIPIDOS. 
DIGITALIZACION: USO DE INTELIGENCIA ARTIFICIAL MEDIANTE REDES NEURONALES ARTIFICIALES PARA MODELAR Y OPTIMIZAR CONDICIONES DE CULTIVO EN TIEMPO REAL. 
MEJORA DE CEPAS: APLICACION DE TECNOLOGIAS OMICAS (GENOMICA, TRANSCRIPTOMICA Y METABOLOMICA) PARA  
IDENTIFICAR Y MODULAR RUTAS METABOLICAS CLAVE EN LA BIOSINTESIS DE 2-MAGS. 
VALIDACION FUNCIONAL: ENSAYOS IN VITRO E IN VIVO PARA EVALUAR LA BIOACTIVIDAD DE LOS 2-MAGS (CAPACIDAD ANTIINFLAMATORIA Y MEJORA DE LA SENSIBILIDAD A LA INSULINA). 
EL PROCESO SE DISEÑARA PARA ALCANZAR TRL 6, VALIDANDO LA TECNOLOGIA EN UN ENTORNO INDUSTRIALMENTE RELEVANTE. LAS FRACCIONES RESIDUALES (PROTEINAS, CARBOHIDRATOS) SE CO-VALORIZARAN EN PIENSOS FUNCIONALES PARA ACUICULTURA, CERRANDO EL CICLO PRODUCTIVO Y MAXIMIZANDO EL APROVECHAMIENTO INTEGRAL DE LA BIOMASA. 
BIOVAL CONTRIBUIRA A LOS OBJETIVOS DEL SUSTAINABLE BLUE ECONOMY PARTNERSHIP, IMPULSANDO LA BIOECONOMIA AZUL CIRCULAR, LA REDUCCION DE LA HUELLA DE CARBONO Y LA GENERACION DE INGREDIENTES FUNCIONALES SEGUROS Y SOSTENIBLES, CON IMPACTO DIRECTO EN LA SALUD PUBLICA, LA COMPETITIVIDAD INDUSTRIAL Y LA RESILIENCIA DEL SECTOR ACUICOLA EUROPEO.</t>
  </si>
  <si>
    <t xml:space="preserve">This project focuses on microalgal biomass valorization for production of omega-3 fatty acid-rich 2-monoacylglycerols (2-MAGs) as functional food ingredients for metabolic syndrome prevention, with residual fractions (proteins, carbohydrates) directed to aquafeed — the primary focus is lipid/omega-3 production rather than protein as an alternative protein source, and the protein fraction is explicitly destined for aquafeed (out of scope), not human alternative protein applications.</t>
  </si>
  <si>
    <t xml:space="preserve">grant.14973726</t>
  </si>
  <si>
    <t xml:space="preserve">Solar-driven synthesis of proteins and lipids via photoelectrochemistry of living organisms</t>
  </si>
  <si>
    <t xml:space="preserve">Biohybrid systems offer unique energy-efficient routes to harness solar energy for the fixation of CO2 and nitrogen into valuable, complex molecules. This project will integrate living photosynthetic bacteria and food-producing autotrophic bacteria into stand-alone photoelectrochemical devices tailored for the direct production of proteins and lipids from sunlight, air and water. Cyanobacteria will supply electrons via light-driven water oxidation, organic dyes will provide these electrons with sufficient energy to generate substrates that would directly feed either a culture or a consortia of food producing microorganisms in the same device. The result will be the demonstration of the first direct conversion of CO2 and N2 from air to protein- or lipid-rich food materials using solar energy, with the aim to produce a prototype that can reach 1% solar-conversion efficiency or surpass present food production processes via agriculture.
Our bioengineering efforts will focus on three key innovations: (i) overcoming complex electron transfer pathway barriers at the cell-electrode interface, aided by the coupling of electrode engineering with advanced modelling of the interface; (ii) expanding the range of Solar-to-X products to two essential food groups (proteins and lipids), enabled by the formation of novel microbial consortia on redox polymer films that mitigate their conflicting microenvironment needs; and iii) device engineering that synergizes the different outputs and needs of the bio-anode and cathode whilst also facilitating easy food-product collection. The delivery of our envisioned Solar-to-Food devices will open the door to re-imagining sustainable food production for off-grid locations, kitchens in future households and spaceships. Current food industries, such as our partner Solar Foods, would be an immediate benefactor. Our envisioned solar-to-lipids production process could be a stepping stone to fuels production lines of the future.</t>
  </si>
  <si>
    <t xml:space="preserve">This grant focuses on using autotrophic bacteria (including cyanobacteria and food-producing microorganisms like those used by Solar Foods) to produce protein- and lipid-rich food materials via photoelectrochemical systems, which is directly relevant to biomass fermentation/single-cell protein production as an alternative protein source.</t>
  </si>
  <si>
    <t xml:space="preserve">grant.14881472</t>
  </si>
  <si>
    <t xml:space="preserve">Fermented Foods and Bone Health: Investigating the Gut-Bone Axis in Premenopausal Vegan Women</t>
  </si>
  <si>
    <t xml:space="preserve">With the increasing popularity of plant-based diets, recent epidemiological studies suggest that individuals following vegan diets may be at higher risk of lower bone mineral density (BMD) and fractures, particularly among women. This highlights bone health as a critical concern within vegan and plant-based diets, underscoring the need for effective strategies to mitigate these risks. Evidence suggests that the gut microbiota plays a key role in regulating bone metabolism through the "gut-bone axis." Fermented foods, such as yogurts and fermented vegetables, have been shown to positively influence gut microbiota, supporting bone health by supplying essential nutrients like calcium, phosphorus, and protein, enhancing nutrient absorption, and reducing bone resorption. However, dairy products are typically absent in vegan diets or replaced by plant-based alternatives with different nutrient compositions. While some studies are exploring the effects of these alternatives on the gut microbiome, their potential benefits for bone health in humans remain unclear. Notably, there is a lack of randomized controlled trials (RCTs) investigating the effects of fermented plant-based products on gut microbiota and bone metabolism, revealing a significant gap in the literature. This project aims to test the hypothesis that consuming plant-based fermented foods can improve bone turnover markers (BTMs) in vegan premenopausal women over a 12-week period. To address this, we will conduct a two-center, cross-over RCT in Switzerland and the Czech Republic, and will complement this with the microbial characterisation of plant-based fermented foods, in-vitro mineral bioavailability and bioaccessibility assays, as well as ex-vivo fermentations. In the RCT, we will recruit 40 premenopausal women aged 30-45 years, with primary outcomes focusing on collagen type 1 cross-linked C-terminal telopeptide (CTX) and procollagen type I amino-terminal propeptide (P1NP). Secondary outcomes will include assessments of gut microbiota composition using whole genome sequencing, inflammatory markers (CRP, AGP, IL-6), markers of gut integrity (iFABP, calprotectin), and metabolomic and proteomic profiles of both the host and microbiome. The broader impact of vegan diets and fermentation processes on nutrient bioavailability and gut microbiota leads to the following secondary hypotheses: a long-term adherence to a vegan diet may increase bone resorption risk independent of calcium intake; plant-based fermented foods have distinct microbial loads and produce metabolites beneficial for bone health; these foods improve the bioaccessibility and bioavailability of key micronutrients for bone health compared to non-fermented counterparts; and the spectrum of microbially produced metabolites relevant to bone health differs between fermented and non-fermented foods. Additionally, the project will leverage existing data on vegans to conduct a comprehensive analysis of BMD and BTMs, metabolomic profiles, and dietary patterns in vegan and omnivore populations across multiple European countries. This comprehensive approach, integrating observational data analysis, laboratory experiments, and clinical trials, aims to provide novel insights into the chemical and microbial profiles of next-generation plant-based fermented foods, along with mechanistic studies on their mineral bioaccessibility, bioavailability, metabolite production, and their impact on the vegan gut microbiota. By evaluating their effects on BTMs in a randomized controlled trial, the findings could guide future dietary recommendations, potentially leading to the inclusion of fermented foods in existing dietary guidelines.</t>
  </si>
  <si>
    <t xml:space="preserve">This grant focuses on the health effects of fermented plant-based foods on bone metabolism and gut microbiota in vegan women, which is a medical/nutritional health outcome study rather than research advancing alternative protein development, characterisation, or substitution of animal products.</t>
  </si>
  <si>
    <t xml:space="preserve">grant.14704971</t>
  </si>
  <si>
    <t xml:space="preserve">Development of approaches to complex processing of microalgae biomass for the production of cosmetic and food products</t>
  </si>
  <si>
    <t xml:space="preserve">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</si>
  <si>
    <t xml:space="preserve">While microalgae biomass is processed for food applications, the primary focus is on cosmetics, sugar substitutes (sorbitol/polyols), and antioxidant extracts — not on protein as a food ingredient or alternative protein product substituting animal-derived foods.</t>
  </si>
  <si>
    <t xml:space="preserve">grant.14952019</t>
  </si>
  <si>
    <t xml:space="preserve">Tracking Ancestral DIX-DOmain cell polarity processes in plant Root nodulE symbioses – ADDORE</t>
  </si>
  <si>
    <t xml:space="preserve">Certain plants have the remarkable ability of establishing beneficial root symbioses with soil bacteria to acquire nitrogen, an essential nutrient for their growth. The bacteria provide nitrogen to their host within new specialized root organs, called nodules, formed through integrated multicellular re-differentiation of plant cells. Bacterial entry is a crucial step in this process, and often occurs through the creation of new transcellular apoplastic compartments called infection threads (IT), which guide the symbiotic bacteria towards the developing nodule. These processes must be tightly coordinated, and partner’s exciting new findings suggest that cross-kingdom cell polarisation processes may regulate them. Indeed, through expression and functional studies, they discovered that genes encoding novel DIX-domain plant polarity proteins are linked to nodule formation in various nitrogen-fixing symbioses. DIX-domains are key for plasma membrane association, enabling these proteins to orchestrate PM signal relay via protein-protein interactions. These findings raise the exciting question of whether plants use ancestral DIX-mediated polarization process for nodule ontogeny and bacterial accommodation. Using complementary model legumes (Medicago, Lotus and Mimosa) and non-legume (Parasponia) this project will combine original multi-species functional genomics, phylogenetic foot printing, live microscopy and protein biochemistry strategies to study their roles in the unexplored context of root nodule symbioses. The project should provide innovative results on their ancestral cellular roles, evolutionary recruitment and molecular interactors, and thus shed light on how they organize the infection machinery and nodule formation across different species.</t>
  </si>
  <si>
    <t xml:space="preserve">This grant concerns plant cell biology and root nodule symbiosis with nitrogen-fixing bacteria, with no connection to alternative proteins, food science, or protein production for human consumption.</t>
  </si>
  <si>
    <t xml:space="preserve">grant.15201827</t>
  </si>
  <si>
    <t xml:space="preserve">Dissecting the Antibacterial Role of Campylobacter's Type VI Secretion System and Effectors Across Diverse Host Environments</t>
  </si>
  <si>
    <t xml:space="preserve">Campylobacter is the leading cause of foodborne diseases annually in the UK, costing the country's economy a significant amount of money each year. Specifically, the Food Standards Agency estimates that Campylobacter infections alone incur a hefty £900 million expense, out of a total of £1.5 billion for all foodborne infections. Particularly, Campylobacter jejuni species is responsible for over 80% of these cases. This bacterium is becoming increasingly resistant to commonly used antibiotics. Remarkably, it naturally resides in birds, where trillions of these bacteria coexist in their guts without causing harm. However, just 100 of these bacteria can lead to severe illness in humans. Consuming or handling poultry is the main way humans contract the infection, which can result in symptoms like bloody diarrhoea, fever, and abdominal pain. In areas with limited resources, Campylobacter infections are particularly prevalent among young children, leading to health issues such as stunted growth, lifelong physical and cognitive impairments, and in severe cases, death.
Despite its prevalence and importance, our understanding of how C. jejuni causes disease is limited when compared to other gut pathogens such as Salmonella. Recently, we have identified many strains of C. jejuni that have a Type VI Secretion System (T6SS). The T6SS acts as a weapon firing bullets (toxins known as effector proteins) that neutralise bacterial competitors, thereby conferring them a competitive edge within a host environment. The functions of C. jejuni T6SS effectors, particularly in chicken and human host environments and their impact on the resulting infection outcome remains unclear.
Our research suggests that T6SS and its effectors equip C. jejuni with antibacterial properties to thrive in specific host environments. By analysing the genomes of C. jejuni, we have identified a new range of these effectors and we hypothesise that these are important mediators of C. jejuni pathogenesis and niche establishment. To test this, we propose a multidisciplinary research programme. Our aims and objectives include (1) characterisation of how the T6SS and its effectors of C. jejuni contribute to antibacterial competitive fitness; (2) to determine how different human and chicken in vitro host gut models impact the functionality of the T6SS; and (3) characterise how C. jejuni T6SS and its effectors impact the chicken gut microbial population structure in an in vivo colonisation model. These insights hold transformative potential, informing the development of new antimicrobials based on T6SS toxin mechanisms and novel vaccine targets derived from characterised effectors.
The increasing prevalence of Campylobacter infections, coupled with the growing challenge of antimicrobial resistance, presents a significant strain on public health resources, demanding urgent action. To address this pressing issue, our cutting-edge, interdisciplinary project aims to unravel the complex molecular and cellular mechanisms underlying C. jejuni T6SS and effector functions in different hosts, directly aligning with a key BBSRC objective, understanding the rules of life. The knowledge accrued by our research will improve our understanding of this important human pathogen and how it causes disease, with the goal of developing evidence-based interventions to prevent and treat infections and thus improve health. Our impact aligns closely with key pillars of the BBSRC; sustainable agriculture and food, integrated understanding of health and tackling infections.</t>
  </si>
  <si>
    <t xml:space="preserve">This grant concerns the pathogenesis and antimicrobial resistance of Campylobacter jejuni, a foodborne pathogen, with no relevance to alternative protein research or production.</t>
  </si>
  <si>
    <t xml:space="preserve">grant.14949587</t>
  </si>
  <si>
    <t xml:space="preserve">This grant concerns the pathogenesis of Campylobacter jejuni and its Type VI Secretion System in host environments, which is a microbiology/infectious disease study with no relevance to alternative proteins.</t>
  </si>
  <si>
    <t xml:space="preserve">grant.14705292</t>
  </si>
  <si>
    <t xml:space="preserve">Study of the resistance of various strains of soybean nodule bacteria of the genus Bradyrhizobium in liquid biological preparations (inoculants) to physical, chemical and biological stress factors characteristic of agriculture in the Russian Federation</t>
  </si>
  <si>
    <t xml:space="preserve">Protein is an essential component in human nutrition and in feed for farm animals. One of the main sources of protein in the domestic food and feed industry is soybean grain. The high yield of soybeans and the increased protein content in soybean grains is due to the fact that soybeans are able to form a highly active nitrogen-fixing legume-rhizobia symbiosis with nodule bacteria. To increase the efficiency of symbiotic nitrogen fixation, soybean seeds are artificially treated with preparations (inoculants) of highly active nodule bacteria before sowing. Under controlled conditions, rhizobia preparations can increase soybean yield by 25-40%, and the protein content in grain by 2-5%. However, when using inoculants in industrial conditions, the effectiveness of this technique is significantly reduced, which can be explained by the low adaptability of rhizobia to the conditions in which exposed to bacteria in industrial crop production.
In addition to the high symbiotic compatibility of the partners and favorable soil and climatic conditions for the formation of symbiosis, the effectiveness of inoculation is determined by such parameters as: the titer of rhizobia at the time of use of the drug (i.e., using the inoculant to prepare the working solution), the composition and concentration of chemical plant protection products in the working solution, stability rhizobia to chemical stress and the time of contact of bacteria with pesticides in the working solution, the resistance of rhizobia to drying out on treated seeds, the effectiveness of a protector that protects bacteria from osmotic stress and the time that elapsed from the moment of processing the seeds until they are embedded in the soil.
This study is devoted to studying the factors that determine the resistance of promising strains of soybean microsymbionts of the genus Bradyrhizobium to physical, chemical and biological stress factors to which rhizobia are exposed during the industrial cultivation of soybeans.
The scientific novelty of the study lies in the fact that:
1. For the first time, the resistance of promising soybean rhizobia strains B. japonicum pcs. will be determined. 634b, 640b, RZ300 to osmotic stress (drying) on   inoculated soybean seeds of varieties widely used in agricultural practice. In addition, the conditions affecting the osmotic stability of soybean rhizobia were studied for the first time, such as the technology for obtaining a bacterial preparation (composition of the nutrient medium and cultivation parameters), the density of the bacterial culture applied to the seeds, the qualitative and quantitative composition of the bacterial protector, the holding time and temperature conditions for storing inoculated balls and seeds;
2. For the first time, the resistance of soybean rhizobia strains B. japonicum pcs. will be determined. 634b, 640b, RZ300 to chemical stress (contact with pesticides) with a number of chemical disinfectants for legumes widely used in agricultural practice. In addition, for the first time, factors influencing the resistance of rhizobia to chemical stress, such as the concentration of pesticide disinfectant in the working solution, temperature and exposure time of the working solution, will be studied.
3. For the first time, the compatibility of soybean rhizobia strains B. japonicum pcs. will be determined. 634b, 640b, RZ300 with a number of strains of the most common biological microorganisms in agricultural practice, in particular bacteria of the genera Bacillus and Pseudomonas.
4. For the first time, the productivity of soybean plants grown under growing conditions from seeds inoculated with preparations of soybean rhizobia B. japonicum pcs. will be assessed. 634b, 640b, RZ300 together with their treatment with chemical fungicides and simultaneous treatment with various bacterial protector compositions.
5. For the first time, the influence of the technology for obtaining preparations of nodule bacteria (composition of nutrient media, cultivation modes, modes of centrifugation and resuspension of bacterial sediment) on the resistance of rhizobia to stress (drying on seeds, contact with chemical and biopesticides), and the productivity of inoculated soybean plants will be studied.</t>
  </si>
  <si>
    <t xml:space="preserve">This grant concerns agronomic research on Bradyrhizobium inoculants to improve soybean yield and protein content for food and feed, but does not address alternative protein development, processing, or any substitution of animal-derived products.</t>
  </si>
  <si>
    <t xml:space="preserve">grant.15147311</t>
  </si>
  <si>
    <t xml:space="preserve">One Health Rationale to Investigate the emerGence of AMR related to chicken Meat and Egg consumption (OHRIGAME)</t>
  </si>
  <si>
    <t xml:space="preserve">With growing demand for protein from animal origin, the poultry industry is experiencing an unprecedented intensification in Southeast Asia. Industrialisation of livestock farming is accompanied by an overuse/misuse of antimicrobial drugs (AMD) which is believed to be a significant driver of antimicrobial resistance (AMR). AMR is a major threat for human and is reported to be responsible for close to a million deaths, yearly.
The team assembled in this project has worked together within the UKRI GCRF One Health Poultry Hub, to generate robust evidence of excess AMD use in poultry production systems within Vietnam, using a holistic One Health approach that integrates studies from biological and social science disciplines. This foundation has generated knowledge on the overall structure and vulnerability of poultry production systems in Vietnam,  with insights into the lives of farmers and other actors, including differences in the roles, responsibilities and behaviours of men and women working across the network. It also highlighted an alarming  prevalence of food-borne pathogens in chickens, showed that chicken gut bacteria and microbial communities have high levels of AMR genes resulting in resistance to many AMDs, and that AMD residues over the maximum residue limit (MRL) are present in ~ 9% of meat on sale to the public.
This project will continue the interdisciplinary approach to generate new knowledge on the dynamics of AMR acquisition during the production cycle, to understand the drivers of high AMD use in Vietnam chicken production, and to investigate potential impacts of unintentional exposure to AMD and resistant bacteria by ingestion of contaminated water (chickens) of food (chickens and humans). The objectives of the OHRIGAME project (One Health Rationale to Investigate the emerGence of AMR related to chicken Meat and Egg consumption) are to:
Through longitudinal sampling, evaluate AMR in chicken gut bacterial populations during their breeding until sale
Use forensic investigative analyses to identify underlying reasons for the high level of veterinary drugs in meat, by analysis eggs, chicken feed and drinking water, and relate this to AMR profiles within the same chickens. The Vietnamese government’s ban of prophylactic antimicrobial use, coming into place in 2025, will constitute a natural intervention.
Use questionnaire based research to understand farmers’ motivations for under-reporting use of AMD.
We will also sample chicken meat imported from Vietnam and hospital-grade food in the UK to evaluate the risk of that AMD residues and AMR genes could pose to clinical populations of patients at risk of gut bacteria dysregulation.
From the start in Vietnam we will work with local and national stakeholders from government, particularly the Department of Animal Health within the Ministry of Agriculture and Rural Development, with whom we have a well-established relationship, and with the One Health Partnership secretariat, agencies, NGOs and the poultry sector. With expansion of analysis capacity, we will propose a framework to increase Vietnam capability to screen AMD residue and AMR in chicken meat production to protect the national consumers, a key priority of the Vietnam’s Decision No. 4 14 /QD-TTg  (Strengthening capacity to manage and control animal diseases and diseases transmitted between animals and humans).Our international One Health approach includes AMR diplomacy actions which will benefit people locally in Vietnam and is completely aligned with the UK National Action Plan on AMR.</t>
  </si>
  <si>
    <t xml:space="preserve">This grant concerns antimicrobial resistance in conventional poultry production and chicken/egg consumption, with no relevance to alternative proteins.</t>
  </si>
  <si>
    <t xml:space="preserve">grant.14971973</t>
  </si>
  <si>
    <t xml:space="preserve">grant.15073719</t>
  </si>
  <si>
    <t xml:space="preserve">Zilt &amp; Zuur</t>
  </si>
  <si>
    <t xml:space="preserve">The Zilt &amp; Zuur project explores how fermentation can make toothed wrack (seaweed) more palatable and digestible. Seaweed is a sustainable protein source but is rarely consumed due to its flavour (fishy, salty) and texture. Fermentation can enhance its appeal for the hospitality and food industries. In collaboration with Michelin-starred restaurant De Kromme Watergang and Zeeuwse Zeewierhandel, HZ University of Applied Sciences is developing a fermentation protocol to create new culinary applications. This research contributes to a more sustainable food system and offers economic opportunities for Zeeland by opening new markets for fermented seaweed.</t>
  </si>
  <si>
    <t xml:space="preserve">The project uses fermentation to process seaweed (macroalgae) as a sustainable protein source for food applications, which falls under plant-based alternative proteins; traditional fermentation applied to plant/algal material is classified as plant-based.</t>
  </si>
  <si>
    <t xml:space="preserve">grant.14705189</t>
  </si>
  <si>
    <t xml:space="preserve">Glycogen as a source of trehalose in methanotrophs</t>
  </si>
  <si>
    <t xml:space="preserve">Bacteria that use methane as a source of carbon and energy (methanotrophs) are unique natural factories that supply polycarbon compounds from a single-carbon (C1) substrate. Aerobic methanotrophs are active players in the global carbon cycle, significantly reducing atmospheric methane level. Since methane is a non-food compound and the main component of natural gas, methanotrophs have attracted the attention of biotechnologists with the opportunity to obtain high added value products through the bioconversion of CH4. The development of postgenomic technologies has significantly expanded the understanding of the potential of methanotrophs as producers of a variety of valuable metabolites. Methanotrophic cultures have been tested for their ability to produce complete feed protein, the biodegradable polymer poly-β-hydroxybutyrate, components for nanotechnology, lipids and carotenoids, and carbohydrate feedstocks for microbial fermentation. One of the most promising strains for biotechnology is the halotolerant methanotroph Methylotuvimicrobium alcaliphilum 20Z, which has a high growth rate and stability in a wide range of conditions - in the presence of 0.5 - 6% NaCl and in the pH range 7.5-10.5. When growing under standard conditions, M. alcaliphilum 20Z accumulated more than 10% of glycogen in cells, while when growth was limited by a nitrogen source, the polysaccharide content reaches 35% of the cell mass (Khmelenina et al., 1999, Booth et al., 2020). This project is aimed at genetic modification of the methanotroph in order to redirect the carbon flow from glycogen accumulation to trehalose synthesis; enrichment of biomass with this disaccharide is intended to improve the feeding properties of the biomass. The main component of the project is the production of a number of marker-free mutations in M. alcaliphilum. Analysis of the culture response to the deletion of genes presumably involved in transformation of trehalose, which is an intermediate of glycogen carbon mobilization/degradation, will provide possibility to establish the function of the encoded enzymes, as well as to select candidates for subsequent combination of deletions to construct producer strain. The introduction of the treT gene, encoding trehalose synthase from the related methanotroph Methylomicrobium album BG8, will enhance trehalose synthesis due to the utilization of free glucose, as well as redistribute the carbon flow from sucrose synthesis to trehalose formation. At the final stage, it is planned to test the trehalose content in the biomass, as well as determine the growth characteristics of the recombinant strain under bioreactor conditions. In addition, the planned strand-specific 3'-terminal sequencing of mRNA is of fundamental importance, which will make it possible to identify at the gene level the mechanism of regulation of glycogen synthesis/decomposition by free glucose in the M. alcaliphilum strain with a knockout of the gene encoding glucokinase, the distinctive property of which is lack of glycogen in cells.</t>
  </si>
  <si>
    <t xml:space="preserve">This research concerns methanotroph biotechnology for trehalose production and feed protein, not alternative proteins for human food substitution of animal-derived products.</t>
  </si>
  <si>
    <t xml:space="preserve">grant.14972633</t>
  </si>
  <si>
    <t xml:space="preserve">AlgFlavor, Enhancing algal biomass consumer acceptance for food markets</t>
  </si>
  <si>
    <t xml:space="preserve">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</si>
  <si>
    <t xml:space="preserve">The grant focuses on improving consumer acceptance of seaweed and microalgae as food ingredients, explicitly highlighting their protein content and role as sustainable food sources substituting animal-based diets, which falls within the plant-based alternative protein category.</t>
  </si>
  <si>
    <t xml:space="preserve">grant.14970420</t>
  </si>
  <si>
    <t xml:space="preserve">BiochAIn - BiochAIn ist ein Softwareprojekt für die Optimierung einer gesamten biotechnologischen Verfahrenskette(Chain) mittels AI</t>
  </si>
  <si>
    <t xml:space="preserve">Biotechnologische Produktionsverfahren finden breite Anwendung in der pharmazeutischen Industrie, zur Herstellung von Feinchemikalien, in der Umwelttechnologie und in der Lebensmittelindustrie und generieren eine hohe Wertschöpfung. Aufgrund der hohen Komplexität dieser Verfahren, bedingt durch das vielschichtige Zusammenspiel von Biologie und Verfahrenstechnik, besteht in zahlreichen Fällen ein nur sehr eingeschränktes Prozessverständnis. Dies wiederum führt zu wenig effizienten und daher teuren Prozessen, limitiert die Möglichkeiten zur Prozessoptimierung und ist auch ein wesentlicher Grund dafür, dass bis dato die enormen Fortschritte im Bereich der Digitalisierung, Methoden der künstlichen Intelligenz und Modellierung/Simulation nicht im erforderlichen Ausmaß zur Auslegung und Führung von Bioprozessen zur Anwendung kommen.
Im Rahmen des Projektes soll daher eine generische Software-Toolbox entwickelt werden um genannte Fortschritte im Bereich der Digitalisierung den Experten der Domäne Bioprozess-technik zugänglich machen und eine Implementierung der Digitalisierung gemäß Industrie 4.0 im Bio-Manufacturing ermöglichen.
Mit dem BiochAIn Projekt hat sich die Novasign zum Ziel gesetzt, weltweit die erste digitale Prozessmodellierungstoolbox für die Optimierung aller biotechnologisch relevanten Verfahrensschritte zu entwickeln. Mit dieser Software-Suite soll es erstmals möglich werden, dass Biotechnologen und Bioprozessingenieur:innen über eine nutzerzentrierte grafische Bedienoberfläche alle Einzelschritte der Prozesskette, sowohl individuell als auch in ihrer Gesamtheit, mit Hilfe von Modellen und Simulation selbstständig und unabhängig von hochspezialisierten Softwareentwicklern und Data Scientists optimieren können. Die Software wird auch ermöglichen, dass Prozessingenieur:innen abteilungsübergreifend Herstellungsprozesse für Produkte (zum Beispiel einen Antikörper für die Krebstherapie) in einem integrativen Ansatz optimieren können um lebensrettende Medizin den Patient:innen früher und günstiger zur Verfügung stellen zu können.
Die Softwareentwicklung wird in 4 Blöcke aufgeteilt und soll über einen Zeitraum von 4 Jahren (durch schnelleren Fortschritt verkürzt auf 3 Jahre) erfolgen. Im ersten Schritt wurde eine geeignete Softwarearchitektur festgelegt, welche einerseits alle technischen Herausforderungen bewältigen kann und andererseits für Benutzer:innen, einfach bedienbar ist. In einem Datenvorverarbeitungs-/Visualisierungsblock werden Onlinedaten (Prozesssystem) und Offlinedaten (Messungen) mit Methoden der statistischen Datenaufbereitung und Analyse vorprozessiert, verknüpft und so für Visualisierung und Modellierung vorbereitet. Der Modellierblock wird so aufgesetzt, dass die unterschiedlichsten State-of-the-art Machine Learning (ML) Methoden implementiert werden und so die jeweils bestgeeignete Methode für zur Modellierung unterschiedlicher Bioprozessschritte eingesetzt werden kann. Im finalen Schritt, dem digitalen Zwilling, kann jeder einzelne der Modellblöcke individuell oder mittels drag-and-drop mit anderen Einheiten verknüpft zu einer Prozesskette nach einer bestimmten Zielgröße (z.B. höchstmögliche Produktausbeute oder kürzere Prozessdauer) optimiert werden und für die online Monitoring angewendet werden. Um Nutzer:innen bestmöglich unterstützen zu können, wird die Software über eine selbstlernende Funktion (Artificial Intelligence) verfügen, welche es möglich macht, jeden einzelnen Verfahrensschritt als auch die gesamte Prozesskette schnell, zielgerichtet und automatisiert entlang eines Workflows zu optimieren.
Die Software soll neben der biopharmazeutischen Industrie auch für die industrielle Biotechnologie (Herstellung von Enzymen und biobasierten Polymeren aus Abfallströmen) als auch im Bereich der Lebensmittelindustrie für die Erzeugung von Proteinersatzstoffen (Cultured Meat, Precision Fermentation) Verwendung finden.
Der Name BiochAIn leitet sich daher aus Bio (für Bioprozess), chain (für Prozesskette) und AI (für die Künstliche Intelligenz der Selbstlernfunktion) ab.</t>
  </si>
  <si>
    <t xml:space="preserve">The grant develops a general bioprocess optimization software toolbox that explicitly names cultivated meat and precision fermentation as intended application areas for alternative protein production, making it in scope despite its broader pharmaceutical and industrial biotechnology focus.</t>
  </si>
  <si>
    <t xml:space="preserve">grant.14940383</t>
  </si>
  <si>
    <t xml:space="preserve">Role of sensory perception in cell non-autonomous proteostasis signaling</t>
  </si>
  <si>
    <t xml:space="preserve">The accumulation of damaged and aggregated proteins is associated with cellular toxicity and loss of physiological integrity. Degradation of damaged proteins is mediated by the 26S proteasome upon attachment of ubiquitin proteins (ubiquitination). Despite progress in the characterization of proteolytic degradation pathways at the cellular level, cell non-autonomous mechanisms that coordinate the organism-wide activity of the ubiquitin-proteasome system (UPS) in response to environmental changes remain largely unexplored. The nematode Caenorhabditis elegans has a sophisticated chemosensory system involved in the regulation of development, mating, noxious avoidance, and food intake. Chemosensory preferences can be modified by sensory adaptation, allowing the integration of experience into behavior and physiology. We have identified changes in ubiquitin-dependent degradation rates and proteostasis upon feeding worms with different bacterial food sources. Our recent data indicate that these dietary changes in proteostasis are coordinated by a single pair of chemosensory neurons. The microRNA miR-71 functions as a regulatory node to induce cell non-autonomous coordination between olfactory neurons and intestinal cells. The central goal of the proposed research is to understand how olfactory perception and neuronal stimulation are translated into organismal adaptation of proteostasis networks. The proposed project will address brain-gut communication and systematically analyze neuronal response mechanisms induced by olfactory stimulation and proteotoxic stress conditions (Aim 1), regulation of cell non-autonomous signaling between olfactory neurons and intestinal cells (Aim 2), and tissue-specific adaptation of proteostasis pathways (Aim 3). To this end, single-cell transcriptomic/proteomic analyses, chemicalgenetic/optogenetic control of neuronal signaling, CRISPR/Cas9 gene editing, and large-scale genetic screenings will be performed.</t>
  </si>
  <si>
    <t xml:space="preserve">This grant concerns fundamental cell biology research on protein degradation and proteostasis signaling in C. elegans, with no connection to alternative proteins or food applications.</t>
  </si>
  <si>
    <t xml:space="preserve">grant.15150298</t>
  </si>
  <si>
    <t xml:space="preserve">Microbial Feed from Swedish Biogas – Business Models, Verification and Implementation in Aquaculture</t>
  </si>
  <si>
    <t xml:space="preserve">The project aims to operationalise the use of methanotrophic biomass, derived from Swedish biogas, as a functional and sustainable feed ingredient in aquaculture. Methanotrophic bacteria convert methane into protein-rich biomass with favourable digestibility and documented benefits for intestinal health in salmonids. While production technologies are established internationally, current systems rely on fossil methane. This project targets renewable biogas as substrate, addressing both climate and resource efficiency.SLU is responsible for modelling the production system under varying methane content, including energy and nutrient flows, yield and cost structures. The University of Gothenburg conducts full-scale feeding trials with rainbow trout to verify growth, feed efficiency, and health outcomes. Sustainable Foods develops business models, investment logic, and communication tools tailored to feed buyers and biogas producers.The project addresses key barriers to implementation, including lack of performance validation, cost benchmarks, and decision-support for procurement. It bridges applied research, system modelling, and market preparation to enable commercial deployment. The results are expected to be scalable within the Nordic region and transferable to international contexts with established biogas infrastructure.</t>
  </si>
  <si>
    <t xml:space="preserve">This grant concerns methanotrophic biomass as an aquafeed ingredient for salmonids, which is explicitly an animal feed/aquafeed application and not intended for human food consumption.</t>
  </si>
  <si>
    <t xml:space="preserve">grant.15148188</t>
  </si>
  <si>
    <t xml:space="preserve">Commercialisation of a therapeutic bacterial vesicle engineering and manufacturing platform</t>
  </si>
  <si>
    <t xml:space="preserve">Bacteria naturally release portions of their cell membrane. These outer membrane vesicles (OMVs) are essentially tiny molecular packages containing proteins, fats and other molecules. Bacteria use OMVs to communicate with other cells and to transfer molecules. OMVs are also attractive for use as vaccines or as vehicles for delivering drugs and other therapeutic agents because of their ability to interact with host cells and their natural immunogenic properties. OMV vaccines for use in humans include GSK’s Bexsero®, a Neisseria meningitidis vaccine, that has received MHRA, EMA and US FDA approval and has achieved sales of £218m in Q1 of 2023 alone. Future OMV-based animal vaccines are also likely to have economic and food security importance, or as an exemplar, could help to protect the broiler industry from losing significant numbers of chickens each year due to avian pathogenic E. coli (APEC) related diseases. Further to this, APEC isolates have genetic similarities in terms of virulence markers, with human uropathogenic E. coli (UPEC), and as such may have zoonotic potentials. Worryingly, some APEC strains have also been reported to be resistant to all classes of antibiotics. It may therefore, become increasingly desirable for OMV-based cross protective vaccines to be developed to protect against UPEC and/or APEC in poultry and humans.
However, whilst OMV vaccines and therapeutics are promising, our engagements with industry have highlighted important challenges. For example, OMV vaccine manufacturing is typically non-standardised and requires the culture of weakened or highly infectious bacteria to generate the relevant vaccine antigens. Furthermore, the custom engineering of each new bacterial strain to ensure commercially viable OMV yields can slow down OMV vaccine development. Additionally, widely used OMV isolation methods during the manufacturing process might not produce OMVs at suitable yields, purity or bioactivities required for specific applications. Further advancements in OMV engineering approaches are also desirable to enable the manufacture of OMVs with novel therapeutic modalities to treat additional animal or human diseases.
To help accelerate next generation OMV therapeutics we have developed an Outer Membrane vEsicle enGineering and mAnufacturing (OMEGA) platform technology to create better and scalable methods for manufacturing new kinds of vaccine or therapeutic OMVs. Our approach differentiates itself from competing technologies through the way in which we have specially engineered our OMEGA bacterial strains to help make it easier to biomanufacture many kinds of therapeutic OMVs in a modular or "Lego-like" fashion. Importantly, our approach also incorporates methods that help simplify our OMV manufacturing process making it easier to produce and isolate OMVs at larger scales. BBSRC FoF support will be used to further scale our OMV manufacturing platform technology, strengthen OMEGA IP, and to carry out focused comparative studies that derisk and show the competitiveness of our approach. Importantly, we will also develop a panel of OMV R&amp;D products and candidate OMV-based APEC vaccines that alongside our continued engagement with the EV industry and other stakeholders will help us to shape and expedite a responsible translational pathway for OMEGA-OMV vaccine and therapeutic manufacturing for the future benefit of animal and human health.</t>
  </si>
  <si>
    <t xml:space="preserve">This grant concerns bacterial outer membrane vesicle (OMV) engineering for vaccine and therapeutic applications, with no relevance to alternative proteins or plant-based, fermentation-derived, or cultivated substitutes for animal-derived foods.</t>
  </si>
  <si>
    <t xml:space="preserve">grant.15201374</t>
  </si>
  <si>
    <t xml:space="preserve">Novel Mechanism-of-Action (NMoA) genes: a pathway to durable Soybean Rust resistance</t>
  </si>
  <si>
    <t xml:space="preserve">Implementing the latest knowledge of plant science is critical for achieving resilient crops in the face of increasing food system challenges, such as growing populations, changing climates, and for decreasing inputs of land, water, and chemicals leading to better sustainability. Among the most significant threats to our food supply are losses due to crop diseases, weeds, and pests. Crop diseases and related threats are a widespread and underrecognised cause of food loss that is worsening. One of the most damaging crop diseases for which durable resistance is a high priority is Soybean Rust (SBR). Caused by an airborne fungus, Phakopsora pachyrhizi, SBR is a global, fast-moving disease that can destroy up to 90% of a soybean harvest within just 3 weeks of infection.
Conventional methods for combating SBR, such as crop protection chemicals and conventional breeding, have provided some defense but come with significant drawbacks. Chemical treatments are expensive and raise concerns about their potential impacts on human health and the environment. Moreover, the target pathogen (P. pachyrhizi) is quickly adapting and building tolerance to these chemical controls. Conventional breeding efforts are also limited. Though soybean has several resistance genes that have been used in breeding efforts, P. pachyrhizi races have defeated them.
With both chemical and conventional breeding interventions losing efficacy against SBR, new sources of resistance are in high demand by growers and seed companies globally.
This proposal seeks to advance a recently discovered novel mechanism-of-action (NMoA) that has the potential to contribute to long-lasting, durable protection against SBR for both commercial agriculture and smallholder farmers. The NMoA originates from a locus identified in the wild legume Glycine spp., which exhibits strong resistance to P. pachyrhizi. When transferred into soybean (G. max), it confers robust resistance to SBR in the crop.
The main aim of this research is to fully characterize and implement this newly discovered immune response by assessing the breadth and diversity of related sequences across plant species, identifying the interactions between regulatory, signalling, and pathogen effector proteins, elucidating its site of action and impacts on plant defense responses, and lastly determining whether the homologue in soybean can be edited to become functional.
NMoAs are highly valuable on their own and in combination with other more common defense responses to create long-lasting, effective resistance. Disease resistance genes from crop relatives have proved to be an effective path to expanding resistance gene diversity. Discovering and characterising a diversity of disease resistance mechanisms-of-action is critical to safeguarding our crop agriculture in the face of global pressures. Data from this study will enable Bayer, a program partner and collaborator, to advance new soybean varieties with durable resistance against this critical disease for commercial agriculture in South America, and for 2Blades to similarly advance new soybean varieties with durable resistance for smallholder deployment in Africa.</t>
  </si>
  <si>
    <t xml:space="preserve">grant.15084865</t>
  </si>
  <si>
    <t xml:space="preserve">Maturing food footprint tools, solutions, and uptake to accelerate a rapid EU food transition</t>
  </si>
  <si>
    <t xml:space="preserve">There is a recognized and urgent need for better food footprint data to accurately inform the sustainable food system transition as the current knowledge infrastructure is inadequate both in terms of scientific robustness and real-world suitability for regulatory and business decision support. The objective of GREENGROCER is to make foundation-strengthening investments in critical knowledge infrastructure in order to advance food footprint data from lab to application. The project packages investments across over a dozen leading mainstream tools including Trase, HESTIA, CoolFarm, FABIO, and EXIOBASE, which collectively form the foundation of most food footprint data currently in use. Work in GREENGROCER: 1) improves the scientific depth by revisiting long standing weak areas including on subnational supply chain specificity, reliability information, and novel and neglected products and impacts such as spices, seaweed, insect protein, cellular agriculture, cold chain energy use, and seafloor disturbance; 2) makes foundation-strengthening investments that take all models towards full compliance with the EU’s Product Environmental Footprint standards and improve FAIRness and interoperability; and 3) promotes exploitation through multi-stakeholder dialogue between food system researchers, industry, and regulators aimed at prioritising pain points and supporting effective regulation. Finally, to collate data without yet another centralised repository, the project leverages Europe’s competitive advantage in marrying AI with scientific expertise to pioneer a fact-based AI expert which can interact with and gather the rapidly growing volume of food system science. Aimed at the Horizon Europe work program destination of reducing the environmental impact of the food system, GREENGROCER outputs are oriented around 13 specific relevant EU policy frameworks including FSFS, EUDR, ESRS, CSRD, CSDDD, and the CAP.</t>
  </si>
  <si>
    <t xml:space="preserve">GREENGROCER focuses on improving food footprint data tools and environmental impact assessment infrastructure for the EU food system broadly, and while it briefly mentions cellular agriculture and seaweed among many other topics, alternative proteins are not a primary focus and the grant is fundamentally about food system LCA/footprint methodology rather than alternative protein research or assessment.</t>
  </si>
  <si>
    <t xml:space="preserve">grant.15164543</t>
  </si>
  <si>
    <t xml:space="preserve">Antybakteryjne cząsteczki oparte na białkach bakteriofagowych oraz fragmentach stałych przeciwciał o potencjale terapeutycznym w zwalczaniu infekcji bakteryjnych</t>
  </si>
  <si>
    <t xml:space="preserve">Zgodnie z informacjami zawartymi w raportach  Światowej Organizacji Zdrowia, problem antybiotykooporności, w tym nadużywania antybiotyków, jest jednym z głównych problemów współczesnych systemów opieki zdrowotnej. Antybiotykooporność stanowi poważne wyzwanie dla naukowców i zmusza do  ciągłego poszukiwania nowych środków przeciwdrobnoustrojowych. Jednym z obiecujących obszarów badań jest terapia fagowa, która osiąga pozytywne rezultaty na całym świecie. Jest to terapia wykorzystująca wirusy atakujące komórki  bakterii, a tym samym  powodujące ich eliminacj ę. Podejście to pozostaje terapią eksperymentalną i nie zo stało jeszcze wprowadzone do powszechnego systemu opieki zdrowotnej . Oprócz stosowania całych cząsteczek fagów, można również wykorzystać ich składniki o określonych właściwościach. Interesującą grupą cząsteczek z klinicznego punktu widzenia, ale pozostającą niedostatecznie zbadaną, są białka wiążące receptory (RBP). T a grupa białek wykazuj e unikalne właściwości, ponieważ pozwalają wirusowi infekować bakterie z wysoką specyficznością w stosunku do określonych szczepów bakterii. Innym obiecującym podejściem są terapeutyczne przeciwciała monoklonalne (mAbs), które stanowią strategię leczenia różnych chorób. Obecnie mAbs są szeroko stosowane w leczeniu chorób onkologicznych i immunologicznych. Jednak rozwój mAbs do leczenia chorób zakaźnych pozostaje wyzwaniem. Niewiele przeciwbakteryjnych mAbs ukończyło badania kliniczne, a do tej pory tylko trzy mAbs zostały zatwierdzone przez Amerykańską Agencję Żywności i Leków tzw. FDA  do leczenia infekcji, z których wszystkie neutralizują toksyny wytwarzane przez bakterie. Nasze badania mają na celu połączenie mechanizmu działania mAb z właściwościami RBP bakteriofagów, które są wysoce specyficznymi białkami rozpoznającymi bakterie. W tym projekcie proponujemy opracowanie cząsteczki składającej się z białka bakteriofaga i fragmentu przeciwciała. Taka konstrukcja łączy ich funkcje biologiczne: (1) składnik bakteriofagowy umożliwi rozpoznawanie  i wiązanie komórek bakteryjnych, a (2) fragment przeciwciała ułatwi interakcję z receptorami na komórkach immunologicznych, takich ja k makrofagi. Makrofagi to komórki układu odpornościowego, które pochłaniają bakterie i trawią je, eliminując w ten sposób patogeny. Proces ten nazywany jest fagocytozą. W tym projekcie proponujemy modułową platformę cząsteczek składających się z białek fagowych i części przeciwciał z wykorzystaniem systemu SpyCatcher, który umożliwia nieodwracalne łączenie dwóch białek. Platforma będzie składać się z „bloków” cząsteczek. Interesujące nas białka będą produkowane przy użyciu inżynierii genetycznej. Wytworzone „bloki”, po zmieszaniu, będą nieodwracalnie reagować  i tworzyć funkcjonalne czasteczki. Opisany modułowy charakter platformy umożliwi łączenie cząsteczek w różnych kombinacjach, aby wybrać najbardziej efektywną kombinację w testach funkcjonalnych   z wykorzystaniem linii komórkowych. Podsumowując, głównym celem tego projektu jest stworzenie platformy białek naśladujących przeciwciała, skutecznie łącząc różne mechanizmy biologiczne  w celu wzmocnienia naturalnej odpowiedzi immunologicznej przeciwko infekcjom  zagrażającym życiu. Platforma ta jest szczególnie ukierunkowana na zwalczanie bakterii wielolekoopornych, takich jak Pseudomonas aeruginosa i Escherichia coli, które są klasyfikowane jako patogeny o wysokim priorytecie. Jeśli uda się uzyskać funkcjonalną cząsteczkę, która będzie skuteczna w badaniach na liniach komórkowych, z pewnością przyczyni się to do rozwoju kolejnych rozwiązań opartych na bakteriofagach, co z kolei zapewni w przyszłości remedium na trudne przypadki infekcji szczepami wielolekoopornymi. Aby osiągnąć cele projektu, wykorzystane zostaną różne zaawansowane metody, takie jak cytometria przepływowa czy mikroskopia holotomograficzna do badania zjawiska fagocytozy oraz skuteczności zabijania fagocytowanych patogenów. Wszystkie wybrane metody pozwolą nam ocenić potencjał prezentowanego przez nas rozwiązania.</t>
  </si>
  <si>
    <t xml:space="preserve">This grant concerns bacteriophage-based antibacterial molecules and antibody fragments for therapeutic use against bacterial infections, which is a pharmaceutical/medical application with no relevance to alternative proteins for human food.</t>
  </si>
  <si>
    <t xml:space="preserve">grant.15149477</t>
  </si>
  <si>
    <t xml:space="preserve">Unravelling the mechanism of meiotic crossover patterning in diploid and polyploid plants</t>
  </si>
  <si>
    <t xml:space="preserve">Eukaryotic sex cells (e.g., sperm and eggs in humans) are produced by a specialised cell division called meiosis, where chromosomes exchange large DNA segments. These DNA exchanges, or crossovers, are essential for generating genetic diversity, and are a driving force for evolution and selective breeding. Crucially, crossover frequency and position along chromosomes are tightly controlled, introducing a bottleneck for plant and animal breeders due to low crossover numbers and their skewed distribution. However, despite a century of research, the cellular mechanisms that determine where, how quickly and how many, crossovers form has remained mostly mysterious.
Chromosome size, ploidy and the dynamics of chromosome pairing during early meiosis are all known to have profound effects on crossover patterning, yet how these features interact to influence crossover site designation is unknown. We recently proposed a ‘coarsening’ model for crossover patterning that creates a unique framework to mechanistically dissect the influence of these key features on the crossover landscape. Our coarsening model captures the dynamics of a conserved protein involved in promoting crossovers called HEI10, including its ability to associate into increasingly large, distantly-spaced foci on the chromosomes as meiosis progresses. The dynamics of HEI10 orthologs are very similar in organisms as diverse as plants, fungi and animals, making our model of wide applicability. However, HEI10 is unlikely to be acting alone during the coarsening process, making it critical to also investigate the roles played by the many other recombination proteins.
In this proposal, we will address these key issues by performing live-imaging and super-resolution cytogenetics of HEI10 and other recombination proteins in diploid and polyploid plant species, closely coupled with computational modelling. Our goal is to comprehensively understand the processes that determine meiotic crossover site selection. Generating mechanistic insight into this highly conserved aspect of eukaryotic genetics could drive future innovation in plant and animal breeding. Our specific objectives are:
1) Unravel how chromosome pairing, as well as the coarsening dynamics of HEI10 and other recombination proteins, control crossover patterning in Arabidopsis thaliana, a plant with a compact genome commonly used in research. We will use predictive modelling, live-imaging and genetic dissection to understand how these factors interact in time and space to shape the plant recombination landscape.
2) Dissect crossover positioning in polyploids, which are common among major crop species. The presence of multiple homologous chromosomes in polyploids poses a unique challenge for homologue pairing and crossover site selection, causing dramatic reductions in fertility in newly formed polyploid species due to misplaced crossovers. Using modelling and experiments, we will therefore investigate how crossover patterning dynamics are altered to drive the evolutionary stabilisation of meiosis in newly-formed and established polyploids of the Arabidopsis genus.
3) Dissect crossover positioning in a giant polyploid genome, wheat, that is ~120 times bigger than the Arabidopsis genome. Using modelling and experiments, and our insights from Objectives 1 and 2, we will examine whether we can predict how coarsening and pairing contribute to the low numbers and skewed distribution of crossovers along wheat chromosomes.
These objectives will enable our team to comprehensively investigate universal mechanisms that drive crossover positions in eukaryotes, including crop species such as wheat, that are economically critical. Our project goals closely align with the BBSRC’s ‘Understanding the rules of life’ and ‘Sustainable agriculture and food’ strategic objectives.</t>
  </si>
  <si>
    <t xml:space="preserve">This grant concerns fundamental plant genetics and meiotic crossover mechanisms in Arabidopsis and wheat, with no connection to alternative protein development, production, or applications.</t>
  </si>
  <si>
    <t xml:space="preserve">grant.15147565</t>
  </si>
  <si>
    <t xml:space="preserve">BacCORAC: Bacterial modulation of plant responses via CORonafacic Acid Conjugates</t>
  </si>
  <si>
    <t xml:space="preserve">Potato, the world’s third main food crop, is produced in over 100 countries and is a critical crop in terms of food security in the face of increasing populations and hunger rates.  Potato food security is challenged by multiple pests and pathogens compounded with climate change and the need for sustainable agri-chemical solutions to improve crop resilience.  To find potential solutions, research into the actions of natural biological products is fundamental.  Plant development and health is partly controlled by a complex regulatory network and cross-talk of phytohormones including auxins, gibberellins, ethylene, salicylic acid and jasmonates.  This cross-talk can be influenced by bacteria, both beneficial and pathogenic, colonising the plant through hormone mimicry, sequestration or degradation.
Secondary metabolites produced from microbes offer a natural resource for future agri-chemical products and many biosynthetic gene clusters (BGCs) remain to be fully understood across different bacterial species.  Distantly related plant or soil-associated bacterial species encode the BGC for coronafacic acid (CFA), which has phytotoxic properties when joined to amino acids or their derivatives, such as coronamic acid (CMA).  The first discovered and most characterised such phytotoxin is coronatine (COR; CFA+CMA).   COR acts as a potent jasmonate mimic modulating downstream plant responses, such as plant immunity and root growth.    The potato pathogen Pectobacterium atrosepticum produce CFA, but cannot produce CMA, resulting in amino acids valine/isoleucine being joined to CFA instead (hereby called CFA-conjugates).  COR’s strong effects on the jasmonate signalling pathways have been well characterised in the model plant Arabidopsis, but less is known about the responses to CFA-conjugate mimics, and little is known about such responses in major crops such as potato.
The project will focus on the phytopathogen P. atrosepticum (Pba) which causes blackleg and tuber soft rot of potato, with no chemical methods of control.  To date, only Pectobacterium strains that are restricted to cause disease symptoms on potato can produce CFA-conjugates.  Our preliminary results show that Pba produce mainly CFA-valine and Pba CFA knock-out mutants are reduced in plant root colonisation, root growth inhibition and disease progression.  The aim of the project is to understand the regulation of CFA production in Pba and the biological role of CFA conjugates in potato-Pba interactions.    Our approach will be across three work-packages to:
Elucidate the regulation of CFA expression in Pba.
Identify plant proteins that bind to CFA-valine/isoleucine conjugates.
Identify potato genes that are affected by the presence of CFA- conjugates.  
COR has been studied for multiple agri-chem applications, including as a weedkiller (herbicide) or promoting plant resistance to drought-stress or insect-feeding.  Jasmonates and COR have been shown to promote potato tuber initiation and expansion.  Understanding the function of CFA-valine/isoleucine in Pba-potato interactions could inform on potential points of intervention to control potato infection or disease progression.  Fundamental insights into CFA-conjugates modulating potato responses can lead to innovative ways to improve potato plant growth and tolerance to stresses.
This interdisciplinary project fits well within the BBSRC strategic plan for sustainable agriculture and food linking to the spotlight area of ’developing novel crop protection strategies’.  Although this project focusses on the Pba-potato pathosystem, the outcomes from the project will inform on other important plant pathogens which produce CFA-AA, such as Brenneria spp (causes Acute Oak Decline) or Pseudomonas spp (infects broad range of plants).</t>
  </si>
  <si>
    <t xml:space="preserve">grant.15148367</t>
  </si>
  <si>
    <t xml:space="preserve">iTKP fusions: Structure, function and engineering of an emerging plant disease resistance system</t>
  </si>
  <si>
    <t xml:space="preserve">Context and Challenge: Yield from key crops that feed the world is threatened by abiotic and biotic stresses. Pre-harvest plant disease can decimate crop production by small-holder farmers and is estimated to reduce yields by 20-30% in modern agriculture despite the intensive interventions used (e.g. pesticides). However, current chemical control of pathogens is not sustainable due to the direct impact of their use on the environment and the environmental and economic cost of production. There’s a pressing need to reduce chemical control of plant diseases within the background of the climate emergency and emergence of pathogens in new areas. The overarching aim of this proposal is to develop new genetic solutions for managing blast disease, caused by the fungus Magnaporthe oryzae, in cereal crops. With collaborators, we have discovered novel components of the plant immune system that could deliver new solutions to managing plant diseases, but first we need to understand how they work, and then how they can be engineered. In time, our discoveries should be applicable to managing other plant diseases.
Like animals, plants have an immune system that helps defend against disease. This immune system includes receptors, proteins that detect pathogens and pests, and activate immune responses. Frequently, immune receptors from inside plant cells (intracellular receptors) detect “effector” proteins, pathogen-derived molecules delivered to promote disease. Pathogens are often adapted to particular plant hosts, and plant/pathogen co-evolution has led to a diverse set of immune receptors encoded in different plant genomes. Most research in the last ~30 years has focussed on one type of intracellular immune receptor (called NLRs). Recently though, a new type of receptor (the tandem kinase proteins or TKPs) is being repeatedly found using modern approaches to disease resistance discovery.
Aims and Objectives: There is an urgent need for broadening the genetic basis of plant disease resistance and understanding how we can help plants fight back against disease. This project will address this challenge by integrating extensive preliminary data and expertise in the Banfield Lab, along with collaborators, to address the following specific objectives:
 Demonstrate that binding determines immune activation by validating crystal structures of effector/receptor domain complexes using in vitro and in vivo assays.
 Establish the diversity of interactions available to drive immune engineering by profiling an interaction matrix of iTKP-HMA (receptor) domains and effectors from M. oryzae and other pathogens.
Explore the molecular mechanism of iTKP signalling, specifically in the context of integrated HMA domains.
Develop and test iTKPs as chassis for engineering immune responses to pathogen effectors.
Potential applications and benefits: Plant immune receptors are deployed in breeding programs to genetically encode resistance, protecting crop harvests from disease. But due to pathogen co-evolution with plants, new disease management resources are continually required. Here, by understanding how a new family of receptors works and can be engineered we will boost plant immunity, providing new avenues towards more sustainable agriculture.
The research fits BBSRC's priorities for “sustainable agriculture and food” as detailed in the Strategic Delivery Plan 2022-2025, addressing a crucial global challenge. It also fits the current responsive mode spotlight area of “Plant Health - Development of novel crop protection strategies”.</t>
  </si>
  <si>
    <t xml:space="preserve">grant.14954839</t>
  </si>
  <si>
    <t xml:space="preserve">Nourishing Europe's Future through Regenerative Livestock Feed</t>
  </si>
  <si>
    <t xml:space="preserve">NUTRIFEEDS is dedicated to developing regenerative animal feed solutions by transforming underutilised local plants and agri-food by-products into high-protein feed through cutting-edge, cross-disciplinary methods. Aligning with the EU's Farm2Fork strategy, the project aims to reduce the reliance on imported feeds, enhance agricultural circularity, and minimize waste. The initiative involves detailed analysis of raw materials, including net energy, followed by their enhancement through Black Soldier Fly larvae and targeted fermentation to improve nutrient content and reduce anti-nutritional factors. Experimental validation will contribute to enhanced diet formulation. The project explores the impacts on welfare, health, immune responses, microbiome, and behaviour of both monogastric animals and ruminants. Through collaborations with farms, experimental feeds from insect upcycling and fermentation will be refined. NUTRIFEEDS also seeks to build on existing silvopasture systems and engages farmers in co-creating local policies. It also integrates AI for insightful data analysis and development of software aiding farmers with efficient monitoring and feeding systems, allowing hence for the creation of feed formulations that enhance both animal health and welfare while sustaining productivity. Thus, the project emphasizes animal welfare, aims to reduce the environmental impact of feed production, and involves stakeholders in the development and dissemination of its solutions. Methods of preserving energy, such as drying powered by solar energy, will help to create extra revenue streams from the sale of feed. A proposed European Centre for Regenerative Animal Nutrition will facilitate dissemination and promote uptake of these innovations and will implement online courses based on NUTRIFEEDS findings. NUTRIFEEDS will factor in environmental, social and economic sustainability and will create guidelines to reinforce Europe's position as a leader in global innovation.</t>
  </si>
  <si>
    <t xml:space="preserve">This grant focuses on developing animal feed solutions using insects, fermentation, and plant by-products for livestock nutrition, which is explicitly an animal feed application and not an alternative protein product for human consumption.</t>
  </si>
  <si>
    <t xml:space="preserve">grant.15163028</t>
  </si>
  <si>
    <t xml:space="preserve">Wykorzystanie niekonwencjonalnych, nietermicznych metod obróbki wstępnej oraz ich kombinacji do kształtowania właściwości fizycznych, chemicznych oraz jakości mikrobiologicznej suszonego mącznika młynarka (Tenebrio molitor L.)</t>
  </si>
  <si>
    <t xml:space="preserve">Zainteresowanie owadami w kontekście ich spożycia wynika z ich interesującego składu chemicznego, tj. wysokiej zawartości białka, zawartości tłuszczu bogatego w jedno- i wielonienasycone kwasy tłuszczowe, chityny, a także obecności składników mineralnych oraz witamin. Dodatkowo, hodowla owadów niesie ze sobą zdecydowanie mniejszy negatywny wpływ na środowisko niż tradycyjna hodowla zwierząt. Jednak oprócz wymienionych korzyści, występują niestety pewne zagrożenia. Wśród najważniejszych wymienić należy zagrożenia mikrobiologiczne, tj. obecność bakterii, drożdży, pleśni oraz alergenów. Jednak wiedza na temat wartości odżywczej wielu gatunków owadów jest wciąż ograniczona. Brakuje również badań, w których sprawdzano wpływ i wyjaśniano mechanizm stosowania różnych metod obróbki na jakość mikrobiologiczną oraz skład chemiczny owadów. Dlatego też poszukuje się nowych rozwiązań pozwalających na szersze wykorzystanie owadów w technologii żywności. Z tego względu prowadzenie badań w tym zakresie wydaje się być w pełni uzasadnione. Uzasadnieniem podjętej tematyki badawczej jest rosnąca liczba ludzi na świecie, która według szacunków FAO (Organizacja Narodów Zjednoczonych do spraw Wyżywienia i Rolnictwa) w 2050 r. zbliży się do 10 miliardów, a więc wzrośnie o 34%. Wraz z globalnym wzrostem populacji na świecie rośnie zapotrzebowanie na żywność, szczególnie na produkty charakteryzujące się wysoką zawartością pełnowartościowego białka. Rosnące zapotrzebowanie na żywność powoduje intensyfikację produkcji rolnej oraz hodowli zwierząt, co niekorzystnie wpływa na środowisko naturalne. Obiecującym rozwiązaniem tego problemu wydaje się być hodowla owadów jadalnych jako źródło nowej żywności.  Celem projektu jest określenie podstawowego składu chemicznego oraz liczby drobnoustrojów w owadach jadalnych  na przykładzie larw mącznika młynarka  Tenebrio molitor , a także wyjaśnienie mechanizmu oddziaływania nietermicznych metod obróbki wstępnej oraz określenie ich wpływu, jak i procesu suszenia, na jakość mikrobiologiczną oraz właściwości fizyczne i chemiczne owadów jadalnych i składników z nich pochodzących (np. tłuszczu) . Dodatkowo, badania mają na celu poznanie zmian we właściwościach tkanki owadziej, w wyniku zastosowania metod obróbki wstępnej oraz procesu suszenia. W ramach projektu zbadany zostanie wpływ blanszowania (BL) jako próbki odniesienia, a także innowacyjnych, nietermicznych metod obróbki, tj. pulsacyjnego pola elektrycznego (PEF), ultradźwięków (US) , wysokiego ciśnienia hydrostatycznego (HHP) , jak i metod łączonych na właściwości obrabianego materiału, przebieg procesu suszenia konwekcyjnego oraz właściwości otrzymanych suszy i tłuszczu . Rezultaty projektu pozwolą na wyjaśnienie mechanizmu oddziaływania nowych nietermicznych metod ob róbki wstępnej na strukturę owadów jadalnych na przykładzie larw mącznika młynarka  Tenebrio molitor  oraz porównanie ich skuteczności, w szczególności na jakość mikrobiologiczną oraz wybrane jej cechy jakościowe m.in. zawartość białka i tłuszczu wraz z  ich charakterystyką. Zdobyta podczas realizacji projektu wiedza pozwoli na lepsze zrozumienie zjawisk zachodzących w trakcie obróbki wstępnej, a także przewidywanie skutków tych zjawisk. Przeprowadzone badania mogą dostarczyć rzetelnej, naukowo udokumentowanych informacji na temat wartości odżywczej owadów jako alternatywnego źródła żywności. Takie dane mogą pomóc decydentom w podejmowaniu bardziej świadomych decyzji dotyczących zrównoważonej produkcji żywności i promocji nowych źródeł białka. Wnioski z tego projektu mogą więc wesprzeć rozwój polityki żywieniowej, społecznej i ekologicznej, przyczyniając się do tworzenia bardziej zrównoważonych i zrównoważonych systemów żywnościowych. Uzyskane wyniki badań będą mogły posłużyć jako punkt wyjścia do dalszych badań nad jakością mikrobiologiczną owadów jadalnych, a także modyfikacją właściwości fizycznych ich tkanki. Wyniki badań przyczynią się także do poszerzenia wiedzy na temat wartości odżywczej owadów jadalnych oraz zachęcą potencjalnych konsumentów do włączenia ich w swoją codzienną dietę. Co ważne, uzyskane wyniki mogą być w przyszłości wykorzystane w sektorze produkcji żywności. Owady przygotowane w sposób zaproponowany w projekcie mogą stanowić interesujący składnik do potencjalnego wykorzystania w celu wzbogacenia powszechnie znanych produktów spożywczych jako źródło białka lub innych składników, bioaktywnych lub mineralnych.</t>
  </si>
  <si>
    <t xml:space="preserve">This grant focuses entirely on insect-based proteins (Tenebrio molitor larvae), which are explicitly excluded from the alternative proteins scope.</t>
  </si>
  <si>
    <t xml:space="preserve">grant.14954840</t>
  </si>
  <si>
    <t xml:space="preserve">New business for farmers and cooperatives in rural areas by local upcycling solutions using underutilized agricultural feedstocks</t>
  </si>
  <si>
    <t xml:space="preserve">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</si>
  <si>
    <t xml:space="preserve">While the project involves protein separation from grass and fermentation to produce protein-rich ingredients, the primary focus is on agricultural biomass valorization for food, feed, bioenergy, and materials broadly, with no specific application to alternative protein products substituting animal-derived foods.</t>
  </si>
  <si>
    <t xml:space="preserve">grant.15202198</t>
  </si>
  <si>
    <t xml:space="preserve">Uncovering the antimicrobial and antibiotic potentiating mechanism of acesulfame-K and maximising its topical therapeutic potential.</t>
  </si>
  <si>
    <t xml:space="preserve">Infectious diseases were once the leading cause of death amongst men and women in almost all age demographics in the UK. However, the discovery of antibiotics revolutionised our ability to treat bacterial infections and, as a result, saved millions of lives. Bacteria inhabit almost every corner of our planet due to their incredible ability to adapt to different environmental niches. This capacity to evolve and survive even in the most inhospitable environments means that, following the introduction of a new antibiotic to our healthcare systems, resistant bacterial strains rapidly appear. This cycle has kept repeating until the emergence, in some instances, of infections that cannot be effectively treated with any currently available antibiotics. This is creating a dangerous situation where a "post-antibiotic" era is now becoming a reality, threatening all aspects of healthcare from cancer treatment to dental work. At the forefront of pathogens that can evolve multidrug resistance is Acinetobacter baumannii. This pathogen can infect individuals who are already sick or have a supressed immune system, leading to a variety of life-threatening clinical complications and, potentially, death. This creates a problem particularly in hospitals where most A. baumannii outbreaks occur. Prior to the 2000s, A. baumannii infections were relatively infrequent and, typically, very treatable. However, there has been a rapid increase in the number of these infections, such that this bacterium now accounts for 20% of all infections seen in Intensive Care Units (ICUs) worldwide. These infections are incredibly difficult to treat, with up to 75% of A. baumannii isolated from these patients being resistant to more than 3 types of antibiotic. Previously, we have shown that the artificial sweetener acesulfame K (ace-K), a compound is consumed by millions of people around the world every day in "sugar free" or "calorie free" food and drinks, has a remarkable ability to tackle this pathogen. We demonstrated that not only can ace-K inhibit this pathogens growth. It can also inhibit a range of virulent processes that it uses to establish infection, including the ability to move from the initial site of infection and the capacity of this bacteria to form communities called biofilms which help it overcome antibiotic therapy. Remarkably, we also demonstrated that this compound will make A. baumannii vulnerable to antibiotics that it has previously evolved resistance to. We now want to explore what exactly ace-K is doing to the cell to stop it growing and to increase its sensitivity to antibiotics. We will use a range of cutting-edge fluorescent microscopy, proteomics and molecular biology techniques to uncover exactly how ace-k effects the bacterial cell and resensitises it to antibiotics. We will develop, characterise and assess novel ace-K loaded wound dressings to tackle acute and long-term, difficult to treat infections and test them in a porcine ex vivo wound model. We will also test these loaded wound dressings in a mouse wound model to determine their capacity to treat infection. As ace-k is approved for consumption by every international regulatory body including the Food and Drug Administration, it means it has been extensively tested for safety. Therefore, there is significant potential that the use of ace-K as a therapeutic to tackle infection could be fast tracked to clinical trials and into hospitals. This would overcome one of the main barriers delaying the introduction of new antimicrobials drugs which is that all the safety testing and trials required before final approval can take over 15 years on average to complete.
Technical Summary
A central facet to the pathogenic success of Acinetobacter baumannii is in part attributable to its ability to overcome antibiotic therapy. Recent work from the McCarthy Lab has identified a compound, acesulfame K (ace-K), with previously unrecognised antimicrobial and antibiotic potentiating activity. This proposal takes a highly interdisciplinary and disruptive approach to characterising the mechanism of action of this compound and determining its therapeutic potential. This includes the use of cutting-edge technologies such as thermal proteomic profiling and mouse models of chronic wound infection.
For aim 1 this proposal will use a combination of live cell microscopy, and state-of-the-art molecular genetics tools that have been developed by the McCarthy lab to define the consequences of ace-K exposure on peptidoglycan in the cell envelope, and the role the DnaK/GrpE/GroSL system in influencing cell envelope disturbances. We will also use cutting-edge Proteome Integral Solubility Alteration assays integrated with Expression Proteomics (PISA-Express) to identify direct protein-ace-K interactions and impacts on the total proteome. We will also repeat this assay to understand the fate of meropenem within the cell in the presence and absence of ace-K. For aim 2 we will develop and characterise novel ace-K, and ace-K + antibiotic loaded aerogel and hydrogel wound therapies to target acute and chronic wound infections. We will then assess the developed formulations using an ex vivo porcine skin model of wound infection. Finally, in aim 3, we will rigorously assess the efficacy of the developed wound therapies in a world leading mouse acute and chronic wound model to demonstrate the therapeutic potential of ace-K.</t>
  </si>
  <si>
    <t xml:space="preserve">This grant concerns antimicrobial properties of acesulfame-K against bacterial pathogens and wound infection therapy, with no connection to alternative proteins or plant-based, fermentation-derived, or cultivated food products.</t>
  </si>
  <si>
    <t xml:space="preserve">grant.15156012</t>
  </si>
  <si>
    <t xml:space="preserve">Exploring the Morphogenesis of Omniphobic Nano-Ornamentations on the Springtail Cuticle</t>
  </si>
  <si>
    <t xml:space="preserve">Wetting resistance (omniphobicity) is a highly desired material property in all-day life, industry, medicine or marine and aviation applications. Omniphobicity enables machines and tools to remain dry, clean and functional for longer periods, extends shelf times of food and reduces transmission of germs on surfaces. For many years, researchers have proposed various top-down approaches to create omniphobic surfaces, but none have been scalable or economically viable for large-area coatings. Springtails (Collembola), close relatives of insects, have adopted to life on landwith a respiration through their body surface. This requires a priori a strongly repellant cuticle, which is achieved by nano-scale surface architecture. The responsible structures possess mushroom-like overhanging cross-sections, a structure shape which is known for its ability to endow omniphobicity. This structure is embedded in a grid-like ornamentation which furthermore promotes mechanical resistance. Previous research has shown that the entire omniphobic nano-ornamentation is associated with the topmost proteinaceous epicuticle, rather than the chitin layers below. However, the underlying biological morphogenesis of these structures is not yet clarified despite its potential in informing a scalable bottom-up process. The proposed project aims to identify the structural proteins involved in the formation of this structure and elucidate the spatio-temporal morphogenic processes. To achieve this, we will employ advanced imaging techniques, transcriptomic and proteomic analyses, and diverse spectroscopic methods. In parallel, we will use high-throughput screening, supported by a design of experiment approach and multivariate statistical analysis, to effectively reverse-engineer the structure formation using recombinant proteins in vitro. Our main hypothesis predicts that morphogenesis is based on Turing's reaction-diffusion theory, involving the interplay between a fast-diffusing lipid phase and a slow-diffusing protein phase during cuticular renewal within the moulting cycle. Modeling and simulation will accompany the in vitro experiments, allowing for feedback between experiment and simulation to confirm or disprove model assumptions and adjustments, such as diffusion parameters or phase ratios. This project not only aims to elucidate the unknown morphogenetic processes in the epicuticle of arthropods in general but also represents the first step towards translating this knowledge into synthetic self-assembling omniphobic interfaces.</t>
  </si>
  <si>
    <t xml:space="preserve">This grant concerns the biological morphogenesis of omniphobic nano-structures on springtail cuticles for materials science applications, with no connection to alternative proteins or food protein substitutes.</t>
  </si>
  <si>
    <t xml:space="preserve">grant.15059255</t>
  </si>
  <si>
    <t xml:space="preserve">Impacto dos líquidos iónicos no metabolismo secundário das plantas</t>
  </si>
  <si>
    <t xml:space="preserve">As plantas produzem uma enorme diversidade de compostos orgânicos de baixo peso molecular. Mais de 200 000 metabolitos secundários das plantas (MSP) foram isolados e identificados. Os MSPs possuem estruturas químicas variadas e uma ampla gama de atividades biológicas, com uma função na interação planta – ambiente, e com aplicações na indústria, agricultura, biomedicina e ecologia. A biossíntese de MSPs está muitas vezes sujeita a uma regulação apertada, o que se traduz numa disponibilidade limitada destes metabolitos. Assim, têm sido exploradas diversas abordagens estratégicas de bioengenharia, entre outras, para potenciar a síntese de MSPs por forma a responder às necessidades da indústria e da agricultura, entre outras (15, 16).
Os líquidos iónicos (LIs) são sais orgânicos líquidos a uma temperatura inferior a 100°C. São altamente versáteis devido à enorme variedade de combinações possíveis de aniões e catiões, e têm propriedades químicas diversas (17). Em culturas de fungos, observou-se que a suplementação com concentrações sub-inibitórias destes sais orgânicos complexos altera o perfil metabólico e as vias de resposta ao stress dos fungos (9).
Neste projeto, temos como objetivo utilizar o sistema de protoplastos de Arabidopsis como uma plataforma de triagem para o estudo e optimização do impacto dos líquidos iónicos no metabolismo secundário das plantas. Este sistema transitório e versátil de células vegetais será utilizado para caracterizar e optimizar as interações entre líquidos iónicos à base de colina e a planta modelo Arabidopsis thaliana . O conhecimento adquirido sobre as interações entre fungos filamentosos e líquidos iónicos à base de colina, será traduzido para outro organismo eucariótico. Em particular, estamos interessados na ativação e na diversificação da produção de metabolitos secundários com atividade biológica desencadeada pelos líquidos iónicos em culturas de fungos (9, 24, 25), e vamos usar o sistema de protoplastos de Arabidopsis para testar se o mesmo se verifica em plantas, como uma prova de conceito.
Será dada uma ênfase especial ao estudo dos mecanismos moleculares subjacentes à produção de metabolitos secundários em plantas em resposta à suplementação com líquidos iónicos. Para tal, iremos utilizar abordagens de bioquímica e de biologia molecular para analisar a resposta de várias vias metabólicas e de sinalização de stresse alvo nas plantas, ao nível dos transcriptos e da proteína. Além disso, iremos executar análises imparciais ao transcriptoma e metaboloma para desvendar a assinatura dos líquidos iónicos à base de colina nas vias metabólicas das plantas. O conhecimento inovador obtido com estas abordagens no sistema de protoplastos de Arabidopsis, poderá depois ser traduzido para a produção de compostos orgânicos de baixo peso molecular, por exemplo de alto valor nutricional e de elevada procura pela indústria alimentar, utilizando os modelos de plantas mais adequados e/ou fábricas de células vegetais, em resposta aos líquidos iónicos.</t>
  </si>
  <si>
    <t xml:space="preserve">This grant studies the impact of ionic liquids on secondary metabolism in Arabidopsis plants, with no stated application in alternative protein products; the mention of potential food industry applications is vague and concerns low-molecular-weight compounds, not protein substitutes for animal-derived foods.</t>
  </si>
  <si>
    <t xml:space="preserve">grant.14716787</t>
  </si>
  <si>
    <t xml:space="preserve">Food Responsive Sensor for Colorimetric Observation</t>
  </si>
  <si>
    <t xml:space="preserve">Enhancing food safety and reducing waste are global challenges, especially with the rise in food consumption and distribution. Food spoilage is a key component of these challenges. One of the critical indicators of food spoilage is the presence of toxic compounds formed by microbial activity in protein-rich foods such as fish, meat, and cheese.
The FRESCO project develops an innovative colorimetric sensor for detecting toxic by-products. This sensor utilizes advanced porous materials that change color when exposed to harmful levels of toxic by-products, enabling real-time monitoring in food packaging. The sensor material, combined with a polymeric-based matrix, will be integrated into flexible packaging materials, allowing continuous observation of food freshness. By tracking color changes, it will be possible to monitor food quality.
FRESCO aligns with the United Nations Sustainable Development Goals (SDGs), particularly SDG 2 (Zero Hunger) by promoting food safety and reducing waste, SDG 3 (Good Health and Well-being) by minimizing the risk of foodborne illnesses, and SDG 12 (Responsible Consumption and Production) by enabling more sustainable food management practices.
This project utilizes advanced porous composites and builds upon the findings of previous ERC-funded work to deliver a practical, scalable, and cost-effective solution. With its potential to improve food quality control in real-time and reduce food spoilage, FRESCO is set to advance the food packaging industry and contribute to healthier and more sustainable consumption.</t>
  </si>
  <si>
    <t xml:space="preserve">This grant concerns colorimetric sensors for detecting food spoilage in conventional protein-rich foods (fish, meat, cheese), with no focus on alternative proteins or their development, production, or assessment.</t>
  </si>
  <si>
    <t xml:space="preserve">grant.15145615</t>
  </si>
  <si>
    <t xml:space="preserve">AlgFlavor - Verbeteren van de consumentenacceptatie van algen voor de voedselmarkt</t>
  </si>
  <si>
    <t xml:space="preserve">AlgFlavor gaat over het gebruik van zeewier en microalgen (samen alg genoemd) als duurzamevoedselbron. Deze zijn rijk aan voedingsstoffen zoals eiwitten, mineralen en omega-3 vetzuren, enkunnen helpen aan de groeiende vraag naar gezonde, duurzame voeding. Er zijn uitdagingen omvoedsel op basis van algen beter te maken, voornamelijk vanwege hun smaak en geur.Om deze uitdagingen aan te pakken, werkt AlgFlavor aan het verbeteren van deconsumentenacceptatie van voedingsmiddelen met algen. Verschillende soorten algen hebbenverschillende smaken, variërend van bitter tot hartig. Sommige algen hebben zelfs een smaak dielijkt op zeevruchten, waardoor ze geschikt zijn voor plantaardige alternatieven voor zeevruchten.De smaak van algen kan worden beïnvloed door hoe ze worden geteeld en verwerkt. AlgFlavor zaldeze omstandigheden optimaliseren om een consistente smaak te garanderen en om algen teverwerken in verschillende voedingsproducten (oa brood, sauzen).Algen hebben veelbelovende smaak- en voedingseigenschappen, maar moeten consistenter,betaalbaarder en beter worden voor consumptie. AlgFlavor zal dit doen door sensorische evaluatiesen chemische analyses uit te voeren en diverse voedselprototypes te ontwikkelen.Het ultieme doel is om een markt te creëren voor voedingsmiddelen op basis van algen, gericht opplantaardige alternatieven voor zeevruchten, door de consumentenacceptatie te verbeteren en debehoeften van zowel producenten als consumenten te begrijpen.</t>
  </si>
  <si>
    <t xml:space="preserve">The grant focuses on improving consumer acceptance of seaweed and microalgae as food ingredients, explicitly targeting plant-based seafood alternatives, which falls within the plant-based alternative protein category.</t>
  </si>
  <si>
    <t xml:space="preserve">grant.14878648</t>
  </si>
  <si>
    <t xml:space="preserve">Metal-induced resistance in pepper against Botrytis cinerea</t>
  </si>
  <si>
    <t xml:space="preserve">Plants often face challenges like poor soil quality, lack of nutrients, and diseases caused by pests and 
pathogens. These issues can reduce crop yields and threaten food security. A study found that 
diseases and pests cause over 20% of the annual loss in the world`s major crops like wheat, rice, and 
maize. This highlights the need for effective ways to protect plants. 
The European Commission aims to reduce the use of chemical pesticides and promote eco-friendly 
farming practices. Organic farming and integrated pest management are two methods that use 
natural ways to control diseases, such as biological agents, resistant plant varieties, and balanced 
fertilization. 
Our research focuses on how micronutrients, specifically copper (Cu) and zinc (Zn), can boost the 
plant immune system. Unlike high concentrations of these metals used in conventional plant 
protection, which can be harmful, we use low, non-toxic levels. This approach can reduce the need 
for chemical pesticides, which are energy-intensive to produce and apply. 
Recent studies suggest that micronutrients like Zn and Cu play a crucial role in plant defense 
mechanisms. For example, adding extra Zn to pepper plants helped them resist a common fungal 
disease, Botrytis cinerea, by increasing Zn-binding proteins at the infection site. 
The project aims to understand how these micronutrients enhance plant immunity. We will study the 
effects of surplus but non-toxic levels of Zn and Cu on pepper plants and their response to infection. 
We will investigate the proteins and compounds involved in the defense process and how they work 
together to protect the plants. An interesting question will be whether we can connect the molecular 
defense mechanisms with the role of Zn- and Cu-containing proteins and metabolites and how the 
defense responses differ between Zn and Cu treatments. 
For this we will use advanced techniques in plant physiology, biochemistry, and molecular biology to 
study the effects of micronutrients on plant defense. This includes measuring physiological 
parameters, imaging, analyzing proteins and metabolites, and studying gene expression. 
We hope to uncover the mechanisms of micronutrient-induced plant resistance. This knowledge 
could lead to new, sustainable ways to protect crops and improve food security. The project will also 
provide valuable training for PhD students and establish strong scientific cooperation between 
research institutions in Austria and the Czech Republic.</t>
  </si>
  <si>
    <t xml:space="preserve">This grant concerns plant disease resistance mechanisms in pepper crops using micronutrients, with no connection to alternative protein development, production, or any alternative protein product.</t>
  </si>
  <si>
    <t xml:space="preserve">grant.14487762</t>
  </si>
  <si>
    <t xml:space="preserve">Improving plant immunity by synthetic exploitation of the ubiquitin system</t>
  </si>
  <si>
    <t xml:space="preserve">Plants are continuously attacked by pathogens and pests, resulting globally in large agricultural losses and food insecurity at high economic cost. To counter infection, plants have developed sophisticated immune responses in which the post-translational modifier, ubiquitin, plays indispensable roles. Ubiquitination is a versatile protein modification that regulates the amplitude and intensity of immune responses, thereby establishing durable resistance. Substrate ubiquitination is performed by E3 ligases that act as matchmakers by recruiting specific substrates. Despite the essential roles of E3 ligases in plant immunity, it remains unclear how they achieve such extraordinary substrate selectivity and how they evolved to adapt to changing threats in their environment, including new pathogens. Conversely, pathogens have evolved effector proteins that hijack ubiquitin signalling to prevent immune activation, but the underpinning molecular mechanisms remain obscure.
The SynUbL project will establish interactions between the major cereal crop, barley, and fungal pathogen, Puccinia hordei, as an economically relevant host-pathogen system for addressing these questions and to bioengineer durable resistance. By functionally tracking immune-induced E3 ligases along the evolutionary tree, we will reveal how these enzymes evolved structural features for specific substrate recognition. Simultaneously, we will expose P. hordei’s hijacking tactics, thereby uncovering the significance of ubiquitin in shaping the evolutionary arms race between host and pathogen. Collective insights are then utilised to synthetically engineer novel E3 ligases to allow on-demand activation of host immune pathways and on-demand destruction of immune-suppressing pathogen effectors. Hence, this project not only provides fundamental discoveries in ubiquitin signalling, it exploits these innovations by generating sustainable strategies for durable crop resistance in the agrifood sector.</t>
  </si>
  <si>
    <t xml:space="preserve">grant.14626747</t>
  </si>
  <si>
    <t xml:space="preserve">Proteínas para o futuro: Explorar a segurança dos insetos comestíveis para satisfazer as necessidades alimentares globais</t>
  </si>
  <si>
    <t xml:space="preserve">A procura por soluções alimentares sustentáveis está a crescer exponencialmente em todo o mundo devido à necessidade inadiável de satisfazer de forma sustentável uma maior procura por alimentos baratos e ricos em proteínas. A FAO prevê que, até 2050, teremos de aumentar 60% a produção de alimentos para alimentar mais de 9 mil milhões de pessoas. O futuro reserva-nos assim uma mudança para hábitos alimentares sustentáveis, que permitam alimentar mais pessoas do que o possível com as matérias-primas atuais. Nutricionalmente, os insetos emergem como uma alternativa à carne de elevado teor proteico. Muitos insetos edíveis apresentam perfis nutricionais semelhantes aos de outros produtos vegetais e animais comummente consumidos, paralelamente ao potencial de serem fonte de nutrientes mais sustentável e ecológica.  No entanto, a segurança alimentar dos insetos ainda não consensual e a legislação europeia não é conclusiva no que diz respeito à utilização de insetos como alimento. Os estudos sobre a segurança alimentar dos insetos são escassos e a avaliação dos riscos microbiológicos necessita de mais investigação. Embora na última década tenham sido publicados muitos estudos sobre este assunto, a maioria não é baseada em dados experimentais. O ponto de partida deste projeto será analisar o conhecimento e a perceção dos consumidores portugueses sobre a segurança alimentar dos insetos edíveis, através da aplicação de um questionário. Com este projeto, pretendemos caraterizar microbiologicamente as larvas de Tenebrio molitor por técnicas clássicas dependentes e independentes de cultura para avaliar a diversidade microbiana, bem como para obter informações sobre a presença e prevalência de genes de resistência a antibióticos. Dado a possível contaminação cruzada do produto final pronto a consumir, é também nosso objetivo avaliar a segurança pós-produção. Serão realizados testes de desafio em dois cenários diferentes, avaliando, em primeiro lugar, o crescimento de agentes patogénicos se houver contaminação no substrato de criação e, em segundo lugar, a persistência de agentes patogénicos em produtos pós-processamento com contaminação cruzada. O impacto da nutrição na microbiota intestinal humana tem sido um assunto amplamente discutido, especialmente quando se trata de novos produtos. Para aprofundar o conhecimento sobre o impacto dos produtos à base de insetos no microbioma intestinal humano, utilizaremos o protocolo INFOGEST para dois produtos diferentes (larvas inteiras torradas e larvas em pó) seguido de fermentação fecal para avaliar possíveis alterações nas comunidades microbianas devido ao consumo de insetos comestíveis. Será também importante avaliar o potencial citotóxico dos produtos de digestão de T. molitor numa linha celular modelo da barreira epitelial intestinal.
O mercado de insetos edíveis está em crescimento e o conhecimento sobre a sua segurança terá um impacto económico e industrial. Este projeto representa um importante passo em frente para a ciência a nível global e contribuirá para o aumento do conhecimento científico no sector agroalimentar: i) com conhecimento sobre a perceção dos consumidores portugueses sobre insectos edíveis; ii) com conhecimento sobre o perfil microbiológico, diversidade microbiana e presença de genes de resistência a antibióticos de T. molitor; iii) avaliando a segurança das técnicas de pós-colheita em relação ao crescimento de agentes patogénicos e iv) com conhecimento sobre o impacto dos produtos de T. molitor na microbiota intestinal humana. O desafio é colossal e exigirá uma forte interdisciplinaridade e colaboração entre todos os membros da equipa e associados, a fim de fornecer conhecimentos científicos para o sector agroalimentar, essenciais para garantir a segurança alimentar.
InsectSafe surge como um projeto com um objetivo pertinente focado em colmatar lacunas de conhecimento relativas à segurança microbiológica de insetos comestíveis, juntamente com a avaliação do seu impacto na saúde intestinal humana. A equipa acredita verdadeiramente que o âmbito deste projeto é muito desejável e revela-se uma importante adição ao conhecimento científico baseado em dados experimentais, na esperança de um mundo mais sustentável que satisfaça as necessidades alimentares de todos, garantindo a segurança alimentar e erradicando a insegurança alimentar para as gerações futuras. Os diferentes pontos fortes dos diferentes membros proporcionarão uma forte abordagem multidisciplinar vital para assegurar o sucesso deste projeto.
O projeto InsectSafe reúne uma equipa multidisciplinar de investigadores seniores e juniores, com mérito e experiência reconhecidos em diversas áreas, incluindo microbiologia, genética, bioinformática, biotecnologia e sociologia. A equipa inclui uma investigadora no início do seu doutoramento, que já colaborou com a equipa durante o seu mestrado. Com a adição do membro a contratar (BI-b1) e a equipa de consultores, estamos confiantes no sucesso deste projeto.</t>
  </si>
  <si>
    <t xml:space="preserve">This grant focuses entirely on edible insects (Tenebrio molitor), which are explicitly excluded from the alternative proteins scope.</t>
  </si>
  <si>
    <t xml:space="preserve">grant.14705592</t>
  </si>
  <si>
    <t xml:space="preserve">Activation of antibacterial bacteriolytic milk proteins by low molecular weight additives</t>
  </si>
  <si>
    <t xml:space="preserve">Milk (both human and other mammals) contains lysozyme, which can destroy the cells of various bacteria, i.e. is “non-specific antimicrobial factors of milk”. Lysozyme, as the main bacteriolytic enzyme of the body, has been studied for a very long time, but in recent years, completely new information has appeared both about different isoforms of lysozyme (for example, four types of lysozymes were found in cow's milk) and that this protein also has antiviral, anticancer and immunoregulatory effects. It has also recently been discovered that the activity of lysozyme can be significantly enhanced (up to 8-10 times) against a number of bacteria in the presence of mixtures of charged amino acids and glycine. The activity of lysozyme is also affected by the presence of certain surfactants, analogues of which may be included in food products. Another very important milk protein that can potentially exhibit direct bacteriolytic activity against various bacteria is lactoferrin. In this work, it is planned to isolate lysozyme and lactoferrin from milk samples of black-and-white Holstein cows, followed by a study of the characteristics of the bacteriolytic action of these proteins and the influence of low molecular weight substances on their antibacterial activity in comparison with the corresponding activity of raw cow milk. Approaches will be developed for a simple and rapid method for assessing the amount of these proteins in milk for rapid monitoring of milk quality using simple and safe reagents and simple equipment. The main biochemical and antioxidant parameters of milk samples from these animals will be determined, as well as the correlations between all the above parameters. Lysozyme and lactoferrin will be tested for bacteriolytic activity on three different model microorganisms: Escherichia coli, Micrococcus luteus and Priestia megaterium. Histidine, lysine, arginine, glycine, glutamate, surfactants (surfactants) Tween-21 and Pluronic-P123, and a natural analogue of surfactants - typhoid lipopolysaccharide ( endotoxin). Fundamental knowledge about the bacteriolytic properties of lysozyme and lactoferrin in cow milk, which will be obtained in the work, is extremely important for a deeper understanding of the role of these proteins in the immune defense of animals. The fundamental knowledge obtained in the work is important for assessing the quality of milk, the possibilities of its processing and creation, in the future, of functional dairy products with a set of specified properties.</t>
  </si>
  <si>
    <t xml:space="preserve">This research focuses on antibacterial properties of lysozyme and lactoferrin in conventional cow's milk, with no connection to alternative protein development or substitution of animal-derived foods.</t>
  </si>
  <si>
    <t xml:space="preserve">grant.15060235</t>
  </si>
  <si>
    <t xml:space="preserve">Exploratie van de plasticiteit en functionaliteit van de darmmicrobiomen van insecten voor de valorizatie van residuele biomassa</t>
  </si>
  <si>
    <t xml:space="preserve">Lignocellulose-rijke organische reststromen uit landbouw en bosbouw kunnen een belangrijke grondstof zijn voor de biogebaseerde circulaire economie. Xylofage insecten en hun microbiomen in de spijsvertering kunnen een manier zijn om residuele biomassa te valoriseren voor de productie van derde generatie eiwitten en hoogwaardige chemicaliën. Larven van de zwarte soldatenvlieg, bekend om zijn potentieel in insectenkweek, kunnen een breed scala aan organisch restafval gebruiken als voeding. Daarentegen kan het gespecialiseerde microbioom van houtlevende insecten de moeilijk te verteren lignine in houtvezels omzetten. In dit project streven we ernaar om de principes te onderzoeken die ten grondslag liggen aan de samenstelling en werking van microbiële gemeenschappen tijdens de vertering van weinig voedzame lignocellulose biomassa door insecten. Dit wordt bereikt door het gebruik van geïntegreerde omics, gecombineerd met eiwit-labeling technieken, om de belangrijkste bacteriën die betrokken zijn bij de omzetting van lignocellulose, naar de oppervlakte te brengen vanuit het darmmicrobioom van verschillende houtlevende keverlarven en de larven van de zwarte soldaatvlieg. Verder zal het belang van de nutritionele waarde van lignocellulosebiomassa voor de vertering ervan verduidelijkt worden. Tijdsvariabele geïntegreerde omics in BSF-larven die verschillende substraten voorgeschoteld krijgen, zal worden gebruikt om de plasticiteit en functionele redundantie van het darmmicrobioom te verduidelijken. Verder zullen microbiële stammen met belangrijke functionaliteiten worden gevolgd binnen de heterogene darmomgeving met microscopie om belangrijke aspecten van de rekruteringsecologie binnen de omgeving van het darmmicrobioom van insecten beter te begrijpen. Samen zullen de gegenereerde inzichten de basis vormen om microbiomen te ontwerpen met hogere lignocellulolytische capaciteiten door geschikte microben van gespecialiseerde houtlevende kevers te leveren voor rekrutering en de voedingswaarde van de reststroom te verbeteren. Er kan zo een direct effect zijn op het incorporeren van lignocellulose biomassa in de circulaire bio-economie.</t>
  </si>
  <si>
    <t xml:space="preserve">This grant concerns insect gut microbiomes (black soldier fly larvae and wood-boring beetles) for valorisation of lignocellulose biomass, which is explicitly excluded as insect-based protein research and does not concern alternative proteins for human food.</t>
  </si>
  <si>
    <t xml:space="preserve">grant.15201791</t>
  </si>
  <si>
    <t xml:space="preserve">Molecular imaging of in situ cellular machinery by cryo focused ion beam milling</t>
  </si>
  <si>
    <t xml:space="preserve">Context
The molecular machines of living cells are essential for life. Correct function of these machines supports accurate development, physiological function and healthy ageing. Conversely, disruption of pathogen machinery can be used to tackle global health and food security threats, including antibiotic resistance and agricultural diseases. The ISMB is internationally recognised as a centre of excellence for the study of molecular machines, but most of our current work is undertaken on machinery that has been extracted from its cellular location and purified away from other cellular components. While such work provides crucial detailed information about how these macromolecular complexes operate, it misses out on the cell or tissue context in which they work. Imaging these machines in their functional environment is critical and provides unique insight into the context in which they act. However, cells and tissues are many times larger and more complex than the machines themselves. As a result, precise and specific sample preparation is needed to preserve the context of the machinery of interest, to help locate the machinery within the complex cellular environment and to enable the machinery to be imaged using high resolution electron microscopy. The requested cryo focused ion beam (cryo-FIB) microscope will allow thinning of such complex samples, providing a window into cells and tissues to reveal molecular machine organisation and functional context.
The research the equipment will enable
Specific projects that will benefit from this new equipment include: 1) Structural and mechanistic analysis of transcription-translation coupling; 2) Studies of the molecular machinery that controls the trafficking of cargo and metabolites through cells; 3) Studies of the malaria parasite that will uncover the mechanisms by which the parasite adapts to its different hosts, allowing parasite transmission; 4) Studies of the molecular mechanisms of bacterial conjugative transfer, the main means by which antibiotic resistance genes spread among bacteria; 5) Studies to elucidate the structural mechanisms underlying co-translational folding and cellular proteostasis; 6) Studies of regulatory proteins whose disruption by naturally occurring mutations cause age-related protein polymerisation that perturbs liver and lung cell function; 7) Studies of the contribution of the actin cytoskeleton to membrane remodelling during muscle development; 8) Studies of amyloid fibre assembly and disassembly that will reveal how the cell's quality control machinery handles protein misfolding associated with diseases of ageing.
Aims and objectives
Our overall objectives are 1) for the EM Facility team to establish efficient and robust workflows using the new cryo-FIB microscope; 2) to train both established and non-expert users to apply cryo-FIB workflows to current and new projects in BBSRC-relevant areas; 3) for users to share best-practice with the user community via CCPEM and other training networks. The new cryo-FIB microscope, together with our current equipment will provide researchers with a full workflow which spans biological scales, from tissues to atoms. This will be game-changing for EM Facility users and will be one of only a few such research facilities in the UK.
Potential applications and benefits
The research that will be conducted using the cryo-FIB microscope aligns with the UKRI-BBSRC Delivery plan by aiming at understanding the rules of life and providing an integrated understanding of health. This research will also exploit new ways of working, including the increasing implementation of machine learning methods to enhance the in situ molecular structure determination pipeline.</t>
  </si>
  <si>
    <t xml:space="preserve">This grant concerns cryo-FIB microscopy infrastructure for studying molecular machines in cells and tissues, with no connection to alternative protein research.</t>
  </si>
  <si>
    <t xml:space="preserve">grant.14480598</t>
  </si>
  <si>
    <t xml:space="preserve">Evolution of cross-kingdom small RNA crosstalk in fungal plant pathogens</t>
  </si>
  <si>
    <t xml:space="preserve">Crop pathogens are serious threats to food security globally. Plant genomes carry resistance genes encoding sensors for pathogen surveillance and defense. In turn, pathogens surmount plant resistance by manipulating defense response pathways and shielding molecules from detection. The past decade revealed that such interactions are not only governed by proteinaceous components (e.g. NLR) on the host side and effector proteins on the pathogen side. Small RNA (sRNA) can engage in bidirectional cross-talk between attacked plants and their pathogens. sRNA are short non-coding RNAs mostly generated by endoribonucleases (typically Dicer) from single-stranded RNAs encoding a hairpin structure. Mature sRNAs are inducing gene silencing by being loaded into Argonaute proteins to target gene transcripts guided by complementary sequences. Pathogen-produced sRNA typically target host immunity functions. In turn, plants are also producing sRNA to manipulate pathogen gene expression through host-induced gene silencing. Despite their importance for controlling pathogenicity and the broad conservation among host-pathogen systems, how sRNA species evolve in pathogens to successfully target host functions remains largely unknown. Here, we will focus on the best understood fungal plant pathogen model Botrytis cinerea for sRNA interference to determine evolutionary origins, mechanisms of sequence evolution and future trajectory of sRNA loci. The project will achieve four connected aims to build a comprehensive understanding of sRNA emergence and evolution. First, we will generate a high-quality and representative pangenome of the species focused on rigorous annotation of transposable elements (TEs) as the most likely embeddings of sRNA loci in the species. Second, we will carry out comparative sRNA sequencing experiments analyzing sRNA production in culture and on two hosts for each of the members of the pangenome. To determine within-species variation at sRNA loci, we will analyze presence/absence variation as well as functional variation in sRNA production and contingency on the environment (culture vs. hosts). This step also includes the reconstruction of evolutionary origins based on orthologous positions in sister species genomes. Third, we will use the extant diversity at sRNA loci and predictions of targeted plant RNA to train deep learning models. The model will be capable of both identifying the most robust, yet unknown sRNA loci in the pathogen as well as mechanisms of sequence evolution given. Fourth, we will build a user-friendly pipeline so that pangenome-focused sRNA analyses can be reproduced by members of the COST Action and beyond independent of the study organism. In conjunction, the innovative project will be one of the first to tackle the emergence of sRNA loci in plant pathogens and define trajectories of sequence evolution, which will ultimately help define more robust pathogen control based on externally applied sRNA. The project's ambition is well embedded within the scope of the COST Action exRNA-PATH, which wants to generate fundamental and applied insights into RNA biology and cross-kingdom communication.</t>
  </si>
  <si>
    <t xml:space="preserve">This grant concerns the evolutionary biology of small RNA crosstalk between fungal plant pathogens and their hosts for crop disease resistance, with no connection to alternative protein development, production, or any related food application.</t>
  </si>
  <si>
    <t xml:space="preserve">grant.15148228</t>
  </si>
  <si>
    <t xml:space="preserve">UKProNet2025</t>
  </si>
  <si>
    <t xml:space="preserve">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</si>
  <si>
    <t xml:space="preserve">This grant concerns protein homeostasis (proteostasis) and protein quality control mechanisms in biological systems for applications in ageing, health, and general crop resilience — not alternative protein development or substitution of animal-derived foods.</t>
  </si>
  <si>
    <t xml:space="preserve">grant.14626742</t>
  </si>
  <si>
    <t xml:space="preserve">Explorando os subprodutos do Cardo (Cynara cardunculus L.) para desenvolver Embalagens Ativas inovadoras destinadas a alimentos</t>
  </si>
  <si>
    <t xml:space="preserve">O Projeto CardAPium, visa o desenvolvimento de um filme ativo biodegradável e edível, à base de proteína de soro de leite, para melhorar a preservação e prolongar a vida útil do queijo. Este filme terá como componente ativa o extrato etanólico de folhas de cardo, o subproduto principal da produção/utilização de cardo na indústria dos queijos/lacticínios. O objetivo principal é desenvolver uma solução filmogénica, segura e sustentável, para preservar o queijo, reduzindo o uso de conservantes prejudiciais para a saúde e o meio ambiente.
O Projeto CardAPium divide-se em seis tarefas principais:
Tarefa 1: Envolve a obtenção e caracterização da folha e do extrato da folha. À data, já foi realizada a preparação de extratos a partir das folhas de cardo, e a respetiva caracterização dos mesmos quanto as propriedades antioxidantes e perfil em compostos fenólicos. Os resultados demonstraram um enorme potencial deste subproduto. No entanto, é necessário que este projeto seja financiado para que sejam realizadas todas as outras atividades propostas, nomeadamente a atividade antimicrobiana e deteção de possíveis contaminantes presentes.
Tarefa 2: Desenvolvimento do filme, otimizando a formulação da solução à base de proteína de soro de leite, incorporando as folhas secas e o extrato da folha em várias percentagens.
Tarefa 3: Caraterização físico-química da embalagem ativa desenvolvida, incluindo a análise das propriedades de barreira, propriedades mecânicas e características morfológicas e químicas.
Tarefa 4: Avaliação da segurança e eficácia da nova embalagem em contato com queijo. Inclui a avaliação da oxidação lipídica, o grau de contaminação microbiana e fúngica do queijo.
Tarefa 5: Promoção e divulgação dos resultados do Projeto CardAPium.
Tarefa 6: Atividades de coordenação e gestão do projeto, sendo fundamental para garantir o sucesso do trabalho proposto.
O Projeto CardAPium envolve uma equipa multidisciplinar composta por membros do Instituto Nacional da Saúde Doutor Ricardo Jorge (INSA), Faculdade de Farmácia da Universidade de Coimbra (FFUC), e Faculdade de Ciências e Tecnologias da Universidade Nova de Lisboa (FCT-UNL), com uma vasta experiência em áreas como engenharia de materiais, embalagens alimentares inovadoras utilizando polímeros biodegradáveis, e tecnologia alimentar. Todos os membros irão trabalhar em estreita proximidade.
A evolução de I&amp;D deste projeto parte de princípios básicos e pesquisa fundamental (TRL1 e 2) com o objetivo de atingir uma tecnologia validada à escala laboratorial (TRL4).</t>
  </si>
  <si>
    <t xml:space="preserve">This project develops active biodegradable packaging films based on whey protein (an animal-derived ingredient) incorporating cardoon leaf extracts for cheese preservation — it is not an alternative protein product or ingredient substituting animal-derived foods, but rather a packaging technology for conventional dairy products.</t>
  </si>
  <si>
    <t xml:space="preserve">grant.14955995</t>
  </si>
  <si>
    <t xml:space="preserve">Neural mechanisms underpinning nutrient-specific food choices</t>
  </si>
  <si>
    <t xml:space="preserve">Background: Food choices involve evaluating a food’s tastiness and healthiness, which depend on nutrients including fat, sugar and protein. Importantly, eating healthily requires choosing foods that do not simply maximize one nutrient, but that provide for varied, balanced nutrient intake. While extensively studied in economic and social contexts, the neural mechanisms underlying nutrient-specific valuation and risk processing remain poorly understood. This research builds on prior findings that the amygdala, insula, and orbitofrontal cortex (OFC) integrate sensory, reward, and risk signals, using a novel cross-species approach to fill this critical gap. Aims: This project aims to uncover how nutrient-specific value and risk (i.e., nutrient variation) are encoded in the brain and influence food-related decisions. Human neuroimaging will examine whole-brain activity and connectivity during risky food choices, while non-human primate studies will provide cellular-level insights into neuronal encoding and network dynamics. Methods: For the human study, I will test 40 healthy participants completing a food-choice task under varying nutrient and risk conditions, with behavioural data and functional magnetic resonance imaging (fMRI). For the non-human primate study, I will analyse existing data from previous and ongoing single-cell recordings from the amygdala, insula, and OFC during nutrient-specific decision-making tasks, using graph theory and spike-train modelling to examine neuronal and network-level mechanisms.Expected results: This research is expected to reveal how the key reward systems amygdala, insula, and OFC integrate nutrient-specific attributes and risk into value-based decisions. Human neuroimaging and non-human primate cellular analyses will make distinct contributions to elucidating the mechanisms underpinning food choice, bridging microscopic and macroscopic neural processes. Impact: The findings will advance systems neuroscience and behavioural economics, and offer implications for public health, by addressing critical gaps in our understanding of value-based decision-making. By elucidating how the brain evaluates food-related risks, this research can strengthen the evidence base for informing interventions for treating obesity and metabolic disorders and guide public-health strategies to promote healthier dietary behaviours.</t>
  </si>
  <si>
    <t xml:space="preserve">This grant studies neural mechanisms of food choice and decision-making using neuroimaging and primate studies, with no connection to alternative protein development, ingredients, or products.</t>
  </si>
  <si>
    <t xml:space="preserve">grant.15148744</t>
  </si>
  <si>
    <t xml:space="preserve">SleB (un)inhibited: regulation of spore germination-specific lytic enzyme</t>
  </si>
  <si>
    <t xml:space="preserve">Bacterial spores are among the most pernicious cells in nature. Formed as survival structures in response to nutrient starvation, their ubiquity and extreme resistance to heat and other stress factors that would ordinarily kill vegetative cells means they are difficult to eradicate. This presents problems in the food sector, for example, since spores can survive processing and then germinate and proliferate, resulting in spoilage or toxigenesis.
Germination and ultimately improved control of spores is at the heart of the current proposal. In order to complete germination, spores must enzymatically degrade what is essentially their cell wall, a thick layer of peptidoglycan referred to as the cortex. This is mediated by cortex lytic enzymes, one of which – SleB – is somehow held in an inactive state during spore dormancy and which can withstand whatever insults are thrown at the spore during that period, before rapidly assuming activity during spore germination. The molecular mechanisms associated with regulation of SleB activity in dormant and germinating spores are largely unknown, but if understood should present new routes to improved control of spores. This project aims to solve the SleB puzzle while at the same time identifying and developing inhibitors of the enzyme. We will achieve this by:
Combining X-ray crystallography and related techniques with Molecular Dynamics (MD) simulations to yield insight to the protein complex formed by SleB and its partner protein YpeB, revealing the molecular mechanisms that regulate the enzyme’s (in)activity during spore dormancy, exposure to heat, and germination.
Solving the crystal structure of SleB with bound cortex peptidoglycan substrate, revealing the structural basis for substrate specificity by the enzyme.
Conducting crystallographic fragment-based screens to identify small molecule ligands and potential inhibitors of SleB.
Ultimately the project will fill crucial knowledge gaps in current models of spore germination while providing a platform for spore-associated interventions in global food production and nutrition, and in the public health, infectious disease, and animal welfare sectors.</t>
  </si>
  <si>
    <t xml:space="preserve">This grant concerns the molecular biology of bacterial spore germination and enzyme regulation (SleB/YpeB), which is a food safety/spoilage topic unrelated to alternative protein development.</t>
  </si>
  <si>
    <t xml:space="preserve">grant.15059900</t>
  </si>
  <si>
    <t xml:space="preserve">Development of a computational pipeline to study and develop Aptamer-based small-molecules biosensors</t>
  </si>
  <si>
    <t xml:space="preserve">Aptamers are short single-stranded synthetic oligonucleotides (DNA or RNA), highly comparable to antibodies, that bind through non-covalent interactions and high affinity with molecular targets or small molecules.  Their increased affinity and selectivity are a great advantage as they can differentiate between enantiomers and molecules that differ by only one functional group. These unique features make aptamers an attractive alternative to antibodies, which are more expensive and difficult to produce. Consequently, aptamers have many applications, from drug development to cell tracking, metabolite, and bacterial and viral detection in human or food matrices.  
Even though aptamer-based approaches for the interaction with larger target molecules such as proteins and cells have been extensively reported in the literature, there is still a lot to be done regarding the interaction with small molecules
The main goal of this project is to use computational simulations and bioinformatic tools to create methodologies for the simulation and prediction of the 3D structures of DNA aptamers and their modes of interaction with small molecules to work as biosensors to diagnose brain disorders such as Alzheimer's or Parkinson's disease.</t>
  </si>
  <si>
    <t xml:space="preserve">This grant concerns computational development of aptamer-based biosensors for diagnosing brain disorders, with no connection to alternative proteins or food applications.</t>
  </si>
  <si>
    <t xml:space="preserve">grant.15050145</t>
  </si>
  <si>
    <t xml:space="preserve">Boosting sustainability of European aquaculture through Biofloc Technology</t>
  </si>
  <si>
    <t xml:space="preserve">Aquaculture provides more than half of the world's seafood protein, but it faces challenges such as water demand and eutrophication, biosecurity or dependence on fishmeal/oil. Therefore, novel systems with low environmental impact are required to meet these challenges. Biofloc technology (BFT) is a novel aquaculture system that can recycle the C and N waste into valuable biomass suitable to be used on-site as a nourishing food source, reducing the need for aquafeeds and enhancing animal immune system. The N conversion into microbial fraction allows minimal water exchange, reducing water requirements. Moreover, BFT ensures biosecurity due to the absence of communication among tanks. However, BFT is still a relatively new technology, and needs to be better understood, mainly under intensive conditions. Besides, BFT is a complex multidisciplinary system, and the lack of qualified professionals is the main barrier to its implementation in Europe. SwitchFloc will face BFT challenges through an interdisciplinary and intersectoral research and training programme, including international secondments and a series of network-wide training events. SwitchFloc will focus both on species well adapted to BFT and species new to BFT and will improve aquafeed formulation and manufacturing, as well as animal health by promoting beneficial microorganisms into biofloc. Additionally, BFT sustainability and financial viability will be enhanced by the combination with IMTA and hydroponic systems (FlocPonics), analysis of carbon footprint, search of potential market opportunities and food quality assessments. SwitchFloc will train outstanding researchers in sustainable and intensive aquaculture production and will have deep technological impact in aquaculture by providing a new generation of BFT supporting technologies. In addition, SwitchFloc will impact economy and the environment by reducing artificial feed and water exchange, culminating in the production of fresh zero-km product.</t>
  </si>
  <si>
    <t xml:space="preserve">This grant concerns aquaculture production systems (Biofloc Technology) for seafood, with applications in aquafeed and fish farming — not alternative proteins for human food.</t>
  </si>
  <si>
    <t xml:space="preserve">grant.15148080</t>
  </si>
  <si>
    <t xml:space="preserve">Investigating ribosome hibernation and activation during the infectious cycle of microsporidia</t>
  </si>
  <si>
    <t xml:space="preserve">Ribosomes are the cellular protein-producing factories in all known life forms. They are central metabolic hubs and tightly regulated in response to physiological or environmental conditions. Protein biosynthesis is energy-expensive, consuming up to 40% of a cell's adenosine triphosphate (ATP). To survive shortages of ATP (e.g. caused by environmental or nutrient stress) cells can enter an energy-saving mode called dormancy, where most ribosomes are shifted into a “hibernating” state. Dormancy is typical for plant seeds or fungal spores that must endure drought or winter and underlies various infectious diseases and cancer.
Dormancy is integral to life cycles of parasites that alternate between metabolically active phases inside hosts and dormant phases in the environment. A striking example is found in microsporidia—eukaryotic parasites capable of infecting a broad range of animals, including humans. Microsporidia exist as dormant spores in the environment, such as in contaminated water, and infect new hosts upon ingestion. During infection, microsporidia deploy a specialised invasion organelle, the polar tube (PT), to enter host cells. Fuelled by the host cell’s resources, the parasite then activates its metabolism, proliferates, and forms new dormant spores that ultimately kill the host cell and propagate the infection (Fig.1). Dormancy enables microsporidia to remain viable in the environment for weeks, poised to infect their next host.
In humans, microsporidia are a health threat to immunocompromised individuals—including those with AIDS, transplant recipients, and malnourished children—causing chronic diarrhoea, wasting, and in severe cases, organ failure or brain infections leading to seizures. In agriculture, microsporidia devastate farmed animals such as fish and honeybees, endangering food security and agricultural economies. Despite their clinical and ecological importance, fundamental molecular questions about the microsporidian life cycle are poorly understood. For instance, how do microsporidia suppress most ribosomes to conserve energy during dormancy while keeping a subset active for survival? Equally mysterious is how ribosomes reactivate to power the parasite's protein metabolism during host invasion.
This frontier biosciences proposal will quantify ribosomal activity and deconstruct the structural and mechanistic principles of ribosomal regulation across the microsporidian life cycle by harnessing the power of cutting-edge bioimaging and omics approaches.
Our Objectives are to:
O1: Study the structural basis of ribosome hibernation within dormant spores to determine the key factors that suppress most ribosomes
O2: Map the dormant spore’s baseline ribosomal activity to decipher the minimum protein biosynthesis regime that keeps the spores alive
O3: Investigate ribosome activation during host cell invasion to shed light on its triggers
O4: Image the intracellular life cycle of microsporidia across scales to determine when protein biosynthesis is at its maximum and how ribosomes are switched off again when new spores are formed.
To achieve these objectives, we will leverage an interdisciplinary and cutting-edge bioimaging and omics approach to advance knowledge of ribosome biology, cellular dormancy, and parasitic infection. This proposal unites a unique team of experts in microsporidian biology (Daum &amp; Williams), structural biology (Daum &amp; Isupov), omics (Williams), and bioimaging (Hacker &amp; McLaren). The project will establish cutting-edge, multimodal pipelines, foster new skills, and train the next generation of researchers. Our proposal is poised to generate world-leading research that will contribute textbook-defining knowledge to the fields of microbiology, cell biology, and ribosome biology. Finally, our work will inspire innovations to combat parasitic infections, benefiting health care and food security.</t>
  </si>
  <si>
    <t xml:space="preserve">This grant studies ribosome hibernation and activation in microsporidia parasites for fundamental biology and infectious disease purposes, with no connection to alternative protein development or production.</t>
  </si>
  <si>
    <t xml:space="preserve">grant.15147375</t>
  </si>
  <si>
    <t xml:space="preserve">New mass spectrometry instrumentation for improved biomolecular characterisation</t>
  </si>
  <si>
    <t xml:space="preserve">Biological life is only possible because of its inherent biomolecular building blocks such as sugars, lipids and proteins. In order to understand the myriad of biological functions that these biomolecules undertake we need to be able to characterise their detailed structure. A particular emphasis will be placed on sugars, sometimes also referred to as glycans or carbohydrates, in the form of polysaccharides or glycoconjugates (bound to proteins and lipids), as they are the most abundant and structurally diverse class of biomolecules on the planet. Glycosylation is also the most important protein modification in terms of the number of proteins modified and the functional diversity it generates, which directly impacts on their stability and half-lives. Glycoproteins, glycolipids and glycan-binding proteins, which specifically recognize particular glycan structures, are located on the cell's surface. As this is the cells primary interface with the external environment, many biologically significant events can be linked to specific glycan recognition between cells. The structural characterisation of biomolecules requires the development and exploitation of high sensitivity analytical methods. Mass spectrometry is such an analytical method that is particularly well suited to characterize biomolecules. A mass spectrometer provides two important pieces of information about a biomolecule, or a portion of a biomolecule: its mass and its charge. This key information can be used to derive the detailed structure of the biomolecules which is vital for working out their function. In this application we propose to purchase a state of the art high performance Bruker neofleX MALDI mass spectrometer that is particularly well suited to allow the characterisation of biomolecular structures. The applicant team from Imperial, the Francis Crick Institute, the Quadram Institute, the Pirbright Institute and the Animal and Plant Health Agency, are world leading scientists supported by &gt;£26M of relevant current BBSRC-funded research and &gt;£6M of relevant UKRI-funding, whose research is underpinned by structural data generated by MALDI-MS instrumentation. This is being held back by aging and increasingly unreliable current MALDI instrumentation at Imperial and the Quadram, and lack of such instrumentation at the Francis Crick Institute, the Pirbright Institute and the Animal and Plant Health Agency. Because of the diverse research activities of the applicant team the new instrumentation will be used to address some of the most important biomolecular structural research challenges within the UKRI-BBSRC strategic research priorities such as understanding the rules of life, transformative technologies, bioscience for sustainable agriculture and food, bioscience for renewable resources and clean growth and bioscience for an integrated understanding of health. It will advance the development of new medicines, antibiotics, vaccines and diagnostics to tackle disease in both humans and animals thereby improving health, enhancing sustainable health and food production and protecting biodiversity, it will allow the characterisation of emerging viruses to facilitate the assessment of their pandemic potential, and it will accelerate the production of microbial food proteins to enhance sustainability. The Bruker neofleX MALDI  will be integrated into the existing Centre for Integrative Systems Biology and Bioinformatics (CISBIO) Mass Spectrometry facility at Imperial. It will therefore be made open–access to all members of Imperial and the broader academic and industrial research community. The Imperial funded facility manager will interact closely with Bruker to ensure efficient and timely installation of the neofleX and will receive detailed training which he will subsequently pass on to new instrument users.</t>
  </si>
  <si>
    <t xml:space="preserve">This grant concerns the purchase of a MALDI mass spectrometer for general biomolecular characterisation (glycans, lipids, proteins) with broad applications across medicine, agriculture, and food science; while it briefly mentions 'microbial food proteins' as one of many applications, alternative proteins are not a focus of the research.</t>
  </si>
  <si>
    <t xml:space="preserve">grant.15202081</t>
  </si>
  <si>
    <t xml:space="preserve">A rainbow of rapid peptide superglues for engineering biological teams</t>
  </si>
  <si>
    <t xml:space="preserve">Biological function typically depends on proteins working together in teams. Routes for programming protein assembly should be specific and reliable in the context of many different proteins and cellular environments. Our group has generated a peptide called SpyTag and a protein called SpyCatcher (named after the bacterium S. pyogenes from which these parts were engineered). SpyTag/SpyCatcher technology has proven to be a powerful tool for bringing two proteins together simply, specifically and irreversibly. SpyTag technology has enabled diverse applications including in biomaterials, catalysis, cell therapy, structural biology and vaccines. SpyTag/SpyCatcher has been employed in bacteria, plants, mice, worms, flies, a range of livestock animals, and even in human clinical trials.
Linking building-blocks irreversibly brings resilience over time and enhances the ability to monitor interactions in cells. We and others have now generated a set of Tag/Catcher pairs, harnessing the same idea of ligation through spontaneous covalent bond formation. However, these tools have low reaction speed, low ability as fusion partners and it is unknown whether the pairs are mutually specific and applicable in diverse cellular contexts. Here we will engineer a panel of Tag/Catcher pairs where each Tag or Catcher only reacts with its designated partner, ignoring other Tag/Catchers and other components of cells. This Tag/Catcher panel will provide a central underlying resource for the engineering of biology. This work will also establish fundamental insights into the computational design of split proteins for rapid reaction and cellular compatibility.
Objective 1: Benchmarking the performance of the existing Tag/Catcher rainbow
First we will quantify and compare key criteria for the large set of existing Tag/Catcher pairs, including reaction efficiency and selectivity. This objective will establish which pairs are best suited to take forwards to engineer for efficient building of molecular teams.
Objective 2: Computational enhancement of Tag/Catcher pairing.
Using a series of computational tools, we will design Tag/Catcher pairs with enhanced stability, reduced non-specific binding, and improved application in diverse cellular contexts.
Objective 3: Directed evolution of rapid orthogonal Catcher toolbox.
We will harness library selection to accelerate the reactivity, cellular display efficiency and selectivity. This objective will optimise Tag/Catcher pairs for selective and rapid reaction in a cellular context.
Objective 4: Deep validation of optimised orthogonal Tag/Catcher pairs.
Finally we will perform a complete characterisation of our optimised Tag/Catcher pairs, to demonstrate their applicability for the building of molecular teams in diverse cellular contexts. This objective will provide a thorough benchmarking, so that the Tag/Catcher panel can enable a new level of cellular programming and molecular assembly for the bioscience community. Rapid and selective multi-component coupling by this unique toolbox will have wide impact for both fundamental research and biotechnology.
This proposal fits the BBSRC strategic challenge of “bioscience for sustainable agriculture and food”, given the wide use of Tag/Catcher pairs for assembly of vaccine candidates against diseases of farmed animals. This proposal fits BBSRC priorities of “understanding the rules of life” in investigating principles of split protein docking and isopeptide bond formation, and “transformative technologies” in the generation of a rapid and broadly applicable toolbox for molecular assembly.</t>
  </si>
  <si>
    <t xml:space="preserve">This grant concerns the development of SpyTag/SpyCatcher peptide ligation tools for general protein assembly in biological research, with no connection to alternative protein production or substitution of animal-derived foods.</t>
  </si>
  <si>
    <t xml:space="preserve">grant.15145355</t>
  </si>
  <si>
    <t xml:space="preserve">Een systeembiologie benadering om EPS-productie door melkzuurbacteriën te optimaliseren voor voedseltoepassingen</t>
  </si>
  <si>
    <t xml:space="preserve">In-situ heteropolysaccharide (HePS)-producerende melkzuurbacteriën (LAB), zoals Lactobacillus plantarum, hebben de aandacht van de voedselindustrie getrokken, aangezien HePS structurerende, viscositeit verhogende en emulgerende eigenschappen hebben. Bepaalde stressfactoren kunnen echter, afhankelijk van de gebruikte stam, de HePS-vorming bevorderen of verminderen, wat mogelijk commerciële toepassingen beperkt. Dit project heeft als doel om beter te begrijpen waarom de biosynthese van HePS binnen dezelfde LAB-soort anders reageert op verschillende koolstofbronnen, evenals op temperatuur en zout (stress), en welke combinatie de in-situ HePS-productie het beste stimuleert (gekwantificeerd door middel van HPLC). Dit zal worden onderzocht door groeitesten (e.g. high-throughput fenotypering) te combineren met verschillende omics-technieken, wat zal leiden tot de identificatie van HePS-geassocieerde genen/eiwitten. De resultaten zullen worden gevalideerd in een (plantaardige) yoghurt(analoog), waarbij niet alleen de HePS-vorming wordt geëvalueerd, maar ook de verzuringskinetiek en de structuurvorming, die samen de textuureigenschappen beïnvloeden.</t>
  </si>
  <si>
    <t xml:space="preserve">This project optimises exopolysaccharide (EPS) production by lactic acid bacteria for use as a structuring/texturising ingredient in plant-based yoghurt analogues, which is directly relevant to alternative protein product development.</t>
  </si>
  <si>
    <t xml:space="preserve">I would label PB actually, but CC is okay. It’s lactic acid bacteria fermentation to modify plant-based stuff. </t>
  </si>
  <si>
    <t xml:space="preserve">grant.14500222</t>
  </si>
  <si>
    <t xml:space="preserve">Dietary fiber supplementation for the prevention of rheumatoid arthritis</t>
  </si>
  <si>
    <t xml:space="preserve">Rheumatoid arthritis (RA) is a common inflammatory disease for which there is no cure. Observational studies in humans and interventional studies in animals imply that increased dietary fiber intake may prevent RA development. Patients who seek health care because of joint pain and test positive for autoantibodies to citrullinated proteins, but lack clinical signs of arthritis, comprise an at-risk population where 20-50% develop RA within the next few years. We aim to set up a clinical trial to test whether dietary fiber supplementation prevent RA onset among such at-risk individuals. Subjects will be randomized to either one fiber bar daily or to an energy-equivalent control bar for 12 months, followed by a 12-month observational period to assess the duration of possible treatment effects. The primary outcome is the proportion of subjects fulfilling RA classification criteria after 12 months. We will also assess changes in patient-reported outcomes, autoantibody levels, systemic inflammation (CRP), lipids, body weight, short chain fatty acids, intestinal permeability, and microbial diversity in fecal samples. Adverse events will be carefully monitored. We have built a team of (i) experienced rheumatologists, (ii) experimental experts on gut-joint interplay, and (iii) frontline researchers on dietary intervention studies in RA and food sciences. Together, we apply for funding to launch a unique trial with potential to open completely new avenues for the prevention of RA.</t>
  </si>
  <si>
    <t xml:space="preserve">This grant concerns dietary fiber supplementation for rheumatoid arthritis prevention, a medical nutrition/therapeutic application with no connection to alternative protein development or substitution of animal-derived foods.</t>
  </si>
  <si>
    <t xml:space="preserve">grant.15163390</t>
  </si>
  <si>
    <t xml:space="preserve">Nowatorskie składniki zastępcze pochodzenia morskiego o działaniu przeciwzapalnym, przeciwutleniającym i przeciwbakteryjnym: nutraceutyki jako prewencyjna alternatywa w komercyjnych systemach hodowli zwierząt.</t>
  </si>
  <si>
    <t xml:space="preserve">Nadmierne stosowanie antybiotyków w hodowli zwierząt oraz innych gałęziach przemysłu doprowadziło do alarmującego wzrostu oporności na środki przeciwdrobnoustrojowe, zagrażając ogólnoświatowemu zdrowiu ludzi, zwierząt i środowiska. Narastający problem skłonił naukowców do poszukiwania naturalnych oraz nowatorskich rozwiązań w zapobieganiu chorobom u zwierząt gospodarskich bez konieczności stosowania antybiotyków. Wśród potencjalnych rozwiązań algi morskie wyłoniły się jako obiecująca naturalna a lternatywa. Te rośliny morskie są bogate w związki bioaktywne, znane ze swoich właściwości przeciwzapalnych, przeciwutleniających i antybakteryjnych. Algi morskie oferują zatem wieloaspektowe podejście do zwalczania oporności na środki przeciwdrobnoustrojo we, wzmacniając odporność zwierząt i wspierając zdrowie jelit. Ich stosowanie może zmniejszyć zapotrzebowanie na syntetyczne leki w systemach rolniczych, co z kolei pomaga ograniczyć rozprzestrzenianie się bakterii opornych na antybiotyki. Projekt MARINA-CARE ma zatem na celu zbadanie bioaktywnego potencjału czterech gatunków alg brunatnych (Fucus vesiculosus, Fucus serratus, Pelvetia canaliculata oraz Laminaria digitata ) wraz z fukoidanem , polisacharydem występującym w brunatnicach, jako naturalnej alternatywy dla syntetycznych antybiotyków. Oprócz badania indywidualnej bioaktywności tych alg brunatnych naukowcy zbadają sześć kombinacji gatunków w celu ustalenia, czy połączenie ich właściwości prowadzi do synergistycznego wzmocnienia ich skuteczności. W związku z tym badania mają na celu (i) oznaczenie bioaktywnych molekuł, (ii) sprawdzenie, czy algi mor skie i fukoidan redukują procesy zapalne i wykazują właściwości przeciwzapalne, (iii) ocenę właściwości antybakteryjnych oraz skuteczności wobec drobnoustrojów chorobotwórczych, oraz (iv) analizę potencjału przeciwutleniającego w celu ograniczenia uszkodzeń komórek spowodowanych stresem tlenowym. Naukowcy przeprowadzą zatem analizę chemiczną, gdzie proszki z wybranych alg brunatnych zostaną przetestowane pod kątem ich wartości odżywczych, w tym zawartości białek, błonnika i kluczowych związków bioaktywnych, takich jak polifenole i flawonoidy. Przy użyciu zaawansowanych technik, takich jak spektrofotometria i chromatografia, zostaną r ównież oznaczone kwasy tłuszczowe, pigmenty i karotenoidy. Badacze zbadają również działanie przeciwzapalne ekstraktów z alg z użyciem komórek odpornościowych świń poddanych działaniu szkodliwych substancji imitujących infekcje. Skuteczność ekstraktów w re dukcji procesów zapalnych zostanie oceniona poprzez pomiar kluczowych markerów zapalenia. Naukowcy ocenią ponadto potencjał antyoksydacyjny ekstraktów z alg, mierząc ich zdolność do neutralizowania szkodliwych wolnych rodników, które mogą uszkadzać komórki  i prowadzić do rozwoju różnych chorób. Na podstawie testów chemicznych zostanie określona skuteczność ochronna ekstraktów oraz ich siła antyoksydacyjna w różnych dawkach. Ostatecznie, badacze przetestują właściwości antybakteryjne ekstraktów z alg wobec s zkodliwych bakterii, takich jak Escherichia coli  i Listeria monocytogenes . Naukowcy ocenią zdolność ekstraktów do hamowania wzrostu bakterii, ich zabijania oraz zapobiegania tworzeniu biofilmów, ochronnych warstw, które bakterie wytwarzają w celu zwiększenia oporności na leczenie. Oczekiwane rezultaty z przeprowadzonych badań mogą wykazać, że algi brunatne mają potencjał, aby stać się potężną, naturalną alternatywą dla antybiotyków w paszach dla zwierząt gospodarskich. Dzięki naturalnemu zapobieganiu chorobom oraz wzmacnianiu odporności zwierząt algi morskie mogą zmniejszyć zależność od syntetycznych leków, a także promować zdrowie zwierząt i ograniczać rozprzestrzenianie się oporności na środki przeciwdrobnoustrojowe. Dodatkowo włączenie alg do pasz dla zwierząt może poprawić ogólny dobrostan zwierząt poprzez wspieranie zdrowia jelit i redukcję chorób związ anych ze stresem, co dodatkowo zwiększa produktywność oraz jakość żywności. Chociaż potrzebne są dalsze badania na modelach zwierzęcych, aby potwierdzić korzyści, wyniki tych badań mogą stanowić znaczący krok w kierunku zdrowszej hodowli zwierząt i bezpieczniejszego, bardziej zrównoważonego systemu żywnościowego. To funkcjonalne podejście oferuje zatem obiecujące rozwiązanie dla globalnego problemu, jakim jest rosnąca oporność drobnoustrojów na środki przeciwdrobnoustrojowe.</t>
  </si>
  <si>
    <t xml:space="preserve">This grant concerns the use of brown algae and fucoidan as natural antibiotic alternatives in animal husbandry (animal feed/aquafeed), not as alternative protein ingredients for human food substitutes.</t>
  </si>
  <si>
    <t xml:space="preserve">grant.14523065</t>
  </si>
  <si>
    <t xml:space="preserve">Immune-neuro-metabolic regulation of the distribution of cellular nutrients and its functional consequences.</t>
  </si>
  <si>
    <t xml:space="preserve">Background and rationaleElevated glycemia is typically seen as pathological and it is undisputed that prolonged hyperglycemia is associated with microvascular complications of diabetes. However, brief episodes of increased blood glucose concentrations are part of the physiological reactions to distribute energy and enable the receiving tissue to execute its function. Indeed, acute stress increases glycemia, providing the necessary energy to cope with the stressor. This can fuel muscles to fight or flight, or immune cells to mount a response against an infectious agent. During pregnancy, insulin resistance develops, reducing glucose uptake by maternal tissues and providing energy for fetal nutrition. Another situation in which stress-induced hyperglycemia is present for potentially beneficial reasons is during ischemia, when energy transport is reduced.In preliminary studies, we have shown, that beyond “classical” hormones, cytokines and neuronal circuits play a role in this redistribution of cellular nutrients. For example, food intake increases the secretion of IL-1ß which redirects glucose to macrophages. This fuels the immune system and allows it to deal with the microbes that are ingested along with the food.These examples suggest that glucose partitioning is a highly regulated process that is constantly being optimized to meet current needs. In some situations, increased glucose uptake may be beneficial, while in others it may become toxic. Therapeutic interventions aimed at preventing the detrimental complications of prolonged hyperglycemia should therefore target not only the reduction of circulating glucose levels, but also the individual energy needs of tissue compartments. ObjectivesThe present project aims to study how hormones, cytokines and neurons regulate the fate of nutrients, and how this impacts physical and mental performance, temperature adaptation and defense against infection in health and disease.Specific aims &amp; methodsAim 1: How is the tissue distribution of glucose and lipids affected by the cytokines IL-1ß, IL-6 and TNF, the gut-derived peptides GLP-1 and GIP, the islet hormones insulin and glucagon, the stress hormone cortisol, the thyroid hormone triiodothyronine and by vagal activity?To address this question in mice and humans, we will use imaging techniques, perform clamp studies, and sample nutrient-uptake into tissues with labeled nutrients. Cytokines, hormones and neurotransmitters will be modulated by administration of recombinant proteins as well as by pharmacological and genetic manipulation. Finally, the underlying molecular mechanisms will be investigated. Aim 2: What are the functional consequences of cell nutrient redistribution by the above factors on physical performance, muscle strength, cold and heat adaptation, defense against infection, and mental performance?To address this question in mice and humans, we will perform treadmill and swimming tests or VO2 max tests, measure grip strength, assess cold and heat adaptation, inject pathogens or LPS, and conduct behavioral and cognitive tests.Aim 3: How is diabetes and its treatment influenced by energy partitioning and what are the clinical consequences?To address this question, we will study healthy and diabetic mice, as well as healthy volunteers and patients with type 2 diabetes, and test how cytokine- and hormone-mediated energy allocation are affected by antidiabetic drugs (SGLT2 inhibitor, incretin hormones, insulin, NLRP3 inhibitor). The readouts will be functional tests and changes in metabolic health. Overall, we expect to show a novel aspect of the concept of immunometabolism at the level of the whole organism with implications for physiology and clinical care.</t>
  </si>
  <si>
    <t xml:space="preserve">This grant concerns immunometabolic regulation of glucose and nutrient distribution in the context of diabetes, stress, and infection — with no connection to alternative proteins or plant-based, fermentation-derived, or cultivated food products.</t>
  </si>
  <si>
    <t xml:space="preserve">grant.14486693</t>
  </si>
  <si>
    <t xml:space="preserve">Transcriptional regulation of human gastric cell types</t>
  </si>
  <si>
    <t xml:space="preserve">The human stomach plays a crucial role in the digestive system. Its main jobs include breaking 
down food, killing harmful bacteria that come with it, and starting the digestion process. These 
tasks are managed by the stomachs lining, called the gastric epithelium, which is made up of 
highly specialized cells, each with a specific function. Interestingly, we dont yet fully 
understand how these stomach cells develop and specialize, especially compared to other 
parts of the digestive system. 
 The goal of our current project is to explore these cell types in detail, focusing on how 
they develop from stem cells and what controls this process. To do this, we grow human 
stomach-like tissues, called organoids, in the lab. By tweaking the conditions in which they 
grow, we aim to produce specific cell types, like mucus-producing cells such as foveolar and 
neck cells that protect the stomach lining. We then identify the genes and proteins, 
particularly transcription factors, that guide the development of these cells. This involves 
advanced techniques, including analyzing gene activity and using tools like CRISPR-Cas9 to 
switch off specific genes and see what happens. When we discover important transcription 
factors, we study them closely to understand how they work. 
 The insights, we gain from this study, will reveal how stem cells in the stomach decide 
what type of cell to become. Ultimately, this research could lead to better treatments for 
patients whose stomach cells are damaged or dont function properly.</t>
  </si>
  <si>
    <t xml:space="preserve">This grant concerns basic biomedical research on human gastric cell development and transcriptional regulation, with no connection to alternative proteins, cultivated meat, or food applications.</t>
  </si>
  <si>
    <t xml:space="preserve">grant.15197718</t>
  </si>
  <si>
    <t xml:space="preserve">Genetically Engineered Chickens as Tools to Study Interferon Functions in Immunity</t>
  </si>
  <si>
    <t xml:space="preserve">This project aims to uncover the immunobiology and functional roles of type I and type III interferons (IFNs) in chickens. IFNs are key immune proteins that help combat infections, but their precise roles and interactions in chickens remain poorly understood. This study will investigate how these IFNs regulate immune responses and contribute to host defense against infections using genetically modified chicken lines lacking receptors for type I IFN, type III IFN, or both. To achieve this, a series of in vitro, in ovo, and in vivo experiments will be conducted to analyze IFN-mediated immune mechanisms under both physiological and infectious conditions. The study is structured around three key objectives: 1. Unravel the distinct and overlapping signaling pathways of type I and III IFNs, their associated interferon-stimulated genes (ISGs), and their role in cellular and mucosal immunity under pathogen-free conditions. Recombinant IFNs will be used to identify ISGs regulated by each IFN type across different tissues. Additionally, the activation of IFN pathways by toll-like receptor (TLR) will be unraveled using TLR agonists. This will provide a comprehensive understanding of how IFNs are induced and function under physiological conditions. 2. To study the IFN defense mechanism against viral infections. This objective will examine how type I and III IFNs shape immune responses against viral infections, specifically Newcastle Disease Virus (NDV) and Influenza A virus (H1N1). This will help clarify the distinct roles of type I and III IFNs in antiviral defense and their impact on susceptibility to infection and disease progression. 3. To investigate the IFN defense mechanisms against bacterial infections. Type I and III IFNs play a crucial role in Salmonella pathogenesis by influencing immune responses and intestinal barrier integrity. Using both in vitro and in vivo models, this objective will explore how IFNs affect Salmonella invasion, persistence, and spread within the host. This research will advance our understanding of IFN-driven immunity in chickens and how pathogens manipulate IFN signaling to evade it. Given the economic and public health impact of viral and bacterial diseases in poultry, these findings will support the development of more effective vaccines and disease control strategies. With zoonotic risks like Salmonella and influenza, this study has broader implications for food safety and global health initiatives. By enhancing disease resistance, this research aligns with One Health principles, promotes sustainable poultry production, and contributes to reducing antibiotic use, economic losses, and zoonotic disease transmission.</t>
  </si>
  <si>
    <t xml:space="preserve">This grant concerns chicken immunobiology and interferon signaling for poultry disease resistance and vaccine development, with no connection to alternative protein research.</t>
  </si>
  <si>
    <t xml:space="preserve">grant.15201215</t>
  </si>
  <si>
    <t xml:space="preserve">The role of light-driven proton pumps in sustaining oceanic primary production</t>
  </si>
  <si>
    <t xml:space="preserve">Microbial rhodopsins are photoreceptor proteins that convert light into biological signals or energy. Proteins of the xanthorhodopsin family are common in eukaryotic photosynthetic plankton including diatoms, which contribute ca. 45% of annual oceanic primary production and therefore underpin significant ecosystem services such as providing food for heterotrophic marine organisms and carbon sequestration mitigating adverse effects of global warming caused by human activity. In diatoms, xanthorhodopsin represent an alternative energy system to support growth and biomass under unfavourable growth conditions such as limitation by essential nutrients (e.g. dissolved iron). Hence, since xanthorhodopsins play a key role in enhancing oceanic primary production under adverse environmental conditions, they can be considered a 'climate-change coping mechanism', especially as nutrient limitations are expected to become more prevalent globally in a warming surface ocean. Unfortunately, in 2023, the oceans have broken heat records five years in a row, and on the latest UN climate summit, COP28, there was no commitment to phase out fossil fuels. Instead, the summit president declared that UAE would double oil and gas output this decade. Hence, it is likely the oceans will continue to break heat records in the coming years and we therefore have a pressing need to identify how key marine organism groups such as diatoms will cope. This knowledge will be important to assess their resilience and therefore if and how the ecosystem services they provide will change. To help with this 'resilience assessment', this project will determine how xanthorhodopsins underpin a key ecosystem service: oceanic primary production. To meet this aim, our work will capitalise on three recent ground-breaking publications. In brief, we will characterise genetically modified xanthorhodopsin diatom cell lines to identify the physiological mechanism underpinning diatom growth and biomass formation under unfavourable growth conditions. There is significant diversity in genes encoding xanthorhodopsins between diatom species and even within a single species, which suggests these proteins are a multi-purpose tool ("Swiss Army Knife") helping diatoms to sustain oceanic primary production under adverse environmental conditions. Thus, to reveal if this genetic diversity translates into functional diversity representing different solutions to the same problem, our laboratory experiments will be accompanied by a combination of sequenced-based and 3D structural protein analyses exploring the "100 Diatom Genomes Project" and multi-omics surface ocean datasets. The latter will provide the first insights into the environmental conditions likely responsible for the xanthorhodopsin-based alternative energy system to sustain oceanic primary production under unfavourable growth conditions imposed by a continued warming of the surface oceans.</t>
  </si>
  <si>
    <t xml:space="preserve">This grant concerns marine ecology and climate resilience of diatoms via xanthorhodopsin proteins, with no connection to alternative protein production or food applications.</t>
  </si>
  <si>
    <t xml:space="preserve">grant.14682242</t>
  </si>
  <si>
    <t xml:space="preserve">Multidisciplinary toolbox for characterising lipid II binding antibiotics</t>
  </si>
  <si>
    <t xml:space="preserve">Antimicrobial resistance is a growing global problem with wide ranging societal and economic implications. Whilst the focus is often on the impact on human medicine, it is also a concern for food security (including food spoilage) and animal health and welfare.
Antibiotics targeting lipid II, which is the basic substrate in the biosynthesis of the bacterial cell wall, are excellent drug candidates. It is far more difficult to develop resistance when substrates are targeted rather than, e.g., proteins. However, lipid II binding molecules often also have physico-chemical properties that make them challenging to apply, e.g., in clinic. If molecular level understanding on how they work is available, molecules preserving the binding properties of the original antibiotics but also exhibiting more favorable properties for applications can be engineered.
This project will focus on developing a streamlined toolbox composed of reagents, biophysical/structural measurement methods and molecular dynamics simulations to characterise interactions of antibiotics and lipid II at atomic resolution to facilitate their engineering. In order to make the approach generally applicable to any lipid II binder, we will focus on developing methodology that uses lipid II itself as a reporter on the interactions.
The work described will be able to make use of collaborations across the physical and life sciences utilizing a capability to synthesise high purity isotopically labelled lipid II and complementary nature of solution and solid-state nuclear magnetic resonance (NMR) and computational methods. The experiments can be carried out in a range of membrane compositions to determine how the environment affects the antibiotic-lipid II complex and to determine its suitability for high resolution structure determination. Our approach will be a highly valuable pathway for characterisation, validation, and refinement of new lipid II binding antibiotics. We will validate it on a set of antibiotics with known modes of action and test it on a recently discovered antibiotic for which binding to lipid II is not known.</t>
  </si>
  <si>
    <t xml:space="preserve">This grant concerns antibiotic characterisation and antimicrobial resistance research, with no connection to alternative proteins or plant-based, fermentation-derived, or cultivated protein products.</t>
  </si>
  <si>
    <t xml:space="preserve">grant.14482508</t>
  </si>
  <si>
    <t xml:space="preserve">Sustainable Bio-Sourced Macromolecular Cryoprotectants</t>
  </si>
  <si>
    <t xml:space="preserve">ce formation and growth is a problem wherever sub-zero temperatures exist, requiring antifreeze/cryoprotectants, spanning in aerospace, renewable energy, vaccine delivery, biomedical research and the food industry. Anti-icing strategies currently deploy unsustainable practices, using large volumes of solvents to di-ice planes, to using methane-gas burners to prevent vineyards from freezing, to emerging cell-based therapies which urgently need advanced cryoprotectants to supplement DMSO-based freezing methods. Ice binding proteins have shown potential to transform how low-temperatures are mitigated in a range of academic and industrial challenge areas, but are simply not available at scale, nor a practical price point. Current polymeric mimics of IBPs have been shown to be potent, but are obtained by unsustainable methods, and are not degradable.
In this proposal we will address the challenge of how to deploy the favourable properties of ice binding proteins, but using sustainable and degradable synthetic polymer mimics. Synthetic poly(amino acid) materials expertise at RCSI will be combined with UoM expertise in biomacromolecular mimics of ice binding proteins and polymer-sustainability, to discover the next generation of polymeric 'antifreeze' agents that are resorbable and/or degrade in the environment. Our goal is to first understand the structural requirements to retain ice recognition/modulation in chemically-simple poly(amino acids). We will then develop sustainable strategies for their upscaling focussed on both production by step-growth synthesis (with integrated life cycle analysis) as well as end of life (degradation): a cradle to grave, not cradle to gate approach.
We will deliver future environmental and industrial impact by showing their function as anti-icing agents and the storage of cell-based therapies and quantitative, critical, life cycle analysis considerations. We will also upskill the researchers with critical, and authentic, sustainability skills.
Our specific objectives are:
1. Use N-carboxyanhydride (NCA) polymerisation as a discovery tool to obtain precision poly(amino acid)s based on polyproline (PP) II and alpha helices.
2. Map the polymer/ice binding activity relationships to identify core structural motifs which are essential to activity.
- Show biodegradation under hydrolytic, microbial and in vivo relevant conditions, to identify the material (from Obj. II) which is most ideal for diverse environments of release.
1. Demonstrate scalable synthesis of the most active materials using step-growth/condensation polymerisation, which is an industrially relevant method, used for e.g. Nylon preparation
2. Use polymers in model application areas of cellular cryopreservation, anti-icing and reduced ice-adhesion application areas.
3. Quantify impacts through life cycle analysis of the materials to understand, and mitigate, their impact.</t>
  </si>
  <si>
    <t xml:space="preserve">This grant concerns the development of synthetic polymer cryoprotectants mimicking ice binding proteins for applications in aerospace, biomedical cell therapy, and anti-icing — with no focus on alternative proteins or substitutes for animal-derived foods.</t>
  </si>
  <si>
    <t xml:space="preserve">grant.15200993</t>
  </si>
  <si>
    <t xml:space="preserve">Supercharging Sustainability: Harnessing Hyperactive Carbon-Fixing Enzymes for Food Security and Green Industry</t>
  </si>
  <si>
    <t xml:space="preserve">We have developed a hyperactive carbon-fixing enzyme to tackle the dual challenges of food security and sustainable industry. We will produce new fast-growing plants and photosynthetic bacteria for a step change in sustainability research.
In the face of a changing climate, the world faces a growing sustainability crisis and an urgent need to adapt industry to reduce greenhouse emissions and environmental impact. A growing population, climate change, and soil desertification mean many people are already food insecure, and millions face the same prospect in coming decades. Food security is underpinned directly or indirectly via plant-based agriculture for food and feed. A significant change is also needed in how chemicals are made to reduce fossil fuel requirements and thus make their production more sustainable.
Photosynthetic carbon fixation underpins all life on Earth. The enzyme Rubisco is central to carbon fixation by photosynthesis. It is the gatekeeper of carbon entry into the biosphere, the most abundant protein on the planet, and an essential yet imperfect catalyst. Rubisco often limits photosynthetic carbon assimilation and growth. Therefore, improving Rubisco catalytic efficiency is an economically high-value strategic research goal to increase yields in agriculture and the sustainability benefits and efficiency gains through green biotechnology using photosynthetic prokaryotes.
A poorly understood aspect of Rubisco biochemistry is the role of post-translational modifications (PTMs) to the primary structure that could regulate its activity in vivo. We have identified a previously unknown carbon dioxide binding site on Rubisco. We have demonstrated that ablating this binding site gives a remarkable increase in Rubisco’s carbon-fixing activity. Further, we have shown that eliminating this binding site from the chromosome of a photosynthetic prokaryote gives a new, fast-growing strain. Therefore, we have an exciting and exploitable tool for tackling sustainability challenges, and contributing toward priority efforts to use biosciences research to advance sustainable agriculture, and produce renewable resources to power clean growth.
The proposal builds on these findings through three experimental streams.
We will fully characterise the impact of this PTM on the biochemistry of both plant cyanobacterial Rubiscos. This will be important to understand the mechanistic basis behind changes in catalysis, and how broadly transferable this discovery will be.
We will exploit our fast-growing strain as a green bio-factory for industrial biotechnology by examining the impact on the yield of high-value bio-alcohols. This objective will have a near-term impact on research in pursuit of alternative chemical synthesis routes that reduce global reliance on fossil fuels.
We will generate tobacco plants with mutated Rubisco large subunits to characterise the effect of this PTM on plant-level photosynthesis and growth. This objective will establish the physiological impacts of this mutation in tobacco as a proof-of-concept for future larger scale trials and engineering of improved crop plants.
Together, the objectives will develop our preliminary findings to a technology readiness level for future exploitation with industry.</t>
  </si>
  <si>
    <t xml:space="preserve">This grant concerns improving Rubisco enzyme efficiency for agricultural yield and industrial biotechnology (biofuels/bio-alcohols), with no focus on alternative protein products or substitutes for animal-derived foods.</t>
  </si>
  <si>
    <t xml:space="preserve">grant.14950626</t>
  </si>
  <si>
    <t xml:space="preserve">This grant concerns improving Rubisco enzyme efficiency for agricultural yield and industrial biotechnology (bio-alcohols), with no connection to alternative protein products or substitutes for animal-derived foods.</t>
  </si>
  <si>
    <t xml:space="preserve">grant.15149070</t>
  </si>
  <si>
    <t xml:space="preserve">PD WALL MECH Renewal:? Harnessing PlasmoDesma Wall Mechanics for plant biotech and biomaterials</t>
  </si>
  <si>
    <t xml:space="preserve">Plasmodesmata (PD) are crucial signalling hubs in plants mediating the cell-to-cell transport of signalling molecules, metabolites, proteins and the spread of viruses. The cell walls surrounding PD are enriched in the beta-1,3 glucan polymer callose. Changes in callose metabolism, in response to developmental and environmental cues, coordinates intercellular transport and plant growth. Despite its importance, the properties of callose and the impact of its accumulation in cell wall architecture, elasticity, ductility and adhesion are virtually unknown. PD-Wall Mech is an interdisciplinary project that aims to dissect the mechanical and structural properties of PD cell walls with the goal of exploiting this knowledge in crop improvement and biomaterial development. The research through my FLF revealed that callose populations, of different size and structure, differentially accumulate at PD and interact with cell wall glycans. My work also found that callose increases cellulose plasticity and water holding capacity which impacts cell wall biomechanics. During the renewal, this knowledge will be applied in the identification of molecular factors for the design of strategies to improve fruit growth. The regulation of calloses and callose-glycan interactions will be analysed in (tomato and strawberry) fruits at different developmental stages and after mis-expression of endogenous callose-metabolic enzymes. Changes in cell wall biomechanics will indicate the potential effects of callose regulation in cell/organ growth and resilience to mechanical stresses. Molecular tools developed to study callose and glycan-interactions during the FLF, will be applied in screening the composition of fruit lignocellulosic waste (leaves and stems) aiming to identify its suitability for biomaterial development. This project key strength is its interdisciplinarity bringing physical and biological sciences together to address real world challenges. In brief, the renewal objectives are to:
R.Objective 1: identify markers and the regulation of callose structures during organ growth.
R.Objective 2: determine the contribution of callose structures to cell/ tissue biomechanics.
R.Objective 3: apply callose knowledge and molecular probes in biomaterial development.
The work tackles pressing global issues related with the impact of climate change on food security and sustainability. The work has applications in improving the growth, shelf-life and nutritional value of fruit crops through translation of fundamental knowledge on PD and cell wall regulation. The UK Fruit &amp; Vegetable retailers industry is valued at £12.4bn in 2024 (ibisworld), but only 16% of fresh fruit were produced domestically. By addressing fruit growth, the project will benefit farmers and the UK economy and eventually decrease fruit imports. The project will also generate value from crop biomass through exploitation of our molecular tools and callose plasticizing properties in bioengineering cellulose. This will support the design of sustainable and eco-friendly cellulose-based products to substitute plastic and reduce agricultural waste. The project addresses BBSRC priorities on ‘sustainable agriculture and food security’, ‘transformative technologies’, and ‘Frontier Bioscience’. It aligns to the EPSRC themes ‘manufacturing the future’, ‘soft polymer physics’, and the cross-councils strategy on ‘Engineering Biology’. This project will deliver academic impact and contribute to build the UK workforce by training researchers in an interdisciplinary area. Working in partnership with industry and academia will maximise the research impact and contribute to UKRI five-year strategy: ‘Transforming tomorrow together’. Ultimately, the research will provide a roadmap for exploitation of knowledge in cell walls and PD on the improvement of other crops and on the sustainable use of lignocellulosic resources.</t>
  </si>
  <si>
    <t xml:space="preserve">This grant concerns fundamental plant cell biology (plasmodesmata, callose, cell wall mechanics) applied to fruit crop improvement and cellulose-based biomaterials, with no connection to alternative protein development or production.</t>
  </si>
  <si>
    <t xml:space="preserve">grant.14934327</t>
  </si>
  <si>
    <t xml:space="preserve">UpGrain Presswasser-Aufbereitung</t>
  </si>
  <si>
    <t xml:space="preserve">Die Firma UpGrain AG hat zusammen mit der Brauerei Locher ein Verfahren entwickelt, bei dem aus dem Nebenstrom des Biertrebers verschiedene Produkte gewonnen werden. Die so gewonnenen Proteine weisen auch gegenüber pflanzlichen Proteinen eine geringere Treibhausgasbelastung auf, weil die Belastung aus der Primärproduktion entfällt. 2023 wurde die erste Anlage bei der Brauerei Locher in Betrieb genommen. Einzelne Produkte aus den zurückgewonnenen Gerstenproteine und -fasern sind bereits im Handel erhältlich. UpGrain verkauft die Anlage und Technologie für das Biertreber-Recycling, entwickelt und vertreibt aber auch die Produkte aus den zurückgewonnenen Bestandteilen. Damit der Prozess möglichst nachhaltig ist, erfolgt die Trocknung des Trebers mechanisch. Dabei fallen grosse Mengen an Presswasser an – allein bei der Brauerei Locher 35'000 l /Tag. Dessen CSB (Chemischer Sauerstoff-Bedarf) -Wert als Mass für die organische Belastung ist zu hoch für die direkte Einleitung in die Kanalisation oder um in einer Biogasanlage vergärt zu werden. 
Deshalb kann die Anlage für das Biertreber Upcycling zurzeit nur in Teillast betrieben werden. Die Presswasseraufbereitung ist damit ein Knackpunkt im ganzen Prozess, gleichzeitig aber ein weiterer Nebenstrom, dessen Inhaltsstoffe in einem nächsten Schritt verwertet werden könnten In diesem Projekt soll ein Verfahren zur Abtrennung der Feststoffe aus dem Presswasser entwickelt werden. In Vorversuchen hat sich die Kombination aus Sedimentation (z.B. Zentrifugation) mit einer anschliessenden Membranfiltration als erfolgversprechend gezeigt. Neben der geeigneten Kombination von Trennoperationen müssen auch die optimalen Prozessparameter gefunden werden, um einen stabilen und ökonomischen Trennprozess zu gewährleisten. Mit der Gruppe «Lebensmittelprozesstechnologie und Innovation» der Berner Fachhochschule wird ein in diesem Bereich erfahrener Partner aus der Forschung beigezogen.</t>
  </si>
  <si>
    <t xml:space="preserve">This grant concerns the recovery and processing of barley proteins and fibres from brewery spent grain (Biertreber) as plant-based protein ingredients, with the process improvement (presswasser treatment) directly enabling the alternative protein production pipeline.</t>
  </si>
  <si>
    <t xml:space="preserve">grant.15163270</t>
  </si>
  <si>
    <t xml:space="preserve">Nowa strategia w walce z antybiotykoopornością oparta o hybrydy fluorochinolonów i czwartorzędowych soli amoniowych</t>
  </si>
  <si>
    <t xml:space="preserve">Szybko rosnąca oporność bakterii na powszechnie stosowane środki przeciwdrobnoustrojowe stanowi jeden z największych problemów dla zdrowia publicznego. Oporność powstaje wówczas, gdy bakterie tworzą mechanizmy chroniące je przed działaniem antybiotyków. Choroby wywołane przez oporne formy drobnoustrojów są bardziej problematyczne i często drogie w leczeniu. Pacjenci wymagają przyjmowania większych dawek leków lub środków alternatywnych, co może być toksyczne i wydłużać hospitalizację. Najbardziej groźne i trudne do leczenia są choroby powodowane przez drobnoustroje oporne na kilka środków przeciwdrobnoustrojowych, określane wielolekoopornymi (MDR). Okres pomiędzy rokiem 1950 a 1970, kiedy odkryto wiele nowych klas antybiotyków, został nazwany „złotym wiekiem antybiotyków”. Możliwe stało się wtedy leczenie wielu dotychczas nieuleczalnych schorzeń, nawet tych śmiertelnych. Niemniej jednak od tamtej pory liczba nowo odkrytych antybiotyków znacznie spadła, a oporne bakterie rozpowszechniają się coraz bardziej. Obecnie do walki z antybiotykoopornością stosuje się wiele strategii, a opracowanie leków hybrydowych jest jedną z nich. Lek hybrydowy składa się z połączonych w jedną cząsteczkę różnych bioaktywnie czynnych fragmentów. Odrębne części farmakoforowe działają przeciwko różnym celom molekularnym, w związku z czym mniejsze jest ryzyko, że bakterie zmutują i wykształcą mechanizmy obronne przeciwko wielu podjednostkom leku. Co ciekawe, najszerzej opisywanymi w literaturze związkami hybrydowymi są fluorochinolony (FQ) połączone z innymi antybiotykami. FQ to całkowicie syntetyczne leki bakteriobójcze o szerokim spektrum działania odkryte przez George'a Leshera w 1962 r. Są stosowane w infekcjach dróg rodnych i moczowych oraz zakażeniach szpitalnych. Ogólnie FQ są dobrze tolerowane, jednak czasami mogą powodować działania niepożądane, najczęstsze z nich to biegunka, nudności, wymioty, bezsenność, zerwanie ścięgien, uszkodzenie nerwów i problemy ze zdrowiem psychicznym. Celem molekularnym FQ są enzymy bakteryjne zaangażowane w proces replikacji DNA. Czwartorzędowe sole amoniowe (QAS) stanowią kolejny rodzaj związków mogących wchodzić w skład leków hybrydowych. Należą do kationowych detergentów (środków powierzchniowo czynnych) i wykazują aktywność przeciwbakteryjną działając dezynfekująco i antystatycznie. Są stosowane w przemyśle kosmetycznym, spożywczym i papierniczym, służą też do odkażania nieuszkodzonej skóry przed operacją lub sterylizacji niekrytycznych powierzchni i narzędzi. Wykorzystywane są w produkcji artykułów weterynaryjnych, preparatów antykoncepcyjnych, szczepionek, testów diagnostycznych, preparatów do nosa, czy zmiękczaczy tkanin. W związku z powyższym racjonalnym wydaje się podjęcie programu badawczego poświęconego badaniu nowatorskich hybryd łączących FQ i QAS. Prezentowany projekt dotyczący chemii medycznej ma na celu opracowanie nowej klasy antybakteryjnych środków hybrydowych. W ramach niniejszej pracy planujemy zaprojektować, zsyntezować i scharakteryzować serię nowych niskocząsteczkowych związków zawierających ugrupowania FQ i QAS. Niniejsza koncepcja opierają się na wynikach wstępnych badań wskazujących, że tego typu związki odznaczają się potwierdzoną aktywnością przeciwbakteryjną. Nasze badania zweryfikują hipotezę, że otrzymane związki wykazują unikalny podwójny mechanizm działania obejmujący hamowanie enzymów bakteryjnych dzięki obecności FQ oraz destabilizację struktur błon lipidowych wywołaną przez QAS. Planowane podejście jest korzystne ze względu na prostą i niedrogą syntezę planowanych cząsteczek, a także ich regulowaną lipofilowość, kluczową dla aktywności biologicznej, którą można zmienić poprzez wprowadzenie do struktury czwartorzędowej różnych podstawników alkilowych. Trwały ładunek dodatni obecny w QAS powinien zmniejszać zdolność związków do przenikania bariery krew-mózg, a tym samym osłabiać niekorzystne skutki wywołane przez FQ w ośrodkowym układzie nerwowym. Głównym celem projektu jest zaprojektowanie i otrzymanie panelu nowych cząsteczek na drodze reakcji wyczerpującego alkilowania. W dalszej kolejności planowane prace skoncentrują się na zbadaniu ich właściwości fizykochemicznych, tj. lipofilowości oraz powinowactwa do fosfolipidów i białek surowicy ludzkiej, gdyż udokumentowano, że czynniki te wpływają na wchłanianie, dystrybucję, metabolizm i wydalanie leku oraz jego wychwyt i akumulację komórkową. Kolejne kroki badawcze obejmą kompleksową ocenę bioaktywności otrzymanych związków. Ich zdolność do zabijania bakterii i podatność na rozwój oporności zostanie przetestowana wobec powszechnych ludzkich patogenów, w tym szczepów opornych na antybiotyki. Dodatkowo analizowana będzie aktywność wobec niezwykle trudnych do usunięcia biofilmowych form drobnoustrojów. Biofilm złożony jest z komórek adherentnych i macierzy zewnątrzkomórkowej, szacuje się, że bierze on udział w ok. 80% wszystkich infekcji powodując chroniczne i nawracające stany zakaźne. Biofilm wykazuje znacznie wyższą antybiotykooporność, jego eliminacja może wymagać nawet 1000-krotnie wyższych stężeń antybiotyków, a co za tym idzie stanowi zagrożenie dla zdrowia publicznego głównie poprzez kolonizację biomateriałów i wyrobów medycznych. W celu zweryfikowania aspektów bezpieczeństwa i wyselekcjonowania najbardziej obiecujących związków przeprowadzona zostanie ocena toksyczności związków wobec ludzkich i zwierzęcych linii komórkowych. Badania na myszach zostaną wykonane celem oceny parametrów farmakokinetycznych oraz skuteczności in vivo. Na ostatnim etapie projektu zostanie przeprowadzone modelowanie komputerowe w celu zracjonalizowania wyników eksperymentalnych. Opracowane hybrydy mogą stanowić nową grupę przeciwbakteryjnych środków o zwiększonej aktywności przewyższającej kombinację jednocześnie podawanych leków w stosunku 1:1.</t>
  </si>
  <si>
    <t xml:space="preserve">This grant concerns the development of hybrid antibacterial compounds (fluoroquinolone-quaternary ammonium salt hybrids) for combating antibiotic resistance, with no connection to alternative proteins or plant-based, fermentation-derived, or cultivated food products.</t>
  </si>
  <si>
    <t xml:space="preserve">grant.14704553</t>
  </si>
  <si>
    <t xml:space="preserve">Development of optical chemosensors for cyanide and volatile amines based on anthraquinone derivatives</t>
  </si>
  <si>
    <t xml:space="preserve">Cyanides are widely used in the textile, paper, and plastics industries, as well as in the processes of extracting gold and silver. The second most toxic gas in fire combustion products is HCN. In the event of a leak of cyanide-containing waste or cyanide poisoning, it is crucial to detect any increase in their concentration in the environment or in the blood of affected individuals as quickly as possible. Over the past couple of decades, a large number of new optical molecular chemosensors for cyanide anions have emerged in the literature. Most of them are based on dyes with complex structures, which would not be inexpensive even in mass production. Transitioning from researching colorimetric sensors in solutions to studying materials based on them significantly reduces sensitivity to the analyte and worsens the color change contrast. Thus, despite the significant amount of work in this area, there are very few studies in the literature where a test system has been developed that is inexpensive, convenient, has the necessary detection limit, a wide range of color changes, and provides a rapid optical response.
	One of the most attractive chromophores is anthraquinone due to the high photostability of its derivatives, the affordability of starting materials, and well-studied chemical transformations. There are several systems based on anthraquinone in the literature capable of acting as a molecular sensor for cyanide anions. One of them (2-benzoylamino-1-hydroxyanthraquinone) was first investigated by the authors of this project. In the presence of the analyte, deprotonation of the dye's hydroxyl group occurred. A promising system is 1-(aryl(cyano)methyl)anthraquinone. These derivatives exhibit C–H acidity in the presence of cyanide anions, leading to a phenomenal color change. The work is aimed at finding structural regularities to improve the selectivity and sensitivity of the two selected types of dye receptors. Additionally, a detailed study is planned to investigate the influence of the type of polymeric matrix and plasticizer on the response time, sensitivity, and selectivity to cyanide anions of the prepared chemosensor film based on dyes with the best properties in aqueous environments.
	As a result of the breakdown of amino acids present in food products by endogenous and microbial enzymes, toxic biogenic and volatile amines (BA and VA) are released. Quantitative determination and monitoring methods of VA and BA are key to minimizing waste from protein-rich products and ensuring the safe consumption of fresh food products. Among the plethora of articles on this subject that have developed a simple and inexpensive material that changes color in the presence of VA and/or BA, there are very few. In this case, in addition to the criteria described for chemosensors for cyanide anions, low toxicity and compatibility with food products are crucial. In our opinion, it makes sense to create an extremely simple and inexpensive chemosensor in the form of paper strips or polymer films containing an acid-base dye that responds to all amines to determine their total concentration in packaged products. Anthraquinone dyes synthesized and studied by us in the creation of a colorimetric sensor for cyanide anions will be used to obtain the material (polymer film). Literature search has shown a lack of studies where the sensor material obtained was used for both cyanide detection in aqueous environments and VA detection. This project aims to create such a material because it will undoubtedly have an advantage over existing materials due to its universality.</t>
  </si>
  <si>
    <t xml:space="preserve">This grant concerns the development of optical chemosensors based on anthraquinone derivatives for detecting cyanide and volatile amines, with no connection to alternative protein development, production, or characterisation.</t>
  </si>
  <si>
    <t xml:space="preserve">grant.15163152</t>
  </si>
  <si>
    <t xml:space="preserve">Biodostepność i wpływ na mikrobiotę jelitową mikrokapsułkowanych bioestrów oleju lnianego wzbogaconych olejem pochodzącym z produktów ubocznych przemysłu spożywczego – badania in vitro.</t>
  </si>
  <si>
    <t xml:space="preserve">badania in vitro.  Choroby cywilizacyjne to schorzenia występujące  globalnie i powszechnie, których rozwój  i rozprzestrzenianie się jest spowodowane zmianami cywilizacyjnymi (urbanizacja, zanieczyszczenie środowiska, stresujące środowisko pracy i życia) oraz zachowaniami człowieka (nieprawidłowe odżywianie, niska aktywność fizyczna). Szacuje się, że choroby cywilizacyjne są odpowiedzialne za ponad 80% zgonów na świecie. Zmiany w sposobie żywienia, takie jak zwiększone spożycie wysokotłuszczowych i przetworzonych produktów spożywczych, doprowadziły do zaburzeń w prawidłowym stosunku kwasów omega -6 do omega -3, co podaje się za jedną z głównych przyczyn rozwoju chorób dietozależnych. Olej lniany jest jednym z najcenniejszych źródeł wielonienasyconych kwasów tłuszczowych z rodziny omega -3, szczególnie kwasu α-linolenowego. Jednak nasiona lnu oprócz zawartości składników odżywczych i bioaktywnych, zawierają też w swoich składzie substancje antyodżywcze. Problematyczną kwestią dotyczącą oleju lnianego jest również fakt, że jest to produkt niestabilny chemicznie, wrażliwy na światło i tlen atmosferyczny, co ogranicza moż liwości jego stosowania. W związku z tym poszukuje się alternatywnych źródeł kwasów omega -3, takich jak estry etylowe oleju lnianego. Kolejny problem, który nas dotyka to marnotrawstwo żywności. Zgodnie z europejską polityką o obiegu zamkniętym, celami zrównoważonego rozwoju i ideą „zero” bądź „less” waste, właściwe zarządzanie odpadami jest jednym z głównych wyzwań stojących przed przemysłem spożywczym, dlatego wykorzystanie produktów ubocznych , takich jak np. pestki granatu , jest niezwykle istotne. Liczne badania naukowe wykazały potencjalne korzyści zdrowotne związane ze spożyciem oleju z pestek granatu, zwłaszcza z uwagi na obecność kwasu punicynowego, który wykazuje silne właściwości przeciwzapalne, przeciwutleniające czy przeciwnowotworowe . Jednak oleje bogate w wielonienasycone kwasy tłuszczowe są niestabilne chemicznie, podatne na utratę wartości odżywczych i bioaktywnych, dlatego konieczne jest stosowanie procesów, takich jak mikrokapsułkowanie, które mogą potencjalnie ograniczyć te zmiany. Mikrokapsułkowanie to proces tworzenia funkcjonalnej bariery między tzw. rdzeniem (substancja aktywna) a materiałem ściany (stanowiącym otoczkę), który ma na celu zachowanie biologicznych, funkcjonalnych i fizykochemicznych właściwości materiałów rdzenia. Dotychczas do mikrokapsułkowania substancji biologicznie aktywnych szeroko wykorzystywano polisacharydy roślinne (guma arabska,  maltodekstryna, celuloza, chitozan), pochodzenia mikrobiologicznego (guma ksantanowa), a także białka poch odzenia roślinnego (z kukurydzy, pszenicy, nasion roślin strączkowych) oraz zwierzęcego (żelatynę, albuminę, beta -laktoglobulinę). Interesującym białkiem, które nie było jeszcze stosowane w tym celu, jest białko ziemniaczane, wykazujące potencjał do wykorzystywania jako materiał ściany mikrokapsułek.  Innowacyjnym rozwiązaniem byłoby również wykorzystanie w tym celu polisacharydów o dodatkowej funkcjonalności, np. o działaniu prebiotycznym, takich jak inulina czy nutrioza.  Celem projektu jest ocena biodostępności i wpływu na mikrobiotę jelitową mikrokapsułkowanych mieszanek bioestrów oleju lnianego i oleju z pestek granatu stabilizowanych innowacyjnymi kompleksami białkowo – polisacharydowymi. Zakładane jest otrzymanie preparatu charakteryzującego się podwyższoną biodostępnością, stabilnością chemiczną oraz właściwościami prozdrowotnymi. Projekt składa się z czterech zadań badawczych. Pierwszy z nich dotyczyć będzie przygotowania i określenia właściwości fizykochemicznych mat eriału rdzenia mikrokapsułek, czyli mieszaniny estrów etylowych oleju lnianego oraz oleju z pestek granatu. Drugi etap dotyczyć będzie przygotowania emulsji stabilizowane j kompleksami białkowo -polisacharydowymi i określeniu ich właściwości fizykochemicznych. W następnym etapie emulsje te przeprowadzone zostaną do postaci mikrokapsułek metodą suszenia rozpyłowego. W ostatnim etapie przygotowane mikrokapsułki zbadane zostaną pod kątem biodostępności i ich wpływu na mikrobiotę jelitową.  Przedstawiony projekt może przyczynić się do postępu w dziedzinie technologii żywności poprzez wprowadzenie nowych rozwiązań w obszarze materiałów ściennych stosowanych w procesie mikrokapsułkowania, efektywne wykorzystanie surowców odpadowych oraz poprawę biodostępności składników bioaktywnych. Ponadto określenie biodostępności i wpływu na mikrobiotę jelitową stworzonych mikrokapsułek może być fundamentem dla opracowywania suplementów diety i żywności funkcjonalnej.</t>
  </si>
  <si>
    <t xml:space="preserve">This grant concerns microencapsulation of flaxseed oil esters and pomegranate seed oil for bioavailability and gut microbiota studies — a nutraceutical/functional food application with no connection to alternative proteins or substitutes for animal-derived foods.</t>
  </si>
  <si>
    <t xml:space="preserve">grant.15164443</t>
  </si>
  <si>
    <t xml:space="preserve">Czy zapasowe białka roślinne mogą stać się źródłem biosurfaktantów ? Przypadek łubinu.</t>
  </si>
  <si>
    <t xml:space="preserve">Łubin należy do roślin tradycyjnie uprawianych w Polsce i wielu krajach na całym świecie, na cele paszowe oraz jako zielony nawóz. W tej ostatniej roli sprawdza się szczególnie dobrze ze względu na unikalną zdolność wiązania azotu atmosferycznego, którą zawdzięcza symbiozie z bakteriami korzeniowymi, m.in. z rodzaju Rhizobium. Główną przeszkodą w stosowaniu łubinu jako paszy dla zwierząt na szeroką skalę, czy nawet jako składnik pożywienia dla ludzi, jest obecność tzw. substancji antyżywieniowych, np. alkaloidów. Od wielu lat jednak dostępne są na rynku specjalnie wyhodowane odmiany o niskiej zawartości alkaloidów (tzw. „słodkie”). Niestety, ich uprawa wiąże się z koniecznością silniejszej ochrony przeciw chorobom i szkodnikom, co wymaga użycia nieraz znacznych dawek chemicznych środków ochrony roślin. Zarówno tradycyjne odmiany „gorzkie”, jak i nowoczesne „słodkie” są jednak bardzo bogatym źródłem białek o korzystnym składzie aminokwasowym  oraz wielu innych  składników o cennych właściwościach fizykochemicznych . Na niewykorzystany potencjał łubinu wskazywano już ponad 100 lat temu. W 1917 r. w Hamburgu wydano specjalne przyjęcie, na którym przy stole przykrytym obrusem z włókna łubinu serwowano zupę łubinową, pieczony w oleju łubinowym i przyprawiony  wyciągiem z łubinu befsztyk łubinowy. Jako przystawkę podano chleb zawierający ok. 20% łubinu posmarowany margaryną łubinową i ser em wytworzonym z białka łubinu, a na koniec - likier łubinowy i kawę łubinową. Goście przyjęcia mogli nawet umyć ręce mydłem łubinowym...  Mimo tak wielu obiecujących potencjalnych zastosowań, białka łubinu pozostają do dziś mało zbadanym i wykorzystywanym produktem naturalnym. W ramach niniejszego projektu planowane są systematyczne badania  fizykochemiczne, których celem będzie dokładne opisanie właściwości powierzchniowych białek wyizolowanych z różnych gatunków i odmian łubinu. W tym celu określone zostaną m.in. zdolności do obniżania napięcia powierzchniowego – jednej z podstawowych cech decydujących o skuteczności np. dla płynów do mycia ciała czy prania. Innymi ważnymi cechami związków wykazujących aktywność powierzchniową są zdolność pienienia i tworzenia emulsji, które również zależą od aktywności powierzchniowej. Również one będą obiektem badań w ramach projektu. Wyniki i wnioski uzyskane w trakcie realizacji projektu pomogą w  opracowywaniu w przyszłości różnorodnych  produktów kosmetycznych, spożywczych czy farmaceutycznych na bazie ekstraktów z łubinu.</t>
  </si>
  <si>
    <t xml:space="preserve">This grant focuses on the surface-active (biosurfactant) properties of lupin proteins for cosmetic, food, and pharmaceutical applications, with no stated focus on alternative protein product development or substitution of animal-derived foods.</t>
  </si>
  <si>
    <t xml:space="preserve">grant.15163673</t>
  </si>
  <si>
    <t xml:space="preserve">Śledzenie fenotypu starzenia się na poziomie komórkowym</t>
  </si>
  <si>
    <t xml:space="preserve">Starzenie to proces, od którego nie ma ucieczki ani wyjątków. Dotyczy wszystkich organizmów, niezależnie od tego czy to są organizmy jednokomórkowe, czy złożone z wielu zróżnicowanych komórek. Co ciekawe, na poziomie komórkowym starzenie przebiega u nich w szystkich bardzo podobnie. Starzejące się  komórki gromadzą uszkodzenia DNA , białek czy lipidów, bo  już nie potrafią ich naprawić, ani usunąć. M niej wydajnie produkują energię . Wolniej lub niewłaściwie odpowiadają na sygnały płynące z otoczenia. Przestają się dzielić, a jedyne do czego są zdolne to trwanie, choć trzeba przyznać, że poszczególne komórki różnie sobie z tym radzą  – jedne trwają dłużej inne krócej. Dotychczas zgromadzone dane wskazują na wysokie międzygatunkowe podobieństwo mechanizmów, które warunkują starzenie. Chociaż, w tym przypadku należy raczej mówić o mechanizmach, które zaczynają zawodzić, czego efektem jest starzenie . Skoro zaś mechanizmy te są zbliżone, dlaczego nie badać ich w układzie wygodnym dla badacza . Dlatego, też w badaniach starzenia często stosowanym modelem są komórki drożdży piekarskich. W badaniach z użyciem drożdży stosuje się dwa podejścia eksperymentalne: analiza replikacyjnej długości życia, czyli badanie ile podziałów dana komórka jest w stanie przeprowadzić, oraz analiza chronologicznej długości życia, czyli sprawdzenie jak długo dana komórka przetrwa w niekorzystnych warunkach ( ograniczonej dostępności pokarmu ) zachowując zdolność  wzrostu i podziałów, gdy tylko warunki pokarmowe się poprawią. Ostatnio, badając chron ologiczną długość życia, odkryliśmy coś całkiem nieoczekiwanego. Mierząc zawartość DNA starzejących się komórek, stwierdziliśmy, że wyjściowo diploidalne komórki, podczas starzenia stopniowo tracą swoje DNA, aż do poziomu typowego dla komórek haploidalnych . Ilością DNA graniczną dla możliwości podjęcia wzrostu okazała się zawartość DNA - 1c - czyli dokładnie jedna kopia DNA rodzicielskiego, co było zaskakujące o tyle, że komórki diploidalne zwykle posiadają co najmniej dwie takie kopie, po jednej od każdego z rodziców, czyli 2c. Natomiast przed kolejnym podziałem, po kolejnej rundzie syntezy DNA mają cztery takie kopie, 4c. Stwierdziliśmy również, że starzejące się komórki o zawartości DNA 1c, jeśli zachowały żywotność, po zapewnieniu im dostępu do obfitości pożywienia odtwarzają populację komórek diploidalnych zawierających DNA w ilości od 2c do 4c. Celem proponowanego projektu jest wyjaśnienie, jak dochodzi do opisanych zmian zawartości DNA, czyli jego redukcji podczas starzenia i odtworzenia właściwej ilości po poprawie warunków wzrostu.  Chcemy wyodrębniać, w kolejnych punktach czasowych, ze starzejącej się chronologicznie populacji drożdży wciąż żywe komórki, poprzez ich wysokowydajne sortowanie (potrzebne jest użycie FACS, od ang . fluorescence-activated cell sorter ). A następnie charakteryzować ich cechy fenotypowe używając różnych testów biochemicznych, cytometrycznych, mikroskopii fluorescencyjnej, sekwencjonowania całogenomowego, itd. Uzyskane przez nas wstępne dane sugerują, że w proces utraty DNA zaangażowane są  różne ścieżki autofagii, procesu pomagającego usuwać z komórek uszkodzone cząsteczki, a nawet niefunkcjonalne organella. Sprawdzimy wpływ na przeżywalność komórek podczas starzenia ścieżek nukleofagii, mikroautofagii jądra (PMN) oraz mitofagii. Podejrzewamy, że aktywacja nukleofagii może odpowiadać za szybki spadek żywotności komórek w początkowej fazie starzenia, a aktywacja PMN umo żliwia usuwanie z jądra komórkowego produktów naprawy uszkodzonego DNA, wraz z enzymami uczestniczącymi w tym procesie, co um ożliwia komórkom przetrwanie i pomaga uniknąć rearanżacji genomowych. Sądzimy, że proces odzyskiwania utraconych kopii genomowego DNA podczas wzrostu komórek na podłożu bogatym w związki pokarmowe skutkiem polega na  auto-duplikacji (endoreduplikacji). Eksperymenty planowane w projekcie pozwolą na weryfikację tej hipotezy. Badania, które proponujemy pozwolą poszerzyć naszą wiedzę na temat starzenia komórek, odkryć procesy i reguły dotychczas nieznane. Ponieważ zaś, jak już wspomnieliśmy na wstępie, mechanizmy starzenia są uniwersalne w świecie organizmów żywych, odkryte reguły mogą mieć zastosowanie również w komórkach ludzkich. Zwłaszcza, że starzejące się komórki człowieka również wykazują cechy niedożywienia.</t>
  </si>
  <si>
    <t xml:space="preserve">This grant concerns fundamental cellular aging research in yeast (DNA content changes, autophagy pathways, chronological lifespan), with no connection to alternative proteins or food applications.</t>
  </si>
  <si>
    <t xml:space="preserve">grant.14484588</t>
  </si>
  <si>
    <t xml:space="preserve">A methodology to universally attenuate avian coronavirus strains</t>
  </si>
  <si>
    <t xml:space="preserve">Avian coronavirus infectious bronchitis virus (IBV) is the etiological agent of infectious bronchitis, an acute highly contagious economically relevant respiratory disease of poultry. IBV is prevalent in all types of poultry flocks worldwide and is responsible for economic losses, welfare problems in chickens and a potential risk to food security. IBV predominantly causes respiratory disease but can also infect and damage other organs such as the kidneys or the reproductive tract (resulting in loss of egg production and/or egg quality). Infection with IBV increases susceptibility to secondary bacterial infections.
Although live attenuated vaccines (LAV) and inactivated vaccines (only used as a boost after LAV) are universally used in the control of IBV, the protection gained by use of vaccination can be lost either due to vaccine breakdown or the emergence of a new IBV strain that is not related to the vaccine used. Existing vaccines alone do not offer cross-protection between the many different circulating serotypes of IBV. Current IBV LAV are produced by multiple passages of virulent field viruses in embryonated chicken eggs, a costly and time-consuming process. Spontaneous mutations arise throughout the IBV genome, some of which lead to attenuation of the virus. However, once the virus is used to inoculate chickens the mutations within the LAV may back-mutate resulting in virulent virus. Our research has highlighted that very few consensus level changes are acquired during the passaging process thereby presenting a short route back to virulence. Additionally, this method does not allow for rapid vaccine development/production in response to emerging strains.
Our previous research resulted in the generation of a recombinant IBV (rIBV) known as M41-R, based on a pathogenic strain M41-CK. M41-R is attenuated in vivo and in ovo by two amino acid changes in residues of replicase non-structural proteins (nsps) 10 and 14, which were found to be conserved among not only IBV strains but members of the wider coronavirus family. Vaccination of specific-pathogen-free (SPF) chickens with M41-R induced 100% protection following homologous challenge with virulent M41-CK, meeting the industry standards set by the European Pharmacopoeia. No clinical disease was observed in vaccinated birds post challenge and additionally no challenge virus replication was detected.
This project will assess the potential of these replicase mutations as a universal methodology to attenuate IBV for the rapid development of LAV. The project will focus on two IBV strains of economic importance, M41 and QX(D388), which are different serotype, genotype and also protectotype. Our previous research into the replicase mutations has been primarily academic and has utilised SPF Rhode Island Red (RIR) chickens, which are not used by the poultry industry as layers, breeders or broilers. However, these chickens offer an excellent tool for research purposes as they are a closed population and therefore more homogeneous than outbred birds used in a commercial setting. The aim of this project is to start bridging the gap between academia and industry by aiming to answer questions that are required for vaccine licensing including the effect of vaccine dose on safety, whether the vaccines elicit protection against homologous challenge in commercial birds and determine the risk of reversion.</t>
  </si>
  <si>
    <t xml:space="preserve">grant.15163699</t>
  </si>
  <si>
    <t xml:space="preserve">Podróż szlakami wernalizacji pośród Łubinów Starego i Nowego Świata</t>
  </si>
  <si>
    <t xml:space="preserve">Głównym celem projektu jest poznanie szlaków indukcji kwitnienia, odpowiedzi na wernalizację i adaptacji do zmieniających się warunków środowiskowych u Łubinów Nowego Świata (ang. NWL) oraz porównanie ich z mechanizmami już opisanymi dla łubinów Starego Świata (ang. OWL ). Otrzymane wyniki mogą znacząco wpłynąć i rozwinąć  nowe programy hodowlane obejmujących dzikie gatunki łubinów  Starego i Nowego Świata, umożliwiając dywersyfikację źródeł białka roślinnego do produkcji pasz i żywności. Od dłuższego czasu jesteśmy świadkami globalnych zmian klimatycznych przy jednoczesnym wzroście liczebności populacji. Efektem tych zmian będą znaczne straty w uprawach , które zmuszą hodowców do  poszukiwań nowych, lepiej dostosowanych i bardziej o płacalnych gatunków roślin. Ze względu na to,  naukowcy nieustannie poszukują optymalnych rozwiązań, a kluczowe  znaczenie ma identyfikacja nowych, zrównoważonych źródeł białka  roślinnego zarówno do produkcji  paszy dla zwierząt  i żywności wzbogacającej dietę człowieka. Wiele roślin strączkowych takich jak soja, fasola zwyczajna, groch czy łubin  okazały się być obiecującymi alternatywami dla białka zwierzęcego. Rośliny te mają potencjał, aby zaspokoić zapotrzebowanie na białko nieustająco rosnącej populacji, a jednocześnie złagodzić wpływ zmian klimatycznych na produkcję żywności. Łubiny, jako przedstawiciele strączkowych są jednym z najbardziej obiecujących źródeł białka ze względu na wysokie stężenie niezbędnych aminokwasów i białek w suchej masie oraz stosunkowo niski poziom oleju , bogatego w jednonienasycone (54,2%) i wielonienasycone (28,5%) kwasy tłuszczowe.  Ponadto, łubiny posiadają palowy system korzeniowy i zdolne są do tworzenia brodawek korzeniowych dzięki symbiozie z bakteriami z rodzaju Bradyrhizobium, co pozwala im wiązać azot atmosferyczny, tym samym ograniczając wykorzystanie nawozów azotowych, a także odgrywając znaczącą rolę w płodozmianie wykorzystując wypłukane głęboko związki mineralne, niedostępne dla innych gatunków roślin uprawnych. Ewolucja r odzaju Lupinus jest niezwykle złożo na i zakłada co najmniej kilka teorii dotyczących pochodzenia wspólnego przodka dla całego rodzaju. Większość gatunków naturalnie występuje w Ameryce Północnej (NWL) a około dziesięć gatunków pochodzi z regionu śródziemnomorskiego (OWL). Pomimo dużej dysproporcji w liczebności  gatunków, to właśnie basen Morza Śródziemnego uważany jest za region ancestralny dla całego rodzaju. Według tej samej teorii łubin prawdopodobnie rozprzestrzenił się na tereny Ameryki Północnej i Południowej o koło 10 -13 milionów lat temu. Następnie, ze względu na bariery geograficzne, szczególnie w Andach, nastąpiła tzw. „specjacja skokowa”, czyli proces podczas którego w krótkim czasie wyewoluowało prawie 200 nowych gatunków. Jednocześnie naukowcy zajmujący się ewolucją roślin zakładają, że ścieżka indukcji kwitnienia związana z wernalizacją wyewoluowała już w Kenozoiku (ok. 66 milionów lat temu), w trakcie  globalnego ochłodzenia, podczas gdy znane rodziny roślin zostały już wyodrębnione. Dlatego też kluczowe r óżnice w molekularnych mechanizmach regulacji szlaków wernalizacji mogą występować  nawet pomiędzy blisko spokrewnionymi gatunkami , co przez wiele lat badaliśmy u łubinu białego, żółtego i wąskolistnego (OWL). W związku z tym, nasza hipoteza zakłada , że ścieżki wernalizacji u łubinów NWL mogą być podobne do ty ch opisanych u OWL, jednak gwałtowna ewolucja występująca w  Andach mogła spowodować powstanie dodatkowych zmian bądź nowych mechanizmów, specyficznych  dla NWL  z tego regionu . Poprzednie badania potwierdziły występowanie istotnych różnic w regulacji kwitnienia i odpowiedzi na wernalizację nawet wśród blisko spokrewnionych gatunków OWL, wobec czego zakładamy, że analiz szlaków wernalizacji u NWL mogą ujawnić nowe , dotychczas nieznane mechanizmy regulacji i zapewnić wgląd w ewolucję rodzaju Lupinus.  Planowane badania procesów indukcji kwitnienia będą pierwszą tego typu przekrojową analizą poprowadzoną na gatunkach NWL. Ponadto wyniki planowanej analizy różnicowej ekspresji genów u NWL posłużą do wyselekcjonowania genów kandydujących biorących udział w regulacji kwitnienia i wernalizacji. Dodatkowo planujemy opracować  wstępne sekwencje genomów  wszystkich badanych gatunków i przeprowadzić kompleksową analizę porównawczą . Sekwencje te pozwolą na  identyfikację regiony zachowawczych, jak i fragmentów różniące się pomiędzy wszystkimi gatunkami.  Dodatkowo przeprowadzimy analizę syntenii i rearanżacji genomu aby znaleźć  tzw. bloki synteniczne, a także dużych rearanżacji strukturalnych. Ponadto, uzyskane wyniki pozwolą na opracowanie drzewa filogenetycznego, reprezentującego powiązania ewolucyjne pomiędzy gatunkami rodzaju Lupinus oraz opracowania nowych modeli indukcji kwitnienia i odpowiedzi na wernalizację. Wyniki te m ogą ułatwić poszukiwania nowych  gatunków stanowiących źródło pożądanych cech lub nadających się do udomowienia.</t>
  </si>
  <si>
    <t xml:space="preserve">This grant focuses on vernalization pathways and flowering induction in Old and New World lupins for agronomic/breeding purposes, with only a general mention of lupins as protein sources for feed and food — no specific alternative protein development, extraction, processing, or product application is studied.</t>
  </si>
  <si>
    <t xml:space="preserve">grant.15198841</t>
  </si>
  <si>
    <t xml:space="preserve">Centro de Engenharia Biológica da Universidade do Minho</t>
  </si>
  <si>
    <t xml:space="preserve">O Centro de Engenharia Biológica (CEB) da Universidade do Minho passou por uma transformação significativa nos últimos anos, adaptando-se ao cenário em constante evolução do sistema científico e tecnológico nacional. À beira do seu 30º aniversário, o CEB consolidou-se como um centro de investigação português maduro, inovador e líder nos campos da Biotecnologia e Bioengenharia Ambiental, Alimentar, da Saúde e Industrial, sendo desde 2020 a instituição coordenadora do Laboratório Associado LABBELS. 
Com um compromisso firme com os Objetivos de Desenvolvimento Sustentável das Nações Unidas, as nossas quatro linhas temáticas de investigação em Biotecnologia e Bioengenharia continuarão a abordar desafios globais prementes. Na área Ambiental, iremos converter resíduos biológicos em recursos renováveis, combatendo poluentes com nanomateriais avançados e inovando na recuperação de materiais críticos de equipamentos no final da vida útil. No domínio Alimentar, continuaremos a melhorar a segurança e sustentabilidade dos alimentos, explorando fontes alternativas de proteínas e desenvolvendo soluções de nutrição personalizadas. Quanto à Saúde, prosseguiremos com o combate à resistência aos antibióticos, com a procura de novos tratamentos para doenças como Alzheimer e cancro e com o refinamento de biomateriais biomédicos baseados em celulose bacteriana. Na esfera Industrial, avançaremos no desenvolvimento de biorrefinarias integradas avançadas, aproveitando a lignina para aplicações de valor agregado, inovando na tinturaria de têxteis e projetando novos bioprocessos como alternativas para a indústria química tradicional, promovendo assim a economia circular. 
Além da investigação, o nosso plano inclui a promoção da colaboração internacional, a disseminação do conhecimento e a difusão da cultura científica. O fortalecimento das parcerias com universidades e empresas internacionais, a organização de seminários e workshops e o envolvimento em iniciativas de divulgação enriquecerão a literacia científica e inspirarão a próxima geração de investigadores. 
À medida que traçamos o plano para o futuro, o CEB mantém-se firme no seu compromisso de fomentar uma cultura de inovação, colaboração e inclusão. Ao aproveitar o potencial humano coletivo dos nossos investigadores e ao alavancar a nossa estrutura interna recém-fortalecida, estamos preparados para enfrentar os desafios mais prementes da sociedade e emergir como um modelo de excelência científica no cenário global.</t>
  </si>
  <si>
    <t xml:space="preserve">This is a broad institutional research center grant covering biotechnology and bioengineering across environmental, food, health, and industrial domains; while it briefly mentions 'alternative protein sources' as one small element of food research, the grant is not focused on alternative proteins and does not provide sufficient detail to classify it as in scope.</t>
  </si>
  <si>
    <t xml:space="preserve">grant.14705190</t>
  </si>
  <si>
    <t xml:space="preserve">Pharmacological profile of taste receptors and their coupling with intracellular signaling</t>
  </si>
  <si>
    <t xml:space="preserve">G-protein coupled receptors (GPCR) are the largest family of receptor proteins in the cells membrane, and it is no coincidence that these receptors and their associated signaling systems are the targets of up to a third of drugs circulating on the market. The analysis of food components by the peripheral taste system also requires the participation of GPCRs - taste receptors of the TAS1 and TAS2 families, first identified in type II taste receptor cells. TAS2 is a large family of bitter receptors, the TAS1 family is represented by three receptors, TAS1R1-TAS1R3, belonging to group C GPCR receptors, the peculiarity of which is to function in the form of homo- or heterodimers. In the taste system, the TAS1R1/TAS1R3 heterodimer is responsible for the detection of amino acids and peptides (umami taste), and TAS1R2/TAS1R3 is a sensor of sweet substances. It has been experimentally shown that in the heterologous system and in taste cells, both heterodimers are coupled to the phosphoinositide cascade, thereby ensuring the Ca2+ mobilization in response to taste stimuli. Studies of the pharmacological profile of TAS1Rs and the coupling mechanisms of these receptors in heterologous systems have led to the conclusion that the homodimers TAS1R1, TAS1R2 and TAS1R3 are not functional, at least in terms of Ca2+ signaling. It was later discovered that TAS1Rs and TAS2Rs are expressed not only in the taste system, but also in other tissues of the body, including the pancreas, gastrointestinal tract, lungs, heart, and immune cells, which led to the coining of the term diffuse chemosensory system (diffusely organized secondary taste organ). It has been shown that outside the oral cavity, taste receptors are involved in the regulation of metabolic intracellular processes; for example, in pancreatic cells, activation of TAS1R2/TAS1R3 by glucose causes an increase in insulin secretion. In addition, TAS1R3 can heterodimerize with other receptors of the C family, such as mGlu (glutamate receptor) in leukocytes, and TAS1R3 is expressed as a homodimer, but its role and function have not been delineated. Given these facts, it appears that the range of biological functions of TAS1Rs may be much broader than is currently known, and the range of substances leading to their activation may extend well beyond tastants and metabolites.
It seems relevant to us to analyze the possibility of the formation of functional homodimers of TAS1Rs, which was rejected based on the study of recombinant receptors in the Ca2+ signaling model when sweet stimuli and/or amino acids were used as agonists. Although TAS1R homodimers do not couple to the phosphoinositide cascade, it is possible that they couple to other intracellular signaling cascades, such as adenylate cyclase. Considering that the CASR (extracellular Ca2+ sensing receptor) receptor, the closest homolog of TAS1Rs in the C family, has a wide range of agonists, from ions to amino acids and peptides, it is possible that natural agonists for TAS1R homodimers are compounds other than substances traditionally used in taste analyzer research. To test the ideas expressed above, it is planned to create a number of cell lines that express in various combinations TAS1R1, TAS1R2 and TAS1R3 and the genetically encoded sensor Pink Flamindo for monitoring intracellular cAMP. The latter, in combination with chemical fluorescent calcium probes, will allow simultaneous monitoring of the activity of the adenylate cyclase and phospholipase cascades in single cells in real time. We will try to find out whether the TAS1R1, TAS1R2 and TAS1R3 form functional homoders, whether they are mating TAS1R2/TAS1R3 and TAS1R1/TAS1R3 heterodiers with adenilate cyclase cascade, and whether the TAS1R2/TAS1R3 and TAS1R1/TAS are able to switch 1R3 from phosphoinositide to adenylate cyclase signaling pathway. The latter has an important applied aspect in light of the nonspecific effects of drugs and ectopic expression of TAS1Rs. The expected results can significantly expand the existing understanding of the coupling of taste receptors with intracellular signaling cascades.
In addition, the development and study of cell lines expressing TAS1Rs and genetically encoded sensors actually means the creation of test systems that will allow screening of various natures ligands, the target of which could potentially be taste receptors ectopically expressed in various tissues. This will allow us to identify a new type of nonspecific action of potential drugs on cellular targets, which is not even currently discussed within the framework of the concept of preserving the health of the nation.</t>
  </si>
  <si>
    <t xml:space="preserve">This grant concerns the pharmacological and signaling properties of taste receptors (TAS1R/TAS2R GPCRs) in the context of drug targets and metabolic regulation, with no connection to alternative protein development, plant-based foods, fermentation, or cultivated meat.</t>
  </si>
  <si>
    <t xml:space="preserve">grant.15163287</t>
  </si>
  <si>
    <t xml:space="preserve">Wpływ ziołowo-tłuszczowej suplementacji mieszanek paszowych dla drobiu na efektywność odchowu oraz jakość uzyskanych produktów odzwierzęcych</t>
  </si>
  <si>
    <t xml:space="preserve">Współczesna produkcja drobiarska nieustannie dąży do usprawnienia swoich procesów, mając na celu nie tylko zwiększenie efektywności, ale i poprawę warunków utrzymania drobiu. Kwestie te dotykają wielu aspektów, jednak dla hodowców kluczowe są dwa: zapewnie nie wysokiej produktywności zwierząt oraz dbałość o ich zdrowie. Dodatkowo rosnąca świadomość konsumentów na temat znaczenia zbilansowanej diety, a zwłaszcza wpływu spożywanego mięsa drobiowego na zdrowie, motywuje producentów do ciągłego podnoszenia jakoś ci swoich produktów. Wyzwaniem dla sektora drobiarskiego był wprowadzony 1 stycznia 2006 w Unii Europejskiej zakaz stosowania antybiotykowych stymulatorów wzrostu. Wcześniej substancje te stosowano do zwalczania patogenów żołądkowo -jelitowych i łagodzenia wpływu czynników stresowych na funkcjonowanie jelit. Antybiotyki, wpływając na zdrowie jelit, przyczyniały się do ogólnej poprawy zdrowia zwierząt. Ich działanie obejmowało obniżenie wskaźnika zachorowań i śmiertelności, przyspieszenie tempa wzrostu, lepsz e wykorzystanie paszy oraz poprawę jakości mięsa poprzez zwiększanie zawartości białka i zmniejszenie ilości tłuszczu. Ograniczenia w stosowaniu antybiotykowych stymulatorów wzrostu, spowodowane problemami z rosnącą opornością bakterii oraz obawami dotyczą cymi bezpieczeństwa żywności, skłoniły hodowców drobiu i naukowców do poszukiwania alternatywnych rozwiązań. Dziś nadal trwają prace nad rozwojem bardziej zrównoważonych metod dietetycznych, które mają na celu jednoczesne polepszenie wspomnianych trzech kl uczowych aspektów hodowli: wzrostu zwierząt, ich zdrowia oraz jakości produkowanego mięsa. Fitobiotyki, znane również jako fitogeniki, to bioaktywne związki pochodzące z ziół i roślin leczniczych, które są cenione za swoje korzystne właściwości biologiczne , wnosząc znaczący wkład w poprawę zdrowotno -odżywczego potencjału pasz dla zwierząt. Te naturalne substancje chemiczne, tworzone przez rośliny w ramach ich procesów metabolicznych, wykazują działanie farmakologiczne, obejmujące właściwości przeciwutleniaj ące, przeciwbakteryjne, przeciwwirusowe oraz regulujące układ odpornościowy. Dodatkowo istotnym czynnikiem dietetycznym warunkującym prawidłowy rozwój ptaków jest optymalna równowaga między białkiem a energią, w tym odpowiednia ilość tłuszczu w paszy. Dlatego celem proponowanego projektu badawczego jest określenie wpływu kombinacji ziół i wybranych niszowych olejów w żywieniu kurcząt brojlerów na wskaźniki odchowu, jakość tuszek oraz parametry zdrowotne i fizjologiczne. Zioła, które będą stanowić podstawę  nowoopracowanej kompozycji paszowej, tj. pokrzywa i szałwia ze względu na wysoką zawartość związków bioaktywnych posiada udokumentowane naukowo szerokie spektrum działania prozdrowotnego. Wybrane do doświadczenia oleje – rydzowy, z nasion konopii oraz z pestek malin – wyróżniają się bogactwem wielonienasyconych kwasów tłuszczowych PUFA, w tym omega -6 i omega -3, dzięki czemu mogą znacząco wspierać układ odpornościowy drobiu, poprawiać jakość mięsa oraz przyczyniać się do lepszego wzrostu ptaków. Szczególnie efektywne w tym zakresie są mogą być ich mieszaniny. Jednak jednoczesne ich stosowanie może prowadzić do efektów wzajemnego wzmacniania się, ale również może negatywnie wpłynąć na organizm  ptaków. W celu wyjaśnienia tego problemu projektowane są różne proporcje i kombinacje analizowanych kompozycji ziołowo-tłuszczowych w diecie kurcząt brojlerów. W dostępnej literaturze naukowej nie ma doniesień, w których badane były efekty stosowania różnych poziomów mieszanin tych ziół i olei w mieszankach paszowych dla drobiu. Dlatego w naszym projekcie zwrócimy szczególną uwagę na takie parametry produkcyjne jak m.in. średnie przyrosty masy ciała, dzienne spożycie paszy oraz efektywność wykorzystania paszy (FCR). Aby ocenić wpływ dodatku paszowego na zdrowie ptaków, przeprowadzone zostaną analizy wybranych parametrów krwi, w tym badania hematologiczne i biochemiczne, a także zbadamy populacje drobnoustrojów w jelicie cienkim. Dodatkowo, jakość zdrowotna uzyskanego mięsa będzie oceniana poprzez ocenę jego składu odżywczego , zawartości kwasów tłuszczowych oraz elementów mineralnych. Wyniki niniejszych badań wzbogacą aktualną wiedzę, która umożliwi dalszy dobór komponentów paszowych w celu stworzenia nowych, paszowych kompozycji ziołowo -tłuszczowych uzupełniających żywienie stanowiących naturalną alternatywę stosowanych profilaktycznie środków terapeutycznych w hodowli drobiu. Określenie wpływu różnych mieszanek fitobiotycznych stanowić będzie podstawę do opracowanie nowatorskiego zestawu ziołowo-tłuszczowego do stosowania w ż ywieniu kurcząt brojlerów w celu polepszenia zdrowia ptaków, poprawy wyników produkcyjnych oraz stabilności populacji stada. W przyszłości, wyniki tych badań mogą posłużyć do opracowania zaleceń dotyczących stosowania nowych rozwiązań żywieniowych w produkcji drobiarskiej.</t>
  </si>
  <si>
    <t xml:space="preserve">This grant concerns poultry feed supplementation with herbal and fat additives to improve broiler growth, health, and meat quality — this is conventional animal agriculture research, not alternative protein research.</t>
  </si>
  <si>
    <t xml:space="preserve">grant.15163624</t>
  </si>
  <si>
    <t xml:space="preserve">Potencjał probiotyczny szczepów Lactococcus w przeciwdziałaniu uszkodzeniu bariery jelitowej wywołanemu stanem zapalnym: badanie in vitro</t>
  </si>
  <si>
    <t xml:space="preserve">Dzisiejszy szybki styl życia sprawia, że ludzie są stale narażeni na wiele negatywnych czynników, takich jak niezbilansowana dieta bogata w wysoko przetworzone produkty spożywcze, nadużywanie leków, chroniczny stres i dysbioza. Te czynniki mogą wywołać kaskadę przewlekłego stanu zapalnego i stresu oksydacyjnego, prowadząc do rozwoju różnorodnych zaburzeń. W centrum pola walki o równowagę w organizmie znajduje się bariera jelitowa. Wyobraź sobie barierę jelitową jako fortecę, stojącą na straży przed najeźdźcami, jednocześnie selektywnie przepuszczającą składniki odżywcze. Jednak w obliczu ciągłego ataku czynników wynikających z naszego współczesnego stylu życia  forteca ta słabnie, pozostawiając ludzkie ciało podatnym na szereg problemów zdrowotnych. Zaburzenie bariery jelitowej jest obecnie powszechnie uznawane za decydujący element przyczyniający się do różnych chorób, począwszy od choroby zapalnej jelit, zespołu jelita drażliwego, aż po stany takie jak celiakia, nowotwory, autyzm, zespół przewlekłego zmęczenia, choroby neurodegeneracyjne, a nawet COVID-19. W rezultacie rośnie zainteresowanie badaniami nad suplementami diety, które  potencjalnie mogą zapobiegać lub łagodzić zaburzenia związane z uszkodzeniem bariery jelitowej wywołanym stanem zapalnym, oferując nadzieję na poprawę wyników leczenia i ogólnego stanu zdrowia. Szczególne zainteresowanie budzą probiotyki uważane za potencjalną terapię wzmacniającą barierę jelitową. Jest to interesujące, biorąc pod uwagę znaczący wpływ mikrobioty jelitowej na modulację funkcji i struktury bariery jelitowej. Najczęściej stosowane i badane bakterie probiotyczne obejmują przedstawicieli z rodzaju wcześniej znane go jako Lactobacillus, należącego do grupy bakterii kwasu mlekowego ( z angielskiego Lactic Acid Bacteria, LAB ). Jako rodzaj należący do grupy LAB, Lactococcus stanowi ważne źródło szczepów, które mogą korzystnie wpływać na funkcję bariery jelitowej u gospodarza. Powszechnie stosowane w kulturach starterowych do produkcji nabiału, laktokoki wykazują różnorodne właściwości wspomagające zdrowie, w tym działanie przeciwbakteryjne, przeciwzapalne, przeciwutleniające i immunomodulacyjne. To podkreśla potencjał zastosowania szczepów Lactococcus w opracowywaniu nowej żywności funkcjonalnej o właściwościach terapeutycznych. Jednak pomimo potencjalnych korzyści, badania nad właściwościami probiotycznymi Lactococcus i ich wpływem na funkcję bariery jelitowej są ograniczone, a jeszcze mniej wiadomo o mechanizmach, za pomocą których mogą one chronić barierę jelitową przed uszkodzeniami wywołanymi stanem zapalnym. Tylko kilka badań przeprowadzono w celu określenia wpływu szczepów Lactococcus na barierę jelitową oraz modulację składu mikroflory jelitowej . Dlatego badanie potencjału probiotycznego szczepów Lactococcus jest istotne dla wyjaśnienia ich zdolności do przeciwdziałania uszkodzeniom bariery jelitowej wywołanym stanem zapalnym, co mogłoby otworzyć drogę do ukierunkowanych interwencji mających na celu zachowanie integralności bariery jelitowej i skuteczniejsze zarządzanie zaburzeniami układu pokarmowego. Cele: Projekt ma na celu ocenę skuteczności szczepów Lactococcus w przeciwdziałaniu uszkodzeń bariery jelitowej wywołanych stanem zapalnym. Ostatecznym celem jest zidentyfikowanie najbardziej obiecującego szczepu Lactococcus o dobrze scharakteryzowanych właściwościach ochronnych dla bariery jelitowej, który potencjalnie mógłby być stosowany jako probiotyk. Ponadto, projekt ukierunkowany jest na  wyjaśnienie podstawowych mechanizmów, za pomocą których laktokoki mogą poprawiać funkcję bariery jelitowej. Plan badawczy: W pierwszym etapie projektu, dziesięć szczepów Lactococcus, które mogą produkować metabolity wspomagające zdrowie, zostanie przetestowanych pod kątem zdolności do poprawy przeżywalności komórek nabłonka jelitowego (linia komórkowa Caco -2) po uszkodzeniu wywołanym stanem zapalnym. Pięć najbardziej obiecujących szczepów zostanie wybranych do dalszej oceny ich wpływu na przepuszczalność i integralność jelitową przy użyciu modelu in vitro , który obejmuje dwa kluczowe typy komórek związane z zapaleniem jelit: komórki nabłonka jelitowego i komórki układu immunologicznego (linia komórkowa THP-1). W kolejnym etapie zostanie przetestowany wpływ Lactococcus na wydzielanie cytokin zapalnych, ekspresję szerokiego zakresu markerów zapalnych, elementy układu obronnego przeciwutleniaczy oraz kluczowe markery białkowe integralności jelitowej. Wykorzystując analizę immunofluorescencyjną połączoną z mikroskopią konfokalną, jeden wybrany szczep Lactococcus zostanie przetestowany pod kątem zdolności do modulacji morfologii połączeń ścisłych, które odgrywają kluczową rolę w utrzymaniu prawidłowej funkcji bariery jelitowej. Oczekiwane istotne wyniki: Realizacja projektu poszerzy wiedzę o aktywności biologicznej Lactococcus w odniesieniu do funkcji bariery jelitowej. Wyniki tego projektu pozwolą na wybór potencjalnie probiotycznego szczepu Lactococcus, który będzie miał pozytywne efekty na regulację funkcji i struktury bariery jelitowej, a także na zdolność do przeciwdziałania zakłóceniom bariery jelitowej wywołanym stanem zapalnym. To może stanowić podstawę dla włączenia wybranego szczepu do leczenia profilaktycznego i wspomagającego w przypadku chorób zapalnych jelit i związanych z nimi chorób pozajelitowych.</t>
  </si>
  <si>
    <t xml:space="preserve">This grant studies the probiotic potential of Lactococcus strains for protecting intestinal barrier function — a medical/health application unrelated to alternative protein production or substitution of animal-derived foods.</t>
  </si>
  <si>
    <t xml:space="preserve">grant.15162599</t>
  </si>
  <si>
    <t xml:space="preserve">RESOURCE RECOVERY FROM WASTEWATER BASED ON PHOTO-BIO-ELECTROCHEMICAL AND MEMBRANE PROCESSES WITH MINIMAL CHEMICAL ADDITION TO OBTAIN ADDED VALUE GOODS</t>
  </si>
  <si>
    <t xml:space="preserve">EL PROYECTO REWADD TIENE COMO OBJETIVO DESARROLLAR PROCESOS PARA RECUPERAR, CONCENTRAR Y RECICLAR NUTRIENTES, ESPECIALMENTE NITROGENO Y FOSFORO, DE LAS CORRIENTES DE AGUAS RESIDUALES, A LA VEZ QUE SE ABORDA LA ELIMINACION DE CONTAMINANTES DE PEOCUPACION EMERGENTE. EL OBJETIVO GLOBAL DEL PROYECTO ES CAMBIAR LA CONCEPCION TRADICIONAL DE LAS PLANTAS DE TRATAMIENTO DE AGUAS RESIDUALES COMO INSTALACIONES DE GESTION DE RESIDUOS POR UN NUEVO PARADIGMA EN EL QUE LAS AGUAS RESIDUALES SE CONSIDEREN UNA FUENTE DE RECURSOS Y LAS PLANTAS DE TRATAMIENTO SE CONVIERTAN EN FABRICAS PARA PRODUCIR BIENES DE VALOR AÑADIDO Y GARANTIZAR LA SEGURIDAD HIDRICA PARA TODOS. EN REWADD SE EXPLORA LA PRODUCCION DE PRODUCTOS DE ALTO VALOR AÑADIDO A PARTIR DE CUATRO FUENTES DE AGUA: EL EFLUENTE QUE SALE DEL CLARIFICADOR PRIMARIO DE LAS PLANTAS DE TRATAMIENTO DE AGUAS RESIDUALES, EL EFLUENTE QUE SALE DEL CLARIFICADOR SECUNDARIO, LAS FRACCIONES LIQUIDAS RESULTANTES DE LOS BIORREACTORES ANAEROBICOS Y LAS AGUAS RESIDUALES GENERADAS EN LA INDUSTRIA ALIMENTARIA. 
LOS ESQUEMAS DE PROCESO INVESTIGADOS EN REWADD SE BASAN EN PROCESOS DE ELECTROMEMBRANA Y PROCESOS DE MEMBRANA POR GRADIENTE DE PRESION, Y EN SISTEMAS HIBRIDOS BIO Y FOTOELECTROQUIMICOS. ESTOS PROCESOS, COMBINADOS DE MANERA EFICIENTE, DAN LUGAR A SINERGIAS ENTRE SUS RESPECTIVAS CORRIENTES DE SALIDA, QUE PUEDEN UTILIZARSE COMO MATERIAS PRIMAS EN OTRAS UNIDADES DE PROCESO. LOS PRODUCTOS DE VALOR AÑADIDO OBTENIDOS A PARTIR DE LOS DIFERENTES ESQUEMAS DE PROCESO INCLUYEN FERTILIZANTES N-P, PRODUCTOS PROTEICOS UNICELULARES, SOLUCIONES ACIDAS Y ALCALINAS, Y AGUA LIMPIA PARA SU REUTILIZACION. A MODO DE EJEMPLO, LOS FLUJOS RICOS EN ALCALIS Y N-P GENERADOS POR LA ELECTRODIALISIS DE MEMBRANA BIPOLAR SE ALIMENTARAN A SISTEMAS DE CRISTALIZACION PARA LA PRODUCCION DE FERTILIZANTES, MIENTRAS QUE LAS SOLUCIONES ACIDAS SE PUEDEN UTILIZAR EN LA LIMPIEZA DE MEMBRANAS DE OSMOSIS INVERSA.  
A DIFERENCIA DE LOS METODOS MAS AVANZADOS PARA LA ELIMINACION DE NUTRIENTES, ESTAS TECNOLOGIAS PERMITEN AHORRAR EN LA ADICION DE PRODUCTOS QUIMICOS E IMPLICAN UNA REDUCCION DEL VOLUMEN DE LODOS GENERADOS EN LAS PLANTAS DE TRATAMIENTO DE AGUAS RESIDUALES. LAS TECNOLOGIAS PROPUESTAS FUNCIONAN A TEMPERATURA AMBIENTE, SON MODULARES Y FACILMENTE ESCALABLES, Y PUEDEN ALIMENTARSE FACILMENTE MEDIANTE UNA RED ELECTRIFICADA O FUENTES DE ENERGIA RENOVABLES. EL PROYECTO INCLUYE ACTIVIDADES PARA PROBAR LAS UNIDADES DE FUNCIONAMIENTO A ESCALA DE LABORATORIO, REEVALUAR Y OPTIMIZAR SU ACOPLAMIENTO EN DIFERENTES ESQUEMAS DE PROCESO, Y REALIZAR ESTUDIOS DE EVALUACION DEL CICLO DE VIDA, TECNOECONOMICOS Y DE ESCALABILIDAD PARA GARANTIZAR LA FUTURA IMPLEMENTACION DEL PROCESO A MAYOR ESCALA. ADEMAS, SE LLEVARAN A CABO PRUEBAS PILOTO CON EFLUENTES GENERADOS EN LA INDUSTRIA ALIMENTARIA Y CON AGUAS RESIDUALES URBANAS.</t>
  </si>
  <si>
    <t xml:space="preserve">This grant focuses on wastewater treatment and nutrient recovery (nitrogen, phosphorus) processes; while single-cell protein production is briefly mentioned as one of several value-added outputs, the primary focus is on membrane and electrochemical processes for resource recovery, not on alternative protein development.</t>
  </si>
  <si>
    <t xml:space="preserve">grant.14626690</t>
  </si>
  <si>
    <t xml:space="preserve">Nanotecnologia aplicada na nutrição funcional para a aquacultura</t>
  </si>
  <si>
    <t xml:space="preserve">Biliões de pessoas dependem do peixe e de outros alimentos aquáticos para obter nutrientes essenciais, cruciais para prevenir a subnutrição, doenças como as doenças cardíacas e os acidentes vasculares cerebrais, e contribuir para o bem-estar geral (Kwasek, Thorne-Lyman e Phillips 2020). Num marco histórico, a produção aquícola ultrapassou agora, pela primeira vez na história, as colheitas selvagens das águas interiores e marinhas do mundo (Nações 2020). Atualmente, mais de metade do peixe e de outros alimentos aquáticos para consumo humano do mundo provêm da aquacultura sustentável que preserva as unidades populacionais de peixes selvagens e protege os ecossistemas marinhos. A relação entre o peixe, a aquacultura e a nutrição humana é fundamental para promover a saúde e a segurança alimentar em todo o mundo. Em 2020, o sector da aquacultura na UE atingiu um volume de vendas de 1,2 milhões de toneladas, com um valor de volume de negócios de 3,9 mil milhões de euros. Até 2050, prevê-se que a aquacultura forneça a maior parte das proteínas de origem marinha no mundo (Stentiford, Bateman e Hinchliffe 2020).
Para aumentar a produção alimentar de forma sustentável, é vital considerar o seu impacto no ambiente, na saúde e bem-estar dos organismos cultivados e na saúde humana. Em culturas intensivas de alta densidade, os peixes podem sofrer de stress e suscetibilidade a doenças, o que leva a uma redução do rendimento. Este facto leva à necessidade de estratégias de gestão de doenças para além dos antibióticos ou mesmo da vacinação. O uso de antibióticos na aquacultura dispersa resíduos, aumentando a resistência das bactérias aquáticas e representando um risco para a saúde humana (Pepi e Focardi 2021). As rações functionais, que aumentam a imunidade ao mesmo tempo que satisfazem os requisitos nutricionais, representam uma solução para diminuir a dependência da aquacultura de antibióticos e reduzir as consequências ambientais, alinhadas com o conceito One Health .
Nos últimos anos, a nanotecnologia surgiu como uma ferramenta também versátil na aquacultura (Sibaja-Luis et al. 2019, Fajardo et al. 2022). A aplicação da nanotecnologia aos nutracêuticos também tem vindo a crescer rapidamente devido à sua capacidade de aumentar a biodisponibilidade das moléculas ativas carregadas, resultando em melhores resultados terapêuticos/nutracêuticos (Das et al. 2019). Para a administração oral, o polissacarídeo natural quitosano tem sido vulgarmente utilizado devido às suas características mucoadesivas e à sua capacidade de aumentar a permeabilidade celular (Lang et al. 2020). Entre os polímeros sintéticos, o poli(ácido lático-co-glicólico) (PLGA) é um copolímero amplamente utilizado como matriz para nanopartículas (NPs) devido às suas características biocompatíveis e biodegradáveis. A interação complexa entre a mucosa intestinal e o sistema imunitário é muito afetada pela nutrição.
Após a administração oral, as NPs funcionalizadas com ligandos podem ser reconhecidas por diferentes componentes do sistema imunitário, abrindo novas portas para a modulação das respostas imunológicas. Das moléculas imunomoduladoras já descritas, destacam-se os beta-glucanos que também influenciam positivamente processos fisiológicos e metabólicos, como a estimulação da saciedade, a redução da concentração de glicose e colesterol no sangue e do peso corporal. Esses efeitos podem contribuir significativamente para a prevenção e o tratamento de distúrbios comumente encontrados em seres humanos (Kwasek, Thorne-Lyman e Phillips 2020).
Em resposta às exigências da aquacultura sustentável, o NANO-AquaFeed irá explorar a aplicabilidade de NPs funcionalizadas com beta-glucanos para mitigar surtos de doenças em peixes de aquacultura. A integração da nanotecnologia em alimentos funcionais para animais representa uma abordagem de vanguarda para melhorar o valor nutricional e a eficácia dos alimentos para organismos aquáticos (Encarnação 2016).
A equipa do NANO-AquaFeed tem uma vasta experiência na conceção e produção de NPs poliméricas e lipídicas para modular a resposta imunitária e a absorção oral em seres humanos. Para além disso, tem um forte know-how em nutrição de peixes e aquacultura. Esta equipa multidisciplinar tem as ferramentas certas para desenvolver uma aquacultura sustentável, tirando partido da nanotecnologia para produzir alimentos funcionais, reduzindo a dependência de antibióticos e melhorando a saúde e o bem-estar dos peixes. O NANO-AquaFeed irá explorar NPs poliméricas e lipídicas para estimular a resposta imunitária dos peixes utilizando beta-glucanos isolados de quatro espécies de algas. No final do projeto, espera-se identificar uma fonte de beta-glucanos para melhorar a estimulação imunitária dos peixes; obter uma compreensão in vitro e in vivo das interações beta-glucano-sistema imunitário; e assim produzir um novo suplemento alimentar para peixes saudáveis e uma aquacultura sustentável baseada na nanotecnologia.</t>
  </si>
  <si>
    <t xml:space="preserve">This grant concerns nanotechnology applied to functional nutrition in aquaculture (fish feed/aquafeed), which is explicitly out of scope as a non-human food application targeting animal feed.</t>
  </si>
  <si>
    <t xml:space="preserve">grant.15163996</t>
  </si>
  <si>
    <t xml:space="preserve">Trójwymiarowy model endometrium in vitro do badania zmian wywołanych hipoksją oraz interakcji matczyno-zarodkowych</t>
  </si>
  <si>
    <t xml:space="preserve">Wczesna ciąża u ssaków łożyskowych (w tym świni domowej ) jest krytycznym okresem charakteryzującym się wysoką śmiertelnością zarodków. Do 35% ciąż nie rozwija się poza etap implantacji zarodka. Jedną z przyczyn utraty wczesnej ciąży jest zaburzona funkcja endometrium. Udowodniono, że niedotlenienie (hipoksja), stan charakteryzujący się obniżonym poziomem tlenu, jest ważnym czynnikiem regulującym procesy fizjologiczne zachodzące w bło nie śluzowej macicy (endometrium).  Proces ten wpływa, między innymi, na przebudowę tkanek, tworzenie się nowych naczyń krwionośnych, implantację i rozwój zarodka, a także modulację odpowiedzi immunologicznej. Nasze wstępne wyniki wskazują, że w odpowiedzi na ciążę oraz główny sygnał zarodkowy (estradiol), zmiany w ekspresji (aktywności) genów (w transkryptomie) w tkance endometrium świni są istotnie związane z odpowiedzią na hipoksję. Modele hodowli in vitro  endometrium są niezbędnymi narzędziami do badania jego złożonej biologii  i patologii. Tradycyjne dwuwymiarowe (2D) hodowle komórkowe są szeroko stosowane ze względu na swoją prostotę i niskie koszty, jednak nie odzwierciedlają strukturalnej i funkcjonalnej złożoności endometrium in vivo. Trójwymiarowe (3D) hodowle komórkowe in vitro zaczęły ostatnio wypełniać tę lukę między hodowlami 2D a  całym organizmem. W naszym wstępnym badaniu opracowaliśmy model in vitro, wykorzystując rusztowania umożliwiające długoterminową hodowlę oraz odwzorowujące architekturę tkanki endometrium złożonej z komórek nabłonkowych i zrębu (stromy). Planujemy rozszerzyć to badanie oraz udoskonalić i zwalidować ten model. W przedstawionym projekcie zbadamy, czy trofoblasty świń i ich sygnał (estradiol), a także warunki hipoksji, mogą indukować zmiany w transkryptomie różnych komórek endometrium oraz w składzie białek wydzielanych przez komórki endometrium i trofoblastu  (sekretom). Dodatkowo szczegółowo zwalidujemy model 3D endometrium świni oparty na rusztowaniach. Dzięki temu podejściu będziemy mogli odtworzyć złożoną architekturę tkanki endometrium, zbudowanej z komórek nabłonkowych, zrębowych i immunologicznych. Tak kompleksowe podejście umożliwi odkrycie tajemnic procesu implantacji zarodka i poznanie kluczowych mechanizmów początkowych etapów życia dzięki modelom in vitro 3D. Celem projektu jest scharakteryzowanie i wal idacja modelu in vitro 3D endometrium świni przy użyciu zaawansowanych technik obrazowania, takich jak mikroskopia konfokalna, przyżyciowe obrazowanie komórek oraz analiza histologiczna, w celu wizualizacji hodowli 3D. Podczas wczesnej ciąży bardzo ważna jest również odpowiedź immunologiczna matki na rozwijający się zarodek. Kokultura nowego modelu 3D in vitro endometrium z komórkami immunologicznymi pozwoli lepiej odwzorować środowisko in vivo  oraz umożliwi badanie interakcji między komórkami immunologicznymi  a endometrium . Badanie procesu implantacji zarodka in vivo  jest skomplikowane, dlatego stworzenie modelu implantacji 3D umożliwi lepsze zrozumienie tego procesu.  W tym celu do modelu endometrium 3D wprowadzimy sferoidy wytworzone  z komórek trofoblastu . Aby wyjaśnić rolę hipoksji w mechanizmach interakcji zarodek -endometrium w nowym modelu implantacji zarodka 3D, zasto sujemy sekwencjonowanie RNA na poziomie pojedynczej komórki (single-cell RNA sequencing). Ta nowoczesna technika pozwoli nam określić zmiany w transkryptomie (ekspresji genów) różnych typów komórek endometrium i trofoblastu. Ponadto zbadamy wpływ hipoksji na sekretom komórek trofoblastu  i endometrium, wykorzystując spektrometrię mas. Co istotne, wyniki uzyskane w trakcie realizacji projektu zostaną porównane z wynikami badań na całych organizmach (modelach in vivo ). Nasze badania będą prowadzone w nowoczesnych i dobrze wyposażonych laboratoriach (laboratorium biologii molekularnej oraz laboratorium analizy i obrazowania komórek i tkanek) Instytutu Rozrodu Zwierząt i Badań Żywności PAN oraz we współpracy z wiodącymi międzynarodowymi ośrodkami badawczymi. Planowane badania wpisują się w najnowsze trendy redukcji wykorzystania zwierząt w badaniach naukowych, zgodnie z obowiązującymi zasadami 3R (Rep lacement, Reduction, Refinement). Dzięki rozwiązaniu obecnych ograniczeń modeli endometrium 2D oraz innych modeli 3D in vitro, projekt ten dostarczy bardziej fizjologicznie odpowiedniej platformy do badań kluczowych procesów we wczesnej ciąży. Pozwoli to o dkryć fundamentalne procesy, które mogą znacząco poprawić metody leczenia niepłodności i zwiększyć sukces reprodukcyjny u zwierząt gospodarskich.</t>
  </si>
  <si>
    <t xml:space="preserve">This grant concerns a 3D in vitro endometrium model to study hypoxia and maternal-embryonic interactions in pigs, which is reproductive biology research with no connection to alternative proteins or food science.</t>
  </si>
  <si>
    <t xml:space="preserve">grant.14626676</t>
  </si>
  <si>
    <t xml:space="preserve">Revolucionando a Purificação da Água com Nanopartículas Enzimáticas suportadas em grafeno para soluções antimicrobianas, fotocatalíticas e ambientalmente sustentáveis.</t>
  </si>
  <si>
    <t xml:space="preserve">A água é um dos recursos mais valiosos, vital para sustentar a vida na Terra. No entanto, nas últimas décadas, os recursos hídricos naturais são continuamente contaminados com poluentes orgânicos e inorgânicos devido a alguns factores-chave, tais como descarga de efluentes industriais, águas residuais, indústria agrícola, eliminação ilegal de lixo e fugas de lixiviados de aterros sanitários. Esta contaminação afeta todas as infra-estruturas sociais, incluindo as operações marítimas, a gestão da água e os sistemas de alimentos e bebidas, em combinação com a poluição biológica. O principal problema que apresenta é que todas estas substâncias circulam constantemente no meio sendo classificadas como pouco biodegradáveis e altamente tóxicas, tanto do ponto de vista químico quanto biológico. É por essa razão que representam uma ameaça à vida na Terra de diversas maneiras. Diante destas circunstâncias, torna-se essencial identificar os potenciais perigos decorrentes das práticas alternativas de abastecimento e distribuição de água,  a fim de desenvolver soluções eficazes e ecologicamente amigáveis para a mitigação. Isso inlcui a implementação de medidas de monitorização a curto e longo prazo, visando reduzir a contaminação microbiológica e química da água, promovendo um uso mais sustentável deste recurso vital. Os processos mais convencionais para o tratamento de água, incluindo triagem, coagulação/floculação, filtração e cloração/fluoração, são contudo ineficientes e caros, levando à geração de subprodutos que requerem pós-processamento. Neste contexto, a utilização de nanopartículas metálicas surgiu como uma nova metodologia para degradar contaminantes, tanto orgânicos quanto biológicos na água. Nanopartículas de metais de transição, que exiem propriedades fotocatalíticas, como por exemplo óxidos de Co, Ti, etc., são consideradas candidatas eficazes. No entanto, em muitos casos, a síntese de nanopartóculas enfrenta desafios, como a agregação e a sua difícil recuperação devido ao seu pequeno tamanho e elevada energia superficial. Para resolver estes problemas e alcançar a estabilização das nanopartículas, várias alternativas têm vindo a ser desenvolvidas nos últimos anos. Estas incluem a incorporação direta de metais em suportes ou complexos organometálicos dentro da estrutura de uma proteína, resultando na criação de novos centros ativos artificiais. Outra abordagem envolve a formação direta in-situ de nanopartículas metálicas induzidas pela estrutura enzimática, resultando na obtenção de catalisadores heterogéneos. Porém, em geral, as enzimas tendem a favorecer a agregação enzimática durante a síntese de nanopartículas metálicas. Este fenómeno pode bloquear alguns centros metálicos cataliticamente ativos, reduzindo assim sua eficiência em diversos processos. Portanto, busca-se a implementação de um derivado enzimático, onde a enzima é previamente adsorvida seletivamente no suporte. Este suporte pode possibilitar a imobilização da enzima exclusivamente em conformação aberta, i.e, todas as moléculas da enzima distribuídas homogeneamente na fase sólida, evitando assim a agregação proteica. Tal resultado permitiria alcançar uma partícula metálica por molécula proteica, tornando assim acessíveis todos os centros ativos. E são estas limitações que estão a desafiar a sua implementação.
No âmbito do projeto BioNanoGraph, visa-se contribuir para colmatar estas limitações, através do desenvolviemnto de um novo nanoagente bioativo, gerando nanopartículas metálicas em matrizes de grafeno enxertadas com enzimas de fontes naturais. Esta abordagem segue os princípios da química verde, realizada em condições sustentáveis em ambientes aquosos. Este projeto reunirá também investigadores e professores que trabalham em estratégias de ponta para mitigação de contaminantes e bioincrustações em sistemas de gestão de água, proporcionando uma abordagem interdisciplinar. Tal será alcançado com o apoio de uma equipa multidisciplinar e complementar, que inclui dois grupos de investigação da FCiências.ID, a equipa BioISI (criação e caracterização de nanomateriais, fotocatálise, estratégias antibiofouling, validação e microbiologia), e a equipa CQE (análise in-vitro, citotoxicidade e toxicologia) e a equipa IST-ID, CQE (propriedades de superfície de nano-agentes). Coletivamente, estes esforços culminarão na criação de novos nanoagentes, biocompatíveis e não-tóxicos, derivados de fontes naturais. Esses agentes serão avaliados tanto em aplicações fotocatalíticas quanto antiincrustantes simuladas, contribuindo para a purificação de sistemas de água. Além disso, esta iniciativa colaborativa procura aumentar a valorização dos subprodutos gerados a partir do tratamento de contaminantes, apresentando potenciais estratégias para a sua exploração num futuro próximo.</t>
  </si>
  <si>
    <t xml:space="preserve">This grant concerns water purification using enzyme-supported graphene nanoparticles for antimicrobial and photocatalytic applications, with no connection to alternative proteins or food applications.</t>
  </si>
  <si>
    <t xml:space="preserve">grant.15195353</t>
  </si>
  <si>
    <t xml:space="preserve">Epigenetic Reprogramming for Cellular Agriculture (EPICA)</t>
  </si>
  <si>
    <t xml:space="preserve">Cellular agriculture has the potential to revolutionise protein production by offering sustainable and ethical alternatives to traditional animal farming. However, many challenges currently limit its commercial viability, including a critical lack of flexible, regulatory- and consumer-friendly technologies to engineer cell lines for large-scale production. EPICA (Epigenetic Reprogramming for Cellular Agriculture) will pioneer the use of epigenetic editing to enhance a variety of critical cell characteristics without genetic modification. We will build a toolkit for engineering of multiple cell types from different species, and demonstrate its use in industrial-scale cultivated meat and seafood bioprocesses, helping bring these technologies to market.</t>
  </si>
  <si>
    <t xml:space="preserve">EPICA directly concerns epigenetic engineering of cell lines for cultivated meat and seafood production, which is core cultivated meat research.</t>
  </si>
  <si>
    <t xml:space="preserve">grant.15156031</t>
  </si>
  <si>
    <t xml:space="preserve">Engineered bionanoparticles as carriers for growth factors and peptides that promote cell attachment, proliferation and differentiation to improve the production of low-cost cultured meat (NanoMeat)</t>
  </si>
  <si>
    <t xml:space="preserve">Cultured or artificial meat is a form of cellular agriculture involving the production of meat from animal cells cultivated in vitro. This rapidly developing technology could provide meat to the world’s growing population while also addressing the drawbacks of traditional livestock agriculture, such as infectious diseases, antibiotic misuse, poor animal welfare, and greenhouse gas emissions. To become competitive, cultured meat must be economically comparable and ethically superior to natural meat, but this is challenging because fetal bovine serum (FBS) is needed in the culture medium to provide growth factors for cell proliferation and differentiation. FBS is expensive and can only be sourced by killing calves. A more cost-effective and ethical solution is the use of scaffolds for recombinant growth factors, offering the advantages of controlled release, greater efficacy and lower costs. Growth factors can be immobilized on plant virus-like nanoparticles (VNPs/VLPs), which are versatile and biocompatible scaffolds that act as protein-based carriers. VNPs/VLPs can be incorporated as hydrogel composites to enhance stem cell adhesion and promote cell differentiation in a 3D environment. Plant VNPs/VLPs are well tolerated by mammals and are neither toxic nor infectious to mammalian cells in vitro, making them ideal for the production of cultured meat. The proposed project will address the following research questions: (1) Can stem cells be cultivated with engineered VNPs/VLPs displaying cell adhesion peptides and growth factors in a hydrogel matrix? (2) Do these scaffolds promote stem cell attachment, proliferation, differentiation and maturation? (3) Can these scaffolds replace FBS, thus providing a safe, inexpensive and ethical alternative for cultured meat production?</t>
  </si>
  <si>
    <t xml:space="preserve">This grant directly concerns cultivated meat production, specifically developing plant virus-like nanoparticle scaffolds and hydrogel composites to replace fetal bovine serum and support stem cell attachment, proliferation, and differentiation for in vitro meat cultivation.</t>
  </si>
  <si>
    <t xml:space="preserve">grant.14522906</t>
  </si>
  <si>
    <t xml:space="preserve">Temporal integration of food webs through eye lens isotope analysis in fish</t>
  </si>
  <si>
    <t xml:space="preserve">Background: Global change is profoundly impacting aquatic food webs, threatening species conservation, carbon cycling, and fisheries management. The complex life histories of many fish, spanning from larvae to top predators, make these food webs particularly fragile and challenging to study. Consequently, there are critical knowledge gaps in our understanding of how aquatic food webs, and in particular ecology of keystone species and economically vital fish species, respond to global change. Recently, the use of isotopes in fish eye lenses has emerged as a promising tool to reconstruct the dietary history of individual fish, tracing back diet to their larval stages. Yet, this approach's potential remains largely unexploited, especially when combined with new and cutting-edge isotopic tools for addressing long-standing questions in aquatic ecology, fish biology, and biogeochemistry.Aims: I propose a two-year research plan to harness the potential of fish eye lens isotopes as tools to reveal the hidden dynamics of food webs at both individual, ecosystem, and historical levels. The project will include three independent studies: 1) Develop the lens method using lab-grown fish, for the first time testing a set of dietary and isotopic markers down to the molecular trace level. 2) Demonstrate the approach for fish dietary changes from larvae to adults, using rockfishes as a case study. 3) Reconstruct historical food web changes using lenses from long-lived (&gt;100 years) Pacific margin rockfish, to reveal marine food web changes in one of the world’s most productive upwelling regions over the past century.Methods: As fish grow, they build successive protein layers in their eye lenses that incorporate isotopic dietary signals, similar to tree rings. Unlike most tissues, these crystalline protein layers remain metabolically inert over time, creating a chronological record of dietary proteins. This record is particularly useful when combined with state-of-the-art isotopic tools such as compound-specific isotope analysis (CSIA). I will integrate eye lens analysis with isotope analysis of carbon and nitrogen, and CSIA in Pr. M. McCarthy's laboratory, a leading center in stable isotope research in biogeochemistry. I will apply the method to rockfish, particularly relevant as they are diverse, critical to the ecology of many regions worldwide, as well as economically important, and finally extremely long-lived, providing potential records of ecosystem shifts in the last century. Results: I anticipate establishing a new combined method that could become foundational in fish ecology and widely adopted in future research. I will use this approach to provide valuable data by tracking dietary changes in rockfish species and uncovering previously unknown dietary preferences among cryptic early life stages. Additionally, I will utilize a unique dataset from long-living rockfish to show how key food web processes, such as trophic transfer, and nutrient and carbon sources, have evolved over the past century.Impact: This innovative project leverages the host institution's strong isotope biogeochemistry expertise to pioneer a novel method with broad applications across aquatic ecosystems. A major cross-cutting element of this work is its ability to mesh together an understanding of shifting ecology and biogeochemistry in changing oceans, based on the CSIA’s ability to simultaneously record changes in trophic structure, with the carbon and nitrogen sources underpinning food webs. Beyond advancing fundamental science, this project has practical applications, such as tracking larval fish diets, and in particular understanding changes in carbon cycling and fish stocks with global change.</t>
  </si>
  <si>
    <t xml:space="preserve">This grant concerns aquatic ecology, fish food web dynamics, and isotope analysis methods — with no relevance to alternative proteins or substitutes for animal-derived foods.</t>
  </si>
  <si>
    <t xml:space="preserve">grant.15201033</t>
  </si>
  <si>
    <t xml:space="preserve">Advanced Microchannel Structured SiC Hollow Fibre Membranes for Value-Added Oil Recovery in Precision Fermentation (PF)</t>
  </si>
  <si>
    <t xml:space="preserve">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</si>
  <si>
    <t xml:space="preserve">This grant develops ceramic membrane separation technology explicitly for the CARMAR cellular agriculture manufacturing hub, which encompasses precision fermentation and cultivated meat production, making it an enabling technology for alternative protein bioseparation processes.</t>
  </si>
  <si>
    <t xml:space="preserve">F is preferred but can like with CC.</t>
  </si>
  <si>
    <t xml:space="preserve">grant.15054223</t>
  </si>
  <si>
    <t xml:space="preserve">Scaling sustainable cocoa butter production using cellular agriculture</t>
  </si>
  <si>
    <t xml:space="preserve">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</si>
  <si>
    <t xml:space="preserve">This grant concerns scaling cocoa butter production via plant cell culture, which is a flavouring/confectionery ingredient and not a substitute for animal-derived protein-rich foods, placing it outside the alternative proteins scope.</t>
  </si>
  <si>
    <t xml:space="preserve">grant.14751915</t>
  </si>
  <si>
    <t xml:space="preserve">Unlocking the Nutritional and Environmental Potential of Small Pelagic Fish: A Path Towards Sustainable Food Systems</t>
  </si>
  <si>
    <t xml:space="preserve">There is increasing awareness of the environmental impacts of food production and that transitioning to more plant-based diets is beneficial for both human health and the environment. At the same time, plant-based and meat-reduced diets are gaining popularity in many Western countries, and particularly among women and younger adults. While consuming more plants and less red and processed meats has many health benefits, animal-source foods contain several important micronutrients that are either absent, low in concentration, or less bioavailable in plants. Hence, vegetarians and vegans have a higher risk than omnivores of certain nutritional deficiencies, which can have serious short- and long-term consequences. 
Norway owns a plentiful food resource, small pelagic fish, that is rich nutrients, affordable, and has a low carbon footprint. This project puts small pelagic fish into a food systems perspective and aims to provide tangible solutions for how Norway can utilize this resource to safeguard public health in the transition towards more environmentally sustainable diets, while at the same time contributing to its national goal of lowered greenhouse gas emissions, and spurring innovation towards more nutritious meat alternatives.  
To achieve this aim, the project explores: 1) the nutritional and environmental benefits of small pelagics compared to other common protein sources on Norwegian consumer’s plates, 2) the nutritional and environmental consequences of redirecting the food-grade small pelagics that now go to animal feed production to direct human consumption, 3) how small pelagic fish acts on nutrient uptake when included in plant-based meals of different composition, and 4) what is required to establish a "blue boost" label that signals to consumers that an otherwise healthy and sustainable product contains small pelagic fish at an amount that is sufficient to meet a desired uptake of micronutrients.
The project uses an interdisciplinary approach.</t>
  </si>
  <si>
    <t xml:space="preserve">This grant focuses on small pelagic fish as a nutritional complement to plant-based diets, not on developing alternative protein products; fish-based meat alternatives are not alternative proteins as defined, and the research is primarily about conventional animal-source foods and dietary transitions rather than plant-based, fermentation, or cultivated protein development.</t>
  </si>
  <si>
    <t xml:space="preserve">grant.15200991</t>
  </si>
  <si>
    <t xml:space="preserve">Can knowledge of UV-B signalling help improve Brassica crops?</t>
  </si>
  <si>
    <t xml:space="preserve">Food security is defined when all people, at all times, have physical and economic access to sufficient safe and nutritious food that meets their dietary needs and food preferences for an active and healthy life. As plant biologists, we need to aim for increased productivity and improved nutritional quality of crops to realize food security objectives. In addition, nowadays we have to address the food security issue with the challenge of climate change, which means that we need crops that are more resilient to abiotic and biotic stresses.
Sunlight provides the energy source for plants. UV-B radiation, as an intrinsic component of sunlight, additionally works as a key stimulus to regulate numerous aspects of plant growth and development through the UV-B photoreceptor UV RESISTANCE LOCUS 8 (UVR8). UVR8 is the only identified photoreceptor that specifically perceives UV-B and has been proven to regulate multiple responses including metabolism, morphogenesis, defence, photosynthetic competence, thermomorphogenesis, flowering time, etc, many of which are relevant to crop productivity and nutritional quality. My recent work with Arabidopsis has shown that UVR8 is phosphorylated and a highly conserved amino acid in the C-terminal region, Serine 402 (S402) is the main site. I showed that S402 phosphorylation differentially affects protein interactions with UVR8 and enhances the accumulation of hydroxycinnamic acids and flavonoids. This is a groundbreaking discovery in the field that reveals the role of UVR8 phosphorylation in regulation of flavonoid biosynthesis, which is important to both abiotic and biotic stress tolerance and the nutritional quality of harvested products.
Discoveries in model plants such as Arabidopsis can provide important directions for crop improvement. UVR8 is a highly conserved protein in the plant kingdom. However, there is little information on how UV-B could regulate crop growth and development through UVR8 and how UVR8 could be manipulated in crops to improve crop productivity, nutritional quality and resilience to climate change.
In this Fellowship I will choose Brassica oleracea as the model crop, which is in the same taxonomic family as Arabidopsis. B. oleracea is a widely cultivated vegetable species integral to human diets. It also a genetic pre-cursor of B. napus, which is the major global crop oilseed rape. The discoveries in B. oleracea could be a good indicator for many vegetable and oilseed species. My aim in the project is to apply fundamental discoveries about UVR8 in Arabidopsis to Brassica crops. My specific objectives are to (i) Identify the beneficial traits of B. oleracea regulated by UV-B; (ii) characterize UVR8 function in B. oleracea; (iii) modify B. oleracea UVR8 to improve beneficial traits. To achieve the objectives, I will firstly characterize UVR8 in B. oleracea and investigate UV-B regulated phenotypes under various conditions. I will then use the Clustered Regularly Interspaced Short Palindromic Repeats (CRISPR)-Cas gene-editing technology to knock out UVR8 in B. oleracea, which will enable me to investigate the role of UVR8 in valuable traits. Finally, I will modify B. oleracea UVR8 based on my recent research in Arabidopsis, in particular to increase the content of phenolic compounds.
This project will provide the first information on how UVR8 photoreceptor research could enhance the quality of crops, which will give new opportunities for Brassica crop improvement. The discoveries from this project could eventually contribute to realizing the objectives of global food security.</t>
  </si>
  <si>
    <t xml:space="preserve">This grant concerns UV-B signalling and UVR8 photoreceptor research in Brassica crops for general crop improvement (flavonoid biosynthesis, stress tolerance, productivity), with no connection to alternative protein development or substitution of animal-derived foods.</t>
  </si>
  <si>
    <t xml:space="preserve">grant.14972658</t>
  </si>
  <si>
    <t xml:space="preserve">Unlocking Potential of Seaweeds and Halophytes through Biorefinery for Enhanced Resilience in Aquaculture Agri-Food and Chemical Industries</t>
  </si>
  <si>
    <t xml:space="preserve">The ReSEAlience project is rethinking how we use marine plants like seaweed and Salicornia, a salt-tolerant plant, to create a more sustainable future. By developing a smart, eco-friendly “biorefinery,” the project turns these plants into useful products—like biofuels, animal feed, and even textiles—while helping to clean our oceans. One of the project’s key ideas is using these plants in Integrated Multi-Trophic Aquaculture (IMTA) systems. This means growing fish, shellfish, and plants together in a way that helps reduce pollution, especially excess nutrients in the water.
At the heart of the process is a green extraction method called HALOREFINE, which safely pulls out valuable compounds from the plants without using harmful chemicals. Remaining fractions after extraction of main and valuable component is turned into other materials—like cellulose for textiles, sugars for energy, and proteins for feed—ensuring nothing is wasted. In an exciting twist, co-streams after plant processing is even being turned into sustainable fabrics. Special methods are used to extract fibers from both Salicornia and seaweed, offering an eco-friendly alternative to cotton and synthetic materials. With this zero-waste approach, ReSEAlience is showing how sea plants can power a cleaner, more resilient future across farming, fashion, and fuel.</t>
  </si>
  <si>
    <t xml:space="preserve">The project focuses on seaweed and halophyte biorefineries for biofuels, animal feed, textiles, and aquaculture applications, with no stated application in alternative proteins for human food consumption.</t>
  </si>
  <si>
    <t xml:space="preserve">grant.15195759</t>
  </si>
  <si>
    <t xml:space="preserve">REAP2SOW: Resilient and Efficient Agricultural Proteins to Sustain Our World</t>
  </si>
  <si>
    <t xml:space="preserve">REAP2SOW aims to develop sustainable, climate-resilient food systems by promoting novel plant-based protein crops like quinoa, white lupin, and aardaker. These crops enhance biodiversity, improve soil health, and support the protein transition away from animal-based sources. The project integrates research on breeding, soil ecosystem functions, cultivation practices, consumer behavior, health impacts, and supply chains. Through its interlinked work packages, REAP2SOW focuses on genetic improvement, nutrient use efficiency, food safety, consumer acceptance, and historical insights. It emphasizes outreach to policymakers, farmers, and the public, fostering a resilient, sustainable food system for the Netherlands.</t>
  </si>
  <si>
    <t xml:space="preserve">The project explicitly focuses on plant-based protein crops (quinoa, white lupin, aardaker) for the protein transition away from animal-based sources, including consumer behavior, supply chains, and food safety, which are in-scope alternative protein topics, though it also includes general agronomic research elements (breeding, soil health, cultivation practices) that are out of scope.</t>
  </si>
  <si>
    <t xml:space="preserve">grant.15147964</t>
  </si>
  <si>
    <t xml:space="preserve">The IncRNA, LRSC1 is a novel and unexpected regulator of plant responses to carbon dioxide?</t>
  </si>
  <si>
    <t xml:space="preserve">Context
Understanding the impact of global increases in atmospheric CO2 concentration [CO2] on crops is a key global research objective. Research over the last 10 years has revealed that, while there can be beneficial effects on yield, there are also trade-offs in terms of negative impacts on plant-water relations, nutrient uptake and leaf temperature. This is largely due to elevated [CO2]-induced reductions in stomatal aperture. These play out as reductions in evapotranspiration, which result in warmer leaves and reduced water and nutrient uptake from the soil. Accordingly, understanding the cellular mechanisms that allow stomata to respond to elevated [CO2] is vital for mitigating the negative effects of climate change on food production and nutrient content. Recently (unpublished) we have found that a long non-coding RNA (lncRNA) has a major role to play in the response of stomata and other cells in the leaf to increasing [CO2]. Our discovery is a completely novel and unexpected insight into plant CO2 responses and as such represents a potential step-change in our understanding. It opens up a totally new avenue of research investigation into the regulation of CO2 driven processes.
The challenge
LncRNAs are important regulators of gene expression in animals and plants. Unlike protein coding genes, lncRNAs do not usually encode for functional proteins. Instead, they regulate the expression of protein encoding genes. In Arabidopsis we have identified a lncRNA locus that we named Regulator of Stomatal CO2 sensitivity (LRSC1), whose transcripts are extremely highly enriched in guard cells compared with other leaf cell types and that has homologues in other members of the Brassicaceae. lrsc1 mutants consistently display significantly increased evapotranspiration, suggesting that the mutants’ guard cells are less sensitive to CO2. Remarkably, given the guard cell enrichment of the lncRNA transcripts, changes in whole leaf gene expression in response to increased [CO2] are also virtually eliminated in the mutant. Our challenge now is to understand the mechanism by which LRSC1 regulates plant responses to increasing [CO2].
Aim:
To understand how LRSC1 regulates plant responses to CO2.
To achieve this aim, we will address three objectives:
1) Determine the molecular mechanism of action of LRSC1.
2) Establish how LRSC1 regulates sensitivity to CO2.
3) Determine conserved functions of LRSC1 across the Brassicaceae.
Potential applications and benefits
In 2023, the UK Brassica and field vegetable market was worth £1.5 billion. Determining how LRSC1 regulates stomatal and leaf sensitivity to [CO2] will allow us to manipulate crop water use, nutrient, uptake and cooling in economically relevant Brassica species. More widely, we critically lack knowledge of cell-type specific responses to CO2. This project will identify CO2 responsive genes in different types of leaf cells, which may provide novel targets for engineering more productive crops that are resilient to increasing global CO2 levels.
Relevance to BBSRC priorities
Rising [CO2] and associated global warming is already having major impacts on crop productivity. Our research aligns with the BBSRC strategic delivery plan for sustainable agriculture and food and also addresses fundamental questions focused on understanding the rules of life.</t>
  </si>
  <si>
    <t xml:space="preserve">This grant concerns fundamental plant biology research on stomatal CO2 responses and lncRNA regulation in Arabidopsis and Brassica crops, with no connection to alternative protein development, production, or applications.</t>
  </si>
  <si>
    <t xml:space="preserve">grant.14912380</t>
  </si>
  <si>
    <t xml:space="preserve">Plant Power: Leveraging Consumer Insights and Food Environments for Long-Term Dietary Change</t>
  </si>
  <si>
    <t xml:space="preserve">A shift toward more plant-based proteins is essential for the environment, public health, and animal welfare. In the Netherlands, this transition is slow, and the consumption of animal proteins remains high (61%). This project explores how long-term behavior change toward plant-based diets can be promoted and how a more sustainable food environment can be supported.</t>
  </si>
  <si>
    <t xml:space="preserve">The project focuses on consumer behaviour and dietary change toward plant-based diets broadly, without explicitly naming or studying specific alternative protein products or ingredients.</t>
  </si>
  <si>
    <t xml:space="preserve">grant.15196842</t>
  </si>
  <si>
    <t xml:space="preserve">Accelerating plant-based protein emulsion design with microfluidics and intelligent software tools for sustainable foods (MIPRODESIGN)</t>
  </si>
  <si>
    <t xml:space="preserve">-</t>
  </si>
  <si>
    <t xml:space="preserve">The title explicitly references plant-based protein emulsion design for sustainable foods, which is clearly within the scope of alternative protein research.</t>
  </si>
  <si>
    <t xml:space="preserve">grant.14956082</t>
  </si>
  <si>
    <t xml:space="preserve">Enhancing biodiversity and ecosystem services through legume production and dietary change (BiodiversityField2Fork)</t>
  </si>
  <si>
    <t xml:space="preserve">Background and rationale: Agricultural production is essential for humans but can pose a threat to biodiversity and ecosystem services. It has led to significant decline in biodiversity due to intensification and land use change. Impacts are driven by food consumption patterns, particularly by animal-based foods. Legumes play a key role in substituting animal protein. A transition to a more plant-based diet, combined with increased legume cultivation, is therefore a promising pathway to reduce environmental impacts and improve both biodiversity and ecosystem services both in Switzerland and abroad.Overall objectives: The BiodiversityField2Fork project aims to assess the potential for increasing biodiversity and ecosystem services through the dual pathways of a dietary shift towards more plant-based foods and the simultaneous cultivation of more food legumes in Switzerland.Specific aims: The following research questions will be answered:1.How can a legume-based food system be designed to enhance ecosystem services and improve biodiversity conditions compared to the current food system, while ensuring that the population receives an adequate amount and quality of nutrition?2.How do changes in dietary patterns and cropping systems influence agricultural land use and land-use change, both domestically and abroad, and what potential does this transformation have for biodiversity conditions and the provision of ecosystem services?3.What are the synergies and trade-offs between the provision of ecosystem services, enhancement of biodiversity, other environmental impacts such as climate change and eutrophication and the nutritional needs of the population in the transition to a more legume-based food system?4.What are the promoting and hindering factors for this transition, caused by conflicting stakeholder interests, and how could barriers be overcome?5.What are the most promising pathways for a transition to a more legume-based food system that enhances biodiversity and ecosystem services, considering factors such as crop selection, production methods, and consumer acceptance?Methods: The project will follow an iterative process, starting with a transdisciplinary co-creation process, which will lay the foundation for the products, consumption scenarios and transition pathways to be analysed and discuss interim results as well as the need to change modelling assumptions. We will assess the impact of legume crops and cropping systems on biodiversity and ecosystem services using the SALCA method (Swiss Agricultural Life Cycle Assessment). The relevant legume-based food products, value chains and diets and their impact on biodiversity and ecosystem services will be evaluated. With the SWISSfoodSys model, we will simulate scenarios for the whole Swiss food system with increased legume production and consumption and their impact on domestic agricultural production, import volumes of foods and feeds. We will simulate scenarios that are optimized for their impact on biodiversity and ecosystem services. The global impact of these scenarios on biodiversity and ecosystem services will be assessed using the FABIO (food and agriculture biomass input output) model together with multi-regional input-output data.Expected results: We will provide scientific evidence of the impact of specific legume cropping and legume-based food systems on biodiversity and ecosystem services, taking a holistic view of worldwide impacts and linking them to other environmental impacts (including climate change) and economic indicators. We will calculate the impact of legume crops and cropping systems as well as legume-based food value chains and diets in Switzerland on biodiversity and ecosystem services. Simultaneously, we will investigate the quantity and origin of foods and feeds imported into Switzerland and their impact on biodiversity and ecosystem services abroad. These data will be used to calculate the impact of the whole Swiss food system on biodiversity and ecosystem services for a number of scenarios with an increased legume production and consumption. These scenarios will be optimized for their biodiversity and ecosystem service impact. The outputs we generate will be geared towards stakeholders (fact sheets, discussions at workshops, entries on agripedia.ch, policy briefs) as well as the scientific community.Impact: Our research project will provide scientific evidence for addressing urgent challenges to biodiversity and ecosystem services by targeting food production and consumption as a key levers. We analyse interactions between all relevant points in the value chain and will produce actionable results for key stakeholders, disseminating knowledge directly to practitioners and consumers. With an improved understanding of the impacts of the food system on biodiversity and the benefits of promoting ecosystem services, we expect stakeholders to become more strongly motivated to enact change along the dual pathways of changing agricultural land use in Switzerland and adapting the Swiss food system to enhance biodiversity and ecosystem services.</t>
  </si>
  <si>
    <t xml:space="preserve">While the project mentions legumes as substitutes for animal protein and plant-based diets, the research focuses on biodiversity, ecosystem services, and land use impacts of dietary and agricultural transitions, without studying alternative protein products, ingredients, or their development, processing, or consumer acceptance in the context of AP products specifically.</t>
  </si>
  <si>
    <t xml:space="preserve">grant.14353157</t>
  </si>
  <si>
    <t xml:space="preserve">Design of novel post-harvest technologies with low carbon footprint based on the discovery of active biomolecules</t>
  </si>
  <si>
    <t xml:space="preserve">A main challenge for human societies is to feed the ever-increasing world population while limiting the carbon footprint inherent in food production activities. These seemingly opposing challenges must be reconciled. Securing sufficient amount of food requires to master the post-harvest storage of fruit and vegetables, the main source of nutrient for human, especially if we aim to reduce meet consumption due to its high carbon footprint. Controlled atmosphere is the main technology used to extend shelf-life of fresh products. It is mainly based on low temperature and low oxygen that reduce metabolic activity of fruit and vegetables, but it is energy consuming with high carbon footprint impact. On the other hand, 1-MCP, a chemical that prevents plants from sensing the plant hormone Ethylene, is also widely used in post-harvest storage to block ripening and senescence. It has a non-discriminating effects on different ripening processes leading to some alteration of organoleptic traits. FRUITPRINT project aims to identify novel bioactive molecules to improve storage and limit post-harvest losses while reducing energy consumption. The project consists of 3 main steps: (1) identification of novel bioactive molecules inhibiting ripening and senescence by in silico and in vitro screens of large libraries of chemical compounds, (2) evaluation of the effectiveness of the selected bioactive molecules in post-harvest storage, and (3) uncovering the molecular underpinnings of their beneficial effects on fruit and vegetables physiology. FRUITPRINT project rely on multidisciplinary approaches and complementary expertise from partners on virtual screening, oxygen sensing, fruit physiology and post-harvest storage. It will build on original and innovative material such as high-throughput screening platform, Bioluminescent plants and protein biosensors allowing in vivo screening, and facilities for post-harvest storage.</t>
  </si>
  <si>
    <t xml:space="preserve">This grant concerns post-harvest storage technologies for fruits and vegetables to reduce food losses and carbon footprint, with no connection to alternative protein development, plant-based meat/dairy/egg analogues, fermentation-derived proteins, or cultivated meat.</t>
  </si>
  <si>
    <t xml:space="preserve">grant.14950567</t>
  </si>
  <si>
    <t xml:space="preserve">Resolving the structure and function of the plant chloroplast protein import machinery</t>
  </si>
  <si>
    <t xml:space="preserve">Context
Rapid human population growth (set to reach 9.8 billion by 2050) and anthropogenic climate change together place ever increasing pressure on food security and natural resources. Thus, a key challenge of our era is to deliver increased agricultural yields with resilience to stress and disease. To meet this challenge, we must develop improved crop varieties, by delivering and then exploiting advances in our understanding in key areas of plant biology.
Chloroplasts
Chloroplasts are tiny, subcellular structures ("organelles") that define plants. They contain the green pigment chlorophyll that absorbs light in photosynthesis - the process whereby sunlight energy is used to power cellular activities and plant growth. Because photosynthesis is the only significant mechanism of energy-input into the living world, chloroplasts are vitally importance, not only to plants but to all life on Earth - including our staple crops. Owing to their role in photosynthesis, and in plant responses to environmental challenges (or stresses) such as drought and salinization, chloroplasts are prime targets for crop improvement strategies.
Chloroplasts are built from thousands of different proteins. Most of these proteins are encoded by genes in the cell nucleus, and so are made outside of the organelle in the cellular matrix called the cytosol. Since chloroplasts are surrounded by a double-membrane "envelope", sophisticated machinery is needed to import these proteins into the organelle. This machinery has two parts, called TOC ("Translocon at the Outer envelope membrane of Chloroplasts") and TIC. Each part is composed of several subunits that cooperate to drive protein import.
The project
Our research group has a long track-record of studying chloroplast protein import mechanisms. In recent years, we uncovered how activity of the TOC translocon is regulated by a novel mechanism called CHLORAD (chloroplast-associated protein degradation)1; and we showed how such regulation is vital for diverse aspects of plant growth, including resilience to adverse environments2 and fruit ripening3. However, while the regulation of protein import is well studied, our understanding of the molecular structure of the translocons is rudimentary. Moreover, a well-supported model for the protein import mechanism (i.e., how the machinery imports proteins) is lacking. This project will directly address these issues.
As already noted, the translocons are assemblies of several protein subunits - i.e., they are multiprotein complexes. We aim to elucidate how the individual subunits are arranged (with atomic resolution) within the TOC machine, and how TOC assembles with TIC. Having such a detailed understanding of the translocons is extremely important, because this is the only way to finally resolve the chloroplast protein import mechanism. The main challenges in this project are that the translocons exist only in very small quantities in plants, and are rather unstable, making it difficult to purify them for analysis. Fortunately, we have now substantially overcome these hurdles as our preliminary results show. Thus, we are in an exciting and unprecedented position to deliver a step-change in our understanding of translocon function, and of chloroplast protein import and plant biology in general.
This new information on chloroplast development and functions may offer applications in the future development of crops with improved photosynthetic performance, stress resilience, and yields. Thus, the project has strong relevance to BBSRC's long-term research and innovation priorities in the area of plant health and agri-food.</t>
  </si>
  <si>
    <t xml:space="preserve">This grant concerns fundamental research on chloroplast protein import machinery in plants, with no connection to alternative protein development, plant-based foods, or any other alternative protein application.</t>
  </si>
  <si>
    <t xml:space="preserve">grant.15195859</t>
  </si>
  <si>
    <t xml:space="preserve">Food workers of the world unite! A qualitative investigation of labour relations in alternative food system transitions</t>
  </si>
  <si>
    <t xml:space="preserve">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</si>
  <si>
    <t xml:space="preserve">The grant explicitly studies plant-based protein companies as part of alternative food system transitions, making it in scope as a societal/policy study of alternative proteins, though it also covers broader food system and agroecological topics that are out of scope.</t>
  </si>
  <si>
    <t xml:space="preserve">grant.14099286</t>
  </si>
  <si>
    <t xml:space="preserve">Photosynthesis in far-red: from cyanobacteria to plants</t>
  </si>
  <si>
    <t xml:space="preserve">Photosynthesis, the process that sustains life on our planet by generating food and supplying oxygen, is astonishingly inefficient: less than 1% of accessible solar energy is converted into biomass by a crop.  Improving photosynthesis is thus a promising approach to meet the increasing demand for food production. The capacity to optimally harness light is a crucial factor in the photosynthetic process, especially in light-limited environments. However, plants only utilize the visible part of the solar spectrum (400-700 nm), which results in more than 50% of the photons reaching the Earths surface being discarded. This represents an important limitation, especially for crops, as plants in the field are close together, and the light reaching the lower leaves is almost exclusively far-red (&gt;700 nm). Until recently, it was believed that 700 nm was the thermodynamic limit of oxygenic photosynthesis. However, the discovery of several species of cyanobacteria, the prokaryotic ancestors of plant chloroplasts, that can grow in far-red light has shown that this is not the case. How can cyanobacteria use far-red light? Would it be possible to introduce the same mechanisms into plants to expand their spectral coverage and increase light-use efficiency? This project aims to address these questions by elucidating the mechanisms underlying far-red light acclimation in cyanobacteria and re-designing them to be compatible with the photosynthetic system of plants. This requires to address knowledge gaps related to the synthesis of novel pigments, their integration into photosynthetic proteins, and their impact on photochemical efficiency and photosynthesis regulation. For this I will combine in vivo, in vitro and in silico approaches, ranging from molecular biology to ultrafast spectroscopy and modeling, which is the trademark of my group. This project will determine if implementing a far-red response in plants is viable, beneficial, and a potential strategy for crop enhancement.</t>
  </si>
  <si>
    <t xml:space="preserve">This grant concerns improving photosynthesis efficiency in plants and cyanobacteria for general crop enhancement, with no connection to alternative protein development, plant-based foods, or any other alternative protein application.</t>
  </si>
  <si>
    <t xml:space="preserve">grant.15078924</t>
  </si>
  <si>
    <t xml:space="preserve">Plant aquaporin interactions - new possibilities for development of drought-resilient crops</t>
  </si>
  <si>
    <t xml:space="preserve">In plants, membrane-bound water channels known as aquaporins (AQP) play a central role in the adaptive response to variations in water supply. The regulation of AQPs is an important mechanism to combat drought, one of the major consequences of climate change and a serious threat to global food security. AQPs have therefore emerged as an attractive target in the development of drought-resilient crops. However, the in-depth understanding of AQP function and regulation that is needed to enable this is currently lacking. In this project, we aim to characterize the molecular mechanism behind how protein-protein interactions control AQP function by determining the structures of regulatory aquaporin complexes. To do this we will isolate plant aquaporin complexes from Arabidopsis grown under different water conditions and determine their structures using single particle cryoEM. In addition to complexes that are naturally highly abundant, this will include less abundant AQP complexes, the isolation of which is enabled by the introduction of an affinity tag using CRISPR-Cas technology. Finally, we will heterologously express transient AQP complexes that have been previously been described as important for AQP regulation and characterize their interaction and structure. Our work will give a solid scientific foundation for exploiting AQP regulation in the development of drought-resilient crops.</t>
  </si>
  <si>
    <t xml:space="preserve">This grant concerns aquaporin-mediated drought resilience in plants (Arabidopsis), which is general agronomic research with no stated connection to protein extraction, protein quality, or alternative protein applications.</t>
  </si>
  <si>
    <t xml:space="preserve">grant.14932534</t>
  </si>
  <si>
    <t xml:space="preserve">Hsp-associated proteasomal plastid pre-protein degradation as a regulatory and quality control mechanism in plants</t>
  </si>
  <si>
    <t xml:space="preserve">Protein homeostasis is a delicate process which keeps the synthesis, folding, trafficking and degradation of proteins in balance. Its
disruption is linked to various diseases, including neurodegenerative disorders, cancer, and ageing in metazoan species. In plants,
protein homeostasis is critical for survival under environmental stresses like extreme temperatures, drought, and pathogen infections.
As the global population nears 8 billion, ensuring an adequate food supply is paramount, especially while coping with the adverse
effects of climate change. Chloroplasts (plastids), crucial organelles in plant cells, are responsible for producing most of the world's
food, and require the import of over 3000 different proteins for their proper function.
My research objective is to investigate the evolutionarily conserved CHIP-Bag1-Hsp70 system (CHIP), a vital quality control
mechanism for chloroplast protein import and clearing of unimported and misfolded precursor proteins. CHIP is part of the larger
Ubiquitin-Proteasome System (UPS). Despite its significance, CHIP's interactions and substrates in plants are poorly understood. The
goal of my research is to (1) identify CHIP interactors and substrates in plants, using techniques like affinity purification, proximity
labeling, and proteomics; (2) study the structural organization of these complexes and their interactions with substrates through
structural mass spectrometry; and (3) determine how these complexes interact with the proteasome using cryo-electron microscopy.
This research sheds light on an inadequately understood system crucial for chloroplast regulation and various biological processes. It
also lays the foundation for studying the UPS in important plant models. Ultimately, this work indirectly contributes to enhancing
crop resilience against diseases and heat stress, which is increasingly relevant in the context of global warming.</t>
  </si>
  <si>
    <t xml:space="preserve">This grant concerns fundamental plant cell biology (chloroplast protein import and quality control mechanisms) with no connection to alternative protein development, processing, or any alternative protein product.</t>
  </si>
  <si>
    <t xml:space="preserve">grant.14480624</t>
  </si>
  <si>
    <t xml:space="preserve">Securing seed production by enhancing thermotolerance in plant embryos</t>
  </si>
  <si>
    <t xml:space="preserve">Climate change strongly impacts food production, having both short- and long-term effects on plants growth, development, and fitness. Heat waves are among the most characteristic manifestation of climate change, and are becoming increasingly frequent and intense. Many plant species, including several staple food crops such as cereals, require a certain physiological temperature range to proper develop and reproduce. The exposure to elevated temperatures has dramatic effects on seed production, and heat stress has already caused sever yield loss worldwide for several type of crops. Could plants be able to adapt fast enough their tolerance to these rapid and unpredictable changes in environmental temperature? Plants adopt several clever mechanisms to face and respond to environmental stresses. In the case of heat stress, this process is called thermotolerance, and refers to the ability of the plant to withstand and adapt to high-temperature stress. Thermotolerance response relies on the expression of specific types of proteins that are able to protect the cells from stress damage. The regulation of the expression of these proteins occurs at the epigenetic level. Elevated temperature promotes epigenetic changes so that thermotolerance genes’ expression becomes strong and persistent even across cell generations. This enhances the plant's resistance to subsequent events, as the new epigenetic status facilitates the activation of thermotolerance genes.In this project, our goal is to identify the thermotolerance genes essential for conferring heat resistance in developing plant embryos, along with understanding their epigenetic status. We aim to guarantee constitutive and pervasive expression of these genes throughout all stages of embryogenesis by modifying their epigenetic status. This strategy will equip the developing embryo with an efficient molecular toolkit to confront and withstand heat stress. Our project will generate significant datasets (transcriptome and epigenetic profiling) of developing barley embryos exposed to elevated temperatures, achieving organ and cell-resolution analyses not previously attained. Subsequently, we will utilize this knowledge to identify key thermotolerance genes and we will overexpress them along embryogenesis to confer increase heat stress resistance to the growing embryo. In parallel, we will develop an ambitious CRISPR-Cas9-derived epigenome editing strategy to modulate the candidate genes’ expression by targeting their epigenetic status.Our project complements the existing research direction of the RECROP Cost Action by identifying the genetic and molecular basis of crop reproduction sensitivity to heat stress. Several groups within the Action are focused on understanding stress response during male and female gametogenesis and fertilization. With our project, we contribute to and enhance the portfolio of research directions dedicated to studying the effects of heat stress on embryogenesis, an area of expertise within our lab.</t>
  </si>
  <si>
    <t xml:space="preserve">This grant concerns agronomic/crop science research on thermotolerance and heat stress resistance in barley embryos, with no connection to alternative protein development, protein extraction, or food product substitution.</t>
  </si>
  <si>
    <t xml:space="preserve">grant.15147301</t>
  </si>
  <si>
    <t xml:space="preserve">Unravelling chloroplast TOC-TIC assembly, a vital component of plant greening and photosynthetic establishment</t>
  </si>
  <si>
    <t xml:space="preserve">Context
Current agricultural outputs are insufficient to meet the needs of a rapidly-growing human population (set to reach 9.8 billion by 2050), especially in the context of anthropogenic climate-change, leading to increasing concerns about food-security. Thus, delivering improved agricultural yields with resilience to stress and disease, while alleviating pressure on natural resources, is a key challenge of our era. To meet this challenge, we must develop improved crop varieties by delivering and then exploiting advances in our understanding in key areas of plant biology.
Photosynthesis, chloroplasts, and protein import
Photosynthesis is the process whereby sunlight energy is harnessed to power cellular activities and growth. It is the energetic basis for essentially all life on Earth, including our food systems, and thus is of inestimable importance. In plants, photosynthesis occurs inside tiny, subcellular structures (“organelles”) called chloroplasts, which are rich in the green, light-absorbing pigment chlorophyll.
Chloroplasts are built-up from thousands of different proteins which must be rapidly assembled during plant greening. Because most of these proteins are encoded by nuclear genes and made outside of the organelle (in the area of the cell called the cytosol), sophisticated machinery is needed to import these proteins into the organelle. This import machinery is vital for chloroplast development, photosynthetic establishment, and plant growth; and it has two parts, TOC and TIC (“translocon of the outer/inner chloroplast membrane”), each of which is a multiprotein complex comprising several different subunits.
The project: aim, challenges and applications
The aim of this project is to elucidate how the TOC-TIC multiprotein machines are assembled from individual subunits, to enable the massive delivery of proteins into chloroplasts during greening and photosynthetic establishment. Our research group has a long track-record of studying chloroplast protein import mechanisms1,2. For example, we discovered how the TOC is regulated by a novel mechanism called CHLORAD (“chloroplast-associated protein degradation”)3; and showed how such regulation is vital for diverse aspects of plant growth, including resilience to adverse environments4 and fruit ripening5. However, while the composition and regulation of the import machinery are well established, our understanding of the molecular assembly processes that lead to its formation is rudimentary. This project will directly address this major knowledge gap.
Within multiprotein complexes like TOC and TIC, the organization of subunits is crucial for function; and this is established through a highly-controlled assembly process involving accessory proteins called “assembly-factors”. These processes are vital, because any defects in them can result in dysfunctional or unstable complexes with severe consequences. We will undercover the assembly-factors and step-wise events that deliver the TOC complex and its subsequent association with TIC. The main challenges in this area are the low abundance of the complexes and the transient nature of the relevant assembly-intermediates and interactions, making it difficult to purify them for analysis. Fortunately, we have now substantially overcome these hurdles as our preliminary results show. Thus, we are in an exciting and unprecedented position to deliver a step-change in our understanding of this vital component of plant greening and photosynthetic establishment.
This new information on chloroplast development and function may offer applications in the future development of crops with improved photosynthetic performance, stress resilience, and yields. The project therefore has strong relevance to BBSRC’s long-term research and innovation priorities in the area of plant health and agri-food.
[1]_Jarvis_2013_Nat.Rev.Mol.CellBiol._14:787_doi:10.1038/nrm3702.
[2]_Sun_2023_Annu.Rev.PlantBiol._74:259_doi:10.1146/annurev-arplant-070122-032532.
[3]_Ling_2019_Science_363:eaav4467_doi:10.1126/science.aav4467.
[4]_Ling_2015_Curr.Biol._25:2527_doi:10.1016/j.cub.2015.08.015.
[5]_Ling_2021_Nat.Plants_7:655_doi:10.1038/s41477-021-00916-y.</t>
  </si>
  <si>
    <t xml:space="preserve">This grant concerns fundamental plant cell biology research on chloroplast protein import machinery (TOC-TIC complexes) with no connection to alternative protein development, ingredients, or products.</t>
  </si>
  <si>
    <t xml:space="preserve">grant.15164609</t>
  </si>
  <si>
    <t xml:space="preserve">Badanie potencjału kompleksów białkowo-pektynowych do poprawy właściwości funkcjonalnych tuszy do druku 3D</t>
  </si>
  <si>
    <t xml:space="preserve">Starzenie się społeczeństwa to problem globalny XXI wieku, który wpływa na liczne obszary życia, w tym  również na sektor spożywczy. Przy tak zmieniającej się strukturze demograficznej, zapewnienie odżywczej i atrakcyjnej wizualnie żywności  dla osób starszych czy hospitalizowanych  stało się istotnym wyzwaniem. Technologią umożliwiającą tworzenie takiej żywności jest druk 3D, który  pozwala na przygotowanie produktów o złożonej strukturze, uzyskiwan ych warstwa po warstwie, zgodnie z zaprojektowanym modelem cyfrowym. Zaletą tej technologii jest możliwość dostosowania cech żywieniowych i sen sorycznych do indywidualnych potrzeb konsumentów. Jednakże większość produktów spożywczych, w tym również owoce, mogą być drukowane dopiero po przetworzeniu i  dodaniu substancji poprawiających ich płynność. Większość takich substancji nie jest pozytywnie p ostrzegana przez konsumentów (np. guma guar, karagen), wymaga specyficznych warunków żelowania, lub ich żelowanie trwa bardzo długo. Dodatek białka do owoców może poprawić teksturę produktów, a dodatkowo przyczynić się do poprawy ich wartości odżywczej. Większość białek roślinnych charakteryzuje się  jednak niekorzystnymi właściwościami funkcjonalnymi  w porównaniu do białek pochodzenia zwierzęcego , dlatego należy poszukiwać metod modyfikacji ich właściwości, które jednocześnie będą przyjazne dla środowiska. Tworzenie kompleksów z  pektynami oraz wybrane metody  fizyczne (obróbki ultradźwiękami i mikrofal ami) mogą wpływać na zmianę struktury i poprawę właściwości białek roślinnych, zwiększając tym samym możliwości ich zastosowania.  Celem projektu jest  kompleksowa ocena potencjału wykorzystania kompleksów białko  konopne-pektyna do tworzenia past do druku 3D z wytłoków owocowych. Zostanie zbadany wpływ obróbek ultradźwiękami i mikrofalami na wybrane właściwości kompleksów.  Ponadto, aby ocenić możliwość  utrwalenia wydrukowanego materiału, zostanie przeprowadzone suszenie mikrofalowo-próżniowe o różnych parametrach, a także suszenie konwekcyjne i liofilizacja jako metody referencyjne.  Do tworzenia kompleksów zostaną wykorzystane i zolat lub koncentrat białka  konopnego oraz wybrane preparaty pektynowe z pektyny cytrusowej i/lub jabłkowej. Kompleksy zostaną poddane obróbkom ultradźwiękowej i mikrofalowej i zbadane zostaną ich właściwości fizyczne i chemiczne. Równolegle, wytłoki owocowe o pożądanej konsystencji  i strukturze zostaną uzyskane przez wyciskanie soku, homogenizację i przetarcie przez sito. Kompleksy białkowo-pektynowe o najbardziej obiecujących właściwościach zostaną dodane do przetworzonych wytłoków w celu wytworzenia pasty do druku  3D. Proces druku  3D zostanie zoptymalizowany, z uwzględnieniem licznych parametrów, w tym średnicy dyszy, prędkości drukowania czy współczynnik wypełnienia, a następnie zbadane zostaną właściwości fizyczne i chemiczne drukowanych past. Wybrane warianty wydruków zostaną po ddane suszeniu mikrofalowo-próżniowemu, w którym temperatura, optymalizowane będą temperatura, ciśnienie i moc mikrofal. Hipoteza badawcza zakłada, że odpowiedni skład (rodzaj pektyny, stężenie białka i stosunek białko/pektyna), warunki środowiskowe (pH, temperatura, siła jonowa) oraz łagodna obróbka wspomagająca (ultradźwięki, mikrofale) pozwolą na uzyskanie kompleksów białko  konopne-pektyna o pożądanych właściwościach funkcjonalnych i będą mogły posłużyć do p oprawy drukowalności wytłoków owocowych. Badanie będzie odpowiedzią na globalne problemy, takie jak zagospodarowanie produktów ubocznych z przemysłu spożywczego (wytłoki, pektyny - przemysł owocowo-warzywny, białko konopne – przemysł olejarski) czy rosnąca zapotrzebowanie na żywność pochodzenia roślinnego – naturalną i bogatą w składniki odżywcze. Zaproponowane  badania pomogą zrozumieć interakcje między białkiem konopnym a  pektyną poddawanym wybranym obróbkom fizycznym, co może przyczynić się do potencjalnego stosowania takich kompleksów jako alternatyw dla negatywnie postrzeganych stabilizatorów stosowanych w żywności roślinnej. Dodatkowo, badania dostarczą nowej wiedzy na temat drukowalności wytłoków owocowych oraz możliwości wykorzystania kompleksów białkowo -pektynowych w celu poprawy drukowalności past spożywczych. Wyniki badań mogą być interesujące również w związku z poszukiwaniem rozwiązań w zakresie utrwalania produktów drukowanych 3D , co w przyszłości mogłoby przyczynić się do zwiększenia ich dostępności na rynku. Rezultaty projektu mogą b yć przydatne w przyszłości do projektowania żywności o określonych cechach sensorycznych, np. specyficznej teksturze i strukturze, a także żywieniowych, np. o zwiększonej zawartości składników biologicznie czynnych.</t>
  </si>
  <si>
    <t xml:space="preserve">This grant focuses on hemp protein-pectin complexes for improving 3D printing of fruit pomace pastes for elderly/hospitalized individuals, which is a food texture/processing application and not an alternative protein substitute for animal-derived foods.</t>
  </si>
  <si>
    <t xml:space="preserve">grant.15148622</t>
  </si>
  <si>
    <t xml:space="preserve">Accelerating Plant Breeding by Modulating Recombination - Renewal (MODREC2)</t>
  </si>
  <si>
    <t xml:space="preserve">To meet expected demand, the world will need to produce 50 percent more food in 2050 than it did in 2012. While similar growth rates have been achieved in the past, future growth faces the additional pressure of a changing climate and the need for reduced chemical inputs. Sustainably enhancing agricultural production is therefore a major challenge facing the sector.
A valuable source of traits for disease resistance and abiotic stress tolerance resides in thousands of living wild crop relatives, many of which have been collected and safeguarded in seed banks across the globe. Accessing these “wild” traits for plant breeding, however, is limited by "genetic drag", where low levels of genetic exchange (recombination) means that both desirable and undesirable traits are introduced and can be difficult to separate. Boosting recombination can overcomes genetic drag resulting in great potential to increase the efficiency of traditional breeding programs, helping generate the new combinations of traits required for crop improvement in fewer generations. There are established methods to enhance recombination, however these rely on genetic knockouts which are impractical for many crop varieties and can lead to yield losses due to fertility defects. Our project aims to develop innovative methods to transiently boost recombination without modification of the underlying recombination machinery, overcoming these problems.
In the first phase of this programme of research we undertook a small molecule screen to identify inhibitors of key recombination suppressing proteins and have so far identified five lead compounds with recombination boosting potential. We have also gained key insights into interactions between the key pathways limiting meiotic crossovers, enhancing our fundamental understanding of recombination and DNA repair and identifying new targets for recombination boosting compounds. The second phase will focus on optimising the structure and delivery of small-molecule inhibitors to the developing flowers of plants, following this with proof-of-principle demonstration of the technology and developing a route to commercialisation. We will also work with plant breeding companies to develop the tools needed to maximise impact generated from our recombination boosting technology, including developing computational pipelines and associated software to identify and characterise regions of wild-genomes introgressed into cultivated varieties.
Another route for crop development is to incorporate the traits and diversity of two genomes into a single individual in inter-specific hybrids and/or allopolyploids. Allopolyploid plants are common in agriculture (e.g. wheat and cotton) as their fixed hybrid nature usually results in improved agricultural traits. Despite their potential, previous attempts to generate new allopolyploid crops have failed as they tend to have genomic instability and low fertility due to recombination between the two sub-genomes. In the first phase of this research, we have gained fundamental insights into polyploid meiosis, developed new tools to track chromosome interactions during meiosis, and identified strategies to engineer a stable meiosis in new allopolyploids by reducing the copy number of key genes in the major crossover pathway. In phase two of the project, we will implement these strategies to develop new meiotically stable Brassica and pasture grasses.
This multi-disciplinary project, draws on expertise of the Fellow and collaborators in molecular plant science, phenomics, plant breeding, polyploidy, medicinal chemistry and biochemistry to modify recombination in plants for accelerated plant breeding, helping to develop the high nutrition, climate ready and disease resistant crops needed to meet future food needs.</t>
  </si>
  <si>
    <t xml:space="preserve">This grant concerns plant breeding and recombination genetics for general crop improvement, with no stated application to alternative protein products or ingredients.</t>
  </si>
  <si>
    <t xml:space="preserve">grant.15054211</t>
  </si>
  <si>
    <t xml:space="preserve">This grant concerns plant breeding methodology (recombination modulation) for general crop improvement, with no stated application to alternative protein products or ingredients.</t>
  </si>
  <si>
    <t xml:space="preserve">grant.15149255</t>
  </si>
  <si>
    <t xml:space="preserve">FloodAlert! Developing biostimulants to protect winter crops from submergence</t>
  </si>
  <si>
    <t xml:space="preserve">The Challenge: Flooding is a major cause of yield loss in crops and is increasing globally with climate change. Farmers in the UK are suffering the consequences of this; the 18 months leading up to March 2024 were the wettest on record resulting in significant yield loss, reduction in ‘farmable’ land and government compensation to farmers of over £57M. Autumn-sown cereal crops are commercially important, but particularly vulnerable to wet winters. There is a pressing need to find ways in which UK and global agriculture can tolerate and recover after flood events in order to maintain food supplies and farmers’ incomes.
Context: Plants are able to sense when they are flooded due to a reduction in oxygen availability (hypoxia). Under these conditions, transcription factors called Group VII ethylene response transcription factors (ERFVIIs) are stabilised and upregulate genes which allow acclimation to the flooded environment through metabolic reconfiguration. In BBSRC-funded work, we have found that Plant Cysteine Oxidases (PCOs) are conserved enzymes which use oxygen to trigger degradation of ERFVIIs. It is the reduced activity of these PCO enzymes in hypoxia that results in flood-induced stabilisation of ERFVIIs and temporary plant survival of submergence.
Aim: It is known that stabilisation of ERFVIIs can improve their survival of a future low oxygen event. This can be artificially induced even when plants are not flooded, in what is known as a ‘priming event’. We have shown that reducing PCO activity via competitive inhibition is an effective way of achieving such a priming event. We will build on this knowledge to develop potent and biosafe activators of plant submergence tolerance, focussing on winter wheat. By the end of the FoF grant, we will have a range of patented products, be ready to conduct field trials (winter 2027) and will have spun out MermaidAg, a company with which to market plant treatments that promote stress survival, also known as biostimulants.
Strategy: Technically, we will develop a toolkit of biostimulants using a pipeline of screening platforms comprising established and rapid in silico, cellular, seedling and protein assays which will identify 10 potent PCO-specific biostimulants. We will test these in an in-house winter wheat submergence assay for their ability to promote survival. Parallel to our technical work, we will conduct further market exploration, ensure IP protection for our optimised biostimulants and identify partners with which to conduct field trials in winter wheat (post-award). We will also establish MermaidAg, a company to develop and market our best biostimulant products. Beyond the FoF, MermaidAg will develop additional biostimulants, both to treat a range of flood-susceptible crops and for protection against other stresses.
Application and benefits: This project will develop a crop protection product which can be applied to winter wheat seedlings when they are most vulnerable to submergence, enhancing their resilience to this stress. This will be highly relevant to wheat farmers in the UK and elsewhere where crop yields are under threat from increasingly wet winters. In the long-term, MermaidAg will develop biostimulants that help protect a range of crops against flooding and other stresses, thereby supporting food security and farmers’ incomes in the UK and beyond.</t>
  </si>
  <si>
    <t xml:space="preserve">This grant concerns developing biostimulants to improve flood tolerance in winter wheat crops, which is general agronomic research with no connection to alternative protein development or production.</t>
  </si>
  <si>
    <t xml:space="preserve">grant.14499409</t>
  </si>
  <si>
    <t xml:space="preserve">The potential of common duckweed (Lemna minor) as an alternative and sustainable feed source for a resilient livestock production system in the face of climate change</t>
  </si>
  <si>
    <t xml:space="preserve">The project aims to improve the resilience and sustainability of livestock production to increase food security in a world challenged by climate change and political instability. Ruminants, such as dairy cows, are a crucial part of food security by efficiently converting grass into valuable protein in milk and meat. While the diet of dairy cows primarily consists of grass silage, it also includes cereals and protein feeds such as soybean and rapeseed. Climate change introduces extreme weather events that could disrupt crop harvests. Thus, this project aims to explore an alternative feed source. Duckweed, a common aquatic plant in Sweden, grows rapidly and tolerates varying water temperatures. Its high protein content makes it a potential substitute for soybean and rapeseed. Furthermore, its cultivation doesn´t rely on arable land and is less susceptible to extreme weather conditions.The project consists of three main components. Initially, duckweed will be gathered from diverse environments and cultivated using wastewater from a dairy plant and manure from a dairy farm. A lab study will examine how various growth conditions impact protein quality and digestibility for ruminants. Subsequently, another lab trial will assess duckweed´s suitability as part of a standard diet for dairy cows. Finally, two feeding trials with dairy cows will investigate how replacing soybean and rapeseed meal affects milk production, milk quality, animal health, and emissions of ammonia and methane.</t>
  </si>
  <si>
    <t xml:space="preserve">This grant concerns duckweed as an alternative animal feed source for dairy cows (livestock/aquafeed application), not as a human food or alternative protein ingredient for human consumption.</t>
  </si>
  <si>
    <t xml:space="preserve">grant.15196448</t>
  </si>
  <si>
    <t xml:space="preserve">Haplotagging - Rapid, efficient genome sequencing for food security and population health</t>
  </si>
  <si>
    <t xml:space="preserve">Feeding a growing world population under climate change and emerging pathogens puts the seed improvement industry in a race for new, robust, high-yield crop. A major barrier in developing new germplasm and protein sources (plant or animal) is a lack of affordble genomic tools. Our team has invented haplotagging: a simple, low-cost and scalable molecular tagging method that enables low-cost, easy genome sequencing while capturing extra chromosome information. Combined with advanced statistical genomics techniques, this disruptive technology promises to democratize genomic selection techniques for diverse organisms and new varieties, while applications to human genotyping for precision medicine are also envisaged.</t>
  </si>
  <si>
    <t xml:space="preserve">This grant concerns a general genomic sequencing technology for crop improvement and population health, with no specific focus on alternative protein development, extraction, or processing for food applications.</t>
  </si>
  <si>
    <t xml:space="preserve">grant.15197331</t>
  </si>
  <si>
    <t xml:space="preserve">Molecular mechanism of selective autophagy-mediated heat stress tolerance in plants</t>
  </si>
  <si>
    <t xml:space="preserve">This project aims to understand how plants use a process called selective autophagy to cope with heat stress, which is becoming increasingly important due to global climate change. Selective autophagy is a cellular recycling mechanism that helps plants remove damaged or unwanted proteins and organelles, allowing them to adapt to stressful conditions like erratic heat waves. The project focuses on three newly discovered families of proteins that act as "cargo receptors" and mediate selective protein degradation in this process. These receptors help identify and deliver specific damaged proteins to the autophagy machinery for degradation. The main goals of the project are: 1. Characterize the Role of New Cargo Receptors: We will study how these newly identified receptors interact with the autophagy machinery and how they are recruited to the sites of damage during heat stress. We will also perform structure-function analaysis of these proteins to identify specific regions that are crucial for their function. 2. Identify the Cargo: We will identify which damaged proteins are targeted by these receptors during heat stress. This will help understand why certain proteins become harmful under stress and how they are selectively removed. 3. Test Physiological Relevance: We will use genetic tools to create plants that lack these receptors and study how they perform under heat stress. This will show whether these receptors are essential for plant survival during extreme temperatures. 4. Understand Regulation: We will explore how the activity of these receptors is controlled to prevent them from degrading healthy cellular components, ensuring that autophagy is only activated when needed. By the end of the project, we will have a detailed understanding of how these receptors help plants survive heat stress. This knowledge could be used to develop crops that are more resilient to climate change, ultimately helping to secure global food production in the face of rising temperatures.</t>
  </si>
  <si>
    <t xml:space="preserve">This grant concerns fundamental plant cell biology (selective autophagy and heat stress tolerance) with no connection to alternative protein development, ingredients, or products.</t>
  </si>
  <si>
    <t xml:space="preserve">grant.14438511</t>
  </si>
  <si>
    <t xml:space="preserve">Amyloid fibrils spherulites as sustainable replacements for microplastics</t>
  </si>
  <si>
    <t xml:space="preserve">Plastic pollution has escalated into a critical environmental crisis, affecting ecosystems worldwide and infiltrating the food chain to a point where microplastic particles are not only detected in virtually every corner of the planet1, but also in human blood2 and placenta3. Microplastics, including microbeads used in personal care, cosmetics, and detergent products, contribute significantly to this pollution, posing threats to health and biodiversity1,4–6. They are employed for their texturing, stabilizing, and viscosity-modifying properties, yet their persistence in the environment underscores the urgent need for sustainable alternatives7–9.Spherulites, which are microscopic spherical aggregates found in polymers, minerals and biological formations10,11, could be a promising solution to this challenge, When originating from renewable and biodegradable resources, spherulites could potentially be a sustainable replacement to microplastics and microbeads. Interestingly, they can be also formed through the self-assembly of protein amyloid fibrils, a process previously observed in only few animal-based protein systems such as bovine insulin12, beta-lactoglobulin13, and amyloid-beta peptides14. Despite the recognized potential of these materials, the reliance on expensive animal-sourced proteins limits their scientific interest and applicability, raising concerns about sustainability and ethical sourcing.Recent discoveries have shed light on the amyloidogenic potential of several different plant proteins15–17, potentially expanding the palette of materials available for the formation of environmentally friendly spherulites based on pea, zein, hemp, oat, chickpeas, soy, rapeseed to name a few. However, while this recent research proved that the formation of amyloids from plant sources is possible, the effects of incubation conditions on the self-assembly behavior of these proteins remain completely unexplored territory. In fact, it is well known that small changes in incubation conditions, such as protein concentration, pH, ionic strength, shear stress, etc.18,19, can dramatically affect the self-assembly behavior and the resulting structures at the single fibrils level but also at the microscopic level, like the ability of these nanofibrils to further self-assemble into spherulites20.  Amyloid fibrils, due to their unique self-assembling properties and structural robustness, have already been proposed as novel biopolymers for developing bioplastic films and coatings for packaging applications21, showcasing their versatility and potential in the field of sustainable materials. Despite their promising application in bioplastics, the specific role of amyloid fibrils in replacing microbeads and microplastics through further self-assembly at higher length scale levels e.g. spherulites, remains unexplored, presenting a significant opportunity for innovation to address the pervasive issue of microplastic pollution. This project pioneers the investigation into the formation of spherulites from plant-based amyloids, leveraging various incubation processes including modifications to pH, ionic strength, and interfaces to induce spherulite formation. Through a comprehensive exploration of these novel building blocks, plant-based amyloid spherulites, the project aims to understand their structural, functional, and application-oriented properties, with a focus on their potential to serve as sustainable alternatives to microplastics as well as advanced delivery systems. Specifically, the project will evaluate different plant-based spherulites, their phase behavior, the rheological properties of the resulting colloidal suspensions as well as their capacity to function as innovative drug delivery and controlled release systems for bioactive molecules. This research not only addresses the pressing issue of plastic pollution but also opens new avenues for sustainable material science, contributing to the development of green alternatives that align with environmental preservation and public health objectives.</t>
  </si>
  <si>
    <t xml:space="preserve">This research focuses on plant protein amyloid fibrils as sustainable replacements for microplastics and microbeads in personal care/cosmetics and drug delivery applications, not as alternative protein ingredients or products substituting animal-derived foods.</t>
  </si>
  <si>
    <t xml:space="preserve">grant.15147633</t>
  </si>
  <si>
    <t xml:space="preserve">Male reproduction and lifespan: the role of dietary sterols</t>
  </si>
  <si>
    <t xml:space="preserve">Aim: Understand why eating cholesterol boosts the lifespan of male flies when they mate, but not when they are celibate.
Hypotheses: Males lose sterols in sperm and seminal fluid when they mate. A lack of dietary cholesterol leads to sterol depletion, changes in hormone production, and early death.
Outcome: A step-change in understanding how reproduction determines male dietary needs to avoid early death.
Context: food, sex and death are intimately linked
Diets that boost reproduction can often accelerate ageing. Macronutrients (proteins, fats and carbohydrates) are well known to be important. Contrastingly, whilst we know micronutrients have key roles in biochemistry and cell biology, we know much less about their impact on fertility and ageing. There are a multitude of micronutrients, and each can vary in quantity and interact with other nutrients, making it hard to unravel their effects.
Challenge: understanding how dietary sterols and reproduction determine male lifespan
Cholesterol is a micronutrient and a type of sterol, chemicals that are found in all plants and animals. Animals use sterols to form hormones and cell membranes, and they are found in many tissues, including sperm and seminal fluid. In our recent experiments we made an unexpected discovery: dietary cholesterol makes male fruit flies (Drosophila melanogaster) live longer when they mate regularly, but not if they never mate (and in some scenarios even shortens lifespan). This experiment suggests that males prioritise sterols for reproduction over using them to maintain their body. Now we want to understand why this happens.
Aims
Our hypothesis is that males face a trade-off between using sterols for reproduction (in the ejaculate), versus survival.
Question 1. Do males lose sterols in sperm and seminal fluid when they mate, leading to harmful sterol depletion and reduced lifespan?
Question 2. Is disrupted hormone production, due to mating-induced sterol depletion, the cause of reduced male lifespan?
Objectives
To answer the questions we will:
1a) Track the movement of sterols from food to different body tissues, and the loss of sterols when males mate, using cutting-edge lipid mass spectrometry techniques.
1b) Reveal what causes males to need cholesterol when they mate frequently, using male flies that genetically lack sperm or seminal fluid, or the ability to absorb sterols normally.
2a) Manipulate hormone levels by replacing cholesterol with sterols that are less efficient at – or completely incapable of – being made into hormones
2b) Directly feed hormones to flies
Applications, benefits, and relevance to BBSRC priorities
The research underpins our fundamental understanding of the links between diet, reproduction and lifespan. Sterols have the same biological functions across animals, including humans (in the formation of cell membranes and hormones), proteins that move sterols around the body are very similar, and sterols are found ubiquitously in sperm and semen. Our work in flies will thus have wide relevance, including to human diseases such as hypercholesterolemia (and drugs that treat it) and different diet choices (e.g. vegan vs omnivore). Our findings will ultimately help us understand the role of dietary sterols in reproduction and healthy ageing in animals and people. The project will benefit from and develop a highly skilled existing team to work on leading-edge bioscience spanning core themes in BBSRC’s strategy: increasing healthy life expectancy; the biological mechanisms of health; and ageing, diet, nutrition, and health.</t>
  </si>
  <si>
    <t xml:space="preserve">This grant concerns fundamental research on dietary cholesterol and its effects on male reproduction and lifespan in Drosophila, with no connection to alternative protein development or substitution of animal-derived foods.</t>
  </si>
  <si>
    <t xml:space="preserve">grant.14752007</t>
  </si>
  <si>
    <t xml:space="preserve">Deciphering The spEcificities of polygalacTuronases from the parasitic plant Cuscuta campestRIS</t>
  </si>
  <si>
    <t xml:space="preserve">Parasitic plants infect other plants, including food crops, threatening food security. Parasitic plants use a specialised infection organ, the haustorium, to grow into their host plants, establish a vascular connection and exploit the host for water and nutrients. Effective protection against parasitic plants is currently lacking. Cuscuta campestris is a model system for parasitic plants due to its sequenced genome. It infects &gt;170 host plants (including tomato, soybean, potato and sunflower), causing e.g. 50-75% reduction in tomato yields. Cuscuta occurs worldwide in tropical to temperate regions, including France and Southern Scandinavia, and, in the face of climate change, is expected to expand its habitat even further. Polygalacturonases (PGs) degrade homogalacturonan and are essentially required during plant infection by pathogens. C. campestris possesses 65 putative PGs, of which several are specifically expressed in the haustorium with their specific functions unknown. Upon pathogen attack, host plants perceive cell wall breakdown products and pathogen PGs, which trigger defense responses including production of PG-inhibiting proteins (PGIPs).
Using the available genome and transcriptome data we will generate a comprehensive overview of the genes encoding the relevant C. campestris pectin hydrolytic enzymes. It is a logical assumption that part of the genes will encode enzymes for degradation of the host cell wall, tentatively under control of PGIPs to fine-tune enzyme specificity and action. Based on the overview generated the project partners will select a small number of Cuscuta PGs and PGIPs for piloting biochemical characterisation. We will then proceed to unravel the structural and biochemical specificities of PGs and PGIPs from Cuscuta and their putative co-evolution with endogenous (from parasitic plant) or exogenous PGs (from host plant or pathogens). This knowledge generated can identify novel targets for future host plant protection.</t>
  </si>
  <si>
    <t xml:space="preserve">This grant concerns the biochemistry of polygalacturonases in the parasitic plant Cuscuta campestris for crop protection purposes, with no connection to alternative protein development or production.</t>
  </si>
  <si>
    <t xml:space="preserve">grant.14951722</t>
  </si>
  <si>
    <t xml:space="preserve">Molecular structure and role of the synaptonemal complex in Arabidopsis thaliana – MOROSCO</t>
  </si>
  <si>
    <t xml:space="preserve">Accurate chromosomes segregation during meiosis depends on the formation of crossovers (COs) between homologous non-sister chromatids. The progressive designation and maturation of CO precursors occur within a proteinaceous structure called the synaptonemal complex (SC). The overall objective of the MOROSCO project is to decipher the structure and the role of the SC in plants. The SC is a highly conserved tripartite structure, however its components show limited sequence homology between species, rendering their identification difficult. Recently, through a screen based on transcriptomic data and structural bioinformatics based on the Alphafold2 (AF2) code, the first two plant proteins belonging to the central element of the SC were identified. SCEP1 and SCEP2 are two small coiled-coil proteins forming a complex that localizes at the center of the SC. Using high-resolution cytology, expansion microscopy, biochemistry and structural studies, the localization and the structure of SCEP1, SCEP2, and SCEP3 (recently identified) will be determined one in relation to the other and in regards to the other SC components. To identify more SC partners, the transcriptomic screen will be continued in A. thaliana. To better understand the contrasting observations of the impact of the SC on COs formation, the relationships between the SC and the proteins controlling CO maturation will be systematically examined in A. thaliana. Most of the SC proteins identified have a coiled-coil structure that could impact the performance of AF2 predicting the stoichiometry and specificity of their interactions. The likelihood of predicted interactions with AF2 will be robustly established, and structural models will be generated not only for A. thaliana, but also for alternative species such as mosses, green algae, or distantly related species, in order to capture how evolutionary pressures have exerted on the architecture of the SC.</t>
  </si>
  <si>
    <t xml:space="preserve">This grant concerns fundamental plant biology research on meiosis and chromosomal crossover mechanisms in Arabidopsis thaliana, with no connection to alternative proteins, food science, or protein substitution for human food applications.</t>
  </si>
  <si>
    <t xml:space="preserve">grant.14473603</t>
  </si>
  <si>
    <t xml:space="preserve">RE-IMAGINE-CROPS – A real-time mobile multimodal positron emission tomography and multiphoton endoscopic technology for REalistic in-field quantitative IMAGING of CROPS</t>
  </si>
  <si>
    <t xml:space="preserve">Sustainable agriculture strategies have become central to European and global orientations as the demand of food increases with the rising world population. Current technologies qualitatively drive the application of Nitrogen (N)-fertilizers to stressed field areas but cannot precisely modulate the needed amount, resulting in dangerous N dispersion, ecological and economic losses. RE-IMAGINE-CROPS envisions applying basic plant science into crop management by quantitative “in-field” measurements of biophysical processes occurring at tissue and cellular level. The consortium will implement the first real-time in-field portable multimodal multiscale Positron Emission Tomography (PET)-Multiphoton Endoscope (ME) technology. PET measures the metabolic processes in the crops at the scale of hundreds of micrometers, while guiding the ME system to visualize functional mechanisms at a cellular level. The aim is to tailor the amount of fertilizer to be used by enabling measurement of functional processes reflecting the local and systemic crop signal pathways triggered by N-fertilizer shortly after application.
RE-IMAGINE-CROPS involves real-time PET reconstruction, hydrodynamic modelling, optical fiber transmission optics, and features identification in multiple scales. It enables a new multimodal, mobile technology for the first time, with unprecedented spatial resolution (0.6 mm;1um) and real-time functionality at a rate of (2;10) Hz. These are enabled by a multimodal PET-ME tracer based on the Lifeact-Venus protein labeled with 89Zr. RE-IMAGINE-CROPS brings together eight institutions with leading scientists and cross-disciplinary expertise. Among them, EURO-BIOIMAGING ERIC and BFEDU, a large agrifood enterprise, will boost the impact and dissemination of this novel technology in to the European scientific and industrial landscape. On this basis, RE-IMAGINE-CROPS has the potential to support and shape the essential priorities in the EU’s future sustainable crop management.</t>
  </si>
  <si>
    <t xml:space="preserve">This grant concerns agricultural imaging technology for optimizing nitrogen fertilizer application in crops, with no connection to alternative protein development, plant-based foods, fermentation, or cultivated meat.</t>
  </si>
  <si>
    <t xml:space="preserve">grant.14949594</t>
  </si>
  <si>
    <t xml:space="preserve">Elucidating CO2-control of H+-ATPase traffic impacting climate responses</t>
  </si>
  <si>
    <t xml:space="preserve">The growth of plants is underpinned by fixing atmospheric carbon dioxide (CO2) and plays a crucial role as a carbon sink that helps mitigate global climate challenges. Stomata are the gates for gas exchange between the plant and the atmosphere and open to fulfil the demand of CO2 in photosynthesis. Photosynthesis sustains plant growth and powers all life on Earth. Stomatal control underpins the balance between carbon gain with water loss through the stomatal pore and is a focus for engineering of plant water use efficiency and carbon intake.
Each stoma comprises two guard cells around a central pore in the epidermis. Changes in guard cell volume, associated with osmotic ion and water transport, regulate pore aperture. As in all eukaryotes, vesicle traffic in guard cells determines the populations of transporters, altering transport capacity and adjusting membrane surface area for dynamic changes in guard cell volume during stomatal movements.
Plasma membrane H+-ATPases are primary transporters that energise membrane transport for stomatal movements. Studies from the past four decades suggest that H+-ATPase trafficking is an important factor in the regulation of their abundance and functions at the plasma membrane, but underlying mechanisms remained elusive. Our recent work suggests that Arabidopsis H+-ATPase AHA1 trafficking pathways affect stomatal responses to CO2 and that these pathways associate with at least one novel regulatory protein that binds the H+-ATPase. How does AHA1 trafficking sense CO2, and what is the impact on stomata? We propose here to resolve these challenges and to explore the novel components in the mechanics of membrane traffic control in eukaryotes.
Addressing these questions will build fundamental knowledge and facilitate a paradigm shift in thinking about membrane traffic and environmental responses feeding new strategies to safeguard crops. The project therefore falls within the remit of BBSRC Committee B (Plants, microbes, food and sustainability) and is relevant to the BBSRC's strategic priorities to "explore novel concepts that have the potential to transform our understanding of life" to gain fundamental knowledge that will aid in "improving efficiency through better understanding of relevant biological processes" and its applications to tackle "environmental and plant productivity" by offering insights to produce more robust crops to fulfil the "global demand for food" in a "challenging climate". The developments will therefore "provision national capabilities" and enable "scientific discovery" in plant biology. Our cross-disciplinary approach is facilitated by a diverse and experienced team, and we aim to build upon these strengths, developing cutting-edge research tools, and by offering training to staff and students at the forefront of research in the field. Thus, the project will facilitate BBSRC objectives "in creating and sustaining the conditions for dynamic, diverse and inclusive research". We anticipate to "build excellence in science" through a programme that underpins research that supports "technology development", "training" and "education" that meets BBSRC focus on people and training. We have established links with industrial/technology transfer partners, and as relevant, we will seek in the future to transfer the new knowledge into crops, and thus our efforts are timely and they underpin stated goals of the BBSRC in knowledge transfer for "sustainable agricultural productivity" in the face of global environmental change.</t>
  </si>
  <si>
    <t xml:space="preserve">This grant concerns fundamental plant biology research on stomatal CO2 responses and H+-ATPase trafficking in Arabidopsis, with no connection to alternative protein development, production, or applications.</t>
  </si>
  <si>
    <t xml:space="preserve">grant.15147812</t>
  </si>
  <si>
    <t xml:space="preserve">Green PROTACs – bringing targeted protein degradation to plants for rapid research progress</t>
  </si>
  <si>
    <t xml:space="preserve">Plants underpin many of the proposed climate change mitigation strategies and are crucial for improving food, energy and water security. Despite this, basic research in plants is hampered by effective tools to investigate and manipulate plant genomes and proteomes to observe impacts on plant biology. For example, ~20% of plant genes are “lethal” when mutated, precluding detailed development/trait analysis, while many more have such profound effects on plant growth that understanding the underlying biology is almost impossible. Many plants are also polyploid, meaning that genetic ablation and characterisation of even a non-lethal gene is time consuming and non-trivial. In addition, the study of many plant species is blocked by an inability to make transgenic organisms, either to introduce new traits or to perform genome editing, gene deletion or other genetic manipulations. In animal fields PROTACs have proved highly effective for targeted degradation of proteins on demand, for a specific window of time, to allow for investigation of any of these scenarios, and many more besides, but their use has not yet translated to the plant field.
PROTAC degraders are small, typically bi-functional, molecules that recruit ubiquitin ligases to degrade a specific protein. Based on existing chemistry, pilot work, and expertise at Dundee we propose to develop PROTACs that are effective in plants to enable basic and applied plant science research, and provide a grounding for future plant-specific PROTAC development. Through selection of highly conserved pan-plant ubiquitination systems, we envisage that this technology will be applicable across all plant lineages, greatly reducing costs, accelerating discovery, and democratising research. In the first instance we will develop PROTACs based on the “best in class” BromoTag system to allow for transient destruction of a protein, thereby enabling rapid examination of any protein’s function, at any life stage or in any scenario, in cultivars of a genetically tractable species (e.g., Arabidopsis, tomato, wheat, rice, potato, barley). We also aim to provide the tools and groundwork to quickly generate pan-plant PROTACs once a specific binder of a protein has been identified. This would, for example, enable mobilisation of genes from silent regions of chromosomes, or between species, to speed up beneficial trait analysis or enable transformation of any plant species, including those traditionally considered recalcitrant. This would reimagine and accelerate basic research, by enabling previously impossible experiments and analyses, while totally revolutionising the process of investigating plants and improving potential new crops.</t>
  </si>
  <si>
    <t xml:space="preserve">This grant concerns the development of PROTAC molecular tools for plant biology research (protein degradation, genome manipulation, trait analysis) with no connection to alternative protein production or food applications.</t>
  </si>
  <si>
    <t xml:space="preserve">grant.14523096</t>
  </si>
  <si>
    <t xml:space="preserve">CRISPS: Editing Sustainable and Innovative Potatoes for Switzerland</t>
  </si>
  <si>
    <t xml:space="preserve">Potato production in Switzerland and worldwide faces multiple major challenges affecting food security, the agricultural sector, environment, and biodiversity. Climate change, for example, increases heat and drought stress frequencies reducing potato yield and quality. It also favours new pathogens such as Alternaria solani (early blight) to the already existing ones such as Phytophthora infestans (late blight). Rapidly changing regulations on plant protection restricting the use of pesticides to protect the environment are especially challenging since potato production in Switzerland requires large quantities of pesticides: 55 tons of fungicides and 32 tons of insecticides are applied per year to guarantee yield, farmers income and food security. All these factors combined impact Swiss potato production. Potatoes are grown by over 4,000 farmers on 10,700 hectares at an annual production average of 350,000 tons, which almost entirely covers domestic consumption. However, in 2023 drought and heat waves reduced total yields by 100,000 tons. Because of the increased challenges for potato cultivation in Switzerland, around 1,000 farmers have stopped cultivating potato over the last decade.The most important and most sustainable lever to reduce pesticide use and to improve climate change resilience in crops is breeding for improved varieties. However, cultivated potatoes have a complex tetraploid genome thereby complicating classical breeding approaches. Potato breeding using classical methods is inherently slow: breeding a new variety requires on average 12 years. Producing new varieties with classical methods thus cannot compete with the pace of climate change, appearance of novel diseases and regulations limiting the use of pesticides. This is where novel breeding techniques (NBTs) can be a game changer. Indeed, NBTs have produced numerous plants with improved disease resistance and drought tolerance, but concrete examples with potential applications in Switzerland and in the EU are rare. To readily produce NBT use cases, potato currently is the best crop since (1) the genome can be edited efficiently without the use of any foreign DNA, (2) protoplasts of potato plants can be edited entirely transgene-free for instance by using purified Cas9 protein, (3) plants can be regenerated from these protoplasts (therefore from individual cells) making this crop highly amenable for the most advanced editing techniques (e.g., base editing and targeted gene knock-in), and (4) plants can efficiently be multiplied clonally without time-consuming seed production. These features make that, in the frame of this project, genome edited plants can quickly be edited and tested in field trials over several years. These excellent technical features combined with the fact that potato is one of the most important crops in Switzerland and the EU maximises the likelihood of obtaining results of high relevance for European agriculture and its stakeholders.The main reason for the lack of NBT use cases is their strict regulation which has great inhibitory effects on research, particularly when involving field trials, and on innovation by the private sector.  To the surprise of many researchers, the European Court of Justice decided that NBT-plants, even with only a single DNA base change, must be regulated like transgenic plants that contain a foreign gene. This is in stark contrast to the fact that plants with thousands of unknown random mutations resulting from mutagenesis are not regulated at all. Notably, the European Commission has now concluded that the current regulation is not fit for purpose anymore and has proposed a new approach to regulate NBT plants that do not contain foreign DNA.The aim of this proposed international collaboration is to bring together the core competences in transgene-free editing, targeted CRISPR/Cas9 mediated protein domain and promoter swaps, potato disease resistance, potato drought stress tolerance, genomics, bioinformatics and field testing to: 1.Generate genome edited events in potato varieties of importance to Swiss agriculture that will require less pesticides and/or that will be climate change resilient.2.Analyse the genetic changes in the edited lines at a genome-wide level to assess potential impacts on genome stability of the complete editing process, its trade-offs for applications and its consequences for biosafety.3.Grow genome edited potatoes in open fields at latest in 2026 in up to three countries for testing and demonstration purposes. These trials will serve as concrete use cases for partner NRP84 projects on biosafety, social sciences and regulation.This project will produce novel potato editing events, innovate cisgene knock-in methods and comprehensively study specific use cases that have the potential to result in actual potato breeding lines that could, if regulations permit, be quickly adopted in Swiss and EU agriculture to the benefit of farmers, consumers, and the environment.</t>
  </si>
  <si>
    <t xml:space="preserve">This grant concerns agronomic and genomic research on potato crop improvement (disease resistance, drought tolerance, pesticide reduction) using CRISPR/NBT breeding techniques, with no connection to alternative protein development or animal product substitution.</t>
  </si>
  <si>
    <t xml:space="preserve">grant.14932314</t>
  </si>
  <si>
    <t xml:space="preserve">Unraveling the molecular mechanisms involved in the regulation of iron-mobilizing coumarins biosynthesis, trafficking and secretion</t>
  </si>
  <si>
    <t xml:space="preserve">Iron (Fe) is an essential micronutrient for the productivity of crops and the quality of their derived products. Fe is also the most deficient mineral nutrient in human diet. Decrypting the molecular mechanisms plants have evolved to acquire Fe from the soil is essential for improving their capacity to absorb and store Fe, which will help to provide adequate dietary Fe to the growing global population. The secretion in the soil of root-borne coumarins has emerged as a key factor affecting Fe uptake in non-grass species. The mechanisms by which Fe mobilizing coumarins biosynthesis, trafficking and secretion is regulated is still not well understood. Using an original bioinformatic pipeline, the candidate has identified conserved DNA-signatures in the promoter of key genes involved in this process in different plants species, including crops. The objective of this project is to identify and characterized in Arabidopsis the regulatory proteins associated with these DNA-signatures and determine their role in plant Fe nutrition. In work package 1 (WP1), the developed bioinformatic pipeline will be further used to enhance the detection accuracy of conserved potential regulatory DNA motifs present in the promoter of Fe-mobilizing coumarin genes. Candidate proteins interacting with the selected potential DNA motifs will be identified using in silico and in vivo approaches (WP2). Last, we will generate mutants in order to precisely define the role of each candidate identified. In vivo imaging of coumarin and candidate protein localization will be conducted to ascertain the role of each candidate in the spatiotemporal distribution of coumarins within the roots (WP3). The proposed project is both feasible and appropriate for a Marie Skodowska-Curie Individual Fellowship, since the expected outcomes are innovative and will generate knowledge for both fundamental and industrial research, while the candidate will improve his skills and knowledge in a specialized research area.</t>
  </si>
  <si>
    <t xml:space="preserve">This grant concerns the molecular mechanisms of iron-mobilizing coumarin biosynthesis and secretion in plants for improving dietary iron uptake, with no connection to alternative protein development or production.</t>
  </si>
  <si>
    <t xml:space="preserve">grant.14952003</t>
  </si>
  <si>
    <t xml:space="preserve">Sensing and systemic signaling of iron homeostasis in plants – IRONSENS</t>
  </si>
  <si>
    <t xml:space="preserve">Iron (Fe) is a limiting factor for crop yields and an important element in human diets. We (Taiwanese partner) have discovered two ways to enhance Fe accumulation in plants. The first one consists in increasing the expression of a family of peptides called IRONMAN (IMAs) involved in the signaling of the Fe status. This novel peptide family regulates Fe uptake by modulating the activity of specific E3-ubiquitin ligases which target for degradation via the 26S proteasome key bHLH transcription factors (TFs) involved in the regulation of Fe homeostasis. We have also identified a dominant mutation in a gene that encodes one of these TFs.  This allele constitutively activates Fe uptake by roots, and leads to an accumulation of Fe in all parts of the plant. We (French partner) have identified key TFs which play a central role in the regulation of genes involved in the response to Fe excess and Fe deficiency, including IMA genes and genes encoding TFs regulated by IMAs. This negative feedback loop controls the perception and regulation of Fe homeostasis at the cellular level as well as at the scale of the whole plant. We have also analyzed the proteins and peptides circulating from shoot to roots in the phloem sap of Fe-deficient plants, identifying several putative new Fe uptake regulators. Our goal is to characterize the molecular mechanism which kickstarts this regulatory loop, and to determine how this mechanism is leveraged by plants to fine-tune the entry of Fe into their roots. This will enable us to understand how plants can sense their Fe status and adjust its transport depending on their needs. Ultimately, we will identify new targets to develop Fe-enriched crops.</t>
  </si>
  <si>
    <t xml:space="preserve">This grant concerns fundamental plant biology research on iron homeostasis signaling mechanisms, with the goal of developing iron-enriched crops — not alternative protein development or substitution of animal-derived foods.</t>
  </si>
  <si>
    <t xml:space="preserve">grant.15054339</t>
  </si>
  <si>
    <t xml:space="preserve">Functional Ageing Nutrition Beverage Innovation (FANBI)</t>
  </si>
  <si>
    <t xml:space="preserve">Functional Ageing Nutrition Beverage Innovation (FANBI)
FANBI, led by YTR, seeks to tackle malnourishment among older adults by creating two high-protein milkshake powders in tea and cocoa (chocolate) flavours. Designed to mix seamlessly with milk or plant-based alternatives, these nutritional powders combine familiar, comforting flavours with advanced, functional ingredients to support muscle retention, cognitive health, and overall well-being. They will offer a natural, tasty alternative to synthetic fortified beverages commonly available on the market.
The tea-flavoured variety provides health-promoting antioxidants, which boost immune function and general wellness, while the chocolate-flavoured option provides a universally loved flavour profile. Complementing these core flavours, we will add secondary ingredients such as hemp and lion's mane mushroom enhance both sensory and functionality by introducing nutty and earthy notes along with additional benefits like omega-3 fatty acids and bioactives to support cognitive health.
A key innovation in the project is the inclusion of soluble, plant-based vitamin and mineral blends, providing a natural alternative to synthetic micronutrient fortification. This aligns with the clean-label approach of delivering effective nutrition in a format that appeals to the desire and health requirements of older adults.
Encapsulation technologies will be employed to preserve the potency and bioavailability of key nutrients and bioactive compounds, ensuring product stability and effectiveness throughout its shelf life. To maintain clean-label integrity, natural emulsifiers such as pectin and chia seed gel will be used to ensure smooth texture and consistency without synthetic additives.
The powdered format will offer convenience and flexibility, enabling older adults to easily prepare beverages suited to their dietary preferences and nutritional requirements. High-protein content addresses muscle loss, while balanced fat levels provide sustained energy release, making the innovation formulations and flavours ideal for this older demographic.
The project prioritises sustainability, sourcing key ingredients such as tea and hemp from Welsh producers, supporting local and ethical agriculture and ensuring premium quality. Collaborations with AberInnovation, Aberystwyth University, and other regional partners will provide cutting-edge research and technological expertise, fostering innovation in the Mid and North Wales agri-tech cluster. This project aligns with Welsh Government strategies, including the Sustainable Farming Scheme, Food and Drink Vision, and the Innovation Strategy for Wales.
By combining familiar flavours, natural health benefits, and sustainable practices, these milkshake powders provide a transformative solution for combating malnourishment in older adults. They aim to enhance nutrition, improve quality of life, and contribute to regional economic growth.</t>
  </si>
  <si>
    <t xml:space="preserve">This grant concerns nutritional supplement beverages for elderly malnourishment targeting medical/health nutrition needs, not alternative protein products substituting animal-derived foods; while plant-based ingredients are mentioned, the product is a fortified milkshake powder for medical nutrition rather than an alternative protein substitute.</t>
  </si>
  <si>
    <t xml:space="preserve">grant.14882741</t>
  </si>
  <si>
    <t xml:space="preserve">Alternative routes to deal with salinity</t>
  </si>
  <si>
    <t xml:space="preserve">Salt stress is a major abiotic stress that severely affects plant growth and development and represents one of the most prevalent causes of crop losses worldwide. Rising sea levels and irrigation cause an increase in salinization of soils. In order to ensure food security, we need to develop strategies to increase plant stress resilience. Therefore, it is of utmost importance to understand the molecular mechanisms of how plants perceive and adjust to high salinity. When plants are exposed to salt, different signaling pathways are activated, with developmental plasticity as a critical response. Initially, salt stress decreases root growth rates, but at later stages growth rates are partially recovered. These changes in root morphology are accompanied by dynamic transcriptional responses. An additional layer of gene regulation is alternative splicing, a mechanism that is increasingly recognized as highly relevant for plant responses to salinity. Alternative splicing describes the processing of a precursor mRNA into two or more variants by removing different intron segments. However, the key regulators involved in salt-regulated alternative splicing, their target genes and their contribution to local developmental plasticity and salt stress tolerance remain largely unknown. Using a phospho-proteomic approach, we identified four serine/arginine-rich (SR) splicing regulators (RS40, RS41, RS2Z32 and RS2Z33) that are specifically phosphorylated in response to either NaCl, Na+ (NaCl and NaNO3) or osmotic stress (sorbitol). These four proteins act as prime candidates for controlling salt-regulated alternative splicing. Therefore, this project aims to unravel the importance of alternative splicing for salt tolerance by studying the role of RS40, RS41, RS2Z32 and RS2Z33. First, I will characterize the role of these SR proteins in salt- and osmotic-stress tolerance using corresponding Arabidopsis knockout mutants. To study the specificity and timing of salt-regulated alternative splicing responses in roots, I will re-analyze RNA-seq data sets of the host laboratory. I will then proceed to identify global transcriptomic effects of selected SR candidates under control and salt stress conditions. Lastly, I will study how salt/osmotic-stress induced phosphorylation affect SR localization, splicing activity, and overall salt tolerance. Altogether, the goal is to gain new insights into salt-regulated alternative splicing by deciphering the molecular mechanisms and physiological functions of SR proteins.</t>
  </si>
  <si>
    <t xml:space="preserve">This grant concerns fundamental plant molecular biology research on salt stress tolerance mechanisms in Arabidopsis, with no connection to alternative protein development or production.</t>
  </si>
  <si>
    <t xml:space="preserve">grant.15155974</t>
  </si>
  <si>
    <t xml:space="preserve">Characterization of the Immune Response of Cassava Against the Ipomoviruses CBSV and UCBSV (CaVir)</t>
  </si>
  <si>
    <t xml:space="preserve">A severe virus disease of cassava caused by two distinct ipomo-viruses (fam. Potyviridae), the cassava brown streak virus (CBSV) and the Ugandan cassava brown streak virus (UCBSV) threatens cassava cultivation in Africa and the livelihood of millions of people. The viruses systemically invade all plant tissues and cause striking symptoms on leaves, stems and roots. When root tubers are developing, large areas of the tubers become necrotized and consequently, the tubers cannot be consumed. This is the main impact of the virus diseases. Cassava brown streak disease (CBSD) has become a significant threat to cassava regions in sub-Saharan Africa and globally, particularly due to the lack of virus-resistant cassava varieties and precise virus screening methods. In the Plant Virus Department of DSMZ, we have developed a robust phenotyping workflow and identified South American genotypes that exhibit broad immunity to all CBSD viruses. The goal of this research project is to characterize the immune response of cassava to U/CBSV. Building on my previous work, I am using genetic, molecular, and biological experiments to uncover the fundamental mechanisms of cassava resistance to U/CBSV. Through innovative methods, we are analyzing virus replication complexes (VRCs) and the interaction of host proteins with critical virus proteins to identify plant interaction partners (key genes) involved in virus replication and spread in plants. Insights and identified interaction partners obtained from the model plant Nicotiana benthamiana are transferred to cassava to analyze and functionally classify orthologous genes in resistant and susceptible lines. Our aim is to compare functional and dysfunctional (loss-of-function) conditions in resistant and susceptible cassava lines to understand virus replication in cassava and contribute to a mechanistic explanation of the immune responses of resistant cassava lines. These insights will be used to formulate new approaches for developing virus resistance, not only for cassava but also for virus diseases of other crops. We expect that the fundamental insights from virus studies with novel Ipomoviruses in cassava will have practical applications in breeding virus-resistant cassava varieties, significantly improving food security and economic stability in affected regions.</t>
  </si>
  <si>
    <t xml:space="preserve">grant.14951991</t>
  </si>
  <si>
    <t xml:space="preserve">NLR-mediated Resilient Immune responses under Elevated Temperature – NLResET</t>
  </si>
  <si>
    <t xml:space="preserve">Plant disease is a major threat to crop production. Plant immune receptors that belong to the nucleotide-binding leucine-rich repeat (NLR) family provide effective protection against specific pathogens. However, NLR-mediated immunity is often affected at elevated temperature, which is highly concerning in the context of global warming. Major advances have significantly enhanced our knowledge of how NLRs function and activate immunity, but the mechanisms by which NLR-mediated immunity is inhibited upon an elevation of temperature is not known.The aim of the NLReSET project is to investigate the impact of temperature on NLR function and identify heat-stable NLR-mediated immune responses to protect plant from disease under warmer temperatures. Disease resistance conferred by the Arabidopsis NLR pair RPS4/RRS1-R is impaired upon an elevation of temperature. We recently identified a thermostable natural pair variant, which creates a unique opportunity to decipher the molecular mechanisms underlying NLR thermotolerance. By using the natural diversity of Arabidopsis, we will expand this finding to identify novel thermostable NLR variants.We also found that immune responses induced by signaling TIR domain isolated from thermosensitive NLRs are intact under elevated temperature. In NLReSET, we will explore whether naturally occurring TIR-containing proteins can be exploited to induce autonomous thermoresilient immune responses.</t>
  </si>
  <si>
    <t xml:space="preserve">This grant concerns plant immune receptor (NLR) biology and disease resistance mechanisms in Arabidopsis under elevated temperatures, with no connection to alternative protein development or production.</t>
  </si>
  <si>
    <t xml:space="preserve">grant.14704320</t>
  </si>
  <si>
    <t xml:space="preserve">Study of the genetic diversity barley semi-dwarf forms from the VIR collection using various DNA marker systems</t>
  </si>
  <si>
    <t xml:space="preserve">Barley (Hordeum vulgare L.) is one of the main grain crops. It is used for food, feed and brewing purposes and is characterized by good adaptability to various growing conditions. Lodging resistance is one of the most significant economically valuable traits, the improvement of which is aimed at the selection of grain crops. Insufficient strength of the straw limits the potential yield of barley. Plants often lodge even in years favorable for growth and development. Crops lodging is one of the reasons for large crop losses. In various regions of the country, grain losses from 29 to 50%, and in some years up to 80% have been recorded. Early lodging has a greater effect on yield. Thus, in the Krasnodar Territory, when wheat plants lodge during the earing and grain filling period, losses reach 30%, in the milky ripeness phase - 20%, wax - 12% (Kovalev, Kasayeva, 1990). In the Non-Chernozem zone, E.D. Nettevich and A.V. Sergeev (1974) noted losses from lodging in barley during the heading phase at a level of 18–37%. This caused a deterioration in grain filling and the development of late fits, an increase covering content from 7.2 to 8.1%, a decrease starch content by 1.8%, thinness of grain, a decrease its sowing and technological qualities, germination and ability to germinate. In addition, in their opinion, when harvesting heavily lodged crops with a combine, up to 10–15% of the harvest remains in the field. Therefore, lodging-resistant varieties are of particular importance in modern breeding programs (Kovrigin, Zaushintsena, 2010). The solution to the problem of barley lodging resistance by breeding methods is associated,at first, with a decrease in plant height. Began in the 1950s-70s breeding of crops for lodging resistance used dwarfing and semi-dwarfing genes of various origins (Zilke, 2003). Semi-dwarfing genes played a decisive role in the Green Revolution in the 1960s; their use in crops significantly increased world food production (Hedden, 2003). More than 30 dwarfing and semi-dwarfing genes and loci have been identified for barley, including the following gene families: brachytic (brh), semibrachytic (uzu), slender 1 (sln1), breviaristatum (ari), erectoides (ert), semi-dwarf (sdw), slenderdwarf (sld) and densespike (dsp) (Dockter, Hansson, 2015; Xuetal, 2017). At least some of these genes are homologous to known dwarfing genes of other cereals. Thus, 97% homology is demonstrated by the sequences of the Sln1 barley and Rht-D1 common wheat genes (Chandler et al., 2002), and the sdw gene is an ortholog of the sd-1 rice gene (LINK). The most widely used dwarfing alleles in breeding programs are the sdw1/denso (HvGA20ox2), uzu1 (HvBRI1), and ari-e (HvDep1) genes.
A significant number of different types of molecular markers have been developed to identify different alleles of the dwarfing genes of barley. In particular, the alleles of the sdw1/denso, uzu1, and ari-e genes can be identified using KASP markers (Dang et al., 2020), InDel markers (Xu et al., 2017), or CAPS and dCAPS markers (Saisho et al., 2004; Teplyakova et al., 2017; Alabushev et al., 2020; Lukina et al., 2024).
The VIR world barley collection includes a large number of sources of semi-dwarfing and lodging resistance varieties. Based on the results of long-term observations, the VIR barley genetic resources collection includes more than 2,000 accessions with shortened straw, many of which are also resistant to lodging. The nature of this resistance is almost unstudied. On limited samples, the sdw1 gene alleles (sdw1.a/sdw1.e, sdw1.c and sdw1.d) and the uzu1 gene allele (uzu1.a) were identified (Teplyakova et al., 2017; Alabushev et al., 2020; Lukina et al., 2024). As part of this project, we intend to analyze lodging resistance and short-stemmed barleyaccessions from the VIR collection using molecular markers, including those developed by us.
The proposed project assumes:
1. Using in silico analysis methods, the sequences of the sdw1/denso, uzu1 and ari-e genes in the barley pangenome will be studied; new alleles of these genes will be identified for the first time. Allele-specific markers will be developed for their identification.
2. For the first time, data will be obtained on the allelic composition of the sdw1/denso (HvGA20ox2), uzu1(HvBRI1) and ari-e (HvDep1) genes in a number of spring barley samples (at least 500 samples) from the VIR collection using various types of DNA markers known from the literature and developed by us independently (at least five markers).
3. For the first time, the natural polymorphism of the Sln1 gene, an ortholog of the Rht-D1 gene of common wheat, will be studied using in silico analysis of barley pangenome sequences, as well as CAPS analysis and direct sequencing. Based on the results, InDel/CAPS/SCAR markers will be developed for rapid identification of the identified alleles.
4. The set will be structured based on the allelic composition of the identified dwarfism genes in the samples; phenotyping of the samples from each group will be carried out for plant height and lodging resistance. New information will be obtained on the influence of different allele variants on plant height.
5. Additionally, the samples of the structured set will be evaluated for such economically valuable traits as yield and protein content.
6. Parental pairs containing different alleles of one gene or alleles of different dwarfism genes will be selected. Different combinations of crossings will be carried out (at least 8).
7. The presence of alleles of the parental forms will be confirmed in the obtained hybrids, after which phenotyping will be carried out. New data will be obtained on the mutual influence of the alleles of the dwarfism genes when they are combined in one genotype.
8. As a result, the VIR barley collection will contain sources of economically valuable traits (resistance to lodging, yield, protein content), characterized by the allelic composition of the genes for short stem growth.</t>
  </si>
  <si>
    <t xml:space="preserve">This grant concerns agronomic and genetic research on barley lodging resistance and dwarfing genes, with no stated application in alternative protein products or ingredients.</t>
  </si>
  <si>
    <t xml:space="preserve">grant.15059572</t>
  </si>
  <si>
    <t xml:space="preserve">Ervilha tolerante ao calor e à seca com qualidade nutricional melhorada para uma agricultura mais resiliente ao clima</t>
  </si>
  <si>
    <t xml:space="preserve">A segurança alimentar e nutricional enfrenta ameaças significativas devido aos impactos adversos das alterações climáticas no sistema agrícola. As altas temperaturas e o stress hídrico são dois fatores ambientais críticos que afetam vários processos fisiológicos nas plantas, levando, em última instância, à diminuição da produtividade das culturas. Apesar da importância de compreender os efeitos simultâneos de ambos os stresses, que são os que ocorrem com mais frequência em condições de campo, os estudos que se centram no impacto desses stresses para a fisiologia das culturas e suas consequências na produtividade e qualidade nutricional são muito mais escassos do que os que se focam nas respostas das culturas aos stresses individuais [P1, P2; 1]. As leguminosas são uma fonte de proteína acessível e oferecem vários benefícios ambientais: menor emissão de gases com efeito estufa, uso mais eficiente de água, melhores condições do solo e menor quantidade de fertilizantes e pesticidas utilizados [2]. A União Europeia incentivou assim a sua inclusão através de iniciativas como a Política Agrícola Comum (PAC) e a Estratégia do “Prato ao Campo”. A ervilha ( Pisum sativum ) é a segunda matéria-prima mais utilizada no mercado à base de plantas, mas é sensível ao stress térmico, exigindo condições de temperatura específicas para um crescimento ótimo [3].. Além disso, a ervilha é sensível ao stress hídrico, conforme revisto recentemente peça nossa equipa [P4]. Portanto, o aumento das temperaturas e o aumento da frequência de eventos de seca ameaçam a sua produção, uma vez que as cultivares atuais estão inadequadamente adaptadas para lidar com esses eventos stressantes, colocando em risco a segurança alimentar e nutricional [4]. Deste modo, é imperativo explorar como a ervilha responde a esses stresses e é afetadas por eles, especialmente no que respeita à sua qualidade nutricional, o que tem recebido menos atenção em comparação com os efeitos causados na produtividade das culturas, para que estratégias de mitigação possam ser encontradas. A diversidade genética pode desempenhar um papel crucial nesse sentido, com os parentes selvagens a desempenharem um papel especialmente relevante no desenvolvimento de variedades resilientes às alterações climáticas [5]. Variedades selvagens de ervilha como P. sativum subsp. elatius e P. fulvum oferecem fontes potenciais de resistência ao stress térmico e hídrico, proporcionando oportunidades para melhoramento genético [P4; 6].
Tendo em consideração essas lacunas no conhecimento, o projeto HEAT-DRY visa abordá-las ao i) identificar como as plantas de ervilha respondem aos stresses combinados de calor e seca ao nível morfofisiológico e bioquímico; ii) investigar o impacto desses stresses nos parâmetros nutricionais; iii) explorar as vias metabólicas afetadas pelos stresses combinados de calor e seca, identificando genes-chave envolvidos na regulação da qualidade da semente sob tais condições stressantes; e iv) avaliar se existe variabilidade genética nessas respostas entre a ervilha domesticada e selvagem. Ao compreender as respostas da ervilha ao stress calor e água, especialmente em termos de qualidade nutricional, o HEAT-DRY visa contribuir com conhecimento para o desenvolvimento de variedades de ervilha mais resilientes que sejam capazes de suportar cenários climáticos futuros. Isso está alinhado com vários Objetivos de Desenvolvimento Sustentável (ODSs) das Nações Unidas, incluindo garantir o acesso a alimentos seguros e nutritivos para todos (ODS 2), combater as mudanças climáticas e seus impactos (ODS 13) e contribuir para a conservação e uso sustentável dos ecossistemas terrestres e da biodiversidade (ODS 15).
A nossa equipa da UCP tem se concentrado em abordar os problemas das alterações climáticas no setor agrícola [2,7,8], tendo dedicado um extenso trabalho à caracterização do perfil nutricional das leguminosas [2, 9, 10], às respostas das culturas a stresses ambientais [P1-P4; 10-15], e ao papel da diversidade genética para enfrentar tais desafios [P3, P4, P5; 13,15]. O projeto envolve uma equipe multidisciplinar com expertise em nutrição (CS, MV),  avaliação de respostas a stresses (JM, MNS), fisiologia e bioquímica vegetal (JM), genética (CS, JM, MNS) e metabolómica (MNS), reunindo seus conhecimentos para abordar os objetivos do HEAT-DRY.</t>
  </si>
  <si>
    <t xml:space="preserve">This grant focuses on agronomic research on pea (Pisum sativum) tolerance to heat and drought stress and its effects on crop physiology and nutritional quality, with no stated application in alternative protein product development — despite mentioning peas as a plant-based market ingredient, the research is general agronomic/crop science without explicit alternative protein application.</t>
  </si>
  <si>
    <t xml:space="preserve">grant.14959715</t>
  </si>
  <si>
    <t xml:space="preserve">Phosphorylatie-gemedieerde regulatie van COI1 stabiliteit in reactie op hitte stress in tarwe</t>
  </si>
  <si>
    <t xml:space="preserve">Klimaatverandering heeft een grote impact op de groei en productiviteit van gewassen. Om de thermotolerantie van gewassen te verbeteren, is het cruciaal om de moleculaire en biochemische processen te begrijpen van hoe planten temperatuurveranderingen waarnemen en erop reageren. Het is geweten dat jasmonaat (JA)-signalering een belangrijke rol speelt bij temperatuurresponsen, dat verbeterde JA-signalering bijdraagt aan koude/hitte tolerantie, en dat JA betrokken is bij (temperatuur-gereguleerde) openen/sluiten van huidmondjes. Onze resultaten tonen aan dat hitte de defosforylering van het tarwe-eiwit TaCOI1-1D, een jasmonaat receptor, induceert. Bovendien hebben we aangetoond dat deze defosforylering een rol speelt bij thermotolerantie en op basis van onze voorlopige gegevens stellen we voor dat deze fosforylering de abundantie van het TaCOI1-1D eiwit beïnvloedt. Het project zal plantenfosforylering-gemedieerde signalering binnen de onderzoeksgroep van Prof. De Smet combineren met JA-gerelateerde expertise van Prof. Goossens en tarwe-abiotische stress-expertise van Prof. Xin om de volgende kernvragen aan te pakken: (1) Welk E3-ligase controleert de abundantie van COI1?, (2) Welk kinase reguleert de fosforylering van COI1?, en (3) Hoe controleren temperatuurgevoelige COI1-fosforylering en abundantie thermotolerantie in tarwe? Onze resultaten zullen bijdragen aan het verbeteren van gewastolerantie tegen extreme temperaturen om de toekomstige voedselzekerheid te waarborgen.</t>
  </si>
  <si>
    <t xml:space="preserve">This grant concerns molecular signaling (jasmonate receptor phosphorylation) in wheat for heat stress tolerance, which is general agronomic/crop science research with no connection to alternative protein development or production.</t>
  </si>
  <si>
    <t xml:space="preserve">grant.14933087</t>
  </si>
  <si>
    <t xml:space="preserve">BIO-BASED LONG LASTING SAFE AND SUSTAINABLE BY DESIGN SURFACE COATINGS FOR DEMANDING AND EXTREME CONDITIONS</t>
  </si>
  <si>
    <t xml:space="preserve">Surface coatings are essential for protecting materials and enhancing their functionality, but the reliance on fossil resources necessitates safer, sustainable alternatives that maintain high performance while reducing environmental impact. To address these challenges, BLUECOAT will develop 12 safe, sustainable, bio-based, and low-carbon emission coating formulations for the marine, textile, and construction sectors that are challenging and demanding conditions for coatings. The project will explore 4 bio-based feedstocks: bio-derived polymers, natural fibres, bioplastics, and plant-based proteins, to develop 6 optimized coatings consisting of bio-based PU, bio-based silicone, PLA, natural fibres with antimicrobial agents (such as chitosan and curcumin), and encapsulates with Phase Change Materials (PCM). BLUECOAT formulations will cut GHG emissions by 45% and minimize Volatile Organic Compounds (VOC) while delivering superior performance under industrially relevant conditions (TRL 5). BLUECOAT solutions will provide antifouling and anti-corrosion protection for ship hulls, weatherproof, antimicrobial, and durable features for outdoor technical garments, and flame-retardant and antifungal for insulation boards in marine, textile, and construction sectors, respectively. 
The BLUECOAT’s vision is to establish a suite of comprehensive Safe-and-Sustainable-by-Design criteria guiding the development of bio-based coatings throughout their lifecycle, emphasizing circularity, energy and resource efficiency. The project will conduct the ex-post environmental assessment, techno-economic feasibility of scaling potential products, socioeconomic impact analysis for ensuring sustainable market adoption and long-term viability of the developed coatings. It will also explore End-of-Life strategies like biodegradability and recycling to extend material utility and support sustainable practices.</t>
  </si>
  <si>
    <t xml:space="preserve">This grant concerns bio-based surface coatings for marine, textile, and construction sectors; while plant-based proteins are mentioned as one feedstock, the application is industrial coatings, not alternative protein products for human food.</t>
  </si>
  <si>
    <t xml:space="preserve">grant.15146180</t>
  </si>
  <si>
    <t xml:space="preserve">Ontrafelen van de post-translationele regulatie mechanismen gedurende mitochondriale retrograde regulatie in planten.</t>
  </si>
  <si>
    <t xml:space="preserve">Zonder een vecht-of-vluchtreactie moeten planten zich voortdurend aanpassen aan bedreigende omgevingen. Door de klimaatverandering zal de beschikbaarheid van voedsel afnemen terwijl de vraag naar voedsel toeneemt waardoor de nood aan stressbestendige gewassen toeneemt. Mitochondriën blijken een belangrijke rol te spelen in de reactie van planten op omgevingsstress door middel van mitochondriale retrograde regulatie (MRR). Vanwege hun cruciale rol in verschillende cellulaire stofwisselingsprocessen nemen mitochondriën een uitstekende positie in om celdisfunctie waar te nemen en MRR te moduleren om veranderingen in de nucleaire genexpressie van responsieve genen te triggeren. Een groep endoplasmatisch reticulum (ER) membraan-geankerde NAC-transcriptiefactoren (TFen) werd eerder geïdentificeerd in MRR. Bij mitochondriale verstoring komen deze TFs vrij uit het ER-membraan en transloceren vervolgens naar de celkern. Het is echter nog onbekend welke upstream signalen en welke specifieke trigger het vrijkomen van deze TFen uit het ER moduleert. Omdat bekend is dat post-translationele modificaties (PTMs) snelle regulatie van regulerende eiwitten mogelijk maken, wil ik in dit project de post-translationele regulatiemechanismen van deze ER-gekoppelde NAC TFen ophelderen. Dit zal ons huidige beperkte begrip van hoe mitochondriën signalen doorgeven aan andere organellen, zoals het ER, om veranderingen in de celkern teweeg te brengen tijdens stressresponsen bij planten, vergroten.</t>
  </si>
  <si>
    <t xml:space="preserve">This grant concerns plant mitochondrial stress signaling and post-translational regulation of NAC transcription factors, with no connection to alternative protein development, food applications, or protein extraction.</t>
  </si>
  <si>
    <t xml:space="preserve">grant.15147690</t>
  </si>
  <si>
    <t xml:space="preserve">Next-Generation High Resolution Mass Spectrometry at the University of Edinburgh</t>
  </si>
  <si>
    <t xml:space="preserve">Proteins are the workhorses of life; they are the molecules that carrying out most of the essential functions inside our cells that keep us alive. Many of these proteins don't work alone; they associate together with other proteins and small molecules (such as vitamins and lipids) in intricate partnerships called protein complexes. Additionally, the biological function of protein complexes is often tightly controlled by the presence or absence of specific partners within the complex or chemical modifications on key proteins. To fully understand how life works at the molecular level we need scientific techniques to study protein complexes to:
 Identify the individual members within a complex.
Understand how these complexes are assembled and how different members of the complex interact with each other.
Determine how the activity of a complex is controlled and regulated. 
Mass Spectrometry (MS) is one analytical technique which has proven to be a powerful tool for addressing these challenges. New technology advances in the last few years now mean that the latest MS instruments can study larger protein complexes with more speed and sensitivity as well as gain more detailed information about the chemical modifications of individual proteins within complexes. Here we invest in the latest-generation mass spectrometer at the University of Edinburgh. The enhanced features of this new instrument will enable us to perform experiments that have previously been impossible, enabling us to break boundaries in biological research.
Our team comprises research technical professionals (RTPs) as well as academics/researchers from all career stages. Our RTPs are expert in using mass spectrometry to create new approaches to study biological molecules and have the required technical skills and experience to realise the full potential from the new capabilities of this next-generation instrument. The mass spectrometer will be housed in the School of Chemistry’s Scottish Resource Centre for Advanced Mass Spectrometry (SIRCAMS), a facility that has been at the forefront of biological mass spectrometry for two decades.
Researchers will work closely with RTPs to apply this new technology to help understand how proteins and protein complexes work in areas which are key strategic priorities for BBSRC: e.g.
improving our understanding of health and healthy aging, e.g. by investigating the formations of large protein complexes that occur in neurons and how these contribute to neurodegenerative diseases such as Alzheimer’s and Parkinson’s Disease.
developing innovation in renewable resources and clean growth, e.g. to study proteins engineered to include unnatural building blocks that can perform chemical reactions not seen in nature, as an alternative to traditional less sustainable approaches.  
advancing research in sustainable agriculture and food production, e.g. to study and engineering the key protein complex in plants that performs photosynthesis in order to increase crop productivity.
After installation, we will make this new technology available to the wider research communities, e.g. other academics institutions in Scotland and the North of England as well as partners from industry, ensuring maximum wide-reaching national impact. In implementing this project, we will train and mentor our RTPs in advanced technical skills and support and educate the next generation of bioscience researchers.</t>
  </si>
  <si>
    <t xml:space="preserve">This grant concerns general mass spectrometry infrastructure for biological research (neurodegenerative diseases, photosynthesis, protein complexes) with no focus on alternative proteins or substitutes for animal-derived foods.</t>
  </si>
  <si>
    <t xml:space="preserve">grant.14083713</t>
  </si>
  <si>
    <t xml:space="preserve">Crosstalk between stress, energy signalling and the chloroplast</t>
  </si>
  <si>
    <t xml:space="preserve">Given their sessile nature, plants are frequently exposed to a wide range of abiotic stresses, negatively impacting plant growth and agricultural yields worldwide. This is aggravated by the increased frequency, duration and intensity of stressful environmental events due to global climate change. Thus, understanding plant responses to stress is essential to guarantee the development of novel plant varieties and agronomic practices that can better safeguard our food security.
Chloroplasts are the organelles in plant cells responsible for photosynthesis. Many abiotic stresses have a strong effect on the chloroplast proteome, with photosynthetic proteins being particularly sensitive. Remodelling of the chloroplast proteome in response to stress reduces photosynthetic capacity, possibly as a strategy to prevent further oxidative damage. However, despite the severe detrimental effect on chloroplast function, not much is known about the molecular players and pathways involved in these stress responses.
In this project, we will investigate how the SUCROSE NON-FERMENTING1 (SNF1)-RELATED KINASE1 (SnRK1) impacts on chloroplast biogenesis and maintenance. SnRK1 is a central player in plant stress responses and metabolic homeostasis, and several independent observations indicate that this protein kinase targets the chloroplast as part of the stress response. Specific objectives will focus on (i) assessing how chloroplast function is affected by genetic disruption of SnRK1; (ii) validating protein-protein interactions between this kinase and established components of the chloroplast protein import machinery; and (iii) assessing the physiological relevance of the newly identified molecular links between SnRK1 and the chloroplast.</t>
  </si>
  <si>
    <t xml:space="preserve">This grant concerns fundamental plant stress biology and chloroplast function, with no connection to alternative protein development, protein extraction, or food applications.</t>
  </si>
  <si>
    <t xml:space="preserve">grant.14715748</t>
  </si>
  <si>
    <t xml:space="preserve">Structural and functional basis of the regulatory role of MDL proteins in plant and human immunity</t>
  </si>
  <si>
    <t xml:space="preserve">The chemokine-like cytokine macrophage migration inhibitory factor (MIF) is a prominent disease marker and pivotal mediator of human inflammatory and immune diseases. Despite progress in the discovery of MIF receptor pathways, translational applications and a comprehensive mechanistic understanding of MIF’s pathobiology are incomplete. Strikingly, MIF is a highly conserved protein found across all kingdoms of life, including plants. The elucidation of the structural and functional properties of MIF proteins from plants could help to understand disease mechanisms of human MIF. However, MIF orthologs in plants remain poorly studied. In the context of our previous project X-KINGDOM-MIF, we have begun to characterize immune-related functions of MIF/D-DT-like proteins (MDLs) from the model plant A. thaliana and to study cross-kingdom structure-function specificities between human MIF and MDLs. In addition to an initial in planta analysis of MDL proteins in Arabidopsis including the identification of potential MDL interactors, key findings were the elucidation of the 3D structure of all three MDL proteins and the identification of synergistic interactions of human MIF and plant MDLs on human receptor activation. Capitalizing on these findings, the overarching goal of our proposal will be to scrutinize the mechanisms of how MDLs modulate immunity, both in a cross-kingdom manner at the interface with the human/mammalian immune system and in plants themselves. We will deepen the mechanistic understanding of the MIF-MDL interplay in the context of mammalian immunity, elucidate the mechanism and structural determinants of MIF/MDL synergism on the MIF receptors CXCR2 and CXCR4, and define the role of synergism in vivo. On the other hand, we aim to explore the role of MDL proteins in plant immunity. Another objective will be to identify the natural enzymatic substrate(s) of the tautomerase cavity both for human MIF and plant MDLs using untargeted snapshot metabolomics. Lastly, our prior results from the model plant Arabidopsis will be expanded to MDLs from eatable plants such as tomato to test the hypothesis that food-based MDLs may interact with MIF to modulate human immunity. All aims will benefit from the expertise and tools of both applicants, synergistically complementing plant and human biology expertise. In summary, our proposal will address key questions regarding the human-plant MIF cross-kingdom relationship and define their synergistic activities on molecular level, while testing its relevance in physiology and disease.</t>
  </si>
  <si>
    <t xml:space="preserve">This grant concerns the structural and functional biology of MIF/MDL immune proteins in plants and humans for medical/immunological purposes, with no connection to alternative protein development, food substitutes, or any alternative protein application.</t>
  </si>
  <si>
    <t xml:space="preserve">grant.14931173</t>
  </si>
  <si>
    <t xml:space="preserve">Advancing soybean cultivation through applied genomics: from and ideotype towards future cultivars</t>
  </si>
  <si>
    <t xml:space="preserve">Sója je díky svému vysokému obsahu proteinu a oleje strategická komodita, po které ve světě neustále stoupá poptávka. Se stoupající poptávkou a nedostatečnou produkcí sóji v EU stoupá i množství importované sóji do EU (více než 7 milionů tun, 07/2023-02/2024). Možnost vypěstovat větší množství sóji v rámci EU a omezit tak její dovoz by vedla ke zvýšení soběstačnosti a konkurenceschopnosti v produkci sóji, což je strategické, ale momentálně podhodnocené. Pro zvýšení produkce sóji v Evropě je nutná příprava variet vhodných pro středoevropské klima s požadovanými vlastnostmi elitních odrůd sóji. Ačkoli základní agronomické znaky a nutriční vlastnosti byly u sóji historicky charakterizovány, zdaleka ne všechny geny podmiňující fenotypy těchto znaků byly k dnešnímu dni identifikovány. Znalost genetické podstaty znaků je předpokladem šlechtitele k dosažení kýženého ideotypu sóji, který představuje kombinaci ideální architektury stonku, doby dozrávání (maturity group, MG), minimální pukavosti lusků, ideálních vlastností semen, maximálního výnosu atd. Jako rostlina krátkého dne však sója není snadno adaptovatelná do extrémních zeměpisných šířek dlouhých letních dnů (jako v ČR). Pro přípravu budoucích variet pro střední Evropu je nutné identifikovat veškeré geny podmiňující zejména ranost a výnos. Jednou z metod pro identifikaci oblastí genomu asociovaných s fenotypem je metoda Genome-wide association study (GWAS). Touto metodou byly identifikovány lokusy, v lepším případě kandidátní geny a v ideálním případě i konkrétní kauzální mutace (casual mutation, CM), které podmiňují změnu ve zkoumaném fenotypu. Pro přípravu nových odrůd sóji je esenciální minimalizovat oblast genomu vázanou s danou vlastností pro křížení, a to ideálně na konkrétní CM.</t>
  </si>
  <si>
    <t xml:space="preserve">This grant concerns general agronomic and genomic research on soybean cultivation (yield, maturity, pod shattering, adaptation to European climate) with no stated application in alternative protein extraction, processing, or product development.</t>
  </si>
  <si>
    <t xml:space="preserve">grant.15155866</t>
  </si>
  <si>
    <t xml:space="preserve">Uncovering the molecular components required for biosynthesising essential apiose-containing cell wall polymers</t>
  </si>
  <si>
    <t xml:space="preserve">Plant cell walls are essential for plant growth and development and supply key raw materials for many industrial applications and products. Pectins especially have common uses in food production and developing applications in biomedicine. Nevertheless, our understanding of how specific, essential pectins are made remains limited. Especially complex and unique cell wall polymers such as pectic rhamnogalacturonan II (RG II) and apiogalacturonan have been difficult to study since mutations in pectin-related genes are often lethal. This is why the production of these polymers remains poorly understood and most of the molecular players synthesising them remain unknown. This project aims to close this knowledge gap and uncover the molecular components required for biosynthesising the pectic polymers RG II and apiogalacturonan, since they both contain the rare cell wall sugar apiose. We will leverage our platform for the sensitive and high-throughput biochemical characterization of transport activities, probe the interactome of glycan biosynthesising proteins to define new players, then apply molecular genetics and live cell imaging to outline a framework for how these pectins are made. This research will substantially further our understanding of pectin biosynthesis and how plants produce cell walls, relevant for food, feed, medicine, construction and fuel.</t>
  </si>
  <si>
    <t xml:space="preserve">This grant concerns fundamental plant cell wall biology and pectin biosynthesis with no stated application in alternative protein products or substitution of animal-derived foods.</t>
  </si>
  <si>
    <t xml:space="preserve">grant.15201424</t>
  </si>
  <si>
    <t xml:space="preserve">The auxin degron: a necessary twist for plant life?</t>
  </si>
  <si>
    <t xml:space="preserve">Auxin is central for the life of land plants. Moreover, herbicides based on auxin are fundamental for global food security. The auxin system consists of a complex of a receptor protein, the auxin molecule, and a co-receptor protein of the Aux/IAA family. In the available crystal structures of this complex, a region of the co-receptor known as the degron is found as a loop filling the binding pocket. The heart of the degron is a sequence (GWPPV) conserved across land plants, and the degron is locked in place by the W-P bond being in the cis conformation giving a twist to form this loop.
In general, peptide bonds are almost always trans. Uniquely, our recent work showed that 50% of the unbound degron exists as the WcisP conformer. Our first hypothesis is that the flanking sequences of the degron contribute to the unusual stability of this WcisP bond, even though the sequence of amino acids around the degron region is predicted to be disordered.
Intrinsically disordered regions (IDR) are common in proteins and despite their lack of formal structure IDRs are essential for function. Our recent work has shown that the IDR of Aux/IAA17 exists as an ensemble of dissimilar conformations, offering a series of different surfaces for protein-protein interactions. The auxin co-receptor complex is part of a ubiquitin E3 ligase enzyme and ubiquitylation efficacy of many E3 ligases is determined not only by target binding, but also by cis-acting regulatory interactions. Our second hypothesis is that there are unknown regulatory proteins which bind to and promote certain structural elements in the IDR of the Aux/IAAs and affect auxin sensitivity.
Interestingly, the flanking sequences in the IDR around some auxin degrons have been associated with field resistance to auxin herbicides in several weeds, which is a serious threat to food sufficiency in some countries. Our third objective is to understand the molecular basis of these resistances and their durability outside selective pressure, so that we may promote the best compound stewardship practices. We will:
Use molecular dynamics simulations and receptor-binding assays to examine promotion of the cis bond in the degron. We will also establish how structural plasticity is supported by flanking sequences. This will identify the key to the molecular basis of auxin signalling which contributed to the ascent of land plants.
Use constructs of Aux/IAA IDRs fused with neonGreen fluorescent protein to identify interacting proteins using proteomics. This will discover cis-acting regulators of auxin-mediated signalling.
Mutations in several auxin herbicide resistances map to the degron region of weed Aux/IAAs. We will measure how degron plasticity, signalling efficiency and cis regulation affect fecundity with and without selective pressure of auxin herbicides. This will determine the molecular drivers behind the emergence of resistance-conferring mutations.
Combined, these WPs will give unprecedented insights into the biophysics, biochemistry and applied biology of the auxin degron and the role its IDR plays in auxin signalling. Moreover, this new understanding will provide a knowledge-rich rationale for future stewardship of synthetic auxins which currently have a global value as selective herbicides of close to $4 Bn a year.</t>
  </si>
  <si>
    <t xml:space="preserve">This grant concerns the molecular biology of auxin signalling and herbicide resistance in plants, with no connection to alternative protein development, production, or any alternative protein product.</t>
  </si>
  <si>
    <t xml:space="preserve">grant.14950170</t>
  </si>
  <si>
    <t xml:space="preserve">This grant concerns the molecular biology of auxin signalling and herbicide resistance in plants, with no connection to alternative protein development or production.</t>
  </si>
  <si>
    <t xml:space="preserve">grant.15156353</t>
  </si>
  <si>
    <t xml:space="preserve">ESI-Q-TOF mass spectrometer with ion mobility; UHPLC and MALDI-source</t>
  </si>
  <si>
    <t xml:space="preserve">The University of Hamburg is home to the Technology Platform Mass Spectrometry (TPMS) which integrates two core facilities. In order to support the research strategy of the Department of Chemistry, the Core Facility General Mass Spectrometry (CFMS) will be reinforced by the installation of two new mass spectrometers, coupled to liquid and gas chromatography respectively. Both devices are complementary and will be submitted in two separate applications. In this application, a quadrupole-time of flight (Q-TOF) mass spectrometer with ultra-high-performance liquid chromatography (UHPLC) and an interchangeable interface for matrix-assisted laser desorption ionization (MALDI) is requested to be set up at the CFMS. The instrument will be used primarily for research purposes by research groups focusing on proteomics and metabolomics and to a comparatively small extend for routine applications (approx. 5-10% share). The following specific research questions will be addressed using the instrument applied for: Non-targeted and targeted experiments with plant proteins to detect modifications from processing and from reactions with other plant constituents (e.g. oxidized secondary metabolites). Non-targeted metabolome studies of biological tissues. Non-targeted metabolomics of food for authentication (e.g. experimental proof of origin and of the production process). Top-down protein sequencing for protein-based research questions. Service measurements for reaction control from various research groups working in the field of chemical synthesis.</t>
  </si>
  <si>
    <t xml:space="preserve">This grant is for a mass spectrometry instrument acquisition for general chemistry research, and while plant protein processing is mentioned as one use case, there is no stated application in alternative protein product development or substitution of animal-derived foods.</t>
  </si>
  <si>
    <t xml:space="preserve">grant.15053559</t>
  </si>
  <si>
    <t xml:space="preserve">Designing a manufacturing facility of the future for cell cultivated products</t>
  </si>
  <si>
    <t xml:space="preserve">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</si>
  <si>
    <t xml:space="preserve">This grant explicitly concerns the design of manufacturing facilities for cell cultivated food products, directly addressing bioprocessing and scale-up challenges for cultivated meat/food, which is clearly within scope.</t>
  </si>
  <si>
    <t xml:space="preserve">Covers plant and animal cell culture, which makes it CC. </t>
  </si>
  <si>
    <t xml:space="preserve">grant.14932968</t>
  </si>
  <si>
    <t xml:space="preserve">Multiomics Profiling of Plants in Polluted Environments</t>
  </si>
  <si>
    <t xml:space="preserve">Rice is a staple food for over half of the world’s population, making it vital to understand how pesticides affect its growth, productivity, and resilience. Current research often relies on single-omics methods, such as metabolomics or transcriptomics, which provide limited insight of the complete picture of the metabolic pathways impacted by pesticides. As a result, the complex interactions and adaptive mechanisms in rice remain poorly understood. Multi-omics approaches offer the potential to reveal these intricate metabolic networks and regulatory mechanisms affected by pesticides.
The Multiomics Profiling of Plants in Polluted Environments (MPOPPE) Project aims to bridge this knowledge gap by investigating the molecular effects of commonly used pesticides on rice through an integrated analysis of transcriptomics, proteomics, and metabolomics. MPOPPE will examine gene expression changes, identify responsive proteins, and track metabolic alterations in rice plants exposed to selected pesticides. The project’s primary focus is to uncover the molecular pathways involved in stress response and detoxification mechanisms in rice.
The MPOPPE project has three core objectives: (1) developing a multi-omics approach to elucidate plant adaptation and detoxification mechanisms in response to pollutants; (2) evaluating how diverse abiotic stress factors affect these mechanisms using multi-omics approaches; and (3) exploring the role of external detoxification agents in mitigating the harmful effects of pollutants on environmental systems.
This research is expected to provide critical data that can guide the development of integrated pest management strategies to improve rice yield and promote environmental sustainability by advancing sustainable agricultural practices.</t>
  </si>
  <si>
    <t xml:space="preserve">This grant focuses on multiomics profiling of rice responses to pesticides and stress, which is general agronomic/environmental research on a staple starch crop with no connection to alternative protein development or applications.</t>
  </si>
  <si>
    <t xml:space="preserve">grant.14083278</t>
  </si>
  <si>
    <t xml:space="preserve">Coordination of Photosynthetic Productivity by Phototropin Receptor Kinases</t>
  </si>
  <si>
    <t xml:space="preserve">The ability to enhance photosynthetic capacity remains a recognised bottleneck to improving plant productivity. Phototropin receptor kinases (phot1 and phot2) play an important role in this regard by coordinating multiple light-capturing processes that serve to maximise photosynthetic efficiency and promote growth. These include phototropism, chloroplast accumulation movement, leaf flattening and positioning. Leaf architecture is an important agronomic trait that can enhance photosynthetic capacity when plants are grown at high-density However, little effort has been made to target these pathways for improved biomass production as this requires a better molecular understanding of how phot receptor kinases signal from the plasma membrane to establish these distinct responses. Altering the abundance of phot signalling components has already proved successful in improving stomatal performance. Extending this approach to coordinate further enhancements in photosynthesis will require a deeper understanding of how phots optimise light capture through different light capturing processes. The substantial body of preliminary work outlined makes us uniquely placed to dissect and address key gaps in our knowledge regarding the early events associated with phot signalling and open new possibilities to manipulate photosynthetic productivity to meet a rising global demand for plant biomass. This proposal builds on our combined strengths in plant photobiology and our recent findings demonstrating that phots phosphorylate multiple members of the NPH3/RPT2-like (NRL) protein family through a common mechanism, with each NRL differing in their contributions to specific light-capturing processes. Directed proteomic approaches have also uncovered the identity of new interaction targets that are important for NRL signalling and for regulating NRL action/subcellular localisation through dynamic changes in protein phosphorylation. The aim of this project is to elucidate the functional consequences of NRL phosphorylation and better understand how specific NRLs contribute to establishing different light-capturing responses. The outcomes of this work will not only advance our knowledge of the underlying mechanisms involved but will provide new opportunities to alter the abundance of specific regulatory components for yield improvements through increased photosynthetic competence.
Technical Summary
Increasing plant yield by altering photosynthetic productivity to secure food, energy and environmental sustainability remains a key challenge. Phototropin receptor kinases (phot1 and phot2) play and important role in this regard as they are pivotal for optimising photosynthetic efficiency through a range of different light-capturing responses. This proposal focuses on characterising the function of a new, and poorly understood class of phot kinases substrates, namely NPH3/RPT2-like (NRL) proteins, which are conserved throughout the plant kingdom, building on builds on our combined our strengths in plant photobiology and our recent progress in demonstrating that phots phosphorylate multiple members of the NPH3/RPT2-like (NRL) protein family through a common mechanism, with each NRL differing in their contributions to specific light-capturing processes. Moreover, our directed proteomic approaches have uncovered new interaction targets that are important for NRL signalling and for regulating their action/subcellular localisation through dynamic changes in protein phosphorylation. In this project, we specifically, we aim to: (1) determine how newly identified GTPase targets contribute to NRL signalling and dissect how reversible phosphorylation by type 2C/2A phosphatases and additional kinases impacts phototropic responsiveness; (2) elucidate how NRLs coordinate chloroplast movements through the interactions with factors impacting actin reorganisation and how type 2C phosphatase regulate these processes; (3) resolve how different NRLs contribute to leaf architecture, an important agronomic trait; (4) identify causative mutations in newly isolated suppressor mutants to gain information on additional signalling factors controlling leaf architecture; (5) harness the knowledge gained from this work to test new strategies to improve photosynthetic performance through targeted overexpression of factors central to regulating phot signalling.</t>
  </si>
  <si>
    <t xml:space="preserve">This grant concerns fundamental plant photobiology research on phototropin receptor kinases and photosynthetic efficiency, with no connection to alternative protein development, ingredients, or products.</t>
  </si>
  <si>
    <t xml:space="preserve">grant.14951732</t>
  </si>
  <si>
    <t xml:space="preserve">Dissect the specificity of ORP3 in lipid trafficking and autophagy throughout plant development and plant response to stress – ORPhagy</t>
  </si>
  <si>
    <t xml:space="preserve">Macroautophagy consists in the formation of specialized double membrane vesicles (autophagosome) that engulf and deliver cell components to the lytic vacuole for degradation. Autophagosomes form de novo through a multistep process carried out by a dedicated machinery (ATG proteins). Upon mere hours of autophagy induction, thousands of autophagosomes are formed implying the requirement of a tremendous amount of lipids. In addition to providing the building blocks for autophagosome formation, lipids also matter in terms of quality as their nature and physico-chemical properties govern membrane identity, activities, architecture and dynamics. How lipids are mobilized towards autophagosome formation/expansion remains an open question. Given the large connection between the ER, the major hub for lipid synthesis, and the phagophore, lipid transfer from the ER to the phagophore is likely a major component for the expansion of this membrane. Additionally, several lines of evidence indicate that different populations of autophagosomes are formed, decorated by distinct ATG8 proteins. Whether a conserved or specific machinery and source of lipid delivery is utilized for the formation of specific autophagosomes is unknown. The two partners involved in this proposal have collected several lines of evidence that a specific group of lipid transfer proteins (LTP) may participate in membrane dynamics during autophagosome formation. This project aims at addressing how lipids are mobilized towards autophagosome formation in a tissue/cell and stress-dependent manner by exploring the function and specificity of LTP candidates across plant development and in a stress-dependent manner.  We will (1) dissect the specificity of the LTP expressions, localizations and interactions across scales; (2) characterize their activity and functions in the autophagy pathway and (3) explore the significance of specific LTP/autophagy interactions during plant development and response to stresses.</t>
  </si>
  <si>
    <t xml:space="preserve">This grant concerns fundamental plant cell biology research on lipid transfer proteins and autophagy mechanisms in plant development and stress response, with no connection to alternative protein production or food applications.</t>
  </si>
  <si>
    <t xml:space="preserve">grant.14704233</t>
  </si>
  <si>
    <t xml:space="preserve">Physico-chemical properties of grain with varying degrees of grinding of Russian varieties in connection with nutritional value and technological characteristics</t>
  </si>
  <si>
    <t xml:space="preserve">The problem of changing the quality of rice grains in the production of rice cereals is relevant both abroad and in Russia. Diverse processing technologies and culinary processing techniques are associated with bringing the main morphological part of the rice plant, the grain, to the state of a food product.
 Rice is used for food mainly in the form of a whole kernel of white rice, which is obtained after peeling and grinding the grain and subsequent culinary processing. The seed (grain) is enclosed in a flower shell, which, as a rule, is removed during peeling, and is covered from the outside with a fruit shell, or pericarp, under which the seed shell is located. The storage part, the endosperm and the embryo of the new plant are surrounded by layers of an aleuron layer with a high protein content. The pericarp, the seed coat, the embryo and part of the aleurone layer are removed during the grinding of the grain, which leads to the loss of most nutrients. When white rice is obtained, its quality changes: physico-chemical properties, nutritional value, quality of the finished product, activity of amylase and peptidase enzymes. The bulk of the fat is present in the germs and surface layers of the grain, and during grinding, most of the fat is removed along with the bran. Black rice is recommended to be used in food in a slightly polished form due to its higher nutritional value. The peak viscosities of starch dispersion for all rice varieties increase with the degree of grinding, the growth rate is higher for medium-grained than for long-grain varieties, the degree of grinding does not affect the final viscosity. Grinding and polishing of rice is carried out to improve the physical and organoleptic properties, its stability during storage, under-ground rice is stored worse. Rice processing plants process rice in various modes, which is accompanied by a decrease in the nutritional value of the finished product. Due to the increased consumer requirements for the quality of food products and the need for the manufacturer to reduce the cost of their production, it is important to study the effect of grain grinding modes of various groups of rice varieties on the physico-chemical quality characteristics. The applied significance of the work is associated with the ability to apply different grinding modes for groups of rice varieties to maximize the quality of rice groats. The scientific novelty of the study consists in the fact that for the first time the influence of peeling and grinding modes of grain of new domestic varieties of different grain size and shape groups on the physico-chemical and consumer properties of rice grains will be studied, groups of varieties will be identified that maintain high quality with a high degree of grinding, the nutritional value of genotypes of rice forms for breeding will be justified Recommendations will be given on peeling and grinding modes for groups of rice varieties in order to preserve the quality of rice products. The purpose of this work is to study the effect of different degrees of grain grinding on the physico-chemical characteristics of grain quality of varieties of rice groups of different grain size and grain shape. The research methodology consists in selecting samples of rice varieties at the Rice Research Center and in rice farms of the Krasnoarmeysky district, characterizing the studied varieties according to quality characteristics and assessing the effect of the degree of grinding on physico-chemical quality characteristics followed by mathematical data processing. Special attention will be paid to the effect of the degree of grinding on the content of amylose and protein in cereals and grains of rice, which determine its nutritional value. The grades will be graded according to the ability to maintain the quality of rice grains with a high degree of grinding, which will make it possible to substantiate the nutritional value of the genotype in the breeding process.</t>
  </si>
  <si>
    <t xml:space="preserve">This research concerns the physico-chemical properties and processing of rice grains for conventional rice cereal production, with no connection to alternative protein products or substitutes for animal-derived foods.</t>
  </si>
  <si>
    <t xml:space="preserve">grant.15145313</t>
  </si>
  <si>
    <t xml:space="preserve">Opbouwen van een kennisbasis voor ‘ultrasound’-geïnduceerde wijzigingen in de structuur en functionaliteit van peulvruchtproteïnen</t>
  </si>
  <si>
    <t xml:space="preserve">‘Ultrasound’ behandelingen kunnen de structurele organisatie van peulvruchtproteïnen en bijgevolg hun functionaliteit in voeding veranderen. Dit project beoogt een fundamentele kennisbasis op te bouwen over hoge-intensiteit ‘ultrasound’ behandelingen voor structurele en functionele modificatie van peulvruchtproteïnen. Een veelvoud aan ‘ultrasound’ behandelingen met verschillende intensiteiten zal onderzocht worden, met als doel specifieke structurele wijzigingen in natieve soja-, erwt-, en veldboonproteïnen te veroorzaken, zoals sub-unit dissociatie of aggregatie. Een specifieke focus is het karakteriseren en begrijpen van deze structurele veranderingen op meerdere lengteschalen. De opgebouwde analytische toolbox zal dan gebruikt worden om de invloed van pH en ionische sterkte tijdens ‘ultrasound’ behandeling op de geïnduceerde structurele wijzigingen te begrijpen. Tot slot zullen de emulgerende eigenschappen van structureel verschillende stalen bestudeerd worden. Mechanistische inzichten zullen verkregen worden uit olie-water interfase tensiometrie en geavanceerde microscopie. Het project zal resulteren in (i) het begrijpen van ‘ultrasound’-geïnduceerde structurele wijzigingen in natieve plantaardige globulines over verschillende lengteschalen, en (ii) betekenisvolle relaties tussen de structuur van peulvruchtproteïnen en hun emulgerende eigenschappen. Hierdoor draagt het project bij aan de eiwittransitie door de toepasbaarheid van peulvruchtproteïnen in voeding te verhogen.</t>
  </si>
  <si>
    <t xml:space="preserve">This grant studies ultrasound-induced structural and functional modifications of legume proteins (soy, pea, faba bean) to improve their applicability in food, directly advancing plant-based alternative protein ingredient development.</t>
  </si>
  <si>
    <t xml:space="preserve">grant.15163878</t>
  </si>
  <si>
    <t xml:space="preserve">Analiza proteomiczna zwierzęcych surowców ubocznych ukierunkowana na identyfikację specyficznych markerów peptydowych</t>
  </si>
  <si>
    <t xml:space="preserve">ANALIZA PROTEOMICZNA ZWIERZĘCYCH SUROWCÓW UBOCZNYCH UKIERUNKOWANA NA IDENTYFIKACJĘ SPECYFICZNYCH MARKERÓW PEPTYDOWYCH  Połączenie technik omicznych z analityką chemiczną w ocenie składu żywności, jej właściwości odżywczych i wpływu na zdrowie człowieka otworzyło przed badaczami nowy obszar badawczy nazwany z języka angielskiego foodomiką. Wyniki badań prowadzone w obszarze foodomiki mają bezpośredni wpływ na bezpieczeństwo żywności i zdrowie konsumentów. Umożliwiają im wybór produktów spożywczych wspomagających zapobieganie wybranym jednostkom chorobowym, w tym alergii, tak aby mogli żyć dłużej i w lepszej kondycji.  Białka są jednym z podstawowych składników odżywczych występujących w żywności. Rodzaj i ilość spożywanego białka zależą w dużej mierze od wyznawanej religii, stylu życia czy alergii pokarmowych. W ciągu ostatnich 20 lat zaobserwowano wyraźny wzrost występowania alergii na białka zwierzęce, w tym pochodzące od mięsa czerwonego, które dawniej uważano za rzadkie. Uwierzytelnianie składu produktów spożywczych ma ogromne znaczenie dla ochrony konsumentów.  Fałszowanie produktów mięsnych surowcami ubocznymi pochodzenia zwierzęcego lub tańszymi białkami pochodzenia zwierzęcego lub roślinnego jest problemem globalnym, raportowanym na całym świecie. Wzrost produkcji wyrobów mięsnych, ich złożony charakter, różnorodne procesy przetwórcze, którym są poddawane, a także wzrost wyrafinowania fałszerstw, utrudniają ich identyfikację. Obecne metody służące wykrywaniu fałszerwstw żywności są wciąż niewystarczające. Uwierzytelnianie żywności, zwłaszcza mięsnych i podrobowych produktów przetworzonych stanowi nieustanne wyzwanie. Spośród metod stosowanych do uwierzytelniania składu produktów spożywczych wyróżniają się nowe technologie oprate na badaniach omicznych umożliwiające ocenę składu białkowego na podstawie identyfikacji krótkich specyficznych fragmentów białek, tzw. markerów peptydowych. W licznych publikacjach naukowych z powodzeniem odnaleźć można zastosowanie zaawansowanych technik analitycznych, takich jak chromatografia cieczowa sprzężona z tandemową spektrometrią mas (LC-MS/MS), do identyfikacji markerów peptydowych specyficznych dla tkanki mięsnej różnych gatunków zwierząt. Pomimo wagi zagadnienia, w literaturze brakuje informacji na temat identyfikacji markerów peptydowych, które byłyby specyficzne dla tkanek pochodzących z surowców ubocznych pochodzenia zwierzęcego. Wypełnienie tej luki w wiedzy jest zasadniczym celem projektu. Dostępność zwalidowanych markerów peptydowych unikalnych dla szerokiej gamy surowców ubocznych pochodzenia zwierzęcego jest niezbędna, aby ułatwić wykrywanie zafałszowań wieloma podrobami pochodzącymi z różnych gatunków zwierząt w pojedynczej analizie LC-MS/MS. Głównym celem projektu jest identyfikacja unikalnych markerów peptydowych, tzw. markerów autentyczności, specyficznych dla jadalnych surowców ubocznych pochodzenia zwierzęcego, w tym wątroby, nerek, płuc, serca oraz tkanki łącznej chrząstki i skóry dla sześciu najczęściej spożywanych gatunków zwierząt: kurczaka, indyka, kaczki, gęsi, wieprzowiny i wołowiny, oraz opracowanie jakościowej i ilościowej metody LC-MS/MS do uwierzytelniania składu produktu spożywczego z wykorzystaniem zidentyfikowanych markerów. W celu potwierdzenia uzyskania najbardziej specyficznych białek dla badanych grup przeprowadzona zostanie analiza genów kodujących wybrane białka zwana analizą ekspresji matrycowego RNA (mRNA). Ilościowa ocena ekspresji wybranych genów pozwoli ocenić aktywność genów kodujących poszczególne białka i potwierdzić ich syntezę w badanych surowcach. Projekt ma charakter interdyscyplinarny. Zaplanowano w nim badania z obszaru proteomiki, genetyki, technologii żywności oraz chemii analitycznej.</t>
  </si>
  <si>
    <t xml:space="preserve">This grant concerns proteomic identification of peptide markers for authenticating animal by-products in meat products (food fraud detection), with no connection to alternative proteins or their development, assessment, or substitution.</t>
  </si>
  <si>
    <t xml:space="preserve">grant.14952025</t>
  </si>
  <si>
    <t xml:space="preserve">Identifying key regulators of aphid reproductive mode switch – AphiSwitch</t>
  </si>
  <si>
    <t xml:space="preserve">Aphids are major pests of most of the crops worldwide. Such a success is largely explained by their remarkable ability to adapt to the fluctuations of their environment. They indeed display an extreme phenotypic plasticity (also called polyphenism), where one single genotype can produce alternative and discrete phenotypes better adapted to these fluctuations. They notably display during their annual life cycle a reproductive polyphenism that allow them to anticipate seasons. They indeed reproduce clonally (by parthenogenesis) during spring and summer thus colonizing rapidly agroecosystems and generating important damages through plant nutrients hijacking, toxin secretion or virus transmission. At autumn arrival, the photoperiod shortening signal is perceived in the heads of aphids and transduced towards their embryos that switch from a clonal to a sexual reproductive mode. The sexual individuals produced then mate to produce eggs that can overcome winter conditions in a diapausing state, before hatching in the next spring and establishing new clonal colonies. In nature, lineages that are able to switch from clonal to sexual reproduction (and termed as CP for cyclically parthenogenetic) coexist with lineages that have lost this ability (and termed as OP for obligatory parthenogenetic) and thus reproduce only clonally. Population genomics analyses on CP and OP populations from the pea aphid identified an 840-kb candidate genomic region controlling reproductive mode variation and containing 32 genes. This region thus harbors key regulator(s) of reproductive mode switch. Mutations within the coding or regulatory sequences affecting either protein function or gene expression levels of one or more of these candidate gene(s) are thus responsible for the OP phenotype. The AphiSwitch project thus aims at characterizing and functionally testing the role of the best candidate genes within this region to eventually identify the one(s) responsible for reproductive mode variation and thus being key regulators of the switch. To reach this objective, the project will involve three different complementary tasks, benefiting from the combination of functional genomics, bioinformatics and cell biology skills gathered by AphiSwitch consortium. The first task will aim at providing a complete list of the best candidate genes within the 32 genes form the genomic region thanks to a combination of sequencing, spatiotemporal characterization of their expression and cell biology approaches. The second task will consist in the creation for the best candidate genes of knocked-out lineages using the CRISPR-Cas9 targeted mutagenesis protocol. The mutant lineages will then be submitted to photoperiod shortening signal in order to identify the ones with a reproductive phenotype and thus prove the involvement of the corresponding gene in reproductive mode switch. The third task will be more technological since it will aim at completing the pea aphid functional toolbox by developing transgenesis and CRISPR-mediated Knock-In. These developments will be used for rescuing experiments of the mutants and thus providing definitive functional evidence of the role of the candidate genes in the process. The AphiSwitch project will eventually lead for the first time to the identification and functional validation of key regulator(s) of reproductive mode switch in aphids that might then potentially serve as specific target functions for more selective aphid management strategies thus contributing to more sustainable agriculture.</t>
  </si>
  <si>
    <t xml:space="preserve">This grant concerns aphid reproductive biology and pest management genetics, with no connection to alternative protein development or production.</t>
  </si>
  <si>
    <t xml:space="preserve">grant.14626616</t>
  </si>
  <si>
    <t xml:space="preserve">Recuperação de péptidos bioactivos do bagaço de azeitona</t>
  </si>
  <si>
    <t xml:space="preserve">Os péptidos bioactivos são cadeias curtas de aminoácidos que possuem várias propriedades benéficas para a saúde, tais como actividade antioxidante, antimicrobiana, anti-hipertensiva, antidiabética e anti-inflamatória. Estes péptidos podem ser encontrados em abundância em vários subprodutos das indústrias de transformação agroalimentar, com destaque na índustria de produção de azeite, onde são gerados volumes significativos de subprodutos, nomeadamente o bagaço de azeitona. A recuperação destes péptidos bioactivos é de grande interesse devido às suas potenciais aplicações nas indústrias alimentar, farmacêutica e nutracêutica. Os métodos tradicionais de extração e hidrólise de proteínas utilizam processos dispendiosos e longos que incluem a utilização de ácidos, enzimas ou micro organismos. Uma nova ferramenta alternativa sustentável para a extração e hidrólise de proteínas utiliza água subcrítica (SW), um solvente ambientalmente seguro. No entanto, a maioria dos estudos sobre a hidrólise de proteínas mediada por SW tem-se focado na produção de aminoácidos. Além disso, pouco se sabe sobre a bioatividade e os riscos para a saúde associados aos péptidos derivados desta tecnologia inovadora. O PePOP pretende explorar a utilização de SW para recuperar, purificar e caraterizar (química e bioatividade) fracções peptídicas de um subproduto agroalimentar (bagaço de azeitona), gerado por indústrias portuguesas que processam azeitona para produzir azeite.  Este subproduto é uma fonte de proteínas que está a ser descartada ou utilizada como alimento para animais. O principal objetivo é desenvolver uma abordagem inovadora, sustentável, eco-friendly , para obter péptidos bioactivos. Além disso, o processo de SW será integrado com um processo de purificação sustentável (usando Cromatografia de Partição Centrífuga) para aumentar a pureza, e será posteriormente realizada a caraterização química dos péptidos. Será também realizado um rastreio da bioatividade destas fracções (focado no efeito antioxidante, anti-hipertensivo, anti-hiperglicémico, anti-hiperlipidémico, anti-inflamatório, antiproliferativo e na saúde da pele) e uma avaliação da toxicidade dos péptidos utilizando uma plataforma de bioensaios para explorar a sua potencial aplicação como ingredientes funcionais nas áreas da Nutrição ou da Cosmética. O PePOP irá melhorar o conhecimento dos processos limpos e sustentáveis de extração e hidrólise de proteínas vegetais para a recuperação de péptidos bioactivos ???? . Além disso, existe uma preocupação crescente com o impacto ambiental dos produtos derivados de animais. Os péptidos derivados de plantas oferecem uma alternativa mais sustentável, uma vez que podem ser produzidos sem a necessidade de criar e abater animais, reduzindo assim as emissões de gases com efeito de estufa e conservando os recursos. Globalmente, o interesse no desenvolvimento de péptidos bioactivos a partir de matrizes vegetais como substitutos dos péptidos de origem animal é motivado por considerações de saúde, sustentabilidade, ética e avanços tecnológicos. Esta proposta resultará também na implementação de técnicas sustentáveis, nomeadamente a extração com água subcrítica e a cromatografia de partição centrífuga para obter péptidos bioactivos, contribuindo para a adoção generalizada destes métodos eco-friendly  em várias indústrias. Esta proposta vai também proporcionar benefícios ambientais e económicos à indústria alimentar e ao sector agrícola através da valorização de sub-produtos do azeite, que podem ser usados como fontes de compostos bioactivos com várias aplicações. A equipa do projecto tem demonstrado fortes competências na área da Ciência e Tecnologia Alimentar aplicada à valorização dos sub-produtos do azeite através de métodos de extração de compostos fenólicos e estudo dos benefícios do azeite na saúde. O iBET e a unidade de investigação estão extremamente bem equipados, assegurando a execução e cumprimento do projeto no tempo definido.</t>
  </si>
  <si>
    <t xml:space="preserve">This grant focuses on recovering bioactive peptides from olive pomace for nutraceutical, pharmaceutical, and cosmetic applications — not as substitutes for animal-derived protein foods — making it out of scope for alternative proteins.</t>
  </si>
  <si>
    <t xml:space="preserve">grant.15115347</t>
  </si>
  <si>
    <t xml:space="preserve">Mapping the genetic diversity of Aegilops longissima using a multi-tiered approach and its use for the development of rust-resistant and salt-tolerant wheat</t>
  </si>
  <si>
    <t xml:space="preserve">Mapping the genetic diversity of Aegilops longissima using a multi-tiered approach and its use for the development of rust-resistant and salt-tolerant wheat Bread wheat (Triticum aestivum L.), plays a pivotal role in the global food system, providing close to 20% of human consumed proteins and calories. While Global wheat production has been stable with a slight annual increase for many years, current wheat production faces increasing threats from climate change, pathogens, and pests. These challenges, exacerbated by a rapidly growing global population, pose a significant risk to global food security. Efforts to diversify and intensify wheat breeding are therefore essential, particularly development of diseases and climate resilient wheat varieties, to ensure sustainable wheat production that will meet current and future needs. Our project relies on a well-developed diversity panel and other resources, and on a preliminary work showing a proof of concept of the main approaches, including identification and partial characterization of candidate genes. In the proposed study we aim at enriching the genomic and genetic resources for Ae. longissima, a D genome lineage wheat relative that contains many desirable traits, and use them for identification and study of genes that improve salt tolerance and confer resistance to rust pathogens, two of the most limiting factors of wheat production. Towards achieving this goal, we will apply a multi-tiered approach that includes the following work packages: (1) Development of robust genomic resources for Ae. longissima. The main resources will include the construction of a high-quality Ae. longissima pangenome, Ae. longissima diversity panel of 270 accessions, and genome- wide gene expression data, (2) Use the genomic resources to address basic questions related to Ae. longissima diversity and evolution, (3) Use the genetic and genomic resources to identify and isolate novel genes and metabolites that contribute to resistance to wheat rusts and improve plant performance under salt-stress. The main approach to achieve this objective is a combined screen that includes phenotyping coupled with expression analysis, metabolomic analysis, and identification of associated genes and metabolites by GWAS, (4) In-depth study of selected genes and metabolites that contribute to rust and salt-stress resistance. The specific aim of this objective is to gain insight on the way by which the identified genes contribute to plant resistance and to study their mode of action. We expect that our research will lead to better understanding of the genetic diversity and evolution of Ae. longissima, identification of candidate genes and metabolites that confer salt tolerance and rust resistance in wheat, advance understanding of the molecular and physiological bases of salt tolerance, and provide a new set of tools and genetic resources for wheat improvement.</t>
  </si>
  <si>
    <t xml:space="preserve">This grant concerns agronomic and genomic research on wheat improvement for disease resistance and salt tolerance, with no connection to alternative protein development or production.</t>
  </si>
  <si>
    <t xml:space="preserve">grant.15201065</t>
  </si>
  <si>
    <t xml:space="preserve">C-Trap for the North West: Visualization of single molecule biomolecular dynamics for the biosciences.</t>
  </si>
  <si>
    <t xml:space="preserve">Summary
Context
There is a rapidly growing need in the Biological Sciences and related fields to explore fundamental biological and biochemical processes at the single-molecule level. Optical tweezer technology, which uses light to trap and manipulate microscopic objects non-invasively, allows for nanoscale manipulation of biomolecules while simultaneously visualizing single-molecule events in real time using fluorescence microscopy. This technology has already revolutionized biology, biochemistry, biophysics, and bioengineering. The LUMICKS C-Trap system is the first commercially available, user-friendly platform that integrates optical tweezers with advanced imaging and microfluidics, democratising transformative single-molecule studies. However, this technology is currently unavailable in the North West region, creating a critical gap in the research capabilities of the community. Therefore, the overarching goal of this application is to establish Lancaster University as the central hub for single-molecule biophysics research in the North West by establishing a LUMICKS C-Trap system in our bio-imaging facility.
The Research the Equipment Will Enable
The C-Trap system will empower researchers to investigate complex molecular interactions and mechanoproperties at the single-molecule level, enhancing studies across a wide range of disciplines. The system enables real-time, dynamic experimentation, combining optical tweezers, precision force measurements, and confocal fluorescence microscopy under temperature-controlled and advanced microfluidics. Key research areas in the North West region supported by the C-Trap will include:
Protein-nucleic acid interactions crucial for DNA replication, repair, gene expression and innate immune sensing. 
Protein-protein and protein-lipid interactions, including those relevant to signal transduction and membrane biology. 
Mechanoproperties of macromolecular assemblies, cells, and membranes, underpinning cell function and disease biology.  
Photosynthetic and plant biochemistry pathways critical to food security and climate sustainability. 
This technology will significantly enhance collaboration and research outcomes in the Northwest region by providing access to advanced single-molecule techniques that are not currently available.
Aims and Objectives
Research Capacity Building: Develop advanced biophysics capabilities complementing other imaging and biophysical platforms and enabling access to cutting-edge C-Trap technology for academic and industrial partners. 
Regional Impact: Establish Lancaster University as the central hub for single-molecule biophysics research in the Northwest. 
Collaborative Research: Foster synergies across the North West’s research community, including through the BBSRC-funded NorthWestBio Doctoral Training Partnership (DTP) and Doctoral Landscape Award (DLA), to accelerate shared scientific goals. 
Training and Skills Development: Provide hands-on training for researchers across all career stages, including PhD students and early career researchers (ECRs), in single-molecule methods. 
Potential Applications and Benefits
The installation of the C-Trap system will have wide-ranging benefits:
Generate high-impact data to advance understanding of fundamental biological mechanisms, including disease biology and therapeutic targets. 
Facilitate insights into photosynthetic pathways, supporting food security and sustainability efforts. 
Provide a state-of-the-art research platform for academia and industry, promoting technology transfer and knowledge exchange. 
Position the North West as a leading region for biological, biochemical, and biophysical sciences, strengthening its reputation nationally and internationally. 
Support the training of future UK scientists in dynamic single-molecule biophysics, equipping them with cutting-edge skills that span biology, biochemistry, and physics. 
Upon installation, expert support will be provided by LUMICKS and collaborating institutions with existing C-Trap platforms (Universities of St Andrews and Sheffield) to establish the C-Trap system as an accessible and versatile resource. The Bioimaging Facility in Lancaster University’s Division of Biomedical and Life Sciences (BLS) will serve as the base for this transformative technology, ensuring its integration into ongoing and future research programs.</t>
  </si>
  <si>
    <t xml:space="preserve">This grant concerns the acquisition of optical tweezer/single-molecule biophysics equipment for general biological research, with no focus on alternative proteins or substitutes for animal-derived foods.</t>
  </si>
  <si>
    <t xml:space="preserve">grant.15162962</t>
  </si>
  <si>
    <t xml:space="preserve">Poznanie antyglikacyjnego mechanizmu działania pochodnych kwasów fenolowych w układach modelowych i żywności</t>
  </si>
  <si>
    <t xml:space="preserve">Proces glikacji odpowiedzialny za strukturalną i funkcjonalną modyfikację białek prowadzi do wytworzenia szkodliwych produktów zaawansowanej glikacji (AGEs) oraz wysoce reaktywnych związków dikarbonylowych, takich jak metyloglioksal, glioksal, i 3-deoksyglukozon. Reakcje te zachodzą zarówno w warunkach naturalnych in vivo  jak również podczas procesów przetwarzania żywności. Dowiedziono, iż spożywanie żywności bogatej w AGEs, może odgrywać ważną rolę w patogenezie powikłań cukrzycowych, chorobie Alzheimera oraz przyczyniać się do rozwoju złośliwych nowotworów.  Dlatego też w ostatnich latach szczególnie dużo uwagi poświęca się  tematyce dotyczącej opracowaniu skutecznej terapeutycznej  strategii zapobiegając ej tworzeniu AGEs . Uznaje się, że zastosowanie antyoksydantów może być efektywnym sposobem przeciwdziałającym powstawaniu AGEs w żywności poddanej obróbce termicznej. Ich antyglikacyjne działanie polega między innymi na wychwycie reaktywnych dikarbonyli, hamowaniu procesów glikooksydacji, czy blokowaniu wolnej grupy aminowej aminokwasów. Jednakże wpływ antyoksydantów na poziom AGEs w żywności nie jest szczegółowo zbadan y. Stąd mechanizm ich działania nie jest w pełni poznany. Kwasy fenolowe są szeroko rozpowszechnione w świecie roślin i są  najbardziej znanymi naturalnymi przeciwutleniaczami żywności. Występują one zarówno w postaci wolnej oraz w formie związanej w postaci estrów z polisacharydami, sterolami, alkoholami tłuszczowymi czy glicerolem. Zgodnie z aktualnym stanem wiedzy, przeprowadzone badania będą pierwszymi potwierdzającymi znaczenie struktury pochodnych kwasów fenolowych w ustaleniu antyglikacyjnego mechanizmu działania. Celem projektu jest określenie roli pochodnych kwasów fenolowych, w tym pochodnych winylowych oraz alkilowych i sterolowych estrów kwasów fenolowych w przebiegu powstawania endogennych AGEs w roztworach glikowanej albuminy wołowej oraz egzogennych struktur  AGEs w  układach modelowych i  żywności. Ponadto oceniony zostanie wpływ pochodnych kwasów fenolowych na właściwości antyoksydacyjne i przeciwzapalne w modelu makrofagów RAW264.7 indu kowanych AGEs . W celu wyjaśnienia antyglikacyjnego mechanizmu działania ustalona zostanie rola pochodnych kwasów fenolowych w zmiataniu wolnych rodników i wychwycie metylogliksalu i glioksalu.  Przewidziano również określenie termostabilności pochodnych kwasów fenolowych, zawartości dostępnej lizyny,  formowania lotn ych produktów reakcji Maillarda, oraz charakterystyki sensorycznej produktów.  Ponieważ działanie  przeciwutleniające jest jednym z postulowanych antyglikacyjnych mechanizmów, zależność pomiędzy aktywnością antyoksydacyjną a stężeniem AGEs należy również do głównych celów badawczych wnioskowanego projektu.  Realizacja projektu powinna dostarczyć odpowiedzi na następujące pytania:   Czy pochodne kwasów fenolowych hamują tworzenie  AGEs i utlenianie białek w roztworach glikowanej albuminy wołowej poprzez blokowanie s ieciowania białek z e związkami dikarbonylowymi?   Czy istnieje związek struktury z aktywnością antyoksydacyjną i antyglikacyjną pochodnych kwasów fenolowych?   Czy istnieje zależność pomiędzy strukturą pochodnych kwasów fenolowych i ich zdolnością do wychwytu reaktywnych dikarnonyli?   Czy pochodne kwasów fenolowych wykazują działanie przeciwzapalne poprzez obniżanie ekspresji mediatorów procesów zapalnych?   Czy termostabilność pochodnych kwasów fenolowych zależna od ich struktury determinuje  poziom AGEs?   Czy różnice w powinowactwie do fazy niepolarnej determinują aktywność antyglikacyjną pochodnych kwasów fenolowych w układach heterogenicznych bardziej niż różnice w aktywności do zmiatania wolnych rodników?   Czy struktura chemiczna pochodnych kwasów fenolowych determinuje ich reaktywność wobec łańcuchów bocznych ɛ-lizyny? Kompleksowość badań przyczyni się do lepszego poznania antyglikacyjny ch mechanizmów działania pochodnych kwasów fenolowych. Badania dotyczące profilaktyki żywieniowej chorób autoimmunologicznych i neurodegeneracyjnych zaliczają się obecnie do priorytetowych, a niniejszy projekt wniesie istotny wkład w rozwój chemii żywności.</t>
  </si>
  <si>
    <t xml:space="preserve">This grant concerns the anti-glycation mechanisms of phenolic acid derivatives in food systems, focusing on AGEs formation and oxidative processes — it has no connection to alternative protein development, plant-based, fermentation, or cultivated meat research.</t>
  </si>
  <si>
    <t xml:space="preserve">grant.15201428</t>
  </si>
  <si>
    <t xml:space="preserve">University of Leeds Core Equipment Award 2024</t>
  </si>
  <si>
    <t xml:space="preserve">The award will deliver new research equipment to be used by a wide range of scientists and engineers at the University of Leeds (as well as external academia/industry). The instruments will provide new or improved capabilities and will be housed in dedicated facilities with full support and training from dedicated research and technical professionals. Access to the instruments will be open to researchers at all career stages, with a special focus on supporting the training and development of those undertaking doctoral degrees. Sustainability of the equipment, its operation and the userbase has been built into the decision making process for the items selected. Overall the equipment encompasses both core work-horse instruments that support a large number of users for one aspect of their work, through to more bespoke instrumentation that supports a smaller number of multiple users (many early career) across multiple departments  more comprehensively, building on specific areas of strength in Leeds and aligning with both University and EPSRC strategic priorities.
The five specific items of equipment are:
1) Scanning Electron Microscope (SEM) and Energy Dispersive X-ray (EDX) analysis system representing core equipment benefitting multiple users for the general morphological, microstructural and elemental characterisation of materials which is a key component of research within the Bragg Centre for Materials Research at Leeds comprising over 400 researchers, and across the wider campus.
2) High resolution liquid chromatography-mass spectrometry (LC-MS) system representing core equipment for the routine mass measurement of proteins, nucleic acids, peptides and small molecules which is critical for research within the Astbury Centre for Structural Molecular Biology and the Faculties of Biological Sciences (FBS), Engineering and Physical Sciences and Medicine and Health.
3) Tensile Stage for operando Small/Wide-Angle X-ray Scattering (SAXS/WAXS) that will be a new add-on capability to existing EPSRC-funded X-ray scattering facilities enabling users across Leeds to study nanostructure deformations under tensile strain/stress and at variable temperatures. This can be applied to a wide range of systems from elastomers and rubbers, to antimicrobial coatings, electrospun nanofibres, protein-based food systems and advanced nonwoven textiles.
4) Spinal Disc Simulator representing a bespoke biomechanical test simulator enabling loads or motions to be applied to sections of the spine and associated implants and measured in six degrees of freedom under extended cyclic loading. It can also be used for testing other musculoskeletal joints and implants including the wrist and ankle and complements an existing range of equipment at Leeds which houses the largest academic facility worldwide for the simulation of joint replacement implants.
5) Thermal Conductivity Measurement Equipment for testing the thermal behaviour of structural and geological materials and targeting the Engineering Net Zero priority area, and the Energy and Decarbonisation theme. The equipment will support many research areas across multiple Faculties at Leeds including: ground engineering, materials engineering, built environment, structural engineering, water engineering, energy storage and carbon capture and storage.  It will replace existing delicate equipment and provide much more efficient testing of samples.
The research discoveries enabled by this investment in equipment will be disseminated through publication in appropriate open-access journals as well as numerous outreach activities. The facilities will also support the growth of collaborative work between the University and business, from SMEs (including spin-outs of the University) to major international companies, improving their products and processes and ultimately returning benefit to the UK taxpayer.</t>
  </si>
  <si>
    <t xml:space="preserve">This is a general university equipment award covering a wide range of scientific instruments with no specific focus on alternative proteins; the brief mention of 'protein-based food systems' as one of many possible applications of SAXS/WAXS is incidental and does not constitute alternative protein research.</t>
  </si>
  <si>
    <t xml:space="preserve">grant.15164223</t>
  </si>
  <si>
    <t xml:space="preserve">Rola długich niekodujących RNA (lncRNA) związanych z chromatyną w regulacji transkrypcji i spoczynku nasion.</t>
  </si>
  <si>
    <t xml:space="preserve">Z chemicznego punktu widzenia DNA jest prostym polimerem, składającym się z czterech podstawowych komponentów. Niemniej jednak różnorodność sposobów odczytu informacji zawartej w DNA zdumiewa biologów od kilkudziesięciu lat. Część informacji zawartej w DNA  jest wykorzystana do produkcji RNA, na którego podstawie dochodzi do syntezy białka. Stanowi ona jednak tylko kilka procent całej informacji zawartej w DNA (u człowieka ok. 2%). Co w takim razie dzieje się z resztą? Skoro DNA jest tak nieskomplikowanym polimerem, to skąd enzym odczytujący DNA (polimeraza) wie, że te 2% są ważne, a pozostałe 98% nieistotne? Okazuje się, że polimeraza odczytująca DNA, produkująca na jego podstawie RNA, nie wie tego i w efekcie transkrybuje około 75-85% genomu. Transkrypty po limerazy II można podzielić na kodujące i niekodujące (ncRNA) właśnie ze względu na ich wykorzystanie do produkcji białka. Czy studiowanie ncRNA ma jakikolwiek sens, skoro nie powstaje z nich białko i są niemal natychmiast degradowane? Podobnie jak w ulu, gdzie życie każdej pszczoły ma swój głęboki sens (królowa nie może sama rodzić pszczół, opiekować się larwami, bronić roju i zbierać pożywienia), tak w jądrze komórkowym dla wielu ncRNA, choć bardzo krótko żyją, znaleziono funkcje związane z regulacją spos obu odczytywania DNA kodującego białka. Większość niekodujących RNA nie opuszcza jądra. Podczas moich badań odkryłem, że mogą one być wykorzystywane jako regulatory ścieżek hormonalnych i czujniki wzrostu temperatury, regulując głębokość uśpienia nasion. Aby lepiej scharakteryzować odkryty przeze mnie mechanizm, w niniejszym projekcie wykorzystam nasiona modelowej rośliny stosowanej w biologii molekularnej – Arabidopsis thaliana. Choć nasiona jako stadium przetrwalnikowe roślin wydają się uśpione i bardzo s tatyczne, wewnątrz okrywy nasiennej ma miejsce wiele procesów molekularnych. Nasiona muszą integrować aktualne sygnały środowiskowe w odniesieniu do doświadczeń życiowych przekazanych przez roślinę matkę. Nasiono przechodzi etapy dojrzewania, wielokrotnego  wchodzenia w stan rozbudzenia i uśpienia, a finalnie musi podjąć nieodwracalną decyzję o kiełkowaniu. Te wszystkie dramatyczne zmiany znajdują odbicie na poziomie RNA – jego syntezy, procesowania, przechowywania czy degradacji. Podczas realizacji niniejsz ego grantu będę szukał odpowiedzi na kilka niezwykle istotnych pytań dotyczących długich niekodujących RNA: Jak działają jako sensor temperatury? W jaki sposób jednocześnie regulują trzy ścieżki , które wcześniej uważano za w większości niezależne: DOG1 , ABA i naprawy  DNA? Jak zwiększają ekspresję genów docelowych? Podsumowując, chcę się dowiedzieć, w jaki sposób lncRNA dostosowuje stan uśpienia nasion do zmian temperatury, co jest kluczowym zagadnieniem w kontekście zmieniającego się klimatu. Ponadto zostaną zbadane mechanizmy lokalizacji lncRNA w określonych miejscach genomowych. W jakim stopniu spoczynek nasion jest zależny od związania długiego niekodującego RNA z chromatyną bądź modyfikacji 3’ końca tej cząsteczki? Planuję opisać mechanizm, w którym procesy transkrypcyjne integrują sygnały środowiskowe z endogennymi ścieżkami hormonalnymi. Przemysł nasienny, borykający się ze zmianami klimatycznymi, aktywnie poszukuje markerów, które mogą pomóc w rozwoju nowych odmian przystosowanych do wzrostu globalnej temperatury. Długoterminowy wpływ mojej pracy może przyczynić się do bardziej kontrolowanej produkcji nasion, zwiększając bezpieczeństwo żywnościowe.</t>
  </si>
  <si>
    <t xml:space="preserve">This grant concerns the molecular biology of seed dormancy and lncRNA regulation in Arabidopsis thaliana, with no connection to alternative protein development, plant protein extraction, or any alternative protein application.</t>
  </si>
  <si>
    <t xml:space="preserve">grant.15163833</t>
  </si>
  <si>
    <t xml:space="preserve">Związki fenolowe jako modyfikatory funkcjonalności i prozdrowotności żeli skrobiowych oraz przetworów mięsnych z dodatkiem skrobi</t>
  </si>
  <si>
    <t xml:space="preserve">Celem projektu jest poznanie wpływu wybranych związków fenolowych, układów związków fenolowych i soli spożywczych na modyfikowanie struktury, funkcjonalności i prozdrowotności żeli ze skrobi natywnej ziemniaczanej. Analizowany będzie również wpływ utworzonych układów na funkcjonalność i bezpieczeństwo modelowych farszów mięsno-tłuszczowych.  Dodatki funkcjonalne stanowią obszerną grupę związków stosowanych w wielu gałęziach przemysłu spożywczego. Można je sklasyfikować ze względu na funkcje, jaką pełnią w produkcie. Wśród związków odpowiedzialnych za tworzenie tekstury wyróżnia się skrobię. W przypadku wielu produktów spożywczych, szczególnie przetworów mięsnych  jest ona nieodzownym elementem, który pozwala na stworzenie odpowiedniej, stabilnej struktury. Jej popularność wynika z wielu czynników, ale najważniejszym jest zdolność do żelowania w nadmiarze wody w podwyższonej temperaturze.  Podczas przechowywania żelu skrobiowego, ulega on samorzutnemu procesowi rekrystalizacji, określanym jako retrogradacja. Retrogradacja jest technologicznie niekorzystnym procesem, ponieważ prowadzi do utraty stabilności struktury i oddzielenia wody od żelu, co skutkuje gorszą jakością żywności. Z kolei żywieniowo zjawisko to wpływa na zwiększenie ilości skrobi opornej, czyli nietrawionej przez organizm człowieka i zaliczanej do błonnika pokarmowego.  Właściwości ż elu skrobiowego zależą od kilku czynników, m.in. są to stosunek frakcji polisacharydowych skrobi (amylozy i amylopektyny) czy obecność innych związków podczas żelowania np. białek, lipidów, soli spożywczych. Cechy skrobi i żelu można również zmodyfikować poprzez pewne zabiegu fizyczne, chemiczne czy enzymatyczne. Jedną z metod modyfikacji jest zastosowanie odczynników chemicznych np. podczas żelowania skrobi. Do modyfikowania skrobi można wykorzystać związki fenolowe. Stanowią one bardzo szeroką grupę związ ków chemicznych pochodzenia roślinnego. Większość z nich wykazuje silne właściwości przeciwutleniające i przeciwrodnikowe tworząc tym samym system obrony antyoksydacyjnej. Ich obecność w żywności spowalnia postępowanie utleniania składników żywności, z kolei suplementacja z dietą chroni organizm człowieka przed stresem oksydacyjnym wywołanym obecnością nadmiernej ilości wolnych rodników. Ze względu na właściwości związków fenolowych ich zastosowanie jako modyfikatorów skrobi wydaje się interesujące, szczegó lnie w aspekcie nadania żelom skrobiowym prozdrowotnego charakteru.  Właściwości zmodyfikowanej skrobi zależą od stężenia modyfikatora oraz występowania interakcji pomiędzy modyfikatorem, a polisacharydami skrobiowymi.  Mogą one mieć różny charakter i wynik ać zarówno z występowania sił van der Waalsa, tworzenia wiązań wodorowych oraz tworzenia charakterystycznych kompleksów inkluzyjnych. W wyniku ich występowania zmieniają się cechy żelu skrobiowego, poczynając od temperatury żelowania, przez właściwości fiz ykochemiczne, kończąc na podatności na rozkład enzymatyczny. Z kolei już sama obecność stabilnych termicznie związków fenolowych nadaje żelom właściwości przeciwutleniające.  W ramach projektu zostanie zbadany wpływ wybranych związków fenolowych oraz miesz aniny soli spożywczych i związków fenolowych na funkcjonalność natywnej skrobi ziemniaczanej oraz możliwość ich zastosowania w produkcji modelowych przetworów mięsnych. Opracowany plan badań pozwoli określić charakter oddziaływań występujących wewnątrz ukł adów żeli skrobiowych z solami spożywczymi i wybranymi kwasami fenolowymi, a także określić wpływ obecności tych związków na właściwości termiczne, reologiczne oraz stabilność żeli skrobiowych. Przygotowanie modelowych produktów spożywczych pozwoli na określenie potencjału zastosowania proponowanych układów w przetworach mięsnych oraz ich wpływu na funkcjonalność produktów i ich bezpieczeństwo.  W trakcie realizacji projektu zostaną wykorzystane następujące metody badawcze: • Analiza podstawowa skrobi oraz żelu skrobiowego (m.in. oznaczanie ilości amylozy, amylopektyny, fosforu, ilości wody związanej podczas żelowania), • Różnicowa kalorymetria skaningowa (DSC), • Badania reologiczne z wykorzystaniem reometru rotacyjnego, • Badanie stabilności przechowalniczej żeli, • Badanie właściwości przeciwutleniających i strawności żeli, • Badanie struktury żeli z wykorzystaniem skaningowego mikroskopu elektronowego (SEM), mikroskopu polaryzacyjnego, dyfrakcji promieniowania rentgenowskiego (XRD), spektroskopii magnetycznego rezona nsu jądrowego ( 1H-NMR), spektroskopii w podczerwieni z transformacją Fouriera (FTIR), spektroskopii w bliskiej podczerwieni (NIR), • Badanie modelowych przetworów mięsnych (m.in. badanie wycieku cieplnego, przechowalniczego , badanie stabilności barwy, analiza tekstury), • Badanie właściwości przeciwutleniających produktów oraz ilości wolnych azotynów.</t>
  </si>
  <si>
    <t xml:space="preserve">This grant concerns the modification of potato starch gels and conventional meat products using phenolic compounds, with no connection to alternative proteins or substitutes for animal-derived foods.</t>
  </si>
  <si>
    <t xml:space="preserve">grant.15147689</t>
  </si>
  <si>
    <t xml:space="preserve">A broadly accessible and versatile spinning disc microscope to probe biological processes across temporal and spatial scales</t>
  </si>
  <si>
    <t xml:space="preserve">In this proposal, we request funds to purchase a Nikon W1-SoRa spinning disc confocal microscope with integrated photomanipulation and Ring-TIRF. This highly versatile system will enable gentle, high-speed fluorescence imaging across a broad range of temporal and spatial scales, from the sub-second movements of proteins within cells to the millimetre scale organization of the mammalian brain. To maximize its utility, we have configured this system to accommodate samples from across the kingdoms of life and with the capacity for precise and rapid temperature fluctuations and optical perturbations. The W1-SoRa will significantly extend the capacity and capabilities of our current workhorse microscope, a 10-year-old Zeiss LSM880, thereby futureproofing advanced imaging at Warwick.
The University of Warwick School of Life Sciences (SLS) is home to world-class bioscience researchers who use fluorescence microscopy to study biological processes that span the BBSRC’s remit, including an integrated understanding of health, bioscience for clean growth and for sustainable agriculture and food. Specific research objectives of this application will be led by PcLs and include studies of the mechanisms of cell polarization in animal cells, neurocircuitry and gene expression patterns in the mammalian brain, the dynamics of cyanobacterial communities, the stress and pathogen responses of plants from the subcellular to the tissue-scale, phage-mediate therapy and biocontrol, and the mechanisms of genome editing during embryonic development. Therefore, this instrument will provide a critical foundation supporting a broad range of impactful studies that align with the priorities of the BBSRC.
The W1-SoRa will be housed within SLS’s Bio-Analytical Shared Resource Laboratory (BioSRL) and will be the first multi-user system of its kind in the Midlands. The W1-SoRa and the technical expertise of the BioSRL will be available to users from across the higher education and public sector, and spare capacity will be made available to industry. This new microscope will enhance and complement the University of Warwick’s existing cutting-edge imaging technology facilities, including transmission electron microscopy (Advanced Bioimaging RTP), scanning electron microscopy (Electron microscopy RTP) and Warwick Medical School Computing and Advance Microscopy Development Unit (CAMDU). We are committed to providing highly accessible facilities that combine state-of-the-art technologies with technical skills and expert knowledge, thereby providing empowering innovative and impactful research (World-class places: Infrastructure). We will enable the Research Technical Professionals (RTProfs) supporting this instrument to become experts and ensure the technical expertise is sustainable by providing RTProfs with opportunities for career progression.
Microscopy is a cornerstone of modern biological research because it enables visualisation of life’s dynamics from the molecular to the organismal scale. Over the last decade, substantial advancements in the speed, sensitivity and resolution of imaging instruments have revolutionized our understanding of many fields of biology and generated new frontiers of inquiry that will motivate cutting-edge studies in the decade to come. Investment in a versatile and multi-user W1-SoRa at the Warwick’s BioSRL will enhance the imaging capabilities available to the Midlands research community, thereby helping to maintain the UK’s position as an international leader in the biosciences. In addition, by providing access to trainees at all stages and by incorporating the W1-SoRa into our cross-doctoral training partnership training course, this instrument will help train the next generation of scientists to harness high spatial and temporal resolution imaging. As such, investment in a W1-SoRa for Warwick’s BioSRL will have significant impacts both regionally and nationally.</t>
  </si>
  <si>
    <t xml:space="preserve">This grant is for purchasing a spinning disc confocal microscope for general biological imaging research, with no connection to alternative protein development, production, or characterisation.</t>
  </si>
  <si>
    <t xml:space="preserve">grant.15163934</t>
  </si>
  <si>
    <t xml:space="preserve">Geny warunkujące neutralność fotoperiodyczną i termoneutralność u dzikich gatunków łubinów</t>
  </si>
  <si>
    <t xml:space="preserve">Głównym celem projektu jest identyfikacja kluczowych genów kontrolujących kwitnienie w odpowiedzi na różne sygnały środowiskowe u trzech dzikich gatunków łubinów Starego Świata: Lupinus cosentinii Guss., L. hispanicus Boiss. i Reut. oraz L. pilosus Murr. Aby to osiągnąć skrzyżowane zostaną osobniki o różnych wymaganiach fotoperiodycznych (długość dnia) i wrażliwości na wernalizację (okres niskiej temperatury), w celu utworzenia  populacji mapujących dla każdego z badanych gatunków. Analiza powstałych popula cji osobników wsobnych pozwoli na ustalenie , które geny są odpowiedzialne za obserwowane różnice. Ponadto przeanalizujemy również sekwencje promotorowe wytypowanych genów, aby sprawdzić, czy zmiany w ich strukturze przekładają się na zmiany w obserwowanych  terminach kwitnienia.  Świat nieustająco poszukuje nowych, bardziej ekologicznych , źródeł białka roślinnego, a szczególnie roślin zdolnych do wiązania azotu atmosferycznego co bezpośrednio pozwoli na ograniczenie stosowania nawozów azotowych. Jednymi z najlepszych kandydatów są łubiny, które wyróżniają się dodatkowo dobrym dostosowaniem do ubogich, suchych i piaszczystych gleb, których obszar nieustanie powiększa się, wraz ze zmieniającym się klimatem . Pomimo tego, że obecnie  łubiny wykorzystywane są do różnych celów, w tym do produkcji pasz i żywności czy nawożenia gleby, wciąż wymagają wprowadzania nowych programów uprawnych, nastawionych na lepsze dostosowanie do niestabilnego klimatu. Jednym z głównych wyzwań współczesnej genetyki łubinów jest dostosowanie terminu kwitnienia i dojrzewania do lokalnych warunków klimatycznych. Kwestia ta nabiera jeszcze większego znaczenia teraz, gdy ekstremalne zjawiska pogodowe, takie jak fale upałów i susze , coraz częściej prowadzą do istotnych strat w plonowaniu, szczególnie w przypadku odmian późno kwitnących. Dotychczasowe wysiłki mające na celu optymalizację kwitnienia  i odpornośc i na choroby zostały zahamowane  ze względu na ograniczoną pulę genetyczną gatunków upranych, do czego doszło podczas ich udomawiania. Najlepszym rozwiązanie wydaje się wykorzystanie potencjału genetycznego dzikich gatunków łubinu przystosowanych do różnorodnych środowisk, co pozwoliłoby ulepszyć istniejące odmiany bądź przyspieszyć udomowienie nowych gatunków łubinu, lepiej przystosowanych do klimatu jutra.  Analizując wyniki badań wstępnych, wytypowaliśmy trzy dzikie gatunki łubinów Starego Świata, a mianowicie L. cosentinii , L. hispanicus  i L. pilosus , jako doskonałe obiekty do badań indukcji kwitnienia. U każdego z nich zaobserwowaliśmy znaczne zróżnicowanie w obrębie populacji  wewnątrzgatunkowych pod względem liczby dni do kwitnienia, reakcji na  wernalizację czy wrażliwość na fotoperiod. Nasze wstępne ustalenia wskazują, że mechanizmy związane z indukcją kwitnienia i odpowiedzią na wernalizację u tych gatunków najprawdopodobniej są  regulowane przez wiele genów, tzw. loci cech ilościowych (ang. QTL). Aby dokładnie zbadać tego typu złożone mechanizmy konieczne jest  wyprowadzenie populacji mapujących lini i rekombinantów wsobnych (ang. RIL), co pozwoli na zmapowanie głównych QTL, umożliwiając identyfikację głównych genów odpowiedzialnych za  wcześniej wspomniane cechy. Aby osiągnąć założony cel, wyprowadzimy 2 populacje mapujące dla każdego badanego gatunku, krzyżując parę genotypów rodzicielskich o skrajnych cechach, takich jak wczesność kwitnienia, reakcja na wernalizację i wrażliwość na fotoperiod. Pokolenia F1-F5 będą uprawiane w kontrolowanych warunkach szklarniowych pod używając lamp przyśpieszających wzrostu i rozwój roślin. Pokolenia F2-F5 uzyskane zostaną metodą pojedynczego nasiona (ang. SSD). Następnie genomy wszystkich linii rodzicielskich zostaną zsekwencjonowane przy pomocy dwóch, odmiennych metod: PacBio, która generuje bardzo długie  odczyty oraz Illumina NovaSeq, będąca źródłem bardzo krótkich sekwencji. Wykorzystanie obu metod jest niezwykle pomocne w a nalizie złożonych genomów roślin nych i pozwala na uzyskanie genomów najlepszej jakości. Ponadto, planujemy przeprowadzić f enotypowanie populacji F 5 w dwóch różnych fotoperiodach (8 i 16 godzin), dwóch wariantach (wernalizowane i niewernalizowane) oraz w trzech różnych środowiskach (szklarnia i pole w dwóch różnych lokalizacjach).  Następnie dla wszystkich rośliny F5 wygenerujemy specyficzne markery typu DArT-seq i RAD-seq, które wykorzystamy je do skonstruowania gatunkowo-specyficznych map genetycznych. Powstałe mapy zintegrujemy z sekwencjami genomów każdego z gatunków, co pozwoli na mapowanie QTL – wytypowanie konkretnych miejsc w genomie, w których najprawdopo dobniej znajdują się szukane geny. Analiza wskazanych miejsc umożliwi identyfikację genów kandydujących związanych z regulacją kwitnienia i odpowiedzi na wernalizację u badanych gatunków.</t>
  </si>
  <si>
    <t xml:space="preserve">This grant concerns agronomic and genetic research on wild lupin species focused on flowering time and vernalization response for climate adaptation, with no stated application in alternative protein extraction, processing, or product development.</t>
  </si>
  <si>
    <t xml:space="preserve">grant.15146244</t>
  </si>
  <si>
    <t xml:space="preserve">Exploratie en valorizatie van de variatie in de biosynthese van flavonoiden en raffinose-familie oligosacchariden (RFOs) achter de droogtetolerantie in V. unguiculata bonen</t>
  </si>
  <si>
    <t xml:space="preserve">Cowpeas (V. unguiculata), lokaal ook gewoon ‘bonen’ genoemd, vormen een belangrijk levensonderhoud voor kleine boeren in Nigeria, die ervan afhankelijk zijn voor zowel voeding (als belangrijke bron van eiwitten) als inkomen (Bolarinwa et al., 2021). Veelgebruikte soorten staan lokaal bekend als ‘bruine bonen’, ‘honingbonen’ en ‘ijzer-bonen’ (Odogwu et al., 2021). Ze kunnen ook tot meel worden verwerkt en geconsumeerd als ‘akara’, ‘moin-moin’ en ‘gbegiri’ (Odogwu et al., 2021). De wereldwijde klimaatverandering heeft een aanzienlijke invloed op de landbouwproductiviteit in Nigeria. Hiervan bedreigt droogte de voedselzekerheid en de duurzaamheid van de landbouw het meest. Ondanks de onderzoeks- en veredelingsinspanningen om de droogtetolerantie bij kikkererwten te vergroten, blijft waterstress een van de belangrijkste beperkingen van hun productie (Hasan et al., 2018). Waterstress veroorzaakt diverse biochemische, fysiologische en morfologische effecten die leiden tot slechte groei en verminderde fotosynthese-efficiëntie, die uiteindelijk de opbrengst van planten beïnvloeden (Fahad et al., 2017; Lamaoui et al., 2018). Uit onderzoek is echter gebleken dat sommige natuurlijk voorkomende beschermende primaire en secundaire (gespecialiseerde) metabolieten, zoals RFO’s (op galactose gebaseerde Raffinose Family Oligosacchariden, afgeleid van sucrose en galactinol) en flavonoïden (fenolverbindingen afgeleid van het aromatische aminozuur fenylalanine) worden gesynthetiseerd tijdens stress om de effecten ervan te verzachten (Hernández et al., 2004; von Wettberg et al., 2010; El Sayed et al., 2014; Nakabayashi et al., 2014; Himuro et al., 2014; Kaur et al., 2023 ). Ons project heeft daarom volgende onderzoeksdoelstellingen: I. De identificatie van de moleculaire basis van verschillen in flavonoïde- en RFO-niveaus in een kernset van cowpea-accessies met sterk variërende droogtetolerantie, waarbij de nadruk ligt op metabolietenniveaus en de expressie (in verschillende weefsels in controle- en droogteomstandigheden), regulerende en coderende sequentie, en activiteit van belangrijke metabolische enzymen en (transcriptionele) regulatoren van de flavonoïde- en RFO-biosynthese. II. Het gebruik exogene toepassing van rutine en galactinol op zaailingen om (1) hun rol te bevestigen en (2) het potentieel van een priming-aanpak bij de bescherming tegen droogtestress te beoordelen; III. Een GWAS (genoomwijde associatiestudie) uitvoeren op een uitgebreidere collectie en de genetische loci identificeren die geassocieerd zijn met de synthese en regulatie van RFO's en flavonoïden in cowpeas onder droogtestress met behulp van (1) een gerichte aanpak met de moleculaire informatie verkregen in I en ( 2) (als de tijd het toelaat of als back-upplan) een onbevooroordeelde sequencing-aanpak met hoge doorvoer. IV. Bevestig van deze bevindingen en de mogelijke toepassing van (1) geselecteerde accessies (als veredelingsmateriaal) en (2) priming in het veld in Nigeria. Methodologie • Plantencollectie (IITA in Nigeria + Plantentuin Meise) • Gecontroleerde droogtestressexperimenten (inclusief priming) • Metabolische profilering • Genexpressie en gerichte sequencing • Modelleren (voorspellen) van de structuur en functie van enzymen • GWAS en genetische mapping • Veldexperimenten (Nigeria) met geselecteerde toetredingen</t>
  </si>
  <si>
    <t xml:space="preserve">This grant focuses on drought tolerance mechanisms (flavonoids and RFOs) in cowpeas through agronomic and biochemical research, with no stated application in alternative protein development or processing.</t>
  </si>
  <si>
    <t xml:space="preserve">metric</t>
  </si>
  <si>
    <t xml:space="preserve">value</t>
  </si>
  <si>
    <t xml:space="preserve">n</t>
  </si>
  <si>
    <t xml:space="preserve">scope_accuracy</t>
  </si>
  <si>
    <t xml:space="preserve">92%</t>
  </si>
  <si>
    <t xml:space="preserve">pillar_accuracy</t>
  </si>
  <si>
    <t xml:space="preserve">86%</t>
  </si>
  <si>
    <t xml:space="preserve">pillar_accuracy_both_in_scope</t>
  </si>
  <si>
    <t xml:space="preserve">74%</t>
  </si>
  <si>
    <t xml:space="preserve">Total</t>
  </si>
  <si>
    <t xml:space="preserve">Auto-exclude (1)</t>
  </si>
  <si>
    <t xml:space="preserve">Manual review (2-4)</t>
  </si>
  <si>
    <t xml:space="preserve">Auto-include (5-7)</t>
  </si>
  <si>
    <t xml:space="preserve">Total in scope</t>
  </si>
  <si>
    <t xml:space="preserve">Total in man review or auto include</t>
  </si>
  <si>
    <t xml:space="preserve">Total in auto include</t>
  </si>
  <si>
    <t xml:space="preserve">Total out scope</t>
  </si>
  <si>
    <t xml:space="preserve">Total out scope included by auto include</t>
  </si>
  <si>
    <t xml:space="preserve">Total auto pillar (5-7)</t>
  </si>
  <si>
    <t xml:space="preserve">true in scope and LLM labelled in scope with confidence &gt;4</t>
  </si>
  <si>
    <t xml:space="preserve">Total incorrect</t>
  </si>
  <si>
    <t xml:space="preserve">with one borderline</t>
  </si>
  <si>
    <t xml:space="preserve">Auto accuracy</t>
  </si>
  <si>
    <t xml:space="preserve">Good enough</t>
  </si>
  <si>
    <t xml:space="preserve">Definitely an improvement on the previous prompt and good enough for now!</t>
  </si>
</sst>
</file>

<file path=xl/styles.xml><?xml version="1.0" encoding="utf-8"?>
<styleSheet xmlns="http://schemas.openxmlformats.org/spreadsheetml/2006/main">
  <numFmts count="2">
    <numFmt numFmtId="164" formatCode="General"/>
    <numFmt numFmtId="165" formatCode="0.0"/>
  </numFmts>
  <fonts count="5">
    <font>
      <sz val="11"/>
      <color theme="1"/>
      <name val="Calibri"/>
      <family val="2"/>
      <charset val="1"/>
    </font>
    <font>
      <sz val="10"/>
      <name val="Arial"/>
      <family val="0"/>
    </font>
    <font>
      <sz val="10"/>
      <name val="Arial"/>
      <family val="0"/>
    </font>
    <font>
      <sz val="10"/>
      <name val="Arial"/>
      <family val="0"/>
    </font>
    <font>
      <sz val="11"/>
      <color theme="1"/>
      <name val="Microsoft YaHei"/>
      <family val="2"/>
      <charset val="1"/>
    </font>
  </fonts>
  <fills count="6">
    <fill>
      <patternFill patternType="none"/>
    </fill>
    <fill>
      <patternFill patternType="gray125"/>
    </fill>
    <fill>
      <patternFill patternType="solid">
        <fgColor rgb="FFFFFF00"/>
        <bgColor rgb="FFFFFF00"/>
      </patternFill>
    </fill>
    <fill>
      <patternFill patternType="solid">
        <fgColor rgb="FF81D41A"/>
        <bgColor rgb="FF969696"/>
      </patternFill>
    </fill>
    <fill>
      <patternFill patternType="solid">
        <fgColor rgb="FFFF8000"/>
        <bgColor rgb="FFFF6600"/>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bgColor rgb="FF000000"/>
        </patternFill>
      </fill>
    </dxf>
    <dxf>
      <fill>
        <patternFill patternType="solid">
          <fgColor rgb="FF000000"/>
          <bgColor rgb="FF000000"/>
        </patternFill>
      </fill>
    </dxf>
    <dxf>
      <fill>
        <patternFill patternType="solid">
          <fgColor rgb="FF81D41A"/>
          <bgColor rgb="FF000000"/>
        </patternFill>
      </fill>
    </dxf>
    <dxf>
      <fill>
        <patternFill patternType="solid">
          <fgColor rgb="FFFF0000"/>
          <bgColor rgb="FF000000"/>
        </patternFill>
      </fill>
    </dxf>
    <dxf>
      <fill>
        <patternFill patternType="solid">
          <fgColor rgb="FFFF8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R1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40" activeCellId="0" sqref="H40"/>
    </sheetView>
  </sheetViews>
  <sheetFormatPr defaultColWidth="8.343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true" customHeight="false" outlineLevel="0" collapsed="false">
      <c r="A2" s="1" t="s">
        <v>17</v>
      </c>
      <c r="B2" s="1" t="s">
        <v>18</v>
      </c>
      <c r="C2" s="1" t="s">
        <v>19</v>
      </c>
      <c r="D2" s="1" t="s">
        <v>20</v>
      </c>
      <c r="E2" s="1" t="s">
        <v>20</v>
      </c>
      <c r="F2" s="1" t="n">
        <v>2</v>
      </c>
      <c r="G2" s="1" t="s">
        <v>21</v>
      </c>
      <c r="H2" s="2" t="b">
        <f aca="false">TRUE()</f>
        <v>1</v>
      </c>
      <c r="I2" s="1" t="s">
        <v>22</v>
      </c>
      <c r="J2" s="1" t="s">
        <v>22</v>
      </c>
      <c r="K2" s="2" t="b">
        <f aca="false">TRUE()</f>
        <v>1</v>
      </c>
      <c r="L2" s="2" t="b">
        <f aca="false">FALSE()</f>
        <v>0</v>
      </c>
      <c r="M2" s="2" t="b">
        <f aca="false">FALSE()</f>
        <v>0</v>
      </c>
      <c r="N2" s="2" t="b">
        <f aca="false">FALSE()</f>
        <v>0</v>
      </c>
      <c r="O2" s="2" t="b">
        <f aca="false">FALSE()</f>
        <v>0</v>
      </c>
      <c r="P2" s="1" t="s">
        <v>23</v>
      </c>
    </row>
    <row r="3" customFormat="false" ht="15" hidden="false" customHeight="false" outlineLevel="0" collapsed="false">
      <c r="A3" s="1" t="s">
        <v>24</v>
      </c>
      <c r="B3" s="1" t="s">
        <v>25</v>
      </c>
      <c r="C3" s="1" t="s">
        <v>26</v>
      </c>
      <c r="D3" s="1" t="s">
        <v>27</v>
      </c>
      <c r="E3" s="1" t="s">
        <v>27</v>
      </c>
      <c r="F3" s="1" t="n">
        <v>7</v>
      </c>
      <c r="G3" s="1" t="s">
        <v>28</v>
      </c>
      <c r="H3" s="2" t="b">
        <f aca="false">TRUE()</f>
        <v>1</v>
      </c>
      <c r="I3" s="1" t="s">
        <v>29</v>
      </c>
      <c r="J3" s="1" t="s">
        <v>30</v>
      </c>
      <c r="K3" s="3" t="b">
        <f aca="false">FALSE()</f>
        <v>0</v>
      </c>
      <c r="L3" s="2" t="b">
        <f aca="false">TRUE()</f>
        <v>1</v>
      </c>
      <c r="M3" s="2" t="b">
        <f aca="false">TRUE()</f>
        <v>1</v>
      </c>
      <c r="N3" s="2" t="b">
        <f aca="false">FALSE()</f>
        <v>0</v>
      </c>
      <c r="O3" s="2" t="b">
        <f aca="false">FALSE()</f>
        <v>0</v>
      </c>
      <c r="P3" s="1" t="s">
        <v>23</v>
      </c>
      <c r="R3" s="1" t="s">
        <v>31</v>
      </c>
    </row>
    <row r="4" customFormat="false" ht="15" hidden="true" customHeight="false" outlineLevel="0" collapsed="false">
      <c r="A4" s="1" t="s">
        <v>32</v>
      </c>
      <c r="B4" s="1" t="s">
        <v>33</v>
      </c>
      <c r="C4" s="1" t="s">
        <v>34</v>
      </c>
      <c r="D4" s="1" t="s">
        <v>20</v>
      </c>
      <c r="E4" s="1" t="s">
        <v>20</v>
      </c>
      <c r="F4" s="1" t="n">
        <v>2</v>
      </c>
      <c r="G4" s="1" t="s">
        <v>35</v>
      </c>
      <c r="H4" s="2" t="b">
        <f aca="false">TRUE()</f>
        <v>1</v>
      </c>
      <c r="I4" s="1" t="s">
        <v>22</v>
      </c>
      <c r="J4" s="1" t="s">
        <v>22</v>
      </c>
      <c r="K4" s="2" t="b">
        <f aca="false">TRUE()</f>
        <v>1</v>
      </c>
      <c r="L4" s="2" t="b">
        <f aca="false">FALSE()</f>
        <v>0</v>
      </c>
      <c r="M4" s="2" t="b">
        <f aca="false">FALSE()</f>
        <v>0</v>
      </c>
      <c r="N4" s="2" t="b">
        <f aca="false">FALSE()</f>
        <v>0</v>
      </c>
      <c r="O4" s="2" t="b">
        <f aca="false">FALSE()</f>
        <v>0</v>
      </c>
      <c r="P4" s="1" t="s">
        <v>23</v>
      </c>
    </row>
    <row r="5" customFormat="false" ht="15" hidden="true" customHeight="false" outlineLevel="0" collapsed="false">
      <c r="A5" s="1" t="s">
        <v>36</v>
      </c>
      <c r="B5" s="1" t="s">
        <v>37</v>
      </c>
      <c r="C5" s="1" t="s">
        <v>38</v>
      </c>
      <c r="D5" s="1" t="s">
        <v>20</v>
      </c>
      <c r="E5" s="1" t="s">
        <v>20</v>
      </c>
      <c r="F5" s="1" t="n">
        <v>1</v>
      </c>
      <c r="G5" s="1" t="s">
        <v>39</v>
      </c>
      <c r="H5" s="2" t="b">
        <f aca="false">TRUE()</f>
        <v>1</v>
      </c>
      <c r="I5" s="1" t="s">
        <v>22</v>
      </c>
      <c r="J5" s="1" t="s">
        <v>22</v>
      </c>
      <c r="K5" s="2" t="b">
        <f aca="false">TRUE()</f>
        <v>1</v>
      </c>
      <c r="L5" s="2" t="b">
        <f aca="false">FALSE()</f>
        <v>0</v>
      </c>
      <c r="M5" s="2" t="b">
        <f aca="false">FALSE()</f>
        <v>0</v>
      </c>
      <c r="N5" s="2" t="b">
        <f aca="false">FALSE()</f>
        <v>0</v>
      </c>
      <c r="O5" s="2" t="b">
        <f aca="false">FALSE()</f>
        <v>0</v>
      </c>
      <c r="P5" s="1" t="s">
        <v>23</v>
      </c>
    </row>
    <row r="6" customFormat="false" ht="15" hidden="false" customHeight="false" outlineLevel="0" collapsed="false">
      <c r="A6" s="1" t="s">
        <v>40</v>
      </c>
      <c r="B6" s="1" t="s">
        <v>41</v>
      </c>
      <c r="C6" s="1" t="s">
        <v>42</v>
      </c>
      <c r="D6" s="1" t="s">
        <v>27</v>
      </c>
      <c r="E6" s="1" t="s">
        <v>27</v>
      </c>
      <c r="F6" s="1" t="n">
        <v>7</v>
      </c>
      <c r="G6" s="1" t="s">
        <v>43</v>
      </c>
      <c r="H6" s="2" t="b">
        <f aca="false">TRUE()</f>
        <v>1</v>
      </c>
      <c r="I6" s="1" t="s">
        <v>44</v>
      </c>
      <c r="J6" s="1" t="s">
        <v>44</v>
      </c>
      <c r="K6" s="2" t="b">
        <f aca="false">TRUE()</f>
        <v>1</v>
      </c>
      <c r="L6" s="2" t="b">
        <f aca="false">FALSE()</f>
        <v>0</v>
      </c>
      <c r="M6" s="2" t="b">
        <f aca="false">TRUE()</f>
        <v>1</v>
      </c>
      <c r="N6" s="2" t="b">
        <f aca="false">FALSE()</f>
        <v>0</v>
      </c>
      <c r="O6" s="2" t="b">
        <f aca="false">FALSE()</f>
        <v>0</v>
      </c>
      <c r="P6" s="1" t="s">
        <v>23</v>
      </c>
    </row>
    <row r="7" customFormat="false" ht="15" hidden="false" customHeight="false" outlineLevel="0" collapsed="false">
      <c r="A7" s="1" t="s">
        <v>45</v>
      </c>
      <c r="B7" s="1" t="s">
        <v>46</v>
      </c>
      <c r="C7" s="1" t="s">
        <v>47</v>
      </c>
      <c r="D7" s="1" t="s">
        <v>27</v>
      </c>
      <c r="E7" s="1" t="s">
        <v>27</v>
      </c>
      <c r="F7" s="1" t="n">
        <v>6</v>
      </c>
      <c r="G7" s="1" t="s">
        <v>48</v>
      </c>
      <c r="H7" s="2" t="b">
        <f aca="false">TRUE()</f>
        <v>1</v>
      </c>
      <c r="I7" s="1" t="s">
        <v>44</v>
      </c>
      <c r="J7" s="1" t="s">
        <v>44</v>
      </c>
      <c r="K7" s="2" t="b">
        <f aca="false">TRUE()</f>
        <v>1</v>
      </c>
      <c r="L7" s="2" t="b">
        <f aca="false">FALSE()</f>
        <v>0</v>
      </c>
      <c r="M7" s="2" t="b">
        <f aca="false">TRUE()</f>
        <v>1</v>
      </c>
      <c r="N7" s="2" t="b">
        <f aca="false">FALSE()</f>
        <v>0</v>
      </c>
      <c r="O7" s="2" t="b">
        <f aca="false">FALSE()</f>
        <v>0</v>
      </c>
      <c r="P7" s="1" t="s">
        <v>23</v>
      </c>
    </row>
    <row r="8" customFormat="false" ht="15" hidden="true" customHeight="false" outlineLevel="0" collapsed="false">
      <c r="A8" s="1" t="s">
        <v>49</v>
      </c>
      <c r="B8" s="1" t="s">
        <v>50</v>
      </c>
      <c r="C8" s="1" t="s">
        <v>51</v>
      </c>
      <c r="D8" s="1" t="s">
        <v>20</v>
      </c>
      <c r="E8" s="1" t="s">
        <v>20</v>
      </c>
      <c r="F8" s="1" t="n">
        <v>1</v>
      </c>
      <c r="G8" s="1" t="s">
        <v>52</v>
      </c>
      <c r="H8" s="2" t="b">
        <f aca="false">TRUE()</f>
        <v>1</v>
      </c>
      <c r="I8" s="1" t="s">
        <v>22</v>
      </c>
      <c r="J8" s="1" t="s">
        <v>22</v>
      </c>
      <c r="K8" s="2" t="b">
        <f aca="false">TRUE()</f>
        <v>1</v>
      </c>
      <c r="L8" s="2" t="b">
        <f aca="false">FALSE()</f>
        <v>0</v>
      </c>
      <c r="M8" s="2" t="b">
        <f aca="false">FALSE()</f>
        <v>0</v>
      </c>
      <c r="N8" s="2" t="b">
        <f aca="false">FALSE()</f>
        <v>0</v>
      </c>
      <c r="O8" s="2" t="b">
        <f aca="false">FALSE()</f>
        <v>0</v>
      </c>
      <c r="P8" s="1" t="s">
        <v>23</v>
      </c>
    </row>
    <row r="9" customFormat="false" ht="2871.4" hidden="false" customHeight="false" outlineLevel="0" collapsed="false">
      <c r="A9" s="1" t="s">
        <v>53</v>
      </c>
      <c r="B9" s="1" t="s">
        <v>54</v>
      </c>
      <c r="C9" s="4" t="s">
        <v>55</v>
      </c>
      <c r="D9" s="1" t="s">
        <v>27</v>
      </c>
      <c r="E9" s="1" t="s">
        <v>27</v>
      </c>
      <c r="F9" s="1" t="n">
        <v>7</v>
      </c>
      <c r="G9" s="1" t="s">
        <v>56</v>
      </c>
      <c r="H9" s="2" t="b">
        <f aca="false">TRUE()</f>
        <v>1</v>
      </c>
      <c r="I9" s="1" t="s">
        <v>44</v>
      </c>
      <c r="J9" s="1" t="s">
        <v>44</v>
      </c>
      <c r="K9" s="2" t="b">
        <f aca="false">TRUE()</f>
        <v>1</v>
      </c>
      <c r="L9" s="2" t="b">
        <f aca="false">FALSE()</f>
        <v>0</v>
      </c>
      <c r="M9" s="2" t="b">
        <f aca="false">TRUE()</f>
        <v>1</v>
      </c>
      <c r="N9" s="2" t="b">
        <f aca="false">FALSE()</f>
        <v>0</v>
      </c>
      <c r="O9" s="2" t="b">
        <f aca="false">FALSE()</f>
        <v>0</v>
      </c>
      <c r="P9" s="1" t="s">
        <v>23</v>
      </c>
    </row>
    <row r="10" customFormat="false" ht="2893.2" hidden="true" customHeight="false" outlineLevel="0" collapsed="false">
      <c r="A10" s="1" t="s">
        <v>57</v>
      </c>
      <c r="B10" s="1" t="s">
        <v>58</v>
      </c>
      <c r="C10" s="4" t="s">
        <v>59</v>
      </c>
      <c r="D10" s="1" t="s">
        <v>20</v>
      </c>
      <c r="E10" s="1" t="s">
        <v>20</v>
      </c>
      <c r="F10" s="1" t="n">
        <v>2</v>
      </c>
      <c r="G10" s="1" t="s">
        <v>60</v>
      </c>
      <c r="H10" s="2" t="b">
        <f aca="false">TRUE()</f>
        <v>1</v>
      </c>
      <c r="I10" s="1" t="s">
        <v>22</v>
      </c>
      <c r="J10" s="1" t="s">
        <v>22</v>
      </c>
      <c r="K10" s="2" t="b">
        <f aca="false">TRUE()</f>
        <v>1</v>
      </c>
      <c r="L10" s="2" t="b">
        <f aca="false">FALSE()</f>
        <v>0</v>
      </c>
      <c r="M10" s="2" t="b">
        <f aca="false">FALSE()</f>
        <v>0</v>
      </c>
      <c r="N10" s="2" t="b">
        <f aca="false">FALSE()</f>
        <v>0</v>
      </c>
      <c r="O10" s="2" t="b">
        <f aca="false">FALSE()</f>
        <v>0</v>
      </c>
      <c r="P10" s="1" t="s">
        <v>23</v>
      </c>
    </row>
    <row r="11" customFormat="false" ht="3155.25" hidden="true" customHeight="false" outlineLevel="0" collapsed="false">
      <c r="A11" s="1" t="s">
        <v>61</v>
      </c>
      <c r="B11" s="1" t="s">
        <v>62</v>
      </c>
      <c r="C11" s="4" t="s">
        <v>63</v>
      </c>
      <c r="D11" s="1" t="s">
        <v>20</v>
      </c>
      <c r="E11" s="1" t="s">
        <v>20</v>
      </c>
      <c r="F11" s="1" t="n">
        <v>1</v>
      </c>
      <c r="G11" s="1" t="s">
        <v>64</v>
      </c>
      <c r="H11" s="2" t="b">
        <f aca="false">TRUE()</f>
        <v>1</v>
      </c>
      <c r="I11" s="1" t="s">
        <v>22</v>
      </c>
      <c r="J11" s="1" t="s">
        <v>22</v>
      </c>
      <c r="K11" s="2" t="b">
        <f aca="false">TRUE()</f>
        <v>1</v>
      </c>
      <c r="L11" s="2" t="b">
        <f aca="false">FALSE()</f>
        <v>0</v>
      </c>
      <c r="M11" s="2" t="b">
        <f aca="false">FALSE()</f>
        <v>0</v>
      </c>
      <c r="N11" s="2" t="b">
        <f aca="false">FALSE()</f>
        <v>0</v>
      </c>
      <c r="O11" s="2" t="b">
        <f aca="false">FALSE()</f>
        <v>0</v>
      </c>
      <c r="P11" s="1" t="s">
        <v>23</v>
      </c>
    </row>
    <row r="12" customFormat="false" ht="15" hidden="true" customHeight="false" outlineLevel="0" collapsed="false">
      <c r="A12" s="1" t="s">
        <v>65</v>
      </c>
      <c r="B12" s="1" t="s">
        <v>66</v>
      </c>
      <c r="C12" s="1" t="s">
        <v>67</v>
      </c>
      <c r="D12" s="1" t="s">
        <v>20</v>
      </c>
      <c r="E12" s="1" t="s">
        <v>20</v>
      </c>
      <c r="F12" s="1" t="n">
        <v>2</v>
      </c>
      <c r="G12" s="1" t="s">
        <v>68</v>
      </c>
      <c r="H12" s="2" t="b">
        <f aca="false">TRUE()</f>
        <v>1</v>
      </c>
      <c r="I12" s="1" t="s">
        <v>30</v>
      </c>
      <c r="J12" s="1" t="s">
        <v>22</v>
      </c>
      <c r="K12" s="2" t="b">
        <f aca="false">FALSE()</f>
        <v>0</v>
      </c>
      <c r="L12" s="2" t="b">
        <f aca="false">FALSE()</f>
        <v>0</v>
      </c>
      <c r="M12" s="2" t="b">
        <f aca="false">FALSE()</f>
        <v>0</v>
      </c>
      <c r="N12" s="2" t="b">
        <f aca="false">FALSE()</f>
        <v>0</v>
      </c>
      <c r="O12" s="2" t="b">
        <f aca="false">FALSE()</f>
        <v>0</v>
      </c>
      <c r="P12" s="1" t="s">
        <v>23</v>
      </c>
    </row>
    <row r="13" customFormat="false" ht="16.15" hidden="false" customHeight="false" outlineLevel="0" collapsed="false">
      <c r="A13" s="1" t="s">
        <v>69</v>
      </c>
      <c r="B13" s="1" t="s">
        <v>70</v>
      </c>
      <c r="C13" s="1" t="s">
        <v>71</v>
      </c>
      <c r="D13" s="1" t="s">
        <v>27</v>
      </c>
      <c r="E13" s="1" t="s">
        <v>27</v>
      </c>
      <c r="F13" s="1" t="n">
        <v>5</v>
      </c>
      <c r="G13" s="1" t="s">
        <v>72</v>
      </c>
      <c r="H13" s="2" t="b">
        <f aca="false">TRUE()</f>
        <v>1</v>
      </c>
      <c r="I13" s="1" t="s">
        <v>44</v>
      </c>
      <c r="J13" s="1" t="s">
        <v>44</v>
      </c>
      <c r="K13" s="2" t="b">
        <f aca="false">TRUE()</f>
        <v>1</v>
      </c>
      <c r="L13" s="2" t="b">
        <f aca="false">FALSE()</f>
        <v>0</v>
      </c>
      <c r="M13" s="2" t="b">
        <f aca="false">TRUE()</f>
        <v>1</v>
      </c>
      <c r="N13" s="2" t="b">
        <f aca="false">FALSE()</f>
        <v>0</v>
      </c>
      <c r="O13" s="2" t="b">
        <f aca="false">FALSE()</f>
        <v>0</v>
      </c>
      <c r="P13" s="1" t="s">
        <v>23</v>
      </c>
    </row>
    <row r="14" customFormat="false" ht="3276.75" hidden="true" customHeight="false" outlineLevel="0" collapsed="false">
      <c r="A14" s="1" t="s">
        <v>73</v>
      </c>
      <c r="B14" s="1" t="s">
        <v>74</v>
      </c>
      <c r="C14" s="4" t="s">
        <v>75</v>
      </c>
      <c r="D14" s="1" t="s">
        <v>20</v>
      </c>
      <c r="E14" s="1" t="s">
        <v>20</v>
      </c>
      <c r="F14" s="1" t="n">
        <v>1</v>
      </c>
      <c r="G14" s="1" t="s">
        <v>76</v>
      </c>
      <c r="H14" s="2" t="b">
        <f aca="false">TRUE()</f>
        <v>1</v>
      </c>
      <c r="I14" s="1" t="s">
        <v>22</v>
      </c>
      <c r="J14" s="1" t="s">
        <v>22</v>
      </c>
      <c r="K14" s="2" t="b">
        <f aca="false">TRUE()</f>
        <v>1</v>
      </c>
      <c r="L14" s="2" t="b">
        <f aca="false">FALSE()</f>
        <v>0</v>
      </c>
      <c r="M14" s="2" t="b">
        <f aca="false">FALSE()</f>
        <v>0</v>
      </c>
      <c r="N14" s="2" t="b">
        <f aca="false">FALSE()</f>
        <v>0</v>
      </c>
      <c r="O14" s="2" t="b">
        <f aca="false">FALSE()</f>
        <v>0</v>
      </c>
      <c r="P14" s="1" t="s">
        <v>23</v>
      </c>
    </row>
    <row r="15" customFormat="false" ht="15" hidden="false" customHeight="false" outlineLevel="0" collapsed="false">
      <c r="A15" s="1" t="s">
        <v>77</v>
      </c>
      <c r="B15" s="1" t="s">
        <v>78</v>
      </c>
      <c r="C15" s="1" t="s">
        <v>79</v>
      </c>
      <c r="D15" s="1" t="s">
        <v>27</v>
      </c>
      <c r="E15" s="1" t="s">
        <v>27</v>
      </c>
      <c r="F15" s="1" t="n">
        <v>7</v>
      </c>
      <c r="G15" s="1" t="s">
        <v>80</v>
      </c>
      <c r="H15" s="2" t="b">
        <f aca="false">TRUE()</f>
        <v>1</v>
      </c>
      <c r="I15" s="1" t="s">
        <v>81</v>
      </c>
      <c r="J15" s="1" t="s">
        <v>81</v>
      </c>
      <c r="K15" s="2" t="b">
        <f aca="false">TRUE()</f>
        <v>1</v>
      </c>
      <c r="L15" s="2" t="b">
        <f aca="false">FALSE()</f>
        <v>0</v>
      </c>
      <c r="M15" s="2" t="b">
        <f aca="false">FALSE()</f>
        <v>0</v>
      </c>
      <c r="N15" s="2" t="b">
        <f aca="false">TRUE()</f>
        <v>1</v>
      </c>
      <c r="O15" s="2" t="b">
        <f aca="false">FALSE()</f>
        <v>0</v>
      </c>
      <c r="P15" s="1" t="s">
        <v>23</v>
      </c>
    </row>
    <row r="16" customFormat="false" ht="2762.4" hidden="false" customHeight="false" outlineLevel="0" collapsed="false">
      <c r="A16" s="1" t="s">
        <v>82</v>
      </c>
      <c r="B16" s="1" t="s">
        <v>83</v>
      </c>
      <c r="C16" s="4" t="s">
        <v>84</v>
      </c>
      <c r="D16" s="1" t="s">
        <v>27</v>
      </c>
      <c r="E16" s="1" t="s">
        <v>27</v>
      </c>
      <c r="F16" s="1" t="n">
        <v>5</v>
      </c>
      <c r="G16" s="1" t="s">
        <v>85</v>
      </c>
      <c r="H16" s="2" t="b">
        <f aca="false">TRUE()</f>
        <v>1</v>
      </c>
      <c r="I16" s="1" t="s">
        <v>29</v>
      </c>
      <c r="J16" s="1" t="s">
        <v>44</v>
      </c>
      <c r="K16" s="5" t="b">
        <f aca="false">FALSE()</f>
        <v>0</v>
      </c>
      <c r="L16" s="2" t="b">
        <f aca="false">FALSE()</f>
        <v>0</v>
      </c>
      <c r="M16" s="2" t="b">
        <f aca="false">TRUE()</f>
        <v>1</v>
      </c>
      <c r="N16" s="2" t="b">
        <f aca="false">FALSE()</f>
        <v>0</v>
      </c>
      <c r="O16" s="2" t="b">
        <f aca="false">FALSE()</f>
        <v>0</v>
      </c>
      <c r="P16" s="1" t="s">
        <v>23</v>
      </c>
    </row>
    <row r="17" customFormat="false" ht="15" hidden="true" customHeight="false" outlineLevel="0" collapsed="false">
      <c r="A17" s="1" t="s">
        <v>86</v>
      </c>
      <c r="B17" s="1" t="s">
        <v>87</v>
      </c>
      <c r="C17" s="1" t="s">
        <v>88</v>
      </c>
      <c r="D17" s="1" t="s">
        <v>20</v>
      </c>
      <c r="E17" s="1" t="s">
        <v>20</v>
      </c>
      <c r="F17" s="1" t="n">
        <v>1</v>
      </c>
      <c r="G17" s="1" t="s">
        <v>89</v>
      </c>
      <c r="H17" s="2" t="b">
        <f aca="false">TRUE()</f>
        <v>1</v>
      </c>
      <c r="I17" s="1" t="s">
        <v>22</v>
      </c>
      <c r="J17" s="1" t="s">
        <v>22</v>
      </c>
      <c r="K17" s="2" t="b">
        <f aca="false">TRUE()</f>
        <v>1</v>
      </c>
      <c r="L17" s="2" t="b">
        <f aca="false">FALSE()</f>
        <v>0</v>
      </c>
      <c r="M17" s="2" t="b">
        <f aca="false">FALSE()</f>
        <v>0</v>
      </c>
      <c r="N17" s="2" t="b">
        <f aca="false">FALSE()</f>
        <v>0</v>
      </c>
      <c r="O17" s="2" t="b">
        <f aca="false">FALSE()</f>
        <v>0</v>
      </c>
      <c r="P17" s="1" t="s">
        <v>23</v>
      </c>
    </row>
    <row r="18" customFormat="false" ht="3276.75" hidden="true" customHeight="false" outlineLevel="0" collapsed="false">
      <c r="A18" s="1" t="s">
        <v>90</v>
      </c>
      <c r="B18" s="1" t="s">
        <v>91</v>
      </c>
      <c r="C18" s="4" t="s">
        <v>92</v>
      </c>
      <c r="D18" s="1" t="s">
        <v>20</v>
      </c>
      <c r="E18" s="1" t="s">
        <v>20</v>
      </c>
      <c r="F18" s="1" t="n">
        <v>1</v>
      </c>
      <c r="G18" s="1" t="s">
        <v>93</v>
      </c>
      <c r="H18" s="2" t="b">
        <f aca="false">TRUE()</f>
        <v>1</v>
      </c>
      <c r="I18" s="1" t="s">
        <v>22</v>
      </c>
      <c r="J18" s="1" t="s">
        <v>22</v>
      </c>
      <c r="K18" s="2" t="b">
        <f aca="false">TRUE()</f>
        <v>1</v>
      </c>
      <c r="L18" s="2" t="b">
        <f aca="false">FALSE()</f>
        <v>0</v>
      </c>
      <c r="M18" s="2" t="b">
        <f aca="false">FALSE()</f>
        <v>0</v>
      </c>
      <c r="N18" s="2" t="b">
        <f aca="false">FALSE()</f>
        <v>0</v>
      </c>
      <c r="O18" s="2" t="b">
        <f aca="false">FALSE()</f>
        <v>0</v>
      </c>
      <c r="P18" s="1" t="s">
        <v>23</v>
      </c>
    </row>
    <row r="19" customFormat="false" ht="15" hidden="true" customHeight="false" outlineLevel="0" collapsed="false">
      <c r="A19" s="1" t="s">
        <v>94</v>
      </c>
      <c r="B19" s="1" t="s">
        <v>95</v>
      </c>
      <c r="C19" s="1" t="s">
        <v>96</v>
      </c>
      <c r="D19" s="1" t="s">
        <v>20</v>
      </c>
      <c r="E19" s="1" t="s">
        <v>20</v>
      </c>
      <c r="F19" s="1" t="n">
        <v>2</v>
      </c>
      <c r="G19" s="1" t="s">
        <v>97</v>
      </c>
      <c r="H19" s="2" t="b">
        <f aca="false">TRUE()</f>
        <v>1</v>
      </c>
      <c r="I19" s="1" t="s">
        <v>22</v>
      </c>
      <c r="J19" s="1" t="s">
        <v>22</v>
      </c>
      <c r="K19" s="2" t="b">
        <f aca="false">TRUE()</f>
        <v>1</v>
      </c>
      <c r="L19" s="2" t="b">
        <f aca="false">FALSE()</f>
        <v>0</v>
      </c>
      <c r="M19" s="2" t="b">
        <f aca="false">FALSE()</f>
        <v>0</v>
      </c>
      <c r="N19" s="2" t="b">
        <f aca="false">FALSE()</f>
        <v>0</v>
      </c>
      <c r="O19" s="2" t="b">
        <f aca="false">FALSE()</f>
        <v>0</v>
      </c>
      <c r="P19" s="1" t="s">
        <v>23</v>
      </c>
    </row>
    <row r="20" customFormat="false" ht="15" hidden="false" customHeight="false" outlineLevel="0" collapsed="false">
      <c r="A20" s="1" t="s">
        <v>98</v>
      </c>
      <c r="B20" s="1" t="s">
        <v>99</v>
      </c>
      <c r="C20" s="1" t="s">
        <v>100</v>
      </c>
      <c r="D20" s="1" t="s">
        <v>27</v>
      </c>
      <c r="E20" s="1" t="s">
        <v>27</v>
      </c>
      <c r="F20" s="1" t="n">
        <v>6</v>
      </c>
      <c r="G20" s="1" t="s">
        <v>101</v>
      </c>
      <c r="H20" s="2" t="b">
        <f aca="false">TRUE()</f>
        <v>1</v>
      </c>
      <c r="I20" s="1" t="s">
        <v>29</v>
      </c>
      <c r="J20" s="1" t="s">
        <v>44</v>
      </c>
      <c r="K20" s="5" t="b">
        <f aca="false">FALSE()</f>
        <v>0</v>
      </c>
      <c r="L20" s="2" t="b">
        <f aca="false">FALSE()</f>
        <v>0</v>
      </c>
      <c r="M20" s="2" t="b">
        <f aca="false">TRUE()</f>
        <v>1</v>
      </c>
      <c r="N20" s="2" t="b">
        <f aca="false">FALSE()</f>
        <v>0</v>
      </c>
      <c r="O20" s="2" t="b">
        <f aca="false">FALSE()</f>
        <v>0</v>
      </c>
      <c r="P20" s="1" t="s">
        <v>23</v>
      </c>
    </row>
    <row r="21" customFormat="false" ht="15" hidden="true" customHeight="false" outlineLevel="0" collapsed="false">
      <c r="A21" s="1" t="s">
        <v>102</v>
      </c>
      <c r="B21" s="1" t="s">
        <v>103</v>
      </c>
      <c r="C21" s="1" t="s">
        <v>104</v>
      </c>
      <c r="D21" s="1" t="s">
        <v>20</v>
      </c>
      <c r="E21" s="1" t="s">
        <v>20</v>
      </c>
      <c r="F21" s="1" t="n">
        <v>1</v>
      </c>
      <c r="G21" s="1" t="s">
        <v>105</v>
      </c>
      <c r="H21" s="2" t="b">
        <f aca="false">TRUE()</f>
        <v>1</v>
      </c>
      <c r="I21" s="1" t="s">
        <v>22</v>
      </c>
      <c r="J21" s="1" t="s">
        <v>22</v>
      </c>
      <c r="K21" s="2" t="b">
        <f aca="false">TRUE()</f>
        <v>1</v>
      </c>
      <c r="L21" s="2" t="b">
        <f aca="false">FALSE()</f>
        <v>0</v>
      </c>
      <c r="M21" s="2" t="b">
        <f aca="false">FALSE()</f>
        <v>0</v>
      </c>
      <c r="N21" s="2" t="b">
        <f aca="false">FALSE()</f>
        <v>0</v>
      </c>
      <c r="O21" s="2" t="b">
        <f aca="false">FALSE()</f>
        <v>0</v>
      </c>
      <c r="P21" s="1" t="s">
        <v>23</v>
      </c>
    </row>
    <row r="22" customFormat="false" ht="15" hidden="true" customHeight="false" outlineLevel="0" collapsed="false">
      <c r="A22" s="1" t="s">
        <v>106</v>
      </c>
      <c r="B22" s="1" t="s">
        <v>107</v>
      </c>
      <c r="C22" s="1" t="s">
        <v>108</v>
      </c>
      <c r="D22" s="1" t="s">
        <v>20</v>
      </c>
      <c r="E22" s="1" t="s">
        <v>20</v>
      </c>
      <c r="F22" s="1" t="n">
        <v>2</v>
      </c>
      <c r="G22" s="1" t="s">
        <v>109</v>
      </c>
      <c r="H22" s="2" t="b">
        <f aca="false">TRUE()</f>
        <v>1</v>
      </c>
      <c r="I22" s="1" t="s">
        <v>22</v>
      </c>
      <c r="J22" s="1" t="s">
        <v>22</v>
      </c>
      <c r="K22" s="2" t="b">
        <f aca="false">TRUE()</f>
        <v>1</v>
      </c>
      <c r="L22" s="2" t="b">
        <f aca="false">FALSE()</f>
        <v>0</v>
      </c>
      <c r="M22" s="2" t="b">
        <f aca="false">FALSE()</f>
        <v>0</v>
      </c>
      <c r="N22" s="2" t="b">
        <f aca="false">FALSE()</f>
        <v>0</v>
      </c>
      <c r="O22" s="2" t="b">
        <f aca="false">FALSE()</f>
        <v>0</v>
      </c>
      <c r="P22" s="1" t="s">
        <v>23</v>
      </c>
    </row>
    <row r="23" customFormat="false" ht="2795.1" hidden="true" customHeight="false" outlineLevel="0" collapsed="false">
      <c r="A23" s="1" t="s">
        <v>110</v>
      </c>
      <c r="B23" s="1" t="s">
        <v>111</v>
      </c>
      <c r="C23" s="4" t="s">
        <v>112</v>
      </c>
      <c r="D23" s="1" t="s">
        <v>20</v>
      </c>
      <c r="H23" s="2" t="b">
        <f aca="false">FALSE()</f>
        <v>0</v>
      </c>
      <c r="I23" s="1" t="s">
        <v>22</v>
      </c>
      <c r="J23" s="1" t="s">
        <v>30</v>
      </c>
      <c r="K23" s="2" t="b">
        <f aca="false">FALSE()</f>
        <v>0</v>
      </c>
      <c r="P23" s="1" t="s">
        <v>113</v>
      </c>
      <c r="Q23" s="1" t="s">
        <v>114</v>
      </c>
    </row>
    <row r="24" customFormat="false" ht="15" hidden="true" customHeight="false" outlineLevel="0" collapsed="false">
      <c r="A24" s="1" t="s">
        <v>115</v>
      </c>
      <c r="B24" s="1" t="s">
        <v>116</v>
      </c>
      <c r="C24" s="1" t="s">
        <v>117</v>
      </c>
      <c r="D24" s="1" t="s">
        <v>20</v>
      </c>
      <c r="E24" s="1" t="s">
        <v>20</v>
      </c>
      <c r="F24" s="1" t="n">
        <v>1</v>
      </c>
      <c r="G24" s="1" t="s">
        <v>118</v>
      </c>
      <c r="H24" s="2" t="b">
        <f aca="false">TRUE()</f>
        <v>1</v>
      </c>
      <c r="I24" s="1" t="s">
        <v>22</v>
      </c>
      <c r="J24" s="1" t="s">
        <v>22</v>
      </c>
      <c r="K24" s="2" t="b">
        <f aca="false">TRUE()</f>
        <v>1</v>
      </c>
      <c r="L24" s="2" t="b">
        <f aca="false">FALSE()</f>
        <v>0</v>
      </c>
      <c r="M24" s="2" t="b">
        <f aca="false">FALSE()</f>
        <v>0</v>
      </c>
      <c r="N24" s="2" t="b">
        <f aca="false">FALSE()</f>
        <v>0</v>
      </c>
      <c r="O24" s="2" t="b">
        <f aca="false">FALSE()</f>
        <v>0</v>
      </c>
      <c r="P24" s="1" t="s">
        <v>23</v>
      </c>
    </row>
    <row r="25" customFormat="false" ht="15" hidden="true" customHeight="false" outlineLevel="0" collapsed="false">
      <c r="A25" s="1" t="s">
        <v>119</v>
      </c>
      <c r="B25" s="1" t="s">
        <v>120</v>
      </c>
      <c r="C25" s="1" t="s">
        <v>121</v>
      </c>
      <c r="D25" s="1" t="s">
        <v>20</v>
      </c>
      <c r="E25" s="1" t="s">
        <v>20</v>
      </c>
      <c r="F25" s="1" t="n">
        <v>1</v>
      </c>
      <c r="G25" s="1" t="s">
        <v>122</v>
      </c>
      <c r="H25" s="2" t="b">
        <f aca="false">TRUE()</f>
        <v>1</v>
      </c>
      <c r="I25" s="1" t="s">
        <v>22</v>
      </c>
      <c r="J25" s="1" t="s">
        <v>22</v>
      </c>
      <c r="K25" s="2" t="b">
        <f aca="false">TRUE()</f>
        <v>1</v>
      </c>
      <c r="L25" s="2" t="b">
        <f aca="false">FALSE()</f>
        <v>0</v>
      </c>
      <c r="M25" s="2" t="b">
        <f aca="false">FALSE()</f>
        <v>0</v>
      </c>
      <c r="N25" s="2" t="b">
        <f aca="false">FALSE()</f>
        <v>0</v>
      </c>
      <c r="O25" s="2" t="b">
        <f aca="false">FALSE()</f>
        <v>0</v>
      </c>
      <c r="P25" s="1" t="s">
        <v>23</v>
      </c>
    </row>
    <row r="26" customFormat="false" ht="15" hidden="true" customHeight="false" outlineLevel="0" collapsed="false">
      <c r="A26" s="1" t="s">
        <v>123</v>
      </c>
      <c r="B26" s="1" t="s">
        <v>124</v>
      </c>
      <c r="C26" s="1" t="s">
        <v>125</v>
      </c>
      <c r="D26" s="1" t="s">
        <v>20</v>
      </c>
      <c r="E26" s="1" t="s">
        <v>20</v>
      </c>
      <c r="F26" s="1" t="n">
        <v>1</v>
      </c>
      <c r="G26" s="1" t="s">
        <v>126</v>
      </c>
      <c r="H26" s="2" t="b">
        <f aca="false">TRUE()</f>
        <v>1</v>
      </c>
      <c r="I26" s="1" t="s">
        <v>22</v>
      </c>
      <c r="J26" s="1" t="s">
        <v>22</v>
      </c>
      <c r="K26" s="2" t="b">
        <f aca="false">TRUE()</f>
        <v>1</v>
      </c>
      <c r="L26" s="2" t="b">
        <f aca="false">FALSE()</f>
        <v>0</v>
      </c>
      <c r="M26" s="2" t="b">
        <f aca="false">FALSE()</f>
        <v>0</v>
      </c>
      <c r="N26" s="2" t="b">
        <f aca="false">FALSE()</f>
        <v>0</v>
      </c>
      <c r="O26" s="2" t="b">
        <f aca="false">FALSE()</f>
        <v>0</v>
      </c>
      <c r="P26" s="1" t="s">
        <v>23</v>
      </c>
    </row>
    <row r="27" customFormat="false" ht="3276.75" hidden="true" customHeight="false" outlineLevel="0" collapsed="false">
      <c r="A27" s="1" t="s">
        <v>127</v>
      </c>
      <c r="B27" s="1" t="s">
        <v>128</v>
      </c>
      <c r="C27" s="4" t="s">
        <v>129</v>
      </c>
      <c r="D27" s="1" t="s">
        <v>20</v>
      </c>
      <c r="E27" s="1" t="s">
        <v>20</v>
      </c>
      <c r="F27" s="1" t="n">
        <v>2</v>
      </c>
      <c r="G27" s="1" t="s">
        <v>130</v>
      </c>
      <c r="H27" s="2" t="b">
        <f aca="false">TRUE()</f>
        <v>1</v>
      </c>
      <c r="I27" s="1" t="s">
        <v>44</v>
      </c>
      <c r="J27" s="1" t="s">
        <v>22</v>
      </c>
      <c r="K27" s="2" t="b">
        <f aca="false">FALSE()</f>
        <v>0</v>
      </c>
      <c r="L27" s="2" t="b">
        <f aca="false">FALSE()</f>
        <v>0</v>
      </c>
      <c r="M27" s="2" t="b">
        <f aca="false">FALSE()</f>
        <v>0</v>
      </c>
      <c r="N27" s="2" t="b">
        <f aca="false">FALSE()</f>
        <v>0</v>
      </c>
      <c r="O27" s="2" t="b">
        <f aca="false">FALSE()</f>
        <v>0</v>
      </c>
      <c r="P27" s="1" t="s">
        <v>23</v>
      </c>
    </row>
    <row r="28" customFormat="false" ht="2751.5" hidden="false" customHeight="false" outlineLevel="0" collapsed="false">
      <c r="A28" s="1" t="s">
        <v>131</v>
      </c>
      <c r="B28" s="1" t="s">
        <v>132</v>
      </c>
      <c r="C28" s="4" t="s">
        <v>133</v>
      </c>
      <c r="D28" s="1" t="s">
        <v>27</v>
      </c>
      <c r="E28" s="1" t="s">
        <v>27</v>
      </c>
      <c r="F28" s="1" t="n">
        <v>7</v>
      </c>
      <c r="G28" s="1" t="s">
        <v>134</v>
      </c>
      <c r="H28" s="2" t="b">
        <f aca="false">TRUE()</f>
        <v>1</v>
      </c>
      <c r="I28" s="1" t="s">
        <v>44</v>
      </c>
      <c r="J28" s="1" t="s">
        <v>44</v>
      </c>
      <c r="K28" s="2" t="b">
        <f aca="false">TRUE()</f>
        <v>1</v>
      </c>
      <c r="L28" s="2" t="b">
        <f aca="false">FALSE()</f>
        <v>0</v>
      </c>
      <c r="M28" s="2" t="b">
        <f aca="false">TRUE()</f>
        <v>1</v>
      </c>
      <c r="N28" s="2" t="b">
        <f aca="false">FALSE()</f>
        <v>0</v>
      </c>
      <c r="O28" s="2" t="b">
        <f aca="false">FALSE()</f>
        <v>0</v>
      </c>
      <c r="P28" s="1" t="s">
        <v>23</v>
      </c>
    </row>
    <row r="29" customFormat="false" ht="15" hidden="true" customHeight="false" outlineLevel="0" collapsed="false">
      <c r="A29" s="1" t="s">
        <v>135</v>
      </c>
      <c r="B29" s="1" t="s">
        <v>136</v>
      </c>
      <c r="C29" s="1" t="s">
        <v>137</v>
      </c>
      <c r="D29" s="1" t="s">
        <v>20</v>
      </c>
      <c r="E29" s="1" t="s">
        <v>20</v>
      </c>
      <c r="F29" s="1" t="n">
        <v>2</v>
      </c>
      <c r="G29" s="1" t="s">
        <v>138</v>
      </c>
      <c r="H29" s="2" t="b">
        <f aca="false">TRUE()</f>
        <v>1</v>
      </c>
      <c r="I29" s="1" t="s">
        <v>22</v>
      </c>
      <c r="J29" s="1" t="s">
        <v>22</v>
      </c>
      <c r="K29" s="2" t="b">
        <f aca="false">TRUE()</f>
        <v>1</v>
      </c>
      <c r="L29" s="2" t="b">
        <f aca="false">FALSE()</f>
        <v>0</v>
      </c>
      <c r="M29" s="2" t="b">
        <f aca="false">FALSE()</f>
        <v>0</v>
      </c>
      <c r="N29" s="2" t="b">
        <f aca="false">FALSE()</f>
        <v>0</v>
      </c>
      <c r="O29" s="2" t="b">
        <f aca="false">FALSE()</f>
        <v>0</v>
      </c>
      <c r="P29" s="1" t="s">
        <v>23</v>
      </c>
    </row>
    <row r="30" customFormat="false" ht="3276.75" hidden="true" customHeight="false" outlineLevel="0" collapsed="false">
      <c r="A30" s="1" t="s">
        <v>139</v>
      </c>
      <c r="B30" s="1" t="s">
        <v>140</v>
      </c>
      <c r="C30" s="4" t="s">
        <v>141</v>
      </c>
      <c r="D30" s="1" t="s">
        <v>20</v>
      </c>
      <c r="E30" s="1" t="s">
        <v>20</v>
      </c>
      <c r="F30" s="1" t="n">
        <v>2</v>
      </c>
      <c r="G30" s="1" t="s">
        <v>142</v>
      </c>
      <c r="H30" s="2" t="b">
        <f aca="false">TRUE()</f>
        <v>1</v>
      </c>
      <c r="I30" s="1" t="s">
        <v>44</v>
      </c>
      <c r="J30" s="1" t="s">
        <v>22</v>
      </c>
      <c r="K30" s="2" t="b">
        <f aca="false">FALSE()</f>
        <v>0</v>
      </c>
      <c r="L30" s="2" t="b">
        <f aca="false">FALSE()</f>
        <v>0</v>
      </c>
      <c r="M30" s="2" t="b">
        <f aca="false">FALSE()</f>
        <v>0</v>
      </c>
      <c r="N30" s="2" t="b">
        <f aca="false">FALSE()</f>
        <v>0</v>
      </c>
      <c r="O30" s="2" t="b">
        <f aca="false">FALSE()</f>
        <v>0</v>
      </c>
      <c r="P30" s="1" t="s">
        <v>23</v>
      </c>
    </row>
    <row r="31" customFormat="false" ht="15" hidden="true" customHeight="false" outlineLevel="0" collapsed="false">
      <c r="A31" s="1" t="s">
        <v>143</v>
      </c>
      <c r="B31" s="1" t="s">
        <v>144</v>
      </c>
      <c r="C31" s="1" t="s">
        <v>145</v>
      </c>
      <c r="D31" s="1" t="s">
        <v>20</v>
      </c>
      <c r="E31" s="1" t="s">
        <v>20</v>
      </c>
      <c r="F31" s="1" t="n">
        <v>1</v>
      </c>
      <c r="G31" s="1" t="s">
        <v>146</v>
      </c>
      <c r="H31" s="2" t="b">
        <f aca="false">TRUE()</f>
        <v>1</v>
      </c>
      <c r="I31" s="1" t="s">
        <v>22</v>
      </c>
      <c r="J31" s="1" t="s">
        <v>22</v>
      </c>
      <c r="K31" s="2" t="b">
        <f aca="false">TRUE()</f>
        <v>1</v>
      </c>
      <c r="L31" s="2" t="b">
        <f aca="false">FALSE()</f>
        <v>0</v>
      </c>
      <c r="M31" s="2" t="b">
        <f aca="false">FALSE()</f>
        <v>0</v>
      </c>
      <c r="N31" s="2" t="b">
        <f aca="false">FALSE()</f>
        <v>0</v>
      </c>
      <c r="O31" s="2" t="b">
        <f aca="false">FALSE()</f>
        <v>0</v>
      </c>
      <c r="P31" s="1" t="s">
        <v>23</v>
      </c>
    </row>
    <row r="32" customFormat="false" ht="3276.75" hidden="true" customHeight="false" outlineLevel="0" collapsed="false">
      <c r="A32" s="1" t="s">
        <v>147</v>
      </c>
      <c r="B32" s="1" t="s">
        <v>148</v>
      </c>
      <c r="C32" s="4" t="s">
        <v>149</v>
      </c>
      <c r="D32" s="1" t="s">
        <v>20</v>
      </c>
      <c r="E32" s="1" t="s">
        <v>20</v>
      </c>
      <c r="F32" s="1" t="n">
        <v>1</v>
      </c>
      <c r="G32" s="1" t="s">
        <v>150</v>
      </c>
      <c r="H32" s="2" t="b">
        <f aca="false">TRUE()</f>
        <v>1</v>
      </c>
      <c r="I32" s="1" t="s">
        <v>22</v>
      </c>
      <c r="J32" s="1" t="s">
        <v>22</v>
      </c>
      <c r="K32" s="2" t="b">
        <f aca="false">TRUE()</f>
        <v>1</v>
      </c>
      <c r="L32" s="2" t="b">
        <f aca="false">FALSE()</f>
        <v>0</v>
      </c>
      <c r="M32" s="2" t="b">
        <f aca="false">FALSE()</f>
        <v>0</v>
      </c>
      <c r="N32" s="2" t="b">
        <f aca="false">FALSE()</f>
        <v>0</v>
      </c>
      <c r="O32" s="2" t="b">
        <f aca="false">FALSE()</f>
        <v>0</v>
      </c>
      <c r="P32" s="1" t="s">
        <v>23</v>
      </c>
    </row>
    <row r="33" customFormat="false" ht="3276.75" hidden="true" customHeight="false" outlineLevel="0" collapsed="false">
      <c r="A33" s="1" t="s">
        <v>151</v>
      </c>
      <c r="B33" s="1" t="s">
        <v>148</v>
      </c>
      <c r="C33" s="4" t="s">
        <v>149</v>
      </c>
      <c r="D33" s="1" t="s">
        <v>20</v>
      </c>
      <c r="E33" s="1" t="s">
        <v>20</v>
      </c>
      <c r="F33" s="1" t="n">
        <v>1</v>
      </c>
      <c r="G33" s="1" t="s">
        <v>152</v>
      </c>
      <c r="H33" s="2" t="b">
        <f aca="false">TRUE()</f>
        <v>1</v>
      </c>
      <c r="I33" s="1" t="s">
        <v>22</v>
      </c>
      <c r="J33" s="1" t="s">
        <v>22</v>
      </c>
      <c r="K33" s="2" t="b">
        <f aca="false">TRUE()</f>
        <v>1</v>
      </c>
      <c r="L33" s="2" t="b">
        <f aca="false">FALSE()</f>
        <v>0</v>
      </c>
      <c r="M33" s="2" t="b">
        <f aca="false">FALSE()</f>
        <v>0</v>
      </c>
      <c r="N33" s="2" t="b">
        <f aca="false">FALSE()</f>
        <v>0</v>
      </c>
      <c r="O33" s="2" t="b">
        <f aca="false">FALSE()</f>
        <v>0</v>
      </c>
      <c r="P33" s="1" t="s">
        <v>23</v>
      </c>
    </row>
    <row r="34" customFormat="false" ht="3276.75" hidden="true" customHeight="false" outlineLevel="0" collapsed="false">
      <c r="A34" s="1" t="s">
        <v>153</v>
      </c>
      <c r="B34" s="1" t="s">
        <v>154</v>
      </c>
      <c r="C34" s="4" t="s">
        <v>155</v>
      </c>
      <c r="D34" s="1" t="s">
        <v>20</v>
      </c>
      <c r="E34" s="1" t="s">
        <v>20</v>
      </c>
      <c r="F34" s="1" t="n">
        <v>1</v>
      </c>
      <c r="G34" s="1" t="s">
        <v>156</v>
      </c>
      <c r="H34" s="2" t="b">
        <f aca="false">TRUE()</f>
        <v>1</v>
      </c>
      <c r="I34" s="1" t="s">
        <v>22</v>
      </c>
      <c r="J34" s="1" t="s">
        <v>22</v>
      </c>
      <c r="K34" s="2" t="b">
        <f aca="false">TRUE()</f>
        <v>1</v>
      </c>
      <c r="L34" s="2" t="b">
        <f aca="false">FALSE()</f>
        <v>0</v>
      </c>
      <c r="M34" s="2" t="b">
        <f aca="false">FALSE()</f>
        <v>0</v>
      </c>
      <c r="N34" s="2" t="b">
        <f aca="false">FALSE()</f>
        <v>0</v>
      </c>
      <c r="O34" s="2" t="b">
        <f aca="false">FALSE()</f>
        <v>0</v>
      </c>
      <c r="P34" s="1" t="s">
        <v>23</v>
      </c>
    </row>
    <row r="35" customFormat="false" ht="3276.75" hidden="true" customHeight="false" outlineLevel="0" collapsed="false">
      <c r="A35" s="1" t="s">
        <v>157</v>
      </c>
      <c r="B35" s="1" t="s">
        <v>158</v>
      </c>
      <c r="C35" s="4" t="s">
        <v>159</v>
      </c>
      <c r="D35" s="1" t="s">
        <v>20</v>
      </c>
      <c r="E35" s="1" t="s">
        <v>20</v>
      </c>
      <c r="F35" s="1" t="n">
        <v>1</v>
      </c>
      <c r="G35" s="1" t="s">
        <v>160</v>
      </c>
      <c r="H35" s="2" t="b">
        <f aca="false">TRUE()</f>
        <v>1</v>
      </c>
      <c r="I35" s="1" t="s">
        <v>22</v>
      </c>
      <c r="J35" s="1" t="s">
        <v>22</v>
      </c>
      <c r="K35" s="2" t="b">
        <f aca="false">TRUE()</f>
        <v>1</v>
      </c>
      <c r="L35" s="2" t="b">
        <f aca="false">FALSE()</f>
        <v>0</v>
      </c>
      <c r="M35" s="2" t="b">
        <f aca="false">FALSE()</f>
        <v>0</v>
      </c>
      <c r="N35" s="2" t="b">
        <f aca="false">FALSE()</f>
        <v>0</v>
      </c>
      <c r="O35" s="2" t="b">
        <f aca="false">FALSE()</f>
        <v>0</v>
      </c>
      <c r="P35" s="1" t="s">
        <v>23</v>
      </c>
    </row>
    <row r="36" customFormat="false" ht="3276.75" hidden="true" customHeight="false" outlineLevel="0" collapsed="false">
      <c r="A36" s="1" t="s">
        <v>161</v>
      </c>
      <c r="B36" s="1" t="s">
        <v>158</v>
      </c>
      <c r="C36" s="4" t="s">
        <v>159</v>
      </c>
      <c r="D36" s="1" t="s">
        <v>20</v>
      </c>
      <c r="E36" s="1" t="s">
        <v>20</v>
      </c>
      <c r="F36" s="1" t="n">
        <v>1</v>
      </c>
      <c r="G36" s="1" t="s">
        <v>160</v>
      </c>
      <c r="H36" s="2" t="b">
        <f aca="false">TRUE()</f>
        <v>1</v>
      </c>
      <c r="I36" s="1" t="s">
        <v>22</v>
      </c>
      <c r="J36" s="1" t="s">
        <v>22</v>
      </c>
      <c r="K36" s="2" t="b">
        <f aca="false">TRUE()</f>
        <v>1</v>
      </c>
      <c r="L36" s="2" t="b">
        <f aca="false">FALSE()</f>
        <v>0</v>
      </c>
      <c r="M36" s="2" t="b">
        <f aca="false">FALSE()</f>
        <v>0</v>
      </c>
      <c r="N36" s="2" t="b">
        <f aca="false">FALSE()</f>
        <v>0</v>
      </c>
      <c r="O36" s="2" t="b">
        <f aca="false">FALSE()</f>
        <v>0</v>
      </c>
      <c r="P36" s="1" t="s">
        <v>23</v>
      </c>
    </row>
    <row r="37" customFormat="false" ht="15" hidden="false" customHeight="false" outlineLevel="0" collapsed="false">
      <c r="A37" s="1" t="s">
        <v>162</v>
      </c>
      <c r="B37" s="1" t="s">
        <v>163</v>
      </c>
      <c r="C37" s="1" t="s">
        <v>164</v>
      </c>
      <c r="D37" s="1" t="s">
        <v>27</v>
      </c>
      <c r="E37" s="1" t="s">
        <v>27</v>
      </c>
      <c r="F37" s="1" t="n">
        <v>6</v>
      </c>
      <c r="G37" s="1" t="s">
        <v>165</v>
      </c>
      <c r="H37" s="2" t="b">
        <f aca="false">TRUE()</f>
        <v>1</v>
      </c>
      <c r="I37" s="1" t="s">
        <v>29</v>
      </c>
      <c r="J37" s="1" t="s">
        <v>29</v>
      </c>
      <c r="K37" s="2" t="b">
        <f aca="false">TRUE()</f>
        <v>1</v>
      </c>
      <c r="L37" s="2" t="b">
        <f aca="false">TRUE()</f>
        <v>1</v>
      </c>
      <c r="M37" s="2" t="b">
        <f aca="false">FALSE()</f>
        <v>0</v>
      </c>
      <c r="N37" s="2" t="b">
        <f aca="false">FALSE()</f>
        <v>0</v>
      </c>
      <c r="O37" s="2" t="b">
        <f aca="false">FALSE()</f>
        <v>0</v>
      </c>
      <c r="P37" s="1" t="s">
        <v>23</v>
      </c>
    </row>
    <row r="38" customFormat="false" ht="15" hidden="true" customHeight="false" outlineLevel="0" collapsed="false">
      <c r="A38" s="1" t="s">
        <v>166</v>
      </c>
      <c r="B38" s="1" t="s">
        <v>167</v>
      </c>
      <c r="C38" s="1" t="s">
        <v>168</v>
      </c>
      <c r="D38" s="1" t="s">
        <v>20</v>
      </c>
      <c r="E38" s="1" t="s">
        <v>20</v>
      </c>
      <c r="F38" s="1" t="n">
        <v>2</v>
      </c>
      <c r="G38" s="1" t="s">
        <v>169</v>
      </c>
      <c r="H38" s="2" t="b">
        <f aca="false">TRUE()</f>
        <v>1</v>
      </c>
      <c r="I38" s="1" t="s">
        <v>22</v>
      </c>
      <c r="J38" s="1" t="s">
        <v>22</v>
      </c>
      <c r="K38" s="2" t="b">
        <f aca="false">TRUE()</f>
        <v>1</v>
      </c>
      <c r="L38" s="2" t="b">
        <f aca="false">FALSE()</f>
        <v>0</v>
      </c>
      <c r="M38" s="2" t="b">
        <f aca="false">FALSE()</f>
        <v>0</v>
      </c>
      <c r="N38" s="2" t="b">
        <f aca="false">FALSE()</f>
        <v>0</v>
      </c>
      <c r="O38" s="2" t="b">
        <f aca="false">FALSE()</f>
        <v>0</v>
      </c>
      <c r="P38" s="1" t="s">
        <v>23</v>
      </c>
    </row>
    <row r="39" customFormat="false" ht="1125.55" hidden="false" customHeight="false" outlineLevel="0" collapsed="false">
      <c r="A39" s="1" t="s">
        <v>170</v>
      </c>
      <c r="B39" s="1" t="s">
        <v>171</v>
      </c>
      <c r="C39" s="4" t="s">
        <v>172</v>
      </c>
      <c r="D39" s="1" t="s">
        <v>27</v>
      </c>
      <c r="E39" s="1" t="s">
        <v>27</v>
      </c>
      <c r="F39" s="1" t="n">
        <v>6</v>
      </c>
      <c r="G39" s="1" t="s">
        <v>173</v>
      </c>
      <c r="H39" s="2" t="b">
        <f aca="false">TRUE()</f>
        <v>1</v>
      </c>
      <c r="I39" s="1" t="s">
        <v>29</v>
      </c>
      <c r="J39" s="1" t="s">
        <v>29</v>
      </c>
      <c r="K39" s="2" t="b">
        <f aca="false">TRUE()</f>
        <v>1</v>
      </c>
      <c r="L39" s="2" t="b">
        <f aca="false">TRUE()</f>
        <v>1</v>
      </c>
      <c r="M39" s="2" t="b">
        <f aca="false">FALSE()</f>
        <v>0</v>
      </c>
      <c r="N39" s="2" t="b">
        <f aca="false">FALSE()</f>
        <v>0</v>
      </c>
      <c r="O39" s="2" t="b">
        <f aca="false">FALSE()</f>
        <v>0</v>
      </c>
      <c r="P39" s="1" t="s">
        <v>23</v>
      </c>
    </row>
    <row r="40" customFormat="false" ht="3276.75" hidden="false" customHeight="false" outlineLevel="0" collapsed="false">
      <c r="A40" s="1" t="s">
        <v>174</v>
      </c>
      <c r="B40" s="1" t="s">
        <v>175</v>
      </c>
      <c r="C40" s="4" t="s">
        <v>176</v>
      </c>
      <c r="D40" s="1" t="s">
        <v>27</v>
      </c>
      <c r="E40" s="1" t="s">
        <v>27</v>
      </c>
      <c r="F40" s="1" t="n">
        <v>5</v>
      </c>
      <c r="G40" s="1" t="s">
        <v>177</v>
      </c>
      <c r="H40" s="2" t="b">
        <f aca="false">TRUE()</f>
        <v>1</v>
      </c>
      <c r="I40" s="1" t="s">
        <v>30</v>
      </c>
      <c r="J40" s="1" t="s">
        <v>30</v>
      </c>
      <c r="K40" s="2" t="b">
        <f aca="false">TRUE()</f>
        <v>1</v>
      </c>
      <c r="L40" s="2" t="b">
        <f aca="false">FALSE()</f>
        <v>0</v>
      </c>
      <c r="M40" s="2" t="b">
        <f aca="false">TRUE()</f>
        <v>1</v>
      </c>
      <c r="N40" s="2" t="b">
        <f aca="false">TRUE()</f>
        <v>1</v>
      </c>
      <c r="O40" s="2" t="b">
        <f aca="false">FALSE()</f>
        <v>0</v>
      </c>
      <c r="P40" s="1" t="s">
        <v>23</v>
      </c>
    </row>
    <row r="41" customFormat="false" ht="15" hidden="true" customHeight="false" outlineLevel="0" collapsed="false">
      <c r="A41" s="1" t="s">
        <v>178</v>
      </c>
      <c r="B41" s="1" t="s">
        <v>179</v>
      </c>
      <c r="C41" s="1" t="s">
        <v>180</v>
      </c>
      <c r="D41" s="1" t="s">
        <v>20</v>
      </c>
      <c r="E41" s="1" t="s">
        <v>20</v>
      </c>
      <c r="F41" s="1" t="n">
        <v>1</v>
      </c>
      <c r="G41" s="1" t="s">
        <v>181</v>
      </c>
      <c r="H41" s="2" t="b">
        <f aca="false">TRUE()</f>
        <v>1</v>
      </c>
      <c r="I41" s="1" t="s">
        <v>22</v>
      </c>
      <c r="J41" s="1" t="s">
        <v>22</v>
      </c>
      <c r="K41" s="2" t="b">
        <f aca="false">TRUE()</f>
        <v>1</v>
      </c>
      <c r="L41" s="2" t="b">
        <f aca="false">FALSE()</f>
        <v>0</v>
      </c>
      <c r="M41" s="2" t="b">
        <f aca="false">FALSE()</f>
        <v>0</v>
      </c>
      <c r="N41" s="2" t="b">
        <f aca="false">FALSE()</f>
        <v>0</v>
      </c>
      <c r="O41" s="2" t="b">
        <f aca="false">FALSE()</f>
        <v>0</v>
      </c>
      <c r="P41" s="1" t="s">
        <v>23</v>
      </c>
    </row>
    <row r="42" customFormat="false" ht="15" hidden="true" customHeight="false" outlineLevel="0" collapsed="false">
      <c r="A42" s="1" t="s">
        <v>182</v>
      </c>
      <c r="B42" s="1" t="s">
        <v>183</v>
      </c>
      <c r="C42" s="1" t="s">
        <v>184</v>
      </c>
      <c r="D42" s="1" t="s">
        <v>20</v>
      </c>
      <c r="E42" s="1" t="s">
        <v>20</v>
      </c>
      <c r="F42" s="1" t="n">
        <v>1</v>
      </c>
      <c r="G42" s="1" t="s">
        <v>185</v>
      </c>
      <c r="H42" s="2" t="b">
        <f aca="false">TRUE()</f>
        <v>1</v>
      </c>
      <c r="I42" s="1" t="s">
        <v>22</v>
      </c>
      <c r="J42" s="1" t="s">
        <v>22</v>
      </c>
      <c r="K42" s="2" t="b">
        <f aca="false">TRUE()</f>
        <v>1</v>
      </c>
      <c r="L42" s="2" t="b">
        <f aca="false">FALSE()</f>
        <v>0</v>
      </c>
      <c r="M42" s="2" t="b">
        <f aca="false">FALSE()</f>
        <v>0</v>
      </c>
      <c r="N42" s="2" t="b">
        <f aca="false">FALSE()</f>
        <v>0</v>
      </c>
      <c r="O42" s="2" t="b">
        <f aca="false">FALSE()</f>
        <v>0</v>
      </c>
      <c r="P42" s="1" t="s">
        <v>23</v>
      </c>
    </row>
    <row r="43" customFormat="false" ht="3276.75" hidden="true" customHeight="false" outlineLevel="0" collapsed="false">
      <c r="A43" s="1" t="s">
        <v>186</v>
      </c>
      <c r="B43" s="1" t="s">
        <v>187</v>
      </c>
      <c r="C43" s="4" t="s">
        <v>188</v>
      </c>
      <c r="D43" s="1" t="s">
        <v>20</v>
      </c>
      <c r="E43" s="1" t="s">
        <v>20</v>
      </c>
      <c r="F43" s="1" t="n">
        <v>1</v>
      </c>
      <c r="G43" s="1" t="s">
        <v>189</v>
      </c>
      <c r="H43" s="2" t="b">
        <f aca="false">TRUE()</f>
        <v>1</v>
      </c>
      <c r="I43" s="1" t="s">
        <v>22</v>
      </c>
      <c r="J43" s="1" t="s">
        <v>22</v>
      </c>
      <c r="K43" s="2" t="b">
        <f aca="false">TRUE()</f>
        <v>1</v>
      </c>
      <c r="L43" s="2" t="b">
        <f aca="false">FALSE()</f>
        <v>0</v>
      </c>
      <c r="M43" s="2" t="b">
        <f aca="false">FALSE()</f>
        <v>0</v>
      </c>
      <c r="N43" s="2" t="b">
        <f aca="false">FALSE()</f>
        <v>0</v>
      </c>
      <c r="O43" s="2" t="b">
        <f aca="false">FALSE()</f>
        <v>0</v>
      </c>
      <c r="P43" s="1" t="s">
        <v>23</v>
      </c>
    </row>
    <row r="44" customFormat="false" ht="3276.75" hidden="true" customHeight="false" outlineLevel="0" collapsed="false">
      <c r="A44" s="1" t="s">
        <v>190</v>
      </c>
      <c r="B44" s="1" t="s">
        <v>191</v>
      </c>
      <c r="C44" s="4" t="s">
        <v>192</v>
      </c>
      <c r="D44" s="1" t="s">
        <v>20</v>
      </c>
      <c r="H44" s="2" t="b">
        <f aca="false">FALSE()</f>
        <v>0</v>
      </c>
      <c r="I44" s="1" t="s">
        <v>22</v>
      </c>
      <c r="J44" s="1" t="s">
        <v>30</v>
      </c>
      <c r="K44" s="2" t="b">
        <f aca="false">FALSE()</f>
        <v>0</v>
      </c>
      <c r="P44" s="1" t="s">
        <v>113</v>
      </c>
      <c r="Q44" s="1" t="s">
        <v>114</v>
      </c>
    </row>
    <row r="45" customFormat="false" ht="15" hidden="true" customHeight="false" outlineLevel="0" collapsed="false">
      <c r="A45" s="1" t="s">
        <v>193</v>
      </c>
      <c r="B45" s="1" t="s">
        <v>194</v>
      </c>
      <c r="C45" s="1" t="s">
        <v>195</v>
      </c>
      <c r="D45" s="1" t="s">
        <v>27</v>
      </c>
      <c r="E45" s="1" t="s">
        <v>20</v>
      </c>
      <c r="F45" s="1" t="n">
        <v>2</v>
      </c>
      <c r="G45" s="1" t="s">
        <v>196</v>
      </c>
      <c r="H45" s="2" t="b">
        <f aca="false">FALSE()</f>
        <v>0</v>
      </c>
      <c r="I45" s="1" t="s">
        <v>30</v>
      </c>
      <c r="J45" s="1" t="s">
        <v>22</v>
      </c>
      <c r="K45" s="2" t="b">
        <f aca="false">FALSE()</f>
        <v>0</v>
      </c>
      <c r="L45" s="2" t="b">
        <f aca="false">FALSE()</f>
        <v>0</v>
      </c>
      <c r="M45" s="2" t="b">
        <f aca="false">FALSE()</f>
        <v>0</v>
      </c>
      <c r="N45" s="2" t="b">
        <f aca="false">FALSE()</f>
        <v>0</v>
      </c>
      <c r="O45" s="2" t="b">
        <f aca="false">FALSE()</f>
        <v>0</v>
      </c>
      <c r="P45" s="1" t="s">
        <v>23</v>
      </c>
    </row>
    <row r="46" customFormat="false" ht="15" hidden="true" customHeight="false" outlineLevel="0" collapsed="false">
      <c r="A46" s="1" t="s">
        <v>197</v>
      </c>
      <c r="B46" s="1" t="s">
        <v>198</v>
      </c>
      <c r="C46" s="1" t="s">
        <v>199</v>
      </c>
      <c r="D46" s="1" t="s">
        <v>20</v>
      </c>
      <c r="E46" s="1" t="s">
        <v>20</v>
      </c>
      <c r="F46" s="1" t="n">
        <v>1</v>
      </c>
      <c r="G46" s="1" t="s">
        <v>200</v>
      </c>
      <c r="H46" s="2" t="b">
        <f aca="false">TRUE()</f>
        <v>1</v>
      </c>
      <c r="I46" s="1" t="s">
        <v>22</v>
      </c>
      <c r="J46" s="1" t="s">
        <v>22</v>
      </c>
      <c r="K46" s="2" t="b">
        <f aca="false">TRUE()</f>
        <v>1</v>
      </c>
      <c r="L46" s="2" t="b">
        <f aca="false">FALSE()</f>
        <v>0</v>
      </c>
      <c r="M46" s="2" t="b">
        <f aca="false">FALSE()</f>
        <v>0</v>
      </c>
      <c r="N46" s="2" t="b">
        <f aca="false">FALSE()</f>
        <v>0</v>
      </c>
      <c r="O46" s="2" t="b">
        <f aca="false">FALSE()</f>
        <v>0</v>
      </c>
      <c r="P46" s="1" t="s">
        <v>23</v>
      </c>
    </row>
    <row r="47" customFormat="false" ht="3276.75" hidden="true" customHeight="false" outlineLevel="0" collapsed="false">
      <c r="A47" s="1" t="s">
        <v>201</v>
      </c>
      <c r="B47" s="1" t="s">
        <v>202</v>
      </c>
      <c r="C47" s="4" t="s">
        <v>203</v>
      </c>
      <c r="D47" s="1" t="s">
        <v>20</v>
      </c>
      <c r="E47" s="1" t="s">
        <v>20</v>
      </c>
      <c r="F47" s="1" t="n">
        <v>1</v>
      </c>
      <c r="G47" s="1" t="s">
        <v>204</v>
      </c>
      <c r="H47" s="2" t="b">
        <f aca="false">TRUE()</f>
        <v>1</v>
      </c>
      <c r="I47" s="1" t="s">
        <v>22</v>
      </c>
      <c r="J47" s="1" t="s">
        <v>22</v>
      </c>
      <c r="K47" s="2" t="b">
        <f aca="false">TRUE()</f>
        <v>1</v>
      </c>
      <c r="L47" s="2" t="b">
        <f aca="false">FALSE()</f>
        <v>0</v>
      </c>
      <c r="M47" s="2" t="b">
        <f aca="false">FALSE()</f>
        <v>0</v>
      </c>
      <c r="N47" s="2" t="b">
        <f aca="false">FALSE()</f>
        <v>0</v>
      </c>
      <c r="O47" s="2" t="b">
        <f aca="false">FALSE()</f>
        <v>0</v>
      </c>
      <c r="P47" s="1" t="s">
        <v>23</v>
      </c>
    </row>
    <row r="48" customFormat="false" ht="3276.75" hidden="true" customHeight="false" outlineLevel="0" collapsed="false">
      <c r="A48" s="1" t="s">
        <v>205</v>
      </c>
      <c r="B48" s="1" t="s">
        <v>206</v>
      </c>
      <c r="C48" s="4" t="s">
        <v>207</v>
      </c>
      <c r="D48" s="1" t="s">
        <v>20</v>
      </c>
      <c r="H48" s="2" t="b">
        <f aca="false">FALSE()</f>
        <v>0</v>
      </c>
      <c r="I48" s="1" t="s">
        <v>22</v>
      </c>
      <c r="J48" s="1" t="s">
        <v>30</v>
      </c>
      <c r="K48" s="2" t="b">
        <f aca="false">FALSE()</f>
        <v>0</v>
      </c>
      <c r="P48" s="1" t="s">
        <v>113</v>
      </c>
      <c r="Q48" s="1" t="s">
        <v>114</v>
      </c>
    </row>
    <row r="49" customFormat="false" ht="3276.75" hidden="true" customHeight="false" outlineLevel="0" collapsed="false">
      <c r="A49" s="1" t="s">
        <v>208</v>
      </c>
      <c r="B49" s="1" t="s">
        <v>209</v>
      </c>
      <c r="C49" s="4" t="s">
        <v>210</v>
      </c>
      <c r="D49" s="1" t="s">
        <v>20</v>
      </c>
      <c r="H49" s="2" t="b">
        <f aca="false">FALSE()</f>
        <v>0</v>
      </c>
      <c r="I49" s="1" t="s">
        <v>22</v>
      </c>
      <c r="J49" s="1" t="s">
        <v>30</v>
      </c>
      <c r="K49" s="2" t="b">
        <f aca="false">FALSE()</f>
        <v>0</v>
      </c>
      <c r="P49" s="1" t="s">
        <v>113</v>
      </c>
      <c r="Q49" s="1" t="s">
        <v>114</v>
      </c>
    </row>
    <row r="50" customFormat="false" ht="15" hidden="true" customHeight="false" outlineLevel="0" collapsed="false">
      <c r="A50" s="1" t="s">
        <v>211</v>
      </c>
      <c r="B50" s="1" t="s">
        <v>212</v>
      </c>
      <c r="C50" s="1" t="s">
        <v>213</v>
      </c>
      <c r="D50" s="1" t="s">
        <v>20</v>
      </c>
      <c r="E50" s="1" t="s">
        <v>20</v>
      </c>
      <c r="F50" s="1" t="n">
        <v>1</v>
      </c>
      <c r="G50" s="1" t="s">
        <v>214</v>
      </c>
      <c r="H50" s="2" t="b">
        <f aca="false">TRUE()</f>
        <v>1</v>
      </c>
      <c r="I50" s="1" t="s">
        <v>22</v>
      </c>
      <c r="J50" s="1" t="s">
        <v>22</v>
      </c>
      <c r="K50" s="2" t="b">
        <f aca="false">TRUE()</f>
        <v>1</v>
      </c>
      <c r="L50" s="2" t="b">
        <f aca="false">FALSE()</f>
        <v>0</v>
      </c>
      <c r="M50" s="2" t="b">
        <f aca="false">FALSE()</f>
        <v>0</v>
      </c>
      <c r="N50" s="2" t="b">
        <f aca="false">FALSE()</f>
        <v>0</v>
      </c>
      <c r="O50" s="2" t="b">
        <f aca="false">FALSE()</f>
        <v>0</v>
      </c>
      <c r="P50" s="1" t="s">
        <v>23</v>
      </c>
    </row>
    <row r="51" customFormat="false" ht="15" hidden="true" customHeight="false" outlineLevel="0" collapsed="false">
      <c r="A51" s="1" t="s">
        <v>215</v>
      </c>
      <c r="B51" s="1" t="s">
        <v>216</v>
      </c>
      <c r="C51" s="1" t="s">
        <v>217</v>
      </c>
      <c r="D51" s="1" t="s">
        <v>20</v>
      </c>
      <c r="E51" s="1" t="s">
        <v>20</v>
      </c>
      <c r="F51" s="1" t="n">
        <v>1</v>
      </c>
      <c r="G51" s="1" t="s">
        <v>218</v>
      </c>
      <c r="H51" s="2" t="b">
        <f aca="false">TRUE()</f>
        <v>1</v>
      </c>
      <c r="I51" s="1" t="s">
        <v>22</v>
      </c>
      <c r="J51" s="1" t="s">
        <v>22</v>
      </c>
      <c r="K51" s="2" t="b">
        <f aca="false">TRUE()</f>
        <v>1</v>
      </c>
      <c r="L51" s="2" t="b">
        <f aca="false">FALSE()</f>
        <v>0</v>
      </c>
      <c r="M51" s="2" t="b">
        <f aca="false">FALSE()</f>
        <v>0</v>
      </c>
      <c r="N51" s="2" t="b">
        <f aca="false">FALSE()</f>
        <v>0</v>
      </c>
      <c r="O51" s="2" t="b">
        <f aca="false">FALSE()</f>
        <v>0</v>
      </c>
      <c r="P51" s="1" t="s">
        <v>23</v>
      </c>
    </row>
    <row r="52" customFormat="false" ht="2871.4" hidden="true" customHeight="false" outlineLevel="0" collapsed="false">
      <c r="A52" s="1" t="s">
        <v>219</v>
      </c>
      <c r="B52" s="1" t="s">
        <v>220</v>
      </c>
      <c r="C52" s="4" t="s">
        <v>221</v>
      </c>
      <c r="D52" s="1" t="s">
        <v>27</v>
      </c>
      <c r="E52" s="1" t="s">
        <v>20</v>
      </c>
      <c r="F52" s="1" t="n">
        <v>2</v>
      </c>
      <c r="G52" s="1" t="s">
        <v>222</v>
      </c>
      <c r="H52" s="2" t="b">
        <f aca="false">FALSE()</f>
        <v>0</v>
      </c>
      <c r="I52" s="1" t="s">
        <v>44</v>
      </c>
      <c r="J52" s="1" t="s">
        <v>22</v>
      </c>
      <c r="K52" s="2" t="b">
        <f aca="false">FALSE()</f>
        <v>0</v>
      </c>
      <c r="L52" s="2" t="b">
        <f aca="false">FALSE()</f>
        <v>0</v>
      </c>
      <c r="M52" s="2" t="b">
        <f aca="false">FALSE()</f>
        <v>0</v>
      </c>
      <c r="N52" s="2" t="b">
        <f aca="false">FALSE()</f>
        <v>0</v>
      </c>
      <c r="O52" s="2" t="b">
        <f aca="false">FALSE()</f>
        <v>0</v>
      </c>
      <c r="P52" s="1" t="s">
        <v>23</v>
      </c>
    </row>
    <row r="53" customFormat="false" ht="3276.75" hidden="true" customHeight="false" outlineLevel="0" collapsed="false">
      <c r="A53" s="1" t="s">
        <v>223</v>
      </c>
      <c r="B53" s="1" t="s">
        <v>224</v>
      </c>
      <c r="C53" s="4" t="s">
        <v>225</v>
      </c>
      <c r="D53" s="1" t="s">
        <v>20</v>
      </c>
      <c r="E53" s="1" t="s">
        <v>20</v>
      </c>
      <c r="F53" s="1" t="n">
        <v>1</v>
      </c>
      <c r="G53" s="1" t="s">
        <v>226</v>
      </c>
      <c r="H53" s="2" t="b">
        <f aca="false">TRUE()</f>
        <v>1</v>
      </c>
      <c r="I53" s="1" t="s">
        <v>22</v>
      </c>
      <c r="J53" s="1" t="s">
        <v>22</v>
      </c>
      <c r="K53" s="2" t="b">
        <f aca="false">TRUE()</f>
        <v>1</v>
      </c>
      <c r="L53" s="2" t="b">
        <f aca="false">FALSE()</f>
        <v>0</v>
      </c>
      <c r="M53" s="2" t="b">
        <f aca="false">FALSE()</f>
        <v>0</v>
      </c>
      <c r="N53" s="2" t="b">
        <f aca="false">FALSE()</f>
        <v>0</v>
      </c>
      <c r="O53" s="2" t="b">
        <f aca="false">FALSE()</f>
        <v>0</v>
      </c>
      <c r="P53" s="1" t="s">
        <v>23</v>
      </c>
    </row>
    <row r="54" customFormat="false" ht="15" hidden="true" customHeight="false" outlineLevel="0" collapsed="false">
      <c r="A54" s="1" t="s">
        <v>227</v>
      </c>
      <c r="B54" s="1" t="s">
        <v>228</v>
      </c>
      <c r="C54" s="1" t="s">
        <v>229</v>
      </c>
      <c r="D54" s="1" t="s">
        <v>20</v>
      </c>
      <c r="E54" s="1" t="s">
        <v>20</v>
      </c>
      <c r="F54" s="1" t="n">
        <v>1</v>
      </c>
      <c r="G54" s="1" t="s">
        <v>230</v>
      </c>
      <c r="H54" s="2" t="b">
        <f aca="false">TRUE()</f>
        <v>1</v>
      </c>
      <c r="I54" s="1" t="s">
        <v>22</v>
      </c>
      <c r="J54" s="1" t="s">
        <v>22</v>
      </c>
      <c r="K54" s="2" t="b">
        <f aca="false">TRUE()</f>
        <v>1</v>
      </c>
      <c r="L54" s="2" t="b">
        <f aca="false">FALSE()</f>
        <v>0</v>
      </c>
      <c r="M54" s="2" t="b">
        <f aca="false">FALSE()</f>
        <v>0</v>
      </c>
      <c r="N54" s="2" t="b">
        <f aca="false">FALSE()</f>
        <v>0</v>
      </c>
      <c r="O54" s="2" t="b">
        <f aca="false">FALSE()</f>
        <v>0</v>
      </c>
      <c r="P54" s="1" t="s">
        <v>23</v>
      </c>
    </row>
    <row r="55" customFormat="false" ht="3276.75" hidden="true" customHeight="false" outlineLevel="0" collapsed="false">
      <c r="A55" s="1" t="s">
        <v>231</v>
      </c>
      <c r="B55" s="1" t="s">
        <v>232</v>
      </c>
      <c r="C55" s="4" t="s">
        <v>233</v>
      </c>
      <c r="D55" s="1" t="s">
        <v>20</v>
      </c>
      <c r="E55" s="1" t="s">
        <v>20</v>
      </c>
      <c r="F55" s="1" t="n">
        <v>2</v>
      </c>
      <c r="G55" s="1" t="s">
        <v>234</v>
      </c>
      <c r="H55" s="2" t="b">
        <f aca="false">TRUE()</f>
        <v>1</v>
      </c>
      <c r="I55" s="1" t="s">
        <v>22</v>
      </c>
      <c r="J55" s="1" t="s">
        <v>22</v>
      </c>
      <c r="K55" s="2" t="b">
        <f aca="false">TRUE()</f>
        <v>1</v>
      </c>
      <c r="L55" s="2" t="b">
        <f aca="false">FALSE()</f>
        <v>0</v>
      </c>
      <c r="M55" s="2" t="b">
        <f aca="false">FALSE()</f>
        <v>0</v>
      </c>
      <c r="N55" s="2" t="b">
        <f aca="false">FALSE()</f>
        <v>0</v>
      </c>
      <c r="O55" s="2" t="b">
        <f aca="false">FALSE()</f>
        <v>0</v>
      </c>
      <c r="P55" s="1" t="s">
        <v>23</v>
      </c>
    </row>
    <row r="56" customFormat="false" ht="2249.6" hidden="true" customHeight="false" outlineLevel="0" collapsed="false">
      <c r="A56" s="1" t="s">
        <v>235</v>
      </c>
      <c r="B56" s="1" t="s">
        <v>236</v>
      </c>
      <c r="C56" s="4" t="s">
        <v>237</v>
      </c>
      <c r="D56" s="1" t="s">
        <v>20</v>
      </c>
      <c r="E56" s="1" t="s">
        <v>20</v>
      </c>
      <c r="F56" s="1" t="n">
        <v>1</v>
      </c>
      <c r="G56" s="1" t="s">
        <v>238</v>
      </c>
      <c r="H56" s="2" t="b">
        <f aca="false">TRUE()</f>
        <v>1</v>
      </c>
      <c r="I56" s="1" t="s">
        <v>22</v>
      </c>
      <c r="J56" s="1" t="s">
        <v>22</v>
      </c>
      <c r="K56" s="2" t="b">
        <f aca="false">TRUE()</f>
        <v>1</v>
      </c>
      <c r="L56" s="2" t="b">
        <f aca="false">FALSE()</f>
        <v>0</v>
      </c>
      <c r="M56" s="2" t="b">
        <f aca="false">FALSE()</f>
        <v>0</v>
      </c>
      <c r="N56" s="2" t="b">
        <f aca="false">FALSE()</f>
        <v>0</v>
      </c>
      <c r="O56" s="2" t="b">
        <f aca="false">FALSE()</f>
        <v>0</v>
      </c>
      <c r="P56" s="1" t="s">
        <v>23</v>
      </c>
    </row>
    <row r="57" customFormat="false" ht="15" hidden="false" customHeight="false" outlineLevel="0" collapsed="false">
      <c r="A57" s="1" t="s">
        <v>239</v>
      </c>
      <c r="B57" s="1" t="s">
        <v>240</v>
      </c>
      <c r="C57" s="1" t="s">
        <v>241</v>
      </c>
      <c r="D57" s="1" t="s">
        <v>27</v>
      </c>
      <c r="E57" s="1" t="s">
        <v>27</v>
      </c>
      <c r="F57" s="1" t="n">
        <v>6</v>
      </c>
      <c r="G57" s="1" t="s">
        <v>242</v>
      </c>
      <c r="H57" s="2" t="b">
        <f aca="false">TRUE()</f>
        <v>1</v>
      </c>
      <c r="I57" s="1" t="s">
        <v>29</v>
      </c>
      <c r="J57" s="1" t="s">
        <v>29</v>
      </c>
      <c r="K57" s="2" t="b">
        <f aca="false">TRUE()</f>
        <v>1</v>
      </c>
      <c r="L57" s="2" t="b">
        <f aca="false">TRUE()</f>
        <v>1</v>
      </c>
      <c r="M57" s="2" t="b">
        <f aca="false">FALSE()</f>
        <v>0</v>
      </c>
      <c r="N57" s="2" t="b">
        <f aca="false">FALSE()</f>
        <v>0</v>
      </c>
      <c r="O57" s="2" t="b">
        <f aca="false">FALSE()</f>
        <v>0</v>
      </c>
      <c r="P57" s="1" t="s">
        <v>23</v>
      </c>
    </row>
    <row r="58" customFormat="false" ht="3276.75" hidden="true" customHeight="false" outlineLevel="0" collapsed="false">
      <c r="A58" s="1" t="s">
        <v>243</v>
      </c>
      <c r="B58" s="1" t="s">
        <v>244</v>
      </c>
      <c r="C58" s="4" t="s">
        <v>245</v>
      </c>
      <c r="D58" s="1" t="s">
        <v>20</v>
      </c>
      <c r="E58" s="1" t="s">
        <v>20</v>
      </c>
      <c r="F58" s="1" t="n">
        <v>1</v>
      </c>
      <c r="G58" s="1" t="s">
        <v>246</v>
      </c>
      <c r="H58" s="2" t="b">
        <f aca="false">TRUE()</f>
        <v>1</v>
      </c>
      <c r="I58" s="1" t="s">
        <v>22</v>
      </c>
      <c r="J58" s="1" t="s">
        <v>22</v>
      </c>
      <c r="K58" s="2" t="b">
        <f aca="false">TRUE()</f>
        <v>1</v>
      </c>
      <c r="L58" s="2" t="b">
        <f aca="false">FALSE()</f>
        <v>0</v>
      </c>
      <c r="M58" s="2" t="b">
        <f aca="false">FALSE()</f>
        <v>0</v>
      </c>
      <c r="N58" s="2" t="b">
        <f aca="false">FALSE()</f>
        <v>0</v>
      </c>
      <c r="O58" s="2" t="b">
        <f aca="false">FALSE()</f>
        <v>0</v>
      </c>
      <c r="P58" s="1" t="s">
        <v>23</v>
      </c>
    </row>
    <row r="59" customFormat="false" ht="2795.1" hidden="true" customHeight="false" outlineLevel="0" collapsed="false">
      <c r="A59" s="1" t="s">
        <v>247</v>
      </c>
      <c r="B59" s="1" t="s">
        <v>248</v>
      </c>
      <c r="C59" s="4" t="s">
        <v>249</v>
      </c>
      <c r="D59" s="1" t="s">
        <v>20</v>
      </c>
      <c r="H59" s="2" t="b">
        <f aca="false">FALSE()</f>
        <v>0</v>
      </c>
      <c r="I59" s="1" t="s">
        <v>22</v>
      </c>
      <c r="J59" s="1" t="s">
        <v>30</v>
      </c>
      <c r="K59" s="2" t="b">
        <f aca="false">FALSE()</f>
        <v>0</v>
      </c>
      <c r="P59" s="1" t="s">
        <v>113</v>
      </c>
      <c r="Q59" s="1" t="s">
        <v>114</v>
      </c>
    </row>
    <row r="60" customFormat="false" ht="3276.75" hidden="true" customHeight="false" outlineLevel="0" collapsed="false">
      <c r="A60" s="1" t="s">
        <v>250</v>
      </c>
      <c r="B60" s="1" t="s">
        <v>251</v>
      </c>
      <c r="C60" s="4" t="s">
        <v>252</v>
      </c>
      <c r="D60" s="1" t="s">
        <v>20</v>
      </c>
      <c r="E60" s="1" t="s">
        <v>20</v>
      </c>
      <c r="F60" s="1" t="n">
        <v>1</v>
      </c>
      <c r="G60" s="1" t="s">
        <v>253</v>
      </c>
      <c r="H60" s="2" t="b">
        <f aca="false">TRUE()</f>
        <v>1</v>
      </c>
      <c r="I60" s="1" t="s">
        <v>22</v>
      </c>
      <c r="J60" s="1" t="s">
        <v>22</v>
      </c>
      <c r="K60" s="2" t="b">
        <f aca="false">TRUE()</f>
        <v>1</v>
      </c>
      <c r="L60" s="2" t="b">
        <f aca="false">FALSE()</f>
        <v>0</v>
      </c>
      <c r="M60" s="2" t="b">
        <f aca="false">FALSE()</f>
        <v>0</v>
      </c>
      <c r="N60" s="2" t="b">
        <f aca="false">FALSE()</f>
        <v>0</v>
      </c>
      <c r="O60" s="2" t="b">
        <f aca="false">FALSE()</f>
        <v>0</v>
      </c>
      <c r="P60" s="1" t="s">
        <v>23</v>
      </c>
    </row>
    <row r="61" customFormat="false" ht="15" hidden="true" customHeight="false" outlineLevel="0" collapsed="false">
      <c r="A61" s="1" t="s">
        <v>254</v>
      </c>
      <c r="B61" s="1" t="s">
        <v>255</v>
      </c>
      <c r="C61" s="1" t="s">
        <v>256</v>
      </c>
      <c r="D61" s="1" t="s">
        <v>20</v>
      </c>
      <c r="E61" s="1" t="s">
        <v>20</v>
      </c>
      <c r="F61" s="1" t="n">
        <v>1</v>
      </c>
      <c r="G61" s="1" t="s">
        <v>257</v>
      </c>
      <c r="H61" s="2" t="b">
        <f aca="false">TRUE()</f>
        <v>1</v>
      </c>
      <c r="I61" s="1" t="s">
        <v>22</v>
      </c>
      <c r="J61" s="1" t="s">
        <v>22</v>
      </c>
      <c r="K61" s="2" t="b">
        <f aca="false">TRUE()</f>
        <v>1</v>
      </c>
      <c r="L61" s="2" t="b">
        <f aca="false">FALSE()</f>
        <v>0</v>
      </c>
      <c r="M61" s="2" t="b">
        <f aca="false">FALSE()</f>
        <v>0</v>
      </c>
      <c r="N61" s="2" t="b">
        <f aca="false">FALSE()</f>
        <v>0</v>
      </c>
      <c r="O61" s="2" t="b">
        <f aca="false">FALSE()</f>
        <v>0</v>
      </c>
      <c r="P61" s="1" t="s">
        <v>23</v>
      </c>
    </row>
    <row r="62" customFormat="false" ht="15" hidden="true" customHeight="false" outlineLevel="0" collapsed="false">
      <c r="A62" s="1" t="s">
        <v>258</v>
      </c>
      <c r="B62" s="1" t="s">
        <v>259</v>
      </c>
      <c r="C62" s="1" t="s">
        <v>260</v>
      </c>
      <c r="D62" s="1" t="s">
        <v>20</v>
      </c>
      <c r="E62" s="1" t="s">
        <v>20</v>
      </c>
      <c r="F62" s="1" t="n">
        <v>1</v>
      </c>
      <c r="G62" s="1" t="s">
        <v>261</v>
      </c>
      <c r="H62" s="2" t="b">
        <f aca="false">TRUE()</f>
        <v>1</v>
      </c>
      <c r="I62" s="1" t="s">
        <v>22</v>
      </c>
      <c r="J62" s="1" t="s">
        <v>22</v>
      </c>
      <c r="K62" s="2" t="b">
        <f aca="false">TRUE()</f>
        <v>1</v>
      </c>
      <c r="L62" s="2" t="b">
        <f aca="false">FALSE()</f>
        <v>0</v>
      </c>
      <c r="M62" s="2" t="b">
        <f aca="false">FALSE()</f>
        <v>0</v>
      </c>
      <c r="N62" s="2" t="b">
        <f aca="false">FALSE()</f>
        <v>0</v>
      </c>
      <c r="O62" s="2" t="b">
        <f aca="false">FALSE()</f>
        <v>0</v>
      </c>
      <c r="P62" s="1" t="s">
        <v>23</v>
      </c>
    </row>
    <row r="63" customFormat="false" ht="3276.75" hidden="true" customHeight="false" outlineLevel="0" collapsed="false">
      <c r="A63" s="1" t="s">
        <v>262</v>
      </c>
      <c r="B63" s="1" t="s">
        <v>263</v>
      </c>
      <c r="C63" s="4" t="s">
        <v>264</v>
      </c>
      <c r="D63" s="1" t="s">
        <v>20</v>
      </c>
      <c r="E63" s="1" t="s">
        <v>20</v>
      </c>
      <c r="F63" s="1" t="n">
        <v>1</v>
      </c>
      <c r="G63" s="1" t="s">
        <v>265</v>
      </c>
      <c r="H63" s="2" t="b">
        <f aca="false">TRUE()</f>
        <v>1</v>
      </c>
      <c r="I63" s="1" t="s">
        <v>22</v>
      </c>
      <c r="J63" s="1" t="s">
        <v>22</v>
      </c>
      <c r="K63" s="2" t="b">
        <f aca="false">TRUE()</f>
        <v>1</v>
      </c>
      <c r="L63" s="2" t="b">
        <f aca="false">FALSE()</f>
        <v>0</v>
      </c>
      <c r="M63" s="2" t="b">
        <f aca="false">FALSE()</f>
        <v>0</v>
      </c>
      <c r="N63" s="2" t="b">
        <f aca="false">FALSE()</f>
        <v>0</v>
      </c>
      <c r="O63" s="2" t="b">
        <f aca="false">FALSE()</f>
        <v>0</v>
      </c>
      <c r="P63" s="1" t="s">
        <v>23</v>
      </c>
    </row>
    <row r="64" customFormat="false" ht="15" hidden="true" customHeight="false" outlineLevel="0" collapsed="false">
      <c r="A64" s="1" t="s">
        <v>266</v>
      </c>
      <c r="B64" s="1" t="s">
        <v>267</v>
      </c>
      <c r="C64" s="1" t="s">
        <v>268</v>
      </c>
      <c r="D64" s="1" t="s">
        <v>20</v>
      </c>
      <c r="E64" s="1" t="s">
        <v>20</v>
      </c>
      <c r="F64" s="1" t="n">
        <v>1</v>
      </c>
      <c r="G64" s="1" t="s">
        <v>269</v>
      </c>
      <c r="H64" s="2" t="b">
        <f aca="false">TRUE()</f>
        <v>1</v>
      </c>
      <c r="I64" s="1" t="s">
        <v>22</v>
      </c>
      <c r="J64" s="1" t="s">
        <v>22</v>
      </c>
      <c r="K64" s="2" t="b">
        <f aca="false">TRUE()</f>
        <v>1</v>
      </c>
      <c r="L64" s="2" t="b">
        <f aca="false">FALSE()</f>
        <v>0</v>
      </c>
      <c r="M64" s="2" t="b">
        <f aca="false">FALSE()</f>
        <v>0</v>
      </c>
      <c r="N64" s="2" t="b">
        <f aca="false">FALSE()</f>
        <v>0</v>
      </c>
      <c r="O64" s="2" t="b">
        <f aca="false">FALSE()</f>
        <v>0</v>
      </c>
      <c r="P64" s="1" t="s">
        <v>23</v>
      </c>
    </row>
    <row r="65" customFormat="false" ht="3276.75" hidden="true" customHeight="false" outlineLevel="0" collapsed="false">
      <c r="A65" s="1" t="s">
        <v>270</v>
      </c>
      <c r="B65" s="1" t="s">
        <v>271</v>
      </c>
      <c r="C65" s="4" t="s">
        <v>272</v>
      </c>
      <c r="D65" s="1" t="s">
        <v>20</v>
      </c>
      <c r="E65" s="1" t="s">
        <v>20</v>
      </c>
      <c r="F65" s="1" t="n">
        <v>1</v>
      </c>
      <c r="G65" s="1" t="s">
        <v>273</v>
      </c>
      <c r="H65" s="2" t="b">
        <f aca="false">TRUE()</f>
        <v>1</v>
      </c>
      <c r="I65" s="1" t="s">
        <v>30</v>
      </c>
      <c r="J65" s="1" t="s">
        <v>22</v>
      </c>
      <c r="K65" s="2" t="b">
        <f aca="false">FALSE()</f>
        <v>0</v>
      </c>
      <c r="L65" s="2" t="b">
        <f aca="false">FALSE()</f>
        <v>0</v>
      </c>
      <c r="M65" s="2" t="b">
        <f aca="false">FALSE()</f>
        <v>0</v>
      </c>
      <c r="N65" s="2" t="b">
        <f aca="false">FALSE()</f>
        <v>0</v>
      </c>
      <c r="O65" s="2" t="b">
        <f aca="false">FALSE()</f>
        <v>0</v>
      </c>
      <c r="P65" s="1" t="s">
        <v>23</v>
      </c>
    </row>
    <row r="66" customFormat="false" ht="3276.75" hidden="true" customHeight="false" outlineLevel="0" collapsed="false">
      <c r="A66" s="1" t="s">
        <v>274</v>
      </c>
      <c r="B66" s="1" t="s">
        <v>275</v>
      </c>
      <c r="C66" s="4" t="s">
        <v>276</v>
      </c>
      <c r="D66" s="1" t="s">
        <v>20</v>
      </c>
      <c r="E66" s="1" t="s">
        <v>20</v>
      </c>
      <c r="F66" s="1" t="n">
        <v>2</v>
      </c>
      <c r="G66" s="1" t="s">
        <v>277</v>
      </c>
      <c r="H66" s="2" t="b">
        <f aca="false">TRUE()</f>
        <v>1</v>
      </c>
      <c r="I66" s="1" t="s">
        <v>22</v>
      </c>
      <c r="J66" s="1" t="s">
        <v>22</v>
      </c>
      <c r="K66" s="2" t="b">
        <f aca="false">TRUE()</f>
        <v>1</v>
      </c>
      <c r="L66" s="2" t="b">
        <f aca="false">FALSE()</f>
        <v>0</v>
      </c>
      <c r="M66" s="2" t="b">
        <f aca="false">FALSE()</f>
        <v>0</v>
      </c>
      <c r="N66" s="2" t="b">
        <f aca="false">FALSE()</f>
        <v>0</v>
      </c>
      <c r="O66" s="2" t="b">
        <f aca="false">FALSE()</f>
        <v>0</v>
      </c>
      <c r="P66" s="1" t="s">
        <v>23</v>
      </c>
    </row>
    <row r="67" customFormat="false" ht="15" hidden="true" customHeight="false" outlineLevel="0" collapsed="false">
      <c r="A67" s="1" t="s">
        <v>278</v>
      </c>
      <c r="B67" s="1" t="s">
        <v>279</v>
      </c>
      <c r="C67" s="1" t="s">
        <v>280</v>
      </c>
      <c r="D67" s="1" t="s">
        <v>20</v>
      </c>
      <c r="E67" s="1" t="s">
        <v>20</v>
      </c>
      <c r="F67" s="1" t="n">
        <v>1</v>
      </c>
      <c r="G67" s="1" t="s">
        <v>281</v>
      </c>
      <c r="H67" s="2" t="b">
        <f aca="false">TRUE()</f>
        <v>1</v>
      </c>
      <c r="I67" s="1" t="s">
        <v>22</v>
      </c>
      <c r="J67" s="1" t="s">
        <v>22</v>
      </c>
      <c r="K67" s="2" t="b">
        <f aca="false">TRUE()</f>
        <v>1</v>
      </c>
      <c r="L67" s="2" t="b">
        <f aca="false">FALSE()</f>
        <v>0</v>
      </c>
      <c r="M67" s="2" t="b">
        <f aca="false">FALSE()</f>
        <v>0</v>
      </c>
      <c r="N67" s="2" t="b">
        <f aca="false">FALSE()</f>
        <v>0</v>
      </c>
      <c r="O67" s="2" t="b">
        <f aca="false">FALSE()</f>
        <v>0</v>
      </c>
      <c r="P67" s="1" t="s">
        <v>23</v>
      </c>
    </row>
    <row r="68" customFormat="false" ht="3111.65" hidden="true" customHeight="false" outlineLevel="0" collapsed="false">
      <c r="A68" s="1" t="s">
        <v>282</v>
      </c>
      <c r="B68" s="1" t="s">
        <v>283</v>
      </c>
      <c r="C68" s="4" t="s">
        <v>284</v>
      </c>
      <c r="D68" s="1" t="s">
        <v>20</v>
      </c>
      <c r="E68" s="1" t="s">
        <v>20</v>
      </c>
      <c r="F68" s="1" t="n">
        <v>1</v>
      </c>
      <c r="G68" s="1" t="s">
        <v>285</v>
      </c>
      <c r="H68" s="2" t="b">
        <f aca="false">TRUE()</f>
        <v>1</v>
      </c>
      <c r="I68" s="1" t="s">
        <v>22</v>
      </c>
      <c r="J68" s="1" t="s">
        <v>22</v>
      </c>
      <c r="K68" s="2" t="b">
        <f aca="false">TRUE()</f>
        <v>1</v>
      </c>
      <c r="L68" s="2" t="b">
        <f aca="false">FALSE()</f>
        <v>0</v>
      </c>
      <c r="M68" s="2" t="b">
        <f aca="false">FALSE()</f>
        <v>0</v>
      </c>
      <c r="N68" s="2" t="b">
        <f aca="false">FALSE()</f>
        <v>0</v>
      </c>
      <c r="O68" s="2" t="b">
        <f aca="false">FALSE()</f>
        <v>0</v>
      </c>
      <c r="P68" s="1" t="s">
        <v>23</v>
      </c>
    </row>
    <row r="69" customFormat="false" ht="1714.65" hidden="true" customHeight="false" outlineLevel="0" collapsed="false">
      <c r="A69" s="1" t="s">
        <v>286</v>
      </c>
      <c r="B69" s="1" t="s">
        <v>287</v>
      </c>
      <c r="C69" s="4" t="s">
        <v>288</v>
      </c>
      <c r="D69" s="1" t="s">
        <v>20</v>
      </c>
      <c r="E69" s="1" t="s">
        <v>20</v>
      </c>
      <c r="F69" s="1" t="n">
        <v>1</v>
      </c>
      <c r="G69" s="1" t="s">
        <v>289</v>
      </c>
      <c r="H69" s="2" t="b">
        <f aca="false">TRUE()</f>
        <v>1</v>
      </c>
      <c r="I69" s="1" t="s">
        <v>22</v>
      </c>
      <c r="J69" s="1" t="s">
        <v>22</v>
      </c>
      <c r="K69" s="2" t="b">
        <f aca="false">TRUE()</f>
        <v>1</v>
      </c>
      <c r="L69" s="2" t="b">
        <f aca="false">FALSE()</f>
        <v>0</v>
      </c>
      <c r="M69" s="2" t="b">
        <f aca="false">FALSE()</f>
        <v>0</v>
      </c>
      <c r="N69" s="2" t="b">
        <f aca="false">FALSE()</f>
        <v>0</v>
      </c>
      <c r="O69" s="2" t="b">
        <f aca="false">FALSE()</f>
        <v>0</v>
      </c>
      <c r="P69" s="1" t="s">
        <v>23</v>
      </c>
    </row>
    <row r="70" customFormat="false" ht="15" hidden="true" customHeight="false" outlineLevel="0" collapsed="false">
      <c r="A70" s="1" t="s">
        <v>290</v>
      </c>
      <c r="B70" s="1" t="s">
        <v>291</v>
      </c>
      <c r="C70" s="1" t="s">
        <v>292</v>
      </c>
      <c r="D70" s="1" t="s">
        <v>20</v>
      </c>
      <c r="E70" s="1" t="s">
        <v>20</v>
      </c>
      <c r="F70" s="1" t="n">
        <v>1</v>
      </c>
      <c r="G70" s="1" t="s">
        <v>293</v>
      </c>
      <c r="H70" s="2" t="b">
        <f aca="false">TRUE()</f>
        <v>1</v>
      </c>
      <c r="I70" s="1" t="s">
        <v>22</v>
      </c>
      <c r="J70" s="1" t="s">
        <v>22</v>
      </c>
      <c r="K70" s="2" t="b">
        <f aca="false">TRUE()</f>
        <v>1</v>
      </c>
      <c r="L70" s="2" t="b">
        <f aca="false">FALSE()</f>
        <v>0</v>
      </c>
      <c r="M70" s="2" t="b">
        <f aca="false">FALSE()</f>
        <v>0</v>
      </c>
      <c r="N70" s="2" t="b">
        <f aca="false">FALSE()</f>
        <v>0</v>
      </c>
      <c r="O70" s="2" t="b">
        <f aca="false">FALSE()</f>
        <v>0</v>
      </c>
      <c r="P70" s="1" t="s">
        <v>23</v>
      </c>
    </row>
    <row r="71" customFormat="false" ht="3276.75" hidden="true" customHeight="false" outlineLevel="0" collapsed="false">
      <c r="A71" s="1" t="s">
        <v>294</v>
      </c>
      <c r="B71" s="1" t="s">
        <v>295</v>
      </c>
      <c r="C71" s="4" t="s">
        <v>296</v>
      </c>
      <c r="D71" s="1" t="s">
        <v>20</v>
      </c>
      <c r="E71" s="1" t="s">
        <v>20</v>
      </c>
      <c r="F71" s="1" t="n">
        <v>1</v>
      </c>
      <c r="G71" s="1" t="s">
        <v>297</v>
      </c>
      <c r="H71" s="2" t="b">
        <f aca="false">TRUE()</f>
        <v>1</v>
      </c>
      <c r="I71" s="1" t="s">
        <v>22</v>
      </c>
      <c r="J71" s="1" t="s">
        <v>22</v>
      </c>
      <c r="K71" s="2" t="b">
        <f aca="false">TRUE()</f>
        <v>1</v>
      </c>
      <c r="L71" s="2" t="b">
        <f aca="false">FALSE()</f>
        <v>0</v>
      </c>
      <c r="M71" s="2" t="b">
        <f aca="false">FALSE()</f>
        <v>0</v>
      </c>
      <c r="N71" s="2" t="b">
        <f aca="false">FALSE()</f>
        <v>0</v>
      </c>
      <c r="O71" s="2" t="b">
        <f aca="false">FALSE()</f>
        <v>0</v>
      </c>
      <c r="P71" s="1" t="s">
        <v>23</v>
      </c>
    </row>
    <row r="72" customFormat="false" ht="15" hidden="true" customHeight="false" outlineLevel="0" collapsed="false">
      <c r="A72" s="1" t="s">
        <v>298</v>
      </c>
      <c r="B72" s="1" t="s">
        <v>299</v>
      </c>
      <c r="C72" s="1" t="s">
        <v>300</v>
      </c>
      <c r="D72" s="1" t="s">
        <v>20</v>
      </c>
      <c r="E72" s="1" t="s">
        <v>20</v>
      </c>
      <c r="F72" s="1" t="n">
        <v>2</v>
      </c>
      <c r="G72" s="1" t="s">
        <v>301</v>
      </c>
      <c r="H72" s="2" t="b">
        <f aca="false">TRUE()</f>
        <v>1</v>
      </c>
      <c r="I72" s="1" t="s">
        <v>22</v>
      </c>
      <c r="J72" s="1" t="s">
        <v>22</v>
      </c>
      <c r="K72" s="2" t="b">
        <f aca="false">TRUE()</f>
        <v>1</v>
      </c>
      <c r="L72" s="2" t="b">
        <f aca="false">FALSE()</f>
        <v>0</v>
      </c>
      <c r="M72" s="2" t="b">
        <f aca="false">FALSE()</f>
        <v>0</v>
      </c>
      <c r="N72" s="2" t="b">
        <f aca="false">FALSE()</f>
        <v>0</v>
      </c>
      <c r="O72" s="2" t="b">
        <f aca="false">FALSE()</f>
        <v>0</v>
      </c>
      <c r="P72" s="1" t="s">
        <v>23</v>
      </c>
    </row>
    <row r="73" customFormat="false" ht="3276.75" hidden="true" customHeight="false" outlineLevel="0" collapsed="false">
      <c r="A73" s="1" t="s">
        <v>302</v>
      </c>
      <c r="B73" s="1" t="s">
        <v>303</v>
      </c>
      <c r="C73" s="4" t="s">
        <v>304</v>
      </c>
      <c r="D73" s="1" t="s">
        <v>20</v>
      </c>
      <c r="E73" s="1" t="s">
        <v>20</v>
      </c>
      <c r="F73" s="1" t="n">
        <v>1</v>
      </c>
      <c r="G73" s="1" t="s">
        <v>305</v>
      </c>
      <c r="H73" s="2" t="b">
        <f aca="false">TRUE()</f>
        <v>1</v>
      </c>
      <c r="I73" s="1" t="s">
        <v>22</v>
      </c>
      <c r="J73" s="1" t="s">
        <v>22</v>
      </c>
      <c r="K73" s="2" t="b">
        <f aca="false">TRUE()</f>
        <v>1</v>
      </c>
      <c r="L73" s="2" t="b">
        <f aca="false">FALSE()</f>
        <v>0</v>
      </c>
      <c r="M73" s="2" t="b">
        <f aca="false">FALSE()</f>
        <v>0</v>
      </c>
      <c r="N73" s="2" t="b">
        <f aca="false">FALSE()</f>
        <v>0</v>
      </c>
      <c r="O73" s="2" t="b">
        <f aca="false">FALSE()</f>
        <v>0</v>
      </c>
      <c r="P73" s="1" t="s">
        <v>23</v>
      </c>
    </row>
    <row r="74" customFormat="false" ht="15" hidden="false" customHeight="false" outlineLevel="0" collapsed="false">
      <c r="A74" s="1" t="s">
        <v>306</v>
      </c>
      <c r="B74" s="1" t="s">
        <v>307</v>
      </c>
      <c r="C74" s="1" t="s">
        <v>308</v>
      </c>
      <c r="D74" s="1" t="s">
        <v>27</v>
      </c>
      <c r="E74" s="1" t="s">
        <v>27</v>
      </c>
      <c r="F74" s="1" t="n">
        <v>6</v>
      </c>
      <c r="G74" s="1" t="s">
        <v>309</v>
      </c>
      <c r="H74" s="2" t="b">
        <f aca="false">TRUE()</f>
        <v>1</v>
      </c>
      <c r="I74" s="1" t="s">
        <v>44</v>
      </c>
      <c r="J74" s="1" t="s">
        <v>29</v>
      </c>
      <c r="K74" s="5" t="b">
        <f aca="false">FALSE()</f>
        <v>0</v>
      </c>
      <c r="L74" s="2" t="b">
        <f aca="false">TRUE()</f>
        <v>1</v>
      </c>
      <c r="M74" s="2" t="b">
        <f aca="false">FALSE()</f>
        <v>0</v>
      </c>
      <c r="N74" s="2" t="b">
        <f aca="false">FALSE()</f>
        <v>0</v>
      </c>
      <c r="O74" s="2" t="b">
        <f aca="false">FALSE()</f>
        <v>0</v>
      </c>
      <c r="P74" s="1" t="s">
        <v>23</v>
      </c>
      <c r="Q74" s="1" t="s">
        <v>310</v>
      </c>
    </row>
    <row r="75" customFormat="false" ht="15" hidden="true" customHeight="false" outlineLevel="0" collapsed="false">
      <c r="A75" s="1" t="s">
        <v>311</v>
      </c>
      <c r="B75" s="1" t="s">
        <v>312</v>
      </c>
      <c r="C75" s="1" t="s">
        <v>313</v>
      </c>
      <c r="D75" s="1" t="s">
        <v>20</v>
      </c>
      <c r="E75" s="1" t="s">
        <v>20</v>
      </c>
      <c r="F75" s="1" t="n">
        <v>1</v>
      </c>
      <c r="G75" s="1" t="s">
        <v>314</v>
      </c>
      <c r="H75" s="2" t="b">
        <f aca="false">TRUE()</f>
        <v>1</v>
      </c>
      <c r="I75" s="1" t="s">
        <v>22</v>
      </c>
      <c r="J75" s="1" t="s">
        <v>22</v>
      </c>
      <c r="K75" s="2" t="b">
        <f aca="false">TRUE()</f>
        <v>1</v>
      </c>
      <c r="L75" s="2" t="b">
        <f aca="false">FALSE()</f>
        <v>0</v>
      </c>
      <c r="M75" s="2" t="b">
        <f aca="false">FALSE()</f>
        <v>0</v>
      </c>
      <c r="N75" s="2" t="b">
        <f aca="false">FALSE()</f>
        <v>0</v>
      </c>
      <c r="O75" s="2" t="b">
        <f aca="false">FALSE()</f>
        <v>0</v>
      </c>
      <c r="P75" s="1" t="s">
        <v>23</v>
      </c>
    </row>
    <row r="76" customFormat="false" ht="15" hidden="true" customHeight="false" outlineLevel="0" collapsed="false">
      <c r="A76" s="1" t="s">
        <v>315</v>
      </c>
      <c r="B76" s="1" t="s">
        <v>316</v>
      </c>
      <c r="C76" s="1" t="s">
        <v>317</v>
      </c>
      <c r="D76" s="1" t="s">
        <v>20</v>
      </c>
      <c r="E76" s="1" t="s">
        <v>20</v>
      </c>
      <c r="F76" s="1" t="n">
        <v>1</v>
      </c>
      <c r="G76" s="1" t="s">
        <v>318</v>
      </c>
      <c r="H76" s="2" t="b">
        <f aca="false">TRUE()</f>
        <v>1</v>
      </c>
      <c r="I76" s="1" t="s">
        <v>22</v>
      </c>
      <c r="J76" s="1" t="s">
        <v>22</v>
      </c>
      <c r="K76" s="2" t="b">
        <f aca="false">TRUE()</f>
        <v>1</v>
      </c>
      <c r="L76" s="2" t="b">
        <f aca="false">FALSE()</f>
        <v>0</v>
      </c>
      <c r="M76" s="2" t="b">
        <f aca="false">FALSE()</f>
        <v>0</v>
      </c>
      <c r="N76" s="2" t="b">
        <f aca="false">FALSE()</f>
        <v>0</v>
      </c>
      <c r="O76" s="2" t="b">
        <f aca="false">FALSE()</f>
        <v>0</v>
      </c>
      <c r="P76" s="1" t="s">
        <v>23</v>
      </c>
    </row>
    <row r="77" customFormat="false" ht="15" hidden="true" customHeight="false" outlineLevel="0" collapsed="false">
      <c r="A77" s="1" t="s">
        <v>319</v>
      </c>
      <c r="B77" s="1" t="s">
        <v>320</v>
      </c>
      <c r="C77" s="1" t="s">
        <v>321</v>
      </c>
      <c r="D77" s="1" t="s">
        <v>20</v>
      </c>
      <c r="E77" s="1" t="s">
        <v>20</v>
      </c>
      <c r="F77" s="1" t="n">
        <v>1</v>
      </c>
      <c r="G77" s="1" t="s">
        <v>322</v>
      </c>
      <c r="H77" s="2" t="b">
        <f aca="false">TRUE()</f>
        <v>1</v>
      </c>
      <c r="I77" s="1" t="s">
        <v>22</v>
      </c>
      <c r="J77" s="1" t="s">
        <v>22</v>
      </c>
      <c r="K77" s="2" t="b">
        <f aca="false">TRUE()</f>
        <v>1</v>
      </c>
      <c r="L77" s="2" t="b">
        <f aca="false">FALSE()</f>
        <v>0</v>
      </c>
      <c r="M77" s="2" t="b">
        <f aca="false">FALSE()</f>
        <v>0</v>
      </c>
      <c r="N77" s="2" t="b">
        <f aca="false">FALSE()</f>
        <v>0</v>
      </c>
      <c r="O77" s="2" t="b">
        <f aca="false">FALSE()</f>
        <v>0</v>
      </c>
      <c r="P77" s="1" t="s">
        <v>23</v>
      </c>
    </row>
    <row r="78" customFormat="false" ht="2140.2" hidden="true" customHeight="false" outlineLevel="0" collapsed="false">
      <c r="A78" s="1" t="s">
        <v>323</v>
      </c>
      <c r="B78" s="1" t="s">
        <v>324</v>
      </c>
      <c r="C78" s="4" t="s">
        <v>325</v>
      </c>
      <c r="D78" s="1" t="s">
        <v>20</v>
      </c>
      <c r="E78" s="1" t="s">
        <v>20</v>
      </c>
      <c r="F78" s="1" t="n">
        <v>1</v>
      </c>
      <c r="G78" s="1" t="s">
        <v>326</v>
      </c>
      <c r="H78" s="2" t="b">
        <f aca="false">TRUE()</f>
        <v>1</v>
      </c>
      <c r="I78" s="1" t="s">
        <v>22</v>
      </c>
      <c r="J78" s="1" t="s">
        <v>22</v>
      </c>
      <c r="K78" s="2" t="b">
        <f aca="false">TRUE()</f>
        <v>1</v>
      </c>
      <c r="L78" s="2" t="b">
        <f aca="false">FALSE()</f>
        <v>0</v>
      </c>
      <c r="M78" s="2" t="b">
        <f aca="false">FALSE()</f>
        <v>0</v>
      </c>
      <c r="N78" s="2" t="b">
        <f aca="false">FALSE()</f>
        <v>0</v>
      </c>
      <c r="O78" s="2" t="b">
        <f aca="false">FALSE()</f>
        <v>0</v>
      </c>
      <c r="P78" s="1" t="s">
        <v>23</v>
      </c>
    </row>
    <row r="79" customFormat="false" ht="15" hidden="true" customHeight="false" outlineLevel="0" collapsed="false">
      <c r="A79" s="1" t="s">
        <v>327</v>
      </c>
      <c r="B79" s="1" t="s">
        <v>328</v>
      </c>
      <c r="C79" s="1" t="s">
        <v>329</v>
      </c>
      <c r="D79" s="1" t="s">
        <v>20</v>
      </c>
      <c r="E79" s="1" t="s">
        <v>20</v>
      </c>
      <c r="F79" s="1" t="n">
        <v>1</v>
      </c>
      <c r="G79" s="1" t="s">
        <v>330</v>
      </c>
      <c r="H79" s="2" t="b">
        <f aca="false">TRUE()</f>
        <v>1</v>
      </c>
      <c r="I79" s="1" t="s">
        <v>22</v>
      </c>
      <c r="J79" s="1" t="s">
        <v>22</v>
      </c>
      <c r="K79" s="2" t="b">
        <f aca="false">TRUE()</f>
        <v>1</v>
      </c>
      <c r="L79" s="2" t="b">
        <f aca="false">FALSE()</f>
        <v>0</v>
      </c>
      <c r="M79" s="2" t="b">
        <f aca="false">FALSE()</f>
        <v>0</v>
      </c>
      <c r="N79" s="2" t="b">
        <f aca="false">FALSE()</f>
        <v>0</v>
      </c>
      <c r="O79" s="2" t="b">
        <f aca="false">FALSE()</f>
        <v>0</v>
      </c>
      <c r="P79" s="1" t="s">
        <v>23</v>
      </c>
    </row>
    <row r="80" customFormat="false" ht="15" hidden="true" customHeight="false" outlineLevel="0" collapsed="false">
      <c r="A80" s="1" t="s">
        <v>331</v>
      </c>
      <c r="B80" s="1" t="s">
        <v>332</v>
      </c>
      <c r="C80" s="1" t="s">
        <v>333</v>
      </c>
      <c r="D80" s="1" t="s">
        <v>20</v>
      </c>
      <c r="E80" s="1" t="s">
        <v>20</v>
      </c>
      <c r="F80" s="1" t="n">
        <v>1</v>
      </c>
      <c r="G80" s="1" t="s">
        <v>334</v>
      </c>
      <c r="H80" s="2" t="b">
        <f aca="false">TRUE()</f>
        <v>1</v>
      </c>
      <c r="I80" s="1" t="s">
        <v>22</v>
      </c>
      <c r="J80" s="1" t="s">
        <v>22</v>
      </c>
      <c r="K80" s="2" t="b">
        <f aca="false">TRUE()</f>
        <v>1</v>
      </c>
      <c r="L80" s="2" t="b">
        <f aca="false">FALSE()</f>
        <v>0</v>
      </c>
      <c r="M80" s="2" t="b">
        <f aca="false">FALSE()</f>
        <v>0</v>
      </c>
      <c r="N80" s="2" t="b">
        <f aca="false">FALSE()</f>
        <v>0</v>
      </c>
      <c r="O80" s="2" t="b">
        <f aca="false">FALSE()</f>
        <v>0</v>
      </c>
      <c r="P80" s="1" t="s">
        <v>23</v>
      </c>
    </row>
    <row r="81" customFormat="false" ht="2925.9" hidden="true" customHeight="false" outlineLevel="0" collapsed="false">
      <c r="A81" s="1" t="s">
        <v>335</v>
      </c>
      <c r="B81" s="1" t="s">
        <v>336</v>
      </c>
      <c r="C81" s="4" t="s">
        <v>337</v>
      </c>
      <c r="D81" s="1" t="s">
        <v>20</v>
      </c>
      <c r="E81" s="1" t="s">
        <v>20</v>
      </c>
      <c r="F81" s="1" t="n">
        <v>1</v>
      </c>
      <c r="G81" s="1" t="s">
        <v>338</v>
      </c>
      <c r="H81" s="2" t="b">
        <f aca="false">TRUE()</f>
        <v>1</v>
      </c>
      <c r="I81" s="1" t="s">
        <v>22</v>
      </c>
      <c r="J81" s="1" t="s">
        <v>22</v>
      </c>
      <c r="K81" s="2" t="b">
        <f aca="false">TRUE()</f>
        <v>1</v>
      </c>
      <c r="L81" s="2" t="b">
        <f aca="false">FALSE()</f>
        <v>0</v>
      </c>
      <c r="M81" s="2" t="b">
        <f aca="false">FALSE()</f>
        <v>0</v>
      </c>
      <c r="N81" s="2" t="b">
        <f aca="false">FALSE()</f>
        <v>0</v>
      </c>
      <c r="O81" s="2" t="b">
        <f aca="false">FALSE()</f>
        <v>0</v>
      </c>
      <c r="P81" s="1" t="s">
        <v>23</v>
      </c>
    </row>
    <row r="82" customFormat="false" ht="3276.75" hidden="true" customHeight="false" outlineLevel="0" collapsed="false">
      <c r="A82" s="1" t="s">
        <v>339</v>
      </c>
      <c r="B82" s="1" t="s">
        <v>340</v>
      </c>
      <c r="C82" s="4" t="s">
        <v>341</v>
      </c>
      <c r="D82" s="1" t="s">
        <v>20</v>
      </c>
      <c r="E82" s="1" t="s">
        <v>20</v>
      </c>
      <c r="F82" s="1" t="n">
        <v>1</v>
      </c>
      <c r="G82" s="1" t="s">
        <v>342</v>
      </c>
      <c r="H82" s="2" t="b">
        <f aca="false">TRUE()</f>
        <v>1</v>
      </c>
      <c r="I82" s="1" t="s">
        <v>22</v>
      </c>
      <c r="J82" s="1" t="s">
        <v>22</v>
      </c>
      <c r="K82" s="2" t="b">
        <f aca="false">TRUE()</f>
        <v>1</v>
      </c>
      <c r="L82" s="2" t="b">
        <f aca="false">FALSE()</f>
        <v>0</v>
      </c>
      <c r="M82" s="2" t="b">
        <f aca="false">FALSE()</f>
        <v>0</v>
      </c>
      <c r="N82" s="2" t="b">
        <f aca="false">FALSE()</f>
        <v>0</v>
      </c>
      <c r="O82" s="2" t="b">
        <f aca="false">FALSE()</f>
        <v>0</v>
      </c>
      <c r="P82" s="1" t="s">
        <v>23</v>
      </c>
    </row>
    <row r="83" customFormat="false" ht="3276.75" hidden="true" customHeight="false" outlineLevel="0" collapsed="false">
      <c r="A83" s="1" t="s">
        <v>343</v>
      </c>
      <c r="B83" s="1" t="s">
        <v>344</v>
      </c>
      <c r="C83" s="4" t="s">
        <v>345</v>
      </c>
      <c r="D83" s="1" t="s">
        <v>20</v>
      </c>
      <c r="E83" s="1" t="s">
        <v>20</v>
      </c>
      <c r="F83" s="1" t="n">
        <v>1</v>
      </c>
      <c r="G83" s="1" t="s">
        <v>346</v>
      </c>
      <c r="H83" s="2" t="b">
        <f aca="false">TRUE()</f>
        <v>1</v>
      </c>
      <c r="I83" s="1" t="s">
        <v>22</v>
      </c>
      <c r="J83" s="1" t="s">
        <v>22</v>
      </c>
      <c r="K83" s="2" t="b">
        <f aca="false">TRUE()</f>
        <v>1</v>
      </c>
      <c r="L83" s="2" t="b">
        <f aca="false">FALSE()</f>
        <v>0</v>
      </c>
      <c r="M83" s="2" t="b">
        <f aca="false">FALSE()</f>
        <v>0</v>
      </c>
      <c r="N83" s="2" t="b">
        <f aca="false">FALSE()</f>
        <v>0</v>
      </c>
      <c r="O83" s="2" t="b">
        <f aca="false">FALSE()</f>
        <v>0</v>
      </c>
      <c r="P83" s="1" t="s">
        <v>23</v>
      </c>
    </row>
    <row r="84" customFormat="false" ht="3276.75" hidden="true" customHeight="false" outlineLevel="0" collapsed="false">
      <c r="A84" s="1" t="s">
        <v>347</v>
      </c>
      <c r="B84" s="1" t="s">
        <v>344</v>
      </c>
      <c r="C84" s="4" t="s">
        <v>345</v>
      </c>
      <c r="D84" s="1" t="s">
        <v>20</v>
      </c>
      <c r="E84" s="1" t="s">
        <v>20</v>
      </c>
      <c r="F84" s="1" t="n">
        <v>1</v>
      </c>
      <c r="G84" s="1" t="s">
        <v>348</v>
      </c>
      <c r="H84" s="2" t="b">
        <f aca="false">TRUE()</f>
        <v>1</v>
      </c>
      <c r="I84" s="1" t="s">
        <v>22</v>
      </c>
      <c r="J84" s="1" t="s">
        <v>22</v>
      </c>
      <c r="K84" s="2" t="b">
        <f aca="false">TRUE()</f>
        <v>1</v>
      </c>
      <c r="L84" s="2" t="b">
        <f aca="false">FALSE()</f>
        <v>0</v>
      </c>
      <c r="M84" s="2" t="b">
        <f aca="false">FALSE()</f>
        <v>0</v>
      </c>
      <c r="N84" s="2" t="b">
        <f aca="false">FALSE()</f>
        <v>0</v>
      </c>
      <c r="O84" s="2" t="b">
        <f aca="false">FALSE()</f>
        <v>0</v>
      </c>
      <c r="P84" s="1" t="s">
        <v>23</v>
      </c>
    </row>
    <row r="85" customFormat="false" ht="3276.75" hidden="true" customHeight="false" outlineLevel="0" collapsed="false">
      <c r="A85" s="1" t="s">
        <v>349</v>
      </c>
      <c r="B85" s="1" t="s">
        <v>350</v>
      </c>
      <c r="C85" s="4" t="s">
        <v>351</v>
      </c>
      <c r="D85" s="1" t="s">
        <v>20</v>
      </c>
      <c r="E85" s="1" t="s">
        <v>20</v>
      </c>
      <c r="F85" s="1" t="n">
        <v>1</v>
      </c>
      <c r="G85" s="1" t="s">
        <v>352</v>
      </c>
      <c r="H85" s="2" t="b">
        <f aca="false">TRUE()</f>
        <v>1</v>
      </c>
      <c r="I85" s="1" t="s">
        <v>22</v>
      </c>
      <c r="J85" s="1" t="s">
        <v>22</v>
      </c>
      <c r="K85" s="2" t="b">
        <f aca="false">TRUE()</f>
        <v>1</v>
      </c>
      <c r="L85" s="2" t="b">
        <f aca="false">FALSE()</f>
        <v>0</v>
      </c>
      <c r="M85" s="2" t="b">
        <f aca="false">FALSE()</f>
        <v>0</v>
      </c>
      <c r="N85" s="2" t="b">
        <f aca="false">FALSE()</f>
        <v>0</v>
      </c>
      <c r="O85" s="2" t="b">
        <f aca="false">FALSE()</f>
        <v>0</v>
      </c>
      <c r="P85" s="1" t="s">
        <v>23</v>
      </c>
    </row>
    <row r="86" customFormat="false" ht="2806" hidden="false" customHeight="false" outlineLevel="0" collapsed="false">
      <c r="A86" s="1" t="s">
        <v>353</v>
      </c>
      <c r="B86" s="1" t="s">
        <v>354</v>
      </c>
      <c r="C86" s="4" t="s">
        <v>355</v>
      </c>
      <c r="D86" s="1" t="s">
        <v>27</v>
      </c>
      <c r="E86" s="1" t="s">
        <v>27</v>
      </c>
      <c r="F86" s="1" t="n">
        <v>5</v>
      </c>
      <c r="G86" s="1" t="s">
        <v>356</v>
      </c>
      <c r="H86" s="2" t="b">
        <f aca="false">TRUE()</f>
        <v>1</v>
      </c>
      <c r="I86" s="1" t="s">
        <v>29</v>
      </c>
      <c r="J86" s="1" t="s">
        <v>29</v>
      </c>
      <c r="K86" s="2" t="b">
        <f aca="false">TRUE()</f>
        <v>1</v>
      </c>
      <c r="L86" s="2" t="b">
        <f aca="false">TRUE()</f>
        <v>1</v>
      </c>
      <c r="M86" s="2" t="b">
        <f aca="false">FALSE()</f>
        <v>0</v>
      </c>
      <c r="N86" s="2" t="b">
        <f aca="false">FALSE()</f>
        <v>0</v>
      </c>
      <c r="O86" s="2" t="b">
        <f aca="false">FALSE()</f>
        <v>0</v>
      </c>
      <c r="P86" s="1" t="s">
        <v>23</v>
      </c>
    </row>
    <row r="87" customFormat="false" ht="15" hidden="true" customHeight="false" outlineLevel="0" collapsed="false">
      <c r="A87" s="1" t="s">
        <v>357</v>
      </c>
      <c r="B87" s="1" t="s">
        <v>358</v>
      </c>
      <c r="C87" s="1" t="s">
        <v>359</v>
      </c>
      <c r="D87" s="1" t="s">
        <v>20</v>
      </c>
      <c r="E87" s="1" t="s">
        <v>20</v>
      </c>
      <c r="F87" s="1" t="n">
        <v>1</v>
      </c>
      <c r="G87" s="1" t="s">
        <v>360</v>
      </c>
      <c r="H87" s="2" t="b">
        <f aca="false">TRUE()</f>
        <v>1</v>
      </c>
      <c r="I87" s="1" t="s">
        <v>22</v>
      </c>
      <c r="J87" s="1" t="s">
        <v>22</v>
      </c>
      <c r="K87" s="2" t="b">
        <f aca="false">TRUE()</f>
        <v>1</v>
      </c>
      <c r="L87" s="2" t="b">
        <f aca="false">FALSE()</f>
        <v>0</v>
      </c>
      <c r="M87" s="2" t="b">
        <f aca="false">FALSE()</f>
        <v>0</v>
      </c>
      <c r="N87" s="2" t="b">
        <f aca="false">FALSE()</f>
        <v>0</v>
      </c>
      <c r="O87" s="2" t="b">
        <f aca="false">FALSE()</f>
        <v>0</v>
      </c>
      <c r="P87" s="1" t="s">
        <v>23</v>
      </c>
    </row>
    <row r="88" customFormat="false" ht="3276.75" hidden="true" customHeight="false" outlineLevel="0" collapsed="false">
      <c r="A88" s="1" t="s">
        <v>361</v>
      </c>
      <c r="B88" s="1" t="s">
        <v>362</v>
      </c>
      <c r="C88" s="4" t="s">
        <v>363</v>
      </c>
      <c r="D88" s="1" t="s">
        <v>20</v>
      </c>
      <c r="E88" s="1" t="s">
        <v>20</v>
      </c>
      <c r="F88" s="1" t="n">
        <v>1</v>
      </c>
      <c r="G88" s="1" t="s">
        <v>364</v>
      </c>
      <c r="H88" s="2" t="b">
        <f aca="false">TRUE()</f>
        <v>1</v>
      </c>
      <c r="I88" s="1" t="s">
        <v>22</v>
      </c>
      <c r="J88" s="1" t="s">
        <v>22</v>
      </c>
      <c r="K88" s="2" t="b">
        <f aca="false">TRUE()</f>
        <v>1</v>
      </c>
      <c r="L88" s="2" t="b">
        <f aca="false">FALSE()</f>
        <v>0</v>
      </c>
      <c r="M88" s="2" t="b">
        <f aca="false">FALSE()</f>
        <v>0</v>
      </c>
      <c r="N88" s="2" t="b">
        <f aca="false">FALSE()</f>
        <v>0</v>
      </c>
      <c r="O88" s="2" t="b">
        <f aca="false">FALSE()</f>
        <v>0</v>
      </c>
      <c r="P88" s="1" t="s">
        <v>23</v>
      </c>
    </row>
    <row r="89" customFormat="false" ht="15" hidden="true" customHeight="false" outlineLevel="0" collapsed="false">
      <c r="A89" s="1" t="s">
        <v>365</v>
      </c>
      <c r="B89" s="1" t="s">
        <v>366</v>
      </c>
      <c r="C89" s="1" t="s">
        <v>367</v>
      </c>
      <c r="D89" s="1" t="s">
        <v>20</v>
      </c>
      <c r="E89" s="1" t="s">
        <v>20</v>
      </c>
      <c r="F89" s="1" t="n">
        <v>1</v>
      </c>
      <c r="G89" s="1" t="s">
        <v>368</v>
      </c>
      <c r="H89" s="2" t="b">
        <f aca="false">TRUE()</f>
        <v>1</v>
      </c>
      <c r="I89" s="1" t="s">
        <v>22</v>
      </c>
      <c r="J89" s="1" t="s">
        <v>22</v>
      </c>
      <c r="K89" s="2" t="b">
        <f aca="false">TRUE()</f>
        <v>1</v>
      </c>
      <c r="L89" s="2" t="b">
        <f aca="false">FALSE()</f>
        <v>0</v>
      </c>
      <c r="M89" s="2" t="b">
        <f aca="false">FALSE()</f>
        <v>0</v>
      </c>
      <c r="N89" s="2" t="b">
        <f aca="false">FALSE()</f>
        <v>0</v>
      </c>
      <c r="O89" s="2" t="b">
        <f aca="false">FALSE()</f>
        <v>0</v>
      </c>
      <c r="P89" s="1" t="s">
        <v>23</v>
      </c>
    </row>
    <row r="90" customFormat="false" ht="15" hidden="true" customHeight="false" outlineLevel="0" collapsed="false">
      <c r="A90" s="1" t="s">
        <v>369</v>
      </c>
      <c r="B90" s="1" t="s">
        <v>370</v>
      </c>
      <c r="C90" s="1" t="s">
        <v>371</v>
      </c>
      <c r="D90" s="1" t="s">
        <v>20</v>
      </c>
      <c r="E90" s="1" t="s">
        <v>20</v>
      </c>
      <c r="F90" s="1" t="n">
        <v>2</v>
      </c>
      <c r="G90" s="1" t="s">
        <v>372</v>
      </c>
      <c r="H90" s="2" t="b">
        <f aca="false">TRUE()</f>
        <v>1</v>
      </c>
      <c r="I90" s="1" t="s">
        <v>22</v>
      </c>
      <c r="J90" s="1" t="s">
        <v>22</v>
      </c>
      <c r="K90" s="2" t="b">
        <f aca="false">TRUE()</f>
        <v>1</v>
      </c>
      <c r="L90" s="2" t="b">
        <f aca="false">FALSE()</f>
        <v>0</v>
      </c>
      <c r="M90" s="2" t="b">
        <f aca="false">FALSE()</f>
        <v>0</v>
      </c>
      <c r="N90" s="2" t="b">
        <f aca="false">FALSE()</f>
        <v>0</v>
      </c>
      <c r="O90" s="2" t="b">
        <f aca="false">FALSE()</f>
        <v>0</v>
      </c>
      <c r="P90" s="1" t="s">
        <v>23</v>
      </c>
    </row>
    <row r="91" customFormat="false" ht="15" hidden="true" customHeight="false" outlineLevel="0" collapsed="false">
      <c r="A91" s="1" t="s">
        <v>373</v>
      </c>
      <c r="B91" s="1" t="s">
        <v>374</v>
      </c>
      <c r="C91" s="1" t="s">
        <v>375</v>
      </c>
      <c r="D91" s="1" t="s">
        <v>20</v>
      </c>
      <c r="E91" s="1" t="s">
        <v>20</v>
      </c>
      <c r="F91" s="1" t="n">
        <v>1</v>
      </c>
      <c r="G91" s="1" t="s">
        <v>376</v>
      </c>
      <c r="H91" s="2" t="b">
        <f aca="false">TRUE()</f>
        <v>1</v>
      </c>
      <c r="I91" s="1" t="s">
        <v>22</v>
      </c>
      <c r="J91" s="1" t="s">
        <v>22</v>
      </c>
      <c r="K91" s="2" t="b">
        <f aca="false">TRUE()</f>
        <v>1</v>
      </c>
      <c r="L91" s="2" t="b">
        <f aca="false">FALSE()</f>
        <v>0</v>
      </c>
      <c r="M91" s="2" t="b">
        <f aca="false">FALSE()</f>
        <v>0</v>
      </c>
      <c r="N91" s="2" t="b">
        <f aca="false">FALSE()</f>
        <v>0</v>
      </c>
      <c r="O91" s="2" t="b">
        <f aca="false">FALSE()</f>
        <v>0</v>
      </c>
      <c r="P91" s="1" t="s">
        <v>23</v>
      </c>
    </row>
    <row r="92" customFormat="false" ht="3276.75" hidden="true" customHeight="false" outlineLevel="0" collapsed="false">
      <c r="A92" s="1" t="s">
        <v>377</v>
      </c>
      <c r="B92" s="1" t="s">
        <v>378</v>
      </c>
      <c r="C92" s="4" t="s">
        <v>379</v>
      </c>
      <c r="D92" s="1" t="s">
        <v>20</v>
      </c>
      <c r="H92" s="2" t="b">
        <f aca="false">FALSE()</f>
        <v>0</v>
      </c>
      <c r="I92" s="1" t="s">
        <v>22</v>
      </c>
      <c r="J92" s="1" t="s">
        <v>30</v>
      </c>
      <c r="K92" s="2" t="b">
        <f aca="false">FALSE()</f>
        <v>0</v>
      </c>
      <c r="P92" s="1" t="s">
        <v>113</v>
      </c>
      <c r="Q92" s="1" t="s">
        <v>114</v>
      </c>
    </row>
    <row r="93" customFormat="false" ht="15" hidden="true" customHeight="false" outlineLevel="0" collapsed="false">
      <c r="A93" s="1" t="s">
        <v>380</v>
      </c>
      <c r="B93" s="1" t="s">
        <v>381</v>
      </c>
      <c r="C93" s="1" t="s">
        <v>382</v>
      </c>
      <c r="D93" s="1" t="s">
        <v>20</v>
      </c>
      <c r="E93" s="1" t="s">
        <v>20</v>
      </c>
      <c r="F93" s="1" t="n">
        <v>2</v>
      </c>
      <c r="G93" s="1" t="s">
        <v>383</v>
      </c>
      <c r="H93" s="2" t="b">
        <f aca="false">TRUE()</f>
        <v>1</v>
      </c>
      <c r="I93" s="1" t="s">
        <v>22</v>
      </c>
      <c r="J93" s="1" t="s">
        <v>22</v>
      </c>
      <c r="K93" s="2" t="b">
        <f aca="false">TRUE()</f>
        <v>1</v>
      </c>
      <c r="L93" s="2" t="b">
        <f aca="false">FALSE()</f>
        <v>0</v>
      </c>
      <c r="M93" s="2" t="b">
        <f aca="false">FALSE()</f>
        <v>0</v>
      </c>
      <c r="N93" s="2" t="b">
        <f aca="false">FALSE()</f>
        <v>0</v>
      </c>
      <c r="O93" s="2" t="b">
        <f aca="false">FALSE()</f>
        <v>0</v>
      </c>
      <c r="P93" s="1" t="s">
        <v>23</v>
      </c>
    </row>
    <row r="94" customFormat="false" ht="3276.75" hidden="true" customHeight="false" outlineLevel="0" collapsed="false">
      <c r="A94" s="1" t="s">
        <v>384</v>
      </c>
      <c r="B94" s="1" t="s">
        <v>385</v>
      </c>
      <c r="C94" s="4" t="s">
        <v>386</v>
      </c>
      <c r="D94" s="1" t="s">
        <v>20</v>
      </c>
      <c r="E94" s="1" t="s">
        <v>20</v>
      </c>
      <c r="F94" s="1" t="n">
        <v>2</v>
      </c>
      <c r="G94" s="1" t="s">
        <v>387</v>
      </c>
      <c r="H94" s="2" t="b">
        <f aca="false">TRUE()</f>
        <v>1</v>
      </c>
      <c r="I94" s="1" t="s">
        <v>22</v>
      </c>
      <c r="J94" s="1" t="s">
        <v>22</v>
      </c>
      <c r="K94" s="2" t="b">
        <f aca="false">TRUE()</f>
        <v>1</v>
      </c>
      <c r="L94" s="2" t="b">
        <f aca="false">FALSE()</f>
        <v>0</v>
      </c>
      <c r="M94" s="2" t="b">
        <f aca="false">FALSE()</f>
        <v>0</v>
      </c>
      <c r="N94" s="2" t="b">
        <f aca="false">FALSE()</f>
        <v>0</v>
      </c>
      <c r="O94" s="2" t="b">
        <f aca="false">FALSE()</f>
        <v>0</v>
      </c>
      <c r="P94" s="1" t="s">
        <v>23</v>
      </c>
    </row>
    <row r="95" customFormat="false" ht="3276.75" hidden="true" customHeight="false" outlineLevel="0" collapsed="false">
      <c r="A95" s="1" t="s">
        <v>388</v>
      </c>
      <c r="B95" s="1" t="s">
        <v>389</v>
      </c>
      <c r="C95" s="4" t="s">
        <v>390</v>
      </c>
      <c r="D95" s="1" t="s">
        <v>20</v>
      </c>
      <c r="E95" s="1" t="s">
        <v>20</v>
      </c>
      <c r="F95" s="1" t="n">
        <v>1</v>
      </c>
      <c r="G95" s="1" t="s">
        <v>391</v>
      </c>
      <c r="H95" s="2" t="b">
        <f aca="false">TRUE()</f>
        <v>1</v>
      </c>
      <c r="I95" s="1" t="s">
        <v>22</v>
      </c>
      <c r="J95" s="1" t="s">
        <v>22</v>
      </c>
      <c r="K95" s="2" t="b">
        <f aca="false">TRUE()</f>
        <v>1</v>
      </c>
      <c r="L95" s="2" t="b">
        <f aca="false">FALSE()</f>
        <v>0</v>
      </c>
      <c r="M95" s="2" t="b">
        <f aca="false">FALSE()</f>
        <v>0</v>
      </c>
      <c r="N95" s="2" t="b">
        <f aca="false">FALSE()</f>
        <v>0</v>
      </c>
      <c r="O95" s="2" t="b">
        <f aca="false">FALSE()</f>
        <v>0</v>
      </c>
      <c r="P95" s="1" t="s">
        <v>23</v>
      </c>
    </row>
    <row r="96" customFormat="false" ht="15" hidden="true" customHeight="false" outlineLevel="0" collapsed="false">
      <c r="A96" s="1" t="s">
        <v>392</v>
      </c>
      <c r="B96" s="1" t="s">
        <v>393</v>
      </c>
      <c r="C96" s="1" t="s">
        <v>394</v>
      </c>
      <c r="D96" s="1" t="s">
        <v>20</v>
      </c>
      <c r="E96" s="1" t="s">
        <v>20</v>
      </c>
      <c r="F96" s="1" t="n">
        <v>1</v>
      </c>
      <c r="G96" s="1" t="s">
        <v>395</v>
      </c>
      <c r="H96" s="2" t="b">
        <f aca="false">TRUE()</f>
        <v>1</v>
      </c>
      <c r="I96" s="1" t="s">
        <v>22</v>
      </c>
      <c r="J96" s="1" t="s">
        <v>22</v>
      </c>
      <c r="K96" s="2" t="b">
        <f aca="false">TRUE()</f>
        <v>1</v>
      </c>
      <c r="L96" s="2" t="b">
        <f aca="false">FALSE()</f>
        <v>0</v>
      </c>
      <c r="M96" s="2" t="b">
        <f aca="false">FALSE()</f>
        <v>0</v>
      </c>
      <c r="N96" s="2" t="b">
        <f aca="false">FALSE()</f>
        <v>0</v>
      </c>
      <c r="O96" s="2" t="b">
        <f aca="false">FALSE()</f>
        <v>0</v>
      </c>
      <c r="P96" s="1" t="s">
        <v>23</v>
      </c>
    </row>
    <row r="97" customFormat="false" ht="15" hidden="true" customHeight="false" outlineLevel="0" collapsed="false">
      <c r="A97" s="1" t="s">
        <v>396</v>
      </c>
      <c r="B97" s="1" t="s">
        <v>397</v>
      </c>
      <c r="C97" s="1" t="s">
        <v>398</v>
      </c>
      <c r="D97" s="1" t="s">
        <v>20</v>
      </c>
      <c r="E97" s="1" t="s">
        <v>20</v>
      </c>
      <c r="F97" s="1" t="n">
        <v>1</v>
      </c>
      <c r="G97" s="1" t="s">
        <v>399</v>
      </c>
      <c r="H97" s="2" t="b">
        <f aca="false">TRUE()</f>
        <v>1</v>
      </c>
      <c r="I97" s="1" t="s">
        <v>22</v>
      </c>
      <c r="J97" s="1" t="s">
        <v>22</v>
      </c>
      <c r="K97" s="2" t="b">
        <f aca="false">TRUE()</f>
        <v>1</v>
      </c>
      <c r="L97" s="2" t="b">
        <f aca="false">FALSE()</f>
        <v>0</v>
      </c>
      <c r="M97" s="2" t="b">
        <f aca="false">FALSE()</f>
        <v>0</v>
      </c>
      <c r="N97" s="2" t="b">
        <f aca="false">FALSE()</f>
        <v>0</v>
      </c>
      <c r="O97" s="2" t="b">
        <f aca="false">FALSE()</f>
        <v>0</v>
      </c>
      <c r="P97" s="1" t="s">
        <v>23</v>
      </c>
    </row>
    <row r="98" customFormat="false" ht="3276.75" hidden="true" customHeight="false" outlineLevel="0" collapsed="false">
      <c r="A98" s="1" t="s">
        <v>400</v>
      </c>
      <c r="B98" s="1" t="s">
        <v>401</v>
      </c>
      <c r="C98" s="4" t="s">
        <v>402</v>
      </c>
      <c r="D98" s="1" t="s">
        <v>27</v>
      </c>
      <c r="E98" s="1" t="s">
        <v>20</v>
      </c>
      <c r="F98" s="1" t="n">
        <v>2</v>
      </c>
      <c r="G98" s="1" t="s">
        <v>403</v>
      </c>
      <c r="H98" s="2" t="b">
        <f aca="false">FALSE()</f>
        <v>0</v>
      </c>
      <c r="I98" s="1" t="s">
        <v>44</v>
      </c>
      <c r="J98" s="1" t="s">
        <v>22</v>
      </c>
      <c r="K98" s="2" t="b">
        <f aca="false">FALSE()</f>
        <v>0</v>
      </c>
      <c r="L98" s="2" t="b">
        <f aca="false">FALSE()</f>
        <v>0</v>
      </c>
      <c r="M98" s="2" t="b">
        <f aca="false">FALSE()</f>
        <v>0</v>
      </c>
      <c r="N98" s="2" t="b">
        <f aca="false">FALSE()</f>
        <v>0</v>
      </c>
      <c r="O98" s="2" t="b">
        <f aca="false">FALSE()</f>
        <v>0</v>
      </c>
      <c r="P98" s="1" t="s">
        <v>23</v>
      </c>
    </row>
    <row r="99" customFormat="false" ht="3276.75" hidden="true" customHeight="false" outlineLevel="0" collapsed="false">
      <c r="A99" s="1" t="s">
        <v>404</v>
      </c>
      <c r="B99" s="1" t="s">
        <v>405</v>
      </c>
      <c r="C99" s="4" t="s">
        <v>406</v>
      </c>
      <c r="D99" s="1" t="s">
        <v>20</v>
      </c>
      <c r="E99" s="1" t="s">
        <v>20</v>
      </c>
      <c r="F99" s="1" t="n">
        <v>1</v>
      </c>
      <c r="G99" s="1" t="s">
        <v>407</v>
      </c>
      <c r="H99" s="2" t="b">
        <f aca="false">TRUE()</f>
        <v>1</v>
      </c>
      <c r="I99" s="1" t="s">
        <v>22</v>
      </c>
      <c r="J99" s="1" t="s">
        <v>22</v>
      </c>
      <c r="K99" s="2" t="b">
        <f aca="false">TRUE()</f>
        <v>1</v>
      </c>
      <c r="L99" s="2" t="b">
        <f aca="false">FALSE()</f>
        <v>0</v>
      </c>
      <c r="M99" s="2" t="b">
        <f aca="false">FALSE()</f>
        <v>0</v>
      </c>
      <c r="N99" s="2" t="b">
        <f aca="false">FALSE()</f>
        <v>0</v>
      </c>
      <c r="O99" s="2" t="b">
        <f aca="false">FALSE()</f>
        <v>0</v>
      </c>
      <c r="P99" s="1" t="s">
        <v>23</v>
      </c>
    </row>
    <row r="100" customFormat="false" ht="15" hidden="true" customHeight="false" outlineLevel="0" collapsed="false">
      <c r="A100" s="1" t="s">
        <v>408</v>
      </c>
      <c r="B100" s="1" t="s">
        <v>409</v>
      </c>
      <c r="C100" s="1" t="s">
        <v>410</v>
      </c>
      <c r="D100" s="1" t="s">
        <v>20</v>
      </c>
      <c r="E100" s="1" t="s">
        <v>20</v>
      </c>
      <c r="F100" s="1" t="n">
        <v>1</v>
      </c>
      <c r="G100" s="1" t="s">
        <v>411</v>
      </c>
      <c r="H100" s="2" t="b">
        <f aca="false">TRUE()</f>
        <v>1</v>
      </c>
      <c r="I100" s="1" t="s">
        <v>22</v>
      </c>
      <c r="J100" s="1" t="s">
        <v>22</v>
      </c>
      <c r="K100" s="2" t="b">
        <f aca="false">TRUE()</f>
        <v>1</v>
      </c>
      <c r="L100" s="2" t="b">
        <f aca="false">FALSE()</f>
        <v>0</v>
      </c>
      <c r="M100" s="2" t="b">
        <f aca="false">FALSE()</f>
        <v>0</v>
      </c>
      <c r="N100" s="2" t="b">
        <f aca="false">FALSE()</f>
        <v>0</v>
      </c>
      <c r="O100" s="2" t="b">
        <f aca="false">FALSE()</f>
        <v>0</v>
      </c>
      <c r="P100" s="1" t="s">
        <v>23</v>
      </c>
    </row>
    <row r="101" customFormat="false" ht="3276.75" hidden="true" customHeight="false" outlineLevel="0" collapsed="false">
      <c r="A101" s="1" t="s">
        <v>412</v>
      </c>
      <c r="B101" s="1" t="s">
        <v>413</v>
      </c>
      <c r="C101" s="4" t="s">
        <v>414</v>
      </c>
      <c r="D101" s="1" t="s">
        <v>20</v>
      </c>
      <c r="E101" s="1" t="s">
        <v>20</v>
      </c>
      <c r="F101" s="1" t="n">
        <v>1</v>
      </c>
      <c r="G101" s="1" t="s">
        <v>415</v>
      </c>
      <c r="H101" s="2" t="b">
        <f aca="false">TRUE()</f>
        <v>1</v>
      </c>
      <c r="I101" s="1" t="s">
        <v>22</v>
      </c>
      <c r="J101" s="1" t="s">
        <v>22</v>
      </c>
      <c r="K101" s="2" t="b">
        <f aca="false">TRUE()</f>
        <v>1</v>
      </c>
      <c r="L101" s="2" t="b">
        <f aca="false">FALSE()</f>
        <v>0</v>
      </c>
      <c r="M101" s="2" t="b">
        <f aca="false">FALSE()</f>
        <v>0</v>
      </c>
      <c r="N101" s="2" t="b">
        <f aca="false">FALSE()</f>
        <v>0</v>
      </c>
      <c r="O101" s="2" t="b">
        <f aca="false">FALSE()</f>
        <v>0</v>
      </c>
      <c r="P101" s="1" t="s">
        <v>23</v>
      </c>
    </row>
    <row r="102" customFormat="false" ht="15" hidden="false" customHeight="false" outlineLevel="0" collapsed="false">
      <c r="A102" s="1" t="s">
        <v>416</v>
      </c>
      <c r="B102" s="1" t="s">
        <v>417</v>
      </c>
      <c r="C102" s="1" t="s">
        <v>418</v>
      </c>
      <c r="D102" s="1" t="s">
        <v>27</v>
      </c>
      <c r="E102" s="1" t="s">
        <v>27</v>
      </c>
      <c r="F102" s="1" t="n">
        <v>7</v>
      </c>
      <c r="G102" s="1" t="s">
        <v>419</v>
      </c>
      <c r="H102" s="2" t="b">
        <f aca="false">TRUE()</f>
        <v>1</v>
      </c>
      <c r="I102" s="1" t="s">
        <v>81</v>
      </c>
      <c r="J102" s="1" t="s">
        <v>81</v>
      </c>
      <c r="K102" s="2" t="b">
        <f aca="false">TRUE()</f>
        <v>1</v>
      </c>
      <c r="L102" s="2" t="b">
        <f aca="false">FALSE()</f>
        <v>0</v>
      </c>
      <c r="M102" s="2" t="b">
        <f aca="false">FALSE()</f>
        <v>0</v>
      </c>
      <c r="N102" s="2" t="b">
        <f aca="false">TRUE()</f>
        <v>1</v>
      </c>
      <c r="O102" s="2" t="b">
        <f aca="false">FALSE()</f>
        <v>0</v>
      </c>
      <c r="P102" s="1" t="s">
        <v>23</v>
      </c>
    </row>
    <row r="103" customFormat="false" ht="15" hidden="false" customHeight="false" outlineLevel="0" collapsed="false">
      <c r="A103" s="1" t="s">
        <v>420</v>
      </c>
      <c r="B103" s="1" t="s">
        <v>421</v>
      </c>
      <c r="C103" s="1" t="s">
        <v>422</v>
      </c>
      <c r="D103" s="1" t="s">
        <v>27</v>
      </c>
      <c r="E103" s="1" t="s">
        <v>27</v>
      </c>
      <c r="F103" s="1" t="n">
        <v>7</v>
      </c>
      <c r="G103" s="1" t="s">
        <v>423</v>
      </c>
      <c r="H103" s="2" t="b">
        <f aca="false">TRUE()</f>
        <v>1</v>
      </c>
      <c r="I103" s="1" t="s">
        <v>81</v>
      </c>
      <c r="J103" s="1" t="s">
        <v>81</v>
      </c>
      <c r="K103" s="2" t="b">
        <f aca="false">TRUE()</f>
        <v>1</v>
      </c>
      <c r="L103" s="2" t="b">
        <f aca="false">FALSE()</f>
        <v>0</v>
      </c>
      <c r="M103" s="2" t="b">
        <f aca="false">FALSE()</f>
        <v>0</v>
      </c>
      <c r="N103" s="2" t="b">
        <f aca="false">TRUE()</f>
        <v>1</v>
      </c>
      <c r="O103" s="2" t="b">
        <f aca="false">FALSE()</f>
        <v>0</v>
      </c>
      <c r="P103" s="1" t="s">
        <v>23</v>
      </c>
    </row>
    <row r="104" customFormat="false" ht="15" hidden="true" customHeight="false" outlineLevel="0" collapsed="false">
      <c r="A104" s="1" t="s">
        <v>424</v>
      </c>
      <c r="B104" s="1" t="s">
        <v>425</v>
      </c>
      <c r="C104" s="1" t="s">
        <v>426</v>
      </c>
      <c r="D104" s="1" t="s">
        <v>20</v>
      </c>
      <c r="E104" s="1" t="s">
        <v>20</v>
      </c>
      <c r="F104" s="1" t="n">
        <v>1</v>
      </c>
      <c r="G104" s="1" t="s">
        <v>427</v>
      </c>
      <c r="H104" s="2" t="b">
        <f aca="false">TRUE()</f>
        <v>1</v>
      </c>
      <c r="I104" s="1" t="s">
        <v>22</v>
      </c>
      <c r="J104" s="1" t="s">
        <v>22</v>
      </c>
      <c r="K104" s="2" t="b">
        <f aca="false">TRUE()</f>
        <v>1</v>
      </c>
      <c r="L104" s="2" t="b">
        <f aca="false">FALSE()</f>
        <v>0</v>
      </c>
      <c r="M104" s="2" t="b">
        <f aca="false">FALSE()</f>
        <v>0</v>
      </c>
      <c r="N104" s="2" t="b">
        <f aca="false">FALSE()</f>
        <v>0</v>
      </c>
      <c r="O104" s="2" t="b">
        <f aca="false">FALSE()</f>
        <v>0</v>
      </c>
      <c r="P104" s="1" t="s">
        <v>23</v>
      </c>
    </row>
    <row r="105" customFormat="false" ht="3276.75" hidden="false" customHeight="false" outlineLevel="0" collapsed="false">
      <c r="A105" s="1" t="s">
        <v>428</v>
      </c>
      <c r="B105" s="1" t="s">
        <v>429</v>
      </c>
      <c r="C105" s="4" t="s">
        <v>430</v>
      </c>
      <c r="D105" s="1" t="s">
        <v>27</v>
      </c>
      <c r="E105" s="1" t="s">
        <v>27</v>
      </c>
      <c r="F105" s="1" t="n">
        <v>5</v>
      </c>
      <c r="G105" s="1" t="s">
        <v>431</v>
      </c>
      <c r="H105" s="2" t="b">
        <f aca="false">TRUE()</f>
        <v>1</v>
      </c>
      <c r="I105" s="1" t="s">
        <v>44</v>
      </c>
      <c r="J105" s="1" t="s">
        <v>30</v>
      </c>
      <c r="K105" s="6" t="b">
        <f aca="false">FALSE()</f>
        <v>0</v>
      </c>
      <c r="L105" s="2" t="b">
        <f aca="false">FALSE()</f>
        <v>0</v>
      </c>
      <c r="M105" s="2" t="b">
        <f aca="false">TRUE()</f>
        <v>1</v>
      </c>
      <c r="N105" s="2" t="b">
        <f aca="false">TRUE()</f>
        <v>1</v>
      </c>
      <c r="O105" s="2" t="b">
        <f aca="false">FALSE()</f>
        <v>0</v>
      </c>
      <c r="P105" s="1" t="s">
        <v>23</v>
      </c>
      <c r="Q105" s="1" t="s">
        <v>432</v>
      </c>
    </row>
    <row r="106" customFormat="false" ht="3276.75" hidden="true" customHeight="false" outlineLevel="0" collapsed="false">
      <c r="A106" s="1" t="s">
        <v>433</v>
      </c>
      <c r="B106" s="1" t="s">
        <v>434</v>
      </c>
      <c r="C106" s="4" t="s">
        <v>435</v>
      </c>
      <c r="D106" s="1" t="s">
        <v>27</v>
      </c>
      <c r="E106" s="1" t="s">
        <v>20</v>
      </c>
      <c r="F106" s="1" t="n">
        <v>2</v>
      </c>
      <c r="G106" s="1" t="s">
        <v>436</v>
      </c>
      <c r="H106" s="2" t="b">
        <f aca="false">FALSE()</f>
        <v>0</v>
      </c>
      <c r="I106" s="1" t="s">
        <v>44</v>
      </c>
      <c r="J106" s="1" t="s">
        <v>22</v>
      </c>
      <c r="K106" s="2" t="b">
        <f aca="false">FALSE()</f>
        <v>0</v>
      </c>
      <c r="L106" s="2" t="b">
        <f aca="false">FALSE()</f>
        <v>0</v>
      </c>
      <c r="M106" s="2" t="b">
        <f aca="false">FALSE()</f>
        <v>0</v>
      </c>
      <c r="N106" s="2" t="b">
        <f aca="false">FALSE()</f>
        <v>0</v>
      </c>
      <c r="O106" s="2" t="b">
        <f aca="false">FALSE()</f>
        <v>0</v>
      </c>
      <c r="P106" s="1" t="s">
        <v>23</v>
      </c>
    </row>
    <row r="107" customFormat="false" ht="2838.7" hidden="true" customHeight="false" outlineLevel="0" collapsed="false">
      <c r="A107" s="1" t="s">
        <v>437</v>
      </c>
      <c r="B107" s="1" t="s">
        <v>438</v>
      </c>
      <c r="C107" s="4" t="s">
        <v>439</v>
      </c>
      <c r="D107" s="1" t="s">
        <v>20</v>
      </c>
      <c r="E107" s="1" t="s">
        <v>20</v>
      </c>
      <c r="F107" s="1" t="n">
        <v>2</v>
      </c>
      <c r="G107" s="1" t="s">
        <v>440</v>
      </c>
      <c r="H107" s="2" t="b">
        <f aca="false">TRUE()</f>
        <v>1</v>
      </c>
      <c r="I107" s="1" t="s">
        <v>22</v>
      </c>
      <c r="J107" s="1" t="s">
        <v>22</v>
      </c>
      <c r="K107" s="2" t="b">
        <f aca="false">TRUE()</f>
        <v>1</v>
      </c>
      <c r="L107" s="2" t="b">
        <f aca="false">FALSE()</f>
        <v>0</v>
      </c>
      <c r="M107" s="2" t="b">
        <f aca="false">FALSE()</f>
        <v>0</v>
      </c>
      <c r="N107" s="2" t="b">
        <f aca="false">FALSE()</f>
        <v>0</v>
      </c>
      <c r="O107" s="2" t="b">
        <f aca="false">FALSE()</f>
        <v>0</v>
      </c>
      <c r="P107" s="1" t="s">
        <v>23</v>
      </c>
    </row>
    <row r="108" customFormat="false" ht="3276.75" hidden="true" customHeight="false" outlineLevel="0" collapsed="false">
      <c r="A108" s="1" t="s">
        <v>441</v>
      </c>
      <c r="B108" s="1" t="s">
        <v>442</v>
      </c>
      <c r="C108" s="4" t="s">
        <v>443</v>
      </c>
      <c r="D108" s="1" t="s">
        <v>20</v>
      </c>
      <c r="E108" s="1" t="s">
        <v>20</v>
      </c>
      <c r="F108" s="1" t="n">
        <v>1</v>
      </c>
      <c r="G108" s="1" t="s">
        <v>444</v>
      </c>
      <c r="H108" s="2" t="b">
        <f aca="false">TRUE()</f>
        <v>1</v>
      </c>
      <c r="I108" s="1" t="s">
        <v>22</v>
      </c>
      <c r="J108" s="1" t="s">
        <v>22</v>
      </c>
      <c r="K108" s="2" t="b">
        <f aca="false">TRUE()</f>
        <v>1</v>
      </c>
      <c r="L108" s="2" t="b">
        <f aca="false">FALSE()</f>
        <v>0</v>
      </c>
      <c r="M108" s="2" t="b">
        <f aca="false">FALSE()</f>
        <v>0</v>
      </c>
      <c r="N108" s="2" t="b">
        <f aca="false">FALSE()</f>
        <v>0</v>
      </c>
      <c r="O108" s="2" t="b">
        <f aca="false">FALSE()</f>
        <v>0</v>
      </c>
      <c r="P108" s="1" t="s">
        <v>23</v>
      </c>
    </row>
    <row r="109" customFormat="false" ht="1889.45" hidden="true" customHeight="false" outlineLevel="0" collapsed="false">
      <c r="A109" s="1" t="s">
        <v>445</v>
      </c>
      <c r="B109" s="1" t="s">
        <v>446</v>
      </c>
      <c r="C109" s="4" t="s">
        <v>447</v>
      </c>
      <c r="D109" s="1" t="s">
        <v>20</v>
      </c>
      <c r="E109" s="1" t="s">
        <v>20</v>
      </c>
      <c r="F109" s="1" t="n">
        <v>2</v>
      </c>
      <c r="G109" s="1" t="s">
        <v>448</v>
      </c>
      <c r="H109" s="2" t="b">
        <f aca="false">TRUE()</f>
        <v>1</v>
      </c>
      <c r="I109" s="1" t="s">
        <v>29</v>
      </c>
      <c r="J109" s="1" t="s">
        <v>22</v>
      </c>
      <c r="K109" s="2" t="b">
        <f aca="false">FALSE()</f>
        <v>0</v>
      </c>
      <c r="L109" s="2" t="b">
        <f aca="false">FALSE()</f>
        <v>0</v>
      </c>
      <c r="M109" s="2" t="b">
        <f aca="false">FALSE()</f>
        <v>0</v>
      </c>
      <c r="N109" s="2" t="b">
        <f aca="false">FALSE()</f>
        <v>0</v>
      </c>
      <c r="O109" s="2" t="b">
        <f aca="false">FALSE()</f>
        <v>0</v>
      </c>
      <c r="P109" s="1" t="s">
        <v>23</v>
      </c>
    </row>
    <row r="110" customFormat="false" ht="15" hidden="false" customHeight="false" outlineLevel="0" collapsed="false">
      <c r="A110" s="1" t="s">
        <v>449</v>
      </c>
      <c r="B110" s="1" t="s">
        <v>450</v>
      </c>
      <c r="C110" s="1" t="s">
        <v>451</v>
      </c>
      <c r="D110" s="1" t="s">
        <v>27</v>
      </c>
      <c r="E110" s="1" t="s">
        <v>27</v>
      </c>
      <c r="F110" s="1" t="n">
        <v>5</v>
      </c>
      <c r="G110" s="1" t="s">
        <v>452</v>
      </c>
      <c r="H110" s="2" t="b">
        <f aca="false">TRUE()</f>
        <v>1</v>
      </c>
      <c r="I110" s="1" t="s">
        <v>29</v>
      </c>
      <c r="J110" s="1" t="s">
        <v>29</v>
      </c>
      <c r="K110" s="2" t="b">
        <f aca="false">TRUE()</f>
        <v>1</v>
      </c>
      <c r="L110" s="2" t="b">
        <f aca="false">TRUE()</f>
        <v>1</v>
      </c>
      <c r="M110" s="2" t="b">
        <f aca="false">FALSE()</f>
        <v>0</v>
      </c>
      <c r="N110" s="2" t="b">
        <f aca="false">FALSE()</f>
        <v>0</v>
      </c>
      <c r="O110" s="2" t="b">
        <f aca="false">FALSE()</f>
        <v>0</v>
      </c>
      <c r="P110" s="1" t="s">
        <v>23</v>
      </c>
    </row>
    <row r="111" customFormat="false" ht="3276.75" hidden="true" customHeight="false" outlineLevel="0" collapsed="false">
      <c r="A111" s="1" t="s">
        <v>453</v>
      </c>
      <c r="B111" s="1" t="s">
        <v>454</v>
      </c>
      <c r="C111" s="4" t="s">
        <v>455</v>
      </c>
      <c r="D111" s="1" t="s">
        <v>20</v>
      </c>
      <c r="E111" s="1" t="s">
        <v>20</v>
      </c>
      <c r="F111" s="1" t="n">
        <v>1</v>
      </c>
      <c r="G111" s="1" t="s">
        <v>456</v>
      </c>
      <c r="H111" s="2" t="b">
        <f aca="false">TRUE()</f>
        <v>1</v>
      </c>
      <c r="I111" s="1" t="s">
        <v>22</v>
      </c>
      <c r="J111" s="1" t="s">
        <v>22</v>
      </c>
      <c r="K111" s="2" t="b">
        <f aca="false">TRUE()</f>
        <v>1</v>
      </c>
      <c r="L111" s="2" t="b">
        <f aca="false">FALSE()</f>
        <v>0</v>
      </c>
      <c r="M111" s="2" t="b">
        <f aca="false">FALSE()</f>
        <v>0</v>
      </c>
      <c r="N111" s="2" t="b">
        <f aca="false">FALSE()</f>
        <v>0</v>
      </c>
      <c r="O111" s="2" t="b">
        <f aca="false">FALSE()</f>
        <v>0</v>
      </c>
      <c r="P111" s="1" t="s">
        <v>23</v>
      </c>
    </row>
    <row r="112" customFormat="false" ht="15" hidden="true" customHeight="false" outlineLevel="0" collapsed="false">
      <c r="A112" s="1" t="s">
        <v>457</v>
      </c>
      <c r="B112" s="1" t="s">
        <v>458</v>
      </c>
      <c r="C112" s="1" t="s">
        <v>459</v>
      </c>
      <c r="D112" s="1" t="s">
        <v>27</v>
      </c>
      <c r="E112" s="1" t="s">
        <v>20</v>
      </c>
      <c r="F112" s="1" t="n">
        <v>3</v>
      </c>
      <c r="G112" s="1" t="s">
        <v>460</v>
      </c>
      <c r="H112" s="2" t="b">
        <f aca="false">FALSE()</f>
        <v>0</v>
      </c>
      <c r="I112" s="1" t="s">
        <v>29</v>
      </c>
      <c r="J112" s="1" t="s">
        <v>22</v>
      </c>
      <c r="K112" s="2" t="b">
        <f aca="false">FALSE()</f>
        <v>0</v>
      </c>
      <c r="L112" s="2" t="b">
        <f aca="false">FALSE()</f>
        <v>0</v>
      </c>
      <c r="M112" s="2" t="b">
        <f aca="false">FALSE()</f>
        <v>0</v>
      </c>
      <c r="N112" s="2" t="b">
        <f aca="false">FALSE()</f>
        <v>0</v>
      </c>
      <c r="O112" s="2" t="b">
        <f aca="false">FALSE()</f>
        <v>0</v>
      </c>
      <c r="P112" s="1" t="s">
        <v>23</v>
      </c>
    </row>
    <row r="113" customFormat="false" ht="15" hidden="false" customHeight="false" outlineLevel="0" collapsed="false">
      <c r="A113" s="1" t="s">
        <v>461</v>
      </c>
      <c r="B113" s="1" t="s">
        <v>462</v>
      </c>
      <c r="C113" s="1" t="s">
        <v>463</v>
      </c>
      <c r="D113" s="1" t="s">
        <v>27</v>
      </c>
      <c r="E113" s="1" t="s">
        <v>27</v>
      </c>
      <c r="F113" s="1" t="n">
        <v>6</v>
      </c>
      <c r="G113" s="1" t="s">
        <v>464</v>
      </c>
      <c r="H113" s="2" t="b">
        <f aca="false">TRUE()</f>
        <v>1</v>
      </c>
      <c r="I113" s="1" t="s">
        <v>29</v>
      </c>
      <c r="J113" s="1" t="s">
        <v>29</v>
      </c>
      <c r="K113" s="2" t="b">
        <f aca="false">TRUE()</f>
        <v>1</v>
      </c>
      <c r="L113" s="2" t="b">
        <f aca="false">TRUE()</f>
        <v>1</v>
      </c>
      <c r="M113" s="2" t="b">
        <f aca="false">FALSE()</f>
        <v>0</v>
      </c>
      <c r="N113" s="2" t="b">
        <f aca="false">FALSE()</f>
        <v>0</v>
      </c>
      <c r="O113" s="2" t="b">
        <f aca="false">FALSE()</f>
        <v>0</v>
      </c>
      <c r="P113" s="1" t="s">
        <v>23</v>
      </c>
    </row>
    <row r="114" customFormat="false" ht="15" hidden="true" customHeight="false" outlineLevel="0" collapsed="false">
      <c r="A114" s="1" t="s">
        <v>465</v>
      </c>
      <c r="B114" s="1" t="s">
        <v>466</v>
      </c>
      <c r="C114" s="1" t="s">
        <v>467</v>
      </c>
      <c r="D114" s="1" t="s">
        <v>27</v>
      </c>
      <c r="E114" s="1" t="s">
        <v>20</v>
      </c>
      <c r="F114" s="1" t="n">
        <v>2</v>
      </c>
      <c r="G114" s="1" t="s">
        <v>468</v>
      </c>
      <c r="H114" s="2" t="b">
        <f aca="false">FALSE()</f>
        <v>0</v>
      </c>
      <c r="I114" s="1" t="s">
        <v>29</v>
      </c>
      <c r="J114" s="1" t="s">
        <v>22</v>
      </c>
      <c r="K114" s="2" t="b">
        <f aca="false">FALSE()</f>
        <v>0</v>
      </c>
      <c r="L114" s="2" t="b">
        <f aca="false">FALSE()</f>
        <v>0</v>
      </c>
      <c r="M114" s="2" t="b">
        <f aca="false">FALSE()</f>
        <v>0</v>
      </c>
      <c r="N114" s="2" t="b">
        <f aca="false">FALSE()</f>
        <v>0</v>
      </c>
      <c r="O114" s="2" t="b">
        <f aca="false">FALSE()</f>
        <v>0</v>
      </c>
      <c r="P114" s="1" t="s">
        <v>23</v>
      </c>
    </row>
    <row r="115" customFormat="false" ht="15" hidden="true" customHeight="false" outlineLevel="0" collapsed="false">
      <c r="A115" s="1" t="s">
        <v>469</v>
      </c>
      <c r="B115" s="1" t="s">
        <v>470</v>
      </c>
      <c r="C115" s="1" t="s">
        <v>471</v>
      </c>
      <c r="D115" s="1" t="s">
        <v>20</v>
      </c>
      <c r="E115" s="1" t="s">
        <v>20</v>
      </c>
      <c r="F115" s="1" t="n">
        <v>1</v>
      </c>
      <c r="G115" s="1" t="s">
        <v>472</v>
      </c>
      <c r="H115" s="2" t="b">
        <f aca="false">TRUE()</f>
        <v>1</v>
      </c>
      <c r="I115" s="1" t="s">
        <v>22</v>
      </c>
      <c r="J115" s="1" t="s">
        <v>22</v>
      </c>
      <c r="K115" s="2" t="b">
        <f aca="false">TRUE()</f>
        <v>1</v>
      </c>
      <c r="L115" s="2" t="b">
        <f aca="false">FALSE()</f>
        <v>0</v>
      </c>
      <c r="M115" s="2" t="b">
        <f aca="false">FALSE()</f>
        <v>0</v>
      </c>
      <c r="N115" s="2" t="b">
        <f aca="false">FALSE()</f>
        <v>0</v>
      </c>
      <c r="O115" s="2" t="b">
        <f aca="false">FALSE()</f>
        <v>0</v>
      </c>
      <c r="P115" s="1" t="s">
        <v>23</v>
      </c>
    </row>
    <row r="116" customFormat="false" ht="3276.75" hidden="true" customHeight="false" outlineLevel="0" collapsed="false">
      <c r="A116" s="1" t="s">
        <v>473</v>
      </c>
      <c r="B116" s="1" t="s">
        <v>474</v>
      </c>
      <c r="C116" s="4" t="s">
        <v>475</v>
      </c>
      <c r="D116" s="1" t="s">
        <v>20</v>
      </c>
      <c r="E116" s="1" t="s">
        <v>20</v>
      </c>
      <c r="F116" s="1" t="n">
        <v>1</v>
      </c>
      <c r="G116" s="1" t="s">
        <v>476</v>
      </c>
      <c r="H116" s="2" t="b">
        <f aca="false">TRUE()</f>
        <v>1</v>
      </c>
      <c r="I116" s="1" t="s">
        <v>22</v>
      </c>
      <c r="J116" s="1" t="s">
        <v>22</v>
      </c>
      <c r="K116" s="2" t="b">
        <f aca="false">TRUE()</f>
        <v>1</v>
      </c>
      <c r="L116" s="2" t="b">
        <f aca="false">FALSE()</f>
        <v>0</v>
      </c>
      <c r="M116" s="2" t="b">
        <f aca="false">FALSE()</f>
        <v>0</v>
      </c>
      <c r="N116" s="2" t="b">
        <f aca="false">FALSE()</f>
        <v>0</v>
      </c>
      <c r="O116" s="2" t="b">
        <f aca="false">FALSE()</f>
        <v>0</v>
      </c>
      <c r="P116" s="1" t="s">
        <v>23</v>
      </c>
    </row>
    <row r="117" customFormat="false" ht="15" hidden="false" customHeight="false" outlineLevel="0" collapsed="false">
      <c r="A117" s="1" t="s">
        <v>477</v>
      </c>
      <c r="B117" s="1" t="s">
        <v>478</v>
      </c>
      <c r="C117" s="1" t="s">
        <v>479</v>
      </c>
      <c r="D117" s="1" t="s">
        <v>27</v>
      </c>
      <c r="E117" s="1" t="s">
        <v>27</v>
      </c>
      <c r="F117" s="1" t="n">
        <v>5</v>
      </c>
      <c r="G117" s="1" t="s">
        <v>480</v>
      </c>
      <c r="H117" s="2" t="b">
        <f aca="false">TRUE()</f>
        <v>1</v>
      </c>
      <c r="I117" s="1" t="s">
        <v>30</v>
      </c>
      <c r="J117" s="1" t="s">
        <v>30</v>
      </c>
      <c r="K117" s="2" t="b">
        <f aca="false">TRUE()</f>
        <v>1</v>
      </c>
      <c r="L117" s="2" t="b">
        <f aca="false">FALSE()</f>
        <v>0</v>
      </c>
      <c r="M117" s="2" t="b">
        <f aca="false">FALSE()</f>
        <v>0</v>
      </c>
      <c r="N117" s="2" t="b">
        <f aca="false">FALSE()</f>
        <v>0</v>
      </c>
      <c r="O117" s="2" t="b">
        <f aca="false">TRUE()</f>
        <v>1</v>
      </c>
      <c r="P117" s="1" t="s">
        <v>23</v>
      </c>
    </row>
    <row r="118" customFormat="false" ht="15" hidden="true" customHeight="false" outlineLevel="0" collapsed="false">
      <c r="A118" s="1" t="s">
        <v>481</v>
      </c>
      <c r="B118" s="1" t="s">
        <v>482</v>
      </c>
      <c r="C118" s="1" t="s">
        <v>483</v>
      </c>
      <c r="D118" s="1" t="s">
        <v>20</v>
      </c>
      <c r="E118" s="1" t="s">
        <v>20</v>
      </c>
      <c r="F118" s="1" t="n">
        <v>1</v>
      </c>
      <c r="G118" s="1" t="s">
        <v>484</v>
      </c>
      <c r="H118" s="2" t="b">
        <f aca="false">TRUE()</f>
        <v>1</v>
      </c>
      <c r="I118" s="1" t="s">
        <v>22</v>
      </c>
      <c r="J118" s="1" t="s">
        <v>22</v>
      </c>
      <c r="K118" s="2" t="b">
        <f aca="false">TRUE()</f>
        <v>1</v>
      </c>
      <c r="L118" s="2" t="b">
        <f aca="false">FALSE()</f>
        <v>0</v>
      </c>
      <c r="M118" s="2" t="b">
        <f aca="false">FALSE()</f>
        <v>0</v>
      </c>
      <c r="N118" s="2" t="b">
        <f aca="false">FALSE()</f>
        <v>0</v>
      </c>
      <c r="O118" s="2" t="b">
        <f aca="false">FALSE()</f>
        <v>0</v>
      </c>
      <c r="P118" s="1" t="s">
        <v>23</v>
      </c>
    </row>
    <row r="119" customFormat="false" ht="15" hidden="true" customHeight="false" outlineLevel="0" collapsed="false">
      <c r="A119" s="1" t="s">
        <v>485</v>
      </c>
      <c r="B119" s="1" t="s">
        <v>486</v>
      </c>
      <c r="C119" s="1" t="s">
        <v>487</v>
      </c>
      <c r="D119" s="1" t="s">
        <v>20</v>
      </c>
      <c r="E119" s="1" t="s">
        <v>20</v>
      </c>
      <c r="F119" s="1" t="n">
        <v>1</v>
      </c>
      <c r="G119" s="1" t="s">
        <v>488</v>
      </c>
      <c r="H119" s="2" t="b">
        <f aca="false">TRUE()</f>
        <v>1</v>
      </c>
      <c r="I119" s="1" t="s">
        <v>22</v>
      </c>
      <c r="J119" s="1" t="s">
        <v>22</v>
      </c>
      <c r="K119" s="2" t="b">
        <f aca="false">TRUE()</f>
        <v>1</v>
      </c>
      <c r="L119" s="2" t="b">
        <f aca="false">FALSE()</f>
        <v>0</v>
      </c>
      <c r="M119" s="2" t="b">
        <f aca="false">FALSE()</f>
        <v>0</v>
      </c>
      <c r="N119" s="2" t="b">
        <f aca="false">FALSE()</f>
        <v>0</v>
      </c>
      <c r="O119" s="2" t="b">
        <f aca="false">FALSE()</f>
        <v>0</v>
      </c>
      <c r="P119" s="1" t="s">
        <v>23</v>
      </c>
    </row>
    <row r="120" customFormat="false" ht="2664.25" hidden="true" customHeight="false" outlineLevel="0" collapsed="false">
      <c r="A120" s="1" t="s">
        <v>489</v>
      </c>
      <c r="B120" s="1" t="s">
        <v>490</v>
      </c>
      <c r="C120" s="4" t="s">
        <v>491</v>
      </c>
      <c r="D120" s="1" t="s">
        <v>20</v>
      </c>
      <c r="E120" s="1" t="s">
        <v>20</v>
      </c>
      <c r="F120" s="1" t="n">
        <v>1</v>
      </c>
      <c r="G120" s="1" t="s">
        <v>492</v>
      </c>
      <c r="H120" s="2" t="b">
        <f aca="false">TRUE()</f>
        <v>1</v>
      </c>
      <c r="I120" s="1" t="s">
        <v>22</v>
      </c>
      <c r="J120" s="1" t="s">
        <v>22</v>
      </c>
      <c r="K120" s="2" t="b">
        <f aca="false">TRUE()</f>
        <v>1</v>
      </c>
      <c r="L120" s="2" t="b">
        <f aca="false">FALSE()</f>
        <v>0</v>
      </c>
      <c r="M120" s="2" t="b">
        <f aca="false">FALSE()</f>
        <v>0</v>
      </c>
      <c r="N120" s="2" t="b">
        <f aca="false">FALSE()</f>
        <v>0</v>
      </c>
      <c r="O120" s="2" t="b">
        <f aca="false">FALSE()</f>
        <v>0</v>
      </c>
      <c r="P120" s="1" t="s">
        <v>23</v>
      </c>
    </row>
    <row r="121" customFormat="false" ht="15" hidden="true" customHeight="false" outlineLevel="0" collapsed="false">
      <c r="A121" s="1" t="s">
        <v>493</v>
      </c>
      <c r="B121" s="1" t="s">
        <v>494</v>
      </c>
      <c r="C121" s="1" t="s">
        <v>495</v>
      </c>
      <c r="D121" s="1" t="s">
        <v>20</v>
      </c>
      <c r="E121" s="1" t="s">
        <v>20</v>
      </c>
      <c r="F121" s="1" t="n">
        <v>1</v>
      </c>
      <c r="G121" s="1" t="s">
        <v>496</v>
      </c>
      <c r="H121" s="2" t="b">
        <f aca="false">TRUE()</f>
        <v>1</v>
      </c>
      <c r="I121" s="1" t="s">
        <v>22</v>
      </c>
      <c r="J121" s="1" t="s">
        <v>22</v>
      </c>
      <c r="K121" s="2" t="b">
        <f aca="false">TRUE()</f>
        <v>1</v>
      </c>
      <c r="L121" s="2" t="b">
        <f aca="false">FALSE()</f>
        <v>0</v>
      </c>
      <c r="M121" s="2" t="b">
        <f aca="false">FALSE()</f>
        <v>0</v>
      </c>
      <c r="N121" s="2" t="b">
        <f aca="false">FALSE()</f>
        <v>0</v>
      </c>
      <c r="O121" s="2" t="b">
        <f aca="false">FALSE()</f>
        <v>0</v>
      </c>
      <c r="P121" s="1" t="s">
        <v>23</v>
      </c>
    </row>
    <row r="122" customFormat="false" ht="3276.75" hidden="true" customHeight="false" outlineLevel="0" collapsed="false">
      <c r="A122" s="1" t="s">
        <v>497</v>
      </c>
      <c r="B122" s="1" t="s">
        <v>498</v>
      </c>
      <c r="C122" s="4" t="s">
        <v>499</v>
      </c>
      <c r="D122" s="1" t="s">
        <v>20</v>
      </c>
      <c r="E122" s="1" t="s">
        <v>20</v>
      </c>
      <c r="F122" s="1" t="n">
        <v>1</v>
      </c>
      <c r="G122" s="1" t="s">
        <v>500</v>
      </c>
      <c r="H122" s="2" t="b">
        <f aca="false">TRUE()</f>
        <v>1</v>
      </c>
      <c r="I122" s="1" t="s">
        <v>22</v>
      </c>
      <c r="J122" s="1" t="s">
        <v>22</v>
      </c>
      <c r="K122" s="2" t="b">
        <f aca="false">TRUE()</f>
        <v>1</v>
      </c>
      <c r="L122" s="2" t="b">
        <f aca="false">FALSE()</f>
        <v>0</v>
      </c>
      <c r="M122" s="2" t="b">
        <f aca="false">FALSE()</f>
        <v>0</v>
      </c>
      <c r="N122" s="2" t="b">
        <f aca="false">FALSE()</f>
        <v>0</v>
      </c>
      <c r="O122" s="2" t="b">
        <f aca="false">FALSE()</f>
        <v>0</v>
      </c>
      <c r="P122" s="1" t="s">
        <v>23</v>
      </c>
    </row>
    <row r="123" customFormat="false" ht="15" hidden="true" customHeight="false" outlineLevel="0" collapsed="false">
      <c r="A123" s="1" t="s">
        <v>501</v>
      </c>
      <c r="B123" s="1" t="s">
        <v>502</v>
      </c>
      <c r="C123" s="1" t="s">
        <v>503</v>
      </c>
      <c r="D123" s="1" t="s">
        <v>27</v>
      </c>
      <c r="E123" s="1" t="s">
        <v>20</v>
      </c>
      <c r="F123" s="1" t="n">
        <v>2</v>
      </c>
      <c r="G123" s="1" t="s">
        <v>504</v>
      </c>
      <c r="H123" s="2" t="b">
        <f aca="false">FALSE()</f>
        <v>0</v>
      </c>
      <c r="I123" s="1" t="s">
        <v>29</v>
      </c>
      <c r="J123" s="1" t="s">
        <v>22</v>
      </c>
      <c r="K123" s="2" t="b">
        <f aca="false">FALSE()</f>
        <v>0</v>
      </c>
      <c r="L123" s="2" t="b">
        <f aca="false">FALSE()</f>
        <v>0</v>
      </c>
      <c r="M123" s="2" t="b">
        <f aca="false">FALSE()</f>
        <v>0</v>
      </c>
      <c r="N123" s="2" t="b">
        <f aca="false">FALSE()</f>
        <v>0</v>
      </c>
      <c r="O123" s="2" t="b">
        <f aca="false">FALSE()</f>
        <v>0</v>
      </c>
      <c r="P123" s="1" t="s">
        <v>23</v>
      </c>
    </row>
    <row r="124" customFormat="false" ht="3276.75" hidden="true" customHeight="false" outlineLevel="0" collapsed="false">
      <c r="A124" s="1" t="s">
        <v>505</v>
      </c>
      <c r="B124" s="1" t="s">
        <v>506</v>
      </c>
      <c r="C124" s="4" t="s">
        <v>507</v>
      </c>
      <c r="D124" s="1" t="s">
        <v>20</v>
      </c>
      <c r="E124" s="1" t="s">
        <v>20</v>
      </c>
      <c r="F124" s="1" t="n">
        <v>1</v>
      </c>
      <c r="G124" s="1" t="s">
        <v>508</v>
      </c>
      <c r="H124" s="2" t="b">
        <f aca="false">TRUE()</f>
        <v>1</v>
      </c>
      <c r="I124" s="1" t="s">
        <v>22</v>
      </c>
      <c r="J124" s="1" t="s">
        <v>22</v>
      </c>
      <c r="K124" s="2" t="b">
        <f aca="false">TRUE()</f>
        <v>1</v>
      </c>
      <c r="L124" s="2" t="b">
        <f aca="false">FALSE()</f>
        <v>0</v>
      </c>
      <c r="M124" s="2" t="b">
        <f aca="false">FALSE()</f>
        <v>0</v>
      </c>
      <c r="N124" s="2" t="b">
        <f aca="false">FALSE()</f>
        <v>0</v>
      </c>
      <c r="O124" s="2" t="b">
        <f aca="false">FALSE()</f>
        <v>0</v>
      </c>
      <c r="P124" s="1" t="s">
        <v>23</v>
      </c>
    </row>
    <row r="125" customFormat="false" ht="3276.75" hidden="true" customHeight="false" outlineLevel="0" collapsed="false">
      <c r="A125" s="1" t="s">
        <v>509</v>
      </c>
      <c r="B125" s="1" t="s">
        <v>506</v>
      </c>
      <c r="C125" s="4" t="s">
        <v>507</v>
      </c>
      <c r="D125" s="1" t="s">
        <v>20</v>
      </c>
      <c r="E125" s="1" t="s">
        <v>20</v>
      </c>
      <c r="F125" s="1" t="n">
        <v>1</v>
      </c>
      <c r="G125" s="1" t="s">
        <v>510</v>
      </c>
      <c r="H125" s="2" t="b">
        <f aca="false">TRUE()</f>
        <v>1</v>
      </c>
      <c r="I125" s="1" t="s">
        <v>22</v>
      </c>
      <c r="J125" s="1" t="s">
        <v>22</v>
      </c>
      <c r="K125" s="2" t="b">
        <f aca="false">TRUE()</f>
        <v>1</v>
      </c>
      <c r="L125" s="2" t="b">
        <f aca="false">FALSE()</f>
        <v>0</v>
      </c>
      <c r="M125" s="2" t="b">
        <f aca="false">FALSE()</f>
        <v>0</v>
      </c>
      <c r="N125" s="2" t="b">
        <f aca="false">FALSE()</f>
        <v>0</v>
      </c>
      <c r="O125" s="2" t="b">
        <f aca="false">FALSE()</f>
        <v>0</v>
      </c>
      <c r="P125" s="1" t="s">
        <v>23</v>
      </c>
    </row>
    <row r="126" customFormat="false" ht="3276.75" hidden="true" customHeight="false" outlineLevel="0" collapsed="false">
      <c r="A126" s="1" t="s">
        <v>511</v>
      </c>
      <c r="B126" s="1" t="s">
        <v>512</v>
      </c>
      <c r="C126" s="4" t="s">
        <v>513</v>
      </c>
      <c r="D126" s="1" t="s">
        <v>20</v>
      </c>
      <c r="E126" s="1" t="s">
        <v>20</v>
      </c>
      <c r="F126" s="1" t="n">
        <v>1</v>
      </c>
      <c r="G126" s="1" t="s">
        <v>514</v>
      </c>
      <c r="H126" s="2" t="b">
        <f aca="false">TRUE()</f>
        <v>1</v>
      </c>
      <c r="I126" s="1" t="s">
        <v>22</v>
      </c>
      <c r="J126" s="1" t="s">
        <v>22</v>
      </c>
      <c r="K126" s="2" t="b">
        <f aca="false">TRUE()</f>
        <v>1</v>
      </c>
      <c r="L126" s="2" t="b">
        <f aca="false">FALSE()</f>
        <v>0</v>
      </c>
      <c r="M126" s="2" t="b">
        <f aca="false">FALSE()</f>
        <v>0</v>
      </c>
      <c r="N126" s="2" t="b">
        <f aca="false">FALSE()</f>
        <v>0</v>
      </c>
      <c r="O126" s="2" t="b">
        <f aca="false">FALSE()</f>
        <v>0</v>
      </c>
      <c r="P126" s="1" t="s">
        <v>23</v>
      </c>
    </row>
    <row r="127" customFormat="false" ht="15" hidden="true" customHeight="false" outlineLevel="0" collapsed="false">
      <c r="A127" s="1" t="s">
        <v>515</v>
      </c>
      <c r="B127" s="1" t="s">
        <v>516</v>
      </c>
      <c r="C127" s="1" t="s">
        <v>517</v>
      </c>
      <c r="D127" s="1" t="s">
        <v>20</v>
      </c>
      <c r="E127" s="1" t="s">
        <v>20</v>
      </c>
      <c r="F127" s="1" t="n">
        <v>1</v>
      </c>
      <c r="G127" s="1" t="s">
        <v>518</v>
      </c>
      <c r="H127" s="2" t="b">
        <f aca="false">TRUE()</f>
        <v>1</v>
      </c>
      <c r="I127" s="1" t="s">
        <v>22</v>
      </c>
      <c r="J127" s="1" t="s">
        <v>22</v>
      </c>
      <c r="K127" s="2" t="b">
        <f aca="false">TRUE()</f>
        <v>1</v>
      </c>
      <c r="L127" s="2" t="b">
        <f aca="false">FALSE()</f>
        <v>0</v>
      </c>
      <c r="M127" s="2" t="b">
        <f aca="false">FALSE()</f>
        <v>0</v>
      </c>
      <c r="N127" s="2" t="b">
        <f aca="false">FALSE()</f>
        <v>0</v>
      </c>
      <c r="O127" s="2" t="b">
        <f aca="false">FALSE()</f>
        <v>0</v>
      </c>
      <c r="P127" s="1" t="s">
        <v>23</v>
      </c>
    </row>
    <row r="128" customFormat="false" ht="15" hidden="true" customHeight="false" outlineLevel="0" collapsed="false">
      <c r="A128" s="1" t="s">
        <v>519</v>
      </c>
      <c r="B128" s="1" t="s">
        <v>520</v>
      </c>
      <c r="C128" s="1" t="s">
        <v>521</v>
      </c>
      <c r="D128" s="1" t="s">
        <v>20</v>
      </c>
      <c r="E128" s="1" t="s">
        <v>20</v>
      </c>
      <c r="F128" s="1" t="n">
        <v>2</v>
      </c>
      <c r="G128" s="1" t="s">
        <v>522</v>
      </c>
      <c r="H128" s="2" t="b">
        <f aca="false">TRUE()</f>
        <v>1</v>
      </c>
      <c r="I128" s="1" t="s">
        <v>22</v>
      </c>
      <c r="J128" s="1" t="s">
        <v>22</v>
      </c>
      <c r="K128" s="2" t="b">
        <f aca="false">TRUE()</f>
        <v>1</v>
      </c>
      <c r="L128" s="2" t="b">
        <f aca="false">FALSE()</f>
        <v>0</v>
      </c>
      <c r="M128" s="2" t="b">
        <f aca="false">FALSE()</f>
        <v>0</v>
      </c>
      <c r="N128" s="2" t="b">
        <f aca="false">FALSE()</f>
        <v>0</v>
      </c>
      <c r="O128" s="2" t="b">
        <f aca="false">FALSE()</f>
        <v>0</v>
      </c>
      <c r="P128" s="1" t="s">
        <v>23</v>
      </c>
    </row>
    <row r="129" customFormat="false" ht="15" hidden="true" customHeight="false" outlineLevel="0" collapsed="false">
      <c r="A129" s="1" t="s">
        <v>523</v>
      </c>
      <c r="B129" s="1" t="s">
        <v>524</v>
      </c>
      <c r="C129" s="1" t="s">
        <v>525</v>
      </c>
      <c r="D129" s="1" t="s">
        <v>20</v>
      </c>
      <c r="E129" s="1" t="s">
        <v>20</v>
      </c>
      <c r="F129" s="1" t="n">
        <v>1</v>
      </c>
      <c r="G129" s="1" t="s">
        <v>526</v>
      </c>
      <c r="H129" s="2" t="b">
        <f aca="false">TRUE()</f>
        <v>1</v>
      </c>
      <c r="I129" s="1" t="s">
        <v>22</v>
      </c>
      <c r="J129" s="1" t="s">
        <v>22</v>
      </c>
      <c r="K129" s="2" t="b">
        <f aca="false">TRUE()</f>
        <v>1</v>
      </c>
      <c r="L129" s="2" t="b">
        <f aca="false">FALSE()</f>
        <v>0</v>
      </c>
      <c r="M129" s="2" t="b">
        <f aca="false">FALSE()</f>
        <v>0</v>
      </c>
      <c r="N129" s="2" t="b">
        <f aca="false">FALSE()</f>
        <v>0</v>
      </c>
      <c r="O129" s="2" t="b">
        <f aca="false">FALSE()</f>
        <v>0</v>
      </c>
      <c r="P129" s="1" t="s">
        <v>23</v>
      </c>
    </row>
    <row r="130" customFormat="false" ht="15" hidden="true" customHeight="false" outlineLevel="0" collapsed="false">
      <c r="A130" s="1" t="s">
        <v>527</v>
      </c>
      <c r="B130" s="1" t="s">
        <v>528</v>
      </c>
      <c r="C130" s="1" t="s">
        <v>529</v>
      </c>
      <c r="D130" s="1" t="s">
        <v>20</v>
      </c>
      <c r="E130" s="1" t="s">
        <v>20</v>
      </c>
      <c r="F130" s="1" t="n">
        <v>2</v>
      </c>
      <c r="G130" s="1" t="s">
        <v>530</v>
      </c>
      <c r="H130" s="2" t="b">
        <f aca="false">TRUE()</f>
        <v>1</v>
      </c>
      <c r="I130" s="1" t="s">
        <v>22</v>
      </c>
      <c r="J130" s="1" t="s">
        <v>22</v>
      </c>
      <c r="K130" s="2" t="b">
        <f aca="false">TRUE()</f>
        <v>1</v>
      </c>
      <c r="L130" s="2" t="b">
        <f aca="false">FALSE()</f>
        <v>0</v>
      </c>
      <c r="M130" s="2" t="b">
        <f aca="false">FALSE()</f>
        <v>0</v>
      </c>
      <c r="N130" s="2" t="b">
        <f aca="false">FALSE()</f>
        <v>0</v>
      </c>
      <c r="O130" s="2" t="b">
        <f aca="false">FALSE()</f>
        <v>0</v>
      </c>
      <c r="P130" s="1" t="s">
        <v>23</v>
      </c>
    </row>
    <row r="131" customFormat="false" ht="3276.75" hidden="true" customHeight="false" outlineLevel="0" collapsed="false">
      <c r="A131" s="1" t="s">
        <v>531</v>
      </c>
      <c r="B131" s="1" t="s">
        <v>532</v>
      </c>
      <c r="C131" s="4" t="s">
        <v>533</v>
      </c>
      <c r="D131" s="1" t="s">
        <v>20</v>
      </c>
      <c r="E131" s="1" t="s">
        <v>20</v>
      </c>
      <c r="F131" s="1" t="n">
        <v>1</v>
      </c>
      <c r="G131" s="1" t="s">
        <v>534</v>
      </c>
      <c r="H131" s="2" t="b">
        <f aca="false">TRUE()</f>
        <v>1</v>
      </c>
      <c r="I131" s="1" t="s">
        <v>22</v>
      </c>
      <c r="J131" s="1" t="s">
        <v>22</v>
      </c>
      <c r="K131" s="2" t="b">
        <f aca="false">TRUE()</f>
        <v>1</v>
      </c>
      <c r="L131" s="2" t="b">
        <f aca="false">FALSE()</f>
        <v>0</v>
      </c>
      <c r="M131" s="2" t="b">
        <f aca="false">FALSE()</f>
        <v>0</v>
      </c>
      <c r="N131" s="2" t="b">
        <f aca="false">FALSE()</f>
        <v>0</v>
      </c>
      <c r="O131" s="2" t="b">
        <f aca="false">FALSE()</f>
        <v>0</v>
      </c>
      <c r="P131" s="1" t="s">
        <v>23</v>
      </c>
    </row>
    <row r="132" customFormat="false" ht="2762.4" hidden="true" customHeight="false" outlineLevel="0" collapsed="false">
      <c r="A132" s="1" t="s">
        <v>535</v>
      </c>
      <c r="B132" s="1" t="s">
        <v>536</v>
      </c>
      <c r="C132" s="4" t="s">
        <v>537</v>
      </c>
      <c r="D132" s="1" t="s">
        <v>20</v>
      </c>
      <c r="E132" s="1" t="s">
        <v>20</v>
      </c>
      <c r="F132" s="1" t="n">
        <v>1</v>
      </c>
      <c r="G132" s="1" t="s">
        <v>538</v>
      </c>
      <c r="H132" s="2" t="b">
        <f aca="false">TRUE()</f>
        <v>1</v>
      </c>
      <c r="I132" s="1" t="s">
        <v>22</v>
      </c>
      <c r="J132" s="1" t="s">
        <v>22</v>
      </c>
      <c r="K132" s="2" t="b">
        <f aca="false">TRUE()</f>
        <v>1</v>
      </c>
      <c r="L132" s="2" t="b">
        <f aca="false">FALSE()</f>
        <v>0</v>
      </c>
      <c r="M132" s="2" t="b">
        <f aca="false">FALSE()</f>
        <v>0</v>
      </c>
      <c r="N132" s="2" t="b">
        <f aca="false">FALSE()</f>
        <v>0</v>
      </c>
      <c r="O132" s="2" t="b">
        <f aca="false">FALSE()</f>
        <v>0</v>
      </c>
      <c r="P132" s="1" t="s">
        <v>23</v>
      </c>
    </row>
    <row r="133" customFormat="false" ht="15" hidden="true" customHeight="false" outlineLevel="0" collapsed="false">
      <c r="A133" s="1" t="s">
        <v>539</v>
      </c>
      <c r="B133" s="1" t="s">
        <v>540</v>
      </c>
      <c r="C133" s="1" t="s">
        <v>541</v>
      </c>
      <c r="D133" s="1" t="s">
        <v>20</v>
      </c>
      <c r="E133" s="1" t="s">
        <v>20</v>
      </c>
      <c r="F133" s="1" t="n">
        <v>1</v>
      </c>
      <c r="G133" s="1" t="s">
        <v>542</v>
      </c>
      <c r="H133" s="2" t="b">
        <f aca="false">TRUE()</f>
        <v>1</v>
      </c>
      <c r="I133" s="1" t="s">
        <v>22</v>
      </c>
      <c r="J133" s="1" t="s">
        <v>22</v>
      </c>
      <c r="K133" s="2" t="b">
        <f aca="false">TRUE()</f>
        <v>1</v>
      </c>
      <c r="L133" s="2" t="b">
        <f aca="false">FALSE()</f>
        <v>0</v>
      </c>
      <c r="M133" s="2" t="b">
        <f aca="false">FALSE()</f>
        <v>0</v>
      </c>
      <c r="N133" s="2" t="b">
        <f aca="false">FALSE()</f>
        <v>0</v>
      </c>
      <c r="O133" s="2" t="b">
        <f aca="false">FALSE()</f>
        <v>0</v>
      </c>
      <c r="P133" s="1" t="s">
        <v>23</v>
      </c>
    </row>
    <row r="134" customFormat="false" ht="2827.8" hidden="true" customHeight="false" outlineLevel="0" collapsed="false">
      <c r="A134" s="1" t="s">
        <v>543</v>
      </c>
      <c r="B134" s="1" t="s">
        <v>544</v>
      </c>
      <c r="C134" s="4" t="s">
        <v>545</v>
      </c>
      <c r="D134" s="1" t="s">
        <v>20</v>
      </c>
      <c r="E134" s="1" t="s">
        <v>20</v>
      </c>
      <c r="F134" s="1" t="n">
        <v>1</v>
      </c>
      <c r="G134" s="1" t="s">
        <v>546</v>
      </c>
      <c r="H134" s="2" t="b">
        <f aca="false">TRUE()</f>
        <v>1</v>
      </c>
      <c r="I134" s="1" t="s">
        <v>22</v>
      </c>
      <c r="J134" s="1" t="s">
        <v>22</v>
      </c>
      <c r="K134" s="2" t="b">
        <f aca="false">TRUE()</f>
        <v>1</v>
      </c>
      <c r="L134" s="2" t="b">
        <f aca="false">FALSE()</f>
        <v>0</v>
      </c>
      <c r="M134" s="2" t="b">
        <f aca="false">FALSE()</f>
        <v>0</v>
      </c>
      <c r="N134" s="2" t="b">
        <f aca="false">FALSE()</f>
        <v>0</v>
      </c>
      <c r="O134" s="2" t="b">
        <f aca="false">FALSE()</f>
        <v>0</v>
      </c>
      <c r="P134" s="1" t="s">
        <v>23</v>
      </c>
    </row>
    <row r="135" customFormat="false" ht="3276.75" hidden="true" customHeight="false" outlineLevel="0" collapsed="false">
      <c r="A135" s="1" t="s">
        <v>547</v>
      </c>
      <c r="B135" s="1" t="s">
        <v>548</v>
      </c>
      <c r="C135" s="4" t="s">
        <v>549</v>
      </c>
      <c r="D135" s="1" t="s">
        <v>20</v>
      </c>
      <c r="E135" s="1" t="s">
        <v>20</v>
      </c>
      <c r="F135" s="1" t="n">
        <v>1</v>
      </c>
      <c r="G135" s="1" t="s">
        <v>550</v>
      </c>
      <c r="H135" s="2" t="b">
        <f aca="false">TRUE()</f>
        <v>1</v>
      </c>
      <c r="I135" s="1" t="s">
        <v>22</v>
      </c>
      <c r="J135" s="1" t="s">
        <v>22</v>
      </c>
      <c r="K135" s="2" t="b">
        <f aca="false">TRUE()</f>
        <v>1</v>
      </c>
      <c r="L135" s="2" t="b">
        <f aca="false">FALSE()</f>
        <v>0</v>
      </c>
      <c r="M135" s="2" t="b">
        <f aca="false">FALSE()</f>
        <v>0</v>
      </c>
      <c r="N135" s="2" t="b">
        <f aca="false">FALSE()</f>
        <v>0</v>
      </c>
      <c r="O135" s="2" t="b">
        <f aca="false">FALSE()</f>
        <v>0</v>
      </c>
      <c r="P135" s="1" t="s">
        <v>23</v>
      </c>
    </row>
    <row r="136" customFormat="false" ht="3276.75" hidden="true" customHeight="false" outlineLevel="0" collapsed="false">
      <c r="A136" s="1" t="s">
        <v>551</v>
      </c>
      <c r="B136" s="1" t="s">
        <v>552</v>
      </c>
      <c r="C136" s="4" t="s">
        <v>553</v>
      </c>
      <c r="D136" s="1" t="s">
        <v>20</v>
      </c>
      <c r="E136" s="1" t="s">
        <v>20</v>
      </c>
      <c r="F136" s="1" t="n">
        <v>1</v>
      </c>
      <c r="G136" s="1" t="s">
        <v>554</v>
      </c>
      <c r="H136" s="2" t="b">
        <f aca="false">TRUE()</f>
        <v>1</v>
      </c>
      <c r="I136" s="1" t="s">
        <v>22</v>
      </c>
      <c r="J136" s="1" t="s">
        <v>22</v>
      </c>
      <c r="K136" s="2" t="b">
        <f aca="false">TRUE()</f>
        <v>1</v>
      </c>
      <c r="L136" s="2" t="b">
        <f aca="false">FALSE()</f>
        <v>0</v>
      </c>
      <c r="M136" s="2" t="b">
        <f aca="false">FALSE()</f>
        <v>0</v>
      </c>
      <c r="N136" s="2" t="b">
        <f aca="false">FALSE()</f>
        <v>0</v>
      </c>
      <c r="O136" s="2" t="b">
        <f aca="false">FALSE()</f>
        <v>0</v>
      </c>
      <c r="P136" s="1" t="s">
        <v>23</v>
      </c>
    </row>
    <row r="137" customFormat="false" ht="15" hidden="true" customHeight="false" outlineLevel="0" collapsed="false">
      <c r="A137" s="1" t="s">
        <v>555</v>
      </c>
      <c r="B137" s="1" t="s">
        <v>556</v>
      </c>
      <c r="C137" s="1" t="s">
        <v>557</v>
      </c>
      <c r="D137" s="1" t="s">
        <v>20</v>
      </c>
      <c r="E137" s="1" t="s">
        <v>20</v>
      </c>
      <c r="F137" s="1" t="n">
        <v>1</v>
      </c>
      <c r="G137" s="1" t="s">
        <v>558</v>
      </c>
      <c r="H137" s="2" t="b">
        <f aca="false">TRUE()</f>
        <v>1</v>
      </c>
      <c r="I137" s="1" t="s">
        <v>22</v>
      </c>
      <c r="J137" s="1" t="s">
        <v>22</v>
      </c>
      <c r="K137" s="2" t="b">
        <f aca="false">TRUE()</f>
        <v>1</v>
      </c>
      <c r="L137" s="2" t="b">
        <f aca="false">FALSE()</f>
        <v>0</v>
      </c>
      <c r="M137" s="2" t="b">
        <f aca="false">FALSE()</f>
        <v>0</v>
      </c>
      <c r="N137" s="2" t="b">
        <f aca="false">FALSE()</f>
        <v>0</v>
      </c>
      <c r="O137" s="2" t="b">
        <f aca="false">FALSE()</f>
        <v>0</v>
      </c>
      <c r="P137" s="1" t="s">
        <v>23</v>
      </c>
    </row>
    <row r="138" customFormat="false" ht="15" hidden="true" customHeight="false" outlineLevel="0" collapsed="false">
      <c r="A138" s="1" t="s">
        <v>559</v>
      </c>
      <c r="B138" s="1" t="s">
        <v>560</v>
      </c>
      <c r="C138" s="1" t="s">
        <v>561</v>
      </c>
      <c r="D138" s="1" t="s">
        <v>20</v>
      </c>
      <c r="E138" s="1" t="s">
        <v>20</v>
      </c>
      <c r="F138" s="1" t="n">
        <v>1</v>
      </c>
      <c r="G138" s="1" t="s">
        <v>562</v>
      </c>
      <c r="H138" s="2" t="b">
        <f aca="false">TRUE()</f>
        <v>1</v>
      </c>
      <c r="I138" s="1" t="s">
        <v>22</v>
      </c>
      <c r="J138" s="1" t="s">
        <v>22</v>
      </c>
      <c r="K138" s="2" t="b">
        <f aca="false">TRUE()</f>
        <v>1</v>
      </c>
      <c r="L138" s="2" t="b">
        <f aca="false">FALSE()</f>
        <v>0</v>
      </c>
      <c r="M138" s="2" t="b">
        <f aca="false">FALSE()</f>
        <v>0</v>
      </c>
      <c r="N138" s="2" t="b">
        <f aca="false">FALSE()</f>
        <v>0</v>
      </c>
      <c r="O138" s="2" t="b">
        <f aca="false">FALSE()</f>
        <v>0</v>
      </c>
      <c r="P138" s="1" t="s">
        <v>23</v>
      </c>
    </row>
    <row r="139" customFormat="false" ht="15" hidden="true" customHeight="false" outlineLevel="0" collapsed="false">
      <c r="A139" s="1" t="s">
        <v>563</v>
      </c>
      <c r="B139" s="1" t="s">
        <v>564</v>
      </c>
      <c r="C139" s="1" t="s">
        <v>565</v>
      </c>
      <c r="D139" s="1" t="s">
        <v>20</v>
      </c>
      <c r="E139" s="1" t="s">
        <v>20</v>
      </c>
      <c r="F139" s="1" t="n">
        <v>1</v>
      </c>
      <c r="G139" s="1" t="s">
        <v>566</v>
      </c>
      <c r="H139" s="2" t="b">
        <f aca="false">TRUE()</f>
        <v>1</v>
      </c>
      <c r="I139" s="1" t="s">
        <v>22</v>
      </c>
      <c r="J139" s="1" t="s">
        <v>22</v>
      </c>
      <c r="K139" s="2" t="b">
        <f aca="false">TRUE()</f>
        <v>1</v>
      </c>
      <c r="L139" s="2" t="b">
        <f aca="false">FALSE()</f>
        <v>0</v>
      </c>
      <c r="M139" s="2" t="b">
        <f aca="false">FALSE()</f>
        <v>0</v>
      </c>
      <c r="N139" s="2" t="b">
        <f aca="false">FALSE()</f>
        <v>0</v>
      </c>
      <c r="O139" s="2" t="b">
        <f aca="false">FALSE()</f>
        <v>0</v>
      </c>
      <c r="P139" s="1" t="s">
        <v>23</v>
      </c>
    </row>
    <row r="140" customFormat="false" ht="3276.75" hidden="true" customHeight="false" outlineLevel="0" collapsed="false">
      <c r="A140" s="1" t="s">
        <v>567</v>
      </c>
      <c r="B140" s="1" t="s">
        <v>568</v>
      </c>
      <c r="C140" s="4" t="s">
        <v>569</v>
      </c>
      <c r="D140" s="1" t="s">
        <v>20</v>
      </c>
      <c r="E140" s="1" t="s">
        <v>20</v>
      </c>
      <c r="F140" s="1" t="n">
        <v>2</v>
      </c>
      <c r="G140" s="1" t="s">
        <v>570</v>
      </c>
      <c r="H140" s="2" t="b">
        <f aca="false">TRUE()</f>
        <v>1</v>
      </c>
      <c r="I140" s="1" t="s">
        <v>22</v>
      </c>
      <c r="J140" s="1" t="s">
        <v>22</v>
      </c>
      <c r="K140" s="2" t="b">
        <f aca="false">TRUE()</f>
        <v>1</v>
      </c>
      <c r="L140" s="2" t="b">
        <f aca="false">FALSE()</f>
        <v>0</v>
      </c>
      <c r="M140" s="2" t="b">
        <f aca="false">FALSE()</f>
        <v>0</v>
      </c>
      <c r="N140" s="2" t="b">
        <f aca="false">FALSE()</f>
        <v>0</v>
      </c>
      <c r="O140" s="2" t="b">
        <f aca="false">FALSE()</f>
        <v>0</v>
      </c>
      <c r="P140" s="1" t="s">
        <v>23</v>
      </c>
    </row>
    <row r="141" customFormat="false" ht="15" hidden="true" customHeight="false" outlineLevel="0" collapsed="false">
      <c r="A141" s="1" t="s">
        <v>571</v>
      </c>
      <c r="B141" s="1" t="s">
        <v>572</v>
      </c>
      <c r="C141" s="1" t="s">
        <v>573</v>
      </c>
      <c r="D141" s="1" t="s">
        <v>20</v>
      </c>
      <c r="E141" s="1" t="s">
        <v>20</v>
      </c>
      <c r="F141" s="1" t="n">
        <v>1</v>
      </c>
      <c r="G141" s="1" t="s">
        <v>574</v>
      </c>
      <c r="H141" s="2" t="b">
        <f aca="false">TRUE()</f>
        <v>1</v>
      </c>
      <c r="I141" s="1" t="s">
        <v>22</v>
      </c>
      <c r="J141" s="1" t="s">
        <v>22</v>
      </c>
      <c r="K141" s="2" t="b">
        <f aca="false">TRUE()</f>
        <v>1</v>
      </c>
      <c r="L141" s="2" t="b">
        <f aca="false">FALSE()</f>
        <v>0</v>
      </c>
      <c r="M141" s="2" t="b">
        <f aca="false">FALSE()</f>
        <v>0</v>
      </c>
      <c r="N141" s="2" t="b">
        <f aca="false">FALSE()</f>
        <v>0</v>
      </c>
      <c r="O141" s="2" t="b">
        <f aca="false">FALSE()</f>
        <v>0</v>
      </c>
      <c r="P141" s="1" t="s">
        <v>23</v>
      </c>
    </row>
    <row r="142" customFormat="false" ht="15" hidden="true" customHeight="false" outlineLevel="0" collapsed="false">
      <c r="A142" s="1" t="s">
        <v>575</v>
      </c>
      <c r="B142" s="1" t="s">
        <v>576</v>
      </c>
      <c r="C142" s="1" t="s">
        <v>577</v>
      </c>
      <c r="D142" s="1" t="s">
        <v>20</v>
      </c>
      <c r="H142" s="2" t="b">
        <f aca="false">FALSE()</f>
        <v>0</v>
      </c>
      <c r="I142" s="1" t="s">
        <v>22</v>
      </c>
      <c r="J142" s="1" t="s">
        <v>30</v>
      </c>
      <c r="K142" s="2" t="b">
        <f aca="false">FALSE()</f>
        <v>0</v>
      </c>
      <c r="P142" s="1" t="s">
        <v>113</v>
      </c>
      <c r="Q142" s="1" t="s">
        <v>114</v>
      </c>
    </row>
    <row r="143" customFormat="false" ht="15" hidden="true" customHeight="false" outlineLevel="0" collapsed="false">
      <c r="A143" s="1" t="s">
        <v>578</v>
      </c>
      <c r="B143" s="1" t="s">
        <v>579</v>
      </c>
      <c r="C143" s="1" t="s">
        <v>580</v>
      </c>
      <c r="D143" s="1" t="s">
        <v>20</v>
      </c>
      <c r="E143" s="1" t="s">
        <v>20</v>
      </c>
      <c r="F143" s="1" t="n">
        <v>1</v>
      </c>
      <c r="G143" s="1" t="s">
        <v>581</v>
      </c>
      <c r="H143" s="2" t="b">
        <f aca="false">TRUE()</f>
        <v>1</v>
      </c>
      <c r="I143" s="1" t="s">
        <v>22</v>
      </c>
      <c r="J143" s="1" t="s">
        <v>22</v>
      </c>
      <c r="K143" s="2" t="b">
        <f aca="false">TRUE()</f>
        <v>1</v>
      </c>
      <c r="L143" s="2" t="b">
        <f aca="false">FALSE()</f>
        <v>0</v>
      </c>
      <c r="M143" s="2" t="b">
        <f aca="false">FALSE()</f>
        <v>0</v>
      </c>
      <c r="N143" s="2" t="b">
        <f aca="false">FALSE()</f>
        <v>0</v>
      </c>
      <c r="O143" s="2" t="b">
        <f aca="false">FALSE()</f>
        <v>0</v>
      </c>
      <c r="P143" s="1" t="s">
        <v>23</v>
      </c>
    </row>
    <row r="144" customFormat="false" ht="3276.75" hidden="true" customHeight="false" outlineLevel="0" collapsed="false">
      <c r="A144" s="1" t="s">
        <v>582</v>
      </c>
      <c r="B144" s="1" t="s">
        <v>583</v>
      </c>
      <c r="C144" s="4" t="s">
        <v>584</v>
      </c>
      <c r="D144" s="1" t="s">
        <v>20</v>
      </c>
      <c r="E144" s="1" t="s">
        <v>20</v>
      </c>
      <c r="F144" s="1" t="n">
        <v>1</v>
      </c>
      <c r="G144" s="1" t="s">
        <v>585</v>
      </c>
      <c r="H144" s="2" t="b">
        <f aca="false">TRUE()</f>
        <v>1</v>
      </c>
      <c r="I144" s="1" t="s">
        <v>22</v>
      </c>
      <c r="J144" s="1" t="s">
        <v>22</v>
      </c>
      <c r="K144" s="2" t="b">
        <f aca="false">TRUE()</f>
        <v>1</v>
      </c>
      <c r="L144" s="2" t="b">
        <f aca="false">FALSE()</f>
        <v>0</v>
      </c>
      <c r="M144" s="2" t="b">
        <f aca="false">FALSE()</f>
        <v>0</v>
      </c>
      <c r="N144" s="2" t="b">
        <f aca="false">FALSE()</f>
        <v>0</v>
      </c>
      <c r="O144" s="2" t="b">
        <f aca="false">FALSE()</f>
        <v>0</v>
      </c>
      <c r="P144" s="1" t="s">
        <v>23</v>
      </c>
    </row>
    <row r="145" customFormat="false" ht="3276.75" hidden="true" customHeight="false" outlineLevel="0" collapsed="false">
      <c r="A145" s="1" t="s">
        <v>586</v>
      </c>
      <c r="B145" s="1" t="s">
        <v>587</v>
      </c>
      <c r="C145" s="4" t="s">
        <v>588</v>
      </c>
      <c r="D145" s="1" t="s">
        <v>20</v>
      </c>
      <c r="E145" s="1" t="s">
        <v>20</v>
      </c>
      <c r="F145" s="1" t="n">
        <v>2</v>
      </c>
      <c r="G145" s="1" t="s">
        <v>589</v>
      </c>
      <c r="H145" s="2" t="b">
        <f aca="false">TRUE()</f>
        <v>1</v>
      </c>
      <c r="I145" s="1" t="s">
        <v>22</v>
      </c>
      <c r="J145" s="1" t="s">
        <v>22</v>
      </c>
      <c r="K145" s="2" t="b">
        <f aca="false">TRUE()</f>
        <v>1</v>
      </c>
      <c r="L145" s="2" t="b">
        <f aca="false">FALSE()</f>
        <v>0</v>
      </c>
      <c r="M145" s="2" t="b">
        <f aca="false">FALSE()</f>
        <v>0</v>
      </c>
      <c r="N145" s="2" t="b">
        <f aca="false">FALSE()</f>
        <v>0</v>
      </c>
      <c r="O145" s="2" t="b">
        <f aca="false">FALSE()</f>
        <v>0</v>
      </c>
      <c r="P145" s="1" t="s">
        <v>23</v>
      </c>
    </row>
    <row r="146" customFormat="false" ht="15" hidden="true" customHeight="false" outlineLevel="0" collapsed="false">
      <c r="A146" s="1" t="s">
        <v>590</v>
      </c>
      <c r="B146" s="1" t="s">
        <v>591</v>
      </c>
      <c r="C146" s="1" t="s">
        <v>592</v>
      </c>
      <c r="D146" s="1" t="s">
        <v>20</v>
      </c>
      <c r="E146" s="1" t="s">
        <v>20</v>
      </c>
      <c r="F146" s="1" t="n">
        <v>1</v>
      </c>
      <c r="G146" s="1" t="s">
        <v>593</v>
      </c>
      <c r="H146" s="2" t="b">
        <f aca="false">TRUE()</f>
        <v>1</v>
      </c>
      <c r="I146" s="1" t="s">
        <v>22</v>
      </c>
      <c r="J146" s="1" t="s">
        <v>22</v>
      </c>
      <c r="K146" s="2" t="b">
        <f aca="false">TRUE()</f>
        <v>1</v>
      </c>
      <c r="L146" s="2" t="b">
        <f aca="false">FALSE()</f>
        <v>0</v>
      </c>
      <c r="M146" s="2" t="b">
        <f aca="false">FALSE()</f>
        <v>0</v>
      </c>
      <c r="N146" s="2" t="b">
        <f aca="false">FALSE()</f>
        <v>0</v>
      </c>
      <c r="O146" s="2" t="b">
        <f aca="false">FALSE()</f>
        <v>0</v>
      </c>
      <c r="P146" s="1" t="s">
        <v>23</v>
      </c>
    </row>
    <row r="147" customFormat="false" ht="2675.15" hidden="true" customHeight="false" outlineLevel="0" collapsed="false">
      <c r="A147" s="1" t="s">
        <v>594</v>
      </c>
      <c r="B147" s="1" t="s">
        <v>595</v>
      </c>
      <c r="C147" s="4" t="s">
        <v>596</v>
      </c>
      <c r="D147" s="1" t="s">
        <v>20</v>
      </c>
      <c r="E147" s="1" t="s">
        <v>20</v>
      </c>
      <c r="F147" s="1" t="n">
        <v>1</v>
      </c>
      <c r="G147" s="1" t="s">
        <v>597</v>
      </c>
      <c r="H147" s="2" t="b">
        <f aca="false">TRUE()</f>
        <v>1</v>
      </c>
      <c r="I147" s="1" t="s">
        <v>22</v>
      </c>
      <c r="J147" s="1" t="s">
        <v>22</v>
      </c>
      <c r="K147" s="2" t="b">
        <f aca="false">TRUE()</f>
        <v>1</v>
      </c>
      <c r="L147" s="2" t="b">
        <f aca="false">FALSE()</f>
        <v>0</v>
      </c>
      <c r="M147" s="2" t="b">
        <f aca="false">FALSE()</f>
        <v>0</v>
      </c>
      <c r="N147" s="2" t="b">
        <f aca="false">FALSE()</f>
        <v>0</v>
      </c>
      <c r="O147" s="2" t="b">
        <f aca="false">FALSE()</f>
        <v>0</v>
      </c>
      <c r="P147" s="1" t="s">
        <v>23</v>
      </c>
    </row>
    <row r="148" customFormat="false" ht="15" hidden="true" customHeight="false" outlineLevel="0" collapsed="false">
      <c r="A148" s="1" t="s">
        <v>598</v>
      </c>
      <c r="B148" s="1" t="s">
        <v>599</v>
      </c>
      <c r="C148" s="1" t="s">
        <v>600</v>
      </c>
      <c r="D148" s="1" t="s">
        <v>20</v>
      </c>
      <c r="E148" s="1" t="s">
        <v>20</v>
      </c>
      <c r="F148" s="1" t="n">
        <v>1</v>
      </c>
      <c r="G148" s="1" t="s">
        <v>601</v>
      </c>
      <c r="H148" s="2" t="b">
        <f aca="false">TRUE()</f>
        <v>1</v>
      </c>
      <c r="I148" s="1" t="s">
        <v>22</v>
      </c>
      <c r="J148" s="1" t="s">
        <v>22</v>
      </c>
      <c r="K148" s="2" t="b">
        <f aca="false">TRUE()</f>
        <v>1</v>
      </c>
      <c r="L148" s="2" t="b">
        <f aca="false">FALSE()</f>
        <v>0</v>
      </c>
      <c r="M148" s="2" t="b">
        <f aca="false">FALSE()</f>
        <v>0</v>
      </c>
      <c r="N148" s="2" t="b">
        <f aca="false">FALSE()</f>
        <v>0</v>
      </c>
      <c r="O148" s="2" t="b">
        <f aca="false">FALSE()</f>
        <v>0</v>
      </c>
      <c r="P148" s="1" t="s">
        <v>23</v>
      </c>
    </row>
    <row r="149" customFormat="false" ht="3276.75" hidden="true" customHeight="false" outlineLevel="0" collapsed="false">
      <c r="A149" s="1" t="s">
        <v>602</v>
      </c>
      <c r="B149" s="1" t="s">
        <v>603</v>
      </c>
      <c r="C149" s="4" t="s">
        <v>604</v>
      </c>
      <c r="D149" s="1" t="s">
        <v>20</v>
      </c>
      <c r="E149" s="1" t="s">
        <v>20</v>
      </c>
      <c r="F149" s="1" t="n">
        <v>1</v>
      </c>
      <c r="G149" s="1" t="s">
        <v>605</v>
      </c>
      <c r="H149" s="2" t="b">
        <f aca="false">TRUE()</f>
        <v>1</v>
      </c>
      <c r="I149" s="1" t="s">
        <v>22</v>
      </c>
      <c r="J149" s="1" t="s">
        <v>22</v>
      </c>
      <c r="K149" s="2" t="b">
        <f aca="false">TRUE()</f>
        <v>1</v>
      </c>
      <c r="L149" s="2" t="b">
        <f aca="false">FALSE()</f>
        <v>0</v>
      </c>
      <c r="M149" s="2" t="b">
        <f aca="false">FALSE()</f>
        <v>0</v>
      </c>
      <c r="N149" s="2" t="b">
        <f aca="false">FALSE()</f>
        <v>0</v>
      </c>
      <c r="O149" s="2" t="b">
        <f aca="false">FALSE()</f>
        <v>0</v>
      </c>
      <c r="P149" s="1" t="s">
        <v>23</v>
      </c>
    </row>
    <row r="150" customFormat="false" ht="2533.05" hidden="true" customHeight="false" outlineLevel="0" collapsed="false">
      <c r="A150" s="1" t="s">
        <v>606</v>
      </c>
      <c r="B150" s="1" t="s">
        <v>607</v>
      </c>
      <c r="C150" s="4" t="s">
        <v>608</v>
      </c>
      <c r="D150" s="1" t="s">
        <v>20</v>
      </c>
      <c r="E150" s="1" t="s">
        <v>20</v>
      </c>
      <c r="F150" s="1" t="n">
        <v>1</v>
      </c>
      <c r="G150" s="1" t="s">
        <v>609</v>
      </c>
      <c r="H150" s="2" t="b">
        <f aca="false">TRUE()</f>
        <v>1</v>
      </c>
      <c r="I150" s="1" t="s">
        <v>22</v>
      </c>
      <c r="J150" s="1" t="s">
        <v>22</v>
      </c>
      <c r="K150" s="2" t="b">
        <f aca="false">TRUE()</f>
        <v>1</v>
      </c>
      <c r="L150" s="2" t="b">
        <f aca="false">FALSE()</f>
        <v>0</v>
      </c>
      <c r="M150" s="2" t="b">
        <f aca="false">FALSE()</f>
        <v>0</v>
      </c>
      <c r="N150" s="2" t="b">
        <f aca="false">FALSE()</f>
        <v>0</v>
      </c>
      <c r="O150" s="2" t="b">
        <f aca="false">FALSE()</f>
        <v>0</v>
      </c>
      <c r="P150" s="1" t="s">
        <v>23</v>
      </c>
    </row>
    <row r="151" customFormat="false" ht="15" hidden="true" customHeight="false" outlineLevel="0" collapsed="false">
      <c r="A151" s="1" t="s">
        <v>610</v>
      </c>
      <c r="B151" s="1" t="s">
        <v>611</v>
      </c>
      <c r="C151" s="1" t="s">
        <v>612</v>
      </c>
      <c r="D151" s="1" t="s">
        <v>20</v>
      </c>
      <c r="E151" s="1" t="s">
        <v>20</v>
      </c>
      <c r="F151" s="1" t="n">
        <v>1</v>
      </c>
      <c r="G151" s="1" t="s">
        <v>613</v>
      </c>
      <c r="H151" s="2" t="b">
        <f aca="false">TRUE()</f>
        <v>1</v>
      </c>
      <c r="I151" s="1" t="s">
        <v>22</v>
      </c>
      <c r="J151" s="1" t="s">
        <v>22</v>
      </c>
      <c r="K151" s="2" t="b">
        <f aca="false">TRUE()</f>
        <v>1</v>
      </c>
      <c r="L151" s="2" t="b">
        <f aca="false">FALSE()</f>
        <v>0</v>
      </c>
      <c r="M151" s="2" t="b">
        <f aca="false">FALSE()</f>
        <v>0</v>
      </c>
      <c r="N151" s="2" t="b">
        <f aca="false">FALSE()</f>
        <v>0</v>
      </c>
      <c r="O151" s="2" t="b">
        <f aca="false">FALSE()</f>
        <v>0</v>
      </c>
      <c r="P151" s="1" t="s">
        <v>23</v>
      </c>
    </row>
    <row r="152" customFormat="false" ht="15" hidden="true" customHeight="false" outlineLevel="0" collapsed="false">
      <c r="A152" s="1" t="s">
        <v>614</v>
      </c>
      <c r="B152" s="1" t="s">
        <v>615</v>
      </c>
      <c r="C152" s="1" t="s">
        <v>616</v>
      </c>
      <c r="D152" s="1" t="s">
        <v>20</v>
      </c>
      <c r="E152" s="1" t="s">
        <v>20</v>
      </c>
      <c r="F152" s="1" t="n">
        <v>2</v>
      </c>
      <c r="G152" s="1" t="s">
        <v>617</v>
      </c>
      <c r="H152" s="2" t="b">
        <f aca="false">TRUE()</f>
        <v>1</v>
      </c>
      <c r="I152" s="1" t="s">
        <v>22</v>
      </c>
      <c r="J152" s="1" t="s">
        <v>22</v>
      </c>
      <c r="K152" s="2" t="b">
        <f aca="false">TRUE()</f>
        <v>1</v>
      </c>
      <c r="L152" s="2" t="b">
        <f aca="false">FALSE()</f>
        <v>0</v>
      </c>
      <c r="M152" s="2" t="b">
        <f aca="false">FALSE()</f>
        <v>0</v>
      </c>
      <c r="N152" s="2" t="b">
        <f aca="false">FALSE()</f>
        <v>0</v>
      </c>
      <c r="O152" s="2" t="b">
        <f aca="false">FALSE()</f>
        <v>0</v>
      </c>
      <c r="P152" s="1" t="s">
        <v>23</v>
      </c>
    </row>
    <row r="153" customFormat="false" ht="15" hidden="true" customHeight="false" outlineLevel="0" collapsed="false">
      <c r="A153" s="1" t="s">
        <v>618</v>
      </c>
      <c r="B153" s="1" t="s">
        <v>619</v>
      </c>
      <c r="C153" s="1" t="s">
        <v>620</v>
      </c>
      <c r="D153" s="1" t="s">
        <v>20</v>
      </c>
      <c r="E153" s="1" t="s">
        <v>20</v>
      </c>
      <c r="F153" s="1" t="n">
        <v>1</v>
      </c>
      <c r="G153" s="1" t="s">
        <v>621</v>
      </c>
      <c r="H153" s="2" t="b">
        <f aca="false">TRUE()</f>
        <v>1</v>
      </c>
      <c r="I153" s="1" t="s">
        <v>22</v>
      </c>
      <c r="J153" s="1" t="s">
        <v>22</v>
      </c>
      <c r="K153" s="2" t="b">
        <f aca="false">TRUE()</f>
        <v>1</v>
      </c>
      <c r="L153" s="2" t="b">
        <f aca="false">FALSE()</f>
        <v>0</v>
      </c>
      <c r="M153" s="2" t="b">
        <f aca="false">FALSE()</f>
        <v>0</v>
      </c>
      <c r="N153" s="2" t="b">
        <f aca="false">FALSE()</f>
        <v>0</v>
      </c>
      <c r="O153" s="2" t="b">
        <f aca="false">FALSE()</f>
        <v>0</v>
      </c>
      <c r="P153" s="1" t="s">
        <v>23</v>
      </c>
    </row>
    <row r="154" customFormat="false" ht="3276.75" hidden="true" customHeight="false" outlineLevel="0" collapsed="false">
      <c r="A154" s="1" t="s">
        <v>622</v>
      </c>
      <c r="B154" s="1" t="s">
        <v>623</v>
      </c>
      <c r="C154" s="4" t="s">
        <v>624</v>
      </c>
      <c r="D154" s="1" t="s">
        <v>20</v>
      </c>
      <c r="E154" s="1" t="s">
        <v>20</v>
      </c>
      <c r="F154" s="1" t="n">
        <v>1</v>
      </c>
      <c r="G154" s="1" t="s">
        <v>625</v>
      </c>
      <c r="H154" s="2" t="b">
        <f aca="false">TRUE()</f>
        <v>1</v>
      </c>
      <c r="I154" s="1" t="s">
        <v>22</v>
      </c>
      <c r="J154" s="1" t="s">
        <v>22</v>
      </c>
      <c r="K154" s="2" t="b">
        <f aca="false">TRUE()</f>
        <v>1</v>
      </c>
      <c r="L154" s="2" t="b">
        <f aca="false">FALSE()</f>
        <v>0</v>
      </c>
      <c r="M154" s="2" t="b">
        <f aca="false">FALSE()</f>
        <v>0</v>
      </c>
      <c r="N154" s="2" t="b">
        <f aca="false">FALSE()</f>
        <v>0</v>
      </c>
      <c r="O154" s="2" t="b">
        <f aca="false">FALSE()</f>
        <v>0</v>
      </c>
      <c r="P154" s="1" t="s">
        <v>23</v>
      </c>
    </row>
    <row r="155" customFormat="false" ht="3276.75" hidden="true" customHeight="false" outlineLevel="0" collapsed="false">
      <c r="A155" s="1" t="s">
        <v>626</v>
      </c>
      <c r="B155" s="1" t="s">
        <v>623</v>
      </c>
      <c r="C155" s="4" t="s">
        <v>624</v>
      </c>
      <c r="D155" s="1" t="s">
        <v>20</v>
      </c>
      <c r="E155" s="1" t="s">
        <v>20</v>
      </c>
      <c r="F155" s="1" t="n">
        <v>1</v>
      </c>
      <c r="G155" s="1" t="s">
        <v>627</v>
      </c>
      <c r="H155" s="2" t="b">
        <f aca="false">TRUE()</f>
        <v>1</v>
      </c>
      <c r="I155" s="1" t="s">
        <v>22</v>
      </c>
      <c r="J155" s="1" t="s">
        <v>22</v>
      </c>
      <c r="K155" s="2" t="b">
        <f aca="false">TRUE()</f>
        <v>1</v>
      </c>
      <c r="L155" s="2" t="b">
        <f aca="false">FALSE()</f>
        <v>0</v>
      </c>
      <c r="M155" s="2" t="b">
        <f aca="false">FALSE()</f>
        <v>0</v>
      </c>
      <c r="N155" s="2" t="b">
        <f aca="false">FALSE()</f>
        <v>0</v>
      </c>
      <c r="O155" s="2" t="b">
        <f aca="false">FALSE()</f>
        <v>0</v>
      </c>
      <c r="P155" s="1" t="s">
        <v>23</v>
      </c>
    </row>
    <row r="156" customFormat="false" ht="15" hidden="true" customHeight="false" outlineLevel="0" collapsed="false">
      <c r="A156" s="1" t="s">
        <v>628</v>
      </c>
      <c r="B156" s="1" t="s">
        <v>629</v>
      </c>
      <c r="C156" s="1" t="s">
        <v>630</v>
      </c>
      <c r="D156" s="1" t="s">
        <v>20</v>
      </c>
      <c r="E156" s="1" t="s">
        <v>20</v>
      </c>
      <c r="F156" s="1" t="n">
        <v>2</v>
      </c>
      <c r="G156" s="1" t="s">
        <v>631</v>
      </c>
      <c r="H156" s="2" t="b">
        <f aca="false">TRUE()</f>
        <v>1</v>
      </c>
      <c r="I156" s="1" t="s">
        <v>22</v>
      </c>
      <c r="J156" s="1" t="s">
        <v>22</v>
      </c>
      <c r="K156" s="2" t="b">
        <f aca="false">TRUE()</f>
        <v>1</v>
      </c>
      <c r="L156" s="2" t="b">
        <f aca="false">FALSE()</f>
        <v>0</v>
      </c>
      <c r="M156" s="2" t="b">
        <f aca="false">FALSE()</f>
        <v>0</v>
      </c>
      <c r="N156" s="2" t="b">
        <f aca="false">FALSE()</f>
        <v>0</v>
      </c>
      <c r="O156" s="2" t="b">
        <f aca="false">FALSE()</f>
        <v>0</v>
      </c>
      <c r="P156" s="1" t="s">
        <v>23</v>
      </c>
    </row>
    <row r="157" customFormat="false" ht="2347.7" hidden="false" customHeight="false" outlineLevel="0" collapsed="false">
      <c r="A157" s="1" t="s">
        <v>632</v>
      </c>
      <c r="B157" s="1" t="s">
        <v>633</v>
      </c>
      <c r="C157" s="4" t="s">
        <v>634</v>
      </c>
      <c r="D157" s="1" t="s">
        <v>27</v>
      </c>
      <c r="E157" s="1" t="s">
        <v>27</v>
      </c>
      <c r="F157" s="1" t="n">
        <v>7</v>
      </c>
      <c r="G157" s="1" t="s">
        <v>635</v>
      </c>
      <c r="H157" s="2" t="b">
        <f aca="false">TRUE()</f>
        <v>1</v>
      </c>
      <c r="I157" s="1" t="s">
        <v>30</v>
      </c>
      <c r="J157" s="1" t="s">
        <v>81</v>
      </c>
      <c r="K157" s="7" t="b">
        <f aca="false">FALSE()</f>
        <v>0</v>
      </c>
      <c r="L157" s="2" t="b">
        <f aca="false">FALSE()</f>
        <v>0</v>
      </c>
      <c r="M157" s="2" t="b">
        <f aca="false">FALSE()</f>
        <v>0</v>
      </c>
      <c r="N157" s="2" t="b">
        <f aca="false">TRUE()</f>
        <v>1</v>
      </c>
      <c r="O157" s="2" t="b">
        <f aca="false">FALSE()</f>
        <v>0</v>
      </c>
      <c r="P157" s="1" t="s">
        <v>23</v>
      </c>
      <c r="Q157" s="1" t="s">
        <v>636</v>
      </c>
    </row>
    <row r="158" customFormat="false" ht="2565.75" hidden="true" customHeight="false" outlineLevel="0" collapsed="false">
      <c r="A158" s="1" t="s">
        <v>637</v>
      </c>
      <c r="B158" s="1" t="s">
        <v>638</v>
      </c>
      <c r="C158" s="4" t="s">
        <v>639</v>
      </c>
      <c r="D158" s="1" t="s">
        <v>20</v>
      </c>
      <c r="E158" s="1" t="s">
        <v>20</v>
      </c>
      <c r="F158" s="1" t="n">
        <v>1</v>
      </c>
      <c r="G158" s="1" t="s">
        <v>640</v>
      </c>
      <c r="H158" s="2" t="b">
        <f aca="false">TRUE()</f>
        <v>1</v>
      </c>
      <c r="I158" s="1" t="s">
        <v>22</v>
      </c>
      <c r="J158" s="1" t="s">
        <v>22</v>
      </c>
      <c r="K158" s="2" t="b">
        <f aca="false">TRUE()</f>
        <v>1</v>
      </c>
      <c r="L158" s="2" t="b">
        <f aca="false">FALSE()</f>
        <v>0</v>
      </c>
      <c r="M158" s="2" t="b">
        <f aca="false">FALSE()</f>
        <v>0</v>
      </c>
      <c r="N158" s="2" t="b">
        <f aca="false">FALSE()</f>
        <v>0</v>
      </c>
      <c r="O158" s="2" t="b">
        <f aca="false">FALSE()</f>
        <v>0</v>
      </c>
      <c r="P158" s="1" t="s">
        <v>23</v>
      </c>
    </row>
    <row r="159" customFormat="false" ht="3276.75" hidden="true" customHeight="false" outlineLevel="0" collapsed="false">
      <c r="A159" s="1" t="s">
        <v>641</v>
      </c>
      <c r="B159" s="1" t="s">
        <v>642</v>
      </c>
      <c r="C159" s="4" t="s">
        <v>643</v>
      </c>
      <c r="D159" s="1" t="s">
        <v>20</v>
      </c>
      <c r="E159" s="1" t="s">
        <v>20</v>
      </c>
      <c r="F159" s="1" t="n">
        <v>1</v>
      </c>
      <c r="G159" s="1" t="s">
        <v>644</v>
      </c>
      <c r="H159" s="2" t="b">
        <f aca="false">TRUE()</f>
        <v>1</v>
      </c>
      <c r="I159" s="1" t="s">
        <v>22</v>
      </c>
      <c r="J159" s="1" t="s">
        <v>22</v>
      </c>
      <c r="K159" s="2" t="b">
        <f aca="false">TRUE()</f>
        <v>1</v>
      </c>
      <c r="L159" s="2" t="b">
        <f aca="false">FALSE()</f>
        <v>0</v>
      </c>
      <c r="M159" s="2" t="b">
        <f aca="false">FALSE()</f>
        <v>0</v>
      </c>
      <c r="N159" s="2" t="b">
        <f aca="false">FALSE()</f>
        <v>0</v>
      </c>
      <c r="O159" s="2" t="b">
        <f aca="false">FALSE()</f>
        <v>0</v>
      </c>
      <c r="P159" s="1" t="s">
        <v>23</v>
      </c>
    </row>
    <row r="160" customFormat="false" ht="15" hidden="true" customHeight="false" outlineLevel="0" collapsed="false">
      <c r="A160" s="1" t="s">
        <v>645</v>
      </c>
      <c r="B160" s="1" t="s">
        <v>646</v>
      </c>
      <c r="C160" s="1" t="s">
        <v>647</v>
      </c>
      <c r="D160" s="1" t="s">
        <v>20</v>
      </c>
      <c r="E160" s="1" t="s">
        <v>20</v>
      </c>
      <c r="F160" s="1" t="n">
        <v>1</v>
      </c>
      <c r="G160" s="1" t="s">
        <v>648</v>
      </c>
      <c r="H160" s="2" t="b">
        <f aca="false">TRUE()</f>
        <v>1</v>
      </c>
      <c r="I160" s="1" t="s">
        <v>22</v>
      </c>
      <c r="J160" s="1" t="s">
        <v>22</v>
      </c>
      <c r="K160" s="2" t="b">
        <f aca="false">TRUE()</f>
        <v>1</v>
      </c>
      <c r="L160" s="2" t="b">
        <f aca="false">FALSE()</f>
        <v>0</v>
      </c>
      <c r="M160" s="2" t="b">
        <f aca="false">FALSE()</f>
        <v>0</v>
      </c>
      <c r="N160" s="2" t="b">
        <f aca="false">FALSE()</f>
        <v>0</v>
      </c>
      <c r="O160" s="2" t="b">
        <f aca="false">FALSE()</f>
        <v>0</v>
      </c>
      <c r="P160" s="1" t="s">
        <v>23</v>
      </c>
    </row>
    <row r="161" customFormat="false" ht="3276.75" hidden="true" customHeight="false" outlineLevel="0" collapsed="false">
      <c r="A161" s="1" t="s">
        <v>649</v>
      </c>
      <c r="B161" s="1" t="s">
        <v>650</v>
      </c>
      <c r="C161" s="4" t="s">
        <v>651</v>
      </c>
      <c r="D161" s="1" t="s">
        <v>20</v>
      </c>
      <c r="E161" s="1" t="s">
        <v>20</v>
      </c>
      <c r="F161" s="1" t="n">
        <v>1</v>
      </c>
      <c r="G161" s="1" t="s">
        <v>652</v>
      </c>
      <c r="H161" s="2" t="b">
        <f aca="false">TRUE()</f>
        <v>1</v>
      </c>
      <c r="I161" s="1" t="s">
        <v>22</v>
      </c>
      <c r="J161" s="1" t="s">
        <v>22</v>
      </c>
      <c r="K161" s="2" t="b">
        <f aca="false">TRUE()</f>
        <v>1</v>
      </c>
      <c r="L161" s="2" t="b">
        <f aca="false">FALSE()</f>
        <v>0</v>
      </c>
      <c r="M161" s="2" t="b">
        <f aca="false">FALSE()</f>
        <v>0</v>
      </c>
      <c r="N161" s="2" t="b">
        <f aca="false">FALSE()</f>
        <v>0</v>
      </c>
      <c r="O161" s="2" t="b">
        <f aca="false">FALSE()</f>
        <v>0</v>
      </c>
      <c r="P161" s="1" t="s">
        <v>23</v>
      </c>
    </row>
    <row r="162" customFormat="false" ht="15" hidden="false" customHeight="false" outlineLevel="0" collapsed="false">
      <c r="A162" s="1" t="s">
        <v>653</v>
      </c>
      <c r="B162" s="1" t="s">
        <v>654</v>
      </c>
      <c r="C162" s="1" t="s">
        <v>655</v>
      </c>
      <c r="D162" s="1" t="s">
        <v>27</v>
      </c>
      <c r="E162" s="1" t="s">
        <v>27</v>
      </c>
      <c r="F162" s="1" t="n">
        <v>7</v>
      </c>
      <c r="G162" s="1" t="s">
        <v>656</v>
      </c>
      <c r="H162" s="2" t="b">
        <f aca="false">TRUE()</f>
        <v>1</v>
      </c>
      <c r="I162" s="1" t="s">
        <v>29</v>
      </c>
      <c r="J162" s="1" t="s">
        <v>29</v>
      </c>
      <c r="K162" s="2" t="b">
        <f aca="false">TRUE()</f>
        <v>1</v>
      </c>
      <c r="L162" s="2" t="b">
        <f aca="false">TRUE()</f>
        <v>1</v>
      </c>
      <c r="M162" s="2" t="b">
        <f aca="false">FALSE()</f>
        <v>0</v>
      </c>
      <c r="N162" s="2" t="b">
        <f aca="false">FALSE()</f>
        <v>0</v>
      </c>
      <c r="O162" s="2" t="b">
        <f aca="false">FALSE()</f>
        <v>0</v>
      </c>
      <c r="P162" s="1" t="s">
        <v>23</v>
      </c>
    </row>
    <row r="163" customFormat="false" ht="15" hidden="true" customHeight="false" outlineLevel="0" collapsed="false">
      <c r="A163" s="1" t="s">
        <v>657</v>
      </c>
      <c r="B163" s="1" t="s">
        <v>658</v>
      </c>
      <c r="C163" s="1" t="s">
        <v>659</v>
      </c>
      <c r="D163" s="1" t="s">
        <v>20</v>
      </c>
      <c r="E163" s="1" t="s">
        <v>20</v>
      </c>
      <c r="F163" s="1" t="n">
        <v>1</v>
      </c>
      <c r="G163" s="1" t="s">
        <v>660</v>
      </c>
      <c r="H163" s="2" t="b">
        <f aca="false">TRUE()</f>
        <v>1</v>
      </c>
      <c r="I163" s="1" t="s">
        <v>22</v>
      </c>
      <c r="J163" s="1" t="s">
        <v>22</v>
      </c>
      <c r="K163" s="2" t="b">
        <f aca="false">TRUE()</f>
        <v>1</v>
      </c>
      <c r="L163" s="2" t="b">
        <f aca="false">FALSE()</f>
        <v>0</v>
      </c>
      <c r="M163" s="2" t="b">
        <f aca="false">FALSE()</f>
        <v>0</v>
      </c>
      <c r="N163" s="2" t="b">
        <f aca="false">FALSE()</f>
        <v>0</v>
      </c>
      <c r="O163" s="2" t="b">
        <f aca="false">FALSE()</f>
        <v>0</v>
      </c>
      <c r="P163" s="1" t="s">
        <v>23</v>
      </c>
    </row>
    <row r="164" customFormat="false" ht="15" hidden="true" customHeight="false" outlineLevel="0" collapsed="false">
      <c r="A164" s="1" t="s">
        <v>661</v>
      </c>
      <c r="B164" s="1" t="s">
        <v>662</v>
      </c>
      <c r="C164" s="1" t="s">
        <v>663</v>
      </c>
      <c r="D164" s="1" t="s">
        <v>20</v>
      </c>
      <c r="E164" s="1" t="s">
        <v>20</v>
      </c>
      <c r="F164" s="1" t="n">
        <v>1</v>
      </c>
      <c r="G164" s="1" t="s">
        <v>664</v>
      </c>
      <c r="H164" s="2" t="b">
        <f aca="false">TRUE()</f>
        <v>1</v>
      </c>
      <c r="I164" s="1" t="s">
        <v>22</v>
      </c>
      <c r="J164" s="1" t="s">
        <v>22</v>
      </c>
      <c r="K164" s="2" t="b">
        <f aca="false">TRUE()</f>
        <v>1</v>
      </c>
      <c r="L164" s="2" t="b">
        <f aca="false">FALSE()</f>
        <v>0</v>
      </c>
      <c r="M164" s="2" t="b">
        <f aca="false">FALSE()</f>
        <v>0</v>
      </c>
      <c r="N164" s="2" t="b">
        <f aca="false">FALSE()</f>
        <v>0</v>
      </c>
      <c r="O164" s="2" t="b">
        <f aca="false">FALSE()</f>
        <v>0</v>
      </c>
      <c r="P164" s="1" t="s">
        <v>23</v>
      </c>
    </row>
    <row r="165" customFormat="false" ht="15" hidden="true" customHeight="false" outlineLevel="0" collapsed="false">
      <c r="A165" s="1" t="s">
        <v>665</v>
      </c>
      <c r="B165" s="1" t="s">
        <v>666</v>
      </c>
      <c r="C165" s="1" t="s">
        <v>667</v>
      </c>
      <c r="D165" s="1" t="s">
        <v>20</v>
      </c>
      <c r="E165" s="1" t="s">
        <v>20</v>
      </c>
      <c r="F165" s="1" t="n">
        <v>2</v>
      </c>
      <c r="G165" s="1" t="s">
        <v>668</v>
      </c>
      <c r="H165" s="2" t="b">
        <f aca="false">TRUE()</f>
        <v>1</v>
      </c>
      <c r="I165" s="1" t="s">
        <v>22</v>
      </c>
      <c r="J165" s="1" t="s">
        <v>22</v>
      </c>
      <c r="K165" s="2" t="b">
        <f aca="false">TRUE()</f>
        <v>1</v>
      </c>
      <c r="L165" s="2" t="b">
        <f aca="false">FALSE()</f>
        <v>0</v>
      </c>
      <c r="M165" s="2" t="b">
        <f aca="false">FALSE()</f>
        <v>0</v>
      </c>
      <c r="N165" s="2" t="b">
        <f aca="false">FALSE()</f>
        <v>0</v>
      </c>
      <c r="O165" s="2" t="b">
        <f aca="false">FALSE()</f>
        <v>0</v>
      </c>
      <c r="P165" s="1" t="s">
        <v>23</v>
      </c>
    </row>
    <row r="166" customFormat="false" ht="15" hidden="true" customHeight="false" outlineLevel="0" collapsed="false">
      <c r="A166" s="1" t="s">
        <v>669</v>
      </c>
      <c r="B166" s="1" t="s">
        <v>670</v>
      </c>
      <c r="C166" s="1" t="s">
        <v>671</v>
      </c>
      <c r="D166" s="1" t="s">
        <v>20</v>
      </c>
      <c r="E166" s="1" t="s">
        <v>20</v>
      </c>
      <c r="F166" s="1" t="n">
        <v>1</v>
      </c>
      <c r="G166" s="1" t="s">
        <v>672</v>
      </c>
      <c r="H166" s="2" t="b">
        <f aca="false">TRUE()</f>
        <v>1</v>
      </c>
      <c r="I166" s="1" t="s">
        <v>22</v>
      </c>
      <c r="J166" s="1" t="s">
        <v>22</v>
      </c>
      <c r="K166" s="2" t="b">
        <f aca="false">TRUE()</f>
        <v>1</v>
      </c>
      <c r="L166" s="2" t="b">
        <f aca="false">FALSE()</f>
        <v>0</v>
      </c>
      <c r="M166" s="2" t="b">
        <f aca="false">FALSE()</f>
        <v>0</v>
      </c>
      <c r="N166" s="2" t="b">
        <f aca="false">FALSE()</f>
        <v>0</v>
      </c>
      <c r="O166" s="2" t="b">
        <f aca="false">FALSE()</f>
        <v>0</v>
      </c>
      <c r="P166" s="1" t="s">
        <v>23</v>
      </c>
    </row>
    <row r="167" customFormat="false" ht="3276.75" hidden="true" customHeight="false" outlineLevel="0" collapsed="false">
      <c r="A167" s="1" t="s">
        <v>673</v>
      </c>
      <c r="B167" s="1" t="s">
        <v>674</v>
      </c>
      <c r="C167" s="4" t="s">
        <v>675</v>
      </c>
      <c r="D167" s="1" t="s">
        <v>20</v>
      </c>
      <c r="E167" s="1" t="s">
        <v>20</v>
      </c>
      <c r="F167" s="1" t="n">
        <v>1</v>
      </c>
      <c r="G167" s="1" t="s">
        <v>676</v>
      </c>
      <c r="H167" s="2" t="b">
        <f aca="false">TRUE()</f>
        <v>1</v>
      </c>
      <c r="I167" s="1" t="s">
        <v>22</v>
      </c>
      <c r="J167" s="1" t="s">
        <v>22</v>
      </c>
      <c r="K167" s="2" t="b">
        <f aca="false">TRUE()</f>
        <v>1</v>
      </c>
      <c r="L167" s="2" t="b">
        <f aca="false">FALSE()</f>
        <v>0</v>
      </c>
      <c r="M167" s="2" t="b">
        <f aca="false">FALSE()</f>
        <v>0</v>
      </c>
      <c r="N167" s="2" t="b">
        <f aca="false">FALSE()</f>
        <v>0</v>
      </c>
      <c r="O167" s="2" t="b">
        <f aca="false">FALSE()</f>
        <v>0</v>
      </c>
      <c r="P167" s="1" t="s">
        <v>23</v>
      </c>
    </row>
    <row r="168" customFormat="false" ht="15" hidden="true" customHeight="false" outlineLevel="0" collapsed="false">
      <c r="A168" s="1" t="s">
        <v>677</v>
      </c>
      <c r="B168" s="1" t="s">
        <v>678</v>
      </c>
      <c r="C168" s="1" t="s">
        <v>679</v>
      </c>
      <c r="D168" s="1" t="s">
        <v>20</v>
      </c>
      <c r="E168" s="1" t="s">
        <v>20</v>
      </c>
      <c r="F168" s="1" t="n">
        <v>1</v>
      </c>
      <c r="G168" s="1" t="s">
        <v>680</v>
      </c>
      <c r="H168" s="2" t="b">
        <f aca="false">TRUE()</f>
        <v>1</v>
      </c>
      <c r="I168" s="1" t="s">
        <v>22</v>
      </c>
      <c r="J168" s="1" t="s">
        <v>22</v>
      </c>
      <c r="K168" s="2" t="b">
        <f aca="false">TRUE()</f>
        <v>1</v>
      </c>
      <c r="L168" s="2" t="b">
        <f aca="false">FALSE()</f>
        <v>0</v>
      </c>
      <c r="M168" s="2" t="b">
        <f aca="false">FALSE()</f>
        <v>0</v>
      </c>
      <c r="N168" s="2" t="b">
        <f aca="false">FALSE()</f>
        <v>0</v>
      </c>
      <c r="O168" s="2" t="b">
        <f aca="false">FALSE()</f>
        <v>0</v>
      </c>
      <c r="P168" s="1" t="s">
        <v>23</v>
      </c>
    </row>
    <row r="169" customFormat="false" ht="3276.75" hidden="true" customHeight="false" outlineLevel="0" collapsed="false">
      <c r="A169" s="1" t="s">
        <v>681</v>
      </c>
      <c r="B169" s="1" t="s">
        <v>682</v>
      </c>
      <c r="C169" s="4" t="s">
        <v>683</v>
      </c>
      <c r="D169" s="1" t="s">
        <v>20</v>
      </c>
      <c r="E169" s="1" t="s">
        <v>20</v>
      </c>
      <c r="F169" s="1" t="n">
        <v>1</v>
      </c>
      <c r="G169" s="1" t="s">
        <v>684</v>
      </c>
      <c r="H169" s="2" t="b">
        <f aca="false">TRUE()</f>
        <v>1</v>
      </c>
      <c r="I169" s="1" t="s">
        <v>22</v>
      </c>
      <c r="J169" s="1" t="s">
        <v>22</v>
      </c>
      <c r="K169" s="2" t="b">
        <f aca="false">TRUE()</f>
        <v>1</v>
      </c>
      <c r="L169" s="2" t="b">
        <f aca="false">FALSE()</f>
        <v>0</v>
      </c>
      <c r="M169" s="2" t="b">
        <f aca="false">FALSE()</f>
        <v>0</v>
      </c>
      <c r="N169" s="2" t="b">
        <f aca="false">FALSE()</f>
        <v>0</v>
      </c>
      <c r="O169" s="2" t="b">
        <f aca="false">FALSE()</f>
        <v>0</v>
      </c>
      <c r="P169" s="1" t="s">
        <v>23</v>
      </c>
    </row>
    <row r="170" customFormat="false" ht="15" hidden="true" customHeight="false" outlineLevel="0" collapsed="false">
      <c r="A170" s="1" t="s">
        <v>685</v>
      </c>
      <c r="B170" s="1" t="s">
        <v>686</v>
      </c>
      <c r="C170" s="1" t="s">
        <v>687</v>
      </c>
      <c r="D170" s="1" t="s">
        <v>20</v>
      </c>
      <c r="E170" s="1" t="s">
        <v>20</v>
      </c>
      <c r="F170" s="1" t="n">
        <v>1</v>
      </c>
      <c r="G170" s="1" t="s">
        <v>688</v>
      </c>
      <c r="H170" s="2" t="b">
        <f aca="false">TRUE()</f>
        <v>1</v>
      </c>
      <c r="I170" s="1" t="s">
        <v>22</v>
      </c>
      <c r="J170" s="1" t="s">
        <v>22</v>
      </c>
      <c r="K170" s="2" t="b">
        <f aca="false">TRUE()</f>
        <v>1</v>
      </c>
      <c r="L170" s="2" t="b">
        <f aca="false">FALSE()</f>
        <v>0</v>
      </c>
      <c r="M170" s="2" t="b">
        <f aca="false">FALSE()</f>
        <v>0</v>
      </c>
      <c r="N170" s="2" t="b">
        <f aca="false">FALSE()</f>
        <v>0</v>
      </c>
      <c r="O170" s="2" t="b">
        <f aca="false">FALSE()</f>
        <v>0</v>
      </c>
      <c r="P170" s="1" t="s">
        <v>23</v>
      </c>
    </row>
    <row r="171" customFormat="false" ht="15" hidden="true" customHeight="false" outlineLevel="0" collapsed="false">
      <c r="A171" s="1" t="s">
        <v>689</v>
      </c>
      <c r="B171" s="1" t="s">
        <v>690</v>
      </c>
      <c r="C171" s="1" t="s">
        <v>691</v>
      </c>
      <c r="D171" s="1" t="s">
        <v>20</v>
      </c>
      <c r="E171" s="1" t="s">
        <v>20</v>
      </c>
      <c r="F171" s="1" t="n">
        <v>1</v>
      </c>
      <c r="G171" s="1" t="s">
        <v>692</v>
      </c>
      <c r="H171" s="2" t="b">
        <f aca="false">TRUE()</f>
        <v>1</v>
      </c>
      <c r="I171" s="1" t="s">
        <v>22</v>
      </c>
      <c r="J171" s="1" t="s">
        <v>22</v>
      </c>
      <c r="K171" s="2" t="b">
        <f aca="false">TRUE()</f>
        <v>1</v>
      </c>
      <c r="L171" s="2" t="b">
        <f aca="false">FALSE()</f>
        <v>0</v>
      </c>
      <c r="M171" s="2" t="b">
        <f aca="false">FALSE()</f>
        <v>0</v>
      </c>
      <c r="N171" s="2" t="b">
        <f aca="false">FALSE()</f>
        <v>0</v>
      </c>
      <c r="O171" s="2" t="b">
        <f aca="false">FALSE()</f>
        <v>0</v>
      </c>
      <c r="P171" s="1" t="s">
        <v>23</v>
      </c>
    </row>
    <row r="172" customFormat="false" ht="3276.75" hidden="true" customHeight="false" outlineLevel="0" collapsed="false">
      <c r="A172" s="1" t="s">
        <v>693</v>
      </c>
      <c r="B172" s="1" t="s">
        <v>694</v>
      </c>
      <c r="C172" s="4" t="s">
        <v>695</v>
      </c>
      <c r="D172" s="1" t="s">
        <v>20</v>
      </c>
      <c r="E172" s="1" t="s">
        <v>20</v>
      </c>
      <c r="F172" s="1" t="n">
        <v>1</v>
      </c>
      <c r="G172" s="1" t="s">
        <v>696</v>
      </c>
      <c r="H172" s="2" t="b">
        <f aca="false">TRUE()</f>
        <v>1</v>
      </c>
      <c r="I172" s="1" t="s">
        <v>22</v>
      </c>
      <c r="J172" s="1" t="s">
        <v>22</v>
      </c>
      <c r="K172" s="2" t="b">
        <f aca="false">TRUE()</f>
        <v>1</v>
      </c>
      <c r="L172" s="2" t="b">
        <f aca="false">FALSE()</f>
        <v>0</v>
      </c>
      <c r="M172" s="2" t="b">
        <f aca="false">FALSE()</f>
        <v>0</v>
      </c>
      <c r="N172" s="2" t="b">
        <f aca="false">FALSE()</f>
        <v>0</v>
      </c>
      <c r="O172" s="2" t="b">
        <f aca="false">FALSE()</f>
        <v>0</v>
      </c>
      <c r="P172" s="1" t="s">
        <v>23</v>
      </c>
    </row>
    <row r="173" customFormat="false" ht="15" hidden="true" customHeight="false" outlineLevel="0" collapsed="false">
      <c r="A173" s="1" t="s">
        <v>697</v>
      </c>
      <c r="B173" s="1" t="s">
        <v>698</v>
      </c>
      <c r="C173" s="1" t="s">
        <v>699</v>
      </c>
      <c r="D173" s="1" t="s">
        <v>20</v>
      </c>
      <c r="E173" s="1" t="s">
        <v>20</v>
      </c>
      <c r="F173" s="1" t="n">
        <v>2</v>
      </c>
      <c r="G173" s="1" t="s">
        <v>700</v>
      </c>
      <c r="H173" s="2" t="b">
        <f aca="false">TRUE()</f>
        <v>1</v>
      </c>
      <c r="I173" s="1" t="s">
        <v>22</v>
      </c>
      <c r="J173" s="1" t="s">
        <v>22</v>
      </c>
      <c r="K173" s="2" t="b">
        <f aca="false">TRUE()</f>
        <v>1</v>
      </c>
      <c r="L173" s="2" t="b">
        <f aca="false">FALSE()</f>
        <v>0</v>
      </c>
      <c r="M173" s="2" t="b">
        <f aca="false">FALSE()</f>
        <v>0</v>
      </c>
      <c r="N173" s="2" t="b">
        <f aca="false">FALSE()</f>
        <v>0</v>
      </c>
      <c r="O173" s="2" t="b">
        <f aca="false">FALSE()</f>
        <v>0</v>
      </c>
      <c r="P173" s="1" t="s">
        <v>23</v>
      </c>
    </row>
    <row r="174" customFormat="false" ht="15" hidden="true" customHeight="false" outlineLevel="0" collapsed="false">
      <c r="A174" s="1" t="s">
        <v>701</v>
      </c>
      <c r="B174" s="1" t="s">
        <v>702</v>
      </c>
      <c r="C174" s="1" t="s">
        <v>703</v>
      </c>
      <c r="D174" s="1" t="s">
        <v>20</v>
      </c>
      <c r="E174" s="1" t="s">
        <v>20</v>
      </c>
      <c r="F174" s="1" t="n">
        <v>2</v>
      </c>
      <c r="G174" s="1" t="s">
        <v>704</v>
      </c>
      <c r="H174" s="2" t="b">
        <f aca="false">TRUE()</f>
        <v>1</v>
      </c>
      <c r="I174" s="1" t="s">
        <v>22</v>
      </c>
      <c r="J174" s="1" t="s">
        <v>22</v>
      </c>
      <c r="K174" s="2" t="b">
        <f aca="false">TRUE()</f>
        <v>1</v>
      </c>
      <c r="L174" s="2" t="b">
        <f aca="false">FALSE()</f>
        <v>0</v>
      </c>
      <c r="M174" s="2" t="b">
        <f aca="false">FALSE()</f>
        <v>0</v>
      </c>
      <c r="N174" s="2" t="b">
        <f aca="false">FALSE()</f>
        <v>0</v>
      </c>
      <c r="O174" s="2" t="b">
        <f aca="false">FALSE()</f>
        <v>0</v>
      </c>
      <c r="P174" s="1" t="s">
        <v>23</v>
      </c>
    </row>
  </sheetData>
  <autoFilter ref="A1:Q174">
    <filterColumn colId="5">
      <filters>
        <filter val="5"/>
        <filter val="6"/>
        <filter val="7"/>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705</v>
      </c>
      <c r="B1" s="1" t="s">
        <v>706</v>
      </c>
      <c r="C1" s="1" t="s">
        <v>707</v>
      </c>
    </row>
    <row r="2" customFormat="false" ht="15" hidden="false" customHeight="false" outlineLevel="0" collapsed="false">
      <c r="A2" s="1" t="s">
        <v>708</v>
      </c>
      <c r="B2" s="1" t="s">
        <v>709</v>
      </c>
      <c r="C2" s="1" t="n">
        <v>173</v>
      </c>
    </row>
    <row r="3" customFormat="false" ht="15" hidden="false" customHeight="false" outlineLevel="0" collapsed="false">
      <c r="A3" s="1" t="s">
        <v>710</v>
      </c>
      <c r="B3" s="1" t="s">
        <v>711</v>
      </c>
      <c r="C3" s="1" t="n">
        <v>173</v>
      </c>
    </row>
    <row r="4" customFormat="false" ht="15" hidden="false" customHeight="false" outlineLevel="0" collapsed="false">
      <c r="A4" s="1" t="s">
        <v>712</v>
      </c>
      <c r="B4" s="1" t="s">
        <v>713</v>
      </c>
      <c r="C4" s="1" t="n">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4" activeCellId="0" sqref="E24"/>
    </sheetView>
  </sheetViews>
  <sheetFormatPr defaultColWidth="11.53515625" defaultRowHeight="12.8" customHeight="false" zeroHeight="false" outlineLevelRow="0" outlineLevelCol="0"/>
  <sheetData>
    <row r="1" customFormat="false" ht="13.8" hidden="false" customHeight="false" outlineLevel="0" collapsed="false"/>
    <row r="2" customFormat="false" ht="13.8" hidden="false" customHeight="false" outlineLevel="0" collapsed="false">
      <c r="A2" s="1" t="s">
        <v>714</v>
      </c>
      <c r="B2" s="1" t="n">
        <v>173</v>
      </c>
    </row>
    <row r="3" customFormat="false" ht="13.8" hidden="false" customHeight="false" outlineLevel="0" collapsed="false">
      <c r="A3" s="1" t="s">
        <v>715</v>
      </c>
      <c r="B3" s="1" t="n">
        <f aca="false">COUNTIF(comparison!F2:F174,1)</f>
        <v>109</v>
      </c>
      <c r="C3" s="8" t="n">
        <f aca="false">100*B3/$B$2</f>
        <v>63.0057803468208</v>
      </c>
    </row>
    <row r="4" customFormat="false" ht="13.8" hidden="false" customHeight="false" outlineLevel="0" collapsed="false">
      <c r="A4" s="1" t="s">
        <v>716</v>
      </c>
      <c r="B4" s="1" t="n">
        <f aca="false">COUNTIF(comparison!F2:F174,2)+COUNTIF(comparison!F2:F174,3)+COUNTIF(comparison!F2:F174,4)+6</f>
        <v>40</v>
      </c>
      <c r="C4" s="8" t="n">
        <f aca="false">100*B4/$B$2</f>
        <v>23.121387283237</v>
      </c>
    </row>
    <row r="5" customFormat="false" ht="13.8" hidden="false" customHeight="false" outlineLevel="0" collapsed="false">
      <c r="A5" s="1" t="s">
        <v>717</v>
      </c>
      <c r="B5" s="1" t="n">
        <f aca="false">COUNTIF(comparison!F2:F174,5)+COUNTIF(comparison!F2:F174,6)+COUNTIF(comparison!F2:F174,7)</f>
        <v>23</v>
      </c>
      <c r="C5" s="8" t="n">
        <f aca="false">100*B5/$B$2</f>
        <v>13.2947976878613</v>
      </c>
    </row>
    <row r="6" customFormat="false" ht="13.8" hidden="false" customHeight="false" outlineLevel="0" collapsed="false">
      <c r="A6" s="1"/>
    </row>
    <row r="7" customFormat="false" ht="13.8" hidden="false" customHeight="false" outlineLevel="0" collapsed="false">
      <c r="A7" s="1"/>
    </row>
    <row r="8" customFormat="false" ht="13.8" hidden="false" customHeight="false" outlineLevel="0" collapsed="false">
      <c r="A8" s="1"/>
    </row>
    <row r="9" customFormat="false" ht="13.8" hidden="false" customHeight="false" outlineLevel="0" collapsed="false">
      <c r="A9" s="1"/>
    </row>
    <row r="10" customFormat="false" ht="13.8" hidden="false" customHeight="false" outlineLevel="0" collapsed="false">
      <c r="A10" s="1" t="s">
        <v>718</v>
      </c>
      <c r="B10" s="1" t="n">
        <f aca="false">COUNTIF(comparison!D2:D174,"in")</f>
        <v>30</v>
      </c>
    </row>
    <row r="11" customFormat="false" ht="13.8" hidden="false" customHeight="false" outlineLevel="0" collapsed="false">
      <c r="A11" s="1" t="s">
        <v>719</v>
      </c>
      <c r="B11" s="1" t="n">
        <f aca="false">COUNTIFS(comparison!D2:D174,"in",comparison!F2:F174,"&gt;1")</f>
        <v>30</v>
      </c>
      <c r="C11" s="1" t="n">
        <f aca="false">B11/B10</f>
        <v>1</v>
      </c>
    </row>
    <row r="12" customFormat="false" ht="13.8" hidden="false" customHeight="false" outlineLevel="0" collapsed="false">
      <c r="A12" s="1" t="s">
        <v>720</v>
      </c>
      <c r="B12" s="1" t="n">
        <f aca="false">COUNTIFS(comparison!D2:D174,"in",comparison!F2:F174,"&gt;4")</f>
        <v>23</v>
      </c>
      <c r="C12" s="1" t="n">
        <f aca="false">B12/B10</f>
        <v>0.766666666666667</v>
      </c>
    </row>
    <row r="13" customFormat="false" ht="13.8" hidden="false" customHeight="false" outlineLevel="0" collapsed="false">
      <c r="A13" s="1"/>
    </row>
    <row r="14" customFormat="false" ht="13.8" hidden="false" customHeight="false" outlineLevel="0" collapsed="false">
      <c r="A14" s="1"/>
      <c r="B14" s="1" t="n">
        <f aca="false">1/35</f>
        <v>0.0285714285714286</v>
      </c>
    </row>
    <row r="15" customFormat="false" ht="13.8" hidden="false" customHeight="false" outlineLevel="0" collapsed="false">
      <c r="A15" s="1"/>
    </row>
    <row r="16" customFormat="false" ht="13.8" hidden="false" customHeight="false" outlineLevel="0" collapsed="false">
      <c r="A16" s="1" t="s">
        <v>721</v>
      </c>
      <c r="B16" s="1" t="n">
        <f aca="false">COUNTIF(comparison!D2:D174,"out")</f>
        <v>143</v>
      </c>
    </row>
    <row r="17" customFormat="false" ht="13.8" hidden="false" customHeight="false" outlineLevel="0" collapsed="false">
      <c r="A17" s="1" t="s">
        <v>722</v>
      </c>
      <c r="B17" s="1" t="n">
        <f aca="false">COUNTIFS(comparison!D2:D174,"out",comparison!F2:F174,"&gt;4")</f>
        <v>0</v>
      </c>
      <c r="C17" s="1" t="n">
        <f aca="false">B17/B16</f>
        <v>0</v>
      </c>
    </row>
    <row r="18" customFormat="false" ht="13.8" hidden="false" customHeight="false" outlineLevel="0" collapsed="false">
      <c r="A18" s="1"/>
    </row>
    <row r="19" customFormat="false" ht="13.8" hidden="false" customHeight="false" outlineLevel="0" collapsed="false">
      <c r="A19" s="1"/>
    </row>
    <row r="20" customFormat="false" ht="13.8" hidden="false" customHeight="false" outlineLevel="0" collapsed="false">
      <c r="A20" s="1"/>
    </row>
    <row r="21" customFormat="false" ht="13.8" hidden="false" customHeight="false" outlineLevel="0" collapsed="false">
      <c r="A21" s="1" t="s">
        <v>723</v>
      </c>
      <c r="B21" s="1" t="n">
        <v>23</v>
      </c>
      <c r="C21" s="1" t="s">
        <v>724</v>
      </c>
    </row>
    <row r="22" customFormat="false" ht="13.8" hidden="false" customHeight="false" outlineLevel="0" collapsed="false">
      <c r="A22" s="1" t="s">
        <v>725</v>
      </c>
      <c r="B22" s="1" t="n">
        <v>2</v>
      </c>
      <c r="C22" s="1" t="s">
        <v>726</v>
      </c>
    </row>
    <row r="23" customFormat="false" ht="13.8" hidden="false" customHeight="false" outlineLevel="0" collapsed="false">
      <c r="A23" s="9" t="s">
        <v>727</v>
      </c>
      <c r="B23" s="9" t="n">
        <f aca="false">(B21-B22)/B21</f>
        <v>0.91304347826087</v>
      </c>
      <c r="C23" s="9" t="s">
        <v>728</v>
      </c>
      <c r="E23" s="0" t="s">
        <v>729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2026-07-13T15:46:48Z</dcterms:created>
  <dc:creator>openpyxl</dc:creator>
  <dc:description/>
  <dc:language>en-GB</dc:language>
  <cp:lastModifiedBy/>
  <dcterms:modified xsi:type="dcterms:W3CDTF">2026-07-13T17:03:07Z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