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definedNames>
    <definedName function="false" hidden="true" localSheetId="0" name="_xlnm._FilterDatabase" vbProcedure="false">comparison!$A$1:$Q$18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<sst xmlns="http://schemas.openxmlformats.org/spreadsheetml/2006/main" count="190" uniqueCount="108">
  <si>
    <t xml:space="preserve">Grant 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</si>
  <si>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</si>
  <si>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</si>
  <si>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</si>
  <si>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</si>
  <si>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</si>
  <si>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</si>
  <si>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</si>
  <si>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</si>
  <si>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</si>
  <si>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</si>
  <si>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</si>
  <si>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</si>
  <si>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</si>
  <si>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</si>
  <si>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status</t>
  </si>
  <si>
    <t xml:space="preserve">error</t>
  </si>
  <si>
    <t xml:space="preserve">scope_corrected</t>
  </si>
  <si>
    <t xml:space="preserve">Notes</t>
  </si>
  <si>
    <t xml:space="preserve">grant.14917108</t>
  </si>
  <si>
    <t xml:space="preserve">Scientific Exchange to assess QUality and Risks of FOODs obtained by novel processing and PackagingTechnologies</t>
  </si>
  <si>
    <t xml:space="preserve">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</si>
  <si>
    <t xml:space="preserve">out</t>
  </si>
  <si>
    <t xml:space="preserve">Although the project mentions oat milk (a plant-based dairy alternative), the research focuses on novel food processing and packaging technologies applied to a broad range of foods (fruits, coffee, palm oil) with no specific focus on alternative protein development, substitution of animal products, or protein functionality.</t>
  </si>
  <si>
    <t xml:space="preserve">NA</t>
  </si>
  <si>
    <t xml:space="preserve">ok</t>
  </si>
  <si>
    <t xml:space="preserve">grant.14878552</t>
  </si>
  <si>
    <t xml:space="preserve">Designing a professional-secretory synthetic endoplasmic reticulum in yeasts and plant cells</t>
  </si>
  <si>
    <t xml:space="preserve">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</si>
  <si>
    <t xml:space="preserve">in</t>
  </si>
  <si>
    <t xml:space="preserve">This grant focuses on engineering the endoplasmic reticulum in yeast and plant cells to improve recombinant protein secretion for biopharmaceutical and general biotechnology applications, with no specific mention of alternative protein products or food applications.</t>
  </si>
  <si>
    <t xml:space="preserve">CC</t>
  </si>
  <si>
    <t xml:space="preserve">Very loosely relevant through recombinant protein secretion possibly for ‘future food’ but very indirect.</t>
  </si>
  <si>
    <t xml:space="preserve">grant.14932889</t>
  </si>
  <si>
    <t xml:space="preserve">Tailored immune receptor engineering for resistance against rice blast disease</t>
  </si>
  <si>
    <t xml:space="preserve">Fungal pathogens are a major constraint to crop production worldwide. As part of their virulence strategy, pathogens secrete effector
proteins to manipulate host machinery and promote colonization. Effectors can be recognized by host immune receptors that launch
a robust immune response that restricts pathogen spread. Pathogens quickly overcome immune receptor-mediated resistance by
modifying or losing effectors to evade detection. In the Tailored Immunity project, our aim is to massively expand the effector
recognition specificity of immune receptors to provide durable disease resistance against the fungus Magnaportha oryzae, the causal
agent of blast disease, and one of the most destructive diseases of rice. In order to do this, we will use a host-target guided
engineering approach to replace the heavy-metal associated (HMA) effector binding domain of nucleotide-binding and leucine-rich
repeat domain (NLR) immune receptors from rice with the HMA domain of host proteins that are targeted by multiple M. oryzae
effectors. We hypothesize that introducing the HMA domain of the newly identified effector hubs to NLRs will allow the simultaneous
recognition of numerous effectors. As the pathogen would need to undergo complex mutation pathways to escape this detection,
and since changing multiple effectors is presumably associated with high fitness costs, we expect that this new strategy will generate
resistance that the pathogen has difficulties to overcome and that is therefore highly durable. By these means, this ambitious project promises to provide a proof-of-concept for a new knowledge-guided and powerful approach for the creation of durable immune receptors that will be highly valuable for the improvement of a large range of crop species. In addition to boosting host immunity, the Tailored Immunity project will provide invaluable information about how immune receptors can be engineered for tailored disease resistance in crops.</t>
  </si>
  <si>
    <t xml:space="preserve">parse_error</t>
  </si>
  <si>
    <t xml:space="preserve">no structured output</t>
  </si>
  <si>
    <t xml:space="preserve">grant.15162542</t>
  </si>
  <si>
    <t xml:space="preserve">MICROALGAL BIOMASS VALORIZATION FOR SUSTAINABLE PRODUCTION OF FUNCTIONAL FOOD AND FEED INGREDIENTS</t>
  </si>
  <si>
    <t xml:space="preserve">EL PROYECTO BIOVAL RESPONDE AL CRECIENTE DESAFIO DE GARANTIZAR ALIMENTOS SOSTENIBLES Y SALUDABLES MEDIANTE EL DESARROLLO DE UNA BIORREFINERIA AVANZADA DE MICROALGAS, CONCEBIDA BAJO UN MODELO DE CERO RESIDUOS Y ECONOMICAMENTE VIABLE. SE TRABAJARA CON TRES ESPECIES MARINAS DE ALTO POTENCIAL BIOTECNOLOGICO (PHAEODACTYLUM TRICORNUTUM, TETRASELMIS CHUII Y SKELETONEMA MARINOI), ORIENTANDO LA PRODUCCION HACIA 2-MONOACILGLICERIDOS (2-MAGS) DE ELEVADO VALOR AÑADIDO, ESPECIALMENTE ENRIQUECIDOS EN ACIDOS GRASOS OMEGA-3 (EPA Y DHA), CON APLICACIONES FUNCIONALES EN LA INDUSTRIA ALIMENTARIA PARA LA PREVENCION DEL SINDROME METABOLICO. 
LA SINTESIS QUIMICA CONVENCIONAL DE MAGS PRESENTA LIMITACIONES CRITICAS (ALTAS TEMPERATURAS, CATALIZADORES Y SUBPRODUCTOS TOXICOS COMO ESTERES DE GLICIDILO). BIOVAL PROPONE UNA ESTRATEGIA DISRUPTIVA Y SOSTENIBLE BASADA EN LA EXTRACCION  VERDE  DE 2-MAGS NATIVOS Y, PRINCIPALMENTE, EN SU SINTESIS ENZIMATICA CONTROLADA, GARANTIZANDO PRODUCTOS MAS PUROS Y SEGUROS, CON MAYOR EFICIENCIA DE PROCESO. 
LA INNOVACION ABARCA TODA LA CADENA DE VALOR: 
CULTIVO: IMPLEMENTACION DE ESTRATEGIAS MIXOTROFICAS EMPLEANDO SUBPRODUCTOS AGRICOLAS HIDROLIZADOS COMO FUENTE DE CARBONO ORGANICO, OPTIMIZANDO PRODUCTIVIDAD DE BIOMASA Y LIPIDOS. 
DIGITALIZACION: USO DE INTELIGENCIA ARTIFICIAL MEDIANTE REDES NEURONALES ARTIFICIALES PARA MODELAR Y OPTIMIZAR CONDICIONES DE CULTIVO EN TIEMPO REAL. 
MEJORA DE CEPAS: APLICACION DE TECNOLOGIAS OMICAS (GENOMICA, TRANSCRIPTOMICA Y METABOLOMICA) PARA  
IDENTIFICAR Y MODULAR RUTAS METABOLICAS CLAVE EN LA BIOSINTESIS DE 2-MAGS. 
VALIDACION FUNCIONAL: ENSAYOS IN VITRO E IN VIVO PARA EVALUAR LA BIOACTIVIDAD DE LOS 2-MAGS (CAPACIDAD ANTIINFLAMATORIA Y MEJORA DE LA SENSIBILIDAD A LA INSULINA). 
EL PROCESO SE DISEÑARA PARA ALCANZAR TRL 6, VALIDANDO LA TECNOLOGIA EN UN ENTORNO INDUSTRIALMENTE RELEVANTE. LAS FRACCIONES RESIDUALES (PROTEINAS, CARBOHIDRATOS) SE CO-VALORIZARAN EN PIENSOS FUNCIONALES PARA ACUICULTURA, CERRANDO EL CICLO PRODUCTIVO Y MAXIMIZANDO EL APROVECHAMIENTO INTEGRAL DE LA BIOMASA. 
BIOVAL CONTRIBUIRA A LOS OBJETIVOS DEL SUSTAINABLE BLUE ECONOMY PARTNERSHIP, IMPULSANDO LA BIOECONOMIA AZUL CIRCULAR, LA REDUCCION DE LA HUELLA DE CARBONO Y LA GENERACION DE INGREDIENTES FUNCIONALES SEGUROS Y SOSTENIBLES, CON IMPACTO DIRECTO EN LA SALUD PUBLICA, LA COMPETITIVIDAD INDUSTRIAL Y LA RESILIENCIA DEL SECTOR ACUICOLA EUROPEO.</t>
  </si>
  <si>
    <t xml:space="preserve">This grant focuses on microalgal biomass valorization primarily for omega-3 lipid (2-MAGs/EPA/DHA) production for functional food and aquafeed applications, with protein only mentioned as a residual co-product for aquafeed (non-human food), not as an alternative protein ingredient or product substituting animal-derived foods.</t>
  </si>
  <si>
    <t xml:space="preserve">F</t>
  </si>
  <si>
    <t xml:space="preserve">Claude: LLM is correct and your colleague's in label is questionable. The grant focuses on omega-3 lipid (2-MAGs, EPA, DHA) production for functional food with anti-inflammatory and metabolic syndrome applications — that's nutraceutical/medical nutrition territory. Protein is mentioned only as a residual co-product directed to aquafeed. Neither the primary focus (lipid nutraceuticals) nor the secondary output (aquafeed protein) qualifies as alternative protein for human food. This should be out of scope. </t>
  </si>
  <si>
    <t xml:space="preserve">grant.14704971</t>
  </si>
  <si>
    <t xml:space="preserve">Development of approaches to complex processing of microalgae biomass for the production of cosmetic and food products</t>
  </si>
  <si>
    <t xml:space="preserve">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</si>
  <si>
    <t xml:space="preserve">While microalgae biomass is processed for food applications, the primary focus is on cosmetics, sugar substitutes (sorbitol/polyols), and pharmaceuticals rather than on alternative protein production or animal product substitution.</t>
  </si>
  <si>
    <t xml:space="preserve">Microalgae is mentioned as food but applications are sugar substitutes and antioxidant extracts – not AP ingredients or products.</t>
  </si>
  <si>
    <t xml:space="preserve">grant.15201374</t>
  </si>
  <si>
    <t xml:space="preserve">Novel Mechanism-of-Action (NMoA) genes: a pathway to durable Soybean Rust resistance</t>
  </si>
  <si>
    <t xml:space="preserve">Implementing the latest knowledge of plant science is critical for achieving resilient crops in the face of increasing food system challenges, such as growing populations, changing climates, and for decreasing inputs of land, water, and chemicals leading to better sustainability. Among the most significant threats to our food supply are losses due to crop diseases, weeds, and pests. Crop diseases and related threats are a widespread and underrecognised cause of food loss that is worsening. One of the most damaging crop diseases for which durable resistance is a high priority is Soybean Rust (SBR). Caused by an airborne fungus, Phakopsora pachyrhizi, SBR is a global, fast-moving disease that can destroy up to 90% of a soybean harvest within just 3 weeks of infection.
Conventional methods for combating SBR, such as crop protection chemicals and conventional breeding, have provided some defense but come with significant drawbacks. Chemical treatments are expensive and raise concerns about their potential impacts on human health and the environment. Moreover, the target pathogen (P. pachyrhizi) is quickly adapting and building tolerance to these chemical controls. Conventional breeding efforts are also limited. Though soybean has several resistance genes that have been used in breeding efforts, P. pachyrhizi races have defeated them.
With both chemical and conventional breeding interventions losing efficacy against SBR, new sources of resistance are in high demand by growers and seed companies globally.
This proposal seeks to advance a recently discovered novel mechanism-of-action (NMoA) that has the potential to contribute to long-lasting, durable protection against SBR for both commercial agriculture and smallholder farmers. The NMoA originates from a locus identified in the wild legume Glycine spp., which exhibits strong resistance to P. pachyrhizi. When transferred into soybean (G. max), it confers robust resistance to SBR in the crop.
The main aim of this research is to fully characterize and implement this newly discovered immune response by assessing the breadth and diversity of related sequences across plant species, identifying the interactions between regulatory, signalling, and pathogen effector proteins, elucidating its site of action and impacts on plant defense responses, and lastly determining whether the homologue in soybean can be edited to become functional.
NMoAs are highly valuable on their own and in combination with other more common defense responses to create long-lasting, effective resistance. Disease resistance genes from crop relatives have proved to be an effective path to expanding resistance gene diversity. Discovering and characterising a diversity of disease resistance mechanisms-of-action is critical to safeguarding our crop agriculture in the face of global pressures. Data from this study will enable Bayer, a program partner and collaborator, to advance new soybean varieties with durable resistance against this critical disease for commercial agriculture in South America, and for 2Blades to similarly advance new soybean varieties with durable resistance for smallholder deployment in Africa.</t>
  </si>
  <si>
    <t xml:space="preserve">grant.15147565</t>
  </si>
  <si>
    <t xml:space="preserve">BacCORAC: Bacterial modulation of plant responses via CORonafacic Acid Conjugates</t>
  </si>
  <si>
    <t xml:space="preserve">Potato, the world’s third main food crop, is produced in over 100 countries and is a critical crop in terms of food security in the face of increasing populations and hunger rates.  Potato food security is challenged by multiple pests and pathogens compounded with climate change and the need for sustainable agri-chemical solutions to improve crop resilience.  To find potential solutions, research into the actions of natural biological products is fundamental.  Plant development and health is partly controlled by a complex regulatory network and cross-talk of phytohormones including auxins, gibberellins, ethylene, salicylic acid and jasmonates.  This cross-talk can be influenced by bacteria, both beneficial and pathogenic, colonising the plant through hormone mimicry, sequestration or degradation.
Secondary metabolites produced from microbes offer a natural resource for future agri-chemical products and many biosynthetic gene clusters (BGCs) remain to be fully understood across different bacterial species.  Distantly related plant or soil-associated bacterial species encode the BGC for coronafacic acid (CFA), which has phytotoxic properties when joined to amino acids or their derivatives, such as coronamic acid (CMA).  The first discovered and most characterised such phytotoxin is coronatine (COR; CFA+CMA).   COR acts as a potent jasmonate mimic modulating downstream plant responses, such as plant immunity and root growth.    The potato pathogen Pectobacterium atrosepticum produce CFA, but cannot produce CMA, resulting in amino acids valine/isoleucine being joined to CFA instead (hereby called CFA-conjugates).  COR’s strong effects on the jasmonate signalling pathways have been well characterised in the model plant Arabidopsis, but less is known about the responses to CFA-conjugate mimics, and little is known about such responses in major crops such as potato.
The project will focus on the phytopathogen P. atrosepticum (Pba) which causes blackleg and tuber soft rot of potato, with no chemical methods of control.  To date, only Pectobacterium strains that are restricted to cause disease symptoms on potato can produce CFA-conjugates.  Our preliminary results show that Pba produce mainly CFA-valine and Pba CFA knock-out mutants are reduced in plant root colonisation, root growth inhibition and disease progression.  The aim of the project is to understand the regulation of CFA production in Pba and the biological role of CFA conjugates in potato-Pba interactions.    Our approach will be across three work-packages to:
Elucidate the regulation of CFA expression in Pba.
Identify plant proteins that bind to CFA-valine/isoleucine conjugates.
Identify potato genes that are affected by the presence of CFA- conjugates.  
COR has been studied for multiple agri-chem applications, including as a weedkiller (herbicide) or promoting plant resistance to drought-stress or insect-feeding.  Jasmonates and COR have been shown to promote potato tuber initiation and expansion.  Understanding the function of CFA-valine/isoleucine in Pba-potato interactions could inform on potential points of intervention to control potato infection or disease progression.  Fundamental insights into CFA-conjugates modulating potato responses can lead to innovative ways to improve potato plant growth and tolerance to stresses.
This interdisciplinary project fits well within the BBSRC strategic plan for sustainable agriculture and food linking to the spotlight area of ’developing novel crop protection strategies’.  Although this project focusses on the Pba-potato pathosystem, the outcomes from the project will inform on other important plant pathogens which produce CFA-AA, such as Brenneria spp (causes Acute Oak Decline) or Pseudomonas spp (infects broad range of plants).</t>
  </si>
  <si>
    <t xml:space="preserve">grant.15148367</t>
  </si>
  <si>
    <t xml:space="preserve">iTKP fusions: Structure, function and engineering of an emerging plant disease resistance system</t>
  </si>
  <si>
    <t xml:space="preserve">Context and Challenge: Yield from key crops that feed the world is threatened by abiotic and biotic stresses. Pre-harvest plant disease can decimate crop production by small-holder farmers and is estimated to reduce yields by 20-30% in modern agriculture despite the intensive interventions used (e.g. pesticides). However, current chemical control of pathogens is not sustainable due to the direct impact of their use on the environment and the environmental and economic cost of production. There’s a pressing need to reduce chemical control of plant diseases within the background of the climate emergency and emergence of pathogens in new areas. The overarching aim of this proposal is to develop new genetic solutions for managing blast disease, caused by the fungus Magnaporthe oryzae, in cereal crops. With collaborators, we have discovered novel components of the plant immune system that could deliver new solutions to managing plant diseases, but first we need to understand how they work, and then how they can be engineered. In time, our discoveries should be applicable to managing other plant diseases.
Like animals, plants have an immune system that helps defend against disease. This immune system includes receptors, proteins that detect pathogens and pests, and activate immune responses. Frequently, immune receptors from inside plant cells (intracellular receptors) detect “effector” proteins, pathogen-derived molecules delivered to promote disease. Pathogens are often adapted to particular plant hosts, and plant/pathogen co-evolution has led to a diverse set of immune receptors encoded in different plant genomes. Most research in the last ~30 years has focussed on one type of intracellular immune receptor (called NLRs). Recently though, a new type of receptor (the tandem kinase proteins or TKPs) is being repeatedly found using modern approaches to disease resistance discovery.
Aims and Objectives: There is an urgent need for broadening the genetic basis of plant disease resistance and understanding how we can help plants fight back against disease. This project will address this challenge by integrating extensive preliminary data and expertise in the Banfield Lab, along with collaborators, to address the following specific objectives:
 Demonstrate that binding determines immune activation by validating crystal structures of effector/receptor domain complexes using in vitro and in vivo assays.
 Establish the diversity of interactions available to drive immune engineering by profiling an interaction matrix of iTKP-HMA (receptor) domains and effectors from M. oryzae and other pathogens.
Explore the molecular mechanism of iTKP signalling, specifically in the context of integrated HMA domains.
Develop and test iTKPs as chassis for engineering immune responses to pathogen effectors.
Potential applications and benefits: Plant immune receptors are deployed in breeding programs to genetically encode resistance, protecting crop harvests from disease. But due to pathogen co-evolution with plants, new disease management resources are continually required. Here, by understanding how a new family of receptors works and can be engineered we will boost plant immunity, providing new avenues towards more sustainable agriculture.
The research fits BBSRC's priorities for “sustainable agriculture and food” as detailed in the Strategic Delivery Plan 2022-2025, addressing a crucial global challenge. It also fits the current responsive mode spotlight area of “Plant Health - Development of novel crop protection strategies”.</t>
  </si>
  <si>
    <t xml:space="preserve">grant.14954840</t>
  </si>
  <si>
    <t xml:space="preserve">New business for farmers and cooperatives in rural areas by local upcycling solutions using underutilized agricultural feedstocks</t>
  </si>
  <si>
    <t xml:space="preserve">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</si>
  <si>
    <t xml:space="preserve">While the project involves protein separation from grass and fermentation to produce protein-rich food ingredients, the primary focus is on agricultural biomass valorization for multiple applications (food, feed, bioenergy, fertilizers, materials), with no specific focus on alternative proteins as substitutes for animal-derived foods.</t>
  </si>
  <si>
    <t xml:space="preserve">Should be in scope. Likely the strictness of publications requiring ‘primary focus’ does not apply to grants given grants often cover many topics.</t>
  </si>
  <si>
    <t xml:space="preserve">grant.14487762</t>
  </si>
  <si>
    <t xml:space="preserve">Improving plant immunity by synthetic exploitation of the ubiquitin system</t>
  </si>
  <si>
    <t xml:space="preserve">Plants are continuously attacked by pathogens and pests, resulting globally in large agricultural losses and food insecurity at high economic cost. To counter infection, plants have developed sophisticated immune responses in which the post-translational modifier, ubiquitin, plays indispensable roles. Ubiquitination is a versatile protein modification that regulates the amplitude and intensity of immune responses, thereby establishing durable resistance. Substrate ubiquitination is performed by E3 ligases that act as matchmakers by recruiting specific substrates. Despite the essential roles of E3 ligases in plant immunity, it remains unclear how they achieve such extraordinary substrate selectivity and how they evolved to adapt to changing threats in their environment, including new pathogens. Conversely, pathogens have evolved effector proteins that hijack ubiquitin signalling to prevent immune activation, but the underpinning molecular mechanisms remain obscure.
The SynUbL project will establish interactions between the major cereal crop, barley, and fungal pathogen, Puccinia hordei, as an economically relevant host-pathogen system for addressing these questions and to bioengineer durable resistance. By functionally tracking immune-induced E3 ligases along the evolutionary tree, we will reveal how these enzymes evolved structural features for specific substrate recognition. Simultaneously, we will expose P. hordei’s hijacking tactics, thereby uncovering the significance of ubiquitin in shaping the evolutionary arms race between host and pathogen. Collective insights are then utilised to synthetically engineer novel E3 ligases to allow on-demand activation of host immune pathways and on-demand destruction of immune-suppressing pathogen effectors. Hence, this project not only provides fundamental discoveries in ubiquitin signalling, it exploits these innovations by generating sustainable strategies for durable crop resistance in the agrifood sector.</t>
  </si>
  <si>
    <t xml:space="preserve">grant.15148228</t>
  </si>
  <si>
    <t xml:space="preserve">UKProNet2025</t>
  </si>
  <si>
    <t xml:space="preserve">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</si>
  <si>
    <t xml:space="preserve">This grant concerns protein homeostasis (proteostasis) and protein quality control mechanisms in biological systems for applications in ageing, health, and general crop resilience — it has no focus on alternative proteins for human food.</t>
  </si>
  <si>
    <t xml:space="preserve">I’m agree with the LLM. Proteostasis is foundational biology and the ‘protein’ focus of this grant is not on protein as food but manipulation of proteins building /genes to improve crop resilience or human health and ageing.</t>
  </si>
  <si>
    <t xml:space="preserve">grant.15162599</t>
  </si>
  <si>
    <t xml:space="preserve">RESOURCE RECOVERY FROM WASTEWATER BASED ON PHOTO-BIO-ELECTROCHEMICAL AND MEMBRANE PROCESSES WITH MINIMAL CHEMICAL ADDITION TO OBTAIN ADDED VALUE GOODS</t>
  </si>
  <si>
    <t xml:space="preserve">EL PROYECTO REWADD TIENE COMO OBJETIVO DESARROLLAR PROCESOS PARA RECUPERAR, CONCENTRAR Y RECICLAR NUTRIENTES, ESPECIALMENTE NITROGENO Y FOSFORO, DE LAS CORRIENTES DE AGUAS RESIDUALES, A LA VEZ QUE SE ABORDA LA ELIMINACION DE CONTAMINANTES DE PEOCUPACION EMERGENTE. EL OBJETIVO GLOBAL DEL PROYECTO ES CAMBIAR LA CONCEPCION TRADICIONAL DE LAS PLANTAS DE TRATAMIENTO DE AGUAS RESIDUALES COMO INSTALACIONES DE GESTION DE RESIDUOS POR UN NUEVO PARADIGMA EN EL QUE LAS AGUAS RESIDUALES SE CONSIDEREN UNA FUENTE DE RECURSOS Y LAS PLANTAS DE TRATAMIENTO SE CONVIERTAN EN FABRICAS PARA PRODUCIR BIENES DE VALOR AÑADIDO Y GARANTIZAR LA SEGURIDAD HIDRICA PARA TODOS. EN REWADD SE EXPLORA LA PRODUCCION DE PRODUCTOS DE ALTO VALOR AÑADIDO A PARTIR DE CUATRO FUENTES DE AGUA: EL EFLUENTE QUE SALE DEL CLARIFICADOR PRIMARIO DE LAS PLANTAS DE TRATAMIENTO DE AGUAS RESIDUALES, EL EFLUENTE QUE SALE DEL CLARIFICADOR SECUNDARIO, LAS FRACCIONES LIQUIDAS RESULTANTES DE LOS BIORREACTORES ANAEROBICOS Y LAS AGUAS RESIDUALES GENERADAS EN LA INDUSTRIA ALIMENTARIA. 
LOS ESQUEMAS DE PROCESO INVESTIGADOS EN REWADD SE BASAN EN PROCESOS DE ELECTROMEMBRANA Y PROCESOS DE MEMBRANA POR GRADIENTE DE PRESION, Y EN SISTEMAS HIBRIDOS BIO Y FOTOELECTROQUIMICOS. ESTOS PROCESOS, COMBINADOS DE MANERA EFICIENTE, DAN LUGAR A SINERGIAS ENTRE SUS RESPECTIVAS CORRIENTES DE SALIDA, QUE PUEDEN UTILIZARSE COMO MATERIAS PRIMAS EN OTRAS UNIDADES DE PROCESO. LOS PRODUCTOS DE VALOR AÑADIDO OBTENIDOS A PARTIR DE LOS DIFERENTES ESQUEMAS DE PROCESO INCLUYEN FERTILIZANTES N-P, PRODUCTOS PROTEICOS UNICELULARES, SOLUCIONES ACIDAS Y ALCALINAS, Y AGUA LIMPIA PARA SU REUTILIZACION. A MODO DE EJEMPLO, LOS FLUJOS RICOS EN ALCALIS Y N-P GENERADOS POR LA ELECTRODIALISIS DE MEMBRANA BIPOLAR SE ALIMENTARAN A SISTEMAS DE CRISTALIZACION PARA LA PRODUCCION DE FERTILIZANTES, MIENTRAS QUE LAS SOLUCIONES ACIDAS SE PUEDEN UTILIZAR EN LA LIMPIEZA DE MEMBRANAS DE OSMOSIS INVERSA.  
A DIFERENCIA DE LOS METODOS MAS AVANZADOS PARA LA ELIMINACION DE NUTRIENTES, ESTAS TECNOLOGIAS PERMITEN AHORRAR EN LA ADICION DE PRODUCTOS QUIMICOS E IMPLICAN UNA REDUCCION DEL VOLUMEN DE LODOS GENERADOS EN LAS PLANTAS DE TRATAMIENTO DE AGUAS RESIDUALES. LAS TECNOLOGIAS PROPUESTAS FUNCIONAN A TEMPERATURA AMBIENTE, SON MODULARES Y FACILMENTE ESCALABLES, Y PUEDEN ALIMENTARSE FACILMENTE MEDIANTE UNA RED ELECTRIFICADA O FUENTES DE ENERGIA RENOVABLES. EL PROYECTO INCLUYE ACTIVIDADES PARA PROBAR LAS UNIDADES DE FUNCIONAMIENTO A ESCALA DE LABORATORIO, REEVALUAR Y OPTIMIZAR SU ACOPLAMIENTO EN DIFERENTES ESQUEMAS DE PROCESO, Y REALIZAR ESTUDIOS DE EVALUACION DEL CICLO DE VIDA, TECNOECONOMICOS Y DE ESCALABILIDAD PARA GARANTIZAR LA FUTURA IMPLEMENTACION DEL PROCESO A MAYOR ESCALA. ADEMAS, SE LLEVARAN A CABO PRUEBAS PILOTO CON EFLUENTES GENERADOS EN LA INDUSTRIA ALIMENTARIA Y CON AGUAS RESIDUALES URBANAS.</t>
  </si>
  <si>
    <t xml:space="preserve">This grant focuses on wastewater treatment and nutrient recovery (nitrogen, phosphorus) using membrane and electrochemical processes; while single-cell protein products are briefly mentioned as one output, the primary focus is on wastewater resource recovery and fertilizer production, not on alternative protein development.</t>
  </si>
  <si>
    <t xml:space="preserve">Borderline. About nutrient recovery from wastewater and single cell protein is incidental as an application rather than a major focus… A score of 2 is okay and manual review to decide.</t>
  </si>
  <si>
    <t xml:space="preserve">grant.14972658</t>
  </si>
  <si>
    <t xml:space="preserve">Unlocking Potential of Seaweeds and Halophytes through Biorefinery for Enhanced Resilience in Aquaculture Agri-Food and Chemical Industries</t>
  </si>
  <si>
    <t xml:space="preserve">The ReSEAlience project is rethinking how we use marine plants like seaweed and Salicornia, a salt-tolerant plant, to create a more sustainable future. By developing a smart, eco-friendly “biorefinery,” the project turns these plants into useful products—like biofuels, animal feed, and even textiles—while helping to clean our oceans. One of the project’s key ideas is using these plants in Integrated Multi-Trophic Aquaculture (IMTA) systems. This means growing fish, shellfish, and plants together in a way that helps reduce pollution, especially excess nutrients in the water.
At the heart of the process is a green extraction method called HALOREFINE, which safely pulls out valuable compounds from the plants without using harmful chemicals. Remaining fractions after extraction of main and valuable component is turned into other materials—like cellulose for textiles, sugars for energy, and proteins for feed—ensuring nothing is wasted. In an exciting twist, co-streams after plant processing is even being turned into sustainable fabrics. Special methods are used to extract fibers from both Salicornia and seaweed, offering an eco-friendly alternative to cotton and synthetic materials. With this zero-waste approach, ReSEAlience is showing how sea plants can power a cleaner, more resilient future across farming, fashion, and fuel.</t>
  </si>
  <si>
    <t xml:space="preserve">The project focuses on seaweed and halophyte biorefineries for biofuels, animal feed, textiles, and aquaculture applications, with no stated application in human alternative protein products.</t>
  </si>
  <si>
    <t xml:space="preserve">PB</t>
  </si>
  <si>
    <t xml:space="preserve">Proteins are explicitly for feed, not food.</t>
  </si>
  <si>
    <t xml:space="preserve">grant.14956082</t>
  </si>
  <si>
    <t xml:space="preserve">Enhancing biodiversity and ecosystem services through legume production and dietary change (BiodiversityField2Fork)</t>
  </si>
  <si>
    <t xml:space="preserve">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</si>
  <si>
    <t xml:space="preserve">While the grant mentions legumes substituting animal protein and plant-based diets, the research focuses on biodiversity, ecosystem services, and agricultural land use rather than the development, characterisation, or societal/policy aspects of alternative protein products specifically — it is general food systems and environmental research where alternative proteins are not explicitly named or studied as a distinct category.</t>
  </si>
  <si>
    <t xml:space="preserve">This feels borderline. It’s indirect and legume focussed but is kinda AP related for PB dietary changes. And it’s okay for a grant to be environmental / societal focussed.</t>
  </si>
  <si>
    <t xml:space="preserve">grant.15164609</t>
  </si>
  <si>
    <t xml:space="preserve">Badanie potencjału kompleksów białkowo-pektynowych do poprawy właściwości funkcjonalnych tuszy do druku 3D</t>
  </si>
  <si>
    <t xml:space="preserve">Starzenie się społeczeństwa to problem globalny XXI wieku, który wpływa na liczne obszary życia, w tym  również na sektor spożywczy. Przy tak zmieniającej się strukturze demograficznej, zapewnienie odżywczej i atrakcyjnej wizualnie żywności  dla osób starszych czy hospitalizowanych  stało się istotnym wyzwaniem. Technologią umożliwiającą tworzenie takiej żywności jest druk 3D, który  pozwala na przygotowanie produktów o złożonej strukturze, uzyskiwan ych warstwa po warstwie, zgodnie z zaprojektowanym modelem cyfrowym. Zaletą tej technologii jest możliwość dostosowania cech żywieniowych i sen sorycznych do indywidualnych potrzeb konsumentów. Jednakże większość produktów spożywczych, w tym również owoce, mogą być drukowane dopiero po przetworzeniu i  dodaniu substancji poprawiających ich płynność. Większość takich substancji nie jest pozytywnie p ostrzegana przez konsumentów (np. guma guar, karagen), wymaga specyficznych warunków żelowania, lub ich żelowanie trwa bardzo długo. Dodatek białka do owoców może poprawić teksturę produktów, a dodatkowo przyczynić się do poprawy ich wartości odżywczej. Większość białek roślinnych charakteryzuje się  jednak niekorzystnymi właściwościami funkcjonalnymi  w porównaniu do białek pochodzenia zwierzęcego , dlatego należy poszukiwać metod modyfikacji ich właściwości, które jednocześnie będą przyjazne dla środowiska. Tworzenie kompleksów z  pektynami oraz wybrane metody  fizyczne (obróbki ultradźwiękami i mikrofal ami) mogą wpływać na zmianę struktury i poprawę właściwości białek roślinnych, zwiększając tym samym możliwości ich zastosowania.  Celem projektu jest  kompleksowa ocena potencjału wykorzystania kompleksów białko  konopne-pektyna do tworzenia past do druku 3D z wytłoków owocowych. Zostanie zbadany wpływ obróbek ultradźwiękami i mikrofalami na wybrane właściwości kompleksów.  Ponadto, aby ocenić możliwość  utrwalenia wydrukowanego materiału, zostanie przeprowadzone suszenie mikrofalowo-próżniowe o różnych parametrach, a także suszenie konwekcyjne i liofilizacja jako metody referencyjne.  Do tworzenia kompleksów zostaną wykorzystane i zolat lub koncentrat białka  konopnego oraz wybrane preparaty pektynowe z pektyny cytrusowej i/lub jabłkowej. Kompleksy zostaną poddane obróbkom ultradźwiękowej i mikrofalowej i zbadane zostaną ich właściwości fizyczne i chemiczne. Równolegle, wytłoki owocowe o pożądanej konsystencji  i strukturze zostaną uzyskane przez wyciskanie soku, homogenizację i przetarcie przez sito. Kompleksy białkowo-pektynowe o najbardziej obiecujących właściwościach zostaną dodane do przetworzonych wytłoków w celu wytworzenia pasty do druku  3D. Proces druku  3D zostanie zoptymalizowany, z uwzględnieniem licznych parametrów, w tym średnicy dyszy, prędkości drukowania czy współczynnik wypełnienia, a następnie zbadane zostaną właściwości fizyczne i chemiczne drukowanych past. Wybrane warianty wydruków zostaną po ddane suszeniu mikrofalowo-próżniowemu, w którym temperatura, optymalizowane będą temperatura, ciśnienie i moc mikrofal. Hipoteza badawcza zakłada, że odpowiedni skład (rodzaj pektyny, stężenie białka i stosunek białko/pektyna), warunki środowiskowe (pH, temperatura, siła jonowa) oraz łagodna obróbka wspomagająca (ultradźwięki, mikrofale) pozwolą na uzyskanie kompleksów białko  konopne-pektyna o pożądanych właściwościach funkcjonalnych i będą mogły posłużyć do p oprawy drukowalności wytłoków owocowych. Badanie będzie odpowiedzią na globalne problemy, takie jak zagospodarowanie produktów ubocznych z przemysłu spożywczego (wytłoki, pektyny - przemysł owocowo-warzywny, białko konopne – przemysł olejarski) czy rosnąca zapotrzebowanie na żywność pochodzenia roślinnego – naturalną i bogatą w składniki odżywcze. Zaproponowane  badania pomogą zrozumieć interakcje między białkiem konopnym a  pektyną poddawanym wybranym obróbkom fizycznym, co może przyczynić się do potencjalnego stosowania takich kompleksów jako alternatyw dla negatywnie postrzeganych stabilizatorów stosowanych w żywności roślinnej. Dodatkowo, badania dostarczą nowej wiedzy na temat drukowalności wytłoków owocowych oraz możliwości wykorzystania kompleksów białkowo -pektynowych w celu poprawy drukowalności past spożywczych. Wyniki badań mogą być interesujące również w związku z poszukiwaniem rozwiązań w zakresie utrwalania produktów drukowanych 3D , co w przyszłości mogłoby przyczynić się do zwiększenia ich dostępności na rynku. Rezultaty projektu mogą b yć przydatne w przyszłości do projektowania żywności o określonych cechach sensorycznych, np. specyficznej teksturze i strukturze, a także żywieniowych, np. o zwiększonej zawartości składników biologicznie czynnych.</t>
  </si>
  <si>
    <t xml:space="preserve">This grant focuses on hemp protein-pectin complexes to improve 3D printing of fruit pomace pastes for elderly/hospitalized individuals, which is a food texture/processing application and not a substitute for animal-derived protein products.</t>
  </si>
  <si>
    <t xml:space="preserve">Hemp protein isolate/concentrate is being studied as a functional ingredient for improving plant-based food formulations. </t>
  </si>
  <si>
    <t xml:space="preserve">grant.15155974</t>
  </si>
  <si>
    <t xml:space="preserve">Characterization of the Immune Response of Cassava Against the Ipomoviruses CBSV and UCBSV (CaVir)</t>
  </si>
  <si>
    <t xml:space="preserve">A severe virus disease of cassava caused by two distinct ipomo-viruses (fam. Potyviridae), the cassava brown streak virus (CBSV) and the Ugandan cassava brown streak virus (UCBSV) threatens cassava cultivation in Africa and the livelihood of millions of people. The viruses systemically invade all plant tissues and cause striking symptoms on leaves, stems and roots. When root tubers are developing, large areas of the tubers become necrotized and consequently, the tubers cannot be consumed. This is the main impact of the virus diseases. Cassava brown streak disease (CBSD) has become a significant threat to cassava regions in sub-Saharan Africa and globally, particularly due to the lack of virus-resistant cassava varieties and precise virus screening methods. In the Plant Virus Department of DSMZ, we have developed a robust phenotyping workflow and identified South American genotypes that exhibit broad immunity to all CBSD viruses. The goal of this research project is to characterize the immune response of cassava to U/CBSV. Building on my previous work, I am using genetic, molecular, and biological experiments to uncover the fundamental mechanisms of cassava resistance to U/CBSV. Through innovative methods, we are analyzing virus replication complexes (VRCs) and the interaction of host proteins with critical virus proteins to identify plant interaction partners (key genes) involved in virus replication and spread in plants. Insights and identified interaction partners obtained from the model plant Nicotiana benthamiana are transferred to cassava to analyze and functionally classify orthologous genes in resistant and susceptible lines. Our aim is to compare functional and dysfunctional (loss-of-function) conditions in resistant and susceptible cassava lines to understand virus replication in cassava and contribute to a mechanistic explanation of the immune responses of resistant cassava lines. These insights will be used to formulate new approaches for developing virus resistance, not only for cassava but also for virus diseases of other crops. We expect that the fundamental insights from virus studies with novel Ipomoviruses in cassava will have practical applications in breeding virus-resistant cassava varieties, significantly improving food security and economic stability in affected regions.</t>
  </si>
  <si>
    <t xml:space="preserve">grant.15156353</t>
  </si>
  <si>
    <t xml:space="preserve">ESI-Q-TOF mass spectrometer with ion mobility; UHPLC and MALDI-source</t>
  </si>
  <si>
    <t xml:space="preserve">The University of Hamburg is home to the Technology Platform Mass Spectrometry (TPMS) which integrates two core facilities. In order to support the research strategy of the Department of Chemistry, the Core Facility General Mass Spectrometry (CFMS) will be reinforced by the installation of two new mass spectrometers, coupled to liquid and gas chromatography respectively. Both devices are complementary and will be submitted in two separate applications. In this application, a quadrupole-time of flight (Q-TOF) mass spectrometer with ultra-high-performance liquid chromatography (UHPLC) and an interchangeable interface for matrix-assisted laser desorption ionization (MALDI) is requested to be set up at the CFMS. The instrument will be used primarily for research purposes by research groups focusing on proteomics and metabolomics and to a comparatively small extend for routine applications (approx. 5-10% share). The following specific research questions will be addressed using the instrument applied for: Non-targeted and targeted experiments with plant proteins to detect modifications from processing and from reactions with other plant constituents (e.g. oxidized secondary metabolites). Non-targeted metabolome studies of biological tissues. Non-targeted metabolomics of food for authentication (e.g. experimental proof of origin and of the production process). Top-down protein sequencing for protein-based research questions. Service measurements for reaction control from various research groups working in the field of chemical synthesis.</t>
  </si>
  <si>
    <t xml:space="preserve">The grant requests a mass spectrometer that will be used partly for non-targeted and targeted experiments with plant proteins to detect processing modifications, which is relevant to alternative protein characterisation, though the instrument has broad general chemistry and metabolomics applications beyond alternative proteins.</t>
  </si>
  <si>
    <t xml:space="preserve">Does feel more out of scope than in scope…</t>
  </si>
  <si>
    <t xml:space="preserve">metric</t>
  </si>
  <si>
    <t xml:space="preserve">value</t>
  </si>
  <si>
    <t xml:space="preserve">n</t>
  </si>
  <si>
    <t xml:space="preserve">scope_accuracy</t>
  </si>
  <si>
    <t xml:space="preserve">6%</t>
  </si>
  <si>
    <t xml:space="preserve">pillar_accuracy</t>
  </si>
  <si>
    <t xml:space="preserve">pillar_accuracy_both_in_scope</t>
  </si>
  <si>
    <t xml:space="preserve">nan%</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</si>
</sst>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0"/>
      <color theme="1"/>
      <name val="Times New Roman"/>
      <family val="1"/>
      <charset val="1"/>
    </font>
  </fonts>
  <fills count="5">
    <fill>
      <patternFill patternType="none"/>
    </fill>
    <fill>
      <patternFill patternType="gray125"/>
    </fill>
    <fill>
      <patternFill patternType="solid">
        <fgColor rgb="FF81D41A"/>
        <bgColor rgb="FF969696"/>
      </patternFill>
    </fill>
    <fill>
      <patternFill patternType="solid">
        <fgColor rgb="FFFF0000"/>
        <bgColor rgb="FF99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bgColor rgb="FF000000"/>
        </patternFill>
      </fill>
    </dxf>
    <dxf>
      <fill>
        <patternFill patternType="solid">
          <fgColor rgb="FF000000"/>
          <bgColor rgb="FF000000"/>
        </patternFill>
      </fill>
    </dxf>
    <dxf>
      <fill>
        <patternFill patternType="solid">
          <fgColor rgb="FF81D41A"/>
          <bgColor rgb="FF000000"/>
        </patternFill>
      </fill>
    </dxf>
    <dxf>
      <fill>
        <patternFill patternType="solid">
          <fgColor rgb="FFFF0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T18"/>
  <sheetViews>
    <sheetView showFormulas="false" showGridLines="true" showRowColHeaders="true" showZeros="true" rightToLeft="false" tabSelected="true" showOutlineSymbols="true" defaultGridColor="true" view="normal" topLeftCell="A6" colorId="64" zoomScale="100" zoomScaleNormal="100" zoomScalePageLayoutView="100" workbookViewId="0">
      <selection pane="topLeft" activeCell="S22" activeCellId="0" sqref="S22"/>
    </sheetView>
  </sheetViews>
  <sheetFormatPr defaultColWidth="8.34375" defaultRowHeight="15" customHeight="false" zeroHeight="false" outlineLevelRow="0" outlineLevelCol="0"/>
  <cols>
    <col collapsed="false" customWidth="true" hidden="false" outlineLevel="0" max="3" min="3" style="1" width="25.66"/>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S1" s="1" t="s">
        <v>17</v>
      </c>
      <c r="T1" s="1" t="s">
        <v>18</v>
      </c>
    </row>
    <row r="2" customFormat="false" ht="15" hidden="false" customHeight="false" outlineLevel="0" collapsed="false">
      <c r="A2" s="2" t="s">
        <v>19</v>
      </c>
      <c r="B2" s="2" t="s">
        <v>20</v>
      </c>
      <c r="C2" s="2" t="s">
        <v>21</v>
      </c>
      <c r="D2" s="2" t="s">
        <v>22</v>
      </c>
      <c r="E2" s="2" t="s">
        <v>22</v>
      </c>
      <c r="F2" s="2" t="n">
        <v>2</v>
      </c>
      <c r="G2" s="2" t="s">
        <v>23</v>
      </c>
      <c r="H2" s="1" t="b">
        <f aca="false">TRUE()</f>
        <v>1</v>
      </c>
      <c r="I2" s="2" t="s">
        <v>24</v>
      </c>
      <c r="J2" s="2" t="s">
        <v>24</v>
      </c>
      <c r="K2" s="1" t="b">
        <f aca="false">TRUE()</f>
        <v>1</v>
      </c>
      <c r="L2" s="1" t="b">
        <f aca="false">FALSE()</f>
        <v>0</v>
      </c>
      <c r="M2" s="1" t="b">
        <f aca="false">FALSE()</f>
        <v>0</v>
      </c>
      <c r="N2" s="1" t="b">
        <f aca="false">FALSE()</f>
        <v>0</v>
      </c>
      <c r="O2" s="1" t="b">
        <f aca="false">FALSE()</f>
        <v>0</v>
      </c>
      <c r="P2" s="2" t="s">
        <v>25</v>
      </c>
    </row>
    <row r="3" customFormat="false" ht="15" hidden="false" customHeight="false" outlineLevel="0" collapsed="false">
      <c r="A3" s="2" t="s">
        <v>26</v>
      </c>
      <c r="B3" s="2" t="s">
        <v>27</v>
      </c>
      <c r="C3" s="2" t="s">
        <v>28</v>
      </c>
      <c r="D3" s="2" t="s">
        <v>29</v>
      </c>
      <c r="E3" s="3" t="s">
        <v>22</v>
      </c>
      <c r="F3" s="2" t="n">
        <v>2</v>
      </c>
      <c r="G3" s="2" t="s">
        <v>30</v>
      </c>
      <c r="H3" s="1" t="b">
        <f aca="false">FALSE()</f>
        <v>0</v>
      </c>
      <c r="I3" s="2" t="s">
        <v>31</v>
      </c>
      <c r="J3" s="2" t="s">
        <v>24</v>
      </c>
      <c r="K3" s="1" t="b">
        <f aca="false">FALSE()</f>
        <v>0</v>
      </c>
      <c r="L3" s="1" t="b">
        <f aca="false">FALSE()</f>
        <v>0</v>
      </c>
      <c r="M3" s="1" t="b">
        <f aca="false">FALSE()</f>
        <v>0</v>
      </c>
      <c r="N3" s="1" t="b">
        <f aca="false">FALSE()</f>
        <v>0</v>
      </c>
      <c r="O3" s="1" t="b">
        <f aca="false">FALSE()</f>
        <v>0</v>
      </c>
      <c r="P3" s="2" t="s">
        <v>25</v>
      </c>
      <c r="S3" s="1" t="s">
        <v>22</v>
      </c>
      <c r="T3" s="1" t="s">
        <v>32</v>
      </c>
    </row>
    <row r="4" customFormat="false" ht="809" hidden="true" customHeight="false" outlineLevel="0" collapsed="false">
      <c r="A4" s="2" t="s">
        <v>33</v>
      </c>
      <c r="B4" s="2" t="s">
        <v>34</v>
      </c>
      <c r="C4" s="4" t="s">
        <v>35</v>
      </c>
      <c r="D4" s="2" t="s">
        <v>22</v>
      </c>
      <c r="H4" s="1" t="b">
        <f aca="false">FALSE()</f>
        <v>0</v>
      </c>
      <c r="I4" s="2" t="s">
        <v>24</v>
      </c>
      <c r="J4" s="2" t="s">
        <v>31</v>
      </c>
      <c r="K4" s="1" t="b">
        <f aca="false">FALSE()</f>
        <v>0</v>
      </c>
      <c r="P4" s="2" t="s">
        <v>36</v>
      </c>
      <c r="Q4" s="2" t="s">
        <v>37</v>
      </c>
    </row>
    <row r="5" customFormat="false" ht="186.8" hidden="false" customHeight="false" outlineLevel="0" collapsed="false">
      <c r="A5" s="2" t="s">
        <v>38</v>
      </c>
      <c r="B5" s="2" t="s">
        <v>39</v>
      </c>
      <c r="C5" s="4" t="s">
        <v>40</v>
      </c>
      <c r="D5" s="2" t="s">
        <v>29</v>
      </c>
      <c r="E5" s="3" t="s">
        <v>22</v>
      </c>
      <c r="F5" s="2" t="n">
        <v>2</v>
      </c>
      <c r="G5" s="2" t="s">
        <v>41</v>
      </c>
      <c r="H5" s="1" t="b">
        <f aca="false">FALSE()</f>
        <v>0</v>
      </c>
      <c r="I5" s="2" t="s">
        <v>42</v>
      </c>
      <c r="J5" s="2" t="s">
        <v>24</v>
      </c>
      <c r="K5" s="1" t="b">
        <f aca="false">FALSE()</f>
        <v>0</v>
      </c>
      <c r="L5" s="1" t="b">
        <f aca="false">FALSE()</f>
        <v>0</v>
      </c>
      <c r="M5" s="1" t="b">
        <f aca="false">FALSE()</f>
        <v>0</v>
      </c>
      <c r="N5" s="1" t="b">
        <f aca="false">FALSE()</f>
        <v>0</v>
      </c>
      <c r="O5" s="1" t="b">
        <f aca="false">FALSE()</f>
        <v>0</v>
      </c>
      <c r="P5" s="2" t="s">
        <v>25</v>
      </c>
      <c r="S5" s="1" t="s">
        <v>22</v>
      </c>
      <c r="T5" s="5" t="s">
        <v>43</v>
      </c>
    </row>
    <row r="6" customFormat="false" ht="197.7" hidden="false" customHeight="false" outlineLevel="0" collapsed="false">
      <c r="A6" s="2" t="s">
        <v>44</v>
      </c>
      <c r="B6" s="2" t="s">
        <v>45</v>
      </c>
      <c r="C6" s="4" t="s">
        <v>46</v>
      </c>
      <c r="D6" s="2" t="s">
        <v>29</v>
      </c>
      <c r="E6" s="3" t="s">
        <v>22</v>
      </c>
      <c r="F6" s="2" t="n">
        <v>2</v>
      </c>
      <c r="G6" s="2" t="s">
        <v>47</v>
      </c>
      <c r="H6" s="1" t="b">
        <f aca="false">FALSE()</f>
        <v>0</v>
      </c>
      <c r="I6" s="2" t="s">
        <v>42</v>
      </c>
      <c r="J6" s="2" t="s">
        <v>24</v>
      </c>
      <c r="K6" s="1" t="b">
        <f aca="false">FALSE()</f>
        <v>0</v>
      </c>
      <c r="L6" s="1" t="b">
        <f aca="false">FALSE()</f>
        <v>0</v>
      </c>
      <c r="M6" s="1" t="b">
        <f aca="false">FALSE()</f>
        <v>0</v>
      </c>
      <c r="N6" s="1" t="b">
        <f aca="false">FALSE()</f>
        <v>0</v>
      </c>
      <c r="O6" s="1" t="b">
        <f aca="false">FALSE()</f>
        <v>0</v>
      </c>
      <c r="P6" s="2" t="s">
        <v>25</v>
      </c>
      <c r="S6" s="1" t="s">
        <v>22</v>
      </c>
      <c r="T6" s="1" t="s">
        <v>48</v>
      </c>
    </row>
    <row r="7" customFormat="false" ht="1245.45" hidden="true" customHeight="false" outlineLevel="0" collapsed="false">
      <c r="A7" s="2" t="s">
        <v>49</v>
      </c>
      <c r="B7" s="2" t="s">
        <v>50</v>
      </c>
      <c r="C7" s="4" t="s">
        <v>51</v>
      </c>
      <c r="D7" s="2" t="s">
        <v>22</v>
      </c>
      <c r="H7" s="1" t="b">
        <f aca="false">FALSE()</f>
        <v>0</v>
      </c>
      <c r="I7" s="2" t="s">
        <v>24</v>
      </c>
      <c r="J7" s="2" t="s">
        <v>31</v>
      </c>
      <c r="K7" s="1" t="b">
        <f aca="false">FALSE()</f>
        <v>0</v>
      </c>
      <c r="P7" s="2" t="s">
        <v>36</v>
      </c>
      <c r="Q7" s="2" t="s">
        <v>37</v>
      </c>
    </row>
    <row r="8" customFormat="false" ht="1518.4" hidden="true" customHeight="false" outlineLevel="0" collapsed="false">
      <c r="A8" s="2" t="s">
        <v>52</v>
      </c>
      <c r="B8" s="2" t="s">
        <v>53</v>
      </c>
      <c r="C8" s="4" t="s">
        <v>54</v>
      </c>
      <c r="D8" s="2" t="s">
        <v>22</v>
      </c>
      <c r="H8" s="1" t="b">
        <f aca="false">FALSE()</f>
        <v>0</v>
      </c>
      <c r="I8" s="2" t="s">
        <v>24</v>
      </c>
      <c r="J8" s="2" t="s">
        <v>31</v>
      </c>
      <c r="K8" s="1" t="b">
        <f aca="false">FALSE()</f>
        <v>0</v>
      </c>
      <c r="P8" s="2" t="s">
        <v>36</v>
      </c>
      <c r="Q8" s="2" t="s">
        <v>37</v>
      </c>
    </row>
    <row r="9" customFormat="false" ht="1431.2" hidden="true" customHeight="false" outlineLevel="0" collapsed="false">
      <c r="A9" s="2" t="s">
        <v>55</v>
      </c>
      <c r="B9" s="2" t="s">
        <v>56</v>
      </c>
      <c r="C9" s="4" t="s">
        <v>57</v>
      </c>
      <c r="D9" s="2" t="s">
        <v>22</v>
      </c>
      <c r="H9" s="1" t="b">
        <f aca="false">FALSE()</f>
        <v>0</v>
      </c>
      <c r="I9" s="2" t="s">
        <v>24</v>
      </c>
      <c r="J9" s="2" t="s">
        <v>31</v>
      </c>
      <c r="K9" s="1" t="b">
        <f aca="false">FALSE()</f>
        <v>0</v>
      </c>
      <c r="P9" s="2" t="s">
        <v>36</v>
      </c>
      <c r="Q9" s="2" t="s">
        <v>37</v>
      </c>
    </row>
    <row r="10" customFormat="false" ht="56" hidden="false" customHeight="false" outlineLevel="0" collapsed="false">
      <c r="A10" s="2" t="s">
        <v>58</v>
      </c>
      <c r="B10" s="2" t="s">
        <v>59</v>
      </c>
      <c r="C10" s="4" t="s">
        <v>60</v>
      </c>
      <c r="D10" s="2" t="s">
        <v>29</v>
      </c>
      <c r="E10" s="6" t="s">
        <v>22</v>
      </c>
      <c r="F10" s="2" t="n">
        <v>2</v>
      </c>
      <c r="G10" s="2" t="s">
        <v>61</v>
      </c>
      <c r="H10" s="1" t="b">
        <f aca="false">FALSE()</f>
        <v>0</v>
      </c>
      <c r="I10" s="2" t="s">
        <v>42</v>
      </c>
      <c r="J10" s="2" t="s">
        <v>24</v>
      </c>
      <c r="K10" s="1" t="b">
        <f aca="false">FALSE()</f>
        <v>0</v>
      </c>
      <c r="L10" s="1" t="b">
        <f aca="false">FALSE()</f>
        <v>0</v>
      </c>
      <c r="M10" s="1" t="b">
        <f aca="false">FALSE()</f>
        <v>0</v>
      </c>
      <c r="N10" s="1" t="b">
        <f aca="false">FALSE()</f>
        <v>0</v>
      </c>
      <c r="O10" s="1" t="b">
        <f aca="false">FALSE()</f>
        <v>0</v>
      </c>
      <c r="P10" s="2" t="s">
        <v>25</v>
      </c>
      <c r="T10" s="1" t="s">
        <v>62</v>
      </c>
    </row>
    <row r="11" customFormat="false" ht="776.3" hidden="true" customHeight="false" outlineLevel="0" collapsed="false">
      <c r="A11" s="2" t="s">
        <v>63</v>
      </c>
      <c r="B11" s="2" t="s">
        <v>64</v>
      </c>
      <c r="C11" s="4" t="s">
        <v>65</v>
      </c>
      <c r="D11" s="2" t="s">
        <v>22</v>
      </c>
      <c r="H11" s="1" t="b">
        <f aca="false">FALSE()</f>
        <v>0</v>
      </c>
      <c r="I11" s="2" t="s">
        <v>24</v>
      </c>
      <c r="J11" s="2" t="s">
        <v>31</v>
      </c>
      <c r="K11" s="1" t="b">
        <f aca="false">FALSE()</f>
        <v>0</v>
      </c>
      <c r="P11" s="2" t="s">
        <v>36</v>
      </c>
      <c r="Q11" s="2" t="s">
        <v>37</v>
      </c>
    </row>
    <row r="12" customFormat="false" ht="143.2" hidden="false" customHeight="false" outlineLevel="0" collapsed="false">
      <c r="A12" s="2" t="s">
        <v>66</v>
      </c>
      <c r="B12" s="2" t="s">
        <v>67</v>
      </c>
      <c r="C12" s="4" t="s">
        <v>68</v>
      </c>
      <c r="D12" s="2" t="s">
        <v>29</v>
      </c>
      <c r="E12" s="3" t="s">
        <v>22</v>
      </c>
      <c r="F12" s="2" t="n">
        <v>1</v>
      </c>
      <c r="G12" s="2" t="s">
        <v>69</v>
      </c>
      <c r="H12" s="1" t="b">
        <f aca="false">FALSE()</f>
        <v>0</v>
      </c>
      <c r="I12" s="2" t="s">
        <v>31</v>
      </c>
      <c r="J12" s="2" t="s">
        <v>24</v>
      </c>
      <c r="K12" s="1" t="b">
        <f aca="false">FALSE()</f>
        <v>0</v>
      </c>
      <c r="L12" s="1" t="b">
        <f aca="false">FALSE()</f>
        <v>0</v>
      </c>
      <c r="M12" s="1" t="b">
        <f aca="false">FALSE()</f>
        <v>0</v>
      </c>
      <c r="N12" s="1" t="b">
        <f aca="false">FALSE()</f>
        <v>0</v>
      </c>
      <c r="O12" s="1" t="b">
        <f aca="false">FALSE()</f>
        <v>0</v>
      </c>
      <c r="P12" s="2" t="s">
        <v>25</v>
      </c>
      <c r="S12" s="1" t="s">
        <v>22</v>
      </c>
      <c r="T12" s="2" t="s">
        <v>70</v>
      </c>
    </row>
    <row r="13" customFormat="false" ht="34.2" hidden="false" customHeight="false" outlineLevel="0" collapsed="false">
      <c r="A13" s="2" t="s">
        <v>71</v>
      </c>
      <c r="B13" s="2" t="s">
        <v>72</v>
      </c>
      <c r="C13" s="4" t="s">
        <v>73</v>
      </c>
      <c r="D13" s="2" t="s">
        <v>29</v>
      </c>
      <c r="E13" s="7" t="s">
        <v>22</v>
      </c>
      <c r="F13" s="2" t="n">
        <v>2</v>
      </c>
      <c r="G13" s="2" t="s">
        <v>74</v>
      </c>
      <c r="H13" s="1" t="b">
        <f aca="false">FALSE()</f>
        <v>0</v>
      </c>
      <c r="I13" s="2" t="s">
        <v>42</v>
      </c>
      <c r="J13" s="2" t="s">
        <v>24</v>
      </c>
      <c r="K13" s="1" t="b">
        <f aca="false">FALSE()</f>
        <v>0</v>
      </c>
      <c r="L13" s="1" t="b">
        <f aca="false">FALSE()</f>
        <v>0</v>
      </c>
      <c r="M13" s="1" t="b">
        <f aca="false">FALSE()</f>
        <v>0</v>
      </c>
      <c r="N13" s="1" t="b">
        <f aca="false">FALSE()</f>
        <v>0</v>
      </c>
      <c r="O13" s="1" t="b">
        <f aca="false">FALSE()</f>
        <v>0</v>
      </c>
      <c r="P13" s="2" t="s">
        <v>25</v>
      </c>
      <c r="T13" s="1" t="s">
        <v>75</v>
      </c>
    </row>
    <row r="14" customFormat="false" ht="23.3" hidden="false" customHeight="false" outlineLevel="0" collapsed="false">
      <c r="A14" s="2" t="s">
        <v>76</v>
      </c>
      <c r="B14" s="2" t="s">
        <v>77</v>
      </c>
      <c r="C14" s="4" t="s">
        <v>78</v>
      </c>
      <c r="D14" s="2" t="s">
        <v>29</v>
      </c>
      <c r="E14" s="3" t="s">
        <v>22</v>
      </c>
      <c r="F14" s="2" t="n">
        <v>2</v>
      </c>
      <c r="G14" s="2" t="s">
        <v>79</v>
      </c>
      <c r="H14" s="1" t="b">
        <f aca="false">FALSE()</f>
        <v>0</v>
      </c>
      <c r="I14" s="2" t="s">
        <v>80</v>
      </c>
      <c r="J14" s="2" t="s">
        <v>24</v>
      </c>
      <c r="K14" s="1" t="b">
        <f aca="false">FALSE()</f>
        <v>0</v>
      </c>
      <c r="L14" s="1" t="b">
        <f aca="false">FALSE()</f>
        <v>0</v>
      </c>
      <c r="M14" s="1" t="b">
        <f aca="false">FALSE()</f>
        <v>0</v>
      </c>
      <c r="N14" s="1" t="b">
        <f aca="false">FALSE()</f>
        <v>0</v>
      </c>
      <c r="O14" s="1" t="b">
        <f aca="false">FALSE()</f>
        <v>0</v>
      </c>
      <c r="P14" s="2" t="s">
        <v>25</v>
      </c>
      <c r="S14" s="1" t="s">
        <v>22</v>
      </c>
      <c r="T14" s="1" t="s">
        <v>81</v>
      </c>
    </row>
    <row r="15" customFormat="false" ht="15" hidden="false" customHeight="false" outlineLevel="0" collapsed="false">
      <c r="A15" s="2" t="s">
        <v>82</v>
      </c>
      <c r="B15" s="2" t="s">
        <v>83</v>
      </c>
      <c r="C15" s="2" t="s">
        <v>84</v>
      </c>
      <c r="D15" s="2" t="s">
        <v>29</v>
      </c>
      <c r="E15" s="7" t="s">
        <v>22</v>
      </c>
      <c r="F15" s="2" t="n">
        <v>2</v>
      </c>
      <c r="G15" s="2" t="s">
        <v>85</v>
      </c>
      <c r="H15" s="1" t="b">
        <f aca="false">FALSE()</f>
        <v>0</v>
      </c>
      <c r="I15" s="2" t="s">
        <v>80</v>
      </c>
      <c r="J15" s="2" t="s">
        <v>24</v>
      </c>
      <c r="K15" s="1" t="b">
        <f aca="false">FALSE()</f>
        <v>0</v>
      </c>
      <c r="L15" s="1" t="b">
        <f aca="false">FALSE()</f>
        <v>0</v>
      </c>
      <c r="M15" s="1" t="b">
        <f aca="false">FALSE()</f>
        <v>0</v>
      </c>
      <c r="N15" s="1" t="b">
        <f aca="false">FALSE()</f>
        <v>0</v>
      </c>
      <c r="O15" s="1" t="b">
        <f aca="false">FALSE()</f>
        <v>0</v>
      </c>
      <c r="P15" s="2" t="s">
        <v>25</v>
      </c>
      <c r="T15" s="1" t="s">
        <v>86</v>
      </c>
    </row>
    <row r="16" customFormat="false" ht="15" hidden="false" customHeight="false" outlineLevel="0" collapsed="false">
      <c r="A16" s="2" t="s">
        <v>87</v>
      </c>
      <c r="B16" s="2" t="s">
        <v>88</v>
      </c>
      <c r="C16" s="2" t="s">
        <v>89</v>
      </c>
      <c r="D16" s="2" t="s">
        <v>29</v>
      </c>
      <c r="E16" s="6" t="s">
        <v>22</v>
      </c>
      <c r="F16" s="2" t="n">
        <v>2</v>
      </c>
      <c r="G16" s="2" t="s">
        <v>90</v>
      </c>
      <c r="H16" s="1" t="b">
        <f aca="false">FALSE()</f>
        <v>0</v>
      </c>
      <c r="I16" s="2" t="s">
        <v>80</v>
      </c>
      <c r="J16" s="2" t="s">
        <v>24</v>
      </c>
      <c r="K16" s="1" t="b">
        <f aca="false">FALSE()</f>
        <v>0</v>
      </c>
      <c r="L16" s="1" t="b">
        <f aca="false">FALSE()</f>
        <v>0</v>
      </c>
      <c r="M16" s="1" t="b">
        <f aca="false">FALSE()</f>
        <v>0</v>
      </c>
      <c r="N16" s="1" t="b">
        <f aca="false">FALSE()</f>
        <v>0</v>
      </c>
      <c r="O16" s="1" t="b">
        <f aca="false">FALSE()</f>
        <v>0</v>
      </c>
      <c r="P16" s="2" t="s">
        <v>25</v>
      </c>
      <c r="T16" s="2" t="s">
        <v>91</v>
      </c>
    </row>
    <row r="17" customFormat="false" ht="15" hidden="true" customHeight="false" outlineLevel="0" collapsed="false">
      <c r="A17" s="2" t="s">
        <v>92</v>
      </c>
      <c r="B17" s="2" t="s">
        <v>93</v>
      </c>
      <c r="C17" s="2" t="s">
        <v>94</v>
      </c>
      <c r="D17" s="2" t="s">
        <v>22</v>
      </c>
      <c r="H17" s="1" t="b">
        <f aca="false">FALSE()</f>
        <v>0</v>
      </c>
      <c r="I17" s="2" t="s">
        <v>24</v>
      </c>
      <c r="J17" s="2" t="s">
        <v>31</v>
      </c>
      <c r="K17" s="1" t="b">
        <f aca="false">FALSE()</f>
        <v>0</v>
      </c>
      <c r="P17" s="2" t="s">
        <v>36</v>
      </c>
      <c r="Q17" s="2" t="s">
        <v>37</v>
      </c>
    </row>
    <row r="18" customFormat="false" ht="15" hidden="false" customHeight="false" outlineLevel="0" collapsed="false">
      <c r="A18" s="2" t="s">
        <v>95</v>
      </c>
      <c r="B18" s="2" t="s">
        <v>96</v>
      </c>
      <c r="C18" s="2" t="s">
        <v>97</v>
      </c>
      <c r="D18" s="2" t="s">
        <v>22</v>
      </c>
      <c r="E18" s="6" t="s">
        <v>29</v>
      </c>
      <c r="F18" s="2" t="n">
        <v>5</v>
      </c>
      <c r="G18" s="2" t="s">
        <v>98</v>
      </c>
      <c r="H18" s="1" t="b">
        <f aca="false">FALSE()</f>
        <v>0</v>
      </c>
      <c r="I18" s="2" t="s">
        <v>24</v>
      </c>
      <c r="J18" s="2" t="s">
        <v>80</v>
      </c>
      <c r="K18" s="1" t="b">
        <f aca="false">FALSE()</f>
        <v>0</v>
      </c>
      <c r="L18" s="1" t="b">
        <f aca="false">TRUE()</f>
        <v>1</v>
      </c>
      <c r="M18" s="1" t="b">
        <f aca="false">FALSE()</f>
        <v>0</v>
      </c>
      <c r="N18" s="1" t="b">
        <f aca="false">FALSE()</f>
        <v>0</v>
      </c>
      <c r="O18" s="1" t="b">
        <f aca="false">FALSE()</f>
        <v>0</v>
      </c>
      <c r="P18" s="2" t="s">
        <v>25</v>
      </c>
      <c r="R18" s="2" t="s">
        <v>99</v>
      </c>
    </row>
  </sheetData>
  <autoFilter ref="A1:Q18">
    <filterColumn colId="15">
      <filters>
        <filter val="ok"/>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2" t="s">
        <v>100</v>
      </c>
      <c r="B1" s="2" t="s">
        <v>101</v>
      </c>
      <c r="C1" s="2" t="s">
        <v>102</v>
      </c>
    </row>
    <row r="2" customFormat="false" ht="15" hidden="false" customHeight="false" outlineLevel="0" collapsed="false">
      <c r="A2" s="2" t="s">
        <v>103</v>
      </c>
      <c r="B2" s="2" t="s">
        <v>104</v>
      </c>
      <c r="C2" s="2" t="n">
        <v>17</v>
      </c>
    </row>
    <row r="3" customFormat="false" ht="15" hidden="false" customHeight="false" outlineLevel="0" collapsed="false">
      <c r="A3" s="2" t="s">
        <v>105</v>
      </c>
      <c r="B3" s="2" t="s">
        <v>104</v>
      </c>
      <c r="C3" s="2" t="n">
        <v>17</v>
      </c>
    </row>
    <row r="4" customFormat="false" ht="15" hidden="false" customHeight="false" outlineLevel="0" collapsed="false">
      <c r="A4" s="2" t="s">
        <v>106</v>
      </c>
      <c r="B4" s="2" t="s">
        <v>107</v>
      </c>
      <c r="C4" s="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97</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2026-07-09T08:52:49Z</dcterms:created>
  <dc:creator>openpyxl</dc:creator>
  <dc:description/>
  <dc:language>en-GB</dc:language>
  <cp:lastModifiedBy/>
  <dcterms:modified xsi:type="dcterms:W3CDTF">2026-07-10T17:27:47Z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