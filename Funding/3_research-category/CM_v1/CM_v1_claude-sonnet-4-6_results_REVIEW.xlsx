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<sst xmlns="http://schemas.openxmlformats.org/spreadsheetml/2006/main" count="369" uniqueCount="239">
  <si>
    <t xml:space="preserve">id</t>
  </si>
  <si>
    <t xml:space="preserve">title</t>
  </si>
  <si>
    <t xml:space="preserve">abstract</t>
  </si>
  <si>
    <t xml:space="preserve">research_category</t>
  </si>
  <si>
    <t xml:space="preserve">raw_predicted_categories</t>
  </si>
  <si>
    <t xml:space="preserve">predicted_categories</t>
  </si>
  <si>
    <t xml:space="preserve">other_clash</t>
  </si>
  <si>
    <t xml:space="preserve">reasoning_LLM</t>
  </si>
  <si>
    <t xml:space="preserve">exact_match</t>
  </si>
  <si>
    <t xml:space="preserve">row_precision</t>
  </si>
  <si>
    <t xml:space="preserve">row_recall</t>
  </si>
  <si>
    <t xml:space="preserve">row_jaccard</t>
  </si>
  <si>
    <t xml:space="preserve">Notes</t>
  </si>
  <si>
    <t xml:space="preserve">Food4Cells: Developing sustainable cell culture media for cultivated meat (CM) production based on Norwegian plant-based agri-food.</t>
  </si>
  <si>
    <t xml:space="preserve">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</si>
  <si>
    <t xml:space="preserve">Cell culture media</t>
  </si>
  <si>
    <t xml:space="preserve">Cell culture media, Impact assessments</t>
  </si>
  <si>
    <t xml:space="preserve">The grant explicitly funds research into developing plant-based cell culture media (identifying, characterising, and validating ingredients and inclusion levels), and includes life cycle assessments (LCA) as a substantive funded research activity; all other categories are mentioned only as background context or downstream applications.</t>
  </si>
  <si>
    <t xml:space="preserve">Agree with LLM.</t>
  </si>
  <si>
    <t xml:space="preserve">3D Bioprinting of cultivated meat: Biopolymer matrices supporting formation of muscle fibers in vitro</t>
  </si>
  <si>
    <t xml:space="preserve">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</si>
  <si>
    <t xml:space="preserve">Texturization methods</t>
  </si>
  <si>
    <t xml:space="preserve">Scaffolding</t>
  </si>
  <si>
    <t xml:space="preserve">The grant focuses on developing biopolymer matrices and bioprinting techniques to support muscle fiber formation in vitro, which is squarely within scaffolding; other categories are mentioned only as motivation or context.</t>
  </si>
  <si>
    <t xml:space="preserve">Towards massive scale-up of low-cost growth factor production for meat cultivation</t>
  </si>
  <si>
    <t xml:space="preserve">Industrial livestock farming methods are associated with undesirable environmental impacts including greenhouse gas emissions, high water/land usage, and animal welfare/ public health concerns such as overuse of antibiotics and zoonoses. The worldwide population is expected to reach 8 billion by 15/11/2022, and 10 billion by 2050\. Finite resources and increasing worldwide meat consumption create conditions for global food insecurity. Cost-effective, disruptive innovations in production technology for nutritional proteins are therefore required for the industrialization of meat alternatives. Such a shift to **cultivated meat** (**CM**) production will disrupt this highly valuable global industry ($467 billion for beef in 2021). CM is meat grown from animal stem cells in a bioreactor using tissue engineering approaches. Stem cells are differentiated into cell types found in meat such as muscle and fat in specialized nutrient-enriched cell culture medium containing **growth factor** (**GF**) proteins. These cells are combined with scaffolds to form meat products. Thus, CM is produced in a controlled environment without farming animals for food, mitigating many of the concerns associated with conventional farming. **However, economic feasibility and scale-up are major barriers to the adoption and public acceptance of CM.** **Key cost drivers** are the **GF components** of culture media. Existing GF protein production and separation methods (a critical purification step) are prohibitively expensive to transition from laboratory to commercial production scale. _Indeed, modelling studies show current CM production costs between $50,000-400,000USD per kg using the growth factor FGF-2, at a cost of $5,000/mg in a 20,000L bioreactor. Only by reducing FGF-2 to nominal costs can we approach commodity level prices of $2 per kg._ **Our vision is to target this bottleneck enabling massive scale-up of low-cost growth factor production for meat cultivation**. To generate low-cost GFs, we will deploy our plant-based GF bulk-expression platform, and combine with novel low-cost alternatives for bioseparation/purification. This is achieved using an inexpensive approach exploiting sustainable commercially-available industrial food-grade substrates. Pilot data has shown this is an effective method for purifying crude protein extracts with high recovery of biological activity. Significant cost reductions for GF production are envisaged, with profound commercial, economic, sustainability and environmental impacts.</t>
  </si>
  <si>
    <t xml:space="preserve">Cell culture media, Bioprocess design</t>
  </si>
  <si>
    <t xml:space="preserve">The grant funds development of a plant-based growth factor expression platform and novel low-cost bioseparation/purification methods (Cell culture media), with the purification/downstream processing work also constituting Bioprocess design; environmental and economic impacts are mentioned only as motivation, not as funded research activities.</t>
  </si>
  <si>
    <t xml:space="preserve">Polish Government Backs LabFarm With Grant for Cultivated Chicken</t>
  </si>
  <si>
    <t xml:space="preserve">The grant will enable LabFarm to optimize bioprocesses, scale up production, work on proprietary growth media, develop products, and expand its team.</t>
  </si>
  <si>
    <t xml:space="preserve">Cell culture media, Bioprocess design, End product formulation</t>
  </si>
  <si>
    <t xml:space="preserve">The grant explicitly funds bioprocess optimization and scale-up (Bioprocess design), proprietary growth media development (Cell culture media), and product development (End product formulation); no other categories are substantively funded research activities.</t>
  </si>
  <si>
    <t xml:space="preserve">Feeding Future Generations Sustainably: Legal Challenges and Scientific Innovation</t>
  </si>
  <si>
    <t xml:space="preserve">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</si>
  <si>
    <t xml:space="preserve">Other</t>
  </si>
  <si>
    <t xml:space="preserve">This grant funds multidisciplinary legal and scientific research on food law, regulatory frameworks (Novel Foods, New Genomic Techniques), and policy challenges related to food innovation, with no substantive funded activities in any of the technical alternative protein research categories.</t>
  </si>
  <si>
    <t xml:space="preserve">EU Bonus credit type B2c for EU PF7 project with start date 6/6/2012: EPINET</t>
  </si>
  <si>
    <t xml:space="preserve">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 KEYWORDS: Interdisciplinary Study of the Law,Meta-Law</t>
  </si>
  <si>
    <t xml:space="preserve">Impact assessments</t>
  </si>
  <si>
    <t xml:space="preserve">This grant funds development of a meta-level framework for integrating technology assessment (TA) methodologies across sociotechnical innovation fields, using synthetic meat as one of four case studies for conceptual/philosophical investigation rather than funding any substantive alternative protein research activity.</t>
  </si>
  <si>
    <t xml:space="preserve">Utilising food waste as a feedstock for cultivated meat.</t>
  </si>
  <si>
    <t xml:space="preserve">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</si>
  <si>
    <t xml:space="preserve">The grant title indicates research on using food waste as a feedstock for cultivated meat, which most directly maps to cell culture media formulation (identifying and validating alternative, low-cost nutrient sources from food waste streams to replace conventional media components), though the abstract is uninformative beyond indicating doctoral training funding.</t>
  </si>
  <si>
    <t xml:space="preserve">InvestMEAT</t>
  </si>
  <si>
    <t xml:space="preserve">The investMEAT project is researching cell lines, cultured media, and biomaterials in order to scale up cultivated meat production to an industrial level. The funding will be provided through ICEX’s R&amp;D program Innova Invest. </t>
  </si>
  <si>
    <t xml:space="preserve">Cell line development, Cell culture media</t>
  </si>
  <si>
    <t xml:space="preserve">Cell line development, Cell culture media, Scaffolding</t>
  </si>
  <si>
    <t xml:space="preserve">The grant explicitly funds research into cell lines (cell line development), cultured media (cell culture media), and biomaterials (scaffolding) to scale up cultivated meat production, with no other categories substantively funded.</t>
  </si>
  <si>
    <t xml:space="preserve">Feed for Meat</t>
  </si>
  <si>
    <t xml:space="preserve">In the Feed for Meat project, three companies, with close involvement from knowledge institutions, intend to collaborate intensively and focus on developing a sustainable, cost-efficient breeding ground for the various phases of cultured meat production.
For many, cultured meat could be a good alternative. Cultured meat is meat that is biologically produced in the same way as traditional meat. However, the process takes place outside the animal under controlled conditions. A major advantage of cultured meat compared to traditional meat is its lower environmental impact. Compared to plant-based alternatives, cultured meat meets nutritional needs much better, for example in the areas of protein quality, vitamins and trace elements.</t>
  </si>
  <si>
    <t xml:space="preserve">cross-cutting</t>
  </si>
  <si>
    <t xml:space="preserve">The grant explicitly focuses on developing a 'sustainable, cost-efficient breeding ground for the various phases of cultured meat production,' which directly indicates cell culture media formulation and optimisation as the core funded research activity; environmental and nutritional benefits are mentioned only as background motivation.</t>
  </si>
  <si>
    <t xml:space="preserve">Abstract contains almost no information… LLM doing it’s best. I think it’s fine to leave as is but realistically, this grant likely covers almost all technical aspects of CM.</t>
  </si>
  <si>
    <t xml:space="preserve">Characterisation of BiologIC’s 3D printed biocomputer platform for advanced therapies, cellular agriculture and diagnostics</t>
  </si>
  <si>
    <t xml:space="preserve">BiologIC Technologies is developing the first world's biocomputer leveraging foundational IP and the latest additive manufacturing (3D printing) technologies. The first generation of the biocomputer is being developed to advance applications in diagnostics, advanced therapies, new vaccines and cultured meat and is designed to power the next generation of synthetic biology at scale. We use 3D printing as the fabrication process of the biocomputer platform. Multi-material 3D printing enables digital blending of materials (polymers and elastomers) that lets us produce a single system that integrates fluidics, electronics, optics and pneumatics into a single system. One of the challenges in bringing these systems to regulated markets such as manufacturing of advanced therapies is controlling the materials. BiologIC has developed proprietary knowhow regarding biocompatibility of the 3D printed system across each layer of its technology. Previous work has shown that BiologIC's post-processing methodologies can efficiently increase the biocompatibility of the 3D printed systems enabling molecular and cellular biology applications although further optimisation is desirable. By collaborating with external expertise through this project BiologIC will characterise the 3D printed components necessary for the further development of the biocomputer platform that will enable a paradigm shift in the production of synthetic biology, advanced therapies and diagnostics.</t>
  </si>
  <si>
    <t xml:space="preserve">Bioprocess design</t>
  </si>
  <si>
    <t xml:space="preserve">The grant funds characterisation and optimisation of a 3D-printed biocomputer platform integrating fluidics, electronics, optics and pneumatics for cell culture applications, which falls squarely within bioprocess design (bioreactor/process engineering innovations); cultivated meat is one of the target applications but no other research categories are substantively funded.</t>
  </si>
  <si>
    <t xml:space="preserve">Sustainable bioprinting techniques to make protein-rich cultivated meat</t>
  </si>
  <si>
    <t xml:space="preserve">Bioprocess design, Scaffolding, End product formulation</t>
  </si>
  <si>
    <t xml:space="preserve">The grant focuses on bioprinting techniques (Bioprocess design and Scaffolding) using natural food ingredients and recombinant proteins to create edible scaffolds and muscle fiber structures, and on formulating whole beef cuts with defined protein composition and texture (End product formulation).</t>
  </si>
  <si>
    <t xml:space="preserve">Bioprinting is not bioprocess design, it’s just scaffolding.</t>
  </si>
  <si>
    <t xml:space="preserve">Choosing sustainable meat? Understanding and fostering consumer adoption of alternative meat</t>
  </si>
  <si>
    <t xml:space="preserve">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</si>
  <si>
    <t xml:space="preserve">Consumer &amp; market research</t>
  </si>
  <si>
    <t xml:space="preserve">The grant funds consumer behaviour research including focus groups, willingness-to-pay experiments, eco-label and framing interventions, and field experiments on menu defaults — all squarely within consumer &amp; market research; all other categories appear only as background context or motivation.</t>
  </si>
  <si>
    <t xml:space="preserve">Bioengineering Sustainable Microgel Particles and Multiscale Characterization of Material Properties</t>
  </si>
  <si>
    <t xml:space="preserve">Microgel particles are deformable functional soft materials made by crosslinking polymers in a solvent with sizes of these particles ranging from hundreds of nanometers to several micrometers. Microgels have a wide range of industrial applications, such as emulsion and foam stabilization, drug delivery, biosensing and they also serve as lubricants, switchable materials, diagnostics, viscosity modifiers, cell substrates etc. Although advances in synthesis, experimental and simulation methodologies have clarified design principles and put microgels at the forefront of soft matter research, little focus has been placed in designing sustainable microgels using plant-based materials. Designing microgels with plant proteins is challenging because of their poor aqueous solubility arising from the complex quaternary structure, and their strong tendency for self-aggregation and association with other metabolites such as polyphenols in the natural state. In this interdisciplinary PhD project involving academics from Food Colloids, Nutrition, Biophysics, Theoretical Physics and Collaborators from Oatly, we aim to design new plant-based sustainable microgel and create new fundamental understanding of the relationship between structural features and mechanical properties relevant to industrial processing as well as oral processing in the mouth. The student will create novel sustainable microgels using oat protein polysaccharides and ions using an array of biotechnological and physical approaches. In addition to experimental work on structure-property relationship at macro-to-nanoscale combining multiple techniques (e.g. light scattering, SAXS, SANS, confocal and electron microscopy imaging, rheology, tribology, Rheo-SANS), coarse grain modelling of microgels at single particle level as well as microgel-microgel interaction levels will be carried out to provide a predictive theoretical indication of bulk properties. There will be also an interesting opportunity for the student to also do a placement at Sweden in the R&amp;D facility.</t>
  </si>
  <si>
    <t xml:space="preserve">This grant focuses on designing plant-based (oat protein/polysaccharide) microgel particles and characterising their structural and mechanical properties using experimental and computational methods, which does not fit any of the specific alternative protein research categories but falls under broader materials science/food colloids research classified as Other.</t>
  </si>
  <si>
    <t xml:space="preserve">This should be PB, not CM. </t>
  </si>
  <si>
    <t xml:space="preserve">Collaborative project: Modern stimulation methods for the differentiation of adult stem cells into functional tissue for the production of cell-based meat products for the food sector (MOSTIME) - Subproject B</t>
  </si>
  <si>
    <t xml:space="preserve">Investigations into the influence of applied and possibly novel technological and biotechnological processes, market structure and legal framework conditions on the production chain and the quality of food and feed</t>
  </si>
  <si>
    <t xml:space="preserve">Cell line development</t>
  </si>
  <si>
    <t xml:space="preserve">Bioprocess design, Other</t>
  </si>
  <si>
    <t xml:space="preserve">The title references stimulation methods for stem cell differentiation (bioprocess design), while the abstract broadly covers technological/biotechnological processes, market structure, and legal frameworks, suggesting bioprocess design research alongside other activities (market/legal analysis) that fall under Other; no substantive evidence for the remaining categories.</t>
  </si>
  <si>
    <t xml:space="preserve">Stimulation of differentiation is either bioprocess or cell culture media (not cell line development unless the cells are engineered / selected)</t>
  </si>
  <si>
    <t xml:space="preserve">BiochAIn - BiochAIn is a software project for optimizing an entire biotechnological process chain using AI</t>
  </si>
  <si>
    <t xml:space="preserve">Biotechnological production processes are widely used in the pharmaceutical industry, for the production of fine chemicals, in environmental technology and in the food industry and generate high added value. Due to the high complexity of these processes, due to the complex interaction of biology and process engineering, in many cases there is only a very limited understanding of the process. This in turn leads to inefficient and therefore expensive processes, limits the possibilities for process optimization and is also a key reason why the enormous progress in the area of digitalization, artificial intelligence methods and modeling/simulation has not been made available to the extent necessary for the design and Management of bioprocesses can be used. As part of the planned project, a generic software toolbox is to be developed to make the aforementioned advances in the field of digitalization accessible to experts in the domain of bioprocess technology and to enable implementation of digitalization in accordance with Industry 4.0 in biomanufacturing. With the BiochAIn project, Novasign has set itself the goal of developing the world's first digital process modeling toolbox for the optimization of all biotechnologically relevant process steps. This software suite is intended to make it possible for the first time for biotechnologists and bioprocess engineers to use a user-centered graphical user interface to manage all individual steps of the process chain, both individually and as a whole, with the help of models and simulation, independently of highly specialized software developers and Data scientists can optimize. The software will also enable process engineers across departments to optimize manufacturing processes for products (e.g. an antibody for cancer therapy) in an integrative approach in order to make life-saving medicine available to patients earlier and more cheaply. The software development will be divided into 4 blocks and should take place over a period of 4 years. In the first step, a suitable software architecture must be defined which, on the one hand, can overcome all technical challenges and, on the other hand, is easy to use for users. In a data preprocessing/visualization block, online data (process system) and offline data (measurements) are preprocessed using methods of statistical data preparation and analysis, linked and thus prepared for visualization and modeling. The modeling block is set up in such a way that a wide variety of state-of-the-art machine learning (ML) methods are implemented and the most suitable method can be used to model different bioprocess steps. In the final step, the digital twin, each of the model blocks can be optimized individually or linked to other units using drag-and-drop to form a process chain according to a specific target (e.g. highest possible product yield or shorter process duration) and for which online monitoring can be applied. In order to provide users with the best possible support, the software will have a self-learning function (artificial intelligence), which makes it possible to optimize each individual process step as well as the entire process chain quickly, specifically and automatically along a workflow. In addition to the biopharmaceutical industry, the software will also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</si>
  <si>
    <t xml:space="preserve">The grant funds development of an AI-powered digital process modeling software toolbox for optimizing bioprocess chains (Bioprocess design: TRUE), with cultivated meat and precision fermentation mentioned only as example application domains; the software architecture, ML modeling, digital twin, and workflow automation components are general-purpose tools that also constitute an 'Other' category contribution (software/platform development not fitting neatly into the specific alt-protein research categories).</t>
  </si>
  <si>
    <t xml:space="preserve">New strategies for sustainable cellular fish production</t>
  </si>
  <si>
    <t xml:space="preserve">To this end, CleanFish aims to revolutionize traditional processes for obtaining fish-based food products, using cellular agriculture strategies based on 3 innovative factors: 1. In vitro production of fish muscle/adipose tissue through electrical stimulation and delivery of key molecules CleanFish adopts a new approach to the differentiation of fish cells into muscle tissue, exploiting the effect of electrical stimulation to enhance their formation. In addition, previous studies indicate that certain key molecules (e.g. vitamins and specific ions) can stimulate the production of fat and collagen. Thus, bioinks and scaffolds will be manufactured with conductive biomolecules or materials obtained from plants and algae, rich in these key molecules. 2. Production of edible materials by combining algae and fish cells Fish meat produced by cellular agriculture and in the body of a fish are biologically identical. The nutritional and sensory properties of fish meat of animal origin result from the bioaccumulation of compounds, such as long-chain polyunsaturated β3 fatty acids, obtained from consumed algae. CleanFish explores the revolutionary idea of ​​co-culturing and/or bioprinting fish cells and microalgae to improve the organoleptic properties of fish products obtained from cell culture. The co-culture of autotrophic and heterotrophic species can mitigate GHG emissions and contribute to the development of more sustainable and nutritious food products. 3. 3D bioprinting of fish tissue and optimizing the consumer experience CleanFish will produce the adipose and muscle sections of fish tissue using bioprinting techniques, allowing a precise deposition of the different components recreating, with a high level of detail, the texture of a fish fillet, building on the existing knowledge of iBB/IST-ID. The aligned electroconductive fiber meshes composed of edible proteins will be combined with 3D bioprinted fish cells in order to complement the biological, nutritional and organoleptic properties of the obtained tissues. </t>
  </si>
  <si>
    <t xml:space="preserve">Cell line development, End product formulation</t>
  </si>
  <si>
    <t xml:space="preserve">The grant funds bioprocess design (electrical stimulation, co-culture systems), scaffolding (bioinks, conductive biomaterials, algae-derived scaffolds, 3D bioprinting), and end product formulation (recreating fish fillet texture, organoleptic and nutritional properties of finished fish tissue products).</t>
  </si>
  <si>
    <t xml:space="preserve">As with publications, cell line development is only engineering of cells. Things like electrical stimulation to improve differentiation is bioprocess design.</t>
  </si>
  <si>
    <t xml:space="preserve">Machine-learned Design and Bioxolography of Functional 3D Skeletal Muscle Tissues</t>
  </si>
  <si>
    <t xml:space="preserve">Background. Engineered 3D skeletal muscle tissue (SMT) is an important tool to study muscle physiology and disease. SMT engineering has applications in regenerative medicine, in vitro drug screening, bio-hybrid robotics, and cultured meat. However, state-of-the-art engineered muscle tissue does not effectively mimic the cellular heterogeneity, architecture, and performance of biological muscle. To address this, researchers are developing techniques to bioprint, differentiate, and mature functional muscle architectures. Machine Learning (ML) approaches could streamline SMT design by rapidly exploring the ideal conditions for muscle biofabrication, computationally capturing the complex interplay between biofabrication parameters (bioprinting, differentiation, and mechanical and electrical maturation), and the resulting functionality of the contractile SMT.Objectives. This project consists of four key objectives: (1) Adaptation of xolography1 to muscle bioprinting. We will develop the bioxolography technique to fabricate highly aligned and anisotropic cell-laden hydrogels without constraints on the achievable shapes. (2) Biofabrication and differentiation of 3D heterocellular muscle constructs. We will develop a protocol to bioprint, culture, and differentiate arrays of muscle bundles which contain multiple cell types, thereby mimicking the natural muscle. (3) Maturation and characterization of engineered muscle tissues. We will mechanically stimulate our engineered muscle tissues for maturation and characterize their cellular morphology and contractile performance. (4) Development of an ML pipeline to guide the biofabrication and design of muscle actuators. Finally, we will develop an ML pipeline which maps biofabrication and tissue engineering parameters to performance metrics of engineered muscle (structure and function), leveraging a differentiable simulation approach originally developed to model soft material and actuator deformation in soft robotics. We will demonstrate proof-of-concept of this model by designing a centimeter-scale asymmetric, antagonistically actuated skeletal muscle construct.Methods. (1) We will print highly aligned, multinucleated and large (2 to 3-cm-long) bundles of muscle fibers by developing bioxolography: a linear volumetric bioprinting process (LVBP), realized by designing new photoresins and photoinitiators for previously established xolographic printing. (2) Primary murine myoblasts will be co-printed with fibro-adipogenic progenitors (FAPs), and cell culture will be optimized to promote myogenesis, myogenic cell differentiation, and tissue maturation in three dimensional tissue. (3) Muscle tissue will be mechanically stimulated under varying conditions, and characterized for structure and response to electrical stimulation. In a further iteration, we will also characterize muscle tissue co-cultured with optogenetically modified motor neurons to realize a light-controllable innervation system for remote neural actuation of muscle tissue. (4) We will create an in-silico-to-in-vitro platform to optimize muscle design by using ML and our differentiable finite element method (FEM) to map biofabrication parameters to SMT’s contractility. Expected results and impact. This project will accelerate and improve the design and fabrication of functional SMTs by providing an in-silico-to-in-vitro platform for 3D muscle construct design. Our work will provide insights into biofabrication, soft materials, 3D cell culture techniques, hetero-cellular models, bio-hybrid technologies, robotic design, and biophysical cell stimulation. We anticipate multidisciplinary advancements in tissue engineering, muscle physiopathology, 3D bioprinting, the development of new therapeutics, biological machine learning, bio-hybrid robotics, and engineering with living materials.</t>
  </si>
  <si>
    <t xml:space="preserve">Bioprocess design, Scaffolding, Other</t>
  </si>
  <si>
    <t xml:space="preserve">Bioprocess design, Scaffolding</t>
  </si>
  <si>
    <t xml:space="preserve">The grant funds bioxolography/3D bioprinting scaffold development and biofabrication of cell-laden hydrogels (Scaffolding), mechanical and electrical stimulation protocols and ML-guided bioprocess optimization (Bioprocess design), while cultured meat is only briefly mentioned as a downstream application context; the ML pipeline and bio-hybrid robotics aspects fall under Other as they do not fit the remaining categories.</t>
  </si>
  <si>
    <t xml:space="preserve">The University of Edinburgh and Roslin Technologies Limited KTP 23_24 R5</t>
  </si>
  <si>
    <t xml:space="preserve">To create cultivated meat product prototypes (pâté and haggis) via scalable transformation of animal pluripotent stem cells to liver tissue.</t>
  </si>
  <si>
    <t xml:space="preserve">End product formulation</t>
  </si>
  <si>
    <t xml:space="preserve">The grant focuses on creating cultivated meat product prototypes (pâté and haggis) from pluripotent stem cells differentiated into liver tissue, which is primarily end product formulation; the differentiation process is a means to the product rather than a standalone cell line development or bioprocess design activity given the abstract's emphasis on prototype creation.</t>
  </si>
  <si>
    <t xml:space="preserve">Abstract is limited. LLM decision fine based on the abstract.</t>
  </si>
  <si>
    <t xml:space="preserve">EPINET: Epistemic networks</t>
  </si>
  <si>
    <t xml:space="preserve">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t>
  </si>
  <si>
    <t xml:space="preserve">This grant focuses on developing a meta-level framework for integrating technology assessment (TA) methodologies and practices, using synthetic meat as one of four illustrative case studies rather than conducting any substantive alternative protein research; it falls under philosophical/policy/methodological research that does not fit any of the specific alternative protein categories.</t>
  </si>
  <si>
    <t xml:space="preserve">Food4Cells Sustainable cell culture media for cultivated meat</t>
  </si>
  <si>
    <t xml:space="preserve">The main objective of the project is to develop sustainable cell culture media for cultivated meat based on Norwegian plant-based ingredients. 
The sub-goals are: 
Identify, isolate, and characterise sustainable, cost-effective, and suitable Norwegian plant-based ingredients. 
Test and verify the ingredients in cell culture media and map essential nutrients. 
Confirm whether the selected ingredients for use in cell culture media work in scalable cultivation formats. 
Assess the environmental impact and estimate the economic viability of the cell culture media through life cycle analyses (LCA)</t>
  </si>
  <si>
    <t xml:space="preserve">The grant funds development and validation of plant-based cell culture media components (Cell culture media: TRUE) and explicitly includes LCA and techno-economic viability assessment of the media (Impact assessments: TRUE); all other categories are not substantively funded research activities.</t>
  </si>
  <si>
    <t xml:space="preserve">PRIME - Protein Recombination Improvement through Multidisciplinary Engineering</t>
  </si>
  <si>
    <t xml:space="preserve">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</si>
  <si>
    <t xml:space="preserve">The grant's core funded activity is developing a platform technology (PRIME) to produce costly growth media ingredients at low cost, directly addressing cell culture media formulation challenges for cultivated meat; other areas (cell lines, bioprocessing, scaffolds) are mentioned only as background context.</t>
  </si>
  <si>
    <t xml:space="preserve">3D printed next-generation synthetic biology hardware for sustainable food production and reduction of climate change</t>
  </si>
  <si>
    <t xml:space="preserve">Humanity today faces three enormous challenges. The first is feeding 9.8 billion people by 2050\. The second is mitigating climate change. The third is mitigating the existential threat of zoonotic diseases such as COVID19\. COVID19 has significantly disrupted organisations that are working to solve such challenges. However, the recovery from COVID19 brings a once in a generation opportunity to accelerate solutions that were already in motion. The potential for beneficial economic and social impact is enormous. According to a May 2020 report from McKinsey Global Institute, as much as 60 percent of the physical inputs to the global economy could, in principle, be produced biologically. Around one-third of these inputs are biological materials, including animals bred for food. Improving food production methods will help us address the biggest challenges of our time. One of the most promising new innovations is cultivated meat. By cultivating only the desired meat directly from cells, rather than growing animals with all of their associated overhead, we can produce meat with fewer resources and significantly less environmental impact. For instance, compared with conventional beef which is one of the largest contributors to climate change, cultivated beef is estimated to reduce climate change emissions by 74%--87%. The main challenges for making cultivated meat affordable for mass markets are the advancement of synthetic biology research, scaling up production and reducing ingredient costs. These challenges are poorly served by classical approaches and require a new generation of powerful new biological hardware. BiologIC Technologies (Cambridge UK) is developing the next-generation of life science automation fabricated from, and exploiting, the digital benefits of 3D-printing. BiologIC's pioneering and highly integrated digital hardware architectures allow the creation of powerful and affordable 3D-printed bio-processing units ("BPUs"). These BPUs allow rapid development and execution of novel, high-value and high-volume biological workflows. The project will reinstate development that was disrupted by COVID19 and result in a highly innovative solution for synthetic biology food production, reducing the likelihood of new pandemics and increasing the resilience and localisation of a next-generation sustainable food supply chain that reduces a major cause of climate change.</t>
  </si>
  <si>
    <t xml:space="preserve">The grant funds development of 3D-printed bioprocessing units (BPUs) for biological workflows, which is squarely bioprocess design; climate change, pandemic resilience, and food security are cited as motivations rather than funded research activities.</t>
  </si>
  <si>
    <t xml:space="preserve">Consortium for developing global standards for cultured meat safety testing</t>
  </si>
  <si>
    <t xml:space="preserve">The new project will bring stakeholders together from across the sector to develop safety testing methods that enhance the regulatory assessment of cultivated meat and advance the development of global standards.
The research could remove a significant barrier to the successful commercialisation of meat grown from animal cells by developing safe, affordable, and animal-free feedstock for its production. 
This consortium of leading stakeholders will develop and substantiate safety testing methods for cell culture media ingredients, generate datasets, assess the feasibility of applying these methods to other cultivated meat inputs and initiate industry-wide standards.
Stakeholder engagement, publication in open-access journals, and dissemination by respected parties, such as the British Standards Institution and New Harvest, will support industry uptake and validation of the new methods.</t>
  </si>
  <si>
    <t xml:space="preserve">Food safety &amp; quality</t>
  </si>
  <si>
    <t xml:space="preserve">Food safety &amp; quality, Other</t>
  </si>
  <si>
    <t xml:space="preserve">The grant funds development and substantiation of safety testing methods for cell culture media ingredients and other cultivated meat inputs (Food safety &amp; quality: TRUE), and also involves stakeholder engagement and initiation of industry-wide standards, which falls under Other (regulatory/standards development); cell culture media is only the subject of safety testing, not formulation or optimisation research.</t>
  </si>
  <si>
    <t xml:space="preserve">SUSTAINER: Sustainable production of structural proteins for medical and nutritional applications</t>
  </si>
  <si>
    <t xml:space="preserve">Biomaterials are materials engineered to interact with cells for medical or nutritional applications. Current biomaterials are mainly made from animal-derived proteins, limiting their customizability and raising environmental, health and cultural concerns. This project brings together synthetic biologists, materials scientists and companies active in food and biomedical technology with the aim to generate microbial cell factories based on yeast capable of the sustainable, low CO2-footprint production of natural and engineered structural proteins. We will use the proteins to engineer biomaterials enhanced with cell-instructive cues and test them as cell scaffolds for soft tissue repair and cell-based meat production.</t>
  </si>
  <si>
    <t xml:space="preserve">Scaffolding, Other</t>
  </si>
  <si>
    <t xml:space="preserve">The grant funds development of yeast-based microbial cell factories to produce structural proteins (Other: fermentation/synthetic biology platform development) and engineering of these proteins into biomaterials tested as cell scaffolds for cultivated meat production (Scaffolding: TRUE); no other categories represent substantive funded research activities.</t>
  </si>
  <si>
    <t xml:space="preserve">Fostering European cellular Agriculture for Sustainable Transition Solutions (FEASTS)</t>
  </si>
  <si>
    <t xml:space="preserve">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</si>
  <si>
    <t xml:space="preserve">Consumer &amp; market research, Impact assessments, Other</t>
  </si>
  <si>
    <t xml:space="preserve">Consumer &amp; market research, Impact assessments</t>
  </si>
  <si>
    <t xml:space="preserve">FEASTS is primarily a sustainability assessment and food systems think-tank project, with core funded activities including LCA, TEA, and SLCA (Impact assessments), multistakeholder engagement and co-creation exploring consumer and societal dimensions (Consumer &amp; market research), and broader policy/ethical/food systems research (Other); no laboratory or product development activities are funded.</t>
  </si>
  <si>
    <t xml:space="preserve">Cleaner, Healthier and Animal-Friendly Meat</t>
  </si>
  <si>
    <t xml:space="preserve">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</si>
  <si>
    <t xml:space="preserve">The grant focuses on upscaling cultivated meat production using stem cells, with the primary funded activity being bioprocess scale-up; environmental and sustainability benefits are cited as motivation rather than funded research activities, and no other specific research categories are explicitly funded.</t>
  </si>
  <si>
    <t xml:space="preserve">FAB4FUTURE</t>
  </si>
  <si>
    <t xml:space="preserve">To feed a growing and aging world population and keep it healthy without being at the expense of the planet, realistic lab-made tissues are indispensable. However, current production methods are still too slow and too expensive and do not always lead to the desired properties. FAB4FUTURE combines artificial intelligence with knowledge and methods from the medical and food production sectors in a 'toolbox' for the scalable and configurable production of living material. Moroni and his team demonstrate their methods in three-dimensional heart models for cardiovascular disease research and in cultured meat with the same taste, texture and nutritional value as real meat.</t>
  </si>
  <si>
    <t xml:space="preserve">The grant funds development of a scalable AI-assisted toolbox for producing 3D living tissues, encompassing bioprocess/production engineering, 3D scaffold/bioprinting methods, and end product formulation (taste, texture, nutritional value) for cultured meat, with no substantive funded activities in cell line development, media, safety, health, consumer research, or impact assessment.</t>
  </si>
  <si>
    <t xml:space="preserve">Good labels based on limited abstract.</t>
  </si>
  <si>
    <t xml:space="preserve">Development of edible hollow fibre bioreactor for cultivated meat production</t>
  </si>
  <si>
    <t xml:space="preserve">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</si>
  <si>
    <t xml:space="preserve">The grant funds development of an edible hollow fibre membrane (HFM) bioreactor system, which is a novel bioreactor architecture (Bioprocess design) using edible food-grade hollow fibres that form part of the final product structure (Scaffolding); environmental and economic benefits are mentioned only as motivation, and no other categories represent substantive funded research activities.</t>
  </si>
  <si>
    <t xml:space="preserve">Engineered Protein Polymers for Industrial Cell Culture (EPPICC)</t>
  </si>
  <si>
    <t xml:space="preserve"> Worldwide, human consumption of meat is approximately 450 million tonnes per year and is increasing by 1% annually. This habit is fuelling the climate crisis, as meat production is responsible for 57% of all food related greenhouse gas emissions. To provide an authentic meat experience in an environmentally friendly manner, businesses are developing cultivated meat, using animal cells grown in bioreactors and formed into meat products.
 However, to achieve the quantities necessary, cells must be grown on a hitherto unimaginable industrial scale. To ensure the healthy growth of the cells, they need the correct biological cues - a matrix to adhere to and signalling molecules called growth factors. Currently, production of these individual components is complicated, expensive and difficult to scale. These components vastly increase the cost of cultivated meat production, rendering it far more expensive than traditional meat.
 Our radical solution uses an engineered protein called Caf1, which we produce in large quantities using bacteria. Caf1 forms modular, inert polymers which can be modified by the insertion of small fragments of either growth or adhesion factors. This supplies the need for growth factors and a matrix in a single cost-effective product. Caf1 is inexpensive to produce, robust, easy-to-use and requires no animal products.
 In this project we will demonstrate that Caf1 can be produced at large-scale and validate the functionality of several key variants. If successful we will have demonstrated that our technology can remove a major blockage holding back the development of the cultivated meat sector.
 These same materials could be used to produce cells for therapy, but to do so our Caf1 products must meet stringent regulatory requirements. As a first step to investigate the use of the technology for clinical cell therapy applications we will review the regulatory requirements which Caf1 based products must meet before they can be used in clinical cell therapy manufacture.
 By the end of this 12-month project, we will have established the evidence that shows that Caf1 is a hugely disruptive technology which will have a profound impact on people's lives and the health of the planet.</t>
  </si>
  <si>
    <t xml:space="preserve">The grant primarily funds development and validation of Caf1 engineered protein polymers as a combined scaffold/growth factor matrix for cell adherence and signalling (Scaffolding), with a secondary regulatory review activity for clinical cell therapy applications (Other); environmental motivations and downstream product applications are mentioned only as context.</t>
  </si>
  <si>
    <t xml:space="preserve">Characterising BiologIC’s disruptive bioprocessing platform for synthetic biology including therapies, foods and diagnostics</t>
  </si>
  <si>
    <t xml:space="preserve"> Humanity faces three enormous challenges: feeding 9.8 billion people by 2050, mitigating climate change and eliminating the existential threat of diseases including zoonotic pandemics.
 BiologIC is developing the world's first biocomputer. BiologIC's ambition is to build a world leading UK biocomputing industry to unleash the full potential of synthetic biology. BiologIC's technology aims to revolutionise bioprocessing in the way the integrated circuit revolutionised information processing. The outcome would be a paradigm shift in the detection and mitigation of diseases, the production of foods, the development of new biofuels and biomaterials and DNA data processing.
 BiologIC's breakthrough digital hardware architectures use multi-material 3D-printing to fabricate fluidics, electronics, thermals, optics and pneumatic circuits into integrated bioprocessors. These bioprocessors are assembled within biocomputing devices that increase the processing power of synthetic biology. The devices also incorporate a dense network of biosensors, such as pH and dissolved oxygen, generating rich data to drive adaptive workflows.
 Products are being developed to advance applications in research, diagnostics, therapies such as new vaccines, cultured meat and biofuels and are designed to power the next generation of synthetic biology at scale.
 The scope of work is to couple the performance of the bioprocesses with appropriate analytes and metrics to help monitor the quality of the biologic produced or detected under defined operating conditions. Establishing relations between the process and product would require bespoke, non-trivial analysis, possibly using different and complementary measurements.
 The analysis will investigate and validate the feasibility of BiologIC's architectures and support development of high-throughput bioprocessing systems. In the longer term, this work is expected to underpin a scheme for continuous monitoring of product quality, leading to next generations of our 3D-printed devices.</t>
  </si>
  <si>
    <t xml:space="preserve">The grant funds development and validation of a novel 3D-printed bioprocessing hardware platform with integrated biosensors and monitoring systems for bioprocess quality control, which falls squarely under Bioprocess design; cultured meat is listed as one application but the core funded research is bioreactor/bioprocessor architecture and process-product monitoring, not any other category.</t>
  </si>
  <si>
    <t xml:space="preserve">This New Meat</t>
  </si>
  <si>
    <t xml:space="preserve">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</si>
  <si>
    <t xml:space="preserve">Consumer &amp; market research, Other</t>
  </si>
  <si>
    <t xml:space="preserve">The grant funds stakeholder attitude research and dialogue facilitation around cultured meat in Sweden (Consumer &amp; market research), and also involves broad review, prototype development as a communication tool, and policy dialogue activities that fall under Other; no substantive scientific research activities in production, safety, or impact assessment are funded.</t>
  </si>
  <si>
    <t xml:space="preserve">Tailor-made cultivation of stem cells for meat</t>
  </si>
  <si>
    <t xml:space="preserve">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</si>
  <si>
    <t xml:space="preserve">Cell line development, Scaffolding, Consumer &amp; market research, Impact assessments</t>
  </si>
  <si>
    <t xml:space="preserve">The grant funds active comparison and enhancement of proliferation/differentiation capacity across three cell types (cell line development), design and testing of food-grade smart matrices for 3D muscle structure (scaffolding), assessment of public acceptance and consumer attitudes (consumer &amp; market research), and sustainability impact assessment (impact assessments).</t>
  </si>
  <si>
    <t xml:space="preserve">To create cultivated meat product prototypes (pâté and haggis) via scalable transformation of animal pluripotent stem cells to liver tissue</t>
  </si>
  <si>
    <t xml:space="preserve">Cell line development, Bioprocess design, End product formulation</t>
  </si>
  <si>
    <t xml:space="preserve">The grant funds differentiation of pluripotent stem cells into liver tissue (cell line development/directed differentiation), scalable transformation processes (bioprocess design), and creation of finished product prototypes such as pâté and haggis (end product formulation).</t>
  </si>
  <si>
    <t xml:space="preserve">Industrialization and commercialization of a competitive, sustainable, and consumer oriented alternative animal protein source (Meat4All)</t>
  </si>
  <si>
    <t xml:space="preserve">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 Maintain large nutritional value for large scale produced quantities • 100% animal free origin culture media • Maintain Health claims up to the final processed products • &gt;80% bioreactor yields to keep prices within the acceptable level • 100% traceable Non-GMO animal cells • Meat4All will produce cultured meat in a raw format to be processed into consumer products as sausages or cold cuts. The average target selling price will be 6 €/kg in 2023 • Create markets leaders • Perform consumer product trials (tasting) aimed at ascertaining and predicting market and consumer demand.</t>
  </si>
  <si>
    <t xml:space="preserve">Cell culture media, Bioprocess design, End product formulation, Food safety &amp; quality, Consumer &amp; market research</t>
  </si>
  <si>
    <t xml:space="preserve">The grant funds: scale-up of bioreactor production (Bioprocess design), development of 100% animal-free culture media with peptone-based supplements (Cell culture media), formulation of consumer products like sausages and cold cuts (End product formulation), safety assessment tests (Food safety &amp; quality), and consumer product trials/tasting to assess market demand (Consumer &amp; market research); environmental and health benefits are mentioned only as motivation.</t>
  </si>
  <si>
    <t xml:space="preserve">SEANERGIES: Cell-cultured octopus production through sustainable marine biomass valorization</t>
  </si>
  <si>
    <t xml:space="preserve">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</si>
  <si>
    <t xml:space="preserve">Cell line development, Cell culture media, Bioprocess design, Scaffolding, Impact assessments, Other</t>
  </si>
  <si>
    <t xml:space="preserve">Cell line development, Cell culture media, Bioprocess design, Scaffolding, Impact assessments</t>
  </si>
  <si>
    <t xml:space="preserve">The grant explicitly funds: cell line establishment and immortalization for octopus muscle cells (WP2, WP3); animal-free microalgae-derived culture media development (WP4); seaweed-based biocompatible scaffold development (WP5); preliminary bioprocess design and techno-economic analysis (WP6); and social impact assessment of cultivated octopus on stakeholders (WP7), with WP8 covering dissemination/engagement activities classified as Other.</t>
  </si>
  <si>
    <t xml:space="preserve">Co-designing just transition pathways to cellular agriculture in the UK</t>
  </si>
  <si>
    <t xml:space="preserve">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</si>
  <si>
    <t xml:space="preserve">Impact assessments, Other</t>
  </si>
  <si>
    <t xml:space="preserve">The grant funds a feasibility study and stakeholder engagement examining techno-economic challenges, value chains, circularity, and just transition pathways for on-farm cultivated meat production, which maps to impact assessments (TEA, supply chain, economic/social analysis) and other (policy/stakeholder/regulatory research); bioprocess design is mentioned only as a stakeholder engagement context, not as a funded R&amp;D activity.</t>
  </si>
  <si>
    <t xml:space="preserve">Tools and technologies for cultured meat production</t>
  </si>
  <si>
    <t xml:space="preserve">World meat consumption has tripled since 1970 and will increase a further 76% by 2050\. In the future, there will not be enough meat available for the world's population. This shortage will hit low-and-middle-income countries, where meat is an important but limited source of nutrient-dense protein, vitamins and minerals, especially hard. Over 80 billion animals are slaughtered annually for meat, the majority being factory-farmed. Increasing livestock production isn't the answer as this promotes climate change, environmental destruction and infectious disease spread. Livestock farming generates 15% of human-made greenhouse gas (GHG) and will contribute 0.5°C to global temperatures if continued. Cattle-ranching and animal-feed crops also account for most agricultural water use and 85% of rainforest clearance. Overcrowding and poor welfare standards help spread diseases, including swine and avian flu, and are major contributors to human food poisoning. Excessive livestock antibiotic use is fueling increases in antibiotic-resistant bacteria which render antibiotic medication useless: Alarmingly, antibiotic-resistant pathogens are forecast to cause greater mortality than cancer by 2050\. Cultivated meat (CM) grows animal cells in bioreactors to produce a product similar to conventional meat but without the need for any animal suffering. CM will also use fewer resources (energy, land and water) and produces less GHG, counteracting environmental issues. Since CM only requires a few cells from animals, it eliminates farming welfare issues and antibiotic use. CM, which appeals to consumers considerate of these issues, is undertaken in carefully controlled, sterile conditions vastly improving food safety. The global US$246.9Mn CM market is set to increase to $6.8Bn by 2030\. However, to achieve this forecast, this new approach needs to produce meat at a scale before it can then address future meat shortages. The first CM burger cost $330,000, demonstrating edible CM products are possible albeit at very high costs. The challenge is to make CM in large amounts, using a cost-effective and market-competitive process. Millions of tons of meat are consumed annually, so this will ultimately necessitate the development of massive (\&gt;10,000L) bioreactors capable of generating very high-density cell cultures. This requires cells capable of growing under demanding conditions and carefully balancing nutrients and cell-toxic by-products. These nutrients (such as growth factors) need to be cheap, well-characterised and perform consistently. This project combines the skills and capabilities of three UK universities and four UK companies developing livestock cell lines, recombinant protein technologies, hydrogels and bioreactor components to collaboratively develop technological solutions for CM production.</t>
  </si>
  <si>
    <t xml:space="preserve">Cell line development, Bioprocess design</t>
  </si>
  <si>
    <t xml:space="preserve">Cell line development, Cell culture media, Bioprocess design, Scaffolding</t>
  </si>
  <si>
    <t xml:space="preserve">The grant explicitly funds development of livestock cell lines (cell line development), recombinant protein technologies including growth factors (cell culture media), bioreactor components and scale-up (bioprocess design), and hydrogels (scaffolding), while environmental, food safety, consumer, and market considerations are mentioned only as background motivation.</t>
  </si>
  <si>
    <t xml:space="preserve">SEACUTERIE: Crafting cultivated seafood from ocean leftovers</t>
  </si>
  <si>
    <t xml:space="preserve">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</si>
  <si>
    <t xml:space="preserve">The grant's core funded research activity is developing and characterising seaweed-based biocompatible scaffolds for cultivated seafood production, which falls squarely under Scaffolding; all other categories (environmental impact, food safety of seaweed) are mentioned only as background motivation.</t>
  </si>
  <si>
    <t xml:space="preserve">Edible Scaffolds for Cultivated Meat Produced from Waste Derived from the Brewing Industry</t>
  </si>
  <si>
    <t xml:space="preserve">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</si>
  <si>
    <t xml:space="preserve">The grant explicitly funds development of edible scaffold materials from brewing industry waste for cultivated meat cell cultivation, which is squarely within scaffolding; all other categories are mentioned only as background context or motivation.</t>
  </si>
  <si>
    <t xml:space="preserve">Interdisciplinary research project on cultivated fish</t>
  </si>
  <si>
    <t xml:space="preserve">The research project is a joint project between BLUU Seafood, Reutlingen University and the University of Vechta. This brings together industrial research and commercial exploitation (BLUU Seafood), basic technological research (Reutlingen University) and basic social science research (Vechta University) in the project. The focus is on fat cells from salmon-like fish as a basis for foods rich in protein and omega-3 fatty acids. Prof. Dr. Nick Lin-Hi from the University of Vechta is responsible for the social science part of the project, which deals with the acceptance of in-vitro-produced fish foods and economic implementation opportunities. To this end, the professor of economics and ethics wants, among other things, to carry out an experimental study on the actual consumption behavior of cell-based fish. Data on willingness to pay should also be collected.</t>
  </si>
  <si>
    <t xml:space="preserve">The grant explicitly funds social science research on consumer acceptance, actual consumption behaviour, and willingness to pay for cell-based fish products, which falls squarely within Consumer &amp; market research; the mention of fat cells and omega-3 fatty acids appears to be background context for the broader project rather than a funded research activity described in this abstract.</t>
  </si>
  <si>
    <t xml:space="preserve">3D printing of edible biomimetic scaffolds for the engineering of animal muscle tissue</t>
  </si>
  <si>
    <t xml:space="preserve">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</si>
  <si>
    <t xml:space="preserve">The grant is focused on developing edible 3D-printed scaffolds and bioinks using edible polymers to support cell viability and tissue formation for cultivated meat, which is squarely within the Scaffolding category; consumer acceptance and environmental impacts are mentioned only as background motivation.</t>
  </si>
  <si>
    <t xml:space="preserve">Optimizing production of clean meat using stem cell technology and proteins extracted from animal waste (CleanMeat).</t>
  </si>
  <si>
    <t xml:space="preserve">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</si>
  <si>
    <t xml:space="preserve">The grant funds: (1) development of bovine embryonic stem cell lines for unlimited cell supply (Cell line development); (2) cheaper growth media using proteins from animal waste products like manure and hair, and growth factors from cultured cells (Cell culture media); (3) a 3D culture system scalable to large volumes (Bioprocess design); and (4) edible scaffolds suitable for scaling (Scaffolding).</t>
  </si>
  <si>
    <t xml:space="preserve">Levelling up: cultured meat bioprocess intensification for scalable commercial production</t>
  </si>
  <si>
    <t xml:space="preserve">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</si>
  <si>
    <t xml:space="preserve">Cell culture media, Bioprocess design, Food safety &amp; quality</t>
  </si>
  <si>
    <t xml:space="preserve">The grant funds media optimisation (Cell culture media), pilot-scale bioreactor scale-up and process intensification (Bioprocess design), and safety assessments to inform regulatory standards (Food safety &amp; quality); sustainability and environmental impact are mentioned only as motivation, and cell line development by Roslin Technologies is described as existing capability rather than a funded research activity in this project.</t>
  </si>
  <si>
    <t xml:space="preserve">Investigating social and educational interventions to reduce the disgust response to ingestion of insects and cultured meat</t>
  </si>
  <si>
    <t xml:space="preserve">Food-related emotions are understudied in psychology, especially the emotion of disgust which underpins food rejection. This project aims to introduce novel measures of food-related disgust and use them to investigate the effectiveness of social and educational interventions to increase consumption of novel insect-containing food and cultured meat. The context for this is the need to reduce demand for 'conventional meat' due to its contribution to climate change.
The studies included in this project will be based on a research design with certain common aspects. First, there will be conditions in which participants are invited to taste and consume food they believe contains insects or cultured meat.
Second, the disgust response will be measured in anticipation of, and during, food consumption. These measures will include liking and desire to eat judgements, amount of food consumed and implicit measures such as tactile sensitivity. Previous research has almost exclusively measured self-reported attitudes or acceptance of food which do not always reflect actual behaviour.
Third, studies will investigate the effectiveness of both educational and social interventions in overcoming disgust. Arguably, as disgust is a 'basic emotion' which leads to deep-rooted, visceral responses, top-down approaches based on rationality can be expected to have limited impact. Social interventions that appeal on an innate, deep-rooted level may, however, be more effective.
Unilever are developing insect-containing food products and have conducted preliminary research into this topic. They have extended an invitation for a 3-6 month placement within their R&amp;D centre in the Netherlands under the supervision of Professor Lisbeth Zandstra. Zandstra and her colleagues have recently used EEG to investigate neurophysiological responses during cooking of insect-containing dishes. As well as collaboration on specific methods this placement will offer the opportunity to gain an understanding of the objectives, impact and constraints of research conducted in a commercial setting.
An academic collaboration has been arranged with the LEAP project at the University of Oxford. There is an opportunity to use their simulated online supermarket to test the effect of messages (interventions) on decision making in a close to real-life context, rather than lab setting.
Food and disgust research interests and excites people. At least one public engagement event a year is planned. For example, Cargo Cantina, a local Bristol restaurant, are enthusiastic to work on public engagement and potentially extend the collaboration to use their facilities to implement studies.
Based on the research design and these collaborations the study plan is:
Studies 1&amp;2 (months 0-8). Explore the usefulness of the five novel implicit measures of disgust (listed previously).
Studies 3&amp;4 (months 8-17). Study 3 will make use of LEAP's online supermarket to test the effect of educational labels on food purchasing choices.
Study 5 (months 17-20/23). Unilever placement. Here the aim will be to develop and implement interventions based on Unilever's knowledge and current understanding of consumer attitudes and behaviour towards meat alternatives replacing conventional products.
Study 6 (months 20/23-31). Based on the findings accumulated over the research degree this study will assess the longevity of the disgust reduction resulting from interventions by including follow-up assessments.
Write-up (months 31-36).
Academic impact will lie in insight for emotion researchers to understand food-related emotions, specifically disgust, and how to reliably measure it. Societal impact will come from the creation of evidence-based interventions to increase acceptance of novel, more sustainable protein sources.</t>
  </si>
  <si>
    <t xml:space="preserve">The grant funds research into consumer disgust responses, behavioural interventions, and purchasing decisions related to insect-containing food and cultured meat, which falls under Consumer &amp; market research; the psychological/emotional measurement framework and public engagement activities fall under Other.</t>
  </si>
  <si>
    <t xml:space="preserve">Re:meat - cultivated beef</t>
  </si>
  <si>
    <t xml:space="preserve">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</si>
  <si>
    <t xml:space="preserve">The grant funds bioprocess design work (suspension culture adaptation, spheroid formation, scale-up from shaking flasks to bioreactors at TRL5) and cell culture media optimisation (developing cheap and efficient growth media), while environmental benefits and consumer demand are mentioned only as background motivation.</t>
  </si>
  <si>
    <t xml:space="preserve">HEALTHY PRODUCTS BASED ON PROTEIN AND CULTIVATED FAT FROM THE TERUEL PORK</t>
  </si>
  <si>
    <t xml:space="preserve">One of the main challenges facing the food industry is the expected population increase by 2050. According to FAO data, a population growth of 2 billion is expected by 2050. From a protein perspective, the current model and dependence on animal protein require a rethink. Although various innovative initiatives aimed at improving the efficiency of traditional meat production processes have been implemented in recent years, they are not sufficient to address the challenges ahead. 
In response to this situation, the TERUELPORK4CULTURE project emerged with the aim of researching and developing products that incorporate cultured animal protein and cultured animal fat that are affordable to target market segments. These products are much more sustainable than conventional meat, with organoleptic, nutritional, and healthy properties. Similar to or better than conventional meat products, delivered through fair, healthy, and environmentally friendly food systems in low-carbon smart industrial plants committed to the EU Green Deal.
The novelty of this project lies in the selection of Teruel PDO meat as a base for cell cultures. Until now, no work has been done in this area with protected designations of origin, so the aim is to replicate the nutritional characteristics of this matrix to obtain meat with the same physical-chemical, nutritional, and organoleptic properties, but through a sustainable alternative to traditional livestock farming that improves livestock performance, reduces water and nutrient consumption, and reduces CO2 emissions.
The consortium is made up of four complementary and synergistic entities: CARTESA, CTIC-CITA, GAIKER, and GREENFOODS.
The project will be carried out between November 1, 2023, and October 31, 2026.</t>
  </si>
  <si>
    <t xml:space="preserve">Cell line development, Cell culture media, Bioprocess design, End product formulation</t>
  </si>
  <si>
    <t xml:space="preserve">The project explicitly funds development of cell cultures from Teruel PDO pork (cell line development), cultivation of animal protein and fat requiring media and process optimisation (cell culture media, bioprocess design), and formulation of finished products with specific organoleptic, nutritional, and physical-chemical properties matching conventional Teruel PDO meat (end product formulation); sustainability and environmental benefits are mentioned only as motivation rather than as funded impact assessment activities.</t>
  </si>
  <si>
    <t xml:space="preserve">A Revolutionary Tech for Exceptionally Efficient Natural  Muscle Tissue Growth in Cultivated Meat Applications</t>
  </si>
  <si>
    <t xml:space="preserve">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</si>
  <si>
    <t xml:space="preserve">Bioprocess design, Cell culture media</t>
  </si>
  <si>
    <t xml:space="preserve">Cell line development, Cell culture media, Bioprocess design, Food safety &amp; quality</t>
  </si>
  <si>
    <t xml:space="preserve">The grant funds optimization of an immortalized bovine myoblast cell line (cell line development), a media supplement for fusion and maturation (cell culture media), scale-up into 3D production techniques (bioprocess design), and preparation of a certification dossier implying safety/regulatory assessment (food safety &amp; quality); environmental and consumer motivations are background context only.</t>
  </si>
  <si>
    <t xml:space="preserve">Actually, the grant only covers “optimizing our combined cell-line + supplement solution for scale-up”, so bioprocess, media, and cell line are correct. Food safety should not be included.</t>
  </si>
  <si>
    <t xml:space="preserve">SMARTFARM - Development of the four technological pillars that encompass the generation of future foods based on cultured meat</t>
  </si>
  <si>
    <t xml:space="preserve">The overall objective of the project focuses on exploring cellular agriculture from different technical perspectives to generate the holistic knowledge necessary for the development of in vitro meat, with the goal of positioning companies in the Valencian Community as leaders in the field of cultured meat production as a sustainable alternative to traditional meat.</t>
  </si>
  <si>
    <t xml:space="preserve">The grant explicitly targets 'four technological pillars' of cellular agriculture for cultured meat, which broadly maps to the core technical research areas of cell line development, cell culture media, bioprocess design, and scaffolding, while downstream product formulation, safety, health, consumer, and impact categories are not mentioned as funded activities.</t>
  </si>
  <si>
    <t xml:space="preserve">Based on title and abstract, I think I agree with LLM.</t>
  </si>
  <si>
    <t xml:space="preserve">A novel support material for 3D bioprinting and post-printing tissue growth: Print and Grow</t>
  </si>
  <si>
    <t xml:space="preserve">"Three-dimensional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</si>
  <si>
    <t xml:space="preserve">The grant is focused on developing a novel microgel support material for 3D bioprinting ('Print and Grow') that maintains structural stability during post-printing tissue maturation, which is squarely a scaffolding and bioprinting systems research activity; cultivated meat is mentioned as one application but the core funded work is scaffold/bioink/support material development.</t>
  </si>
  <si>
    <t xml:space="preserve">n_true</t>
  </si>
  <si>
    <t xml:space="preserve">tp</t>
  </si>
  <si>
    <t xml:space="preserve">fp</t>
  </si>
  <si>
    <t xml:space="preserve">fn</t>
  </si>
  <si>
    <t xml:space="preserve">recall</t>
  </si>
  <si>
    <t xml:space="preserve">precision</t>
  </si>
  <si>
    <t xml:space="preserve">100%</t>
  </si>
  <si>
    <t xml:space="preserve">39%</t>
  </si>
  <si>
    <t xml:space="preserve">91%</t>
  </si>
  <si>
    <t xml:space="preserve">59%</t>
  </si>
  <si>
    <t xml:space="preserve">40%</t>
  </si>
  <si>
    <t xml:space="preserve">44%</t>
  </si>
  <si>
    <t xml:space="preserve">75%</t>
  </si>
  <si>
    <t xml:space="preserve">43%</t>
  </si>
  <si>
    <t xml:space="preserve">25%</t>
  </si>
  <si>
    <t xml:space="preserve">Health &amp; nutrition</t>
  </si>
  <si>
    <t xml:space="preserve">-</t>
  </si>
  <si>
    <t xml:space="preserve">50%</t>
  </si>
  <si>
    <t xml:space="preserve">17%</t>
  </si>
  <si>
    <t xml:space="preserve">86%</t>
  </si>
  <si>
    <t xml:space="preserve">33%</t>
  </si>
  <si>
    <t xml:space="preserve">metric</t>
  </si>
  <si>
    <t xml:space="preserve">value</t>
  </si>
  <si>
    <t xml:space="preserve">n</t>
  </si>
  <si>
    <t xml:space="preserve">exact_match_accuracy</t>
  </si>
  <si>
    <t xml:space="preserve">35%</t>
  </si>
  <si>
    <t xml:space="preserve">mean_row_precision</t>
  </si>
  <si>
    <t xml:space="preserve">49%</t>
  </si>
  <si>
    <t xml:space="preserve">mean_row_recall</t>
  </si>
  <si>
    <t xml:space="preserve">68%</t>
  </si>
  <si>
    <t xml:space="preserve">mean_row_jaccard</t>
  </si>
  <si>
    <t xml:space="preserve">other_clash_rate</t>
  </si>
  <si>
    <t xml:space="preserve">22%</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</si>
</sst>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6">
    <fill>
      <patternFill patternType="none"/>
    </fill>
    <fill>
      <patternFill patternType="gray125"/>
    </fill>
    <fill>
      <patternFill patternType="solid">
        <fgColor rgb="FF81D41A"/>
        <bgColor rgb="FFBBE33D"/>
      </patternFill>
    </fill>
    <fill>
      <patternFill patternType="solid">
        <fgColor rgb="FFFFFF00"/>
        <bgColor rgb="FFFFFF00"/>
      </patternFill>
    </fill>
    <fill>
      <patternFill patternType="solid">
        <fgColor rgb="FFFF8000"/>
        <bgColor rgb="FFFF6600"/>
      </patternFill>
    </fill>
    <fill>
      <patternFill patternType="solid">
        <fgColor rgb="FFBBE33D"/>
        <bgColor rgb="FF81D41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BBE33D"/>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48576"/>
  <sheetViews>
    <sheetView showFormulas="false" showGridLines="true" showRowColHeaders="true" showZeros="true" rightToLeft="false" tabSelected="true" showOutlineSymbols="true" defaultGridColor="true" view="normal" topLeftCell="A46" colorId="64" zoomScale="100" zoomScaleNormal="100" zoomScalePageLayoutView="100" workbookViewId="0">
      <selection pane="topLeft" activeCell="H57" activeCellId="0" sqref="H57"/>
    </sheetView>
  </sheetViews>
  <sheetFormatPr defaultColWidth="8.34375" defaultRowHeight="15" customHeight="false" zeroHeight="false" outlineLevelRow="0" outlineLevelCol="0"/>
  <cols>
    <col collapsed="false" customWidth="false" hidden="false" outlineLevel="0" max="7" min="7" style="1" width="8.34"/>
  </cols>
  <sheetData>
    <row r="1" customFormat="false" ht="15" hidden="false" customHeight="false" outlineLevel="0" collapsed="false">
      <c r="A1" s="0" t="s">
        <v>0</v>
      </c>
      <c r="B1" s="0" t="s">
        <v>1</v>
      </c>
      <c r="C1" s="0" t="s">
        <v>2</v>
      </c>
      <c r="D1" s="0" t="s">
        <v>3</v>
      </c>
      <c r="E1" s="0" t="s">
        <v>4</v>
      </c>
      <c r="F1" s="0" t="s">
        <v>5</v>
      </c>
      <c r="G1" s="1" t="s">
        <v>6</v>
      </c>
      <c r="H1" s="0" t="s">
        <v>7</v>
      </c>
      <c r="I1" s="0" t="s">
        <v>8</v>
      </c>
      <c r="J1" s="0" t="s">
        <v>9</v>
      </c>
      <c r="K1" s="0" t="s">
        <v>10</v>
      </c>
      <c r="L1" s="0" t="s">
        <v>11</v>
      </c>
      <c r="N1" s="0" t="s">
        <v>12</v>
      </c>
    </row>
    <row r="2" customFormat="false" ht="56" hidden="false" customHeight="false" outlineLevel="0" collapsed="false">
      <c r="A2" s="0" t="n">
        <v>0</v>
      </c>
      <c r="B2" s="0" t="s">
        <v>13</v>
      </c>
      <c r="C2" s="2" t="s">
        <v>14</v>
      </c>
      <c r="D2" s="0" t="s">
        <v>15</v>
      </c>
      <c r="E2" s="0" t="s">
        <v>16</v>
      </c>
      <c r="F2" s="0" t="s">
        <v>16</v>
      </c>
      <c r="G2" s="3" t="b">
        <f aca="false">FALSE()</f>
        <v>0</v>
      </c>
      <c r="H2" s="0" t="s">
        <v>17</v>
      </c>
      <c r="I2" s="4" t="b">
        <f aca="false">FALSE()</f>
        <v>0</v>
      </c>
      <c r="J2" s="0" t="n">
        <v>0.5</v>
      </c>
      <c r="K2" s="0" t="n">
        <v>1</v>
      </c>
      <c r="L2" s="0" t="n">
        <v>0.5</v>
      </c>
      <c r="N2" s="0" t="s">
        <v>18</v>
      </c>
    </row>
    <row r="3" customFormat="false" ht="15" hidden="false" customHeight="false" outlineLevel="0" collapsed="false">
      <c r="A3" s="0" t="n">
        <v>1</v>
      </c>
      <c r="B3" s="0" t="s">
        <v>19</v>
      </c>
      <c r="C3" s="0" t="s">
        <v>20</v>
      </c>
      <c r="D3" s="0" t="s">
        <v>21</v>
      </c>
      <c r="E3" s="0" t="s">
        <v>22</v>
      </c>
      <c r="F3" s="0" t="s">
        <v>22</v>
      </c>
      <c r="G3" s="3" t="b">
        <f aca="false">FALSE()</f>
        <v>0</v>
      </c>
      <c r="H3" s="0" t="s">
        <v>23</v>
      </c>
      <c r="I3" s="4" t="b">
        <f aca="false">FALSE()</f>
        <v>0</v>
      </c>
      <c r="J3" s="0" t="n">
        <v>0</v>
      </c>
      <c r="K3" s="0" t="n">
        <v>0</v>
      </c>
      <c r="L3" s="0" t="n">
        <v>0</v>
      </c>
      <c r="N3" s="0" t="s">
        <v>18</v>
      </c>
    </row>
    <row r="4" customFormat="false" ht="15" hidden="false" customHeight="false" outlineLevel="0" collapsed="false">
      <c r="A4" s="0" t="n">
        <v>2</v>
      </c>
      <c r="B4" s="0" t="s">
        <v>24</v>
      </c>
      <c r="C4" s="0" t="s">
        <v>25</v>
      </c>
      <c r="D4" s="0" t="s">
        <v>15</v>
      </c>
      <c r="E4" s="0" t="s">
        <v>26</v>
      </c>
      <c r="F4" s="0" t="s">
        <v>26</v>
      </c>
      <c r="G4" s="3" t="b">
        <f aca="false">FALSE()</f>
        <v>0</v>
      </c>
      <c r="H4" s="0" t="s">
        <v>27</v>
      </c>
      <c r="I4" s="4" t="b">
        <f aca="false">FALSE()</f>
        <v>0</v>
      </c>
      <c r="J4" s="0" t="n">
        <v>0.5</v>
      </c>
      <c r="K4" s="0" t="n">
        <v>1</v>
      </c>
      <c r="L4" s="0" t="n">
        <v>0.5</v>
      </c>
    </row>
    <row r="5" customFormat="false" ht="15" hidden="false" customHeight="false" outlineLevel="0" collapsed="false">
      <c r="A5" s="0" t="n">
        <v>3</v>
      </c>
      <c r="B5" s="0" t="s">
        <v>28</v>
      </c>
      <c r="C5" s="0" t="s">
        <v>29</v>
      </c>
      <c r="D5" s="0" t="s">
        <v>26</v>
      </c>
      <c r="E5" s="0" t="s">
        <v>30</v>
      </c>
      <c r="F5" s="0" t="s">
        <v>30</v>
      </c>
      <c r="G5" s="3" t="b">
        <f aca="false">FALSE()</f>
        <v>0</v>
      </c>
      <c r="H5" s="0" t="s">
        <v>31</v>
      </c>
      <c r="I5" s="4" t="b">
        <f aca="false">FALSE()</f>
        <v>0</v>
      </c>
      <c r="J5" s="0" t="n">
        <v>0.666666666666667</v>
      </c>
      <c r="K5" s="0" t="n">
        <v>1</v>
      </c>
      <c r="L5" s="0" t="n">
        <v>0.666666666666667</v>
      </c>
    </row>
    <row r="6" customFormat="false" ht="45.1" hidden="false" customHeight="false" outlineLevel="0" collapsed="false">
      <c r="A6" s="0" t="n">
        <v>4</v>
      </c>
      <c r="B6" s="0" t="s">
        <v>32</v>
      </c>
      <c r="C6" s="2" t="s">
        <v>33</v>
      </c>
      <c r="D6" s="0" t="s">
        <v>34</v>
      </c>
      <c r="E6" s="0" t="s">
        <v>34</v>
      </c>
      <c r="F6" s="0" t="s">
        <v>34</v>
      </c>
      <c r="G6" s="3" t="b">
        <f aca="false">FALSE()</f>
        <v>0</v>
      </c>
      <c r="H6" s="0" t="s">
        <v>35</v>
      </c>
      <c r="I6" s="5" t="b">
        <f aca="false">TRUE()</f>
        <v>1</v>
      </c>
      <c r="J6" s="0" t="n">
        <v>1</v>
      </c>
      <c r="K6" s="0" t="n">
        <v>1</v>
      </c>
      <c r="L6" s="0" t="n">
        <v>1</v>
      </c>
    </row>
    <row r="7" customFormat="false" ht="15" hidden="false" customHeight="false" outlineLevel="0" collapsed="false">
      <c r="A7" s="0" t="n">
        <v>5</v>
      </c>
      <c r="B7" s="0" t="s">
        <v>36</v>
      </c>
      <c r="C7" s="0" t="s">
        <v>37</v>
      </c>
      <c r="D7" s="0" t="s">
        <v>38</v>
      </c>
      <c r="E7" s="0" t="s">
        <v>34</v>
      </c>
      <c r="F7" s="0" t="s">
        <v>34</v>
      </c>
      <c r="G7" s="3" t="b">
        <f aca="false">FALSE()</f>
        <v>0</v>
      </c>
      <c r="H7" s="0" t="s">
        <v>39</v>
      </c>
      <c r="I7" s="4" t="b">
        <f aca="false">FALSE()</f>
        <v>0</v>
      </c>
      <c r="J7" s="0" t="n">
        <v>0</v>
      </c>
      <c r="K7" s="0" t="n">
        <v>0</v>
      </c>
      <c r="L7" s="0" t="n">
        <v>0</v>
      </c>
    </row>
    <row r="8" customFormat="false" ht="15" hidden="false" customHeight="false" outlineLevel="0" collapsed="false">
      <c r="A8" s="0" t="n">
        <v>6</v>
      </c>
      <c r="B8" s="0" t="s">
        <v>40</v>
      </c>
      <c r="C8" s="0" t="s">
        <v>41</v>
      </c>
      <c r="D8" s="0" t="s">
        <v>15</v>
      </c>
      <c r="E8" s="0" t="s">
        <v>15</v>
      </c>
      <c r="F8" s="0" t="s">
        <v>15</v>
      </c>
      <c r="G8" s="3" t="b">
        <f aca="false">FALSE()</f>
        <v>0</v>
      </c>
      <c r="H8" s="0" t="s">
        <v>42</v>
      </c>
      <c r="I8" s="5" t="b">
        <f aca="false">TRUE()</f>
        <v>1</v>
      </c>
      <c r="J8" s="0" t="n">
        <v>1</v>
      </c>
      <c r="K8" s="0" t="n">
        <v>1</v>
      </c>
      <c r="L8" s="0" t="n">
        <v>1</v>
      </c>
    </row>
    <row r="9" customFormat="false" ht="15" hidden="false" customHeight="false" outlineLevel="0" collapsed="false">
      <c r="A9" s="0" t="n">
        <v>7</v>
      </c>
      <c r="B9" s="0" t="s">
        <v>43</v>
      </c>
      <c r="C9" s="0" t="s">
        <v>44</v>
      </c>
      <c r="D9" s="0" t="s">
        <v>45</v>
      </c>
      <c r="E9" s="0" t="s">
        <v>46</v>
      </c>
      <c r="F9" s="0" t="s">
        <v>46</v>
      </c>
      <c r="G9" s="3" t="b">
        <f aca="false">FALSE()</f>
        <v>0</v>
      </c>
      <c r="H9" s="0" t="s">
        <v>47</v>
      </c>
      <c r="I9" s="4" t="b">
        <f aca="false">FALSE()</f>
        <v>0</v>
      </c>
      <c r="J9" s="0" t="n">
        <v>0.666666666666667</v>
      </c>
      <c r="K9" s="0" t="n">
        <v>1</v>
      </c>
      <c r="L9" s="0" t="n">
        <v>0.666666666666667</v>
      </c>
    </row>
    <row r="10" customFormat="false" ht="23.3" hidden="false" customHeight="false" outlineLevel="0" collapsed="false">
      <c r="A10" s="0" t="n">
        <v>8</v>
      </c>
      <c r="B10" s="0" t="s">
        <v>48</v>
      </c>
      <c r="C10" s="2" t="s">
        <v>49</v>
      </c>
      <c r="D10" s="0" t="s">
        <v>50</v>
      </c>
      <c r="E10" s="0" t="s">
        <v>15</v>
      </c>
      <c r="F10" s="0" t="s">
        <v>15</v>
      </c>
      <c r="G10" s="3" t="b">
        <f aca="false">FALSE()</f>
        <v>0</v>
      </c>
      <c r="H10" s="0" t="s">
        <v>51</v>
      </c>
      <c r="I10" s="6" t="b">
        <f aca="false">FALSE()</f>
        <v>0</v>
      </c>
      <c r="J10" s="0" t="n">
        <v>0</v>
      </c>
      <c r="K10" s="0" t="n">
        <v>0</v>
      </c>
      <c r="L10" s="0" t="n">
        <v>0</v>
      </c>
      <c r="N10" s="0" t="s">
        <v>52</v>
      </c>
    </row>
    <row r="11" customFormat="false" ht="15" hidden="false" customHeight="false" outlineLevel="0" collapsed="false">
      <c r="A11" s="0" t="n">
        <v>9</v>
      </c>
      <c r="B11" s="0" t="s">
        <v>53</v>
      </c>
      <c r="C11" s="0" t="s">
        <v>54</v>
      </c>
      <c r="D11" s="0" t="s">
        <v>55</v>
      </c>
      <c r="E11" s="0" t="s">
        <v>55</v>
      </c>
      <c r="F11" s="0" t="s">
        <v>55</v>
      </c>
      <c r="G11" s="3" t="b">
        <f aca="false">FALSE()</f>
        <v>0</v>
      </c>
      <c r="H11" s="0" t="s">
        <v>56</v>
      </c>
      <c r="I11" s="5" t="b">
        <f aca="false">TRUE()</f>
        <v>1</v>
      </c>
      <c r="J11" s="0" t="n">
        <v>1</v>
      </c>
      <c r="K11" s="0" t="n">
        <v>1</v>
      </c>
      <c r="L11" s="0" t="n">
        <v>1</v>
      </c>
    </row>
    <row r="12" customFormat="false" ht="15" hidden="false" customHeight="false" outlineLevel="0" collapsed="false">
      <c r="A12" s="0" t="n">
        <v>10</v>
      </c>
      <c r="B12" s="0" t="s">
        <v>57</v>
      </c>
      <c r="C12" s="0" t="s">
        <v>20</v>
      </c>
      <c r="D12" s="0" t="s">
        <v>22</v>
      </c>
      <c r="E12" s="0" t="s">
        <v>58</v>
      </c>
      <c r="F12" s="0" t="s">
        <v>58</v>
      </c>
      <c r="G12" s="3" t="b">
        <f aca="false">FALSE()</f>
        <v>0</v>
      </c>
      <c r="H12" s="0" t="s">
        <v>59</v>
      </c>
      <c r="I12" s="7" t="b">
        <f aca="false">FALSE()</f>
        <v>0</v>
      </c>
      <c r="J12" s="0" t="n">
        <v>0.333333333333333</v>
      </c>
      <c r="K12" s="0" t="n">
        <v>1</v>
      </c>
      <c r="L12" s="0" t="n">
        <v>0.333333333333333</v>
      </c>
      <c r="N12" s="0" t="s">
        <v>60</v>
      </c>
    </row>
    <row r="13" customFormat="false" ht="121.4" hidden="false" customHeight="false" outlineLevel="0" collapsed="false">
      <c r="A13" s="0" t="n">
        <v>11</v>
      </c>
      <c r="B13" s="0" t="s">
        <v>61</v>
      </c>
      <c r="C13" s="2" t="s">
        <v>62</v>
      </c>
      <c r="D13" s="0" t="s">
        <v>63</v>
      </c>
      <c r="E13" s="0" t="s">
        <v>63</v>
      </c>
      <c r="F13" s="0" t="s">
        <v>63</v>
      </c>
      <c r="G13" s="3" t="b">
        <f aca="false">FALSE()</f>
        <v>0</v>
      </c>
      <c r="H13" s="0" t="s">
        <v>64</v>
      </c>
      <c r="I13" s="5" t="b">
        <f aca="false">TRUE()</f>
        <v>1</v>
      </c>
      <c r="J13" s="0" t="n">
        <v>1</v>
      </c>
      <c r="K13" s="0" t="n">
        <v>1</v>
      </c>
      <c r="L13" s="0" t="n">
        <v>1</v>
      </c>
    </row>
    <row r="14" customFormat="false" ht="15" hidden="false" customHeight="false" outlineLevel="0" collapsed="false">
      <c r="A14" s="0" t="n">
        <v>12</v>
      </c>
      <c r="B14" s="0" t="s">
        <v>65</v>
      </c>
      <c r="C14" s="0" t="s">
        <v>66</v>
      </c>
      <c r="D14" s="0" t="s">
        <v>22</v>
      </c>
      <c r="E14" s="0" t="s">
        <v>34</v>
      </c>
      <c r="F14" s="0" t="s">
        <v>34</v>
      </c>
      <c r="G14" s="3" t="b">
        <f aca="false">FALSE()</f>
        <v>0</v>
      </c>
      <c r="H14" s="0" t="s">
        <v>67</v>
      </c>
      <c r="I14" s="6" t="b">
        <f aca="false">FALSE()</f>
        <v>0</v>
      </c>
      <c r="J14" s="0" t="n">
        <v>0</v>
      </c>
      <c r="K14" s="0" t="n">
        <v>0</v>
      </c>
      <c r="L14" s="0" t="n">
        <v>0</v>
      </c>
      <c r="N14" s="0" t="s">
        <v>68</v>
      </c>
    </row>
    <row r="15" customFormat="false" ht="15" hidden="false" customHeight="false" outlineLevel="0" collapsed="false">
      <c r="A15" s="0" t="n">
        <v>13</v>
      </c>
      <c r="B15" s="0" t="s">
        <v>69</v>
      </c>
      <c r="C15" s="0" t="s">
        <v>70</v>
      </c>
      <c r="D15" s="0" t="s">
        <v>71</v>
      </c>
      <c r="E15" s="0" t="s">
        <v>72</v>
      </c>
      <c r="F15" s="0" t="s">
        <v>55</v>
      </c>
      <c r="G15" s="3" t="b">
        <f aca="false">TRUE()</f>
        <v>1</v>
      </c>
      <c r="H15" s="0" t="s">
        <v>73</v>
      </c>
      <c r="I15" s="8" t="b">
        <f aca="false">FALSE()</f>
        <v>0</v>
      </c>
      <c r="J15" s="0" t="n">
        <v>0</v>
      </c>
      <c r="K15" s="0" t="n">
        <v>0</v>
      </c>
      <c r="L15" s="0" t="n">
        <v>0</v>
      </c>
      <c r="N15" s="0" t="s">
        <v>74</v>
      </c>
    </row>
    <row r="16" customFormat="false" ht="15" hidden="false" customHeight="false" outlineLevel="0" collapsed="false">
      <c r="A16" s="0" t="n">
        <v>14</v>
      </c>
      <c r="B16" s="0" t="s">
        <v>75</v>
      </c>
      <c r="C16" s="0" t="s">
        <v>76</v>
      </c>
      <c r="D16" s="0" t="s">
        <v>55</v>
      </c>
      <c r="E16" s="0" t="s">
        <v>72</v>
      </c>
      <c r="F16" s="0" t="s">
        <v>55</v>
      </c>
      <c r="G16" s="3" t="b">
        <f aca="false">TRUE()</f>
        <v>1</v>
      </c>
      <c r="H16" s="0" t="s">
        <v>77</v>
      </c>
      <c r="I16" s="5" t="b">
        <f aca="false">TRUE()</f>
        <v>1</v>
      </c>
      <c r="J16" s="0" t="n">
        <v>1</v>
      </c>
      <c r="K16" s="0" t="n">
        <v>1</v>
      </c>
      <c r="L16" s="0" t="n">
        <v>1</v>
      </c>
    </row>
    <row r="17" customFormat="false" ht="15" hidden="false" customHeight="false" outlineLevel="0" collapsed="false">
      <c r="A17" s="0" t="n">
        <v>15</v>
      </c>
      <c r="B17" s="0" t="s">
        <v>78</v>
      </c>
      <c r="C17" s="0" t="s">
        <v>79</v>
      </c>
      <c r="D17" s="0" t="s">
        <v>80</v>
      </c>
      <c r="E17" s="0" t="s">
        <v>58</v>
      </c>
      <c r="F17" s="0" t="s">
        <v>58</v>
      </c>
      <c r="G17" s="3" t="b">
        <f aca="false">FALSE()</f>
        <v>0</v>
      </c>
      <c r="H17" s="0" t="s">
        <v>81</v>
      </c>
      <c r="I17" s="4" t="b">
        <f aca="false">FALSE()</f>
        <v>0</v>
      </c>
      <c r="J17" s="0" t="n">
        <v>0.333333333333333</v>
      </c>
      <c r="K17" s="0" t="n">
        <v>0.5</v>
      </c>
      <c r="L17" s="0" t="n">
        <v>0.25</v>
      </c>
      <c r="N17" s="0" t="s">
        <v>82</v>
      </c>
    </row>
    <row r="18" customFormat="false" ht="15" hidden="false" customHeight="false" outlineLevel="0" collapsed="false">
      <c r="A18" s="0" t="n">
        <v>16</v>
      </c>
      <c r="B18" s="0" t="s">
        <v>83</v>
      </c>
      <c r="C18" s="0" t="s">
        <v>84</v>
      </c>
      <c r="D18" s="0" t="s">
        <v>71</v>
      </c>
      <c r="E18" s="0" t="s">
        <v>85</v>
      </c>
      <c r="F18" s="0" t="s">
        <v>86</v>
      </c>
      <c r="G18" s="3" t="b">
        <f aca="false">TRUE()</f>
        <v>1</v>
      </c>
      <c r="H18" s="0" t="s">
        <v>87</v>
      </c>
      <c r="I18" s="4" t="b">
        <f aca="false">FALSE()</f>
        <v>0</v>
      </c>
      <c r="J18" s="0" t="n">
        <v>0</v>
      </c>
      <c r="K18" s="0" t="n">
        <v>0</v>
      </c>
      <c r="L18" s="0" t="n">
        <v>0</v>
      </c>
      <c r="N18" s="0" t="s">
        <v>82</v>
      </c>
    </row>
    <row r="19" customFormat="false" ht="15" hidden="false" customHeight="false" outlineLevel="0" collapsed="false">
      <c r="A19" s="0" t="n">
        <v>17</v>
      </c>
      <c r="B19" s="0" t="s">
        <v>88</v>
      </c>
      <c r="C19" s="0" t="s">
        <v>89</v>
      </c>
      <c r="D19" s="0" t="s">
        <v>71</v>
      </c>
      <c r="E19" s="0" t="s">
        <v>90</v>
      </c>
      <c r="F19" s="0" t="s">
        <v>90</v>
      </c>
      <c r="G19" s="3" t="b">
        <f aca="false">FALSE()</f>
        <v>0</v>
      </c>
      <c r="H19" s="0" t="s">
        <v>91</v>
      </c>
      <c r="I19" s="6" t="b">
        <f aca="false">FALSE()</f>
        <v>0</v>
      </c>
      <c r="J19" s="0" t="n">
        <v>0</v>
      </c>
      <c r="K19" s="0" t="n">
        <v>0</v>
      </c>
      <c r="L19" s="0" t="n">
        <v>0</v>
      </c>
      <c r="N19" s="0" t="s">
        <v>92</v>
      </c>
    </row>
    <row r="20" customFormat="false" ht="66.9" hidden="false" customHeight="false" outlineLevel="0" collapsed="false">
      <c r="A20" s="0" t="n">
        <v>18</v>
      </c>
      <c r="B20" s="0" t="s">
        <v>93</v>
      </c>
      <c r="C20" s="2" t="s">
        <v>94</v>
      </c>
      <c r="D20" s="0" t="s">
        <v>34</v>
      </c>
      <c r="E20" s="0" t="s">
        <v>34</v>
      </c>
      <c r="F20" s="0" t="s">
        <v>34</v>
      </c>
      <c r="G20" s="3" t="b">
        <f aca="false">FALSE()</f>
        <v>0</v>
      </c>
      <c r="H20" s="0" t="s">
        <v>95</v>
      </c>
      <c r="I20" s="5" t="b">
        <f aca="false">TRUE()</f>
        <v>1</v>
      </c>
      <c r="J20" s="0" t="n">
        <v>1</v>
      </c>
      <c r="K20" s="0" t="n">
        <v>1</v>
      </c>
      <c r="L20" s="0" t="n">
        <v>1</v>
      </c>
    </row>
    <row r="21" customFormat="false" ht="88.7" hidden="false" customHeight="false" outlineLevel="0" collapsed="false">
      <c r="A21" s="0" t="n">
        <v>19</v>
      </c>
      <c r="B21" s="0" t="s">
        <v>96</v>
      </c>
      <c r="C21" s="2" t="s">
        <v>97</v>
      </c>
      <c r="D21" s="0" t="s">
        <v>15</v>
      </c>
      <c r="E21" s="0" t="s">
        <v>16</v>
      </c>
      <c r="F21" s="0" t="s">
        <v>16</v>
      </c>
      <c r="G21" s="3" t="b">
        <f aca="false">FALSE()</f>
        <v>0</v>
      </c>
      <c r="H21" s="0" t="s">
        <v>98</v>
      </c>
      <c r="I21" s="4" t="b">
        <f aca="false">FALSE()</f>
        <v>0</v>
      </c>
      <c r="J21" s="0" t="n">
        <v>0.5</v>
      </c>
      <c r="K21" s="0" t="n">
        <v>1</v>
      </c>
      <c r="L21" s="0" t="n">
        <v>0.5</v>
      </c>
    </row>
    <row r="22" customFormat="false" ht="77.8" hidden="false" customHeight="false" outlineLevel="0" collapsed="false">
      <c r="A22" s="0" t="n">
        <v>20</v>
      </c>
      <c r="B22" s="0" t="s">
        <v>99</v>
      </c>
      <c r="C22" s="2" t="s">
        <v>100</v>
      </c>
      <c r="D22" s="0" t="s">
        <v>15</v>
      </c>
      <c r="E22" s="0" t="s">
        <v>15</v>
      </c>
      <c r="F22" s="0" t="s">
        <v>15</v>
      </c>
      <c r="G22" s="3" t="b">
        <f aca="false">FALSE()</f>
        <v>0</v>
      </c>
      <c r="H22" s="0" t="s">
        <v>101</v>
      </c>
      <c r="I22" s="5" t="b">
        <f aca="false">TRUE()</f>
        <v>1</v>
      </c>
      <c r="J22" s="0" t="n">
        <v>1</v>
      </c>
      <c r="K22" s="0" t="n">
        <v>1</v>
      </c>
      <c r="L22" s="0" t="n">
        <v>1</v>
      </c>
    </row>
    <row r="23" customFormat="false" ht="15" hidden="false" customHeight="false" outlineLevel="0" collapsed="false">
      <c r="A23" s="0" t="n">
        <v>21</v>
      </c>
      <c r="B23" s="0" t="s">
        <v>102</v>
      </c>
      <c r="C23" s="0" t="s">
        <v>103</v>
      </c>
      <c r="D23" s="0" t="s">
        <v>21</v>
      </c>
      <c r="E23" s="0" t="s">
        <v>55</v>
      </c>
      <c r="F23" s="0" t="s">
        <v>55</v>
      </c>
      <c r="G23" s="3" t="b">
        <f aca="false">FALSE()</f>
        <v>0</v>
      </c>
      <c r="H23" s="0" t="s">
        <v>104</v>
      </c>
      <c r="I23" s="4" t="b">
        <f aca="false">FALSE()</f>
        <v>0</v>
      </c>
      <c r="J23" s="0" t="n">
        <v>0</v>
      </c>
      <c r="K23" s="0" t="n">
        <v>0</v>
      </c>
      <c r="L23" s="0" t="n">
        <v>0</v>
      </c>
    </row>
    <row r="24" customFormat="false" ht="77.8" hidden="false" customHeight="false" outlineLevel="0" collapsed="false">
      <c r="A24" s="0" t="n">
        <v>22</v>
      </c>
      <c r="B24" s="0" t="s">
        <v>105</v>
      </c>
      <c r="C24" s="2" t="s">
        <v>106</v>
      </c>
      <c r="D24" s="0" t="s">
        <v>107</v>
      </c>
      <c r="E24" s="0" t="s">
        <v>108</v>
      </c>
      <c r="F24" s="0" t="s">
        <v>107</v>
      </c>
      <c r="G24" s="3" t="b">
        <f aca="false">TRUE()</f>
        <v>1</v>
      </c>
      <c r="H24" s="0" t="s">
        <v>109</v>
      </c>
      <c r="I24" s="5" t="b">
        <f aca="false">TRUE()</f>
        <v>1</v>
      </c>
      <c r="J24" s="0" t="n">
        <v>1</v>
      </c>
      <c r="K24" s="0" t="n">
        <v>1</v>
      </c>
      <c r="L24" s="0" t="n">
        <v>1</v>
      </c>
    </row>
    <row r="25" customFormat="false" ht="15" hidden="false" customHeight="false" outlineLevel="0" collapsed="false">
      <c r="A25" s="0" t="n">
        <v>23</v>
      </c>
      <c r="B25" s="0" t="s">
        <v>110</v>
      </c>
      <c r="C25" s="0" t="s">
        <v>111</v>
      </c>
      <c r="D25" s="0" t="s">
        <v>22</v>
      </c>
      <c r="E25" s="0" t="s">
        <v>112</v>
      </c>
      <c r="F25" s="0" t="s">
        <v>22</v>
      </c>
      <c r="G25" s="3" t="b">
        <f aca="false">TRUE()</f>
        <v>1</v>
      </c>
      <c r="H25" s="0" t="s">
        <v>113</v>
      </c>
      <c r="I25" s="5" t="b">
        <f aca="false">TRUE()</f>
        <v>1</v>
      </c>
      <c r="J25" s="0" t="n">
        <v>1</v>
      </c>
      <c r="K25" s="0" t="n">
        <v>1</v>
      </c>
      <c r="L25" s="0" t="n">
        <v>1</v>
      </c>
    </row>
    <row r="26" customFormat="false" ht="15" hidden="false" customHeight="false" outlineLevel="0" collapsed="false">
      <c r="A26" s="0" t="n">
        <v>24</v>
      </c>
      <c r="B26" s="0" t="s">
        <v>114</v>
      </c>
      <c r="C26" s="0" t="s">
        <v>115</v>
      </c>
      <c r="D26" s="0" t="s">
        <v>50</v>
      </c>
      <c r="E26" s="0" t="s">
        <v>116</v>
      </c>
      <c r="F26" s="0" t="s">
        <v>117</v>
      </c>
      <c r="G26" s="3" t="b">
        <f aca="false">TRUE()</f>
        <v>1</v>
      </c>
      <c r="H26" s="0" t="s">
        <v>118</v>
      </c>
      <c r="I26" s="4" t="b">
        <f aca="false">FALSE()</f>
        <v>0</v>
      </c>
      <c r="J26" s="0" t="n">
        <v>0</v>
      </c>
      <c r="K26" s="0" t="n">
        <v>0</v>
      </c>
      <c r="L26" s="0" t="n">
        <v>0</v>
      </c>
    </row>
    <row r="27" customFormat="false" ht="99.6" hidden="false" customHeight="false" outlineLevel="0" collapsed="false">
      <c r="A27" s="0" t="n">
        <v>25</v>
      </c>
      <c r="B27" s="0" t="s">
        <v>119</v>
      </c>
      <c r="C27" s="2" t="s">
        <v>120</v>
      </c>
      <c r="D27" s="0" t="s">
        <v>55</v>
      </c>
      <c r="E27" s="0" t="s">
        <v>55</v>
      </c>
      <c r="F27" s="0" t="s">
        <v>55</v>
      </c>
      <c r="G27" s="3" t="b">
        <f aca="false">FALSE()</f>
        <v>0</v>
      </c>
      <c r="H27" s="0" t="s">
        <v>121</v>
      </c>
      <c r="I27" s="5" t="b">
        <f aca="false">TRUE()</f>
        <v>1</v>
      </c>
      <c r="J27" s="0" t="n">
        <v>1</v>
      </c>
      <c r="K27" s="0" t="n">
        <v>1</v>
      </c>
      <c r="L27" s="0" t="n">
        <v>1</v>
      </c>
    </row>
    <row r="28" customFormat="false" ht="15" hidden="false" customHeight="false" outlineLevel="0" collapsed="false">
      <c r="A28" s="0" t="n">
        <v>26</v>
      </c>
      <c r="B28" s="0" t="s">
        <v>122</v>
      </c>
      <c r="C28" s="0" t="s">
        <v>123</v>
      </c>
      <c r="D28" s="0" t="s">
        <v>45</v>
      </c>
      <c r="E28" s="0" t="s">
        <v>58</v>
      </c>
      <c r="F28" s="0" t="s">
        <v>58</v>
      </c>
      <c r="G28" s="3" t="b">
        <f aca="false">FALSE()</f>
        <v>0</v>
      </c>
      <c r="H28" s="0" t="s">
        <v>124</v>
      </c>
      <c r="I28" s="8" t="b">
        <f aca="false">FALSE()</f>
        <v>0</v>
      </c>
      <c r="J28" s="0" t="n">
        <v>0</v>
      </c>
      <c r="K28" s="0" t="n">
        <v>0</v>
      </c>
      <c r="L28" s="0" t="n">
        <v>0</v>
      </c>
      <c r="N28" s="0" t="s">
        <v>125</v>
      </c>
    </row>
    <row r="29" customFormat="false" ht="121.4" hidden="false" customHeight="false" outlineLevel="0" collapsed="false">
      <c r="A29" s="0" t="n">
        <v>27</v>
      </c>
      <c r="B29" s="0" t="s">
        <v>126</v>
      </c>
      <c r="C29" s="2" t="s">
        <v>127</v>
      </c>
      <c r="D29" s="0" t="s">
        <v>55</v>
      </c>
      <c r="E29" s="0" t="s">
        <v>86</v>
      </c>
      <c r="F29" s="0" t="s">
        <v>86</v>
      </c>
      <c r="G29" s="3" t="b">
        <f aca="false">FALSE()</f>
        <v>0</v>
      </c>
      <c r="H29" s="0" t="s">
        <v>128</v>
      </c>
      <c r="I29" s="4" t="b">
        <f aca="false">FALSE()</f>
        <v>0</v>
      </c>
      <c r="J29" s="0" t="n">
        <v>0.5</v>
      </c>
      <c r="K29" s="0" t="n">
        <v>1</v>
      </c>
      <c r="L29" s="0" t="n">
        <v>0.5</v>
      </c>
    </row>
    <row r="30" customFormat="false" ht="121.4" hidden="false" customHeight="false" outlineLevel="0" collapsed="false">
      <c r="A30" s="0" t="n">
        <v>28</v>
      </c>
      <c r="B30" s="0" t="s">
        <v>129</v>
      </c>
      <c r="C30" s="2" t="s">
        <v>130</v>
      </c>
      <c r="D30" s="0" t="s">
        <v>22</v>
      </c>
      <c r="E30" s="0" t="s">
        <v>112</v>
      </c>
      <c r="F30" s="0" t="s">
        <v>22</v>
      </c>
      <c r="G30" s="3" t="b">
        <f aca="false">TRUE()</f>
        <v>1</v>
      </c>
      <c r="H30" s="0" t="s">
        <v>131</v>
      </c>
      <c r="I30" s="5" t="b">
        <f aca="false">TRUE()</f>
        <v>1</v>
      </c>
      <c r="J30" s="0" t="n">
        <v>1</v>
      </c>
      <c r="K30" s="0" t="n">
        <v>1</v>
      </c>
      <c r="L30" s="0" t="n">
        <v>1</v>
      </c>
    </row>
    <row r="31" customFormat="false" ht="121.4" hidden="false" customHeight="false" outlineLevel="0" collapsed="false">
      <c r="A31" s="0" t="n">
        <v>29</v>
      </c>
      <c r="B31" s="0" t="s">
        <v>132</v>
      </c>
      <c r="C31" s="2" t="s">
        <v>133</v>
      </c>
      <c r="D31" s="0" t="s">
        <v>55</v>
      </c>
      <c r="E31" s="0" t="s">
        <v>55</v>
      </c>
      <c r="F31" s="0" t="s">
        <v>55</v>
      </c>
      <c r="G31" s="3" t="b">
        <f aca="false">FALSE()</f>
        <v>0</v>
      </c>
      <c r="H31" s="0" t="s">
        <v>134</v>
      </c>
      <c r="I31" s="5" t="b">
        <f aca="false">TRUE()</f>
        <v>1</v>
      </c>
      <c r="J31" s="0" t="n">
        <v>1</v>
      </c>
      <c r="K31" s="0" t="n">
        <v>1</v>
      </c>
      <c r="L31" s="0" t="n">
        <v>1</v>
      </c>
    </row>
    <row r="32" customFormat="false" ht="132.3" hidden="false" customHeight="false" outlineLevel="0" collapsed="false">
      <c r="A32" s="0" t="n">
        <v>30</v>
      </c>
      <c r="B32" s="0" t="s">
        <v>135</v>
      </c>
      <c r="C32" s="2" t="s">
        <v>136</v>
      </c>
      <c r="D32" s="0" t="s">
        <v>63</v>
      </c>
      <c r="E32" s="0" t="s">
        <v>137</v>
      </c>
      <c r="F32" s="0" t="s">
        <v>63</v>
      </c>
      <c r="G32" s="3" t="b">
        <f aca="false">TRUE()</f>
        <v>1</v>
      </c>
      <c r="H32" s="0" t="s">
        <v>138</v>
      </c>
      <c r="I32" s="5" t="b">
        <f aca="false">TRUE()</f>
        <v>1</v>
      </c>
      <c r="J32" s="0" t="n">
        <v>1</v>
      </c>
      <c r="K32" s="0" t="n">
        <v>1</v>
      </c>
      <c r="L32" s="0" t="n">
        <v>1</v>
      </c>
    </row>
    <row r="33" customFormat="false" ht="15" hidden="false" customHeight="false" outlineLevel="0" collapsed="false">
      <c r="A33" s="0" t="n">
        <v>31</v>
      </c>
      <c r="B33" s="0" t="s">
        <v>139</v>
      </c>
      <c r="C33" s="0" t="s">
        <v>140</v>
      </c>
      <c r="D33" s="0" t="s">
        <v>22</v>
      </c>
      <c r="E33" s="0" t="s">
        <v>141</v>
      </c>
      <c r="F33" s="0" t="s">
        <v>141</v>
      </c>
      <c r="G33" s="3" t="b">
        <f aca="false">FALSE()</f>
        <v>0</v>
      </c>
      <c r="H33" s="0" t="s">
        <v>142</v>
      </c>
      <c r="I33" s="4" t="b">
        <f aca="false">FALSE()</f>
        <v>0</v>
      </c>
      <c r="J33" s="0" t="n">
        <v>0.25</v>
      </c>
      <c r="K33" s="0" t="n">
        <v>1</v>
      </c>
      <c r="L33" s="0" t="n">
        <v>0.25</v>
      </c>
    </row>
    <row r="34" customFormat="false" ht="15" hidden="false" customHeight="false" outlineLevel="0" collapsed="false">
      <c r="A34" s="0" t="n">
        <v>32</v>
      </c>
      <c r="B34" s="0" t="s">
        <v>143</v>
      </c>
      <c r="C34" s="0" t="s">
        <v>89</v>
      </c>
      <c r="D34" s="0" t="s">
        <v>71</v>
      </c>
      <c r="E34" s="0" t="s">
        <v>144</v>
      </c>
      <c r="F34" s="0" t="s">
        <v>144</v>
      </c>
      <c r="G34" s="3" t="b">
        <f aca="false">FALSE()</f>
        <v>0</v>
      </c>
      <c r="H34" s="0" t="s">
        <v>145</v>
      </c>
      <c r="I34" s="4" t="b">
        <f aca="false">FALSE()</f>
        <v>0</v>
      </c>
      <c r="J34" s="0" t="n">
        <v>0.333333333333333</v>
      </c>
      <c r="K34" s="0" t="n">
        <v>1</v>
      </c>
      <c r="L34" s="0" t="n">
        <v>0.333333333333333</v>
      </c>
    </row>
    <row r="35" customFormat="false" ht="15" hidden="false" customHeight="false" outlineLevel="0" collapsed="false">
      <c r="A35" s="0" t="n">
        <v>33</v>
      </c>
      <c r="B35" s="0" t="s">
        <v>146</v>
      </c>
      <c r="C35" s="0" t="s">
        <v>147</v>
      </c>
      <c r="D35" s="0" t="s">
        <v>90</v>
      </c>
      <c r="E35" s="0" t="s">
        <v>148</v>
      </c>
      <c r="F35" s="0" t="s">
        <v>148</v>
      </c>
      <c r="G35" s="3" t="b">
        <f aca="false">FALSE()</f>
        <v>0</v>
      </c>
      <c r="H35" s="0" t="s">
        <v>149</v>
      </c>
      <c r="I35" s="4" t="b">
        <f aca="false">FALSE()</f>
        <v>0</v>
      </c>
      <c r="J35" s="0" t="n">
        <v>0.2</v>
      </c>
      <c r="K35" s="0" t="n">
        <v>1</v>
      </c>
      <c r="L35" s="0" t="n">
        <v>0.2</v>
      </c>
    </row>
    <row r="36" customFormat="false" ht="15" hidden="false" customHeight="false" outlineLevel="0" collapsed="false">
      <c r="A36" s="0" t="n">
        <v>34</v>
      </c>
      <c r="B36" s="0" t="s">
        <v>150</v>
      </c>
      <c r="C36" s="0" t="s">
        <v>151</v>
      </c>
      <c r="D36" s="0" t="s">
        <v>71</v>
      </c>
      <c r="E36" s="0" t="s">
        <v>152</v>
      </c>
      <c r="F36" s="0" t="s">
        <v>153</v>
      </c>
      <c r="G36" s="3" t="b">
        <f aca="false">TRUE()</f>
        <v>1</v>
      </c>
      <c r="H36" s="0" t="s">
        <v>154</v>
      </c>
      <c r="I36" s="4" t="b">
        <f aca="false">FALSE()</f>
        <v>0</v>
      </c>
      <c r="J36" s="0" t="n">
        <v>0.2</v>
      </c>
      <c r="K36" s="0" t="n">
        <v>1</v>
      </c>
      <c r="L36" s="0" t="n">
        <v>0.2</v>
      </c>
    </row>
    <row r="37" customFormat="false" ht="56" hidden="false" customHeight="false" outlineLevel="0" collapsed="false">
      <c r="A37" s="0" t="n">
        <v>35</v>
      </c>
      <c r="B37" s="0" t="s">
        <v>155</v>
      </c>
      <c r="C37" s="2" t="s">
        <v>156</v>
      </c>
      <c r="D37" s="0" t="s">
        <v>38</v>
      </c>
      <c r="E37" s="0" t="s">
        <v>157</v>
      </c>
      <c r="F37" s="0" t="s">
        <v>38</v>
      </c>
      <c r="G37" s="3" t="b">
        <f aca="false">TRUE()</f>
        <v>1</v>
      </c>
      <c r="H37" s="0" t="s">
        <v>158</v>
      </c>
      <c r="I37" s="5" t="b">
        <f aca="false">TRUE()</f>
        <v>1</v>
      </c>
      <c r="J37" s="0" t="n">
        <v>1</v>
      </c>
      <c r="K37" s="0" t="n">
        <v>1</v>
      </c>
      <c r="L37" s="0" t="n">
        <v>1</v>
      </c>
    </row>
    <row r="38" customFormat="false" ht="15" hidden="false" customHeight="false" outlineLevel="0" collapsed="false">
      <c r="A38" s="0" t="n">
        <v>36</v>
      </c>
      <c r="B38" s="0" t="s">
        <v>159</v>
      </c>
      <c r="C38" s="0" t="s">
        <v>160</v>
      </c>
      <c r="D38" s="0" t="s">
        <v>161</v>
      </c>
      <c r="E38" s="0" t="s">
        <v>162</v>
      </c>
      <c r="F38" s="0" t="s">
        <v>162</v>
      </c>
      <c r="G38" s="3" t="b">
        <f aca="false">FALSE()</f>
        <v>0</v>
      </c>
      <c r="H38" s="0" t="s">
        <v>163</v>
      </c>
      <c r="I38" s="4" t="b">
        <f aca="false">FALSE()</f>
        <v>0</v>
      </c>
      <c r="J38" s="0" t="n">
        <v>0.5</v>
      </c>
      <c r="K38" s="0" t="n">
        <v>1</v>
      </c>
      <c r="L38" s="0" t="n">
        <v>0.5</v>
      </c>
    </row>
    <row r="39" customFormat="false" ht="15" hidden="false" customHeight="false" outlineLevel="0" collapsed="false">
      <c r="A39" s="0" t="n">
        <v>37</v>
      </c>
      <c r="B39" s="0" t="s">
        <v>164</v>
      </c>
      <c r="C39" s="0" t="s">
        <v>165</v>
      </c>
      <c r="D39" s="0" t="s">
        <v>22</v>
      </c>
      <c r="E39" s="0" t="s">
        <v>22</v>
      </c>
      <c r="F39" s="0" t="s">
        <v>22</v>
      </c>
      <c r="G39" s="3" t="b">
        <f aca="false">FALSE()</f>
        <v>0</v>
      </c>
      <c r="H39" s="0" t="s">
        <v>166</v>
      </c>
      <c r="I39" s="5" t="b">
        <f aca="false">TRUE()</f>
        <v>1</v>
      </c>
      <c r="J39" s="0" t="n">
        <v>1</v>
      </c>
      <c r="K39" s="0" t="n">
        <v>1</v>
      </c>
      <c r="L39" s="0" t="n">
        <v>1</v>
      </c>
    </row>
    <row r="40" customFormat="false" ht="99.6" hidden="false" customHeight="false" outlineLevel="0" collapsed="false">
      <c r="A40" s="0" t="n">
        <v>38</v>
      </c>
      <c r="B40" s="0" t="s">
        <v>167</v>
      </c>
      <c r="C40" s="2" t="s">
        <v>168</v>
      </c>
      <c r="D40" s="0" t="s">
        <v>22</v>
      </c>
      <c r="E40" s="0" t="s">
        <v>22</v>
      </c>
      <c r="F40" s="0" t="s">
        <v>22</v>
      </c>
      <c r="G40" s="3" t="b">
        <f aca="false">FALSE()</f>
        <v>0</v>
      </c>
      <c r="H40" s="0" t="s">
        <v>169</v>
      </c>
      <c r="I40" s="5" t="b">
        <f aca="false">TRUE()</f>
        <v>1</v>
      </c>
      <c r="J40" s="0" t="n">
        <v>1</v>
      </c>
      <c r="K40" s="0" t="n">
        <v>1</v>
      </c>
      <c r="L40" s="0" t="n">
        <v>1</v>
      </c>
    </row>
    <row r="41" customFormat="false" ht="15" hidden="false" customHeight="false" outlineLevel="0" collapsed="false">
      <c r="A41" s="0" t="n">
        <v>39</v>
      </c>
      <c r="B41" s="0" t="s">
        <v>170</v>
      </c>
      <c r="C41" s="0" t="s">
        <v>171</v>
      </c>
      <c r="D41" s="0" t="s">
        <v>50</v>
      </c>
      <c r="E41" s="0" t="s">
        <v>63</v>
      </c>
      <c r="F41" s="0" t="s">
        <v>63</v>
      </c>
      <c r="G41" s="3" t="b">
        <f aca="false">FALSE()</f>
        <v>0</v>
      </c>
      <c r="H41" s="0" t="s">
        <v>172</v>
      </c>
      <c r="I41" s="4" t="b">
        <f aca="false">FALSE()</f>
        <v>0</v>
      </c>
      <c r="J41" s="0" t="n">
        <v>0</v>
      </c>
      <c r="K41" s="0" t="n">
        <v>0</v>
      </c>
      <c r="L41" s="0" t="n">
        <v>0</v>
      </c>
    </row>
    <row r="42" customFormat="false" ht="15" hidden="false" customHeight="false" outlineLevel="0" collapsed="false">
      <c r="A42" s="0" t="n">
        <v>40</v>
      </c>
      <c r="B42" s="0" t="s">
        <v>173</v>
      </c>
      <c r="C42" s="0" t="s">
        <v>174</v>
      </c>
      <c r="D42" s="0" t="s">
        <v>21</v>
      </c>
      <c r="E42" s="0" t="s">
        <v>22</v>
      </c>
      <c r="F42" s="0" t="s">
        <v>22</v>
      </c>
      <c r="G42" s="3" t="b">
        <f aca="false">FALSE()</f>
        <v>0</v>
      </c>
      <c r="H42" s="0" t="s">
        <v>175</v>
      </c>
      <c r="I42" s="4" t="b">
        <f aca="false">FALSE()</f>
        <v>0</v>
      </c>
      <c r="J42" s="0" t="n">
        <v>0</v>
      </c>
      <c r="K42" s="0" t="n">
        <v>0</v>
      </c>
      <c r="L42" s="0" t="n">
        <v>0</v>
      </c>
    </row>
    <row r="43" customFormat="false" ht="15" hidden="false" customHeight="false" outlineLevel="0" collapsed="false">
      <c r="A43" s="0" t="n">
        <v>41</v>
      </c>
      <c r="B43" s="0" t="s">
        <v>176</v>
      </c>
      <c r="C43" s="0" t="s">
        <v>177</v>
      </c>
      <c r="D43" s="0" t="s">
        <v>15</v>
      </c>
      <c r="E43" s="0" t="s">
        <v>162</v>
      </c>
      <c r="F43" s="0" t="s">
        <v>162</v>
      </c>
      <c r="G43" s="3" t="b">
        <f aca="false">FALSE()</f>
        <v>0</v>
      </c>
      <c r="H43" s="0" t="s">
        <v>178</v>
      </c>
      <c r="I43" s="4" t="b">
        <f aca="false">FALSE()</f>
        <v>0</v>
      </c>
      <c r="J43" s="0" t="n">
        <v>0.25</v>
      </c>
      <c r="K43" s="0" t="n">
        <v>1</v>
      </c>
      <c r="L43" s="0" t="n">
        <v>0.25</v>
      </c>
    </row>
    <row r="44" customFormat="false" ht="99.6" hidden="false" customHeight="false" outlineLevel="0" collapsed="false">
      <c r="A44" s="0" t="n">
        <v>42</v>
      </c>
      <c r="B44" s="0" t="s">
        <v>179</v>
      </c>
      <c r="C44" s="2" t="s">
        <v>180</v>
      </c>
      <c r="D44" s="0" t="s">
        <v>71</v>
      </c>
      <c r="E44" s="0" t="s">
        <v>181</v>
      </c>
      <c r="F44" s="0" t="s">
        <v>181</v>
      </c>
      <c r="G44" s="3" t="b">
        <f aca="false">FALSE()</f>
        <v>0</v>
      </c>
      <c r="H44" s="0" t="s">
        <v>182</v>
      </c>
      <c r="I44" s="4" t="b">
        <f aca="false">FALSE()</f>
        <v>0</v>
      </c>
      <c r="J44" s="0" t="n">
        <v>0</v>
      </c>
      <c r="K44" s="0" t="n">
        <v>0</v>
      </c>
      <c r="L44" s="0" t="n">
        <v>0</v>
      </c>
    </row>
    <row r="45" customFormat="false" ht="230.8" hidden="false" customHeight="false" outlineLevel="0" collapsed="false">
      <c r="A45" s="0" t="n">
        <v>43</v>
      </c>
      <c r="B45" s="0" t="s">
        <v>183</v>
      </c>
      <c r="C45" s="2" t="s">
        <v>184</v>
      </c>
      <c r="D45" s="0" t="s">
        <v>63</v>
      </c>
      <c r="E45" s="0" t="s">
        <v>137</v>
      </c>
      <c r="F45" s="0" t="s">
        <v>63</v>
      </c>
      <c r="G45" s="3" t="b">
        <f aca="false">TRUE()</f>
        <v>1</v>
      </c>
      <c r="H45" s="0" t="s">
        <v>185</v>
      </c>
      <c r="I45" s="5" t="b">
        <f aca="false">TRUE()</f>
        <v>1</v>
      </c>
      <c r="J45" s="0" t="n">
        <v>1</v>
      </c>
      <c r="K45" s="0" t="n">
        <v>1</v>
      </c>
      <c r="L45" s="0" t="n">
        <v>1</v>
      </c>
    </row>
    <row r="46" customFormat="false" ht="99.6" hidden="false" customHeight="false" outlineLevel="0" collapsed="false">
      <c r="A46" s="0" t="n">
        <v>44</v>
      </c>
      <c r="B46" s="0" t="s">
        <v>186</v>
      </c>
      <c r="C46" s="2" t="s">
        <v>187</v>
      </c>
      <c r="D46" s="0" t="s">
        <v>55</v>
      </c>
      <c r="E46" s="0" t="s">
        <v>26</v>
      </c>
      <c r="F46" s="0" t="s">
        <v>26</v>
      </c>
      <c r="G46" s="3" t="b">
        <f aca="false">FALSE()</f>
        <v>0</v>
      </c>
      <c r="H46" s="0" t="s">
        <v>188</v>
      </c>
      <c r="I46" s="4" t="b">
        <f aca="false">FALSE()</f>
        <v>0</v>
      </c>
      <c r="J46" s="0" t="n">
        <v>0.5</v>
      </c>
      <c r="K46" s="0" t="n">
        <v>1</v>
      </c>
      <c r="L46" s="0" t="n">
        <v>0.5</v>
      </c>
    </row>
    <row r="47" customFormat="false" ht="56" hidden="false" customHeight="false" outlineLevel="0" collapsed="false">
      <c r="A47" s="0" t="n">
        <v>45</v>
      </c>
      <c r="B47" s="0" t="s">
        <v>189</v>
      </c>
      <c r="C47" s="2" t="s">
        <v>190</v>
      </c>
      <c r="D47" s="0" t="s">
        <v>15</v>
      </c>
      <c r="E47" s="0" t="s">
        <v>191</v>
      </c>
      <c r="F47" s="0" t="s">
        <v>191</v>
      </c>
      <c r="G47" s="3" t="b">
        <f aca="false">FALSE()</f>
        <v>0</v>
      </c>
      <c r="H47" s="0" t="s">
        <v>192</v>
      </c>
      <c r="I47" s="4" t="b">
        <f aca="false">FALSE()</f>
        <v>0</v>
      </c>
      <c r="J47" s="0" t="n">
        <v>0.25</v>
      </c>
      <c r="K47" s="0" t="n">
        <v>1</v>
      </c>
      <c r="L47" s="0" t="n">
        <v>0.25</v>
      </c>
    </row>
    <row r="48" customFormat="false" ht="15" hidden="false" customHeight="false" outlineLevel="0" collapsed="false">
      <c r="A48" s="0" t="n">
        <v>46</v>
      </c>
      <c r="B48" s="0" t="s">
        <v>193</v>
      </c>
      <c r="C48" s="0" t="s">
        <v>194</v>
      </c>
      <c r="D48" s="0" t="s">
        <v>195</v>
      </c>
      <c r="E48" s="0" t="s">
        <v>196</v>
      </c>
      <c r="F48" s="0" t="s">
        <v>196</v>
      </c>
      <c r="G48" s="3" t="b">
        <f aca="false">FALSE()</f>
        <v>0</v>
      </c>
      <c r="H48" s="0" t="s">
        <v>197</v>
      </c>
      <c r="I48" s="7" t="b">
        <f aca="false">FALSE()</f>
        <v>0</v>
      </c>
      <c r="J48" s="0" t="n">
        <v>0.5</v>
      </c>
      <c r="K48" s="0" t="n">
        <v>1</v>
      </c>
      <c r="L48" s="0" t="n">
        <v>0.5</v>
      </c>
      <c r="N48" s="0" t="s">
        <v>198</v>
      </c>
    </row>
    <row r="49" customFormat="false" ht="15" hidden="false" customHeight="false" outlineLevel="0" collapsed="false">
      <c r="A49" s="0" t="n">
        <v>47</v>
      </c>
      <c r="B49" s="0" t="s">
        <v>199</v>
      </c>
      <c r="C49" s="0" t="s">
        <v>200</v>
      </c>
      <c r="D49" s="0" t="s">
        <v>63</v>
      </c>
      <c r="E49" s="0" t="s">
        <v>162</v>
      </c>
      <c r="F49" s="0" t="s">
        <v>162</v>
      </c>
      <c r="G49" s="3" t="b">
        <f aca="false">FALSE()</f>
        <v>0</v>
      </c>
      <c r="H49" s="0" t="s">
        <v>201</v>
      </c>
      <c r="I49" s="8" t="b">
        <f aca="false">FALSE()</f>
        <v>0</v>
      </c>
      <c r="J49" s="0" t="n">
        <v>0</v>
      </c>
      <c r="K49" s="0" t="n">
        <v>0</v>
      </c>
      <c r="L49" s="0" t="n">
        <v>0</v>
      </c>
      <c r="N49" s="0" t="s">
        <v>202</v>
      </c>
    </row>
    <row r="50" customFormat="false" ht="23.3" hidden="false" customHeight="false" outlineLevel="0" collapsed="false">
      <c r="A50" s="0" t="n">
        <v>48</v>
      </c>
      <c r="B50" s="0" t="s">
        <v>203</v>
      </c>
      <c r="C50" s="2" t="s">
        <v>204</v>
      </c>
      <c r="D50" s="0" t="s">
        <v>21</v>
      </c>
      <c r="E50" s="0" t="s">
        <v>22</v>
      </c>
      <c r="F50" s="0" t="s">
        <v>22</v>
      </c>
      <c r="G50" s="3" t="b">
        <f aca="false">FALSE()</f>
        <v>0</v>
      </c>
      <c r="H50" s="0" t="s">
        <v>205</v>
      </c>
      <c r="I50" s="4" t="b">
        <f aca="false">FALSE()</f>
        <v>0</v>
      </c>
      <c r="J50" s="0" t="n">
        <v>0</v>
      </c>
      <c r="K50" s="0" t="n">
        <v>0</v>
      </c>
      <c r="L50" s="0" t="n">
        <v>0</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v>
      </c>
      <c r="B1" s="0" t="s">
        <v>206</v>
      </c>
      <c r="C1" s="0" t="s">
        <v>207</v>
      </c>
      <c r="D1" s="0" t="s">
        <v>208</v>
      </c>
      <c r="E1" s="0" t="s">
        <v>209</v>
      </c>
      <c r="F1" s="0" t="s">
        <v>210</v>
      </c>
      <c r="G1" s="0" t="s">
        <v>211</v>
      </c>
    </row>
    <row r="2" customFormat="false" ht="15" hidden="false" customHeight="false" outlineLevel="0" collapsed="false">
      <c r="A2" s="0" t="s">
        <v>55</v>
      </c>
      <c r="B2" s="0" t="n">
        <v>9</v>
      </c>
      <c r="C2" s="0" t="n">
        <v>9</v>
      </c>
      <c r="D2" s="0" t="n">
        <v>14</v>
      </c>
      <c r="E2" s="0" t="n">
        <v>0</v>
      </c>
      <c r="F2" s="0" t="s">
        <v>212</v>
      </c>
      <c r="G2" s="0" t="s">
        <v>213</v>
      </c>
    </row>
    <row r="3" customFormat="false" ht="15" hidden="false" customHeight="false" outlineLevel="0" collapsed="false">
      <c r="A3" s="0" t="s">
        <v>15</v>
      </c>
      <c r="B3" s="0" t="n">
        <v>11</v>
      </c>
      <c r="C3" s="0" t="n">
        <v>10</v>
      </c>
      <c r="D3" s="0" t="n">
        <v>7</v>
      </c>
      <c r="E3" s="0" t="n">
        <v>1</v>
      </c>
      <c r="F3" s="0" t="s">
        <v>214</v>
      </c>
      <c r="G3" s="0" t="s">
        <v>215</v>
      </c>
    </row>
    <row r="4" customFormat="false" ht="15" hidden="false" customHeight="false" outlineLevel="0" collapsed="false">
      <c r="A4" s="0" t="s">
        <v>71</v>
      </c>
      <c r="B4" s="0" t="n">
        <v>10</v>
      </c>
      <c r="C4" s="0" t="n">
        <v>4</v>
      </c>
      <c r="D4" s="0" t="n">
        <v>5</v>
      </c>
      <c r="E4" s="0" t="n">
        <v>6</v>
      </c>
      <c r="F4" s="0" t="s">
        <v>216</v>
      </c>
      <c r="G4" s="0" t="s">
        <v>217</v>
      </c>
    </row>
    <row r="5" customFormat="false" ht="15" hidden="false" customHeight="false" outlineLevel="0" collapsed="false">
      <c r="A5" s="0" t="s">
        <v>63</v>
      </c>
      <c r="B5" s="0" t="n">
        <v>4</v>
      </c>
      <c r="C5" s="0" t="n">
        <v>3</v>
      </c>
      <c r="D5" s="0" t="n">
        <v>4</v>
      </c>
      <c r="E5" s="0" t="n">
        <v>1</v>
      </c>
      <c r="F5" s="0" t="s">
        <v>218</v>
      </c>
      <c r="G5" s="0" t="s">
        <v>219</v>
      </c>
    </row>
    <row r="6" customFormat="false" ht="15" hidden="false" customHeight="false" outlineLevel="0" collapsed="false">
      <c r="A6" s="0" t="s">
        <v>90</v>
      </c>
      <c r="B6" s="0" t="n">
        <v>2</v>
      </c>
      <c r="C6" s="0" t="n">
        <v>2</v>
      </c>
      <c r="D6" s="0" t="n">
        <v>6</v>
      </c>
      <c r="E6" s="0" t="n">
        <v>0</v>
      </c>
      <c r="F6" s="0" t="s">
        <v>212</v>
      </c>
      <c r="G6" s="0" t="s">
        <v>220</v>
      </c>
    </row>
    <row r="7" customFormat="false" ht="15" hidden="false" customHeight="false" outlineLevel="0" collapsed="false">
      <c r="A7" s="0" t="s">
        <v>107</v>
      </c>
      <c r="B7" s="0" t="n">
        <v>1</v>
      </c>
      <c r="C7" s="0" t="n">
        <v>1</v>
      </c>
      <c r="D7" s="0" t="n">
        <v>3</v>
      </c>
      <c r="E7" s="0" t="n">
        <v>0</v>
      </c>
      <c r="F7" s="0" t="s">
        <v>212</v>
      </c>
      <c r="G7" s="0" t="s">
        <v>220</v>
      </c>
    </row>
    <row r="8" customFormat="false" ht="15" hidden="false" customHeight="false" outlineLevel="0" collapsed="false">
      <c r="A8" s="0" t="s">
        <v>221</v>
      </c>
      <c r="B8" s="0" t="n">
        <v>0</v>
      </c>
      <c r="C8" s="0" t="n">
        <v>0</v>
      </c>
      <c r="D8" s="0" t="n">
        <v>0</v>
      </c>
      <c r="E8" s="0" t="n">
        <v>0</v>
      </c>
      <c r="F8" s="0" t="s">
        <v>222</v>
      </c>
      <c r="G8" s="0" t="s">
        <v>222</v>
      </c>
    </row>
    <row r="9" customFormat="false" ht="15" hidden="false" customHeight="false" outlineLevel="0" collapsed="false">
      <c r="A9" s="0" t="s">
        <v>38</v>
      </c>
      <c r="B9" s="0" t="n">
        <v>2</v>
      </c>
      <c r="C9" s="0" t="n">
        <v>1</v>
      </c>
      <c r="D9" s="0" t="n">
        <v>5</v>
      </c>
      <c r="E9" s="0" t="n">
        <v>1</v>
      </c>
      <c r="F9" s="0" t="s">
        <v>223</v>
      </c>
      <c r="G9" s="0" t="s">
        <v>224</v>
      </c>
    </row>
    <row r="10" customFormat="false" ht="15" hidden="false" customHeight="false" outlineLevel="0" collapsed="false">
      <c r="A10" s="0" t="s">
        <v>34</v>
      </c>
      <c r="B10" s="0" t="n">
        <v>2</v>
      </c>
      <c r="C10" s="0" t="n">
        <v>2</v>
      </c>
      <c r="D10" s="0" t="n">
        <v>2</v>
      </c>
      <c r="E10" s="0" t="n">
        <v>0</v>
      </c>
      <c r="F10" s="0" t="s">
        <v>212</v>
      </c>
      <c r="G10" s="0" t="s">
        <v>223</v>
      </c>
    </row>
    <row r="11" customFormat="false" ht="15" hidden="false" customHeight="false" outlineLevel="0" collapsed="false">
      <c r="A11" s="0" t="s">
        <v>22</v>
      </c>
      <c r="B11" s="0" t="n">
        <v>7</v>
      </c>
      <c r="C11" s="0" t="n">
        <v>6</v>
      </c>
      <c r="D11" s="0" t="n">
        <v>12</v>
      </c>
      <c r="E11" s="0" t="n">
        <v>1</v>
      </c>
      <c r="F11" s="0" t="s">
        <v>225</v>
      </c>
      <c r="G11" s="0" t="s">
        <v>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227</v>
      </c>
      <c r="B1" s="0" t="s">
        <v>228</v>
      </c>
      <c r="C1" s="0" t="s">
        <v>229</v>
      </c>
    </row>
    <row r="2" customFormat="false" ht="15" hidden="false" customHeight="false" outlineLevel="0" collapsed="false">
      <c r="A2" s="0" t="s">
        <v>230</v>
      </c>
      <c r="B2" s="0" t="s">
        <v>231</v>
      </c>
      <c r="C2" s="0" t="n">
        <v>49</v>
      </c>
    </row>
    <row r="3" customFormat="false" ht="15" hidden="false" customHeight="false" outlineLevel="0" collapsed="false">
      <c r="A3" s="0" t="s">
        <v>232</v>
      </c>
      <c r="B3" s="0" t="s">
        <v>233</v>
      </c>
      <c r="C3" s="0" t="n">
        <v>49</v>
      </c>
    </row>
    <row r="4" customFormat="false" ht="15" hidden="false" customHeight="false" outlineLevel="0" collapsed="false">
      <c r="A4" s="0" t="s">
        <v>234</v>
      </c>
      <c r="B4" s="0" t="s">
        <v>235</v>
      </c>
      <c r="C4" s="0" t="n">
        <v>49</v>
      </c>
    </row>
    <row r="5" customFormat="false" ht="15" hidden="false" customHeight="false" outlineLevel="0" collapsed="false">
      <c r="A5" s="0" t="s">
        <v>236</v>
      </c>
      <c r="B5" s="0" t="s">
        <v>233</v>
      </c>
      <c r="C5" s="0" t="n">
        <v>49</v>
      </c>
    </row>
    <row r="6" customFormat="false" ht="15" hidden="false" customHeight="false" outlineLevel="0" collapsed="false">
      <c r="A6" s="0" t="s">
        <v>237</v>
      </c>
      <c r="B6" s="0" t="s">
        <v>238</v>
      </c>
      <c r="C6" s="0" t="n">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2026-07-21T04:20:35Z</dcterms:created>
  <dc:creator>openpyxl</dc:creator>
  <dc:description/>
  <dc:language>en-GB</dc:language>
  <cp:lastModifiedBy/>
  <dcterms:modified xsi:type="dcterms:W3CDTF">2026-07-21T13:18:15Z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