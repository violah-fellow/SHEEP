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<sst xmlns="http://schemas.openxmlformats.org/spreadsheetml/2006/main" count="605" uniqueCount="363">
  <si>
    <t xml:space="preserve">id</t>
  </si>
  <si>
    <t xml:space="preserve">title</t>
  </si>
  <si>
    <t xml:space="preserve">abstract</t>
  </si>
  <si>
    <t xml:space="preserve">research_category</t>
  </si>
  <si>
    <t xml:space="preserve">raw_predicted_categories</t>
  </si>
  <si>
    <t xml:space="preserve">predicted_categories</t>
  </si>
  <si>
    <t xml:space="preserve">other_clash</t>
  </si>
  <si>
    <t xml:space="preserve">reasoning_LLM</t>
  </si>
  <si>
    <t xml:space="preserve">exact_match</t>
  </si>
  <si>
    <t xml:space="preserve">row_precision</t>
  </si>
  <si>
    <t xml:space="preserve">row_recall</t>
  </si>
  <si>
    <t xml:space="preserve">row_jaccard</t>
  </si>
  <si>
    <t xml:space="preserve">Notes</t>
  </si>
  <si>
    <t xml:space="preserve">Like-A-Pro: From niche to mainstream - alternative proteins for everybody and everywhere</t>
  </si>
  <si>
    <t xml:space="preserve">The interest of Europeans in alternative proteins is becoming clear and this trend is the perfect ground for the dietary shift towards sustainable and healthy nutrition and food systems, in line with the ambitions of the EU Green Deal, Farm to Fork strategy and EU’s climate goals. Yet, this interest is not reflected in the European dietary patterns, as alternative proteins are mainly consumed by early adopters, while the majority is less receptive towards alternatives or have limited possibilities to integrate them in the diets. This gap between interest and consumption is due to obstacles in the food environments such as product limited offering, suboptimal product taste, isolated product placement in shops or menus etc. Without overcoming these obstacles, alternative proteins will remain a niche. LIKE-A-PRO aims at mainstreaming alternative proteins, making them accessible, available, and acceptable to everybody (from children to elderly, vulnerable groups) and everywhere (across Europe, in urban, peri-urban, and rural areas). To achieve this, key representatives along the entire alternative protein value chain (growers, producers, cooks, retailers, consumers, researchers) will work together in a trans-disciplinary consortium. To improve European food environments towards fostering alternative protein consumption, practical solutions will be co-designed with citizens. This social innovation will take place in 11 living labs and in 4 real life food environments. For a diversified alternative protein offering, 16 new alternative protein products will be developed with 7 sustainable, healthy, and novel sources. To secure result deployment, the project will actively involve middle food system actors (+35,000 companies) – via co-creation and capacity building. For a maximised impact, innovative communication campaigns will be launched in 6 countries, reaching 8 M citizens in 4 years.</t>
  </si>
  <si>
    <t xml:space="preserve">Consumer &amp; market research, Impact assessments, Health &amp; nutrition</t>
  </si>
  <si>
    <t xml:space="preserve">End product formulation, Consumer &amp; market research, Other</t>
  </si>
  <si>
    <t xml:space="preserve">End product formulation, Consumer &amp; market research</t>
  </si>
  <si>
    <t xml:space="preserve">The grant funds development of new alternative protein products (End product formulation), consumer-facing co-design and acceptance research in living labs and food environments (Consumer &amp; market research), and broad social innovation, capacity building, and communication activities that don't fit other categories (Other).</t>
  </si>
  <si>
    <t xml:space="preserve">Tend to agree with LLM – definitely end product and consumer. Health &amp; nutrition could be included because they are developing the new products to be healthy, but it doesn’t seem like an inherently major focus.</t>
  </si>
  <si>
    <t xml:space="preserve">IMPROVED VALORIZATION OF MARINE SOURCES AND PROCESSING WASTE FOR RESOURCE EFFICIENT BLUE FOOD/FEED AND ENVIRONMENTALLY SUSTAINABLE MATERIALS DEVELOPMENT</t>
  </si>
  <si>
    <t xml:space="preserve">Ingredient optimisation, Feedstocks</t>
  </si>
  <si>
    <t xml:space="preserve">Other</t>
  </si>
  <si>
    <t xml:space="preserve">The abstract is unavailable and the title focuses on marine/blue food sources and processing waste valorization, which does not align with plant-based alternative protein research categories, so it is classified as Other.</t>
  </si>
  <si>
    <t xml:space="preserve">No abstract. Feedstocks is not for plant-based – may be crop development? Almost certainly ingredient optimisation.</t>
  </si>
  <si>
    <t xml:space="preserve">Organic mung bean based taste innovation for plant based growth</t>
  </si>
  <si>
    <t xml:space="preserve">Purpose and goal: ** Denna text är maskinöversatt ** Aim of the project was to, with increased sales efforts and underlying market support, start an export towards the German market with Oh Mungood as a brand. A way to get more people to eat plant-based and organic. With successful results. Both direct deals, agreements with wholesalers, presence on site, an established work with a distributor and the award "Internorga future food award". A prestigious award that we are very proud of and which, together with the project´s support, has given us a good start for continued establishment in this market. Expected results and effects: The project has resulted in sales materials, a German website, German packaging design, direct sales efforts, German distributor, two fairs and other sales consultants. This in turn has given a successful results in the form of actual deals, agreements and awards. Approach and implementation: Through project management, we have mainly been able to make direct sales efforts and efforts for the production of materials by consultants. We have also been able to be present at two fairs. We have both worked with old collaborations and partners but also had the opportunity to dare to go in with a new German distributor. It has proven to give very good results and we feel very satisfied with the outcome. We would not have been able to make this effort without this support.</t>
  </si>
  <si>
    <t xml:space="preserve">Consumer &amp; market research</t>
  </si>
  <si>
    <t xml:space="preserve">This grant funds market entry and export activities (sales materials, distributor relationships, trade fairs) for a mung bean plant-based brand in Germany, with no substantive research activities in any of the defined scientific or analytical categories.</t>
  </si>
  <si>
    <t xml:space="preserve">Tend to agree with LLM. Could be both Other and Consumer &amp; Market Research but the consumer side is not that clear (more implicit but would be necessary for this work)</t>
  </si>
  <si>
    <t xml:space="preserve">Harnessing the microbial potential of fermented foods for healthy and sustainable food systems (DOMINO)</t>
  </si>
  <si>
    <t xml:space="preserve">Food and beverage fermentation dates back 7 000 years. Despite this long history, we know very little about the benefits of such a diet. The EU-funded DOMINO project will study the health impacts of a diet based on fermented food (milk kefir) on a healthy population and a cohort suffering from metabolic syndrome to better focus on health biomarkers and inform dietary recommendations. We are also missing strategies to ensure food production sustainability. The project will thus carry out six plant-based fermented food case studies within the framework of citizen science. These food prototypes will help to develop an open-access database and new computational tools for profiling food microbiomes’ metabolic interaction during food fermentation and their overlap with the healthy gut microbiome.</t>
  </si>
  <si>
    <t xml:space="preserve">Health &amp; nutrition, End product formulation, Consumer &amp; market research</t>
  </si>
  <si>
    <t xml:space="preserve">End product formulation, Health &amp; nutrition, Other</t>
  </si>
  <si>
    <t xml:space="preserve">End product formulation, Health &amp; nutrition</t>
  </si>
  <si>
    <t xml:space="preserve">The grant funds health outcome studies (metabolic syndrome cohort, biomarkers) → Health &amp; nutrition TRUE; plant-based fermented food prototypes are developed as case studies → End product formulation TRUE; computational microbiome database and citizen science framework represent activities outside standard categories → Other TRUE.</t>
  </si>
  <si>
    <t xml:space="preserve">Agree with LLM. I don’t think there is significant consumer research for it to gain that label.</t>
  </si>
  <si>
    <t xml:space="preserve">Opportunity Study Sustainable Proteins for Aquaculture</t>
  </si>
  <si>
    <t xml:space="preserve">Impact assessments</t>
  </si>
  <si>
    <t xml:space="preserve">With no abstract available and only a broad title referencing an 'opportunity study' for sustainable proteins in aquaculture, the grant appears to be a scoping/review activity that does not clearly map to any specific research category other than Other.</t>
  </si>
  <si>
    <t xml:space="preserve">Agree with LLM. Opportunity study is not impact assessment. If anything else, it would be consumer &amp; market research.</t>
  </si>
  <si>
    <t xml:space="preserve">Ocean Bite</t>
  </si>
  <si>
    <t xml:space="preserve">Purpose and goal: The objectives of the project were: (1) Design a lab scale fabrication process; (2) Produce a seaweed-based food prototype with a texture that reassembles meat and/or seafoods; (3) Investigate the structure/morphology formation and related product characteristics; (4) Derive guidelines to scale up the process and product development. The project fulfilled the overall objectives,various prototypes have been produced that led to the identification of a plant-based seafood as targeted product. Two processes were tested and identified as potential for scaling-up. Expected results and effects: Prototypes, containing seaweed suspensions and extract, and plant proteins, were produced using a lab scale fabrication process. Their mechanical and sensory properties led to the identification of targeted products, which are plant-based seafood. Plant proteins suitable for this application were classified, based on their solubility and sensory properties. Two scale up processes were tested, and their challenges and benefits were assessed. Further development of the product prototypes and processes is needed to optimize the sensory perception and nutritional composition. Approach and implementation: The project was managed by RISE Research Institutes of Sweden AB. The work was performed experimentally, and it was organized in two work packages: WP1 process design and WP2 product design. The methodology consists in combining aspects like raw materials and products properties, process, and sensory characteristics. Process and product design scientists from RISE worked together with experts in seafood analogues from Hooked Foods AB.</t>
  </si>
  <si>
    <t xml:space="preserve">Texturization methods, End product formulation</t>
  </si>
  <si>
    <t xml:space="preserve">Ingredient optimisation, End product formulation, Texturization methods</t>
  </si>
  <si>
    <t xml:space="preserve">The grant funds lab-scale fabrication process design (texturization methods), prototype development and characterisation of plant-based seafood products (end product formulation), and classification of plant proteins by solubility and sensory properties for this application (ingredient optimisation); no consumer research, safety, health, or impact assessment activities are funded.</t>
  </si>
  <si>
    <t xml:space="preserve">Should not include ingredient optimisation – there is not enough individual ingredient work, it is very end product focussed.</t>
  </si>
  <si>
    <t xml:space="preserve">SusKelpFood – Sustainable ingredients from cultivated kelp to the food industry</t>
  </si>
  <si>
    <t xml:space="preserve">There is a growing need to produce more food in a sustainable way. In this context, kelp aquaculture is considered being a part of the solution for the sustainable production of food and animal feed. Kelp biomass can be cultivated on a large scale in coastal areas without need for chemicals and fertilizers, and without competing for freshwater or soil resources. If properly regulated, it will also provide ecosystem services, such as supporting biodiversity and mitigating CO2 emissions and eutrophication. Kelps are also a rich source of nutrients, taste and other bioactive substances with a large potential in food applications. The SusKelpFood project addresses some critical challenges for the food sector and emerging kelp industry to enable a broader use of this resource in food applications. Using key expertise from Nordic (Norway, Denmark, Iceland) research institutions, a major food producer (Orkla Foods Norge) and kelp producers, innovative and scalable conservation and processing methods (e.g. pulse electric field, warm seawater treatment, acid preservation, fermentation) were tested. The food safety incl. the presence of iodine, heavy metals, microbial pathogens and allergens of the resulting products was characterized and the retention of nutrients and changes in sensory properties from these processes were monitored. Information on the consumer perception and attitudes towards kelp-based food collected from interviews, surveys and from testing product prototypes. Compiling this data along with data from a product-based life cycle analysis provides a multi-criteria decision tool to industrial stakeholders to support the development of kelp-based food products and enable a broader inclusion of cultivated kelp in manufactured food products.</t>
  </si>
  <si>
    <t xml:space="preserve">Food safety &amp; quality, Consumer &amp; market research</t>
  </si>
  <si>
    <t xml:space="preserve">Ingredient optimisation, End product formulation, Food safety &amp; quality, Consumer &amp; market research, Impact assessments</t>
  </si>
  <si>
    <t xml:space="preserve">The grant funds ingredient processing/conservation methods for kelp (Ingredient optimisation), prototype product development (End product formulation), food safety characterisation including iodine, heavy metals, pathogens and allergens (Food safety &amp; quality), consumer perception surveys and prototype testing (Consumer &amp; market research), and a product-based LCA (Impact assessments).</t>
  </si>
  <si>
    <t xml:space="preserve">Agree with LLM. </t>
  </si>
  <si>
    <t xml:space="preserve">Scientific research carried out as part of subsidies for maintaining research potential.</t>
  </si>
  <si>
    <t xml:space="preserve">The title and abstract provide no specific information about research activities, so the grant can only be classified as Other.</t>
  </si>
  <si>
    <t xml:space="preserve">new VALue landscapes for plant PROtein Pathways (VALPRO Path)</t>
  </si>
  <si>
    <t xml:space="preserve">The current European plant-protein landscape is flawed. Heightened societal awareness of the environmental impact of consuming animal-based protein is driving the public’s awareness of alternative, sustainable sources of dietary protein. Yet, production systems are focussed heavily on the production of feedstock for direct transfer into animal sectors in an attempt to counter the EU’s over-dependency on imported feed. In essence, there is an absence of premium supply chains - farmers miss out on added-value opportunities that exist within the crops they already grow across Europe. There is a need to increase resilience in farming systems to mitigate against increasingly volatile climate patterns and to support farming systems to meet Farm-to-Fork strategic objectives. Built on the principles of co-creation, innovation and demonstration, VALPRO Path will design, validate and deliver sustainable and competitive plant protein crop systems and value chains. Focussed on underpinning economic value for all actors in the supply chain, it will exploit beyond state-of-the-art innovations, demonstrating and evaluating potential across 5 multi-stakeholder ‘living lab’ innovation production systems (IPSs). With strong industry involvement, the project will deliver a stronger ecosystem for plant protein production, supported with robust evidence of the social, economic, environmental, climate and health benefits. VALPRO Path will deliver new, sustainable business models, showing how focussed research can come into practice. Sustainable diversification of rotations with grain legumes will support the transition to more environmentally sustainable farming. European agriculture is at a juncture in regards to the sustainable provision of dietary protein. It can embrace opportunities presented through existing innovations that are integrated into real-life scenarios to support stakeholders realise the new market opportunities that exist for indigenous, fully traceable plant protein.</t>
  </si>
  <si>
    <t xml:space="preserve">Ingredient optimisation, Crop development, Impact assessments</t>
  </si>
  <si>
    <t xml:space="preserve">Crop development, Impact assessments, Other</t>
  </si>
  <si>
    <t xml:space="preserve">Crop development, Impact assessments</t>
  </si>
  <si>
    <t xml:space="preserve">The grant funds development of plant protein crop systems and diversified rotations with grain legumes (Crop development), structured assessment of social, economic, environmental, and climate impacts across living lab innovation production systems (Impact assessments), and broader supply chain, business model, and policy-oriented activities that don't fit other categories (Other).</t>
  </si>
  <si>
    <t xml:space="preserve">Using customer insights analysis for business growth in the plant-based meat and fish alternatives sector</t>
  </si>
  <si>
    <t xml:space="preserve">The title explicitly focuses on customer insights analysis for business growth in the plant-based sector, which directly maps to consumer and market research activities.</t>
  </si>
  <si>
    <t xml:space="preserve">How to build a protein factory? Linking structure and function of the plant endoplasmic reticulum</t>
  </si>
  <si>
    <t xml:space="preserve">Strain development</t>
  </si>
  <si>
    <t xml:space="preserve">With no abstract available, the title suggests fundamental plant cell biology research on the endoplasmic reticulum's role in protein synthesis, which does not clearly map to any specific alternative protein applied research category and is classified as Other.</t>
  </si>
  <si>
    <t xml:space="preserve">No abstract. Genetic engineering of plants is probably crop development?</t>
  </si>
  <si>
    <t xml:space="preserve">EMAIL</t>
  </si>
  <si>
    <t xml:space="preserve">Food quality control by RNA profiling (foodRNA)</t>
  </si>
  <si>
    <t xml:space="preserve">The field of food quality control is important to all consumers - ensuring food safety and detecting food substitutions and fraud. Next-generation sequencing has the potential to revolutionize the field, but practical solutions are lagging behind. State-of-the-art DNA-based tests yield limited information beyond what animal, plant and bacterial species constitute a given food product - and in some cases performing that task sub-optimally. Profiling RNA in food products can potentially yield important novel information that DNA-based tests cannot - including expression information that can be used to ensure food safety and quality and detect food fraud. With a focus on plant-based food products, we will develop, optimize and set up tests that will be substantially cheaper and more sensitive than the state-of-the-art, allowing upscaling in food quality control. We will provide our product as a service to national food control agencies (which we already collaborate with) and also to high-end food producers as an accreditation service. We foresee that as consumer awareness increases, the demand for these tests will increase exponentially in the future.</t>
  </si>
  <si>
    <t xml:space="preserve">Food safety &amp; quality</t>
  </si>
  <si>
    <t xml:space="preserve">The grant is focused on developing RNA profiling methods for food quality control, specifically to detect food fraud, substitutions, and ensure food safety in plant-based products — this is a clear food safety &amp; quality analytical method development activity.</t>
  </si>
  <si>
    <t xml:space="preserve">Ecological critique and civic experiments in plant-based agricultural alternatives (CIVEX)</t>
  </si>
  <si>
    <t xml:space="preserve">Consumer &amp; market research, Impact assessments</t>
  </si>
  <si>
    <t xml:space="preserve">With no abstract available, the title suggests ecological critique and civic/social experimentation around plant-based agriculture, which fits best under Other (ethical, philosophical, or policy-oriented research) rather than any specific technical category.</t>
  </si>
  <si>
    <t xml:space="preserve">No abstract. </t>
  </si>
  <si>
    <t xml:space="preserve">Climate-ready faba beans for the Nordic and Baltic Region</t>
  </si>
  <si>
    <t xml:space="preserve">Crop development</t>
  </si>
  <si>
    <t xml:space="preserve">The title explicitly references developing climate-ready faba beans, indicating crop breeding/development work for a specific region, with no other research activities discernible from the available information.</t>
  </si>
  <si>
    <t xml:space="preserve">AlgFlavor, Enhancing algal biomass consumer acceptance for food markets</t>
  </si>
  <si>
    <t xml:space="preserve">As society shifts away from animal-based diets driven by environmental, health and animal welfare
concerns, both seaweed and microalgae (collectively referred to as algae) emerge as a promising
sustainable food source. With their rich nutritional content, including protein, minerals, vitamins, fiber
and omega-3 fatty acids, these low trophic marine species offer a viable solution to meet consumer
demands for healthy and eco-friendly diets. Despite the potential of algae, the widespread adoption in
European markets faces hurdles due to limited consumer acceptance stemming from the impact of
algal biomass on taste, aroma and visual appeal in food products. AlgFlavor will tackle these
concerns as it is crucial for building consumer trust and promoting the widespread use of algae in food.</t>
  </si>
  <si>
    <t xml:space="preserve">Ingredient optimisation, End product formulation, Consumer &amp; market research</t>
  </si>
  <si>
    <t xml:space="preserve">ing animal-based protein is driving the public’s awareness of alternative, sustainable sources of dietary protein. Yet, production systems are focussed heavily on the production of feedstock for direct transfer into animal sectors in an attempt to counter the EU’s over-dependency on imported feed. In essence, there is an absence of premium supply chains - farmers miss out on added-value opportunities that exist within the crops they already grow across Europe. There is a need to increase resilience in farming systems to mitigate against increasingly volatile climate patterns and to support farming systems to meet Farm-to-Fork strategic objectives. Built on the principles of co-creation, innovation and demonstration, VALPRO Path will design, validate and deliver sustainable and competitive plant protein crop systems and value chains. Focussed on underpinning economic value for all actors in the supply chain, it will exploit beyond state-of-the-art innovations, demonstrating and evaluating potential across 5 multi-stak</t>
  </si>
  <si>
    <t xml:space="preserve">Should be consumer &amp; market research only and that is the only research topic. Not sure what happened to the reasoning_LLM – it looks like part of the description, not the LLM’s reasoning.</t>
  </si>
  <si>
    <t xml:space="preserve">The role of algae in sustainable food systems- a knowledge synthesis of the nutritional quality and environmental impact</t>
  </si>
  <si>
    <t xml:space="preserve">Health &amp; nutrition, Impact assessments</t>
  </si>
  <si>
    <t xml:space="preserve">With no abstract available, the title suggests a knowledge synthesis (review) covering nutritional quality and environmental impact of algae in food systems, which fits the 'Other' category as a broad review activity rather than primary empirical research in any specific category.</t>
  </si>
  <si>
    <t xml:space="preserve">HIGH PRESSURE TREATMENT OF LIQUID FOODS AND DERIVED PRODUCTS</t>
  </si>
  <si>
    <t xml:space="preserve">Bioprocess design</t>
  </si>
  <si>
    <t xml:space="preserve">With no abstract available and a title focused on high pressure treatment of liquid foods, this cannot be confidently classified into any specific alternative protein research category, so it defaults to Other.</t>
  </si>
  <si>
    <t xml:space="preserve">HealthFerm: Innovative pulse and cereal-based food fermentations for human health and sustainable diets</t>
  </si>
  <si>
    <t xml:space="preserve">Food fermentation is a natural process in which food components are converted by microbial growth of desired yeast and bacteria and enzymes. It is an ancient technique purported to promote the growth of beneficial bacteria in the gut. Food and health experts on the EU-funded HealthFerm project will advance fermentation technology and enable the transition from traditional to sustainable grain-based fermented foods. These will be rich in protein and designed to offer maximum health benefits to EU consumers. For optimal results, they will unravel the relationship between fermentation, the gut microbiome, grain-based foods and health. Moreover, they will identify and employ suitable microorganisms in the development of novel grain-based food sources and assess their impact on gut health.</t>
  </si>
  <si>
    <t xml:space="preserve">Ingredient optimisation, Health &amp; nutrition, Consumer &amp; market research</t>
  </si>
  <si>
    <t xml:space="preserve">Ingredient optimisation, End product formulation, Health &amp; nutrition</t>
  </si>
  <si>
    <t xml:space="preserve">The grant funds fermentation technology development for grain/pulse-based foods (Ingredient optimisation), formulation of novel fermented food products (End product formulation), and studies on gut microbiome and health outcomes from consuming these foods (Health &amp; nutrition).</t>
  </si>
  <si>
    <t xml:space="preserve">Agree with LLM – not consumer &amp; market research. Unsure whether ingredient optimisation should be included or just end product formulation. I don’t think it’s much of an issue to include both though as it’s likely it covers both.</t>
  </si>
  <si>
    <t xml:space="preserve">FoodTecZYME / Enzyme-based degradation of off-flavors in plant-based milk products - Sub-project: Development of enzyme libraries for the large-scale degradation of off-flavors</t>
  </si>
  <si>
    <t xml:space="preserve">End product formulation</t>
  </si>
  <si>
    <t xml:space="preserve">Ingredient optimisation</t>
  </si>
  <si>
    <t xml:space="preserve">The grant focuses on developing enzyme libraries to degrade off-flavors in plant-based milk products, which is an ingredient/processing optimisation activity aimed at improving the sensory quality of plant protein ingredients through enzymatic treatment.</t>
  </si>
  <si>
    <t xml:space="preserve">Agree with LLM despite no abstract.</t>
  </si>
  <si>
    <t xml:space="preserve">Link (legume interactive network a strong multidisciplinary scientific network for the benefit of grain legume integrated chain to meet the protein demand of the European end-use industry</t>
  </si>
  <si>
    <t xml:space="preserve">With no abstract available and only a title describing a multidisciplinary scientific network for grain legumes, this grant appears to be a networking/coordination activity that does not clearly fund specific research activities in any defined category, so it is classified as Other.</t>
  </si>
  <si>
    <t xml:space="preserve">A targeted subsidy for conducting in 2014 research or development works and related tasks, serving the development of young scientists and participants of doctoral studies.</t>
  </si>
  <si>
    <t xml:space="preserve">The grant title and abstract provide no specific information about research activities related to alternative proteins or any of the defined categories, so it is classified as Other.</t>
  </si>
  <si>
    <t xml:space="preserve">AVEGru</t>
  </si>
  <si>
    <t xml:space="preserve">cross-cutting</t>
  </si>
  <si>
    <t xml:space="preserve">The title 'AVEGru' provides no meaningful information and the abstract is missing, so no specific research activities can be identified beyond classifying it as Other.</t>
  </si>
  <si>
    <t xml:space="preserve">Intelligent Collections of Food Legumes Genetic Resources for European Agrofood Systems (INCREASE)</t>
  </si>
  <si>
    <t xml:space="preserve">The grant title explicitly references genetic resources collections for food legumes, indicating crop/germplasm development activities focused on legume protein crops for agrofood systems.</t>
  </si>
  <si>
    <t xml:space="preserve">Continuous processing of fibrous plant-based meat structure</t>
  </si>
  <si>
    <t xml:space="preserve">Texturization methods</t>
  </si>
  <si>
    <t xml:space="preserve">The grant focuses on continuous processing to create fibrous structures in plant-based meat, which is a process innovation for texturization of finished alternative protein products.</t>
  </si>
  <si>
    <t xml:space="preserve">Smart and flexible Separation and Valorisation of mixed bio-waste from along the agri-food value chain.</t>
  </si>
  <si>
    <t xml:space="preserve">Feedstocks</t>
  </si>
  <si>
    <t xml:space="preserve">With only a title and no abstract, the grant appears to focus on bio-waste separation and valorisation from agri-food chains, which does not clearly map to any specific alternative protein research category, so it is classified as Other.</t>
  </si>
  <si>
    <t xml:space="preserve">Increasing food security and decreasing malnutrition via innovation agro-platforms, crop breeding and novel food processing of common beans in Uganda</t>
  </si>
  <si>
    <t xml:space="preserve">Climate change and Covid-19 pandemics are two global challenges that Uganda is currently facing, therefore to meet sufficient needs of micronutrients in food and to improve food security is more urgent then ever. The present project aims to develop: 1) locally adapted good quality and high yielding beans, and 2) novel processing technologies of beans, to sustain food security and enhance nutrients and micronutrients in food in Uganda. The project is focusing on the use of the most recent marker-assisted selection methods (e.g. GBS and GWAS) in combination with modern innovative processing methods (e.g. ultrasonication) to: i) improve drought tolerance in beans, ii) improve nutritional composition of proteins and microelements, and organoleptic properties (taste) of bean food, iii) develop the innovation agro-platforms for delivering nutritious high quality food in a varying climate. This project will contribute with the most novel and high impact methods so far available to improve food security and nutrition, and will help secure food products, highly appreciated by the African consumer. The innovative agro-platforms will sustain development of promising drought tolerant protein-rich bean types suited for local farms in Uganda. In the long-term, this project will contribute food security and health benefits to the African population across the continent.</t>
  </si>
  <si>
    <t xml:space="preserve">Crop development, Ingredient optimisation</t>
  </si>
  <si>
    <t xml:space="preserve">The grant explicitly funds crop breeding activities (marker-assisted selection for drought tolerance and improved nutritional composition) and novel processing technologies (ultrasonication) applied to beans to improve protein and micronutrient quality and organoleptic properties, qualifying as both crop development and ingredient optimisation; other categories are mentioned only as motivational context or expected downstream benefits.</t>
  </si>
  <si>
    <t xml:space="preserve">Agree with LLM</t>
  </si>
  <si>
    <t xml:space="preserve">Sustainable everyday nutrition with a taste of Gotland</t>
  </si>
  <si>
    <t xml:space="preserve">Purpose and goal: The project resulted in two organic plant-based minced products (växtfärs) under the brand name "Smak av SVEA". Through gentle manufacturing the products have good formability and structure and, in comparison with current corresponding products on the market, a good nutritional profile. The climate footprint at the industrial gate is below 0.4 kg CO2e/kg. The project has shown that all-Swedish production and Swedish organic ingredients can result in tasty, sustainable and nutritious products at a competitive price on the market. Expected results and effects: All objectives in the project have been met and several have been exceeded. The products meet the criteria for approved nutritional claims within high protein content, low fat content, low saturated fat content and high fiber content. Smak av Svea Växtfärs meets all the set criteria to be labeled with the Keyhole symbol. The climate impact of Smak by Svea Växtfärs is low in relation to nutritional content. By using completely natural ingredients, mild process and without industrial additives, the side streams from the manufacture are basically non-existent. Approach and implementation: The project was carried out in different work packages that focused on sustainable nutrition, product development, sustainable production and process implementation, customers and market and project management. The various work packages have been allowed to work partly in parallel. The area is relatively new and the project had to start with establishing terminology, methods and requirements for important quality aspects. Analysis of the climate impact was carried out by RISE at the end of the project when there was an industrial production with real quantitative data.</t>
  </si>
  <si>
    <t xml:space="preserve">End product formulation, Consumer &amp; market research, Impact assessments</t>
  </si>
  <si>
    <t xml:space="preserve">The grant funded development of finished plant-based minced products (end product formulation), included customer/market work packages (consumer &amp; market research), and conducted a climate impact/LCA analysis at industrial scale (impact assessments).</t>
  </si>
  <si>
    <t xml:space="preserve">Agree with LLM. Not health &amp; nutrition because there is no assessment of health impacts, only adjusting end product nutrition to maximise certain parameters and meet criteria.</t>
  </si>
  <si>
    <t xml:space="preserve">Methods for texturing Swedish protein raw materials and the impact on taste, texture, function and sustainability</t>
  </si>
  <si>
    <t xml:space="preserve">Purpose and goal: 
The overall purpose of the study has been to investigate how methods for texturing Swedish plant-based protein raw material affect taste, texture and shelf life in different foods. Our goal has been to increase knowledge and competence in order to be able to compile a basis for optimized domestic processing of Swedish protein raw materials. The study was carried out as partly literature studies and partly through pilot experiments at two different plants for extrusion as a method for texturing. The results have contributed to increasing understanding and will be important in the continued work. 
Expected results and effects: 
Our results from the various pilot experiments show that the parameters that have the greatest impact on the extruded product are temperature, water content, shear and pressure. By adjusting these, the end product can be optimized. Furthermore, our analyzes show that it is possible to optimize resource utilization in the form of energy and chemical use through the chosen method for processing the protein raw material before texturing and that it is possible to achieve good results on the extruded product with a concentrate produced by mechanical concentration. 
Approach and implementation: 
The project was carried out in three work packages, the first of which was to map and describe available processes for texturing plant-based proteins. This was carried out as a literature study and in dialogue with various partners. 
Work package 2 involved a number of pilot trials at two different extrusion plants (RISE, LTH) with different types and composition of plant-based proteins as starting material and subsequent analysis.
Work package 3 involved an overall analysis of which factors in the value chain contribute to energy consumption and chemical consumption.</t>
  </si>
  <si>
    <t xml:space="preserve">Ingredient optimisation, Texturization methods</t>
  </si>
  <si>
    <t xml:space="preserve">The grant funds pilot extrusion experiments to investigate texturization of Swedish plant-based proteins (Texturization methods: TRUE), and also examines pre-texturization processing of protein raw materials including mechanical concentration to optimize ingredient quality before extrusion (Ingredient optimisation: TRUE); sustainability/energy analysis is mentioned only as a work package framing rather than a structured LCA or TEA methodology.</t>
  </si>
  <si>
    <t xml:space="preserve">Tasty pea and bean food products: An integrated approach of plant breeding, raw material processing and food product development</t>
  </si>
  <si>
    <t xml:space="preserve">Crop development, Ingredient optimisation, End product formulation</t>
  </si>
  <si>
    <t xml:space="preserve">The title explicitly references plant breeding (Crop development), raw material processing (Ingredient optimisation), and food product development (End product formulation) as integrated research activities for pea and bean products.</t>
  </si>
  <si>
    <t xml:space="preserve">Based on the title, I agree with the LLM. Check cross-cutting label with Stella.</t>
  </si>
  <si>
    <t xml:space="preserve">Biotransformation of brewers´ spent grain: increased functionality for novel food applications</t>
  </si>
  <si>
    <t xml:space="preserve">The title indicates biotransformation of brewers' spent grain to increase functionality for food applications, which aligns with ingredient optimisation (improving processing and functionalisation of protein/non-protein ingredients); no other categories are substantively indicated.</t>
  </si>
  <si>
    <t xml:space="preserve">No abstract. I would guess both strain development and ingredient optimisation, so LLM on the way there.</t>
  </si>
  <si>
    <t xml:space="preserve">Exploring the impact of plant-based diets on iodine intake in the UK population</t>
  </si>
  <si>
    <t xml:space="preserve">Following a mostly plant-based diet will significantly reduce iodine intake, which cannot be fully compensated through the consumption of iodine-fortified milk-alternative products.</t>
  </si>
  <si>
    <t xml:space="preserve">Health &amp; nutrition</t>
  </si>
  <si>
    <t xml:space="preserve">The grant investigates the health/nutritional outcome of iodine intake in relation to plant-based diets in the UK population, making Health &amp; nutrition the primary funded research activity.</t>
  </si>
  <si>
    <t xml:space="preserve">EPIC-Oxford: benefits and risks of plant-based diets</t>
  </si>
  <si>
    <t xml:space="preserve">The EPIC-Oxford study is a population-based cohort study examining health outcomes associated with plant-based diets, making Health &amp; nutrition the primary category based on the title's explicit focus on benefits and risks of such diets.</t>
  </si>
  <si>
    <t xml:space="preserve">Tackling barriers to increased acceptance of meat analogues through taste enhancement using healthy fats</t>
  </si>
  <si>
    <t xml:space="preserve">Substituting meat with more environmentally friendly proteins such as meat analogues has become more accepted by consumers. However, resistance grounded in taste preferences persists. Fats are a key carrier of flavor and represent an opportunity for sensorial improvement in these products. Meat analogues often contain fats rich in healthy unsaturated fatty acids, which are typically liquid at room temperature (RT), affecting their mechanical and structural properties. The impact of this on the sensory experience is under-researched. The potential for using oleogels, which are more solid at RT and thus closer in mechanical terms to the fats found in meat, here is also relatively unknown. This project aims to assess the role of healthy vegetable fats and oleogels in enhancing the taste of meat analogues. Prototypes varying in fat type, content, and processing will be developed, evaluated sensorially (profiling and liking) and behaviorally (performance in meal preparation), and benchmarked against existing commercial products. The prototypes will also be comprehensively characterized instrumentally in order to describe the sensory data in physiochemical terms, increasing knowledge on the origin of the sensory experiences and expediting future product development.</t>
  </si>
  <si>
    <t xml:space="preserve">The grant funds ingredient optimisation (studying vegetable fats and oleogels as functional ingredients), end product formulation (developing and characterising meat analogue prototypes with varying fat types/contents), and consumer/market research (sensory profiling, liking evaluation, and behavioural testing in meal preparation contexts).</t>
  </si>
  <si>
    <t xml:space="preserve">I think it should be end product formulation only. It is not ingredient optimisation as the grant does not optimise the fats individually, it only incorporates different fats into an end product. Also, end product sensory evaluation includes tasting – it is not consumer and market research.</t>
  </si>
  <si>
    <t xml:space="preserve">Detection and characterization of bound residues of chlorothalonil and parathion in plant foods by immunochemical methods</t>
  </si>
  <si>
    <t xml:space="preserve">For the formation of bound residues of pesticides in food plants there are plausible mechanistic explanations, but there are no analytical methods to detect such residues in fruits or vegetables. Using the example of two frequently used pesticides, chlorothalonil and parathion bound residues in plant foods are structurally characterized and developed methods for residue analytical determination using immunochemical methods. In addition to the aspects of the urgent need for basic research methods open up in terms of technology transfer, the development of analytical kits for the detection of unauthorized pesticide applications in organic farming. The knowledge and experience gained in this can be conceptually transferred to other agents; the reactivity of the selected agents to proteins, lipids and polyphenols are examples of a number of other active ingredients.</t>
  </si>
  <si>
    <t xml:space="preserve">Failed</t>
  </si>
  <si>
    <t xml:space="preserve">Sustainable production of Swedish plant-based protein concentrates and textured products</t>
  </si>
  <si>
    <t xml:space="preserve">Purpose and goal: 
Build knowledge and use new technology to produce dry fractionated protein concentrates with a high protein content and low antinutrient content, in a resource-efficient and sustainable way, using Swedish peas and fava beans. Build knowledge about extrusion of the protein concentrate in order to produce texturized raw
materials to the food industry on a large scale, which is required to produce so-called
meat analogues with the right texture. 
Expected results and effects: 
Satisfy the market´s great demand for Swedish-grown and Swedish-processed protein concentrates and textured products based on peas and field beans. With this project, we fill a large part of the gap between primary production and the food industry and increase Sweden´s self-sufficiency in these products. 
Approach and implementation: 
Literature search on antinutrients in peas and field beans.
Optimization of the dry fractionation to increase the protein content and minimize the antinutrient content.
Trial productions to be able to choose the right equipment, supplier and process conditions.
Sensory evaluation and application tests of concentrates and extrudates in different food matrices.
Analysis of antinutrients, solubility, water and fat holding capacity, emulsifying capacity, gelling etc.
Develop customized, plant-based meat analogues based on the protein products produced.</t>
  </si>
  <si>
    <t xml:space="preserve">The grant funds dry fractionation optimisation of pea and fava bean protein concentrates (Ingredient Optimisation), extrusion to produce texturized raw materials for meat analogues (Texturization Methods), and development and sensory evaluation of finished meat analogue products (End Product Formulation); antinutrient reduction is framed as an ingredient quality issue rather than a food safety assessment, and sustainability/market demand are mentioned only as context.</t>
  </si>
  <si>
    <t xml:space="preserve">Food truck as a portable educational environment around plant-based food and blue proteins</t>
  </si>
  <si>
    <t xml:space="preserve">other</t>
  </si>
  <si>
    <t xml:space="preserve">The grant describes a food truck as a portable educational environment, which is an outreach/education activity that does not fit any of the specific research categories but falls under 'Other' as a broad educational/outreach initiative.</t>
  </si>
  <si>
    <t xml:space="preserve">Food Innovation Enabling Sustainable Transition - FINEST</t>
  </si>
  <si>
    <t xml:space="preserve">The aim of the center called “Food Innovation Enabling Sustainable Transition – FINEST” is to play a decisive role in product and system innovation within the food system and support both radical and efficient transformation and innovation in the system. The proposed center will be an actor in order both to understand system transition in the Swedish food context and at the same time supporting and accelerating the specific transition(s) in place represented by three cases:  1) an efficient and sustainable Swedish forest berry chain promoting health products, 2)  efficient and sustainable protein crop supply chains leading to meat and dairy substitutes, 3) the experimental power-to-food concept with the potential to largely reduce environmental impact of food production.  The center is built around the following core competences: System transition, innovation management, raw material and ingredients, process and product design, food safety and consumer knowledge.By the transdisciplinary as well as transsectorial organization within the center the goal is to build a system knowledge from the academic point of view as well increasing the innovation capabilities together with the actors in the food chain(s).  The impact of the center will be achieved by an interplay between actors in the specific chains that will be accelerated through the center functions and research projects understanding the system at different levels.</t>
  </si>
  <si>
    <t xml:space="preserve">Ingredient optimisation, End product formulation, Food safety &amp; quality, Consumer &amp; market research, Other</t>
  </si>
  <si>
    <t xml:space="preserve">Ingredient optimisation, End product formulation, Food safety &amp; quality, Consumer &amp; market research</t>
  </si>
  <si>
    <t xml:space="preserve">The center explicitly funds research across ingredient/raw material processing, product design for meat and dairy substitutes, food safety, and consumer knowledge as core competences, while also covering system transition and innovation management (Other); crop development and texturization are not explicitly funded activities, and health/nutrition and impact assessments are only implied as background motivations.</t>
  </si>
  <si>
    <t xml:space="preserve">Agree with LLM. Tbc on cross-cutting</t>
  </si>
  <si>
    <t xml:space="preserve">Improving the cellulosome secretion and display in yeast Saccharomyces cerevisiae</t>
  </si>
  <si>
    <t xml:space="preserve">With no abstract available and a title focused on cellulosome secretion in yeast, this grant appears to concern microbial/bioengineering research that does not clearly fit any alternative protein food science category, so it is classified as Other.</t>
  </si>
  <si>
    <t xml:space="preserve">I think this should be in fermentation. It involves engineering yeast to improve breakdown of agricultural products (plants &amp; side streams) so they can be used as food ingredients.</t>
  </si>
  <si>
    <t xml:space="preserve">Realising next generation plant-based protein foods</t>
  </si>
  <si>
    <t xml:space="preserve">With only a title and no abstract available, there is insufficient information to assign any specific research categories, so Other is assigned by default.</t>
  </si>
  <si>
    <t xml:space="preserve">No abstract. Cross-cutting tbc.</t>
  </si>
  <si>
    <t xml:space="preserve">Animal-Identical, Plant-Grown: Molecular Farming for healthy and natural alternative meat ingredients</t>
  </si>
  <si>
    <t xml:space="preserve">This project is for the delivery of
 sustainably produced ingredients for healthier alternative proteins, We grow
 our animal-identical proteins inside the biomass of crop plants in a
 molecular farming approach. Project outcomes are prototypes of animal-identical
 protein to enhance the taste and quality of existing meat alternative
 offerings, In so doing, we enable wider adoption of products that directly
 contribute to bettering of our climate emergency and greater health of
 existing plant-based alternative meat offerings.</t>
  </si>
  <si>
    <t xml:space="preserve">Target molecule selection</t>
  </si>
  <si>
    <t xml:space="preserve">Ingredient optimisation, End product formulation</t>
  </si>
  <si>
    <t xml:space="preserve">The grant funds molecular farming to produce animal-identical proteins in crop plants as ingredients (Ingredient Optimisation) and develops prototypes of alternative meat products using these ingredients (End Product Formulation); crop development is not the focus as the plant biomass is used as a production platform rather than being bred for improved protein traits.</t>
  </si>
  <si>
    <t xml:space="preserve">Is recombinant protein production in crops/plants target molecule selection or crop development or ingredient optimisation?</t>
  </si>
  <si>
    <t xml:space="preserve">AI shortcut to prediction of recombinant protein production</t>
  </si>
  <si>
    <t xml:space="preserve">With no abstract available and a title focused on AI-based prediction of recombinant protein production, this grant does not clearly fit any specific alternative protein research category and is classified as Other.</t>
  </si>
  <si>
    <t xml:space="preserve">Should be fermentation.</t>
  </si>
  <si>
    <t xml:space="preserve">Minimizing the formation of large compacted aggregates during thermal treatment of protein-containing foods</t>
  </si>
  <si>
    <t xml:space="preserve">The grant focuses on controlling protein aggregation during thermal treatment, which relates to improving protein ingredient functionality and processing behaviour, fitting Ingredient Optimisation.</t>
  </si>
  <si>
    <t xml:space="preserve">No abstract. Probably end product but should go for manual review.</t>
  </si>
  <si>
    <t xml:space="preserve">HEALTH AND ECOLOGICAL EVALUATION OF PLANT-BASED DRINKS AS COMPARED TO COW'S MILK</t>
  </si>
  <si>
    <t xml:space="preserve">The title indicates a dual focus on health evaluation (suggesting physiological/nutritional outcomes) and ecological evaluation (suggesting environmental impact assessment) of plant-based drinks compared to cow's milk, warranting Health &amp; nutrition and Impact assessments as TRUE.</t>
  </si>
  <si>
    <t xml:space="preserve">Protein supply between biopolitics and biotechnology. A sociological research project for the development of a sustainable and health-promoting nutritional culture (ProteinBioTech)</t>
  </si>
  <si>
    <t xml:space="preserve">Impact assessments, other</t>
  </si>
  <si>
    <t xml:space="preserve">The title indicates a sociological research project examining protein supply through biopolitics and biotechnology lenses, which fits the 'Other' category covering ethical, philosophical, or policy-oriented research rather than any specific technical food science category.</t>
  </si>
  <si>
    <t xml:space="preserve">No abstract. Agree with LLM.</t>
  </si>
  <si>
    <t xml:space="preserve">Biocontrol of fermented meat alternatives: Evaluation of protective cultures for biocontrol and development of a multiplex qPCR method for the quantification of Bacillus spp. and protective culture strains</t>
  </si>
  <si>
    <t xml:space="preserve">Strain development , Bioprocess design</t>
  </si>
  <si>
    <t xml:space="preserve">The grant explicitly funds food safety research: evaluating protective cultures for biocontrol of pathogens (Bacillus spp.) in fermented meat alternatives and developing a multiplex qPCR analytical method for microbial quantification, both of which are core food safety activities.</t>
  </si>
  <si>
    <t xml:space="preserve">Bioremediation of toxic redox-active food residues by antioxidative food components</t>
  </si>
  <si>
    <t xml:space="preserve">With no abstract available, the title suggests this grant focuses on removing or neutralizing toxic redox-active residues in food using antioxidative components, which most closely aligns with food safety and quality assessment of ingredients or products.</t>
  </si>
  <si>
    <t xml:space="preserve">Animal-free milk proteins</t>
  </si>
  <si>
    <t xml:space="preserve">Milk from cows is an essential source of proteins in the Western diet. The major protein fraction in this milk consists of caseins that are assembled into supramolecular protein structures, named casein micelles. These protein clusters are unique to animal milk and are essential to obtain the structure of dairy products such as cheese and yogurt. Unfortunately, dairy production has a large impact on the environment. Concerns on sustainability and animal-welfare are two important motivations for consumers to replace animal-based proteins by plant-based protein sources such as soy, almond and coconut. Currently, none of these substitutes have a nutritional quality or physical functionality comparable with cowâ??s milk, because they do not contain a similar amino acid composition or protein structures. The major scientific breakthrough and societal impact we want to achieve in this program is to produce a sustainable alternative for milk proteins using a new animal-free yeast-based source and assemble these individual yeast-based caseins into casein micelles so that they can be used to make dairy products with a similar nutritional and physical functionality as cowâ??s milk. In order to achieve this we will: 1) develop a yeast-based casein production system, 2) develop a controlled co-assembly strategy for casein micelles, 3) compare societal, nutritional and environmental aspects of animal and animal-free milk proteins in order to facilitate the potential protein transition. Our consortium consists of academic experts in the field of molecular biology, chemistry, physics, social science and sustainability and societal partners with expertise on biotechnology, food and nutrition. Using our additive expertise, we will create animal-free milk proteins and casein micelles as a unique new source for animal-free dairy products. Our yeast-based dairy protein production technology can evolve into a sustainable production platform, flexibly geared towards application in a variety of landscapes and societies.</t>
  </si>
  <si>
    <t xml:space="preserve">Strain development , Impact assessments</t>
  </si>
  <si>
    <t xml:space="preserve">Ingredient optimisation, Health &amp; nutrition, Impact assessments</t>
  </si>
  <si>
    <t xml:space="preserve">The grant funds yeast-based casein production and co-assembly into casein micelles (Ingredient Optimisation), comparison of nutritional aspects of animal-free vs animal milk proteins (Health &amp; Nutrition), and explicit assessment of societal and environmental aspects of the protein transition (Impact Assessments); consumer research and product formulation are not substantively funded activities.</t>
  </si>
  <si>
    <t xml:space="preserve">I think this should be in fermentation – it’s PF for casein using yeast…? LLM may we include strain development if it were in the correct pillar.</t>
  </si>
  <si>
    <t xml:space="preserve">hempTVP / Textured hemp protein for the production of vegan food - Sub-project: Raw material processing and extrusion process for hemp protein extrudates on a laboratory scale</t>
  </si>
  <si>
    <t xml:space="preserve">The grant explicitly funds raw material processing of hemp protein (ingredient optimisation) and extrusion process development for hemp protein extrudates (texturization methods) at laboratory scale.</t>
  </si>
  <si>
    <t xml:space="preserve">Cell2Eat</t>
  </si>
  <si>
    <t xml:space="preserve">CELL2EAT project examines the use of plant cell cultures as a food source. In particular, the aim is to study the bioavailability and digestion of proteins in digestive conditions (upper and large intestine) by using in vitro models and in vivo animal studies. Additionally, the acceptable daily intake values of plant cells cultures will be performed by toxicity studies with animals.</t>
  </si>
  <si>
    <t xml:space="preserve">Food safety &amp; quality, Health &amp; nutrition</t>
  </si>
  <si>
    <t xml:space="preserve">The grant funds in vitro and in vivo studies on protein bioavailability/digestion (Health &amp; nutrition) and toxicity/acceptable daily intake studies on plant cell cultures (Food safety &amp; quality).</t>
  </si>
  <si>
    <t xml:space="preserve">Food Provision through Sustainable Farming Systems and Value Chains</t>
  </si>
  <si>
    <t xml:space="preserve">With no abstract available and only a broad title referencing sustainable farming systems and value chains, the grant cannot be confidently assigned to any specific alternative protein research category, so Other is assigned.</t>
  </si>
  <si>
    <t xml:space="preserve">Planetary Health - PlanE Planetary Health and Sustainable Nutrition - Sustainability strategies of municipal nutrition policy in Hesse and their effects on planetary health indicators using the example of the cities of Frankfurt and Marburg</t>
  </si>
  <si>
    <t xml:space="preserve">Health &amp; nutrition, Impact assessments, Other</t>
  </si>
  <si>
    <t xml:space="preserve">The grant focuses on municipal nutrition policy sustainability strategies and their effects on planetary health indicators, suggesting policy analysis (Other), impact assessments of nutrition strategies, and health/nutrition outcomes as primary research activities.</t>
  </si>
  <si>
    <t xml:space="preserve">A targeted subsidy for conducting scientific research or development works in 2013 as well as tasks related to them, serving the development of young scientists and participants of doctoral studies.</t>
  </si>
  <si>
    <t xml:space="preserve">Fungi, Algae and Vicia faba Amalgamation (FAVA)</t>
  </si>
  <si>
    <t xml:space="preserve">Consumers believe that a plant-based diet and tempeh promote good health while being environmentally beneficial, leading to fast-growing interest in these products. The rise of plant-based proteins is a significant trend that will shape research, politics, and food systems for years to come. The increasing demand for plant-based meals like tempeh reflects a permanent shift in diet, driven by various factors and consumer preferences. Tempeh, a popular meat alternative, has been linked to increased environmental footprints and crop exploitation, particularly of soybeans. This raises concerns about the sustainability of meat substitutes. Our solution combines locally produced grains like faba with the aromatic capabilities of sustainable seaweeds. This innovative approach results in meaty products that offer the texture of meat while enhancing nutritional value. Through the fermentation process applied to locally sourced substrates, we create products that are more sustainable than tempeh and tofu. As per the latest market survey report, the tempeh market is set to grow significantly. The net worth in 2023 is projected to reach US$ 4.2 billion, with a promising sales CAGR of 5%. By 2033, sales are predicted to soar to around US$ 6.8 billion, highlighting a clear demand for these products. Recent research indicates a surge in the growth of companies like Better Nature and Tofoo. There's a growing concern about the pricing of meat alternatives and the processed methods used to achieve taste and texture. Our innovative solution involving natural fermentation at low oxidation levels addresses these issues. By utilizing this technique, we can enhance nutrition levels, maintain a natural binding of ingredients, and keep costs low. This approach enables us to offer a final product that is not only affordable but also suitable for a larger segment of society. Our idea is to bring products with ingredients which consumers are familiar with and are transparent on the label end so that people can build more trust in the process whilst simultaneously being able to make a healthier choice in their diet. We aim to tap into the potential of tempeh strains to produce the best of flavours and textures within faba beans in combination with seaweeds utilising our initial prototyping which has helped us to base this research in right direction.</t>
  </si>
  <si>
    <t xml:space="preserve">The grant focuses on developing a fermented faba bean and seaweed tempeh-style product, with research activities centred on end product formulation (combining faba beans, seaweed, and fungal fermentation to achieve meat-like texture, flavour, and nutritional value), while consumer acceptance and sustainability benefits are mentioned only as motivation and market context.</t>
  </si>
  <si>
    <t xml:space="preserve">Synergizing chemistry and data science to enhance plant-based food development</t>
  </si>
  <si>
    <t xml:space="preserve">Plant-based meat analogues are an important part of the solution to the climate crisis. These meat analogues are produced by extrusion, which creates a fibrous structure similar to that of animal meat. However, existing meat analogues do not always meet consumer expectations for texture and taste. This project aims to improve the quality of plant-based meat analogues by using local protein sources such as peas and oats, which are more sustainable than imported soybeans. By combining protein chemistry, spectroscopy, quality assessment and advanced data analysis, we will investigate how different proteins behave during extrusion and how we can optimize the process to create better products. Our goal is to create a deeper understanding of how plant proteins can be converted into meat-like structures. This will make it possible to produce delicious plant-based foods that both satisfy consumer demands and promote a greener transition. This research will also benefit the food industry by providing new tools and methods to improve product development and production efficiency. Overall, the project will support the green transition by providing sustainable and attractive alternatives to animal-based foods.
</t>
  </si>
  <si>
    <t xml:space="preserve">The grant funds research into how pea and oat proteins behave during extrusion (ingredient optimisation), optimisation of the extrusion process to create fibrous meat-like structures (texturization methods), and quality assessment of the resulting products (end product formulation), while consumer expectations and sustainability are mentioned only as motivation.</t>
  </si>
  <si>
    <t xml:space="preserve">If the only technology being investigated is extrusion, then it should really only be texturization.</t>
  </si>
  <si>
    <t xml:space="preserve">Manufacture of sunflower protein preparations with reduced polyphenol contents from oil recovery residues for use in food</t>
  </si>
  <si>
    <t xml:space="preserve">Previous efforts to obtain protein products from vegetable raw materials often did not lead to marketable products because it was not possible to achieve sufficient functionality and at the same time an acceptable sensor system with reasonable effort. However, sunflower proteins are a promising alternative because they do not have an undesirable aftertaste and because of the positive image of sunflower products they have a high level of consumer acceptance. They also have good functional properties that are comparable to those of soy protein. The aim of the project is to exploit the extraction residue from oil production from sunflowers as a protein-rich, previously hardly used raw material source for human nutrition. For this purpose, an innovative production process for sunflower proteins is to be developed, in which the aim is to obtain the proteins contained as completely as possible under gentle conditions with simultaneous separation of polyphenols in order to be able to use them as functional ingredients in different foods. The utilization of the residue from sunflower oil production for human nutrition opens up new sales markets for medium-sized companies in the oil mill industry and users from the confectionery, soup and sauce industry as well as ingredient manufacturers have opportunities for product diversification. The industrial associations, the Federal Association of the German Southern Goods Industry, the Association of the Soup Industry and the Association of German Oil Manufacturers, support the implementation of this planned project and in particular the SMEs represented in the associations see the use of sunflower proteins as an opportunity to diversify their product range through the production of innovative products and for added value. This secures market shares, strengthens competitiveness and at the same time leads to the development of new high-quality foods.</t>
  </si>
  <si>
    <t xml:space="preserve">The grant focuses on developing an innovative extraction/fractionation process to obtain sunflower proteins from oil production residues with reduced polyphenol content and good functional properties, which is squarely ingredient optimisation; no other categories represent substantive funded research activities.</t>
  </si>
  <si>
    <t xml:space="preserve">Plant-based Proteins for Health and Wellbeing (PAN Sweden)</t>
  </si>
  <si>
    <t xml:space="preserve">Efforts to limit the environmental impact from animal-based food include a shift towards the production and consumption of plant-based proteins. However, plant-based proteins may be inferior to animal-based ones with respect to their health effects and perceived taste.PAN Sweden’s goal is to clarify the relationship between processing, structure, bioavailability, digestion and fermentation of proteins and dietary fibre, and health effects in terms of gut, metabolic and mental health. Furthermore, sensory and consumer behaviour aspects as well as how policy, strategies and regulations can support the transition towards plant-based proteins, will be studied.Our core approach is the further development and application of a comprehensive and integrated model/method “toolbox” that facilitates innovations within plant-based products and dietary fibre with proven benefits for health and wellbeing but also being the preferred choice of the consumer.PAN Sweden’s vision is that sustainable-produced food with health benefits will be the consumers’ preferred choice. We bundle a globally unique set of interdisciplinary competence and infrastructure overarching food, nutritional, technical, medical, behavioural and political sciences. Our approach provides Sweden an exclusive chance to successfully build the knowledge, competence and skills to become a leading global player in plant-based food development and consumption.</t>
  </si>
  <si>
    <t xml:space="preserve">Consumer &amp; market research, Health &amp; nutrition</t>
  </si>
  <si>
    <t xml:space="preserve">Ingredient optimisation, End product formulation, Health &amp; nutrition, Consumer &amp; market research, Other</t>
  </si>
  <si>
    <t xml:space="preserve">Ingredient optimisation, End product formulation, Health &amp; nutrition, Consumer &amp; market research</t>
  </si>
  <si>
    <t xml:space="preserve">The grant funds research on processing and structure of plant proteins/fibre (ingredient optimisation), finished plant-based product development (end product formulation), health outcomes including gut/metabolic/mental health and bioavailability (health &amp; nutrition), consumer behaviour and sensory aspects (consumer &amp; market research), and policy/regulatory dimensions of the protein transition (other).</t>
  </si>
  <si>
    <t xml:space="preserve">Fermentation of oat protein for application in extruded meat analogs</t>
  </si>
  <si>
    <t xml:space="preserve">Strain development, Ingredient optimisation</t>
  </si>
  <si>
    <t xml:space="preserve">The grant focuses on fermenting oat protein (ingredient optimisation) for use in extruded meat analogs (texturization methods), with no evidence of other research categories from the limited title information.</t>
  </si>
  <si>
    <t xml:space="preserve">No abstract. If there was no selection of microbes for the fermentation and it was just applied, then I agree with the LLM.</t>
  </si>
  <si>
    <t xml:space="preserve">Sustainable Hemp innovations - From waste to win</t>
  </si>
  <si>
    <t xml:space="preserve">Purpose and goal: ** Denna text är maskinöversatt ** The project mainly aimed to acquire new knowledge and new skills about hemp, its cultivation ability and the extraction possibility of hemp protein, properties and potential for use in new foods The aim was to use this knowledge to develop new or improved types of processes and product prototypes in the dairy and meat analogue segment for the vegan and vegetarian market, thereby increasing the resource efficiency of Swedish-grown hemp and creating economic and environmental sustainability. Expected results and effects: The project resulted in new knowledge and the development of an extraction process that was tested in scale-up trials. The properties of the extracted protein proved to have great potential to be used for various types of food applications. The protein has been used in the production of extruded meat analogs for which a new type of extrusion process has been developed that reduces energy consumption by over 70%, as well as the production of ice cream prototypes. In addition, meat analogs based on commercial hemp concentrate and gluten or chickpea have been developed and sensory tested. Approach and implementation: All participants of the project team ensured that the content, structure, and implementation both maintained a high scientific level and that the results were relevant to the activities of the industrial partners. The work packages were carried out according to the plans and well anchored in the project´s overall objective, and the project team´s knowledge and skills were utilized and strengthened. Regular project meetings and activities created an open and equal atmosphere where everyone had a say and everyone´s opinions and ideas were well received.</t>
  </si>
  <si>
    <t xml:space="preserve">The grant funds hemp protein extraction and fractionation (Ingredient Optimisation), development of meat analogue and ice cream prototypes with sensory testing (End Product Formulation), and a novel energy-efficient extrusion process for meat analogues (Texturization Methods); no substantive research activities in other categories are funded.</t>
  </si>
  <si>
    <t xml:space="preserve">Development of new analytical procedures that enable determination of 3-MCPD and 1,3-DCP in oils and fats, food in industrial laboratories</t>
  </si>
  <si>
    <t xml:space="preserve">The grant focuses on developing analytical procedures for detecting 3-MCPD and 1,3-DCP (chemical contaminants) in oils and fats/food, which is a food safety analytical method development activity.</t>
  </si>
  <si>
    <t xml:space="preserve">Health effects of diet in young children.</t>
  </si>
  <si>
    <t xml:space="preserve">Do children who eat a lot of plant-based foods get enough nutrients such as protein to grow well? How do convenience foods for young children affect the quality of their diet? Do children who have more sugary snacks and drinks have more tooth decay or tend to become overweight and have high blood pressure later in life? These are some of the questions this research project hopes to answer. Our team from the Universities of Edinburgh, Bristol and Aberdeen will start off by listening to parents to find out what else they might like to know about feeding young children. Studies from around the world have shown that young children s diets affect their health throughout their life. We want to look at the detailed picture for today's UK children.  To find out how foods and drinks affect health and growth in younger children we will use information from two ongoing surveys:   The National Diet and Nutrition Survey (NDNS), which collects information on foods and drinks consumed over two days and the height and weight of a representative sample of the UK population. Around 1,200 1-5 year-olds are expected to take part between 2019 and 2025. The survey of Diet in Scotland s Children (DISH), which is collecting information on diets of around 300 children aged 2-5 years across Scotland in 2024, and asking parents how difficult they find it to afford good food.  To understand how young children s food habits may affect their growth and health as they grow into young adults we will use information from two long-running studies:  The Avon Longitudinal Study of Parents and Children (ALSPAC), a Bristol-based study of 14,000 children born in 1991-2. This study has detailed food records collected for around 1,000 children when they were under 5 years and measurements of growth and bone, dental, lung and heart health at the ages of 17, 24 and 30 years. The Study of Eczema and Asthma To Observe the Effects of Nutrition (SEATON), which collected information on diets in around 1,500 children aged 5 years in NE Scotland in 2003-4. We will obtain school dental records from when they were aged 5 and 11 years and measurements of lung health at the ages of 15 and 25 years.  The team will not be able to identify individual children in any of the studies. The four studies together cover the past 30 years. By comparing them we will see how recent changes in children s diet could affect the health of future adults. The results of the project will be discussed with parents and shared with the NHS and other teams who develop programmes and advice to help parents and carers to feed young children well.The overall aim of this project is to assess how the diet of children aged 1-5y in the UK influences their health in childhood, adolescence and early adulthood. The specific objectives are to address questions raised by the UK Scientific Advisory Committee on Nutrition (SACN) in their 2023 report on Feeding Infants and Young Children. This report highlighted the need for evidence on how the intake of foods such as convenience toddler foods or plant-based milks, or of nutrients such as free sugars in fruit juice and smoothies or animal vs. plant proteins, influence the nutrient adequacy of the diet and contribute to growth and development and to overweight, dental caries and cardio-metabolic health into adulthood. To address these questions, we will carry out secondary analysis of data from four surveys which include measurements of diet in young children:  The National Diet and Nutrition Survey (NDNS) which collects diet by on-line 24-hour recall on 2 days in a representative sample of the UK population, along with measurements of height and weight. We will use data from approximately 1200 children aged 1- 5 years expected to take part between 2019 and 2025. The Diet in Scotland s Children (DISH) survey which is collecting diet information by on-line 24-hour recall over 2-4 days in a representative sample of children in Scotland, along with data on household food insecurity. Around 300 children aged 2-5 years are expected to take part during spring 2024. The Avon Longitudinal Study of Parents and Children (ALSPAC) is a birth cohort of children born in 1991-2 in the county of Avon, in whom diet was measured by 3-day food diary at ages 1.5, 3 and 4 years in around 1,000 children. Detailed measures of growth, development and health have been made in the majority of these children up to the age of 30 years. The Study of Eczema and Asthma To Observe the effects of Nutrition (SEATON) birth cohort study of children born in NE Scotland in 1998-9, in whom diet was measured by food frequency questionnaire at age 5 years in around 1,000 children. Dentist-assessed oral health at ages 5 and 11 years will be obtained from the records of the School National Dental Inspection Programme.  The NDNS and DISH studies will provide information on the diets of present-day young children across the UK and will allow us to assess the changes in children s diets since the 1990s. These changes will help us to interpret the longer-term health outcomes of diet observed in the ALSPAC and SEATON studies. Our analyses will adjust for the effects of confounding variables such as child sex, household socioeconomic position and physical activity, dietary habits, and smoking habits in adolescence and adulthood.</t>
  </si>
  <si>
    <t xml:space="preserve">This grant funds epidemiological and longitudinal secondary data analyses measuring health outcomes (growth, dental, cardiometabolic, lung health) in children consuming varying diets including plant-based foods, directly fitting Health &amp; Nutrition as the sole relevant category.</t>
  </si>
  <si>
    <t xml:space="preserve">Foodtech cooperation with Israel</t>
  </si>
  <si>
    <t xml:space="preserve">The grant title only references a general foodtech cooperation with Israel with no abstract provided, so it cannot be classified into any specific research category beyond 'Other'.</t>
  </si>
  <si>
    <t xml:space="preserve">Growing A Green Future</t>
  </si>
  <si>
    <t xml:space="preserve">Main research question/goalThis three-year Interreg Flanders-Netherlands project "Growing a Green Future" aims at the development of innovative bio-based applications starting from the oils and / or fiber of the crops of hemp, rapeseed, camelina (or “false flax”), flax, marigold and Miscanthus, focusing on business cases that are technically and economically viable. The first 5 crops have oil-containing leaves and/or seeds, from which we will test the oils for new possible food and non-food applications. In Miscanthus, hemp and flax, the fibers are also considered as potential bio-based raw materials for the construction sector, paper production, packaging and crop protection. In view of increased crop rotation, risk spread and profitability, these crops can eventually be interesting for farmers/growers. To evolve from a fossil-based economy into a mature bio-economy, the exploitation, exploration, and creation of novel balanced value chains in the agri-food chain is needed. In addition the strong local food industry in the partner countries are always looking for new, healthy, natural and sustainable ingredients and products.Research approachILVO will use 3 fields of expertise in the project: a) the Food Pilot for process and product development; b) knowledge of genetics, selection and breeding for optimization of the cultivation and use of calendula and Miscanthus; and c) the engineering of - in this case - a specialized flower harvesting machine for calendula. With regard to the oil component in the research project, ILVO and partners perform seed oil (containing unsaturated fatty acids) extraction &amp; analysis and evaluate stability, flavor and odor. Based on this data, new possible cold and hot recipes and applications for the food sector will be developed. The marigold oil derived from the petals is also evaluated for non-food applications, such as in the pharmaceutical and in the dye &amp; resin sector. ILVO compares the crop performance of several calendula varieties. Finally, ILVO optimizes the harvesting technique for the repeated collection of flowering flowers, to ensure that the plants continue to grow up to the seed harvest. Karel De Grote Hogeschool provides expertise in analysis of the oil. Agrodome, Inagro and Millvision evaluate building applications of locally grown hemp, flax or Miscanthus, as materials for building blocks, insulation and boarding materials. Millvision focuses on the development of biobased quality printing paper and packaging materials. As a last business case, Miscanthus is being investigated as a feedstock for the development of a natural biocidal product (possible replacement of existing herbicides).Relevance/ValorisationThroughout the different phases of the project ILVO keeps a sharp eye out for valorization opportunities. Through inspiration sessions organized with interested stakeholders, the interest and suggestions of potential partners in the new value chains will be determined. The goal is to find out which analysis and tests at kitchen and pilot scale are most relevant to support the product development based on the new vegetable oils. The extensive network with food companies also facilitates the continuous search for new, healthy, natural, sustainable ingredients and products of the agro-food chain in this project. The same participatory approach also applies to calendula's non-food and harvest story.</t>
  </si>
  <si>
    <t xml:space="preserve">Crop development, Ingredient optimisation, End product formulation, Other</t>
  </si>
  <si>
    <t xml:space="preserve">The grant funds crop performance comparison and breeding optimization (Crop development), seed oil extraction and functional analysis (Ingredient optimisation), development of new food recipes and applications from the oils (End product formulation), and broader bio-based non-food applications and value chain development activities that fall outside the core alternative protein categories (Other).</t>
  </si>
  <si>
    <t xml:space="preserve">Target group-specific strategies for more domestic legume consumption</t>
  </si>
  <si>
    <t xml:space="preserve">The title focuses on target group-specific strategies to increase domestic legume consumption, which directly implies consumer behaviour and market research into perceptions and decision-making around legume consumption.</t>
  </si>
  <si>
    <t xml:space="preserve">LETSPROSEED - Increasing the diversity of legumes on our plates, including fava beans</t>
  </si>
  <si>
    <t xml:space="preserve">With only a title available, the focus on increasing diversity of legumes including fava beans most directly suggests crop development and/or underutilised protein crop promotion, so Crop_development is assigned TRUE by default given the limited information.</t>
  </si>
  <si>
    <t xml:space="preserve">Scaling production of animal-free egg protein (Bioalbumen)</t>
  </si>
  <si>
    <t xml:space="preserve">Eggs are an essential part of food businesses, but with the egg market constantly fluctuating due to avian flu and increased demand for cage-free, manufacturers are challenged to find a viable replacement with a consistent, reliable, and safe supply of high-quality protein at an accessible price. This calls for a long-term sustainable solution for chicken eggs and Onego Bio addresses this challenge.
The startup works with the mission to rethink eggs and give people access to sustainable, tasty, and healthy food.</t>
  </si>
  <si>
    <t xml:space="preserve">The grant focuses on scaling production of an animal-free egg protein (Bioalbumen), which involves optimising the fermentation-derived protein ingredient for quality, functionality, and supply consistency, fitting Ingredient Optimisation.</t>
  </si>
  <si>
    <t xml:space="preserve">DEMOnStrators of micro waves efficiency for agrifood industry</t>
  </si>
  <si>
    <t xml:space="preserve">With no abstract available and a title focused on microwave efficiency for agrifood industry broadly, this cannot be confidently assigned to any specific alternative protein research category, so Other is assigned.</t>
  </si>
  <si>
    <t xml:space="preserve">EXPRO, Globally competitive processing technologies for meat alternatives</t>
  </si>
  <si>
    <t xml:space="preserve">The title references processing technologies for meat alternatives, suggesting substantive research in texturization methods, ingredient optimisation, and end product formulation, with no abstract available to indicate other categories.</t>
  </si>
  <si>
    <t xml:space="preserve">SMART PROTEIN</t>
  </si>
  <si>
    <t xml:space="preserve">It is undeniable that protein is an indispensable part of the human diet, but the way we produce and consume it today presents many challenges, in terms of both global consumption patterns and their social, environmental and economic impacts. Providing a growing global population with healthy diets from sustainable food systems is therefore an immediate challenge. SMART PROTEIN aims to industrially validate and demonstrate innovative, cost-effective and resource-efficient, EU-produced, nutritious plant (fava bean, lentil, chickpea, quinoa) and microbial biomass proteins from edible fungi by up-cycling side streams from pasta (pasta residues), bread (bread crust) and beer (spent yeast and malting rootlets) industries. The alternative SMART protein will be used for the production of ingredients and products for direct human consumption, through developing future-proofed protein supply chains with a positive impact on bio-economy, environment, biodiversity, human nutrition, food and nutrition security and consumer trust and acceptance. These priorities will be addressed through global partnerships forged with consortium members from Europe, North America, Israel, Thailand and New Zealand to develop and demonstrate a climate-smart, sustainable protein-food system for a healthy Europe. We will harness plant and microbial protein knowledge to significantly enhance the sustainability and resilience of a new European protein supply chain, improve professional skills and competencies, and support the creation of new jobs in the food sector and bioeconomy.</t>
  </si>
  <si>
    <t xml:space="preserve">Ingredient optimisation, End product formulation, Health &amp; nutrition, Consumer &amp; market research, Impact assessments</t>
  </si>
  <si>
    <t xml:space="preserve">The grant funds ingredient development from plant and fungal sources via upcycling (Ingredient optimisation), finished product development for human consumption (End product formulation), nutritional outcomes (Health &amp; nutrition), consumer trust and acceptance research (Consumer &amp; market research), and sustainability/supply chain impact assessment (Impact assessments), while crop breeding and texturization are not explicitly funded activities.</t>
  </si>
  <si>
    <t xml:space="preserve">Another cross-cutting</t>
  </si>
  <si>
    <t xml:space="preserve">Carboxyl chain elongation process in anaerobic fermentation using mixed cultures (C-elong)</t>
  </si>
  <si>
    <t xml:space="preserve">With no abstract available, the title suggests anaerobic fermentation/chain elongation microbial process research that does not clearly map to plant-based alternative protein categories, so it is classified as Other.</t>
  </si>
  <si>
    <t xml:space="preserve">Sustainable use of marine and industrial waters to unlock the potential of seaweeds as a future food source</t>
  </si>
  <si>
    <t xml:space="preserve">Seaweed farming offers a unique possibility to feed the growing global population without putting further pressure on access to land and fresh water.Also, there is no need for fertilizers but rather a net uptake of nutrients, thereby mitigating eutrophication.
Seaweed farming offers a unique possibility to feed the growing global population without putting further pressure on access to land and fresh water. Also, there is no need for fertilizers but rather a net uptake of nutrients, thereby mitigating eutrophication. SUSWEED aims at releasing the potential of Swedish seaweed as a future sustainable food source according to models which have positive effects on both marine and industrial waters. This will be achieved via development of novel cultivation techniques for Ulva fenestrata and Palmaria palmata based both in the ocean and as part of a system to purify nutrient-rich food industry process waters. Harvested seaweed will be stabilized and pre-processed into tasty, nutritious, and safe intermediate raw materials to incorporate in new fish-based and vegan food products. These are developed to reach broad acceptance for seaweed as a new sustainable food commodity. SUSWEED puts great emphasis on solving non-technical challenges of the new industrial symbiosis between seaweed farmers and generators of process waters and other resources which can make the seaweed industry more sustainable. Safety is carefully addressed by monitoring levels of heavy metals and their accessibility for uptake. The project is built on a strong multidisciplinary partnership with industries and academia which has pioneered the development of state-of-the-art research and applications concerning seaweed in Sweden during the last 10 years.</t>
  </si>
  <si>
    <t xml:space="preserve">End product formulation, Crop development, Ingredient optimisation</t>
  </si>
  <si>
    <t xml:space="preserve">Crop development, Ingredient optimisation, End product formulation, Food safety &amp; quality, Consumer &amp; market research</t>
  </si>
  <si>
    <t xml:space="preserve">The grant funds novel seaweed cultivation techniques (Crop development), stabilization and pre-processing of seaweed into intermediate ingredients (Ingredient optimisation), development of finished fish-based and vegan food products (End product formulation), heavy metal safety monitoring (Food safety &amp; quality), and consumer acceptance research for seaweed as a food commodity (Consumer &amp; market research).</t>
  </si>
  <si>
    <t xml:space="preserve">There isn’t really any consumer acceptance – they just say they’re trying to make acceptable products?</t>
  </si>
  <si>
    <t xml:space="preserve">Sustainable European Vegetarian protein production via fermentation of wastes stream</t>
  </si>
  <si>
    <t xml:space="preserve">Nordic Green Food (NGF) is the only tofu
 producer in Sweden since 1997 in Vallentuna. Its Yipin tofu is made from
 french soybeans from 300 organic farms. It has become a vegan favorite
 throughout Sweden today, e.g. sold via ICA, Hemköp, COOP, Willy´s and many
 Asian shops. This leads to rapid expansion, from 2017 to 2018 increased by
 almost 30% to ca. 690 tons. However, the residue okara, corresponds to over
 20% of the used soybeans in dry weight, which is underutilized in Sweden.
 Therefore, the tofu production process is not sustainable as it would be.
 Okara contains valuable components such as fat, protein, dietary fiber and
 micronutrients, but also contains nutritional inhibitors. In order to use
 these waste products as food ingredients, special processes and techniques
 must be developed. Fermentation of okara can increase the availability of
 nutrients and elevate the taste while breaking down the nutrient inhibitors.
 New foods can, therefore, be formulated. This project can result in a
 dramatic reduction in waste to almost zero. Expanding of small food companies
 needs knowledge, close collaboration between researchers and companies can
 promote business development. To the best of our knowledge, there are no
 efficient waste conversion processes implemented in the tofu production
 process in the world. This project could create the possibility for Swedish
 enterprises to expand its international markets.</t>
  </si>
  <si>
    <t xml:space="preserve">The grant funds fermentation-based processing of okara (a soy byproduct) to improve nutrient availability and functionality (Ingredient Optimisation) and formulation of new food products from these processed ingredients (End Product Formulation), with no substantive research activities in other categories.</t>
  </si>
  <si>
    <t xml:space="preserve">Is fermentation of PB waste streams biomass fermentation or ingredient optimisation? Or is it Feedstocks – which doesn’t exist for publications?</t>
  </si>
  <si>
    <t xml:space="preserve">Acrylamide in heat-treated foodstuffs - optimization of process and process parameters</t>
  </si>
  <si>
    <t xml:space="preserve">The grant focuses on acrylamide in heat-treated foodstuffs, which is a chemical safety concern in food, fitting Food Safety &amp; Quality; no other alternative protein research categories are substantively funded.</t>
  </si>
  <si>
    <t xml:space="preserve">Plant breeding research P2 joint project: 'Rapeseed as a domestic source of high-quality protein for human nutrition (RaPEQ - P2)', sub-project B</t>
  </si>
  <si>
    <t xml:space="preserve">The title explicitly references plant breeding research focused on rapeseed as a protein source, indicating crop development activities; no abstract is available to identify additional categories.</t>
  </si>
  <si>
    <t xml:space="preserve">VIP Leaf (Vertical Indoor Protein from Leaf)</t>
  </si>
  <si>
    <t xml:space="preserve">Current consumption of meat is unsustainable
 for the planet and public health. Alternative protein sources are essential
 and **demand for plant-based protein is increasing**. Plant proteins used in
 UK food are mainly from imported soy and pea. The market is shifting away
 from soy due to deforestation and allergy concerns, and UK pea protein
 production remains low (4% arable land) due to perceptions of high-risk,
 low-yield and unprofitability. **CEA offers an alternative production space**
 and the advantage of enabling **new crops** to be grown in the UK that are
 incompatible with our climate, allowing a better diversification of our
 food-protein-sources.
  CEA systems are not yet commercially used in the production of
 plant-derived proteins, yet offer huge potential to **localise protein
 production** to food manufacturing sites, **reduce reliance on imports** and
 enable low water-use/agrochemical-free production. The economics of plant
 protein production and the uptake in the UK are significantly better than
 insect protein (nearest competitor) due to no feed-to-food conversion loss. A
 number of leafy crops including spinach, sunflower shoots and amaranth leaf
 **contain \&gt;20% protein**. Amaranth has high lysine content (high-value
 amino acid to the vegan protein market), as well as health-promoting
 vitamins, minerals and antioxidants. CEA offers economically viable
 production with short time to harvest, reduced resource use and reduced land
 footprint.
  Our project will access leaf-derived protein for the burgeoning alternative
 protein market. We will test new sources of leaf protein, as well as further
 develop varieties, production and downstream processing methods for amaranth
 to open up vertical farming to the alternative protein sector and enable
 localizing of protein production to sites of food manufacture. This work will
 help meet UK challenges of i) **Net Zero Carbon** by 2050 (landuse change -
 plant protein production requires far less land/kg than meat protein; CEA has
 high yield/m2 and doesn't require agricultural-quality land), ii) **tackling
 growing obesity** with associated NHS costs (consumption of plant protein is
 linked to improved health), and iii) **Green Recovery** (CEA enables reduced
 food-miles, low waste/environmental pollution).</t>
  </si>
  <si>
    <t xml:space="preserve">The grant funds development of new leaf protein crop varieties (amaranth) and production methods in CEA systems (Crop development), as well as downstream processing of leaf-derived proteins for the alternative protein market (Ingredient optimisation); health, environmental, and market benefits are cited as motivation rather than funded research activities.</t>
  </si>
  <si>
    <t xml:space="preserve">FORCE Research Centre</t>
  </si>
  <si>
    <t xml:space="preserve">Multiple</t>
  </si>
  <si>
    <t xml:space="preserve">The abstract is missing, and the title alone ('FORCE Research Centre') provides insufficient information to assign any specific research category, so it defaults to Other.</t>
  </si>
  <si>
    <t xml:space="preserve">15 NSFBIO - Synthetic Biology for Lignin Utilization</t>
  </si>
  <si>
    <t xml:space="preserve">The abstract is unavailable and the title references synthetic biology for lignin utilization, which does not clearly map to any specific alternative protein research category, so it is classified as Other.</t>
  </si>
  <si>
    <t xml:space="preserve">No abstract. Either crop development or just fermentation.</t>
  </si>
  <si>
    <t xml:space="preserve">Sustainable protein flows in the food supply chain  Methods and applications to include quality and quantity in LCA</t>
  </si>
  <si>
    <t xml:space="preserve">The grant title explicitly focuses on LCA (life cycle assessment) methodology applied to protein flows in the food supply chain, making Impact Assessments the clear primary category.</t>
  </si>
  <si>
    <t xml:space="preserve">VegVit</t>
  </si>
  <si>
    <t xml:space="preserve">"VegVit" is an interdisciplinary project aimed at developing a range of vegan dairy and meat alternatives with an improved nutritional profile (vitamin B12, as well as protein quality/broader amino acid profile). The first concrete goal of the project is to identify and select food-safe starter cultures that produce high levels of vitamin B12 under suitable conditions. The second concrete goal is to produce vitamin B12-enriched ingredients by first fermenting raw materials such as extruded vegetable proteins or protein suspensions. These enriched ingredients can then be converted in a second step into high-quality analogues with increased B12 levels and improved protein quality. The third concrete goal is to produce vitamin B12 in situ via a co-fermentation process, by adding suitable starter cultures during the production process of salami, yogurt, or cheese spread analogues. Depending on the nature and composition of the matrix (selected ingredients, homogeneous or heterogeneous matrix structure, pH, water activity), one approach may be more advantageous than another. The focus here is on creating products that meet consumer expectations in both quality and nutritional value.</t>
  </si>
  <si>
    <t xml:space="preserve">Ingredient optimisation , End product formulation</t>
  </si>
  <si>
    <t xml:space="preserve">Ingredient optimisation, End product formulation, Food safety &amp; quality</t>
  </si>
  <si>
    <t xml:space="preserve">The grant funds fermentation-based enrichment of plant protein ingredients with vitamin B12 (ingredient optimisation), formulation of finished vegan dairy and meat analogues with improved nutritional profiles (end product formulation), and selection of food-safe starter cultures including safety screening (food safety &amp; quality); consumer expectations are mentioned as context rather than a funded research activity.</t>
  </si>
  <si>
    <t xml:space="preserve">Actually think this should be strain development, not food safety – they are just selecting starter cultures based on them being safe.</t>
  </si>
  <si>
    <t xml:space="preserve">Model demonstration network to expand and improve the cultivation and utilization of grain legumes in Germany</t>
  </si>
  <si>
    <t xml:space="preserve">Crop development, Other</t>
  </si>
  <si>
    <t xml:space="preserve">The grant focuses on expanding cultivation and utilization of grain legumes (crop development), and the network/demonstration aspect suggests broader activities that may not fit neatly into other specific categories (Other).</t>
  </si>
  <si>
    <t xml:space="preserve">PROHEMPOTIC: Advancing the Development of
  Hemp-Based Food Innovation In Mid-Wales</t>
  </si>
  <si>
    <t xml:space="preserve">Our project is driving innovation in sustainable food production through cutting-edge research and development of sustainable and nutritious food ingredients and products. We are exploring hemp's potential to transform the food industry by creating a hempseed ingredient for food formulations and related high-quality, plant-based dairy alternatives. By optimizing production methods, we aim to deliver premium food products that are not only delicious and functional but also free from common allergens like soy and nuts.
Hemp is a versatile and nutrient-dense crop, offering significant benefits for both health and the environment. Hemp seeds are an allergen-free plant-based source of proteins, healthy fats, and essential nutrients. Locally and regeneratively grown hempseeds also offer farmers an opportunity to diversify their income whilst supporting a sustainable food system.
Award-winning agri-food startup PROHEMPOTIC, based in mid-Wales, will work with UK food processing and development experts to apply advanced food processing techniques to enhance the taste, texture, stability, and functionality of hempseeds. By leveraging the creamy texture and nutritional richness of hempseeds, we aim to develop a versatile ingredient that offers both functionality and health benefits. The new hempseed ingredients and products will expand PROHEMPOTIC's product portfolio and be offered to food manufacturers/brands, retailers, food service providers, and consumers to improve the nutritional quality of their products and diets.
This project represents the future of sustainable food innovation, blending cutting-edge science with the natural benefits of hemp. By advancing these developments, we are committed to promoting healthier lifestyles while reducing the environmental footprint of the food industry.</t>
  </si>
  <si>
    <t xml:space="preserve">The grant funds development of hempseed ingredients (ingredient optimisation: processing to enhance taste, texture, stability, functionality) and finished plant-based dairy alternative products (end product formulation: multi-ingredient formulation, sensory, nutritional profiling); other mentions of health, environment, and allergen-free benefits are contextual motivations rather than funded research activities.</t>
  </si>
  <si>
    <t xml:space="preserve">E!381, FAVORIT, The Green Dairy Sweden Holding AB</t>
  </si>
  <si>
    <t xml:space="preserve"> Purpose and goal: 
 The project will develop plant-based dairy products based on fermented fava bean with a minimum of additives, as a resilient and sustainable alternative to soy. The goal is a market introduction of healthy and sustainable yogurt-like products from Nordic crops and natural bioprocesses. Partners: The Green Dairy, TFTAK (Estonia), Lund University. 
 Expected results and effects: 
 Competitors use questionable additives to create plant-based yogurt products instead of natural bioprocesses. A prestudy by the project partners has shown that fermented fava bean has great market potential for yogurt-like products. The project will scale this complex bioprocess from lab scale to mass production and market introduction. 
 Approach and implementation: 
 Raw materials and bacterial cultures are analyzed and selected. The production process is developed from lab scale to full scale, in dialogue with producers. Natural additives (berries, herbs, etc.) are evaluated. A human intervention study by Lund University will provide information about effects on gut microbiome, blood analytes and wellbeing compared to traditional products. A market strategy is developed.</t>
  </si>
  <si>
    <t xml:space="preserve">Strain development , End product formulation</t>
  </si>
  <si>
    <t xml:space="preserve">The grant funds ingredient/bioprocess optimisation (selecting raw materials and bacterial cultures, scaling fermentation of fava bean), end product formulation (developing yogurt-like products with natural additives, shelf-life, sensory), a human intervention study measuring gut microbiome and blood analytes (health &amp; nutrition), and a market strategy development (consumer &amp; market research).</t>
  </si>
  <si>
    <t xml:space="preserve">Strain development should also be included as they analyze and select bacterial cultures.</t>
  </si>
  <si>
    <t xml:space="preserve">STARS® Canada - UK
  Plant-based Protein Innovation</t>
  </si>
  <si>
    <t xml:space="preserve">STARS x University of Leeds are producing a delicious, sustainable, locally sourced plant-based burger in the UK. This project brings that V1 to create V2 for the Canadian, UK and Australian markets. The UK-Canadian partners aim to generate knowledge on protein ingredient blending at scale.
This Canada - UK plant-based Protein Innovation project brings a bi-lateral consortium of academia and commercial food partners to bring a much needed whole food plant-based burger to market. The taste, texture and mouthfeel of beef, along with the plant-based lipid structure to emulate an 18% fat content beef burger.
Bringing Canadian crops, whole food plant-based ingredients into the STARS burger with significant experience from the partners in product development, lipids, bindings, ingredients and fortification.
Expertise in this bilateral consortia; STARS UK R&amp;D along with their UK R&amp;D partners at University of Leeds are in a consortium with their Canadian partners led by Sunnydale (Lovingly Made Ingredients) alongside Botaneco, University of Guelph, Saskatchewan Food Centre.</t>
  </si>
  <si>
    <t xml:space="preserve">The grant funds ingredient blending and optimisation (protein blending, lipids, bindings, fortification) and end product formulation (developing a whole food plant-based burger with target fat content, taste, texture, and mouthfeel), with no substantive funded activities in other categories.</t>
  </si>
  <si>
    <t xml:space="preserve">This is just end product formulation. There is no individual ingredient optimisation as far as I can tell.</t>
  </si>
  <si>
    <t xml:space="preserve">Unbeatable Unused Okara</t>
  </si>
  <si>
    <t xml:space="preserve">With only a title referencing okara (soy pulp byproduct from tofu/soy milk production), the most likely research focus is on valorising this underutilised ingredient, suggesting ingredient optimisation as the primary category, though the abstract is unavailable to confirm additional categories.</t>
  </si>
  <si>
    <t xml:space="preserve">Agree with LLM. No abstract.</t>
  </si>
  <si>
    <t xml:space="preserve">Development of a high-voltage pulse-assisted process for displacement extraction of oils and functional proteins from oilseeds using the example of rapeseed</t>
  </si>
  <si>
    <t xml:space="preserve">Vegetable oils and proteins are not only from a nutritional point of view but also for the formation of micro and macro structures, e.g. Foaming, emulsions or gels are important raw materials in the food industry. The currently mainly used plant proteins are obtained from soybean, and domestic protein sources such as e.g. Oilseed rape and lupine, due to increasing numbers of cultivators and breeding successes, such as the reduction of anti-nutritional ingredients, and the increased oil and Protein content is becoming increasingly interesting. The partly excellent nutritional and functional properties v. Oilseed proteins are usually significantly deteriorated in conventional processing. Existing simultaneous processes for oil protein extraction do not reach the necessary. Yields based on irreversible protein-oil complexation during extraction. The electr. High-voltage pulses represent a non-thermal process that enables permeabilization of biological membranes with low energy inputs. This technology can be used to make extraction of ingredients much easier. The aim of the project is to gain basic knowledge, for example, of the influence of material transport and material conversion processes in oil seeds by means of electrical high-voltage pulses, which make it possible to develop a conditioning and extraction process for the economical extraction of oil and proteins from oil-bearing seeds . The semi-continuous process is primarily aimed at 250 German central oil mills, as it enables holistic use of rapeseed in conjunction with an innovative process and the product range is further enhanced by the additional Production of valuable proteins expanded and new sales markets opened up. The potential for innovation is high, as the improved use of all the ingredients in rapeseed oil seeds for SMEs means expanding the product range to include valuable proteins while using the same raw materials.</t>
  </si>
  <si>
    <t xml:space="preserve">The grant focuses on developing a high-voltage pulse-assisted extraction process to improve the yield and functional quality of oils and proteins from rapeseed, which is squarely an ingredient optimisation activity involving novel fractionation and processing methods applied to individual ingredients.</t>
  </si>
  <si>
    <t xml:space="preserve">STARS&amp;reg; Canada - UK Plant-based Protein Innovation</t>
  </si>
  <si>
    <t xml:space="preserve">duplicate</t>
  </si>
  <si>
    <t xml:space="preserve">The abstract is marked as a duplicate with no substantive content to classify, so no specific research activities can be identified beyond noting it as an unclassifiable entry.</t>
  </si>
  <si>
    <t xml:space="preserve">Duplicate / no abstract.</t>
  </si>
  <si>
    <t xml:space="preserve">Visualization of phase separation in extruded plant-based meat analogues through tomography</t>
  </si>
  <si>
    <t xml:space="preserve">The grant focuses on visualizing phase separation in extruded plant-based meat analogues using tomography, which is a process innovation/characterization method directly related to texturization of finished alternative protein products.</t>
  </si>
  <si>
    <t xml:space="preserve">Resource efficiency in food production systems and in consumer households.</t>
  </si>
  <si>
    <t xml:space="preserve">This research consists of two subprojects. The first investigates the combination of North Sea shrimp and saline crops in a saltwater aquaponics system. The goal is to determine the optimal conditions for shrimp and plants to grow together. The second project focuses on how Dutch consumers store fresh fruits and vegetables, the role of packaging in these practices, and its effect on shelf life and food waste. Consumer behavior and the motivations behind storage strategies are being examined to identify potential improvements.</t>
  </si>
  <si>
    <t xml:space="preserve">Consumer &amp; market research, Other</t>
  </si>
  <si>
    <t xml:space="preserve">The grant covers aquaponics system optimization (Other) and consumer food storage behavior/packaging research (Consumer &amp; market research); neither subproject focuses on plant-based alternative protein ingredients, formulation, or related categories.</t>
  </si>
  <si>
    <t xml:space="preserve">I think this is entirely out of scope…</t>
  </si>
  <si>
    <t xml:space="preserve">A circular fungi-based high-protein feed solution for aquaculture</t>
  </si>
  <si>
    <t xml:space="preserve">With no abstract available, the title suggests a fungi-based protein feed for aquaculture which does not clearly fit any specific research category beyond 'Other', as it may involve circular economy/waste valorisation approaches outside the defined categories.</t>
  </si>
  <si>
    <t xml:space="preserve">I think this is entirely out of scope… And if not, it should be ingredient optimisation if it’s fungal waste, or crop development if they are growing mushrooms, or just fermentation entirely if it’s mycelium</t>
  </si>
  <si>
    <t xml:space="preserve">Plant waste side streams = ingredient optimisation</t>
  </si>
  <si>
    <t xml:space="preserve">Recombinant protein production in crops – is that crop development? Strain development?</t>
  </si>
  <si>
    <t xml:space="preserve">Cross-cutting is unnecessary and was largely there to cut time when doing manually to avoid writing like 4+ categories.</t>
  </si>
  <si>
    <t xml:space="preserve">Human taste testing as part of product development is just end product formulation and not consumer &amp; market research.</t>
  </si>
  <si>
    <t xml:space="preserve">n_true</t>
  </si>
  <si>
    <t xml:space="preserve">tp</t>
  </si>
  <si>
    <t xml:space="preserve">fp</t>
  </si>
  <si>
    <t xml:space="preserve">fn</t>
  </si>
  <si>
    <t xml:space="preserve">recall</t>
  </si>
  <si>
    <t xml:space="preserve">precision</t>
  </si>
  <si>
    <t xml:space="preserve">60%</t>
  </si>
  <si>
    <t xml:space="preserve">46%</t>
  </si>
  <si>
    <t xml:space="preserve">80%</t>
  </si>
  <si>
    <t xml:space="preserve">73%</t>
  </si>
  <si>
    <t xml:space="preserve">83%</t>
  </si>
  <si>
    <t xml:space="preserve">40%</t>
  </si>
  <si>
    <t xml:space="preserve">50%</t>
  </si>
  <si>
    <t xml:space="preserve">67%</t>
  </si>
  <si>
    <t xml:space="preserve">42%</t>
  </si>
  <si>
    <t xml:space="preserve">62%</t>
  </si>
  <si>
    <t xml:space="preserve">32%</t>
  </si>
  <si>
    <t xml:space="preserve">100%</t>
  </si>
  <si>
    <t xml:space="preserve">23%</t>
  </si>
  <si>
    <t xml:space="preserve">metric</t>
  </si>
  <si>
    <t xml:space="preserve">value</t>
  </si>
  <si>
    <t xml:space="preserve">n</t>
  </si>
  <si>
    <t xml:space="preserve">exact_match_accuracy</t>
  </si>
  <si>
    <t xml:space="preserve">28%</t>
  </si>
  <si>
    <t xml:space="preserve">mean_row_precision</t>
  </si>
  <si>
    <t xml:space="preserve">47%</t>
  </si>
  <si>
    <t xml:space="preserve">mean_row_recall</t>
  </si>
  <si>
    <t xml:space="preserve">56%</t>
  </si>
  <si>
    <t xml:space="preserve">mean_row_jaccard</t>
  </si>
  <si>
    <t xml:space="preserve">44%</t>
  </si>
  <si>
    <t xml:space="preserve">other_clash_rate</t>
  </si>
  <si>
    <t xml:space="preserve">10%</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</si>
</sst>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8">
    <fill>
      <patternFill patternType="none"/>
    </fill>
    <fill>
      <patternFill patternType="gray125"/>
    </fill>
    <fill>
      <patternFill patternType="solid">
        <fgColor rgb="FFBBE33D"/>
        <bgColor rgb="FF81D41A"/>
      </patternFill>
    </fill>
    <fill>
      <patternFill patternType="solid">
        <fgColor rgb="FFFFFF00"/>
        <bgColor rgb="FFFFFF00"/>
      </patternFill>
    </fill>
    <fill>
      <patternFill patternType="solid">
        <fgColor rgb="FF81D41A"/>
        <bgColor rgb="FFBBE33D"/>
      </patternFill>
    </fill>
    <fill>
      <patternFill patternType="solid">
        <fgColor rgb="FFFF0000"/>
        <bgColor rgb="FF993300"/>
      </patternFill>
    </fill>
    <fill>
      <patternFill patternType="solid">
        <fgColor rgb="FFFF8000"/>
        <bgColor rgb="FFFF6600"/>
      </patternFill>
    </fill>
    <fill>
      <patternFill patternType="solid">
        <fgColor rgb="FF729FCF"/>
        <bgColor rgb="FF96969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6" borderId="0" xfId="0" applyFont="false" applyBorder="false" applyAlignment="true" applyProtection="true">
      <alignment horizontal="general" vertical="bottom" textRotation="0" wrapText="false" indent="0" shrinkToFit="false"/>
      <protection locked="true" hidden="false"/>
    </xf>
    <xf numFmtId="164" fontId="0" fillId="7"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29FC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BBE33D"/>
      <rgbColor rgb="FFFF80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048576"/>
  <sheetViews>
    <sheetView showFormulas="false" showGridLines="true" showRowColHeaders="true" showZeros="true" rightToLeft="false" tabSelected="true" showOutlineSymbols="true" defaultGridColor="true" view="normal" topLeftCell="A71" colorId="64" zoomScale="100" zoomScaleNormal="100" zoomScalePageLayoutView="100" workbookViewId="0">
      <selection pane="topLeft" activeCell="N71" activeCellId="0" sqref="N71"/>
    </sheetView>
  </sheetViews>
  <sheetFormatPr defaultColWidth="8.34375" defaultRowHeight="15" customHeight="false" zeroHeight="false" outlineLevelRow="0" outlineLevelCol="0"/>
  <cols>
    <col collapsed="false" customWidth="false" hidden="true" outlineLevel="0" max="5" min="5" style="1" width="8.34"/>
  </cols>
  <sheetData>
    <row r="1" customFormat="false" ht="15" hidden="false" customHeight="false" outlineLevel="0" collapsed="false">
      <c r="A1" s="1" t="s">
        <v>0</v>
      </c>
      <c r="B1" s="1" t="s">
        <v>1</v>
      </c>
      <c r="C1" s="1" t="s">
        <v>2</v>
      </c>
      <c r="D1" s="1" t="s">
        <v>3</v>
      </c>
      <c r="E1" s="1" t="s">
        <v>4</v>
      </c>
      <c r="F1" s="1" t="s">
        <v>5</v>
      </c>
      <c r="G1" s="1" t="s">
        <v>6</v>
      </c>
      <c r="H1" s="1" t="s">
        <v>7</v>
      </c>
      <c r="I1" s="2" t="s">
        <v>8</v>
      </c>
      <c r="J1" s="1" t="s">
        <v>9</v>
      </c>
      <c r="K1" s="1" t="s">
        <v>10</v>
      </c>
      <c r="L1" s="1" t="s">
        <v>11</v>
      </c>
      <c r="N1" s="2" t="s">
        <v>12</v>
      </c>
    </row>
    <row r="2" customFormat="false" ht="15" hidden="false" customHeight="false" outlineLevel="0" collapsed="false">
      <c r="A2" s="1" t="n">
        <v>0</v>
      </c>
      <c r="B2" s="1" t="s">
        <v>13</v>
      </c>
      <c r="C2" s="1" t="s">
        <v>14</v>
      </c>
      <c r="D2" s="1" t="s">
        <v>15</v>
      </c>
      <c r="E2" s="1" t="s">
        <v>16</v>
      </c>
      <c r="F2" s="1" t="s">
        <v>17</v>
      </c>
      <c r="G2" s="1" t="b">
        <f aca="false">TRUE()</f>
        <v>1</v>
      </c>
      <c r="H2" s="1" t="s">
        <v>18</v>
      </c>
      <c r="I2" s="3" t="b">
        <f aca="false">FALSE()</f>
        <v>0</v>
      </c>
      <c r="J2" s="1" t="n">
        <v>0.5</v>
      </c>
      <c r="K2" s="1" t="n">
        <v>0.333333333333333</v>
      </c>
      <c r="L2" s="1" t="n">
        <v>0.25</v>
      </c>
      <c r="N2" s="2" t="s">
        <v>19</v>
      </c>
    </row>
    <row r="3" customFormat="false" ht="15" hidden="false" customHeight="false" outlineLevel="0" collapsed="false">
      <c r="A3" s="4" t="n">
        <v>1</v>
      </c>
      <c r="B3" s="1" t="s">
        <v>20</v>
      </c>
      <c r="D3" s="1" t="s">
        <v>21</v>
      </c>
      <c r="E3" s="1" t="s">
        <v>22</v>
      </c>
      <c r="F3" s="1" t="s">
        <v>22</v>
      </c>
      <c r="G3" s="1" t="b">
        <f aca="false">FALSE()</f>
        <v>0</v>
      </c>
      <c r="H3" s="1" t="s">
        <v>23</v>
      </c>
      <c r="I3" s="3" t="b">
        <f aca="false">FALSE()</f>
        <v>0</v>
      </c>
      <c r="J3" s="1" t="n">
        <v>0</v>
      </c>
      <c r="K3" s="1" t="n">
        <v>0</v>
      </c>
      <c r="L3" s="1" t="n">
        <v>0</v>
      </c>
      <c r="N3" s="5" t="s">
        <v>24</v>
      </c>
      <c r="O3" s="4"/>
      <c r="P3" s="4"/>
      <c r="Q3" s="4"/>
      <c r="R3" s="4"/>
      <c r="S3" s="4"/>
      <c r="T3" s="4"/>
      <c r="U3" s="4"/>
      <c r="V3" s="4"/>
      <c r="W3" s="4"/>
      <c r="X3" s="4"/>
    </row>
    <row r="4" customFormat="false" ht="15" hidden="false" customHeight="false" outlineLevel="0" collapsed="false">
      <c r="A4" s="1" t="n">
        <v>2</v>
      </c>
      <c r="B4" s="1" t="s">
        <v>25</v>
      </c>
      <c r="C4" s="1" t="s">
        <v>26</v>
      </c>
      <c r="D4" s="1" t="s">
        <v>27</v>
      </c>
      <c r="E4" s="1" t="s">
        <v>22</v>
      </c>
      <c r="F4" s="1" t="s">
        <v>22</v>
      </c>
      <c r="G4" s="1" t="b">
        <f aca="false">FALSE()</f>
        <v>0</v>
      </c>
      <c r="H4" s="1" t="s">
        <v>28</v>
      </c>
      <c r="I4" s="3" t="b">
        <f aca="false">FALSE()</f>
        <v>0</v>
      </c>
      <c r="J4" s="1" t="n">
        <v>0</v>
      </c>
      <c r="K4" s="1" t="n">
        <v>0</v>
      </c>
      <c r="L4" s="1" t="n">
        <v>0</v>
      </c>
      <c r="N4" s="2" t="s">
        <v>29</v>
      </c>
    </row>
    <row r="5" customFormat="false" ht="15" hidden="false" customHeight="false" outlineLevel="0" collapsed="false">
      <c r="A5" s="1" t="n">
        <v>3</v>
      </c>
      <c r="B5" s="1" t="s">
        <v>30</v>
      </c>
      <c r="C5" s="1" t="s">
        <v>31</v>
      </c>
      <c r="D5" s="1" t="s">
        <v>32</v>
      </c>
      <c r="E5" s="1" t="s">
        <v>33</v>
      </c>
      <c r="F5" s="1" t="s">
        <v>34</v>
      </c>
      <c r="G5" s="1" t="b">
        <f aca="false">TRUE()</f>
        <v>1</v>
      </c>
      <c r="H5" s="1" t="s">
        <v>35</v>
      </c>
      <c r="I5" s="6" t="b">
        <f aca="false">FALSE()</f>
        <v>0</v>
      </c>
      <c r="J5" s="1" t="n">
        <v>1</v>
      </c>
      <c r="K5" s="1" t="n">
        <v>0.666666666666667</v>
      </c>
      <c r="L5" s="1" t="n">
        <v>0.666666666666667</v>
      </c>
      <c r="N5" s="1" t="s">
        <v>36</v>
      </c>
    </row>
    <row r="6" customFormat="false" ht="15" hidden="false" customHeight="false" outlineLevel="0" collapsed="false">
      <c r="A6" s="1" t="n">
        <v>4</v>
      </c>
      <c r="B6" s="1" t="s">
        <v>37</v>
      </c>
      <c r="D6" s="1" t="s">
        <v>38</v>
      </c>
      <c r="E6" s="1" t="s">
        <v>22</v>
      </c>
      <c r="F6" s="1" t="s">
        <v>22</v>
      </c>
      <c r="G6" s="1" t="b">
        <f aca="false">FALSE()</f>
        <v>0</v>
      </c>
      <c r="H6" s="1" t="s">
        <v>39</v>
      </c>
      <c r="I6" s="6" t="b">
        <f aca="false">FALSE()</f>
        <v>0</v>
      </c>
      <c r="J6" s="1" t="n">
        <v>0</v>
      </c>
      <c r="K6" s="1" t="n">
        <v>0</v>
      </c>
      <c r="L6" s="1" t="n">
        <v>0</v>
      </c>
      <c r="N6" s="1" t="s">
        <v>40</v>
      </c>
    </row>
    <row r="7" customFormat="false" ht="15" hidden="false" customHeight="false" outlineLevel="0" collapsed="false">
      <c r="A7" s="1" t="n">
        <v>5</v>
      </c>
      <c r="B7" s="1" t="s">
        <v>41</v>
      </c>
      <c r="C7" s="1" t="s">
        <v>42</v>
      </c>
      <c r="D7" s="1" t="s">
        <v>43</v>
      </c>
      <c r="E7" s="1" t="s">
        <v>44</v>
      </c>
      <c r="F7" s="1" t="s">
        <v>44</v>
      </c>
      <c r="G7" s="1" t="b">
        <f aca="false">FALSE()</f>
        <v>0</v>
      </c>
      <c r="H7" s="1" t="s">
        <v>45</v>
      </c>
      <c r="I7" s="7" t="b">
        <f aca="false">FALSE()</f>
        <v>0</v>
      </c>
      <c r="J7" s="1" t="n">
        <v>0.666666666666667</v>
      </c>
      <c r="K7" s="1" t="n">
        <v>1</v>
      </c>
      <c r="L7" s="1" t="n">
        <v>0.666666666666667</v>
      </c>
      <c r="N7" s="1" t="s">
        <v>46</v>
      </c>
    </row>
    <row r="8" customFormat="false" ht="15" hidden="false" customHeight="false" outlineLevel="0" collapsed="false">
      <c r="A8" s="1" t="n">
        <v>6</v>
      </c>
      <c r="B8" s="1" t="s">
        <v>47</v>
      </c>
      <c r="C8" s="1" t="s">
        <v>48</v>
      </c>
      <c r="D8" s="1" t="s">
        <v>49</v>
      </c>
      <c r="E8" s="1" t="s">
        <v>50</v>
      </c>
      <c r="F8" s="1" t="s">
        <v>50</v>
      </c>
      <c r="G8" s="1" t="b">
        <f aca="false">FALSE()</f>
        <v>0</v>
      </c>
      <c r="H8" s="1" t="s">
        <v>51</v>
      </c>
      <c r="I8" s="6" t="b">
        <f aca="false">FALSE()</f>
        <v>0</v>
      </c>
      <c r="J8" s="1" t="n">
        <v>0.4</v>
      </c>
      <c r="K8" s="1" t="n">
        <v>1</v>
      </c>
      <c r="L8" s="1" t="n">
        <v>0.4</v>
      </c>
      <c r="N8" s="1" t="s">
        <v>52</v>
      </c>
    </row>
    <row r="9" customFormat="false" ht="15" hidden="false" customHeight="false" outlineLevel="0" collapsed="false">
      <c r="A9" s="1" t="n">
        <v>7</v>
      </c>
      <c r="B9" s="1" t="s">
        <v>53</v>
      </c>
      <c r="D9" s="1" t="s">
        <v>22</v>
      </c>
      <c r="E9" s="1" t="s">
        <v>22</v>
      </c>
      <c r="F9" s="1" t="s">
        <v>22</v>
      </c>
      <c r="G9" s="1" t="b">
        <f aca="false">FALSE()</f>
        <v>0</v>
      </c>
      <c r="H9" s="1" t="s">
        <v>54</v>
      </c>
      <c r="I9" s="1" t="b">
        <f aca="false">TRUE()</f>
        <v>1</v>
      </c>
      <c r="J9" s="1" t="n">
        <v>1</v>
      </c>
      <c r="K9" s="1" t="n">
        <v>1</v>
      </c>
      <c r="L9" s="1" t="n">
        <v>1</v>
      </c>
    </row>
    <row r="10" customFormat="false" ht="15" hidden="false" customHeight="false" outlineLevel="0" collapsed="false">
      <c r="A10" s="1" t="n">
        <v>8</v>
      </c>
      <c r="B10" s="1" t="s">
        <v>55</v>
      </c>
      <c r="C10" s="1" t="s">
        <v>56</v>
      </c>
      <c r="D10" s="1" t="s">
        <v>57</v>
      </c>
      <c r="E10" s="1" t="s">
        <v>58</v>
      </c>
      <c r="F10" s="1" t="s">
        <v>59</v>
      </c>
      <c r="G10" s="1" t="b">
        <f aca="false">TRUE()</f>
        <v>1</v>
      </c>
      <c r="H10" s="1" t="s">
        <v>60</v>
      </c>
      <c r="I10" s="6" t="b">
        <f aca="false">FALSE()</f>
        <v>0</v>
      </c>
      <c r="J10" s="1" t="n">
        <v>1</v>
      </c>
      <c r="K10" s="1" t="n">
        <v>0.666666666666667</v>
      </c>
      <c r="L10" s="1" t="n">
        <v>0.666666666666667</v>
      </c>
      <c r="N10" s="1" t="s">
        <v>52</v>
      </c>
    </row>
    <row r="11" customFormat="false" ht="15" hidden="false" customHeight="false" outlineLevel="0" collapsed="false">
      <c r="A11" s="1" t="n">
        <v>9</v>
      </c>
      <c r="B11" s="1" t="s">
        <v>61</v>
      </c>
      <c r="D11" s="1" t="s">
        <v>27</v>
      </c>
      <c r="E11" s="1" t="s">
        <v>27</v>
      </c>
      <c r="F11" s="1" t="s">
        <v>27</v>
      </c>
      <c r="G11" s="1" t="b">
        <f aca="false">FALSE()</f>
        <v>0</v>
      </c>
      <c r="H11" s="1" t="s">
        <v>62</v>
      </c>
      <c r="I11" s="1" t="b">
        <f aca="false">TRUE()</f>
        <v>1</v>
      </c>
      <c r="J11" s="1" t="n">
        <v>1</v>
      </c>
      <c r="K11" s="1" t="n">
        <v>1</v>
      </c>
      <c r="L11" s="1" t="n">
        <v>1</v>
      </c>
    </row>
    <row r="12" customFormat="false" ht="15" hidden="false" customHeight="false" outlineLevel="0" collapsed="false">
      <c r="A12" s="4" t="n">
        <v>10</v>
      </c>
      <c r="B12" s="1" t="s">
        <v>63</v>
      </c>
      <c r="D12" s="1" t="s">
        <v>64</v>
      </c>
      <c r="E12" s="1" t="s">
        <v>22</v>
      </c>
      <c r="F12" s="1" t="s">
        <v>22</v>
      </c>
      <c r="G12" s="1" t="b">
        <f aca="false">FALSE()</f>
        <v>0</v>
      </c>
      <c r="H12" s="1" t="s">
        <v>65</v>
      </c>
      <c r="I12" s="3" t="b">
        <f aca="false">FALSE()</f>
        <v>0</v>
      </c>
      <c r="J12" s="1" t="n">
        <v>0</v>
      </c>
      <c r="K12" s="1" t="n">
        <v>0</v>
      </c>
      <c r="L12" s="1" t="n">
        <v>0</v>
      </c>
      <c r="N12" s="4" t="s">
        <v>66</v>
      </c>
      <c r="O12" s="4"/>
      <c r="P12" s="4"/>
      <c r="Q12" s="4"/>
      <c r="R12" s="4"/>
      <c r="S12" s="4"/>
      <c r="V12" s="1" t="s">
        <v>67</v>
      </c>
    </row>
    <row r="13" customFormat="false" ht="15" hidden="false" customHeight="false" outlineLevel="0" collapsed="false">
      <c r="A13" s="1" t="n">
        <v>11</v>
      </c>
      <c r="B13" s="1" t="s">
        <v>68</v>
      </c>
      <c r="C13" s="1" t="s">
        <v>69</v>
      </c>
      <c r="D13" s="1" t="s">
        <v>70</v>
      </c>
      <c r="E13" s="1" t="s">
        <v>70</v>
      </c>
      <c r="F13" s="1" t="s">
        <v>70</v>
      </c>
      <c r="G13" s="1" t="b">
        <f aca="false">FALSE()</f>
        <v>0</v>
      </c>
      <c r="H13" s="1" t="s">
        <v>71</v>
      </c>
      <c r="I13" s="1" t="b">
        <f aca="false">TRUE()</f>
        <v>1</v>
      </c>
      <c r="J13" s="1" t="n">
        <v>1</v>
      </c>
      <c r="K13" s="1" t="n">
        <v>1</v>
      </c>
      <c r="L13" s="1" t="n">
        <v>1</v>
      </c>
    </row>
    <row r="14" customFormat="false" ht="15" hidden="false" customHeight="false" outlineLevel="0" collapsed="false">
      <c r="A14" s="1" t="n">
        <v>12</v>
      </c>
      <c r="B14" s="1" t="s">
        <v>72</v>
      </c>
      <c r="D14" s="1" t="s">
        <v>73</v>
      </c>
      <c r="E14" s="1" t="s">
        <v>22</v>
      </c>
      <c r="F14" s="1" t="s">
        <v>22</v>
      </c>
      <c r="G14" s="1" t="b">
        <f aca="false">FALSE()</f>
        <v>0</v>
      </c>
      <c r="H14" s="1" t="s">
        <v>74</v>
      </c>
      <c r="I14" s="4" t="b">
        <f aca="false">FALSE()</f>
        <v>0</v>
      </c>
      <c r="J14" s="1" t="n">
        <v>0</v>
      </c>
      <c r="K14" s="1" t="n">
        <v>0</v>
      </c>
      <c r="L14" s="1" t="n">
        <v>0</v>
      </c>
      <c r="N14" s="1" t="s">
        <v>75</v>
      </c>
    </row>
    <row r="15" customFormat="false" ht="15" hidden="false" customHeight="false" outlineLevel="0" collapsed="false">
      <c r="A15" s="1" t="n">
        <v>13</v>
      </c>
      <c r="B15" s="1" t="s">
        <v>76</v>
      </c>
      <c r="D15" s="1" t="s">
        <v>77</v>
      </c>
      <c r="E15" s="1" t="s">
        <v>77</v>
      </c>
      <c r="F15" s="1" t="s">
        <v>77</v>
      </c>
      <c r="G15" s="1" t="b">
        <f aca="false">FALSE()</f>
        <v>0</v>
      </c>
      <c r="H15" s="1" t="s">
        <v>78</v>
      </c>
      <c r="I15" s="1" t="b">
        <f aca="false">TRUE()</f>
        <v>1</v>
      </c>
      <c r="J15" s="1" t="n">
        <v>1</v>
      </c>
      <c r="K15" s="1" t="n">
        <v>1</v>
      </c>
      <c r="L15" s="1" t="n">
        <v>1</v>
      </c>
    </row>
    <row r="16" customFormat="false" ht="1125.55" hidden="false" customHeight="false" outlineLevel="0" collapsed="false">
      <c r="A16" s="1" t="n">
        <v>14</v>
      </c>
      <c r="B16" s="1" t="s">
        <v>79</v>
      </c>
      <c r="C16" s="8" t="s">
        <v>80</v>
      </c>
      <c r="D16" s="1" t="s">
        <v>27</v>
      </c>
      <c r="E16" s="1" t="s">
        <v>81</v>
      </c>
      <c r="F16" s="1" t="s">
        <v>81</v>
      </c>
      <c r="G16" s="1" t="b">
        <f aca="false">FALSE()</f>
        <v>0</v>
      </c>
      <c r="H16" s="2" t="s">
        <v>82</v>
      </c>
      <c r="I16" s="7" t="b">
        <f aca="false">FALSE()</f>
        <v>0</v>
      </c>
      <c r="J16" s="1" t="n">
        <v>0.333333333333333</v>
      </c>
      <c r="K16" s="1" t="n">
        <v>1</v>
      </c>
      <c r="L16" s="1" t="n">
        <v>0.333333333333333</v>
      </c>
      <c r="N16" s="1" t="s">
        <v>83</v>
      </c>
    </row>
    <row r="17" customFormat="false" ht="15" hidden="false" customHeight="false" outlineLevel="0" collapsed="false">
      <c r="A17" s="1" t="n">
        <v>15</v>
      </c>
      <c r="B17" s="1" t="s">
        <v>84</v>
      </c>
      <c r="D17" s="1" t="s">
        <v>85</v>
      </c>
      <c r="E17" s="1" t="s">
        <v>22</v>
      </c>
      <c r="F17" s="1" t="s">
        <v>22</v>
      </c>
      <c r="G17" s="1" t="b">
        <f aca="false">FALSE()</f>
        <v>0</v>
      </c>
      <c r="H17" s="1" t="s">
        <v>86</v>
      </c>
      <c r="I17" s="4" t="b">
        <f aca="false">FALSE()</f>
        <v>0</v>
      </c>
      <c r="J17" s="1" t="n">
        <v>0</v>
      </c>
      <c r="K17" s="1" t="n">
        <v>0</v>
      </c>
      <c r="L17" s="1" t="n">
        <v>0</v>
      </c>
      <c r="N17" s="1" t="s">
        <v>75</v>
      </c>
    </row>
    <row r="18" customFormat="false" ht="15" hidden="false" customHeight="false" outlineLevel="0" collapsed="false">
      <c r="A18" s="1" t="n">
        <v>16</v>
      </c>
      <c r="B18" s="1" t="s">
        <v>87</v>
      </c>
      <c r="D18" s="1" t="s">
        <v>88</v>
      </c>
      <c r="E18" s="1" t="s">
        <v>22</v>
      </c>
      <c r="F18" s="1" t="s">
        <v>22</v>
      </c>
      <c r="G18" s="1" t="b">
        <f aca="false">FALSE()</f>
        <v>0</v>
      </c>
      <c r="H18" s="1" t="s">
        <v>89</v>
      </c>
      <c r="I18" s="4" t="b">
        <f aca="false">FALSE()</f>
        <v>0</v>
      </c>
      <c r="J18" s="1" t="n">
        <v>0</v>
      </c>
      <c r="K18" s="1" t="n">
        <v>0</v>
      </c>
      <c r="L18" s="1" t="n">
        <v>0</v>
      </c>
      <c r="N18" s="1" t="s">
        <v>75</v>
      </c>
    </row>
    <row r="19" customFormat="false" ht="15" hidden="false" customHeight="false" outlineLevel="0" collapsed="false">
      <c r="A19" s="1" t="n">
        <v>17</v>
      </c>
      <c r="B19" s="1" t="s">
        <v>90</v>
      </c>
      <c r="C19" s="1" t="s">
        <v>91</v>
      </c>
      <c r="D19" s="1" t="s">
        <v>92</v>
      </c>
      <c r="E19" s="1" t="s">
        <v>93</v>
      </c>
      <c r="F19" s="1" t="s">
        <v>93</v>
      </c>
      <c r="G19" s="1" t="b">
        <f aca="false">FALSE()</f>
        <v>0</v>
      </c>
      <c r="H19" s="1" t="s">
        <v>94</v>
      </c>
      <c r="I19" s="3" t="b">
        <f aca="false">FALSE()</f>
        <v>0</v>
      </c>
      <c r="J19" s="1" t="n">
        <v>0.666666666666667</v>
      </c>
      <c r="K19" s="1" t="n">
        <v>0.666666666666667</v>
      </c>
      <c r="L19" s="1" t="n">
        <v>0.5</v>
      </c>
      <c r="N19" s="1" t="s">
        <v>95</v>
      </c>
    </row>
    <row r="20" customFormat="false" ht="15" hidden="false" customHeight="false" outlineLevel="0" collapsed="false">
      <c r="A20" s="1" t="n">
        <v>18</v>
      </c>
      <c r="B20" s="1" t="s">
        <v>96</v>
      </c>
      <c r="D20" s="1" t="s">
        <v>97</v>
      </c>
      <c r="E20" s="1" t="s">
        <v>98</v>
      </c>
      <c r="F20" s="1" t="s">
        <v>98</v>
      </c>
      <c r="G20" s="1" t="b">
        <f aca="false">FALSE()</f>
        <v>0</v>
      </c>
      <c r="H20" s="1" t="s">
        <v>99</v>
      </c>
      <c r="I20" s="6" t="b">
        <f aca="false">FALSE()</f>
        <v>0</v>
      </c>
      <c r="J20" s="1" t="n">
        <v>0</v>
      </c>
      <c r="K20" s="1" t="n">
        <v>0</v>
      </c>
      <c r="L20" s="1" t="n">
        <v>0</v>
      </c>
      <c r="N20" s="1" t="s">
        <v>100</v>
      </c>
    </row>
    <row r="21" customFormat="false" ht="15" hidden="false" customHeight="false" outlineLevel="0" collapsed="false">
      <c r="A21" s="1" t="n">
        <v>19</v>
      </c>
      <c r="B21" s="1" t="s">
        <v>101</v>
      </c>
      <c r="D21" s="1" t="s">
        <v>38</v>
      </c>
      <c r="E21" s="1" t="s">
        <v>22</v>
      </c>
      <c r="F21" s="1" t="s">
        <v>22</v>
      </c>
      <c r="G21" s="1" t="b">
        <f aca="false">FALSE()</f>
        <v>0</v>
      </c>
      <c r="H21" s="1" t="s">
        <v>102</v>
      </c>
      <c r="I21" s="4" t="b">
        <f aca="false">FALSE()</f>
        <v>0</v>
      </c>
      <c r="J21" s="1" t="n">
        <v>0</v>
      </c>
      <c r="K21" s="1" t="n">
        <v>0</v>
      </c>
      <c r="L21" s="1" t="n">
        <v>0</v>
      </c>
      <c r="N21" s="1" t="s">
        <v>75</v>
      </c>
    </row>
    <row r="22" customFormat="false" ht="15" hidden="false" customHeight="false" outlineLevel="0" collapsed="false">
      <c r="A22" s="1" t="n">
        <v>20</v>
      </c>
      <c r="B22" s="1" t="s">
        <v>103</v>
      </c>
      <c r="D22" s="1" t="s">
        <v>22</v>
      </c>
      <c r="E22" s="1" t="s">
        <v>22</v>
      </c>
      <c r="F22" s="1" t="s">
        <v>22</v>
      </c>
      <c r="G22" s="1" t="b">
        <f aca="false">FALSE()</f>
        <v>0</v>
      </c>
      <c r="H22" s="1" t="s">
        <v>104</v>
      </c>
      <c r="I22" s="1" t="b">
        <f aca="false">TRUE()</f>
        <v>1</v>
      </c>
      <c r="J22" s="1" t="n">
        <v>1</v>
      </c>
      <c r="K22" s="1" t="n">
        <v>1</v>
      </c>
      <c r="L22" s="1" t="n">
        <v>1</v>
      </c>
    </row>
    <row r="23" customFormat="false" ht="15" hidden="false" customHeight="false" outlineLevel="0" collapsed="false">
      <c r="A23" s="1" t="n">
        <v>21</v>
      </c>
      <c r="B23" s="1" t="s">
        <v>105</v>
      </c>
      <c r="D23" s="1" t="s">
        <v>106</v>
      </c>
      <c r="E23" s="1" t="s">
        <v>22</v>
      </c>
      <c r="F23" s="1" t="s">
        <v>22</v>
      </c>
      <c r="G23" s="1" t="b">
        <f aca="false">FALSE()</f>
        <v>0</v>
      </c>
      <c r="H23" s="1" t="s">
        <v>107</v>
      </c>
      <c r="I23" s="4" t="b">
        <f aca="false">FALSE()</f>
        <v>0</v>
      </c>
      <c r="J23" s="1" t="n">
        <v>0</v>
      </c>
      <c r="K23" s="1" t="n">
        <v>0</v>
      </c>
      <c r="L23" s="1" t="n">
        <v>0</v>
      </c>
      <c r="N23" s="1" t="s">
        <v>75</v>
      </c>
    </row>
    <row r="24" customFormat="false" ht="15" hidden="false" customHeight="false" outlineLevel="0" collapsed="false">
      <c r="A24" s="1" t="n">
        <v>22</v>
      </c>
      <c r="B24" s="1" t="s">
        <v>108</v>
      </c>
      <c r="D24" s="1" t="s">
        <v>77</v>
      </c>
      <c r="E24" s="1" t="s">
        <v>77</v>
      </c>
      <c r="F24" s="1" t="s">
        <v>77</v>
      </c>
      <c r="G24" s="1" t="b">
        <f aca="false">FALSE()</f>
        <v>0</v>
      </c>
      <c r="H24" s="1" t="s">
        <v>109</v>
      </c>
      <c r="I24" s="1" t="b">
        <f aca="false">TRUE()</f>
        <v>1</v>
      </c>
      <c r="J24" s="1" t="n">
        <v>1</v>
      </c>
      <c r="K24" s="1" t="n">
        <v>1</v>
      </c>
      <c r="L24" s="1" t="n">
        <v>1</v>
      </c>
    </row>
    <row r="25" customFormat="false" ht="15" hidden="false" customHeight="false" outlineLevel="0" collapsed="false">
      <c r="A25" s="1" t="n">
        <v>23</v>
      </c>
      <c r="B25" s="1" t="s">
        <v>110</v>
      </c>
      <c r="C25" s="1" t="s">
        <v>110</v>
      </c>
      <c r="D25" s="1" t="s">
        <v>111</v>
      </c>
      <c r="E25" s="1" t="s">
        <v>111</v>
      </c>
      <c r="F25" s="1" t="s">
        <v>111</v>
      </c>
      <c r="G25" s="1" t="b">
        <f aca="false">FALSE()</f>
        <v>0</v>
      </c>
      <c r="H25" s="1" t="s">
        <v>112</v>
      </c>
      <c r="I25" s="1" t="b">
        <f aca="false">TRUE()</f>
        <v>1</v>
      </c>
      <c r="J25" s="1" t="n">
        <v>1</v>
      </c>
      <c r="K25" s="1" t="n">
        <v>1</v>
      </c>
      <c r="L25" s="1" t="n">
        <v>1</v>
      </c>
    </row>
    <row r="26" customFormat="false" ht="15" hidden="false" customHeight="false" outlineLevel="0" collapsed="false">
      <c r="A26" s="1" t="n">
        <v>24</v>
      </c>
      <c r="B26" s="1" t="s">
        <v>113</v>
      </c>
      <c r="D26" s="1" t="s">
        <v>114</v>
      </c>
      <c r="E26" s="1" t="s">
        <v>22</v>
      </c>
      <c r="F26" s="1" t="s">
        <v>22</v>
      </c>
      <c r="G26" s="1" t="b">
        <f aca="false">FALSE()</f>
        <v>0</v>
      </c>
      <c r="H26" s="1" t="s">
        <v>115</v>
      </c>
      <c r="I26" s="4" t="b">
        <f aca="false">FALSE()</f>
        <v>0</v>
      </c>
      <c r="J26" s="1" t="n">
        <v>0</v>
      </c>
      <c r="K26" s="1" t="n">
        <v>0</v>
      </c>
      <c r="L26" s="1" t="n">
        <v>0</v>
      </c>
      <c r="N26" s="1" t="s">
        <v>75</v>
      </c>
    </row>
    <row r="27" customFormat="false" ht="15" hidden="false" customHeight="false" outlineLevel="0" collapsed="false">
      <c r="A27" s="1" t="n">
        <v>25</v>
      </c>
      <c r="B27" s="1" t="s">
        <v>116</v>
      </c>
      <c r="C27" s="1" t="s">
        <v>117</v>
      </c>
      <c r="D27" s="1" t="s">
        <v>77</v>
      </c>
      <c r="E27" s="1" t="s">
        <v>118</v>
      </c>
      <c r="F27" s="1" t="s">
        <v>118</v>
      </c>
      <c r="G27" s="1" t="b">
        <f aca="false">FALSE()</f>
        <v>0</v>
      </c>
      <c r="H27" s="1" t="s">
        <v>119</v>
      </c>
      <c r="I27" s="6" t="b">
        <f aca="false">FALSE()</f>
        <v>0</v>
      </c>
      <c r="J27" s="1" t="n">
        <v>0.5</v>
      </c>
      <c r="K27" s="1" t="n">
        <v>1</v>
      </c>
      <c r="L27" s="1" t="n">
        <v>0.5</v>
      </c>
      <c r="N27" s="1" t="s">
        <v>120</v>
      </c>
    </row>
    <row r="28" customFormat="false" ht="15" hidden="false" customHeight="false" outlineLevel="0" collapsed="false">
      <c r="A28" s="1" t="n">
        <v>26</v>
      </c>
      <c r="B28" s="1" t="s">
        <v>121</v>
      </c>
      <c r="C28" s="1" t="s">
        <v>122</v>
      </c>
      <c r="D28" s="1" t="s">
        <v>34</v>
      </c>
      <c r="E28" s="1" t="s">
        <v>123</v>
      </c>
      <c r="F28" s="1" t="s">
        <v>123</v>
      </c>
      <c r="G28" s="1" t="b">
        <f aca="false">FALSE()</f>
        <v>0</v>
      </c>
      <c r="H28" s="1" t="s">
        <v>124</v>
      </c>
      <c r="I28" s="6" t="b">
        <f aca="false">FALSE()</f>
        <v>0</v>
      </c>
      <c r="J28" s="1" t="n">
        <v>0.333333333333333</v>
      </c>
      <c r="K28" s="1" t="n">
        <v>0.5</v>
      </c>
      <c r="L28" s="1" t="n">
        <v>0.25</v>
      </c>
      <c r="N28" s="1" t="s">
        <v>125</v>
      </c>
    </row>
    <row r="29" customFormat="false" ht="2631.2" hidden="false" customHeight="false" outlineLevel="0" collapsed="false">
      <c r="A29" s="1" t="n">
        <v>27</v>
      </c>
      <c r="B29" s="1" t="s">
        <v>126</v>
      </c>
      <c r="C29" s="8" t="s">
        <v>127</v>
      </c>
      <c r="D29" s="1" t="s">
        <v>111</v>
      </c>
      <c r="E29" s="1" t="s">
        <v>128</v>
      </c>
      <c r="F29" s="1" t="s">
        <v>128</v>
      </c>
      <c r="G29" s="1" t="b">
        <f aca="false">FALSE()</f>
        <v>0</v>
      </c>
      <c r="H29" s="1" t="s">
        <v>129</v>
      </c>
      <c r="I29" s="6" t="b">
        <f aca="false">FALSE()</f>
        <v>0</v>
      </c>
      <c r="J29" s="1" t="n">
        <v>0.5</v>
      </c>
      <c r="K29" s="1" t="n">
        <v>1</v>
      </c>
      <c r="L29" s="1" t="n">
        <v>0.5</v>
      </c>
      <c r="N29" s="1" t="s">
        <v>52</v>
      </c>
    </row>
    <row r="30" customFormat="false" ht="15" hidden="false" customHeight="false" outlineLevel="0" collapsed="false">
      <c r="A30" s="4" t="n">
        <v>28</v>
      </c>
      <c r="B30" s="1" t="s">
        <v>130</v>
      </c>
      <c r="D30" s="4" t="s">
        <v>106</v>
      </c>
      <c r="E30" s="1" t="s">
        <v>131</v>
      </c>
      <c r="F30" s="1" t="s">
        <v>131</v>
      </c>
      <c r="G30" s="1" t="b">
        <f aca="false">FALSE()</f>
        <v>0</v>
      </c>
      <c r="H30" s="1" t="s">
        <v>132</v>
      </c>
      <c r="I30" s="6" t="b">
        <f aca="false">FALSE()</f>
        <v>0</v>
      </c>
      <c r="J30" s="1" t="n">
        <v>0</v>
      </c>
      <c r="K30" s="1" t="n">
        <v>0</v>
      </c>
      <c r="L30" s="1" t="n">
        <v>0</v>
      </c>
      <c r="N30" s="4" t="s">
        <v>133</v>
      </c>
    </row>
    <row r="31" customFormat="false" ht="15" hidden="false" customHeight="false" outlineLevel="0" collapsed="false">
      <c r="A31" s="1" t="n">
        <v>29</v>
      </c>
      <c r="B31" s="1" t="s">
        <v>134</v>
      </c>
      <c r="D31" s="1" t="s">
        <v>64</v>
      </c>
      <c r="E31" s="1" t="s">
        <v>98</v>
      </c>
      <c r="F31" s="1" t="s">
        <v>98</v>
      </c>
      <c r="G31" s="1" t="b">
        <f aca="false">FALSE()</f>
        <v>0</v>
      </c>
      <c r="H31" s="1" t="s">
        <v>135</v>
      </c>
      <c r="I31" s="4" t="b">
        <f aca="false">FALSE()</f>
        <v>0</v>
      </c>
      <c r="J31" s="1" t="n">
        <v>0</v>
      </c>
      <c r="K31" s="1" t="n">
        <v>0</v>
      </c>
      <c r="L31" s="1" t="n">
        <v>0</v>
      </c>
      <c r="N31" s="1" t="s">
        <v>136</v>
      </c>
    </row>
    <row r="32" customFormat="false" ht="15" hidden="false" customHeight="false" outlineLevel="0" collapsed="false">
      <c r="A32" s="1" t="n">
        <v>30</v>
      </c>
      <c r="B32" s="1" t="s">
        <v>137</v>
      </c>
      <c r="C32" s="1" t="s">
        <v>138</v>
      </c>
      <c r="D32" s="1" t="s">
        <v>139</v>
      </c>
      <c r="E32" s="1" t="s">
        <v>139</v>
      </c>
      <c r="F32" s="1" t="s">
        <v>139</v>
      </c>
      <c r="G32" s="1" t="b">
        <f aca="false">FALSE()</f>
        <v>0</v>
      </c>
      <c r="H32" s="1" t="s">
        <v>140</v>
      </c>
      <c r="I32" s="1" t="b">
        <f aca="false">TRUE()</f>
        <v>1</v>
      </c>
      <c r="J32" s="1" t="n">
        <v>1</v>
      </c>
      <c r="K32" s="1" t="n">
        <v>1</v>
      </c>
      <c r="L32" s="1" t="n">
        <v>1</v>
      </c>
    </row>
    <row r="33" customFormat="false" ht="15" hidden="false" customHeight="false" outlineLevel="0" collapsed="false">
      <c r="A33" s="1" t="n">
        <v>31</v>
      </c>
      <c r="B33" s="1" t="s">
        <v>141</v>
      </c>
      <c r="D33" s="1" t="s">
        <v>139</v>
      </c>
      <c r="E33" s="1" t="s">
        <v>139</v>
      </c>
      <c r="F33" s="1" t="s">
        <v>139</v>
      </c>
      <c r="G33" s="1" t="b">
        <f aca="false">FALSE()</f>
        <v>0</v>
      </c>
      <c r="H33" s="1" t="s">
        <v>142</v>
      </c>
      <c r="I33" s="1" t="b">
        <f aca="false">TRUE()</f>
        <v>1</v>
      </c>
      <c r="J33" s="1" t="n">
        <v>1</v>
      </c>
      <c r="K33" s="1" t="n">
        <v>1</v>
      </c>
      <c r="L33" s="1" t="n">
        <v>1</v>
      </c>
    </row>
    <row r="34" customFormat="false" ht="15" hidden="false" customHeight="false" outlineLevel="0" collapsed="false">
      <c r="A34" s="4" t="n">
        <v>32</v>
      </c>
      <c r="B34" s="1" t="s">
        <v>143</v>
      </c>
      <c r="C34" s="1" t="s">
        <v>144</v>
      </c>
      <c r="D34" s="1" t="s">
        <v>97</v>
      </c>
      <c r="E34" s="1" t="s">
        <v>81</v>
      </c>
      <c r="F34" s="1" t="s">
        <v>81</v>
      </c>
      <c r="G34" s="1" t="b">
        <f aca="false">FALSE()</f>
        <v>0</v>
      </c>
      <c r="H34" s="1" t="s">
        <v>145</v>
      </c>
      <c r="I34" s="7" t="b">
        <f aca="false">FALSE()</f>
        <v>0</v>
      </c>
      <c r="J34" s="1" t="n">
        <v>0.333333333333333</v>
      </c>
      <c r="K34" s="1" t="n">
        <v>1</v>
      </c>
      <c r="L34" s="1" t="n">
        <v>0.333333333333333</v>
      </c>
      <c r="N34" s="4" t="s">
        <v>146</v>
      </c>
    </row>
    <row r="35" customFormat="false" ht="15" hidden="false" customHeight="false" outlineLevel="0" collapsed="false">
      <c r="A35" s="1" t="n">
        <v>33</v>
      </c>
      <c r="B35" s="1" t="s">
        <v>147</v>
      </c>
      <c r="C35" s="1" t="s">
        <v>148</v>
      </c>
      <c r="D35" s="1" t="s">
        <v>70</v>
      </c>
      <c r="G35" s="1" t="b">
        <f aca="false">FALSE()</f>
        <v>0</v>
      </c>
      <c r="I35" s="4" t="b">
        <f aca="false">FALSE()</f>
        <v>0</v>
      </c>
      <c r="K35" s="1" t="n">
        <v>0</v>
      </c>
      <c r="L35" s="1" t="n">
        <v>0</v>
      </c>
      <c r="N35" s="1" t="s">
        <v>149</v>
      </c>
    </row>
    <row r="36" customFormat="false" ht="1998.45" hidden="false" customHeight="false" outlineLevel="0" collapsed="false">
      <c r="A36" s="1" t="n">
        <v>34</v>
      </c>
      <c r="B36" s="1" t="s">
        <v>150</v>
      </c>
      <c r="C36" s="8" t="s">
        <v>151</v>
      </c>
      <c r="D36" s="1" t="s">
        <v>128</v>
      </c>
      <c r="E36" s="1" t="s">
        <v>44</v>
      </c>
      <c r="F36" s="1" t="s">
        <v>44</v>
      </c>
      <c r="G36" s="1" t="b">
        <f aca="false">FALSE()</f>
        <v>0</v>
      </c>
      <c r="H36" s="1" t="s">
        <v>152</v>
      </c>
      <c r="I36" s="6" t="b">
        <f aca="false">FALSE()</f>
        <v>0</v>
      </c>
      <c r="J36" s="1" t="n">
        <v>0.666666666666667</v>
      </c>
      <c r="K36" s="1" t="n">
        <v>1</v>
      </c>
      <c r="L36" s="1" t="n">
        <v>0.666666666666667</v>
      </c>
      <c r="N36" s="1" t="s">
        <v>52</v>
      </c>
    </row>
    <row r="37" customFormat="false" ht="15" hidden="false" customHeight="false" outlineLevel="0" collapsed="false">
      <c r="A37" s="1" t="n">
        <v>35</v>
      </c>
      <c r="B37" s="1" t="s">
        <v>153</v>
      </c>
      <c r="D37" s="1" t="s">
        <v>154</v>
      </c>
      <c r="E37" s="1" t="s">
        <v>22</v>
      </c>
      <c r="F37" s="1" t="s">
        <v>22</v>
      </c>
      <c r="G37" s="1" t="b">
        <f aca="false">FALSE()</f>
        <v>0</v>
      </c>
      <c r="H37" s="1" t="s">
        <v>155</v>
      </c>
      <c r="I37" s="1" t="b">
        <f aca="false">TRUE()</f>
        <v>1</v>
      </c>
      <c r="J37" s="1" t="n">
        <v>1</v>
      </c>
      <c r="K37" s="1" t="n">
        <v>1</v>
      </c>
      <c r="L37" s="1" t="n">
        <v>1</v>
      </c>
    </row>
    <row r="38" customFormat="false" ht="15" hidden="false" customHeight="false" outlineLevel="0" collapsed="false">
      <c r="A38" s="4" t="n">
        <v>36</v>
      </c>
      <c r="B38" s="1" t="s">
        <v>156</v>
      </c>
      <c r="C38" s="1" t="s">
        <v>157</v>
      </c>
      <c r="D38" s="4" t="s">
        <v>106</v>
      </c>
      <c r="E38" s="1" t="s">
        <v>158</v>
      </c>
      <c r="F38" s="1" t="s">
        <v>159</v>
      </c>
      <c r="G38" s="1" t="b">
        <f aca="false">TRUE()</f>
        <v>1</v>
      </c>
      <c r="H38" s="1" t="s">
        <v>160</v>
      </c>
      <c r="I38" s="3" t="b">
        <f aca="false">FALSE()</f>
        <v>0</v>
      </c>
      <c r="J38" s="1" t="n">
        <v>0</v>
      </c>
      <c r="K38" s="1" t="n">
        <v>0</v>
      </c>
      <c r="L38" s="1" t="n">
        <v>0</v>
      </c>
      <c r="N38" s="4" t="s">
        <v>161</v>
      </c>
    </row>
    <row r="39" customFormat="false" ht="15" hidden="false" customHeight="false" outlineLevel="0" collapsed="false">
      <c r="A39" s="4" t="n">
        <v>37</v>
      </c>
      <c r="B39" s="1" t="s">
        <v>162</v>
      </c>
      <c r="D39" s="4" t="s">
        <v>64</v>
      </c>
      <c r="E39" s="1" t="s">
        <v>22</v>
      </c>
      <c r="F39" s="1" t="s">
        <v>22</v>
      </c>
      <c r="G39" s="1" t="b">
        <f aca="false">FALSE()</f>
        <v>0</v>
      </c>
      <c r="H39" s="1" t="s">
        <v>163</v>
      </c>
      <c r="I39" s="4" t="b">
        <f aca="false">FALSE()</f>
        <v>0</v>
      </c>
      <c r="J39" s="1" t="n">
        <v>0</v>
      </c>
      <c r="K39" s="1" t="n">
        <v>0</v>
      </c>
      <c r="L39" s="1" t="n">
        <v>0</v>
      </c>
      <c r="N39" s="4" t="s">
        <v>164</v>
      </c>
    </row>
    <row r="40" customFormat="false" ht="15" hidden="false" customHeight="false" outlineLevel="0" collapsed="false">
      <c r="A40" s="4" t="n">
        <v>38</v>
      </c>
      <c r="B40" s="1" t="s">
        <v>165</v>
      </c>
      <c r="D40" s="4" t="s">
        <v>106</v>
      </c>
      <c r="E40" s="1" t="s">
        <v>22</v>
      </c>
      <c r="F40" s="1" t="s">
        <v>22</v>
      </c>
      <c r="G40" s="1" t="b">
        <f aca="false">FALSE()</f>
        <v>0</v>
      </c>
      <c r="H40" s="1" t="s">
        <v>166</v>
      </c>
      <c r="I40" s="4" t="b">
        <f aca="false">FALSE()</f>
        <v>0</v>
      </c>
      <c r="J40" s="1" t="n">
        <v>0</v>
      </c>
      <c r="K40" s="1" t="n">
        <v>0</v>
      </c>
      <c r="L40" s="1" t="n">
        <v>0</v>
      </c>
      <c r="N40" s="1" t="s">
        <v>167</v>
      </c>
    </row>
    <row r="41" customFormat="false" ht="787.2" hidden="false" customHeight="false" outlineLevel="0" collapsed="false">
      <c r="A41" s="4" t="n">
        <v>39</v>
      </c>
      <c r="B41" s="1" t="s">
        <v>168</v>
      </c>
      <c r="C41" s="8" t="s">
        <v>169</v>
      </c>
      <c r="D41" s="4" t="s">
        <v>170</v>
      </c>
      <c r="E41" s="1" t="s">
        <v>171</v>
      </c>
      <c r="F41" s="1" t="s">
        <v>171</v>
      </c>
      <c r="G41" s="1" t="b">
        <f aca="false">FALSE()</f>
        <v>0</v>
      </c>
      <c r="H41" s="1" t="s">
        <v>172</v>
      </c>
      <c r="I41" s="4" t="b">
        <f aca="false">FALSE()</f>
        <v>0</v>
      </c>
      <c r="J41" s="1" t="n">
        <v>0</v>
      </c>
      <c r="K41" s="1" t="n">
        <v>0</v>
      </c>
      <c r="L41" s="1" t="n">
        <v>0</v>
      </c>
      <c r="N41" s="4" t="s">
        <v>173</v>
      </c>
    </row>
    <row r="42" customFormat="false" ht="15" hidden="false" customHeight="false" outlineLevel="0" collapsed="false">
      <c r="A42" s="1" t="n">
        <v>40</v>
      </c>
      <c r="B42" s="1" t="s">
        <v>174</v>
      </c>
      <c r="D42" s="1" t="s">
        <v>64</v>
      </c>
      <c r="E42" s="1" t="s">
        <v>22</v>
      </c>
      <c r="F42" s="1" t="s">
        <v>22</v>
      </c>
      <c r="G42" s="1" t="b">
        <f aca="false">FALSE()</f>
        <v>0</v>
      </c>
      <c r="H42" s="1" t="s">
        <v>175</v>
      </c>
      <c r="I42" s="4" t="b">
        <f aca="false">FALSE()</f>
        <v>0</v>
      </c>
      <c r="J42" s="1" t="n">
        <v>0</v>
      </c>
      <c r="K42" s="1" t="n">
        <v>0</v>
      </c>
      <c r="L42" s="1" t="n">
        <v>0</v>
      </c>
      <c r="N42" s="1" t="s">
        <v>176</v>
      </c>
    </row>
    <row r="43" customFormat="false" ht="15" hidden="false" customHeight="false" outlineLevel="0" collapsed="false">
      <c r="A43" s="1" t="n">
        <v>41</v>
      </c>
      <c r="B43" s="1" t="s">
        <v>177</v>
      </c>
      <c r="D43" s="1" t="s">
        <v>97</v>
      </c>
      <c r="E43" s="1" t="s">
        <v>98</v>
      </c>
      <c r="F43" s="1" t="s">
        <v>98</v>
      </c>
      <c r="G43" s="1" t="b">
        <f aca="false">FALSE()</f>
        <v>0</v>
      </c>
      <c r="H43" s="1" t="s">
        <v>178</v>
      </c>
      <c r="I43" s="9" t="b">
        <f aca="false">FALSE()</f>
        <v>0</v>
      </c>
      <c r="J43" s="1" t="n">
        <v>0</v>
      </c>
      <c r="K43" s="1" t="n">
        <v>0</v>
      </c>
      <c r="L43" s="1" t="n">
        <v>0</v>
      </c>
      <c r="N43" s="1" t="s">
        <v>179</v>
      </c>
    </row>
    <row r="44" customFormat="false" ht="15" hidden="false" customHeight="false" outlineLevel="0" collapsed="false">
      <c r="A44" s="1" t="n">
        <v>42</v>
      </c>
      <c r="B44" s="1" t="s">
        <v>180</v>
      </c>
      <c r="D44" s="1" t="s">
        <v>85</v>
      </c>
      <c r="E44" s="1" t="s">
        <v>85</v>
      </c>
      <c r="F44" s="1" t="s">
        <v>85</v>
      </c>
      <c r="G44" s="1" t="b">
        <f aca="false">FALSE()</f>
        <v>0</v>
      </c>
      <c r="H44" s="1" t="s">
        <v>181</v>
      </c>
      <c r="I44" s="1" t="b">
        <f aca="false">TRUE()</f>
        <v>1</v>
      </c>
      <c r="J44" s="1" t="n">
        <v>1</v>
      </c>
      <c r="K44" s="1" t="n">
        <v>1</v>
      </c>
      <c r="L44" s="1" t="n">
        <v>1</v>
      </c>
    </row>
    <row r="45" customFormat="false" ht="15" hidden="false" customHeight="false" outlineLevel="0" collapsed="false">
      <c r="A45" s="1" t="n">
        <v>43</v>
      </c>
      <c r="B45" s="1" t="s">
        <v>182</v>
      </c>
      <c r="D45" s="1" t="s">
        <v>183</v>
      </c>
      <c r="E45" s="1" t="s">
        <v>22</v>
      </c>
      <c r="F45" s="1" t="s">
        <v>22</v>
      </c>
      <c r="G45" s="1" t="b">
        <f aca="false">FALSE()</f>
        <v>0</v>
      </c>
      <c r="H45" s="1" t="s">
        <v>184</v>
      </c>
      <c r="I45" s="6" t="b">
        <f aca="false">FALSE()</f>
        <v>0</v>
      </c>
      <c r="J45" s="1" t="n">
        <v>1</v>
      </c>
      <c r="K45" s="1" t="n">
        <v>0.5</v>
      </c>
      <c r="L45" s="1" t="n">
        <v>0.5</v>
      </c>
      <c r="N45" s="1" t="s">
        <v>185</v>
      </c>
    </row>
    <row r="46" customFormat="false" ht="15" hidden="false" customHeight="false" outlineLevel="0" collapsed="false">
      <c r="A46" s="1" t="n">
        <v>44</v>
      </c>
      <c r="B46" s="1" t="s">
        <v>186</v>
      </c>
      <c r="C46" s="1" t="s">
        <v>186</v>
      </c>
      <c r="D46" s="1" t="s">
        <v>187</v>
      </c>
      <c r="E46" s="1" t="s">
        <v>70</v>
      </c>
      <c r="F46" s="1" t="s">
        <v>70</v>
      </c>
      <c r="G46" s="1" t="b">
        <f aca="false">FALSE()</f>
        <v>0</v>
      </c>
      <c r="H46" s="1" t="s">
        <v>188</v>
      </c>
      <c r="I46" s="6" t="b">
        <f aca="false">FALSE()</f>
        <v>0</v>
      </c>
      <c r="J46" s="1" t="n">
        <v>0</v>
      </c>
      <c r="K46" s="1" t="n">
        <v>0</v>
      </c>
      <c r="L46" s="1" t="n">
        <v>0</v>
      </c>
      <c r="N46" s="1" t="s">
        <v>120</v>
      </c>
    </row>
    <row r="47" customFormat="false" ht="15" hidden="false" customHeight="false" outlineLevel="0" collapsed="false">
      <c r="A47" s="1" t="n">
        <v>45</v>
      </c>
      <c r="B47" s="1" t="s">
        <v>189</v>
      </c>
      <c r="D47" s="1" t="s">
        <v>70</v>
      </c>
      <c r="E47" s="1" t="s">
        <v>70</v>
      </c>
      <c r="F47" s="1" t="s">
        <v>70</v>
      </c>
      <c r="G47" s="1" t="b">
        <f aca="false">FALSE()</f>
        <v>0</v>
      </c>
      <c r="H47" s="1" t="s">
        <v>190</v>
      </c>
      <c r="I47" s="1" t="b">
        <f aca="false">TRUE()</f>
        <v>1</v>
      </c>
      <c r="J47" s="1" t="n">
        <v>1</v>
      </c>
      <c r="K47" s="1" t="n">
        <v>1</v>
      </c>
      <c r="L47" s="1" t="n">
        <v>1</v>
      </c>
    </row>
    <row r="48" customFormat="false" ht="15" hidden="false" customHeight="false" outlineLevel="0" collapsed="false">
      <c r="A48" s="1" t="n">
        <v>46</v>
      </c>
      <c r="B48" s="1" t="s">
        <v>191</v>
      </c>
      <c r="C48" s="1" t="s">
        <v>192</v>
      </c>
      <c r="D48" s="1" t="s">
        <v>193</v>
      </c>
      <c r="E48" s="1" t="s">
        <v>194</v>
      </c>
      <c r="F48" s="1" t="s">
        <v>194</v>
      </c>
      <c r="G48" s="1" t="b">
        <f aca="false">FALSE()</f>
        <v>0</v>
      </c>
      <c r="H48" s="1" t="s">
        <v>195</v>
      </c>
      <c r="I48" s="3" t="b">
        <f aca="false">FALSE()</f>
        <v>0</v>
      </c>
      <c r="J48" s="1" t="n">
        <v>0.333333333333333</v>
      </c>
      <c r="K48" s="1" t="n">
        <v>0.5</v>
      </c>
      <c r="L48" s="1" t="n">
        <v>0.25</v>
      </c>
      <c r="N48" s="1" t="s">
        <v>196</v>
      </c>
    </row>
    <row r="49" customFormat="false" ht="15" hidden="false" customHeight="false" outlineLevel="0" collapsed="false">
      <c r="A49" s="1" t="n">
        <v>47</v>
      </c>
      <c r="B49" s="1" t="s">
        <v>197</v>
      </c>
      <c r="D49" s="1" t="s">
        <v>128</v>
      </c>
      <c r="E49" s="1" t="s">
        <v>128</v>
      </c>
      <c r="F49" s="1" t="s">
        <v>128</v>
      </c>
      <c r="G49" s="1" t="b">
        <f aca="false">FALSE()</f>
        <v>0</v>
      </c>
      <c r="H49" s="1" t="s">
        <v>198</v>
      </c>
      <c r="I49" s="1" t="b">
        <f aca="false">TRUE()</f>
        <v>1</v>
      </c>
      <c r="J49" s="1" t="n">
        <v>1</v>
      </c>
      <c r="K49" s="1" t="n">
        <v>1</v>
      </c>
      <c r="L49" s="1" t="n">
        <v>1</v>
      </c>
    </row>
    <row r="50" customFormat="false" ht="15" hidden="false" customHeight="false" outlineLevel="0" collapsed="false">
      <c r="A50" s="1" t="n">
        <v>48</v>
      </c>
      <c r="B50" s="1" t="s">
        <v>199</v>
      </c>
      <c r="C50" s="1" t="s">
        <v>200</v>
      </c>
      <c r="D50" s="1" t="s">
        <v>139</v>
      </c>
      <c r="E50" s="1" t="s">
        <v>201</v>
      </c>
      <c r="F50" s="1" t="s">
        <v>201</v>
      </c>
      <c r="G50" s="1" t="b">
        <f aca="false">FALSE()</f>
        <v>0</v>
      </c>
      <c r="H50" s="1" t="s">
        <v>202</v>
      </c>
      <c r="I50" s="6" t="b">
        <f aca="false">FALSE()</f>
        <v>0</v>
      </c>
      <c r="J50" s="1" t="n">
        <v>0.5</v>
      </c>
      <c r="K50" s="1" t="n">
        <v>1</v>
      </c>
      <c r="L50" s="1" t="n">
        <v>0.5</v>
      </c>
      <c r="N50" s="1" t="s">
        <v>120</v>
      </c>
    </row>
    <row r="51" customFormat="false" ht="15" hidden="false" customHeight="false" outlineLevel="0" collapsed="false">
      <c r="A51" s="1" t="n">
        <v>49</v>
      </c>
      <c r="B51" s="1" t="s">
        <v>203</v>
      </c>
      <c r="D51" s="1" t="s">
        <v>59</v>
      </c>
      <c r="E51" s="1" t="s">
        <v>22</v>
      </c>
      <c r="F51" s="1" t="s">
        <v>22</v>
      </c>
      <c r="G51" s="1" t="b">
        <f aca="false">FALSE()</f>
        <v>0</v>
      </c>
      <c r="H51" s="1" t="s">
        <v>204</v>
      </c>
      <c r="I51" s="4" t="b">
        <f aca="false">FALSE()</f>
        <v>0</v>
      </c>
      <c r="J51" s="1" t="n">
        <v>0</v>
      </c>
      <c r="K51" s="1" t="n">
        <v>0</v>
      </c>
      <c r="L51" s="1" t="n">
        <v>0</v>
      </c>
      <c r="N51" s="1" t="s">
        <v>75</v>
      </c>
    </row>
    <row r="52" customFormat="false" ht="15" hidden="false" customHeight="false" outlineLevel="0" collapsed="false">
      <c r="A52" s="1" t="n">
        <v>50</v>
      </c>
      <c r="B52" s="1" t="s">
        <v>205</v>
      </c>
      <c r="D52" s="1" t="s">
        <v>38</v>
      </c>
      <c r="E52" s="1" t="s">
        <v>206</v>
      </c>
      <c r="F52" s="1" t="s">
        <v>85</v>
      </c>
      <c r="G52" s="1" t="b">
        <f aca="false">TRUE()</f>
        <v>1</v>
      </c>
      <c r="H52" s="1" t="s">
        <v>207</v>
      </c>
      <c r="I52" s="4" t="b">
        <f aca="false">FALSE()</f>
        <v>0</v>
      </c>
      <c r="J52" s="1" t="n">
        <v>0.5</v>
      </c>
      <c r="K52" s="1" t="n">
        <v>1</v>
      </c>
      <c r="L52" s="1" t="n">
        <v>0.5</v>
      </c>
      <c r="N52" s="1" t="s">
        <v>75</v>
      </c>
    </row>
    <row r="53" customFormat="false" ht="15" hidden="false" customHeight="false" outlineLevel="0" collapsed="false">
      <c r="A53" s="1" t="n">
        <v>51</v>
      </c>
      <c r="B53" s="1" t="s">
        <v>208</v>
      </c>
      <c r="D53" s="1" t="s">
        <v>22</v>
      </c>
      <c r="E53" s="1" t="s">
        <v>22</v>
      </c>
      <c r="F53" s="1" t="s">
        <v>22</v>
      </c>
      <c r="G53" s="1" t="b">
        <f aca="false">FALSE()</f>
        <v>0</v>
      </c>
      <c r="H53" s="1" t="s">
        <v>104</v>
      </c>
      <c r="I53" s="1" t="b">
        <f aca="false">TRUE()</f>
        <v>1</v>
      </c>
      <c r="J53" s="1" t="n">
        <v>1</v>
      </c>
      <c r="K53" s="1" t="n">
        <v>1</v>
      </c>
      <c r="L53" s="1" t="n">
        <v>1</v>
      </c>
    </row>
    <row r="54" customFormat="false" ht="15" hidden="false" customHeight="false" outlineLevel="0" collapsed="false">
      <c r="A54" s="1" t="n">
        <v>52</v>
      </c>
      <c r="B54" s="1" t="s">
        <v>209</v>
      </c>
      <c r="C54" s="1" t="s">
        <v>210</v>
      </c>
      <c r="D54" s="1" t="s">
        <v>97</v>
      </c>
      <c r="E54" s="1" t="s">
        <v>97</v>
      </c>
      <c r="F54" s="1" t="s">
        <v>97</v>
      </c>
      <c r="G54" s="1" t="b">
        <f aca="false">FALSE()</f>
        <v>0</v>
      </c>
      <c r="H54" s="1" t="s">
        <v>211</v>
      </c>
      <c r="I54" s="1" t="b">
        <f aca="false">TRUE()</f>
        <v>1</v>
      </c>
      <c r="J54" s="1" t="n">
        <v>1</v>
      </c>
      <c r="K54" s="1" t="n">
        <v>1</v>
      </c>
      <c r="L54" s="1" t="n">
        <v>1</v>
      </c>
    </row>
    <row r="55" customFormat="false" ht="1736.45" hidden="false" customHeight="false" outlineLevel="0" collapsed="false">
      <c r="A55" s="4" t="n">
        <v>53</v>
      </c>
      <c r="B55" s="1" t="s">
        <v>212</v>
      </c>
      <c r="C55" s="8" t="s">
        <v>213</v>
      </c>
      <c r="D55" s="4" t="s">
        <v>111</v>
      </c>
      <c r="E55" s="1" t="s">
        <v>44</v>
      </c>
      <c r="F55" s="1" t="s">
        <v>44</v>
      </c>
      <c r="G55" s="1" t="b">
        <f aca="false">FALSE()</f>
        <v>0</v>
      </c>
      <c r="H55" s="1" t="s">
        <v>214</v>
      </c>
      <c r="I55" s="7" t="b">
        <f aca="false">FALSE()</f>
        <v>0</v>
      </c>
      <c r="J55" s="1" t="n">
        <v>0.333333333333333</v>
      </c>
      <c r="K55" s="1" t="n">
        <v>1</v>
      </c>
      <c r="L55" s="1" t="n">
        <v>0.333333333333333</v>
      </c>
      <c r="N55" s="4" t="s">
        <v>215</v>
      </c>
    </row>
    <row r="56" customFormat="false" ht="15" hidden="false" customHeight="false" outlineLevel="0" collapsed="false">
      <c r="A56" s="1" t="n">
        <v>54</v>
      </c>
      <c r="B56" s="1" t="s">
        <v>216</v>
      </c>
      <c r="C56" s="1" t="s">
        <v>217</v>
      </c>
      <c r="D56" s="1" t="s">
        <v>98</v>
      </c>
      <c r="E56" s="1" t="s">
        <v>98</v>
      </c>
      <c r="F56" s="1" t="s">
        <v>98</v>
      </c>
      <c r="G56" s="1" t="b">
        <f aca="false">FALSE()</f>
        <v>0</v>
      </c>
      <c r="H56" s="1" t="s">
        <v>218</v>
      </c>
      <c r="I56" s="1" t="b">
        <f aca="false">TRUE()</f>
        <v>1</v>
      </c>
      <c r="J56" s="1" t="n">
        <v>1</v>
      </c>
      <c r="K56" s="1" t="n">
        <v>1</v>
      </c>
      <c r="L56" s="1" t="n">
        <v>1</v>
      </c>
    </row>
    <row r="57" customFormat="false" ht="15" hidden="false" customHeight="false" outlineLevel="0" collapsed="false">
      <c r="A57" s="1" t="n">
        <v>55</v>
      </c>
      <c r="B57" s="1" t="s">
        <v>219</v>
      </c>
      <c r="C57" s="1" t="s">
        <v>220</v>
      </c>
      <c r="D57" s="1" t="s">
        <v>221</v>
      </c>
      <c r="E57" s="1" t="s">
        <v>222</v>
      </c>
      <c r="F57" s="1" t="s">
        <v>223</v>
      </c>
      <c r="G57" s="1" t="b">
        <f aca="false">TRUE()</f>
        <v>1</v>
      </c>
      <c r="H57" s="1" t="s">
        <v>224</v>
      </c>
      <c r="I57" s="6" t="b">
        <f aca="false">FALSE()</f>
        <v>0</v>
      </c>
      <c r="J57" s="1" t="n">
        <v>0.5</v>
      </c>
      <c r="K57" s="1" t="n">
        <v>1</v>
      </c>
      <c r="L57" s="1" t="n">
        <v>0.5</v>
      </c>
      <c r="N57" s="1" t="s">
        <v>120</v>
      </c>
    </row>
    <row r="58" customFormat="false" ht="15" hidden="false" customHeight="false" outlineLevel="0" collapsed="false">
      <c r="A58" s="1" t="n">
        <v>56</v>
      </c>
      <c r="B58" s="1" t="s">
        <v>225</v>
      </c>
      <c r="D58" s="1" t="s">
        <v>226</v>
      </c>
      <c r="E58" s="1" t="s">
        <v>128</v>
      </c>
      <c r="F58" s="1" t="s">
        <v>128</v>
      </c>
      <c r="G58" s="1" t="b">
        <f aca="false">FALSE()</f>
        <v>0</v>
      </c>
      <c r="H58" s="1" t="s">
        <v>227</v>
      </c>
      <c r="I58" s="3" t="b">
        <f aca="false">FALSE()</f>
        <v>0</v>
      </c>
      <c r="J58" s="1" t="n">
        <v>0.5</v>
      </c>
      <c r="K58" s="1" t="n">
        <v>0.5</v>
      </c>
      <c r="L58" s="1" t="n">
        <v>0.333333333333333</v>
      </c>
      <c r="N58" s="1" t="s">
        <v>228</v>
      </c>
    </row>
    <row r="59" customFormat="false" ht="15" hidden="false" customHeight="false" outlineLevel="0" collapsed="false">
      <c r="A59" s="1" t="n">
        <v>57</v>
      </c>
      <c r="B59" s="1" t="s">
        <v>229</v>
      </c>
      <c r="C59" s="1" t="s">
        <v>230</v>
      </c>
      <c r="D59" s="1" t="s">
        <v>171</v>
      </c>
      <c r="E59" s="1" t="s">
        <v>44</v>
      </c>
      <c r="F59" s="1" t="s">
        <v>44</v>
      </c>
      <c r="G59" s="1" t="b">
        <f aca="false">FALSE()</f>
        <v>0</v>
      </c>
      <c r="H59" s="1" t="s">
        <v>231</v>
      </c>
      <c r="I59" s="6" t="b">
        <f aca="false">FALSE()</f>
        <v>0</v>
      </c>
      <c r="J59" s="1" t="n">
        <v>0.666666666666667</v>
      </c>
      <c r="K59" s="1" t="n">
        <v>1</v>
      </c>
      <c r="L59" s="1" t="n">
        <v>0.666666666666667</v>
      </c>
      <c r="N59" s="1" t="s">
        <v>120</v>
      </c>
    </row>
    <row r="60" customFormat="false" ht="15" hidden="false" customHeight="false" outlineLevel="0" collapsed="false">
      <c r="A60" s="1" t="n">
        <v>58</v>
      </c>
      <c r="B60" s="1" t="s">
        <v>232</v>
      </c>
      <c r="D60" s="1" t="s">
        <v>70</v>
      </c>
      <c r="E60" s="1" t="s">
        <v>70</v>
      </c>
      <c r="F60" s="1" t="s">
        <v>70</v>
      </c>
      <c r="G60" s="1" t="b">
        <f aca="false">FALSE()</f>
        <v>0</v>
      </c>
      <c r="H60" s="1" t="s">
        <v>233</v>
      </c>
      <c r="I60" s="1" t="b">
        <f aca="false">TRUE()</f>
        <v>1</v>
      </c>
      <c r="J60" s="1" t="n">
        <v>1</v>
      </c>
      <c r="K60" s="1" t="n">
        <v>1</v>
      </c>
      <c r="L60" s="1" t="n">
        <v>1</v>
      </c>
    </row>
    <row r="61" customFormat="false" ht="15" hidden="false" customHeight="false" outlineLevel="0" collapsed="false">
      <c r="A61" s="1" t="n">
        <v>59</v>
      </c>
      <c r="B61" s="1" t="s">
        <v>234</v>
      </c>
      <c r="C61" s="1" t="s">
        <v>235</v>
      </c>
      <c r="D61" s="1" t="s">
        <v>139</v>
      </c>
      <c r="E61" s="1" t="s">
        <v>139</v>
      </c>
      <c r="F61" s="1" t="s">
        <v>139</v>
      </c>
      <c r="G61" s="1" t="b">
        <f aca="false">FALSE()</f>
        <v>0</v>
      </c>
      <c r="H61" s="1" t="s">
        <v>236</v>
      </c>
      <c r="I61" s="1" t="b">
        <f aca="false">TRUE()</f>
        <v>1</v>
      </c>
      <c r="J61" s="1" t="n">
        <v>1</v>
      </c>
      <c r="K61" s="1" t="n">
        <v>1</v>
      </c>
      <c r="L61" s="1" t="n">
        <v>1</v>
      </c>
    </row>
    <row r="62" customFormat="false" ht="15" hidden="false" customHeight="false" outlineLevel="0" collapsed="false">
      <c r="A62" s="1" t="n">
        <v>60</v>
      </c>
      <c r="B62" s="1" t="s">
        <v>237</v>
      </c>
      <c r="D62" s="1" t="s">
        <v>154</v>
      </c>
      <c r="E62" s="1" t="s">
        <v>22</v>
      </c>
      <c r="F62" s="1" t="s">
        <v>22</v>
      </c>
      <c r="G62" s="1" t="b">
        <f aca="false">FALSE()</f>
        <v>0</v>
      </c>
      <c r="H62" s="1" t="s">
        <v>238</v>
      </c>
      <c r="I62" s="1" t="b">
        <f aca="false">TRUE()</f>
        <v>1</v>
      </c>
      <c r="J62" s="1" t="n">
        <v>1</v>
      </c>
      <c r="K62" s="1" t="n">
        <v>1</v>
      </c>
      <c r="L62" s="1" t="n">
        <v>1</v>
      </c>
    </row>
    <row r="63" customFormat="false" ht="15" hidden="false" customHeight="false" outlineLevel="0" collapsed="false">
      <c r="A63" s="1" t="n">
        <v>61</v>
      </c>
      <c r="B63" s="1" t="s">
        <v>239</v>
      </c>
      <c r="C63" s="1" t="s">
        <v>240</v>
      </c>
      <c r="D63" s="1" t="s">
        <v>98</v>
      </c>
      <c r="E63" s="1" t="s">
        <v>241</v>
      </c>
      <c r="F63" s="1" t="s">
        <v>131</v>
      </c>
      <c r="G63" s="1" t="b">
        <f aca="false">TRUE()</f>
        <v>1</v>
      </c>
      <c r="H63" s="1" t="s">
        <v>242</v>
      </c>
      <c r="I63" s="6" t="b">
        <f aca="false">FALSE()</f>
        <v>0</v>
      </c>
      <c r="J63" s="1" t="n">
        <v>0.333333333333333</v>
      </c>
      <c r="K63" s="1" t="n">
        <v>1</v>
      </c>
      <c r="L63" s="1" t="n">
        <v>0.333333333333333</v>
      </c>
      <c r="N63" s="1" t="s">
        <v>120</v>
      </c>
    </row>
    <row r="64" customFormat="false" ht="15" hidden="false" customHeight="false" outlineLevel="0" collapsed="false">
      <c r="A64" s="1" t="n">
        <v>62</v>
      </c>
      <c r="B64" s="1" t="s">
        <v>243</v>
      </c>
      <c r="D64" s="1" t="s">
        <v>27</v>
      </c>
      <c r="E64" s="1" t="s">
        <v>27</v>
      </c>
      <c r="F64" s="1" t="s">
        <v>27</v>
      </c>
      <c r="G64" s="1" t="b">
        <f aca="false">FALSE()</f>
        <v>0</v>
      </c>
      <c r="H64" s="1" t="s">
        <v>244</v>
      </c>
      <c r="I64" s="1" t="b">
        <f aca="false">TRUE()</f>
        <v>1</v>
      </c>
      <c r="J64" s="1" t="n">
        <v>1</v>
      </c>
      <c r="K64" s="1" t="n">
        <v>1</v>
      </c>
      <c r="L64" s="1" t="n">
        <v>1</v>
      </c>
    </row>
    <row r="65" customFormat="false" ht="15" hidden="false" customHeight="false" outlineLevel="0" collapsed="false">
      <c r="A65" s="1" t="n">
        <v>63</v>
      </c>
      <c r="B65" s="1" t="s">
        <v>245</v>
      </c>
      <c r="D65" s="1" t="s">
        <v>118</v>
      </c>
      <c r="E65" s="1" t="s">
        <v>77</v>
      </c>
      <c r="F65" s="1" t="s">
        <v>77</v>
      </c>
      <c r="G65" s="1" t="b">
        <f aca="false">FALSE()</f>
        <v>0</v>
      </c>
      <c r="H65" s="1" t="s">
        <v>246</v>
      </c>
      <c r="I65" s="3" t="b">
        <f aca="false">FALSE()</f>
        <v>0</v>
      </c>
      <c r="J65" s="1" t="n">
        <v>1</v>
      </c>
      <c r="K65" s="1" t="n">
        <v>0.5</v>
      </c>
      <c r="L65" s="1" t="n">
        <v>0.5</v>
      </c>
      <c r="N65" s="1" t="s">
        <v>185</v>
      </c>
    </row>
    <row r="66" customFormat="false" ht="743.6" hidden="false" customHeight="false" outlineLevel="0" collapsed="false">
      <c r="A66" s="1" t="n">
        <v>64</v>
      </c>
      <c r="B66" s="1" t="s">
        <v>247</v>
      </c>
      <c r="C66" s="8" t="s">
        <v>248</v>
      </c>
      <c r="D66" s="1" t="s">
        <v>64</v>
      </c>
      <c r="E66" s="1" t="s">
        <v>98</v>
      </c>
      <c r="F66" s="1" t="s">
        <v>98</v>
      </c>
      <c r="G66" s="1" t="b">
        <f aca="false">FALSE()</f>
        <v>0</v>
      </c>
      <c r="H66" s="1" t="s">
        <v>249</v>
      </c>
      <c r="I66" s="4" t="b">
        <f aca="false">FALSE()</f>
        <v>0</v>
      </c>
      <c r="J66" s="1" t="n">
        <v>0</v>
      </c>
      <c r="K66" s="1" t="n">
        <v>0</v>
      </c>
      <c r="L66" s="1" t="n">
        <v>0</v>
      </c>
      <c r="N66" s="1" t="s">
        <v>176</v>
      </c>
    </row>
    <row r="67" customFormat="false" ht="15" hidden="false" customHeight="false" outlineLevel="0" collapsed="false">
      <c r="A67" s="1" t="n">
        <v>65</v>
      </c>
      <c r="B67" s="1" t="s">
        <v>250</v>
      </c>
      <c r="D67" s="1" t="s">
        <v>88</v>
      </c>
      <c r="E67" s="1" t="s">
        <v>22</v>
      </c>
      <c r="F67" s="1" t="s">
        <v>22</v>
      </c>
      <c r="G67" s="1" t="b">
        <f aca="false">FALSE()</f>
        <v>0</v>
      </c>
      <c r="H67" s="1" t="s">
        <v>251</v>
      </c>
      <c r="I67" s="4" t="b">
        <f aca="false">FALSE()</f>
        <v>0</v>
      </c>
      <c r="J67" s="1" t="n">
        <v>0</v>
      </c>
      <c r="K67" s="1" t="n">
        <v>0</v>
      </c>
      <c r="L67" s="1" t="n">
        <v>0</v>
      </c>
      <c r="N67" s="1" t="s">
        <v>75</v>
      </c>
    </row>
    <row r="68" customFormat="false" ht="15" hidden="false" customHeight="false" outlineLevel="0" collapsed="false">
      <c r="A68" s="1" t="n">
        <v>66</v>
      </c>
      <c r="B68" s="1" t="s">
        <v>252</v>
      </c>
      <c r="D68" s="1" t="s">
        <v>111</v>
      </c>
      <c r="E68" s="1" t="s">
        <v>44</v>
      </c>
      <c r="F68" s="1" t="s">
        <v>44</v>
      </c>
      <c r="G68" s="1" t="b">
        <f aca="false">FALSE()</f>
        <v>0</v>
      </c>
      <c r="H68" s="1" t="s">
        <v>253</v>
      </c>
      <c r="I68" s="4" t="b">
        <f aca="false">FALSE()</f>
        <v>0</v>
      </c>
      <c r="J68" s="1" t="n">
        <v>0.333333333333333</v>
      </c>
      <c r="K68" s="1" t="n">
        <v>1</v>
      </c>
      <c r="L68" s="1" t="n">
        <v>0.333333333333333</v>
      </c>
      <c r="N68" s="1" t="s">
        <v>75</v>
      </c>
    </row>
    <row r="69" customFormat="false" ht="15" hidden="false" customHeight="false" outlineLevel="0" collapsed="false">
      <c r="A69" s="4" t="n">
        <v>67</v>
      </c>
      <c r="B69" s="1" t="s">
        <v>254</v>
      </c>
      <c r="C69" s="1" t="s">
        <v>255</v>
      </c>
      <c r="D69" s="4" t="s">
        <v>106</v>
      </c>
      <c r="E69" s="1" t="s">
        <v>256</v>
      </c>
      <c r="F69" s="1" t="s">
        <v>256</v>
      </c>
      <c r="G69" s="1" t="b">
        <f aca="false">FALSE()</f>
        <v>0</v>
      </c>
      <c r="H69" s="1" t="s">
        <v>257</v>
      </c>
      <c r="I69" s="4" t="b">
        <f aca="false">FALSE()</f>
        <v>0</v>
      </c>
      <c r="J69" s="1" t="n">
        <v>0</v>
      </c>
      <c r="K69" s="1" t="n">
        <v>0</v>
      </c>
      <c r="L69" s="1" t="n">
        <v>0</v>
      </c>
      <c r="N69" s="1" t="s">
        <v>258</v>
      </c>
    </row>
    <row r="70" customFormat="false" ht="15" hidden="false" customHeight="false" outlineLevel="0" collapsed="false">
      <c r="A70" s="1" t="n">
        <v>68</v>
      </c>
      <c r="B70" s="1" t="s">
        <v>259</v>
      </c>
      <c r="D70" s="1" t="s">
        <v>88</v>
      </c>
      <c r="E70" s="1" t="s">
        <v>22</v>
      </c>
      <c r="F70" s="1" t="s">
        <v>22</v>
      </c>
      <c r="G70" s="1" t="b">
        <f aca="false">FALSE()</f>
        <v>0</v>
      </c>
      <c r="H70" s="1" t="s">
        <v>260</v>
      </c>
      <c r="I70" s="4" t="b">
        <f aca="false">FALSE()</f>
        <v>0</v>
      </c>
      <c r="J70" s="1" t="n">
        <v>0</v>
      </c>
      <c r="K70" s="1" t="n">
        <v>0</v>
      </c>
      <c r="L70" s="1" t="n">
        <v>0</v>
      </c>
      <c r="N70" s="1" t="s">
        <v>75</v>
      </c>
    </row>
    <row r="71" customFormat="false" ht="23.3" hidden="false" customHeight="false" outlineLevel="0" collapsed="false">
      <c r="A71" s="1" t="n">
        <v>69</v>
      </c>
      <c r="B71" s="1" t="s">
        <v>261</v>
      </c>
      <c r="C71" s="8" t="s">
        <v>262</v>
      </c>
      <c r="D71" s="1" t="s">
        <v>263</v>
      </c>
      <c r="E71" s="1" t="s">
        <v>264</v>
      </c>
      <c r="F71" s="1" t="s">
        <v>264</v>
      </c>
      <c r="G71" s="1" t="b">
        <f aca="false">FALSE()</f>
        <v>0</v>
      </c>
      <c r="H71" s="1" t="s">
        <v>265</v>
      </c>
      <c r="I71" s="9" t="b">
        <f aca="false">FALSE()</f>
        <v>0</v>
      </c>
      <c r="J71" s="1" t="n">
        <v>0.6</v>
      </c>
      <c r="K71" s="1" t="n">
        <v>1</v>
      </c>
      <c r="L71" s="1" t="n">
        <v>0.6</v>
      </c>
      <c r="N71" s="1" t="s">
        <v>266</v>
      </c>
    </row>
    <row r="72" customFormat="false" ht="2096.6" hidden="false" customHeight="false" outlineLevel="0" collapsed="false">
      <c r="A72" s="4" t="n">
        <v>70</v>
      </c>
      <c r="B72" s="1" t="s">
        <v>267</v>
      </c>
      <c r="C72" s="8" t="s">
        <v>268</v>
      </c>
      <c r="D72" s="1" t="s">
        <v>114</v>
      </c>
      <c r="E72" s="1" t="s">
        <v>171</v>
      </c>
      <c r="F72" s="1" t="s">
        <v>171</v>
      </c>
      <c r="G72" s="1" t="b">
        <f aca="false">FALSE()</f>
        <v>0</v>
      </c>
      <c r="H72" s="1" t="s">
        <v>269</v>
      </c>
      <c r="I72" s="4" t="b">
        <f aca="false">FALSE()</f>
        <v>0</v>
      </c>
      <c r="J72" s="1" t="n">
        <v>0</v>
      </c>
      <c r="K72" s="1" t="n">
        <v>0</v>
      </c>
      <c r="L72" s="1" t="n">
        <v>0</v>
      </c>
      <c r="N72" s="4" t="s">
        <v>270</v>
      </c>
    </row>
    <row r="73" customFormat="false" ht="15" hidden="false" customHeight="false" outlineLevel="0" collapsed="false">
      <c r="A73" s="1" t="n">
        <v>71</v>
      </c>
      <c r="B73" s="1" t="s">
        <v>271</v>
      </c>
      <c r="D73" s="1" t="s">
        <v>70</v>
      </c>
      <c r="E73" s="1" t="s">
        <v>70</v>
      </c>
      <c r="F73" s="1" t="s">
        <v>70</v>
      </c>
      <c r="G73" s="1" t="b">
        <f aca="false">FALSE()</f>
        <v>0</v>
      </c>
      <c r="H73" s="1" t="s">
        <v>272</v>
      </c>
      <c r="I73" s="1" t="b">
        <f aca="false">TRUE()</f>
        <v>1</v>
      </c>
      <c r="J73" s="1" t="n">
        <v>1</v>
      </c>
      <c r="K73" s="1" t="n">
        <v>1</v>
      </c>
      <c r="L73" s="1" t="n">
        <v>1</v>
      </c>
    </row>
    <row r="74" customFormat="false" ht="15" hidden="false" customHeight="false" outlineLevel="0" collapsed="false">
      <c r="A74" s="1" t="n">
        <v>72</v>
      </c>
      <c r="B74" s="1" t="s">
        <v>273</v>
      </c>
      <c r="D74" s="1" t="s">
        <v>77</v>
      </c>
      <c r="E74" s="1" t="s">
        <v>77</v>
      </c>
      <c r="F74" s="1" t="s">
        <v>77</v>
      </c>
      <c r="G74" s="1" t="b">
        <f aca="false">FALSE()</f>
        <v>0</v>
      </c>
      <c r="H74" s="1" t="s">
        <v>274</v>
      </c>
      <c r="I74" s="1" t="b">
        <f aca="false">TRUE()</f>
        <v>1</v>
      </c>
      <c r="J74" s="1" t="n">
        <v>1</v>
      </c>
      <c r="K74" s="1" t="n">
        <v>1</v>
      </c>
      <c r="L74" s="1" t="n">
        <v>1</v>
      </c>
    </row>
    <row r="75" customFormat="false" ht="3276.75" hidden="false" customHeight="false" outlineLevel="0" collapsed="false">
      <c r="A75" s="1" t="n">
        <v>73</v>
      </c>
      <c r="B75" s="1" t="s">
        <v>275</v>
      </c>
      <c r="C75" s="8" t="s">
        <v>276</v>
      </c>
      <c r="D75" s="1" t="s">
        <v>98</v>
      </c>
      <c r="E75" s="1" t="s">
        <v>118</v>
      </c>
      <c r="F75" s="1" t="s">
        <v>118</v>
      </c>
      <c r="G75" s="1" t="b">
        <f aca="false">FALSE()</f>
        <v>0</v>
      </c>
      <c r="H75" s="1" t="s">
        <v>277</v>
      </c>
      <c r="I75" s="6" t="b">
        <f aca="false">FALSE()</f>
        <v>0</v>
      </c>
      <c r="J75" s="1" t="n">
        <v>0.5</v>
      </c>
      <c r="K75" s="1" t="n">
        <v>1</v>
      </c>
      <c r="L75" s="1" t="n">
        <v>0.5</v>
      </c>
      <c r="N75" s="1" t="s">
        <v>120</v>
      </c>
    </row>
    <row r="76" customFormat="false" ht="15" hidden="false" customHeight="false" outlineLevel="0" collapsed="false">
      <c r="A76" s="1" t="n">
        <v>74</v>
      </c>
      <c r="B76" s="1" t="s">
        <v>278</v>
      </c>
      <c r="D76" s="1" t="s">
        <v>279</v>
      </c>
      <c r="E76" s="1" t="s">
        <v>22</v>
      </c>
      <c r="F76" s="1" t="s">
        <v>22</v>
      </c>
      <c r="G76" s="1" t="b">
        <f aca="false">FALSE()</f>
        <v>0</v>
      </c>
      <c r="H76" s="1" t="s">
        <v>280</v>
      </c>
      <c r="I76" s="4" t="b">
        <f aca="false">FALSE()</f>
        <v>0</v>
      </c>
      <c r="J76" s="1" t="n">
        <v>0</v>
      </c>
      <c r="K76" s="1" t="n">
        <v>0</v>
      </c>
      <c r="L76" s="1" t="n">
        <v>0</v>
      </c>
      <c r="N76" s="1" t="s">
        <v>75</v>
      </c>
    </row>
    <row r="77" customFormat="false" ht="15" hidden="false" customHeight="false" outlineLevel="0" collapsed="false">
      <c r="A77" s="1" t="n">
        <v>75</v>
      </c>
      <c r="B77" s="1" t="s">
        <v>281</v>
      </c>
      <c r="D77" s="1" t="s">
        <v>114</v>
      </c>
      <c r="E77" s="1" t="s">
        <v>22</v>
      </c>
      <c r="F77" s="1" t="s">
        <v>22</v>
      </c>
      <c r="G77" s="1" t="b">
        <f aca="false">FALSE()</f>
        <v>0</v>
      </c>
      <c r="H77" s="1" t="s">
        <v>282</v>
      </c>
      <c r="I77" s="4" t="b">
        <f aca="false">FALSE()</f>
        <v>0</v>
      </c>
      <c r="J77" s="1" t="n">
        <v>0</v>
      </c>
      <c r="K77" s="1" t="n">
        <v>0</v>
      </c>
      <c r="L77" s="1" t="n">
        <v>0</v>
      </c>
      <c r="N77" s="1" t="s">
        <v>283</v>
      </c>
    </row>
    <row r="78" customFormat="false" ht="15" hidden="false" customHeight="false" outlineLevel="0" collapsed="false">
      <c r="A78" s="1" t="n">
        <v>76</v>
      </c>
      <c r="B78" s="1" t="s">
        <v>284</v>
      </c>
      <c r="D78" s="1" t="s">
        <v>38</v>
      </c>
      <c r="E78" s="1" t="s">
        <v>38</v>
      </c>
      <c r="F78" s="1" t="s">
        <v>38</v>
      </c>
      <c r="G78" s="1" t="b">
        <f aca="false">FALSE()</f>
        <v>0</v>
      </c>
      <c r="H78" s="1" t="s">
        <v>285</v>
      </c>
      <c r="I78" s="1" t="b">
        <f aca="false">TRUE()</f>
        <v>1</v>
      </c>
      <c r="J78" s="1" t="n">
        <v>1</v>
      </c>
      <c r="K78" s="1" t="n">
        <v>1</v>
      </c>
      <c r="L78" s="1" t="n">
        <v>1</v>
      </c>
    </row>
    <row r="79" customFormat="false" ht="15" hidden="false" customHeight="false" outlineLevel="0" collapsed="false">
      <c r="A79" s="1" t="n">
        <v>77</v>
      </c>
      <c r="B79" s="1" t="s">
        <v>286</v>
      </c>
      <c r="C79" s="1" t="s">
        <v>287</v>
      </c>
      <c r="D79" s="1" t="s">
        <v>288</v>
      </c>
      <c r="E79" s="1" t="s">
        <v>289</v>
      </c>
      <c r="F79" s="1" t="s">
        <v>289</v>
      </c>
      <c r="G79" s="1" t="b">
        <f aca="false">FALSE()</f>
        <v>0</v>
      </c>
      <c r="H79" s="1" t="s">
        <v>290</v>
      </c>
      <c r="I79" s="7" t="b">
        <f aca="false">FALSE()</f>
        <v>0</v>
      </c>
      <c r="J79" s="1" t="n">
        <v>0.666666666666667</v>
      </c>
      <c r="K79" s="1" t="n">
        <v>1</v>
      </c>
      <c r="L79" s="1" t="n">
        <v>0.666666666666667</v>
      </c>
      <c r="N79" s="1" t="s">
        <v>291</v>
      </c>
    </row>
    <row r="80" customFormat="false" ht="15" hidden="false" customHeight="false" outlineLevel="0" collapsed="false">
      <c r="A80" s="1" t="n">
        <v>78</v>
      </c>
      <c r="B80" s="1" t="s">
        <v>292</v>
      </c>
      <c r="D80" s="1" t="s">
        <v>77</v>
      </c>
      <c r="E80" s="1" t="s">
        <v>293</v>
      </c>
      <c r="F80" s="1" t="s">
        <v>77</v>
      </c>
      <c r="G80" s="1" t="b">
        <f aca="false">TRUE()</f>
        <v>1</v>
      </c>
      <c r="H80" s="1" t="s">
        <v>294</v>
      </c>
      <c r="I80" s="1" t="b">
        <f aca="false">TRUE()</f>
        <v>1</v>
      </c>
      <c r="J80" s="1" t="n">
        <v>1</v>
      </c>
      <c r="K80" s="1" t="n">
        <v>1</v>
      </c>
      <c r="L80" s="1" t="n">
        <v>1</v>
      </c>
    </row>
    <row r="81" customFormat="false" ht="2642.1" hidden="false" customHeight="false" outlineLevel="0" collapsed="false">
      <c r="A81" s="1" t="n">
        <v>79</v>
      </c>
      <c r="B81" s="8" t="s">
        <v>295</v>
      </c>
      <c r="C81" s="8" t="s">
        <v>296</v>
      </c>
      <c r="D81" s="1" t="s">
        <v>98</v>
      </c>
      <c r="E81" s="1" t="s">
        <v>171</v>
      </c>
      <c r="F81" s="1" t="s">
        <v>171</v>
      </c>
      <c r="G81" s="1" t="b">
        <f aca="false">FALSE()</f>
        <v>0</v>
      </c>
      <c r="H81" s="1" t="s">
        <v>297</v>
      </c>
      <c r="I81" s="6" t="b">
        <f aca="false">FALSE()</f>
        <v>0</v>
      </c>
      <c r="J81" s="1" t="n">
        <v>0.5</v>
      </c>
      <c r="K81" s="1" t="n">
        <v>1</v>
      </c>
      <c r="L81" s="1" t="n">
        <v>0.5</v>
      </c>
      <c r="N81" s="1" t="s">
        <v>120</v>
      </c>
    </row>
    <row r="82" customFormat="false" ht="1780.05" hidden="false" customHeight="false" outlineLevel="0" collapsed="false">
      <c r="A82" s="1" t="n">
        <v>80</v>
      </c>
      <c r="B82" s="1" t="s">
        <v>298</v>
      </c>
      <c r="C82" s="8" t="s">
        <v>299</v>
      </c>
      <c r="D82" s="1" t="s">
        <v>300</v>
      </c>
      <c r="E82" s="1" t="s">
        <v>223</v>
      </c>
      <c r="F82" s="1" t="s">
        <v>223</v>
      </c>
      <c r="G82" s="1" t="b">
        <f aca="false">FALSE()</f>
        <v>0</v>
      </c>
      <c r="H82" s="1" t="s">
        <v>301</v>
      </c>
      <c r="I82" s="9" t="b">
        <f aca="false">FALSE()</f>
        <v>0</v>
      </c>
      <c r="J82" s="1" t="n">
        <v>0.25</v>
      </c>
      <c r="K82" s="1" t="n">
        <v>0.5</v>
      </c>
      <c r="L82" s="1" t="n">
        <v>0.2</v>
      </c>
      <c r="N82" s="1" t="s">
        <v>302</v>
      </c>
    </row>
    <row r="83" customFormat="false" ht="1594.7" hidden="false" customHeight="false" outlineLevel="0" collapsed="false">
      <c r="A83" s="1" t="n">
        <v>81</v>
      </c>
      <c r="B83" s="8" t="s">
        <v>303</v>
      </c>
      <c r="C83" s="8" t="s">
        <v>304</v>
      </c>
      <c r="D83" s="1" t="s">
        <v>97</v>
      </c>
      <c r="E83" s="1" t="s">
        <v>171</v>
      </c>
      <c r="F83" s="1" t="s">
        <v>171</v>
      </c>
      <c r="G83" s="1" t="b">
        <f aca="false">FALSE()</f>
        <v>0</v>
      </c>
      <c r="H83" s="1" t="s">
        <v>305</v>
      </c>
      <c r="I83" s="7" t="b">
        <f aca="false">FALSE()</f>
        <v>0</v>
      </c>
      <c r="J83" s="1" t="n">
        <v>0.5</v>
      </c>
      <c r="K83" s="1" t="n">
        <v>1</v>
      </c>
      <c r="L83" s="1" t="n">
        <v>0.5</v>
      </c>
      <c r="N83" s="1" t="s">
        <v>306</v>
      </c>
    </row>
    <row r="84" customFormat="false" ht="15" hidden="false" customHeight="false" outlineLevel="0" collapsed="false">
      <c r="A84" s="1" t="n">
        <v>82</v>
      </c>
      <c r="B84" s="1" t="s">
        <v>307</v>
      </c>
      <c r="D84" s="1" t="s">
        <v>114</v>
      </c>
      <c r="E84" s="1" t="s">
        <v>98</v>
      </c>
      <c r="F84" s="1" t="s">
        <v>98</v>
      </c>
      <c r="G84" s="1" t="b">
        <f aca="false">FALSE()</f>
        <v>0</v>
      </c>
      <c r="H84" s="1" t="s">
        <v>308</v>
      </c>
      <c r="I84" s="6" t="b">
        <f aca="false">FALSE()</f>
        <v>0</v>
      </c>
      <c r="J84" s="1" t="n">
        <v>0</v>
      </c>
      <c r="K84" s="1" t="n">
        <v>0</v>
      </c>
      <c r="L84" s="1" t="n">
        <v>0</v>
      </c>
      <c r="N84" s="1" t="s">
        <v>309</v>
      </c>
    </row>
    <row r="85" customFormat="false" ht="15" hidden="false" customHeight="false" outlineLevel="0" collapsed="false">
      <c r="A85" s="1" t="n">
        <v>83</v>
      </c>
      <c r="B85" s="1" t="s">
        <v>310</v>
      </c>
      <c r="C85" s="1" t="s">
        <v>311</v>
      </c>
      <c r="D85" s="1" t="s">
        <v>88</v>
      </c>
      <c r="E85" s="1" t="s">
        <v>98</v>
      </c>
      <c r="F85" s="1" t="s">
        <v>98</v>
      </c>
      <c r="G85" s="1" t="b">
        <f aca="false">FALSE()</f>
        <v>0</v>
      </c>
      <c r="H85" s="1" t="s">
        <v>312</v>
      </c>
      <c r="I85" s="6" t="b">
        <f aca="false">FALSE()</f>
        <v>0</v>
      </c>
      <c r="J85" s="1" t="n">
        <v>0</v>
      </c>
      <c r="K85" s="1" t="n">
        <v>0</v>
      </c>
      <c r="L85" s="1" t="n">
        <v>0</v>
      </c>
    </row>
    <row r="86" customFormat="false" ht="15" hidden="false" customHeight="false" outlineLevel="0" collapsed="false">
      <c r="A86" s="1" t="n">
        <v>84</v>
      </c>
      <c r="B86" s="1" t="s">
        <v>313</v>
      </c>
      <c r="C86" s="1" t="s">
        <v>314</v>
      </c>
      <c r="D86" s="1" t="s">
        <v>118</v>
      </c>
      <c r="E86" s="1" t="s">
        <v>22</v>
      </c>
      <c r="F86" s="1" t="s">
        <v>22</v>
      </c>
      <c r="G86" s="1" t="b">
        <f aca="false">FALSE()</f>
        <v>0</v>
      </c>
      <c r="H86" s="1" t="s">
        <v>315</v>
      </c>
      <c r="I86" s="4" t="b">
        <f aca="false">FALSE()</f>
        <v>0</v>
      </c>
      <c r="J86" s="1" t="n">
        <v>0</v>
      </c>
      <c r="K86" s="1" t="n">
        <v>0</v>
      </c>
      <c r="L86" s="1" t="n">
        <v>0</v>
      </c>
      <c r="N86" s="1" t="s">
        <v>316</v>
      </c>
    </row>
    <row r="87" customFormat="false" ht="15" hidden="false" customHeight="false" outlineLevel="0" collapsed="false">
      <c r="A87" s="1" t="n">
        <v>85</v>
      </c>
      <c r="B87" s="1" t="s">
        <v>317</v>
      </c>
      <c r="D87" s="1" t="s">
        <v>111</v>
      </c>
      <c r="E87" s="1" t="s">
        <v>111</v>
      </c>
      <c r="F87" s="1" t="s">
        <v>111</v>
      </c>
      <c r="G87" s="1" t="b">
        <f aca="false">FALSE()</f>
        <v>0</v>
      </c>
      <c r="H87" s="1" t="s">
        <v>318</v>
      </c>
      <c r="I87" s="1" t="b">
        <f aca="false">TRUE()</f>
        <v>1</v>
      </c>
      <c r="J87" s="1" t="n">
        <v>1</v>
      </c>
      <c r="K87" s="1" t="n">
        <v>1</v>
      </c>
      <c r="L87" s="1" t="n">
        <v>1</v>
      </c>
    </row>
    <row r="88" customFormat="false" ht="15" hidden="false" customHeight="false" outlineLevel="0" collapsed="false">
      <c r="A88" s="1" t="n">
        <v>86</v>
      </c>
      <c r="B88" s="1" t="s">
        <v>319</v>
      </c>
      <c r="C88" s="1" t="s">
        <v>320</v>
      </c>
      <c r="D88" s="1" t="s">
        <v>88</v>
      </c>
      <c r="E88" s="1" t="s">
        <v>321</v>
      </c>
      <c r="F88" s="1" t="s">
        <v>27</v>
      </c>
      <c r="G88" s="1" t="b">
        <f aca="false">TRUE()</f>
        <v>1</v>
      </c>
      <c r="H88" s="1" t="s">
        <v>322</v>
      </c>
      <c r="I88" s="10" t="b">
        <f aca="false">FALSE()</f>
        <v>0</v>
      </c>
      <c r="J88" s="1" t="n">
        <v>0</v>
      </c>
      <c r="K88" s="1" t="n">
        <v>0</v>
      </c>
      <c r="L88" s="1" t="n">
        <v>0</v>
      </c>
      <c r="N88" s="1" t="s">
        <v>323</v>
      </c>
    </row>
    <row r="89" customFormat="false" ht="15" hidden="false" customHeight="false" outlineLevel="0" collapsed="false">
      <c r="A89" s="1" t="n">
        <v>87</v>
      </c>
      <c r="B89" s="1" t="s">
        <v>324</v>
      </c>
      <c r="D89" s="1" t="s">
        <v>114</v>
      </c>
      <c r="E89" s="1" t="s">
        <v>22</v>
      </c>
      <c r="F89" s="1" t="s">
        <v>22</v>
      </c>
      <c r="G89" s="1" t="b">
        <f aca="false">FALSE()</f>
        <v>0</v>
      </c>
      <c r="H89" s="1" t="s">
        <v>325</v>
      </c>
      <c r="I89" s="10" t="b">
        <f aca="false">FALSE()</f>
        <v>0</v>
      </c>
      <c r="J89" s="1" t="n">
        <v>0</v>
      </c>
      <c r="K89" s="1" t="n">
        <v>0</v>
      </c>
      <c r="L89" s="1" t="n">
        <v>0</v>
      </c>
      <c r="N89" s="11" t="s">
        <v>326</v>
      </c>
    </row>
    <row r="95" customFormat="false" ht="15" hidden="false" customHeight="false" outlineLevel="0" collapsed="false">
      <c r="N95" s="1" t="s">
        <v>327</v>
      </c>
    </row>
    <row r="96" customFormat="false" ht="15" hidden="false" customHeight="false" outlineLevel="0" collapsed="false">
      <c r="N96" s="1" t="s">
        <v>328</v>
      </c>
    </row>
    <row r="97" customFormat="false" ht="15" hidden="false" customHeight="false" outlineLevel="0" collapsed="false">
      <c r="N97" s="1" t="s">
        <v>329</v>
      </c>
    </row>
    <row r="98" customFormat="false" ht="15" hidden="false" customHeight="false" outlineLevel="0" collapsed="false">
      <c r="N98" s="1" t="s">
        <v>330</v>
      </c>
    </row>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1" t="s">
        <v>3</v>
      </c>
      <c r="B1" s="1" t="s">
        <v>331</v>
      </c>
      <c r="C1" s="1" t="s">
        <v>332</v>
      </c>
      <c r="D1" s="1" t="s">
        <v>333</v>
      </c>
      <c r="E1" s="1" t="s">
        <v>334</v>
      </c>
      <c r="F1" s="1" t="s">
        <v>335</v>
      </c>
      <c r="G1" s="1" t="s">
        <v>336</v>
      </c>
    </row>
    <row r="2" customFormat="false" ht="15" hidden="false" customHeight="false" outlineLevel="0" collapsed="false">
      <c r="A2" s="1" t="s">
        <v>27</v>
      </c>
      <c r="B2" s="1" t="n">
        <v>10</v>
      </c>
      <c r="C2" s="1" t="n">
        <v>6</v>
      </c>
      <c r="D2" s="1" t="n">
        <v>7</v>
      </c>
      <c r="E2" s="1" t="n">
        <v>4</v>
      </c>
      <c r="F2" s="1" t="s">
        <v>337</v>
      </c>
      <c r="G2" s="1" t="s">
        <v>338</v>
      </c>
    </row>
    <row r="3" customFormat="false" ht="15" hidden="false" customHeight="false" outlineLevel="0" collapsed="false">
      <c r="A3" s="1" t="s">
        <v>77</v>
      </c>
      <c r="B3" s="1" t="n">
        <v>10</v>
      </c>
      <c r="C3" s="1" t="n">
        <v>8</v>
      </c>
      <c r="D3" s="1" t="n">
        <v>3</v>
      </c>
      <c r="E3" s="1" t="n">
        <v>2</v>
      </c>
      <c r="F3" s="1" t="s">
        <v>339</v>
      </c>
      <c r="G3" s="1" t="s">
        <v>340</v>
      </c>
    </row>
    <row r="4" customFormat="false" ht="15" hidden="false" customHeight="false" outlineLevel="0" collapsed="false">
      <c r="A4" s="1" t="s">
        <v>97</v>
      </c>
      <c r="B4" s="1" t="n">
        <v>12</v>
      </c>
      <c r="C4" s="1" t="n">
        <v>10</v>
      </c>
      <c r="D4" s="1" t="n">
        <v>15</v>
      </c>
      <c r="E4" s="1" t="n">
        <v>2</v>
      </c>
      <c r="F4" s="1" t="s">
        <v>341</v>
      </c>
      <c r="G4" s="1" t="s">
        <v>342</v>
      </c>
    </row>
    <row r="5" customFormat="false" ht="15" hidden="false" customHeight="false" outlineLevel="0" collapsed="false">
      <c r="A5" s="1" t="s">
        <v>70</v>
      </c>
      <c r="B5" s="1" t="n">
        <v>6</v>
      </c>
      <c r="C5" s="1" t="n">
        <v>5</v>
      </c>
      <c r="D5" s="1" t="n">
        <v>5</v>
      </c>
      <c r="E5" s="1" t="n">
        <v>1</v>
      </c>
      <c r="F5" s="1" t="s">
        <v>341</v>
      </c>
      <c r="G5" s="1" t="s">
        <v>343</v>
      </c>
    </row>
    <row r="6" customFormat="false" ht="15" hidden="false" customHeight="false" outlineLevel="0" collapsed="false">
      <c r="A6" s="1" t="s">
        <v>139</v>
      </c>
      <c r="B6" s="1" t="n">
        <v>11</v>
      </c>
      <c r="C6" s="1" t="n">
        <v>8</v>
      </c>
      <c r="D6" s="1" t="n">
        <v>4</v>
      </c>
      <c r="E6" s="1" t="n">
        <v>3</v>
      </c>
      <c r="F6" s="1" t="s">
        <v>340</v>
      </c>
      <c r="G6" s="1" t="s">
        <v>344</v>
      </c>
    </row>
    <row r="7" customFormat="false" ht="15" hidden="false" customHeight="false" outlineLevel="0" collapsed="false">
      <c r="A7" s="1" t="s">
        <v>38</v>
      </c>
      <c r="B7" s="1" t="n">
        <v>12</v>
      </c>
      <c r="C7" s="1" t="n">
        <v>5</v>
      </c>
      <c r="D7" s="1" t="n">
        <v>3</v>
      </c>
      <c r="E7" s="1" t="n">
        <v>7</v>
      </c>
      <c r="F7" s="1" t="s">
        <v>345</v>
      </c>
      <c r="G7" s="1" t="s">
        <v>346</v>
      </c>
    </row>
    <row r="8" customFormat="false" ht="15" hidden="false" customHeight="false" outlineLevel="0" collapsed="false">
      <c r="A8" s="1" t="s">
        <v>98</v>
      </c>
      <c r="B8" s="1" t="n">
        <v>15</v>
      </c>
      <c r="C8" s="1" t="n">
        <v>11</v>
      </c>
      <c r="D8" s="1" t="n">
        <v>23</v>
      </c>
      <c r="E8" s="1" t="n">
        <v>4</v>
      </c>
      <c r="F8" s="1" t="s">
        <v>340</v>
      </c>
      <c r="G8" s="1" t="s">
        <v>347</v>
      </c>
    </row>
    <row r="9" customFormat="false" ht="15" hidden="false" customHeight="false" outlineLevel="0" collapsed="false">
      <c r="A9" s="1" t="s">
        <v>22</v>
      </c>
      <c r="B9" s="1" t="n">
        <v>6</v>
      </c>
      <c r="C9" s="1" t="n">
        <v>6</v>
      </c>
      <c r="D9" s="1" t="n">
        <v>20</v>
      </c>
      <c r="E9" s="1" t="n">
        <v>0</v>
      </c>
      <c r="F9" s="1" t="s">
        <v>348</v>
      </c>
      <c r="G9" s="1" t="s">
        <v>349</v>
      </c>
    </row>
    <row r="10" customFormat="false" ht="15" hidden="false" customHeight="false" outlineLevel="0" collapsed="false">
      <c r="A10" s="1" t="s">
        <v>111</v>
      </c>
      <c r="B10" s="1" t="n">
        <v>8</v>
      </c>
      <c r="C10" s="1" t="n">
        <v>8</v>
      </c>
      <c r="D10" s="1" t="n">
        <v>2</v>
      </c>
      <c r="E10" s="1" t="n">
        <v>0</v>
      </c>
      <c r="F10" s="1" t="s">
        <v>348</v>
      </c>
      <c r="G10" s="1" t="s">
        <v>339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1" t="s">
        <v>350</v>
      </c>
      <c r="B1" s="1" t="s">
        <v>351</v>
      </c>
      <c r="C1" s="1" t="s">
        <v>352</v>
      </c>
    </row>
    <row r="2" customFormat="false" ht="15" hidden="false" customHeight="false" outlineLevel="0" collapsed="false">
      <c r="A2" s="1" t="s">
        <v>353</v>
      </c>
      <c r="B2" s="1" t="s">
        <v>354</v>
      </c>
      <c r="C2" s="1" t="n">
        <v>88</v>
      </c>
    </row>
    <row r="3" customFormat="false" ht="15" hidden="false" customHeight="false" outlineLevel="0" collapsed="false">
      <c r="A3" s="1" t="s">
        <v>355</v>
      </c>
      <c r="B3" s="1" t="s">
        <v>356</v>
      </c>
      <c r="C3" s="1" t="n">
        <v>88</v>
      </c>
    </row>
    <row r="4" customFormat="false" ht="15" hidden="false" customHeight="false" outlineLevel="0" collapsed="false">
      <c r="A4" s="1" t="s">
        <v>357</v>
      </c>
      <c r="B4" s="1" t="s">
        <v>358</v>
      </c>
      <c r="C4" s="1" t="n">
        <v>88</v>
      </c>
    </row>
    <row r="5" customFormat="false" ht="15" hidden="false" customHeight="false" outlineLevel="0" collapsed="false">
      <c r="A5" s="1" t="s">
        <v>359</v>
      </c>
      <c r="B5" s="1" t="s">
        <v>360</v>
      </c>
      <c r="C5" s="1" t="n">
        <v>88</v>
      </c>
    </row>
    <row r="6" customFormat="false" ht="15" hidden="false" customHeight="false" outlineLevel="0" collapsed="false">
      <c r="A6" s="1" t="s">
        <v>361</v>
      </c>
      <c r="B6" s="1" t="s">
        <v>362</v>
      </c>
      <c r="C6" s="1" t="n">
        <v>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1197</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2026-07-15T11:40:06Z</dcterms:created>
  <dc:creator>openpyxl</dc:creator>
  <dc:description/>
  <dc:language>en-GB</dc:language>
  <cp:lastModifiedBy/>
  <dcterms:modified xsi:type="dcterms:W3CDTF">2026-07-20T16:15:54Z</dcterms:modified>
  <cp:revision>11</cp:revision>
  <dc:subject/>
  <dc:title/>
</cp:coreProperties>
</file>

<file path=docProps/custom.xml><?xml version="1.0" encoding="utf-8"?>
<Properties xmlns="http://schemas.openxmlformats.org/officeDocument/2006/custom-properties" xmlns:vt="http://schemas.openxmlformats.org/officeDocument/2006/docPropsVTypes"/>
</file>