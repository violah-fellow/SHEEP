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<sst xmlns="http://schemas.openxmlformats.org/spreadsheetml/2006/main" count="359" uniqueCount="234">
  <si>
    <t xml:space="preserve">id</t>
  </si>
  <si>
    <t xml:space="preserve">title</t>
  </si>
  <si>
    <t xml:space="preserve">abstract</t>
  </si>
  <si>
    <t xml:space="preserve">research_category</t>
  </si>
  <si>
    <t xml:space="preserve">raw_predicted_categories</t>
  </si>
  <si>
    <t xml:space="preserve">predicted_categories</t>
  </si>
  <si>
    <t xml:space="preserve">other_clash</t>
  </si>
  <si>
    <t xml:space="preserve">reasoning_LLM</t>
  </si>
  <si>
    <t xml:space="preserve">exact_match</t>
  </si>
  <si>
    <t xml:space="preserve">row_precision</t>
  </si>
  <si>
    <t xml:space="preserve">row_recall</t>
  </si>
  <si>
    <t xml:space="preserve">row_jaccard</t>
  </si>
  <si>
    <t xml:space="preserve">University of Bath Cellular Agriculture Manufacturing Hub (CARMA)</t>
  </si>
  <si>
    <t xml:space="preserve">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</si>
  <si>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 xml:space="preserve">cross-cutting</t>
  </si>
  <si>
    <t xml:space="preserve">Cell line development, Strain development, Cell culture media, Feedstocks, Bioprocess design, Scaffolding</t>
  </si>
  <si>
    <t xml:space="preserve">This hub grant explicitly funds manufacturing research across the cellular agriculture value chain, covering cell line development, strain development, media formulation, feedstocks, bioprocess/bioreactor design, and scaffolding as core research pillars to enable scalable Cell Ag production; LCA benefits are cited only as motivation, and product formulation, safety, consumer research, and impact assessments are not funded research activities.</t>
  </si>
  <si>
    <t xml:space="preserve">Alternative Protein Sources - Review for the 24th DGE Ernährungsbericht</t>
  </si>
  <si>
    <t xml:space="preserve">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</si>
  <si>
    <t xml:space="preserve">Impact assessments</t>
  </si>
  <si>
    <t xml:space="preserve">Other</t>
  </si>
  <si>
    <t xml:space="preserve">This grant funds a broad review/overview of alternative protein sources for a nutritional report, covering technology maturity, challenges, and nutrient supply considerations — it is a review activity rather than primary research in any specific category.</t>
  </si>
  <si>
    <t xml:space="preserve">Oxidation and glycation during gastro-intestinal digestion of
  meat (analogues): influence on nutrition and health</t>
  </si>
  <si>
    <t xml:space="preserve">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</si>
  <si>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 xml:space="preserve">Health &amp; nutrition</t>
  </si>
  <si>
    <t xml:space="preserve">The grant funds in vitro digestion and in vivo rat studies measuring health-relevant biological outcomes (protein digestibility, fermentation, inflammation, oxidative stress, glycation) of meat and meat analogues, making Health &amp; nutrition the primary category.</t>
  </si>
  <si>
    <t xml:space="preserve">CERAFIM - Cellular Agriculture for Sustainable Food and Materials (Part 1)</t>
  </si>
  <si>
    <t xml:space="preserve">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</si>
  <si>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 xml:space="preserve">Feedstocks</t>
  </si>
  <si>
    <t xml:space="preserve">Cell line development, Strain development, Target molecule selection, Feedstocks, Bioprocess design, Ingredient optimisation, End product formulation</t>
  </si>
  <si>
    <t xml:space="preserve">The CERAFIM project covers the full value chain of cellular agriculture: microbial and cell-based protein production (Strain development, Cell line development, Target molecule selection), use of agricultural/food industry side streams as feedstocks (Feedstocks), bioreactor-based cultivation and processing (Bioprocess design), further processing of proteins as ingredients (Ingredient optimisation), and manufacture of consumer products (End product formulation).</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</si>
  <si>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</si>
  <si>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</si>
  <si>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Consumer &amp; market research</t>
  </si>
  <si>
    <t xml:space="preserve">Consumer &amp; market research, Other</t>
  </si>
  <si>
    <t xml:space="preserve">This grant is focused on understanding how food becomes culturally accepted and edible, developing new theoretical and methodological frameworks to study consumer acceptance of meat replacers in Southeast Asia — this is consumer and market research; the 'Other' category applies because the project also involves sociocultural and anthropological theory development around food systems and edibility.</t>
  </si>
  <si>
    <t xml:space="preserve">The Political Economy of Meat System Transformation</t>
  </si>
  <si>
    <t xml:space="preserve">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</si>
  <si>
    <t xml:space="preserve">This grant focuses on political economy, policy narratives, social norms, and consumer behaviour around meat system transformation, qualifying for Consumer &amp; market research (studying consumption behaviours, public opinion, and policy actor networks) and Other (policy research, institutional sociology, transition studies, and stakeholder engagement activities that don't fit other categories); no substantive research activities in food science, production technology, or quantitative impact assessment methods are funded.</t>
  </si>
  <si>
    <t xml:space="preserve">Cellular food for sustainable production and innovative food concepts (CellFood)</t>
  </si>
  <si>
    <t xml:space="preserve">-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</si>
  <si>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 xml:space="preserve">Cell line development</t>
  </si>
  <si>
    <t xml:space="preserve">The abstract is too vague to assign specific technical research categories, but explicitly mentions consumer acceptance research and broad programmatic support across multiple project types, warranting Consumer &amp; market research and Other (broad programme/review activity).</t>
  </si>
  <si>
    <t xml:space="preserve">Designed fermentation for off-flavor
  elimination in plant-based foods</t>
  </si>
  <si>
    <t xml:space="preserve">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</si>
  <si>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 xml:space="preserve">Ingredient optimisation</t>
  </si>
  <si>
    <t xml:space="preserve">Strain development, End product formulation, Consumer &amp; market research</t>
  </si>
  <si>
    <t xml:space="preserve">The grant funds screening and selection of microbial strains for off-flavor elimination (Strain development), application of optimized microbial blends to create plant-based dairy alternatives (End product formulation), and sensory/consumer acceptance testing with hundreds of volunteers across multiple products (Consumer &amp; market research).</t>
  </si>
  <si>
    <t xml:space="preserve">Towards a bio-based future: joining forces to maximize conditions of success for the transition towards a more natural and sustainable global food chain</t>
  </si>
  <si>
    <t xml:space="preserve">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</si>
  <si>
    <t xml:space="preserve">This grant focuses on stakeholder engagement, ethical/normative analysis, and multi-stakeholder learning exercises around the bio-based food transition (sustainability, naturalness, credibility, global justice), with no substantive funded research activities in any of the specific alternative protein technical or market research categories.</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</si>
  <si>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</si>
  <si>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This grant is primarily focused on consumer behaviour, cultural acceptance, and the social/theoretical dimensions of meat replacement in Asia, with empirical research on how foods become accepted as edible and desirable — fitting Consumer &amp; market research; the development of new theoretical and methodological frameworks for studying 'systems of edibility' also warrants Other.</t>
  </si>
  <si>
    <t xml:space="preserve">An innovative whey protein powder that includes lactoferrin and NAD+, promoting fitness and longevity, while its
  production reduces carbon emissions</t>
  </si>
  <si>
    <t xml:space="preserve">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</si>
  <si>
    <t xml:space="preserve">End product formulation</t>
  </si>
  <si>
    <t xml:space="preserve">Ingredient optimisation, End product formulation</t>
  </si>
  <si>
    <t xml:space="preserve">The grant funds development of a whey protein powder product (MilaK) incorporating fermented lactoferrin and NAD+, which involves ingredient optimisation (fermentation-based production of lactoferrin and NAD+ as functional ingredients) and end product formulation (assembling and characterising the finished protein powder product); environmental and health benefits are mentioned as motivation/context rather than funded research activities.</t>
  </si>
  <si>
    <t xml:space="preserve">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</si>
  <si>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</si>
  <si>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 xml:space="preserve">Bioprocess design</t>
  </si>
  <si>
    <t xml:space="preserve">Cell line development, Target molecule selection, Bioprocess design, Ingredient optimisation, Other</t>
  </si>
  <si>
    <t xml:space="preserve">Cell line development, Target molecule selection, Bioprocess design, Ingredient optimisation</t>
  </si>
  <si>
    <t xml:space="preserve">The grant funds: precision fermentation for food components like proteins and fatty acids (Target molecule selection), meat cultivation processes (Cell line development), enzymatic protein hydrolysis and bioprocess development (Bioprocess design and Ingredient optimisation), and spectroscopic/data analytics methods for food quality and process control (Other), while consumer satisfaction and personalized nutrition are mentioned as downstream applications rather than funded research activities.</t>
  </si>
  <si>
    <t xml:space="preserve">FoodFutures</t>
  </si>
  <si>
    <t xml:space="preserve">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</si>
  <si>
    <t xml:space="preserve">The grant is a broad systems-level initiative focused on sustainable food value chains, dietary transitions, and circular bioeconomy frameworks rather than funding specific research activities in any of the defined alternative protein research categories; it is best classified as 'Other' covering broad review/policy/food system activities.</t>
  </si>
  <si>
    <t xml:space="preserve">Development of innovative food products
  using plant proteins and precision fermentation with in-silico optimisation</t>
  </si>
  <si>
    <t xml:space="preserve">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</si>
  <si>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 xml:space="preserve">Target molecule selection</t>
  </si>
  <si>
    <t xml:space="preserve">Bioprocess design, Ingredient optimisation, End product formulation</t>
  </si>
  <si>
    <t xml:space="preserve">The grant funds: (1) bioprocess design via New Wave Biotech's process optimisation tool applied to fermentation, downstream processing, and stabilisation steps; (2) ingredient optimisation of precision fermentation-derived protein ingredients for flavour and functionality; and (3) end product formulation by testing these ingredients in alternative protein and pet food applications to assess sensory performance and functionality.</t>
  </si>
  <si>
    <t xml:space="preserve">Acceptable based on abstract. I think target molecule selection should be included, but it talks about an existing portfolio of precision fermentation ingredients, rather than extensive selection / optimisation.</t>
  </si>
  <si>
    <t xml:space="preserve">Investigating protein and saliva interactions, impact on mucosal surfaces and any links to resulting mouthfeel</t>
  </si>
  <si>
    <t xml:space="preserve">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</si>
  <si>
    <t xml:space="preserve">The grant focuses on studying protein-saliva and protein-mucosal surface interactions during oral processing and their links to mouthfeel, which constitutes characterisation of individual protein ingredient behaviour (plant-based and milk proteins) in isolation from full product systems, fitting Ingredient Optimisation.</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</si>
  <si>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</si>
  <si>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</si>
  <si>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Food safety &amp; quality</t>
  </si>
  <si>
    <t xml:space="preserve">The grant focuses on regulatory sandboxes, stakeholder engagement, policy frameworks, and innovation support for cellular agriculture commercialisation — none of which constitute substantive funded research activities in the technical categories; it is primarily a policy, regulatory, and ecosystem-building initiative.</t>
  </si>
  <si>
    <t xml:space="preserve">Cultural entrepreneurship in vegan meat markets</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</si>
  <si>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</si>
  <si>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 xml:space="preserve">This grant focuses on cultural entrepreneurship, market dynamics, stakeholder narratives, and value propositions in the vegan meat sector, which falls under consumer &amp; market research (consumer influence, market dynamics) and Other (entrepreneurship, policy, ethical/social dimensions), with no substantive funded research activities in food science or production categories.</t>
  </si>
  <si>
    <t xml:space="preserve">The supermarket of the future</t>
  </si>
  <si>
    <t xml:space="preserve">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</si>
  <si>
    <t xml:space="preserve">The grant funds benchmarking of retail chains' plant-based offerings and in-depth consumer segment analysis, which are clearly consumer and market research activities focused on purchasing behaviour, product range, and sales practices.</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</si>
  <si>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</si>
  <si>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</si>
  <si>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This grant funds a UK research network (UKProNet) focused on protein homeostasis (proteostasis) science broadly — covering ageing, health, and food security as motivations — but the funded activities are community-building, workshops, pump-priming grants, lab exchanges, and ECR support, none of which constitute substantive alternative protein research activities in any of the defined categories.</t>
  </si>
  <si>
    <t xml:space="preserve">Alternative protein sources: growing the next generation computational modelling framework</t>
  </si>
  <si>
    <t xml:space="preserve">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</si>
  <si>
    <t xml:space="preserve">The grant focuses on developing a computational modelling framework using multi-physics fluid mechanics and high-performance computing, which maps most directly to bioprocess design (bioreactor and process engineering innovations), with no substantive funded activities in other categories.</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</si>
  <si>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</si>
  <si>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</si>
  <si>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Consumer &amp; market research, Impact assessments</t>
  </si>
  <si>
    <t xml:space="preserve">The grant funds research into consumer acceptance of alternative proteins across European contexts (Consumer &amp; market research), projected demand changes, and the social, economic, and environmental impacts of meeting that demand (Impact assessments), with no substantive research activities in any technical product development or production categories.</t>
  </si>
  <si>
    <t xml:space="preserve">Food 2.0</t>
  </si>
  <si>
    <t xml:space="preserve">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</si>
  <si>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 xml:space="preserve">The abstract describes a broad ecosystem and R&amp;D initiative led by Valio focused on food system sustainability, circular economy, and supply chain resilience, but does not specify any concrete funded research activities in any of the defined alternative protein categories; it is a high-level strategic framing document.</t>
  </si>
  <si>
    <t xml:space="preserve">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</si>
  <si>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</si>
  <si>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 xml:space="preserve">Bioprocess design, Ingredient optimisation</t>
  </si>
  <si>
    <t xml:space="preserve">The grant focuses on obtaining and developing single-cell proteins from microalgae, bacteria, fungi, and insects for use in food, feed, and non-food applications, indicating ingredient optimisation as a core activity, with end product formulation implied by their integration into food and feed products; no other categories are substantively funded based on the abstract.</t>
  </si>
  <si>
    <t xml:space="preserve">Discovery and optimisation of unconventional yeasts to enable the industrial scaling of alternative protein production using precision fermentation</t>
  </si>
  <si>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</si>
  <si>
    <t xml:space="preserve">Strain development</t>
  </si>
  <si>
    <t xml:space="preserve">Strain development, Target molecule selection</t>
  </si>
  <si>
    <t xml:space="preserve">The grant funds active screening and engineering of unconventional yeast strains using synthetic biology and ML (Strain development), and the expression of specific target biomolecules via precision fermentation (Target molecule selection); all other categories are mentioned only as motivation or anticipated downstream benefits.</t>
  </si>
  <si>
    <t xml:space="preserve">Designing a manufacturing facility of the future for cell cultivated products</t>
  </si>
  <si>
    <t xml:space="preserve">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</si>
  <si>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 xml:space="preserve">Bioprocess design, Other</t>
  </si>
  <si>
    <t xml:space="preserve">The grant focuses on designing manufacturing facilities for cell cultivated products, which maps to bioprocess design (bioreactor/facility design, scale-up, process engineering), and also includes broader facility design and manufacturing practice considerations that fall under Other; environmental benefits are mentioned only as motivation rather than as a funded impact assessment activity.</t>
  </si>
  <si>
    <t xml:space="preserve">Reproduction of the gastrointestinal tract microenvironment for the nutritional study of alternative proteins and their interaction with the microbiota</t>
  </si>
  <si>
    <t xml:space="preserve">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</si>
  <si>
    <t xml:space="preserve">Ingredient optimisation, Health &amp; nutrition</t>
  </si>
  <si>
    <t xml:space="preserve">The grant funds research into the nutritional quality and digestibility of alternative proteins (ingredient optimisation via techno-functional characterisation) and their interaction with the gut microbiota using in vitro digestion models, organ-on-chip systems, and in vivo/ex vivo studies where the primary endpoints are physiological/nutritional outcomes (health &amp; nutrition), with no substantive activities in the other categories.</t>
  </si>
  <si>
    <t xml:space="preserve">BiochAIn - BiochAIn ist ein Softwareprojekt für die Optimierung einer gesamten biotechnologischen Verfahrenskette(Chain) mittels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</si>
  <si>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</si>
  <si>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This grant funds the development of an AI-powered digital process modeling and optimization software toolbox for bioprocess engineering (digital twins, ML modeling, online monitoring), which falls under Bioprocess design as it involves process engineering innovations aimed at improving yield, efficiency, and scalability; alternative proteins (cultured meat, precision fermentation) are mentioned only as one of several application domains, not as a primary research focus.</t>
  </si>
  <si>
    <t xml:space="preserve">Impact analysis of the novel food knowledge unit</t>
  </si>
  <si>
    <t xml:space="preserve">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</si>
  <si>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 xml:space="preserve">This grant evaluates the economic and industry impact of establishing a knowledge unit on novel food in Estonia, which is a policy/regulatory and economic analysis activity that does not fit any of the specific alternative protein research categories but falls under 'Other' as broad policy and regulatory research.</t>
  </si>
  <si>
    <t xml:space="preserve">Innovations for a future-oriented consumption and animal production NOVAnimal</t>
  </si>
  <si>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</si>
  <si>
    <t xml:space="preserve">Health &amp; nutrition, Consumer &amp; market research, Impact assessments, Other</t>
  </si>
  <si>
    <t xml:space="preserve">Health &amp; nutrition, Consumer &amp; market research, Impact assessments</t>
  </si>
  <si>
    <t xml:space="preserve">This grant funds research into environmental and economic impact assessments of animal production systems, consumer behaviour and demand-side dynamics (including away-from-home consumption), public health and nutrition implications of animal product consumption, and policy/stakeholder strategy development — with no substantive research activities in alternative protein production, processing, or ingredient development.</t>
  </si>
  <si>
    <t xml:space="preserve">Deep Learning Dynamic Graphs for Food Microstructures (Delifood)</t>
  </si>
  <si>
    <t xml:space="preserve">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</si>
  <si>
    <t xml:space="preserve">This grant develops novel imaging protocols and deep learning methods to model food microstructures and textures over time; while it mentions alternative foods and sustainability as motivation, the funded research activities are methodological (microscopy and computational modeling) and do not substantively fall into any specific alternative protein research category.</t>
  </si>
  <si>
    <t xml:space="preserve">No explicit end product formulation so I think Other makes sense</t>
  </si>
  <si>
    <t xml:space="preserve">Edible Metal-Organic Frameworks for Food Fortification</t>
  </si>
  <si>
    <t xml:space="preserve">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</si>
  <si>
    <t xml:space="preserve">End product formulation, Health &amp; nutrition</t>
  </si>
  <si>
    <t xml:space="preserve">The grant develops novel iron-based metal-organic frameworks (MOFs) as delivery systems for food fortification, evaluating their reactivity and bioaccessibility in food products (End product formulation), while bioaccessibility and iron delivery in the gastrointestinal tract constitute health/nutrition-relevant physiological endpoints (Health &amp; nutrition).</t>
  </si>
  <si>
    <t xml:space="preserve">National Alternative Proteins Innovation and Knowledge Centre (NAPIC)</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</si>
  <si>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</si>
  <si>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 xml:space="preserve">Crop development, Cell line development, Strain development, Target molecule selection, Cell culture media, Feedstocks, Bioprocess design, Scaffolding, Ingredient optimisation, End product formulation, Texturization methods, Food safety &amp; quality, Health &amp; nutrition, Consumer &amp; market research, Impact assessments, Other</t>
  </si>
  <si>
    <t xml:space="preserve">Crop development, Cell line development, Strain development, Target molecule selection, Cell culture media, Feedstocks, Bioprocess design, Scaffolding, Ingredient optimisation, End product formulation, Texturization methods, Food safety &amp; quality, Health &amp; nutrition, Consumer &amp; market research, Impact assessments</t>
  </si>
  <si>
    <t xml:space="preserve">NAPIC is a broad pan-UK innovation centre covering the entire alternative protein value chain across four pillars (PRODUCE, PROCESS, PERFORM, PEOPLE), explicitly funding research and activities across all categories from crop and cell line/strain development through bioprocessing, scaffolding, ingredient and product formulation, texturisation, food safety, health outcomes, consumer research, impact assessments, and regulatory/policy work.</t>
  </si>
  <si>
    <t xml:space="preserve">Plant breeding research P3 joint project: 'Rapeseed as a domestic source of high-quality protein for human nutrition (RaPEQ3) Subproject A</t>
  </si>
  <si>
    <t xml:space="preserve">No Abstract Available</t>
  </si>
  <si>
    <t xml:space="preserve">Crop development</t>
  </si>
  <si>
    <t xml:space="preserve">The title explicitly references plant breeding research on rapeseed for high-quality protein, indicating crop development as the primary funded activity.</t>
  </si>
  <si>
    <t xml:space="preserve">Glyc(oxid)ation during gastrointestinal digestion of meat
  (analogues): formation of advanced glycation endproducts and implications on
  health.</t>
  </si>
  <si>
    <t xml:space="preserve">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</si>
  <si>
    <t xml:space="preserve">The grant focuses on measuring health-relevant biological outcomes (advanced glycation endproducts, lipid/protein oxidation, metabolism, gut microbiota) from consuming meat and meat analogues via in vitro digestion studies and an in vivo rat feeding trial, making Health &amp; nutrition the primary category.</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</si>
  <si>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</si>
  <si>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</si>
  <si>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Feedstocks, Bioprocess design, Ingredient optimisation, End product formulation</t>
  </si>
  <si>
    <t xml:space="preserve">The grant uses dairy side streams (whey) as feedstocks for microalgae cultivation (Feedstocks), develops the production technology/process (Bioprocess design), optimises the resulting microalgae biomass as a functional ingredient (Ingredient optimisation), and incorporates it into fortified dairy and dairy-alternative products (End product formulation).</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</si>
  <si>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</si>
  <si>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</si>
  <si>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Consumer &amp; market research, Impact assessments, Other</t>
  </si>
  <si>
    <t xml:space="preserve">The grant funds consumer acceptance research across European contexts (Consumer &amp; market research), quantitative modelling of future protein demand and its social, economic, and environmental impacts (Impact assessments), and broader socio-ecological and interdisciplinary analysis that spans economics, land economy, and environmental social sciences (Other); all technical product development categories are explicitly noted as outside the scope of this project.</t>
  </si>
  <si>
    <t xml:space="preserve">NordForsk: Mushroom-based processes for increased local production of non-meat protein and enhanced agriculture sustainability</t>
  </si>
  <si>
    <t xml:space="preserve">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</si>
  <si>
    <t xml:space="preserve">Feedstocks, Ingredient optimisation, Other</t>
  </si>
  <si>
    <t xml:space="preserve">Feedstocks, Ingredient optimisation</t>
  </si>
  <si>
    <t xml:space="preserve">The grant funds use of crop residues and SMS as feedstocks for oleaginous yeast cultivation (Feedstocks), extraction and characterisation of bioactive compounds (β-glucans, carotenoids, lipids) from SMS and yeast biomass as ingredients (Ingredient Optimisation), and activities outside standard alternative protein categories including biofertilizer assessment, wastewater bioremediation, and microbial community profiling of SMS (Other).</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</si>
  <si>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</si>
  <si>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</si>
  <si>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This grant focuses on synthetic biology engineering of the endoplasmic reticulum in yeast and plant cells to improve recombinant protein secretion, which is fundamental cell biology/biotechnology research not directly fitting any specific alternative protein category; food applications are mentioned only as broad motivation.</t>
  </si>
  <si>
    <t xml:space="preserve">Should this be strain development? Not even sure it should be in scope tbh</t>
  </si>
  <si>
    <t xml:space="preserve">The Pursuit and Maintenance of Sustainable Diets</t>
  </si>
  <si>
    <t xml:space="preserve">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</si>
  <si>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 xml:space="preserve">The grant funds social psychology research on consumer attitudes, behaviours, and identity profiles related to maintaining plant-based diets (Consumer &amp; market research), and also includes fellowship development activities such as dissemination, networking, and funding proposal writing that fall outside the substantive research categories (Other).</t>
  </si>
  <si>
    <t xml:space="preserve">CERAFIM - Cellular Agriculture for Sustainable Food and Materials (Part 2)</t>
  </si>
  <si>
    <t xml:space="preserve">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</si>
  <si>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 xml:space="preserve">Strain development, Target molecule selection, Feedstocks, Bioprocess design, Consumer &amp; market research</t>
  </si>
  <si>
    <t xml:space="preserve">The grant funds: strain/microbial development for whole cell concepts and microbial fats (Strain development); recombinant protein expression via precision fermentation (Target molecule selection); use of food industry and agricultural side streams as feedstocks (Feedstocks); scalable bioreactor process development (Bioprocess design); and industry/business vision and stakeholder networking activities related to consumer acceptance and market readiness by 2030 (Consumer &amp; market research).</t>
  </si>
  <si>
    <t xml:space="preserve">Organic acids – Old natural compounds with underexploited biofunctionalities (BIOFUNC)</t>
  </si>
  <si>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</si>
  <si>
    <t xml:space="preserve">Bioprocess design, Ingredient optimisation, End product formulation, Food safety &amp; quality</t>
  </si>
  <si>
    <t xml:space="preserve">The grant funds research into organic acids as natural preservatives: bioprocess/bioreactor production of organic acids (Bioprocess design), characterisation of organic acid antimicrobial activity as ingredients (Ingredient optimisation), testing in finished food products including plant-based meat analogues (End product formulation), and food spoilage/safety assessment (Food safety &amp; quality).</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</si>
  <si>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</si>
  <si>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</si>
  <si>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Target molecule selection, Bioprocess design, Ingredient optimisation, End product formulation, Food safety &amp; quality, Impact assessments, Other</t>
  </si>
  <si>
    <t xml:space="preserve">Target molecule selection, Bioprocess design, Ingredient optimisation, End product formulation, Food safety &amp; quality, Impact assessments</t>
  </si>
  <si>
    <t xml:space="preserve">The grant funds research on precision fermentation-derived milk proteins (target molecule selection), downstream processing and scalability of novel protein production (bioprocess design), structure-function relationships and ingredient properties of milk proteoforms and single-cell proteins (ingredient optimisation), development of food prototypes (end product formulation), safety assessment of fermentation approaches (food safety &amp; quality), resource efficiency and sustainability evidence (impact assessments), and EU legislation considerations (other); consumer acceptance and strain/cell line development are not substantive funded activities.</t>
  </si>
  <si>
    <t xml:space="preserve">The biosynthetic protein transition: assessing impacts, outcomes and opportunities for Norways post-animal bioeconomy</t>
  </si>
  <si>
    <t xml:space="preserve">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</si>
  <si>
    <t xml:space="preserve">Impact assessments, Consumer &amp; market research</t>
  </si>
  <si>
    <t xml:space="preserve">The grant funds consumer willingness-to-try studies and market/stakeholder research (Consumer &amp; market research), economic modelling and LCA-referenced impact assessments of cultured protein on Norwegian agriculture and society (Impact assessments), and broader policy/stakeholder analysis including regulatory and rural community considerations (Other); no laboratory or production research activities are funded.</t>
  </si>
  <si>
    <t xml:space="preserve">ARRIVAL (ARRIVAL of Cellular Agriculture-Enabling biotechnology for Future Food Production)</t>
  </si>
  <si>
    <t xml:space="preserve">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</si>
  <si>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 xml:space="preserve">Cell culture media, Strain development , Bioprocess design</t>
  </si>
  <si>
    <t xml:space="preserve">Cell line development, Strain development, Target molecule selection, Cell culture media, Feedstocks, Bioprocess design, Consumer &amp; market research, Other</t>
  </si>
  <si>
    <t xml:space="preserve">Cell line development, Strain development, Target molecule selection, Cell culture media, Feedstocks, Bioprocess design, Consumer &amp; market research</t>
  </si>
  <si>
    <t xml:space="preserve">The grant funds both precision fermentation (target molecule selection for milk/egg proteins, strain development, feedstocks from Norwegian by-products) and cultured meat (cell line development, cell culture media, bioprocess design), while also explicitly investigating consumer and societal readiness (consumer &amp; market research) and ethical/policy foundations (Other).</t>
  </si>
  <si>
    <t xml:space="preserve">Expert Network for Novel Foods Regulatory Challenges – UK's first collaboration cluster to support best practice and facilitate the regulatory approval journey of innovative food ingredients</t>
  </si>
  <si>
    <t xml:space="preserve">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</si>
  <si>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 xml:space="preserve">This grant funds the creation of a regulatory science network to support Novel Foods approval in the UK, focusing on regulatory guidance, expert connections, and policy dialogue — not any specific food science or alternative protein research activity.</t>
  </si>
  <si>
    <t xml:space="preserve">Leveraging Scaffolding-, Emulsion-, and Extrusion Technologies to Enable the Production of Healthy and Sustainable Composite Meat Alternatives</t>
  </si>
  <si>
    <t xml:space="preserve">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</si>
  <si>
    <t xml:space="preserve">Texturization methods</t>
  </si>
  <si>
    <t xml:space="preserve">Scaffolding, End product formulation, Texturization methods</t>
  </si>
  <si>
    <t xml:space="preserve">The grant funds research on plant-based scaffolds integrated with animal cells (Scaffolding), emulsion and extrusion technologies to improve tenderness and juiciness of plant-based and hybrid meat alternatives (Texturization methods), and the formulation of composite/hybrid meat alternative products using Swedish ingredients (End product formulation).</t>
  </si>
  <si>
    <t xml:space="preserve">n_true</t>
  </si>
  <si>
    <t xml:space="preserve">tp</t>
  </si>
  <si>
    <t xml:space="preserve">fp</t>
  </si>
  <si>
    <t xml:space="preserve">fn</t>
  </si>
  <si>
    <t xml:space="preserve">recall</t>
  </si>
  <si>
    <t xml:space="preserve">precision</t>
  </si>
  <si>
    <t xml:space="preserve">83%</t>
  </si>
  <si>
    <t xml:space="preserve">38%</t>
  </si>
  <si>
    <t xml:space="preserve">Cell culture media</t>
  </si>
  <si>
    <t xml:space="preserve">100%</t>
  </si>
  <si>
    <t xml:space="preserve">33%</t>
  </si>
  <si>
    <t xml:space="preserve">0%</t>
  </si>
  <si>
    <t xml:space="preserve">47%</t>
  </si>
  <si>
    <t xml:space="preserve">50%</t>
  </si>
  <si>
    <t xml:space="preserve">9%</t>
  </si>
  <si>
    <t xml:space="preserve">43%</t>
  </si>
  <si>
    <t xml:space="preserve">25%</t>
  </si>
  <si>
    <t xml:space="preserve">80%</t>
  </si>
  <si>
    <t xml:space="preserve">67%</t>
  </si>
  <si>
    <t xml:space="preserve">57%</t>
  </si>
  <si>
    <t xml:space="preserve">8%</t>
  </si>
  <si>
    <t xml:space="preserve">10%</t>
  </si>
  <si>
    <t xml:space="preserve">Scaffolding</t>
  </si>
  <si>
    <t xml:space="preserve">-</t>
  </si>
  <si>
    <t xml:space="preserve">29%</t>
  </si>
  <si>
    <t xml:space="preserve">metric</t>
  </si>
  <si>
    <t xml:space="preserve">value</t>
  </si>
  <si>
    <t xml:space="preserve">n</t>
  </si>
  <si>
    <t xml:space="preserve">exact_match_accuracy</t>
  </si>
  <si>
    <t xml:space="preserve">28%</t>
  </si>
  <si>
    <t xml:space="preserve">mean_row_precision</t>
  </si>
  <si>
    <t xml:space="preserve">41%</t>
  </si>
  <si>
    <t xml:space="preserve">mean_row_recall</t>
  </si>
  <si>
    <t xml:space="preserve">61%</t>
  </si>
  <si>
    <t xml:space="preserve">mean_row_jaccard</t>
  </si>
  <si>
    <t xml:space="preserve">other_clash_rate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</si>
</sst>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BBE33D"/>
      </patternFill>
    </fill>
    <fill>
      <patternFill patternType="solid">
        <fgColor rgb="FFBBE33D"/>
        <bgColor rgb="FF81D41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38" colorId="64" zoomScale="100" zoomScaleNormal="100" zoomScalePageLayoutView="100" workbookViewId="0">
      <selection pane="topLeft" activeCell="N40" activeCellId="0" sqref="N40"/>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86.8" hidden="false" customHeight="false" outlineLevel="0" collapsed="false">
      <c r="A2" s="0" t="n">
        <v>0</v>
      </c>
      <c r="B2" s="0" t="s">
        <v>12</v>
      </c>
      <c r="C2" s="1" t="s">
        <v>13</v>
      </c>
      <c r="D2" s="0" t="s">
        <v>14</v>
      </c>
      <c r="E2" s="0" t="s">
        <v>15</v>
      </c>
      <c r="F2" s="0" t="s">
        <v>15</v>
      </c>
      <c r="G2" s="2" t="b">
        <f aca="false">FALSE()</f>
        <v>0</v>
      </c>
      <c r="H2" s="0" t="s">
        <v>16</v>
      </c>
      <c r="I2" s="3" t="b">
        <f aca="false">FALSE()</f>
        <v>0</v>
      </c>
      <c r="J2" s="0" t="n">
        <v>0</v>
      </c>
      <c r="K2" s="0" t="n">
        <v>0</v>
      </c>
      <c r="L2" s="0" t="n">
        <v>0</v>
      </c>
    </row>
    <row r="3" customFormat="false" ht="15" hidden="false" customHeight="false" outlineLevel="0" collapsed="false">
      <c r="A3" s="0" t="n">
        <v>1</v>
      </c>
      <c r="B3" s="0" t="s">
        <v>17</v>
      </c>
      <c r="C3" s="0" t="s">
        <v>18</v>
      </c>
      <c r="D3" s="0" t="s">
        <v>19</v>
      </c>
      <c r="E3" s="0" t="s">
        <v>20</v>
      </c>
      <c r="F3" s="0" t="s">
        <v>20</v>
      </c>
      <c r="G3" s="2" t="b">
        <f aca="false">FALSE()</f>
        <v>0</v>
      </c>
      <c r="H3" s="0" t="s">
        <v>21</v>
      </c>
      <c r="I3" s="3" t="b">
        <f aca="false">FALSE()</f>
        <v>0</v>
      </c>
      <c r="J3" s="0" t="n">
        <v>0</v>
      </c>
      <c r="K3" s="0" t="n">
        <v>0</v>
      </c>
      <c r="L3" s="0" t="n">
        <v>0</v>
      </c>
    </row>
    <row r="4" customFormat="false" ht="23.3" hidden="false" customHeight="false" outlineLevel="0" collapsed="false">
      <c r="A4" s="0" t="n">
        <v>2</v>
      </c>
      <c r="B4" s="1" t="s">
        <v>22</v>
      </c>
      <c r="C4" s="0" t="s">
        <v>23</v>
      </c>
      <c r="D4" s="0" t="s">
        <v>24</v>
      </c>
      <c r="E4" s="0" t="s">
        <v>24</v>
      </c>
      <c r="F4" s="0" t="s">
        <v>24</v>
      </c>
      <c r="G4" s="2" t="b">
        <f aca="false">FALSE()</f>
        <v>0</v>
      </c>
      <c r="H4" s="0" t="s">
        <v>25</v>
      </c>
      <c r="I4" s="2" t="b">
        <f aca="false">TRUE()</f>
        <v>1</v>
      </c>
      <c r="J4" s="0" t="n">
        <v>1</v>
      </c>
      <c r="K4" s="0" t="n">
        <v>1</v>
      </c>
      <c r="L4" s="0" t="n">
        <v>1</v>
      </c>
    </row>
    <row r="5" customFormat="false" ht="15" hidden="false" customHeight="false" outlineLevel="0" collapsed="false">
      <c r="A5" s="0" t="n">
        <v>3</v>
      </c>
      <c r="B5" s="0" t="s">
        <v>26</v>
      </c>
      <c r="C5" s="0" t="s">
        <v>27</v>
      </c>
      <c r="D5" s="0" t="s">
        <v>28</v>
      </c>
      <c r="E5" s="0" t="s">
        <v>29</v>
      </c>
      <c r="F5" s="0" t="s">
        <v>29</v>
      </c>
      <c r="G5" s="2" t="b">
        <f aca="false">FALSE()</f>
        <v>0</v>
      </c>
      <c r="H5" s="0" t="s">
        <v>30</v>
      </c>
      <c r="I5" s="3" t="b">
        <f aca="false">FALSE()</f>
        <v>0</v>
      </c>
      <c r="J5" s="0" t="n">
        <v>0.142857142857143</v>
      </c>
      <c r="K5" s="0" t="n">
        <v>1</v>
      </c>
      <c r="L5" s="0" t="n">
        <v>0.142857142857143</v>
      </c>
    </row>
    <row r="6" customFormat="false" ht="15" hidden="false" customHeight="false" outlineLevel="0" collapsed="false">
      <c r="A6" s="0" t="n">
        <v>4</v>
      </c>
      <c r="B6" s="0" t="s">
        <v>31</v>
      </c>
      <c r="C6" s="0" t="s">
        <v>32</v>
      </c>
      <c r="D6" s="0" t="s">
        <v>33</v>
      </c>
      <c r="E6" s="0" t="s">
        <v>34</v>
      </c>
      <c r="F6" s="0" t="s">
        <v>33</v>
      </c>
      <c r="G6" s="2" t="b">
        <f aca="false">TRUE()</f>
        <v>1</v>
      </c>
      <c r="H6" s="0" t="s">
        <v>35</v>
      </c>
      <c r="I6" s="2" t="b">
        <f aca="false">TRUE()</f>
        <v>1</v>
      </c>
      <c r="J6" s="0" t="n">
        <v>1</v>
      </c>
      <c r="K6" s="0" t="n">
        <v>1</v>
      </c>
      <c r="L6" s="0" t="n">
        <v>1</v>
      </c>
    </row>
    <row r="7" customFormat="false" ht="154.1" hidden="false" customHeight="false" outlineLevel="0" collapsed="false">
      <c r="A7" s="0" t="n">
        <v>5</v>
      </c>
      <c r="B7" s="0" t="s">
        <v>36</v>
      </c>
      <c r="C7" s="1" t="s">
        <v>37</v>
      </c>
      <c r="D7" s="0" t="s">
        <v>33</v>
      </c>
      <c r="E7" s="0" t="s">
        <v>34</v>
      </c>
      <c r="F7" s="0" t="s">
        <v>33</v>
      </c>
      <c r="G7" s="2" t="b">
        <f aca="false">TRUE()</f>
        <v>1</v>
      </c>
      <c r="H7" s="0" t="s">
        <v>38</v>
      </c>
      <c r="I7" s="2" t="b">
        <f aca="false">TRUE()</f>
        <v>1</v>
      </c>
      <c r="J7" s="0" t="n">
        <v>1</v>
      </c>
      <c r="K7" s="0" t="n">
        <v>1</v>
      </c>
      <c r="L7" s="0" t="n">
        <v>1</v>
      </c>
    </row>
    <row r="8" customFormat="false" ht="15" hidden="false" customHeight="false" outlineLevel="0" collapsed="false">
      <c r="A8" s="0" t="n">
        <v>6</v>
      </c>
      <c r="B8" s="0" t="s">
        <v>39</v>
      </c>
      <c r="C8" s="0" t="s">
        <v>40</v>
      </c>
      <c r="D8" s="0" t="s">
        <v>41</v>
      </c>
      <c r="E8" s="0" t="s">
        <v>34</v>
      </c>
      <c r="F8" s="0" t="s">
        <v>33</v>
      </c>
      <c r="G8" s="2" t="b">
        <f aca="false">TRUE()</f>
        <v>1</v>
      </c>
      <c r="H8" s="0" t="s">
        <v>42</v>
      </c>
      <c r="I8" s="3" t="b">
        <f aca="false">FALSE()</f>
        <v>0</v>
      </c>
      <c r="J8" s="0" t="n">
        <v>0</v>
      </c>
      <c r="K8" s="0" t="n">
        <v>0</v>
      </c>
      <c r="L8" s="0" t="n">
        <v>0</v>
      </c>
    </row>
    <row r="9" customFormat="false" ht="23.3" hidden="false" customHeight="false" outlineLevel="0" collapsed="false">
      <c r="A9" s="0" t="n">
        <v>7</v>
      </c>
      <c r="B9" s="1" t="s">
        <v>43</v>
      </c>
      <c r="C9" s="0" t="s">
        <v>44</v>
      </c>
      <c r="D9" s="0" t="s">
        <v>45</v>
      </c>
      <c r="E9" s="0" t="s">
        <v>46</v>
      </c>
      <c r="F9" s="0" t="s">
        <v>46</v>
      </c>
      <c r="G9" s="2" t="b">
        <f aca="false">FALSE()</f>
        <v>0</v>
      </c>
      <c r="H9" s="0" t="s">
        <v>47</v>
      </c>
      <c r="I9" s="3" t="b">
        <f aca="false">FALSE()</f>
        <v>0</v>
      </c>
      <c r="J9" s="0" t="n">
        <v>0</v>
      </c>
      <c r="K9" s="0" t="n">
        <v>0</v>
      </c>
      <c r="L9" s="0" t="n">
        <v>0</v>
      </c>
    </row>
    <row r="10" customFormat="false" ht="15" hidden="false" customHeight="false" outlineLevel="0" collapsed="false">
      <c r="A10" s="0" t="n">
        <v>8</v>
      </c>
      <c r="B10" s="0" t="s">
        <v>48</v>
      </c>
      <c r="C10" s="0" t="s">
        <v>49</v>
      </c>
      <c r="D10" s="0" t="s">
        <v>19</v>
      </c>
      <c r="E10" s="0" t="s">
        <v>20</v>
      </c>
      <c r="F10" s="0" t="s">
        <v>20</v>
      </c>
      <c r="G10" s="2" t="b">
        <f aca="false">FALSE()</f>
        <v>0</v>
      </c>
      <c r="H10" s="0" t="s">
        <v>50</v>
      </c>
      <c r="I10" s="3" t="b">
        <f aca="false">FALSE()</f>
        <v>0</v>
      </c>
      <c r="J10" s="0" t="n">
        <v>0</v>
      </c>
      <c r="K10" s="0" t="n">
        <v>0</v>
      </c>
      <c r="L10" s="0" t="n">
        <v>0</v>
      </c>
    </row>
    <row r="11" customFormat="false" ht="15" hidden="false" customHeight="false" outlineLevel="0" collapsed="false">
      <c r="A11" s="0" t="n">
        <v>9</v>
      </c>
      <c r="B11" s="0" t="s">
        <v>31</v>
      </c>
      <c r="C11" s="0" t="s">
        <v>51</v>
      </c>
      <c r="D11" s="0" t="s">
        <v>33</v>
      </c>
      <c r="E11" s="0" t="s">
        <v>34</v>
      </c>
      <c r="F11" s="0" t="s">
        <v>33</v>
      </c>
      <c r="G11" s="2" t="b">
        <f aca="false">TRUE()</f>
        <v>1</v>
      </c>
      <c r="H11" s="0" t="s">
        <v>52</v>
      </c>
      <c r="I11" s="2" t="b">
        <f aca="false">TRUE()</f>
        <v>1</v>
      </c>
      <c r="J11" s="0" t="n">
        <v>1</v>
      </c>
      <c r="K11" s="0" t="n">
        <v>1</v>
      </c>
      <c r="L11" s="0" t="n">
        <v>1</v>
      </c>
    </row>
    <row r="12" customFormat="false" ht="99.6" hidden="false" customHeight="false" outlineLevel="0" collapsed="false">
      <c r="A12" s="0" t="n">
        <v>10</v>
      </c>
      <c r="B12" s="1" t="s">
        <v>53</v>
      </c>
      <c r="C12" s="1" t="s">
        <v>54</v>
      </c>
      <c r="D12" s="0" t="s">
        <v>55</v>
      </c>
      <c r="E12" s="0" t="s">
        <v>56</v>
      </c>
      <c r="F12" s="0" t="s">
        <v>56</v>
      </c>
      <c r="G12" s="2" t="b">
        <f aca="false">FALSE()</f>
        <v>0</v>
      </c>
      <c r="H12" s="0" t="s">
        <v>57</v>
      </c>
      <c r="I12" s="3" t="b">
        <f aca="false">FALSE()</f>
        <v>0</v>
      </c>
      <c r="J12" s="0" t="n">
        <v>0.5</v>
      </c>
      <c r="K12" s="0" t="n">
        <v>1</v>
      </c>
      <c r="L12" s="0" t="n">
        <v>0.5</v>
      </c>
    </row>
    <row r="13" customFormat="false" ht="132.3" hidden="false" customHeight="false" outlineLevel="0" collapsed="false">
      <c r="A13" s="0" t="n">
        <v>11</v>
      </c>
      <c r="B13" s="0" t="s">
        <v>58</v>
      </c>
      <c r="C13" s="1" t="s">
        <v>59</v>
      </c>
      <c r="D13" s="0" t="s">
        <v>60</v>
      </c>
      <c r="E13" s="0" t="s">
        <v>61</v>
      </c>
      <c r="F13" s="0" t="s">
        <v>62</v>
      </c>
      <c r="G13" s="2" t="b">
        <f aca="false">TRUE()</f>
        <v>1</v>
      </c>
      <c r="H13" s="0" t="s">
        <v>63</v>
      </c>
      <c r="I13" s="3" t="b">
        <f aca="false">FALSE()</f>
        <v>0</v>
      </c>
      <c r="J13" s="0" t="n">
        <v>0.25</v>
      </c>
      <c r="K13" s="0" t="n">
        <v>1</v>
      </c>
      <c r="L13" s="0" t="n">
        <v>0.25</v>
      </c>
    </row>
    <row r="14" customFormat="false" ht="15" hidden="false" customHeight="false" outlineLevel="0" collapsed="false">
      <c r="A14" s="0" t="n">
        <v>12</v>
      </c>
      <c r="B14" s="0" t="s">
        <v>64</v>
      </c>
      <c r="C14" s="0" t="s">
        <v>65</v>
      </c>
      <c r="D14" s="0" t="s">
        <v>24</v>
      </c>
      <c r="E14" s="0" t="s">
        <v>20</v>
      </c>
      <c r="F14" s="0" t="s">
        <v>20</v>
      </c>
      <c r="G14" s="2" t="b">
        <f aca="false">FALSE()</f>
        <v>0</v>
      </c>
      <c r="H14" s="0" t="s">
        <v>66</v>
      </c>
      <c r="I14" s="3" t="b">
        <f aca="false">FALSE()</f>
        <v>0</v>
      </c>
      <c r="J14" s="0" t="n">
        <v>0</v>
      </c>
      <c r="K14" s="0" t="n">
        <v>0</v>
      </c>
      <c r="L14" s="0" t="n">
        <v>0</v>
      </c>
    </row>
    <row r="15" customFormat="false" ht="23.3" hidden="false" customHeight="false" outlineLevel="0" collapsed="false">
      <c r="A15" s="0" t="n">
        <v>13</v>
      </c>
      <c r="B15" s="1" t="s">
        <v>67</v>
      </c>
      <c r="C15" s="1" t="s">
        <v>68</v>
      </c>
      <c r="D15" s="0" t="s">
        <v>69</v>
      </c>
      <c r="E15" s="0" t="s">
        <v>70</v>
      </c>
      <c r="F15" s="0" t="s">
        <v>70</v>
      </c>
      <c r="G15" s="2" t="b">
        <f aca="false">FALSE()</f>
        <v>0</v>
      </c>
      <c r="H15" s="0" t="s">
        <v>71</v>
      </c>
      <c r="I15" s="4" t="b">
        <f aca="false">FALSE()</f>
        <v>0</v>
      </c>
      <c r="J15" s="0" t="n">
        <v>0</v>
      </c>
      <c r="K15" s="0" t="n">
        <v>0</v>
      </c>
      <c r="L15" s="0" t="n">
        <v>0</v>
      </c>
      <c r="N15" s="0" t="s">
        <v>72</v>
      </c>
    </row>
    <row r="16" customFormat="false" ht="274.4" hidden="false" customHeight="false" outlineLevel="0" collapsed="false">
      <c r="A16" s="0" t="n">
        <v>14</v>
      </c>
      <c r="B16" s="0" t="s">
        <v>73</v>
      </c>
      <c r="C16" s="1" t="s">
        <v>74</v>
      </c>
      <c r="D16" s="0" t="s">
        <v>55</v>
      </c>
      <c r="E16" s="0" t="s">
        <v>45</v>
      </c>
      <c r="F16" s="0" t="s">
        <v>45</v>
      </c>
      <c r="G16" s="2" t="b">
        <f aca="false">FALSE()</f>
        <v>0</v>
      </c>
      <c r="H16" s="0" t="s">
        <v>75</v>
      </c>
      <c r="I16" s="3" t="b">
        <f aca="false">FALSE()</f>
        <v>0</v>
      </c>
      <c r="J16" s="0" t="n">
        <v>0</v>
      </c>
      <c r="K16" s="0" t="n">
        <v>0</v>
      </c>
      <c r="L16" s="0" t="n">
        <v>0</v>
      </c>
    </row>
    <row r="17" customFormat="false" ht="99.6" hidden="false" customHeight="false" outlineLevel="0" collapsed="false">
      <c r="A17" s="0" t="n">
        <v>15</v>
      </c>
      <c r="B17" s="0" t="s">
        <v>76</v>
      </c>
      <c r="C17" s="1" t="s">
        <v>77</v>
      </c>
      <c r="D17" s="0" t="s">
        <v>78</v>
      </c>
      <c r="E17" s="0" t="s">
        <v>20</v>
      </c>
      <c r="F17" s="0" t="s">
        <v>20</v>
      </c>
      <c r="G17" s="2" t="b">
        <f aca="false">FALSE()</f>
        <v>0</v>
      </c>
      <c r="H17" s="0" t="s">
        <v>79</v>
      </c>
      <c r="I17" s="3" t="b">
        <f aca="false">FALSE()</f>
        <v>0</v>
      </c>
      <c r="J17" s="0" t="n">
        <v>0</v>
      </c>
      <c r="K17" s="0" t="n">
        <v>0</v>
      </c>
      <c r="L17" s="0" t="n">
        <v>0</v>
      </c>
    </row>
    <row r="18" customFormat="false" ht="56" hidden="false" customHeight="false" outlineLevel="0" collapsed="false">
      <c r="A18" s="0" t="n">
        <v>16</v>
      </c>
      <c r="B18" s="0" t="s">
        <v>80</v>
      </c>
      <c r="C18" s="1" t="s">
        <v>81</v>
      </c>
      <c r="D18" s="0" t="s">
        <v>33</v>
      </c>
      <c r="E18" s="0" t="s">
        <v>34</v>
      </c>
      <c r="F18" s="0" t="s">
        <v>33</v>
      </c>
      <c r="G18" s="2" t="b">
        <f aca="false">TRUE()</f>
        <v>1</v>
      </c>
      <c r="H18" s="0" t="s">
        <v>82</v>
      </c>
      <c r="I18" s="2" t="b">
        <f aca="false">TRUE()</f>
        <v>1</v>
      </c>
      <c r="J18" s="0" t="n">
        <v>1</v>
      </c>
      <c r="K18" s="0" t="n">
        <v>1</v>
      </c>
      <c r="L18" s="0" t="n">
        <v>1</v>
      </c>
    </row>
    <row r="19" customFormat="false" ht="34.2" hidden="false" customHeight="false" outlineLevel="0" collapsed="false">
      <c r="A19" s="0" t="n">
        <v>17</v>
      </c>
      <c r="B19" s="0" t="s">
        <v>83</v>
      </c>
      <c r="C19" s="1" t="s">
        <v>84</v>
      </c>
      <c r="D19" s="0" t="s">
        <v>33</v>
      </c>
      <c r="E19" s="0" t="s">
        <v>33</v>
      </c>
      <c r="F19" s="0" t="s">
        <v>33</v>
      </c>
      <c r="G19" s="2" t="b">
        <f aca="false">FALSE()</f>
        <v>0</v>
      </c>
      <c r="H19" s="0" t="s">
        <v>85</v>
      </c>
      <c r="I19" s="2" t="b">
        <f aca="false">TRUE()</f>
        <v>1</v>
      </c>
      <c r="J19" s="0" t="n">
        <v>1</v>
      </c>
      <c r="K19" s="0" t="n">
        <v>1</v>
      </c>
      <c r="L19" s="0" t="n">
        <v>1</v>
      </c>
    </row>
    <row r="20" customFormat="false" ht="143.2" hidden="false" customHeight="false" outlineLevel="0" collapsed="false">
      <c r="A20" s="0" t="n">
        <v>18</v>
      </c>
      <c r="B20" s="0" t="s">
        <v>86</v>
      </c>
      <c r="C20" s="1" t="s">
        <v>87</v>
      </c>
      <c r="D20" s="0" t="s">
        <v>20</v>
      </c>
      <c r="E20" s="0" t="s">
        <v>20</v>
      </c>
      <c r="F20" s="0" t="s">
        <v>20</v>
      </c>
      <c r="G20" s="2" t="b">
        <f aca="false">FALSE()</f>
        <v>0</v>
      </c>
      <c r="H20" s="0" t="s">
        <v>88</v>
      </c>
      <c r="I20" s="2" t="b">
        <f aca="false">TRUE()</f>
        <v>1</v>
      </c>
      <c r="J20" s="0" t="n">
        <v>1</v>
      </c>
      <c r="K20" s="0" t="n">
        <v>1</v>
      </c>
      <c r="L20" s="0" t="n">
        <v>1</v>
      </c>
    </row>
    <row r="21" customFormat="false" ht="15" hidden="false" customHeight="false" outlineLevel="0" collapsed="false">
      <c r="A21" s="0" t="n">
        <v>19</v>
      </c>
      <c r="B21" s="0" t="s">
        <v>89</v>
      </c>
      <c r="C21" s="0" t="s">
        <v>90</v>
      </c>
      <c r="D21" s="0" t="s">
        <v>19</v>
      </c>
      <c r="E21" s="0" t="s">
        <v>60</v>
      </c>
      <c r="F21" s="0" t="s">
        <v>60</v>
      </c>
      <c r="G21" s="2" t="b">
        <f aca="false">FALSE()</f>
        <v>0</v>
      </c>
      <c r="H21" s="0" t="s">
        <v>91</v>
      </c>
      <c r="I21" s="3" t="b">
        <f aca="false">FALSE()</f>
        <v>0</v>
      </c>
      <c r="J21" s="0" t="n">
        <v>0</v>
      </c>
      <c r="K21" s="0" t="n">
        <v>0</v>
      </c>
      <c r="L21" s="0" t="n">
        <v>0</v>
      </c>
    </row>
    <row r="22" customFormat="false" ht="459.75" hidden="false" customHeight="false" outlineLevel="0" collapsed="false">
      <c r="A22" s="0" t="n">
        <v>20</v>
      </c>
      <c r="B22" s="1" t="s">
        <v>92</v>
      </c>
      <c r="C22" s="1" t="s">
        <v>93</v>
      </c>
      <c r="D22" s="0" t="s">
        <v>19</v>
      </c>
      <c r="E22" s="0" t="s">
        <v>94</v>
      </c>
      <c r="F22" s="0" t="s">
        <v>94</v>
      </c>
      <c r="G22" s="2" t="b">
        <f aca="false">FALSE()</f>
        <v>0</v>
      </c>
      <c r="H22" s="0" t="s">
        <v>95</v>
      </c>
      <c r="I22" s="3" t="b">
        <f aca="false">FALSE()</f>
        <v>0</v>
      </c>
      <c r="J22" s="0" t="n">
        <v>0.5</v>
      </c>
      <c r="K22" s="0" t="n">
        <v>1</v>
      </c>
      <c r="L22" s="0" t="n">
        <v>0.5</v>
      </c>
    </row>
    <row r="23" customFormat="false" ht="88.7" hidden="false" customHeight="false" outlineLevel="0" collapsed="false">
      <c r="A23" s="0" t="n">
        <v>21</v>
      </c>
      <c r="B23" s="0" t="s">
        <v>96</v>
      </c>
      <c r="C23" s="1" t="s">
        <v>97</v>
      </c>
      <c r="D23" s="0" t="s">
        <v>14</v>
      </c>
      <c r="E23" s="0" t="s">
        <v>20</v>
      </c>
      <c r="F23" s="0" t="s">
        <v>20</v>
      </c>
      <c r="G23" s="2" t="b">
        <f aca="false">FALSE()</f>
        <v>0</v>
      </c>
      <c r="H23" s="0" t="s">
        <v>98</v>
      </c>
      <c r="I23" s="3" t="b">
        <f aca="false">FALSE()</f>
        <v>0</v>
      </c>
      <c r="J23" s="0" t="n">
        <v>0</v>
      </c>
      <c r="K23" s="0" t="n">
        <v>0</v>
      </c>
      <c r="L23" s="0" t="n">
        <v>0</v>
      </c>
    </row>
    <row r="24" customFormat="false" ht="15" hidden="false" customHeight="false" outlineLevel="0" collapsed="false">
      <c r="A24" s="0" t="n">
        <v>22</v>
      </c>
      <c r="B24" s="0" t="s">
        <v>99</v>
      </c>
      <c r="C24" s="0" t="s">
        <v>100</v>
      </c>
      <c r="D24" s="0" t="s">
        <v>101</v>
      </c>
      <c r="E24" s="0" t="s">
        <v>56</v>
      </c>
      <c r="F24" s="0" t="s">
        <v>56</v>
      </c>
      <c r="G24" s="2" t="b">
        <f aca="false">FALSE()</f>
        <v>0</v>
      </c>
      <c r="H24" s="0" t="s">
        <v>102</v>
      </c>
      <c r="I24" s="3" t="b">
        <f aca="false">FALSE()</f>
        <v>0</v>
      </c>
      <c r="J24" s="0" t="n">
        <v>0.5</v>
      </c>
      <c r="K24" s="0" t="n">
        <v>0.5</v>
      </c>
      <c r="L24" s="0" t="n">
        <v>0.333333333333333</v>
      </c>
    </row>
    <row r="25" customFormat="false" ht="77.8" hidden="false" customHeight="false" outlineLevel="0" collapsed="false">
      <c r="A25" s="0" t="n">
        <v>23</v>
      </c>
      <c r="B25" s="0" t="s">
        <v>103</v>
      </c>
      <c r="C25" s="1" t="s">
        <v>104</v>
      </c>
      <c r="D25" s="0" t="s">
        <v>105</v>
      </c>
      <c r="E25" s="0" t="s">
        <v>106</v>
      </c>
      <c r="F25" s="0" t="s">
        <v>106</v>
      </c>
      <c r="G25" s="2" t="b">
        <f aca="false">FALSE()</f>
        <v>0</v>
      </c>
      <c r="H25" s="0" t="s">
        <v>107</v>
      </c>
      <c r="I25" s="3" t="b">
        <f aca="false">FALSE()</f>
        <v>0</v>
      </c>
      <c r="J25" s="0" t="n">
        <v>0.5</v>
      </c>
      <c r="K25" s="0" t="n">
        <v>1</v>
      </c>
      <c r="L25" s="0" t="n">
        <v>0.5</v>
      </c>
    </row>
    <row r="26" customFormat="false" ht="77.8" hidden="false" customHeight="false" outlineLevel="0" collapsed="false">
      <c r="A26" s="0" t="n">
        <v>24</v>
      </c>
      <c r="B26" s="0" t="s">
        <v>108</v>
      </c>
      <c r="C26" s="1" t="s">
        <v>109</v>
      </c>
      <c r="D26" s="0" t="s">
        <v>60</v>
      </c>
      <c r="E26" s="0" t="s">
        <v>110</v>
      </c>
      <c r="F26" s="0" t="s">
        <v>60</v>
      </c>
      <c r="G26" s="2" t="b">
        <f aca="false">TRUE()</f>
        <v>1</v>
      </c>
      <c r="H26" s="0" t="s">
        <v>111</v>
      </c>
      <c r="I26" s="2" t="b">
        <f aca="false">TRUE()</f>
        <v>1</v>
      </c>
      <c r="J26" s="0" t="n">
        <v>1</v>
      </c>
      <c r="K26" s="0" t="n">
        <v>1</v>
      </c>
      <c r="L26" s="0" t="n">
        <v>1</v>
      </c>
    </row>
    <row r="27" customFormat="false" ht="110.5" hidden="false" customHeight="false" outlineLevel="0" collapsed="false">
      <c r="A27" s="0" t="n">
        <v>25</v>
      </c>
      <c r="B27" s="0" t="s">
        <v>112</v>
      </c>
      <c r="C27" s="1" t="s">
        <v>113</v>
      </c>
      <c r="D27" s="0" t="s">
        <v>24</v>
      </c>
      <c r="E27" s="0" t="s">
        <v>114</v>
      </c>
      <c r="F27" s="0" t="s">
        <v>114</v>
      </c>
      <c r="G27" s="2" t="b">
        <f aca="false">FALSE()</f>
        <v>0</v>
      </c>
      <c r="H27" s="0" t="s">
        <v>115</v>
      </c>
      <c r="I27" s="3" t="b">
        <f aca="false">FALSE()</f>
        <v>0</v>
      </c>
      <c r="J27" s="0" t="n">
        <v>0.5</v>
      </c>
      <c r="K27" s="0" t="n">
        <v>1</v>
      </c>
      <c r="L27" s="0" t="n">
        <v>0.5</v>
      </c>
    </row>
    <row r="28" customFormat="false" ht="121.4" hidden="false" customHeight="false" outlineLevel="0" collapsed="false">
      <c r="A28" s="0" t="n">
        <v>26</v>
      </c>
      <c r="B28" s="0" t="s">
        <v>116</v>
      </c>
      <c r="C28" s="1" t="s">
        <v>117</v>
      </c>
      <c r="D28" s="0" t="s">
        <v>60</v>
      </c>
      <c r="E28" s="0" t="s">
        <v>60</v>
      </c>
      <c r="F28" s="0" t="s">
        <v>60</v>
      </c>
      <c r="G28" s="2" t="b">
        <f aca="false">FALSE()</f>
        <v>0</v>
      </c>
      <c r="H28" s="0" t="s">
        <v>118</v>
      </c>
      <c r="I28" s="2" t="b">
        <f aca="false">TRUE()</f>
        <v>1</v>
      </c>
      <c r="J28" s="0" t="n">
        <v>1</v>
      </c>
      <c r="K28" s="0" t="n">
        <v>1</v>
      </c>
      <c r="L28" s="0" t="n">
        <v>1</v>
      </c>
    </row>
    <row r="29" customFormat="false" ht="15" hidden="false" customHeight="false" outlineLevel="0" collapsed="false">
      <c r="A29" s="0" t="n">
        <v>27</v>
      </c>
      <c r="B29" s="0" t="s">
        <v>119</v>
      </c>
      <c r="C29" s="0" t="s">
        <v>120</v>
      </c>
      <c r="D29" s="0" t="s">
        <v>78</v>
      </c>
      <c r="E29" s="0" t="s">
        <v>20</v>
      </c>
      <c r="F29" s="0" t="s">
        <v>20</v>
      </c>
      <c r="G29" s="2" t="b">
        <f aca="false">FALSE()</f>
        <v>0</v>
      </c>
      <c r="H29" s="0" t="s">
        <v>121</v>
      </c>
      <c r="I29" s="3" t="b">
        <f aca="false">FALSE()</f>
        <v>0</v>
      </c>
      <c r="J29" s="0" t="n">
        <v>0</v>
      </c>
      <c r="K29" s="0" t="n">
        <v>0</v>
      </c>
      <c r="L29" s="0" t="n">
        <v>0</v>
      </c>
    </row>
    <row r="30" customFormat="false" ht="23.3" hidden="false" customHeight="false" outlineLevel="0" collapsed="false">
      <c r="A30" s="0" t="n">
        <v>28</v>
      </c>
      <c r="B30" s="0" t="s">
        <v>122</v>
      </c>
      <c r="C30" s="1" t="s">
        <v>123</v>
      </c>
      <c r="D30" s="0" t="s">
        <v>19</v>
      </c>
      <c r="E30" s="0" t="s">
        <v>124</v>
      </c>
      <c r="F30" s="0" t="s">
        <v>125</v>
      </c>
      <c r="G30" s="2" t="b">
        <f aca="false">TRUE()</f>
        <v>1</v>
      </c>
      <c r="H30" s="0" t="s">
        <v>126</v>
      </c>
      <c r="I30" s="3" t="b">
        <f aca="false">FALSE()</f>
        <v>0</v>
      </c>
      <c r="J30" s="0" t="n">
        <v>0.333333333333333</v>
      </c>
      <c r="K30" s="0" t="n">
        <v>1</v>
      </c>
      <c r="L30" s="0" t="n">
        <v>0.333333333333333</v>
      </c>
    </row>
    <row r="31" customFormat="false" ht="15" hidden="false" customHeight="false" outlineLevel="0" collapsed="false">
      <c r="A31" s="0" t="n">
        <v>29</v>
      </c>
      <c r="B31" s="0" t="s">
        <v>127</v>
      </c>
      <c r="C31" s="0" t="s">
        <v>128</v>
      </c>
      <c r="D31" s="0" t="s">
        <v>55</v>
      </c>
      <c r="E31" s="0" t="s">
        <v>20</v>
      </c>
      <c r="F31" s="0" t="s">
        <v>20</v>
      </c>
      <c r="G31" s="2" t="b">
        <f aca="false">FALSE()</f>
        <v>0</v>
      </c>
      <c r="H31" s="0" t="s">
        <v>129</v>
      </c>
      <c r="I31" s="4" t="b">
        <f aca="false">FALSE()</f>
        <v>0</v>
      </c>
      <c r="J31" s="0" t="n">
        <v>0</v>
      </c>
      <c r="K31" s="0" t="n">
        <v>0</v>
      </c>
      <c r="L31" s="0" t="n">
        <v>0</v>
      </c>
      <c r="N31" s="0" t="s">
        <v>130</v>
      </c>
    </row>
    <row r="32" customFormat="false" ht="15" hidden="false" customHeight="false" outlineLevel="0" collapsed="false">
      <c r="A32" s="0" t="n">
        <v>30</v>
      </c>
      <c r="B32" s="0" t="s">
        <v>131</v>
      </c>
      <c r="C32" s="0" t="s">
        <v>132</v>
      </c>
      <c r="D32" s="0" t="s">
        <v>24</v>
      </c>
      <c r="E32" s="0" t="s">
        <v>133</v>
      </c>
      <c r="F32" s="0" t="s">
        <v>133</v>
      </c>
      <c r="G32" s="2" t="b">
        <f aca="false">FALSE()</f>
        <v>0</v>
      </c>
      <c r="H32" s="0" t="s">
        <v>134</v>
      </c>
      <c r="I32" s="3" t="b">
        <f aca="false">FALSE()</f>
        <v>0</v>
      </c>
      <c r="J32" s="0" t="n">
        <v>0.5</v>
      </c>
      <c r="K32" s="0" t="n">
        <v>1</v>
      </c>
      <c r="L32" s="0" t="n">
        <v>0.5</v>
      </c>
    </row>
    <row r="33" customFormat="false" ht="56" hidden="false" customHeight="false" outlineLevel="0" collapsed="false">
      <c r="A33" s="0" t="n">
        <v>31</v>
      </c>
      <c r="B33" s="0" t="s">
        <v>135</v>
      </c>
      <c r="C33" s="1" t="s">
        <v>136</v>
      </c>
      <c r="D33" s="0" t="s">
        <v>14</v>
      </c>
      <c r="E33" s="0" t="s">
        <v>137</v>
      </c>
      <c r="F33" s="0" t="s">
        <v>138</v>
      </c>
      <c r="G33" s="2" t="b">
        <f aca="false">TRUE()</f>
        <v>1</v>
      </c>
      <c r="H33" s="0" t="s">
        <v>139</v>
      </c>
      <c r="I33" s="3" t="b">
        <f aca="false">FALSE()</f>
        <v>0</v>
      </c>
      <c r="J33" s="0" t="n">
        <v>0</v>
      </c>
      <c r="K33" s="0" t="n">
        <v>0</v>
      </c>
      <c r="L33" s="0" t="n">
        <v>0</v>
      </c>
    </row>
    <row r="34" customFormat="false" ht="15" hidden="false" customHeight="false" outlineLevel="0" collapsed="false">
      <c r="A34" s="0" t="n">
        <v>32</v>
      </c>
      <c r="B34" s="0" t="s">
        <v>140</v>
      </c>
      <c r="C34" s="0" t="s">
        <v>141</v>
      </c>
      <c r="D34" s="0" t="s">
        <v>142</v>
      </c>
      <c r="E34" s="0" t="s">
        <v>142</v>
      </c>
      <c r="F34" s="0" t="s">
        <v>142</v>
      </c>
      <c r="G34" s="2" t="b">
        <f aca="false">FALSE()</f>
        <v>0</v>
      </c>
      <c r="H34" s="0" t="s">
        <v>143</v>
      </c>
      <c r="I34" s="2" t="b">
        <f aca="false">TRUE()</f>
        <v>1</v>
      </c>
      <c r="J34" s="0" t="n">
        <v>1</v>
      </c>
      <c r="K34" s="0" t="n">
        <v>1</v>
      </c>
      <c r="L34" s="0" t="n">
        <v>1</v>
      </c>
    </row>
    <row r="35" customFormat="false" ht="34.2" hidden="false" customHeight="false" outlineLevel="0" collapsed="false">
      <c r="A35" s="0" t="n">
        <v>33</v>
      </c>
      <c r="B35" s="1" t="s">
        <v>144</v>
      </c>
      <c r="C35" s="0" t="s">
        <v>145</v>
      </c>
      <c r="D35" s="0" t="s">
        <v>24</v>
      </c>
      <c r="E35" s="0" t="s">
        <v>24</v>
      </c>
      <c r="F35" s="0" t="s">
        <v>24</v>
      </c>
      <c r="G35" s="2" t="b">
        <f aca="false">FALSE()</f>
        <v>0</v>
      </c>
      <c r="H35" s="0" t="s">
        <v>146</v>
      </c>
      <c r="I35" s="2" t="b">
        <f aca="false">TRUE()</f>
        <v>1</v>
      </c>
      <c r="J35" s="0" t="n">
        <v>1</v>
      </c>
      <c r="K35" s="0" t="n">
        <v>1</v>
      </c>
      <c r="L35" s="0" t="n">
        <v>1</v>
      </c>
    </row>
    <row r="36" customFormat="false" ht="23.3" hidden="false" customHeight="false" outlineLevel="0" collapsed="false">
      <c r="A36" s="0" t="n">
        <v>34</v>
      </c>
      <c r="B36" s="1" t="s">
        <v>147</v>
      </c>
      <c r="C36" s="0" t="s">
        <v>148</v>
      </c>
      <c r="D36" s="0" t="s">
        <v>28</v>
      </c>
      <c r="E36" s="0" t="s">
        <v>149</v>
      </c>
      <c r="F36" s="0" t="s">
        <v>149</v>
      </c>
      <c r="G36" s="2" t="b">
        <f aca="false">FALSE()</f>
        <v>0</v>
      </c>
      <c r="H36" s="0" t="s">
        <v>150</v>
      </c>
      <c r="I36" s="3" t="b">
        <f aca="false">FALSE()</f>
        <v>0</v>
      </c>
      <c r="J36" s="0" t="n">
        <v>0.25</v>
      </c>
      <c r="K36" s="0" t="n">
        <v>1</v>
      </c>
      <c r="L36" s="0" t="n">
        <v>0.25</v>
      </c>
    </row>
    <row r="37" customFormat="false" ht="459.75" hidden="false" customHeight="false" outlineLevel="0" collapsed="false">
      <c r="A37" s="0" t="n">
        <v>35</v>
      </c>
      <c r="B37" s="0" t="s">
        <v>151</v>
      </c>
      <c r="C37" s="1" t="s">
        <v>152</v>
      </c>
      <c r="D37" s="0" t="s">
        <v>19</v>
      </c>
      <c r="E37" s="0" t="s">
        <v>153</v>
      </c>
      <c r="F37" s="0" t="s">
        <v>94</v>
      </c>
      <c r="G37" s="2" t="b">
        <f aca="false">TRUE()</f>
        <v>1</v>
      </c>
      <c r="H37" s="0" t="s">
        <v>154</v>
      </c>
      <c r="I37" s="3" t="b">
        <f aca="false">FALSE()</f>
        <v>0</v>
      </c>
      <c r="J37" s="0" t="n">
        <v>0.5</v>
      </c>
      <c r="K37" s="0" t="n">
        <v>1</v>
      </c>
      <c r="L37" s="0" t="n">
        <v>0.5</v>
      </c>
    </row>
    <row r="38" customFormat="false" ht="56" hidden="false" customHeight="false" outlineLevel="0" collapsed="false">
      <c r="A38" s="0" t="n">
        <v>36</v>
      </c>
      <c r="B38" s="0" t="s">
        <v>155</v>
      </c>
      <c r="C38" s="1" t="s">
        <v>156</v>
      </c>
      <c r="D38" s="0" t="s">
        <v>105</v>
      </c>
      <c r="E38" s="0" t="s">
        <v>157</v>
      </c>
      <c r="F38" s="0" t="s">
        <v>158</v>
      </c>
      <c r="G38" s="2" t="b">
        <f aca="false">TRUE()</f>
        <v>1</v>
      </c>
      <c r="H38" s="0" t="s">
        <v>159</v>
      </c>
      <c r="I38" s="3" t="b">
        <f aca="false">FALSE()</f>
        <v>0</v>
      </c>
      <c r="J38" s="0" t="n">
        <v>0</v>
      </c>
      <c r="K38" s="0" t="n">
        <v>0</v>
      </c>
      <c r="L38" s="0" t="n">
        <v>0</v>
      </c>
    </row>
    <row r="39" customFormat="false" ht="15" hidden="false" customHeight="false" outlineLevel="0" collapsed="false">
      <c r="A39" s="0" t="n">
        <v>37</v>
      </c>
      <c r="B39" s="0" t="s">
        <v>160</v>
      </c>
      <c r="C39" s="0" t="s">
        <v>161</v>
      </c>
      <c r="D39" s="0" t="s">
        <v>105</v>
      </c>
      <c r="E39" s="0" t="s">
        <v>20</v>
      </c>
      <c r="F39" s="0" t="s">
        <v>20</v>
      </c>
      <c r="G39" s="2" t="b">
        <f aca="false">FALSE()</f>
        <v>0</v>
      </c>
      <c r="H39" s="0" t="s">
        <v>162</v>
      </c>
      <c r="I39" s="4" t="b">
        <f aca="false">FALSE()</f>
        <v>0</v>
      </c>
      <c r="J39" s="0" t="n">
        <v>0</v>
      </c>
      <c r="K39" s="0" t="n">
        <v>0</v>
      </c>
      <c r="L39" s="0" t="n">
        <v>0</v>
      </c>
      <c r="N39" s="0" t="s">
        <v>163</v>
      </c>
    </row>
    <row r="40" customFormat="false" ht="132.3" hidden="false" customHeight="false" outlineLevel="0" collapsed="false">
      <c r="A40" s="0" t="n">
        <v>38</v>
      </c>
      <c r="B40" s="0" t="s">
        <v>164</v>
      </c>
      <c r="C40" s="1" t="s">
        <v>165</v>
      </c>
      <c r="D40" s="0" t="s">
        <v>33</v>
      </c>
      <c r="E40" s="0" t="s">
        <v>34</v>
      </c>
      <c r="F40" s="0" t="s">
        <v>33</v>
      </c>
      <c r="G40" s="2" t="b">
        <f aca="false">TRUE()</f>
        <v>1</v>
      </c>
      <c r="H40" s="0" t="s">
        <v>166</v>
      </c>
      <c r="I40" s="2" t="b">
        <f aca="false">TRUE()</f>
        <v>1</v>
      </c>
      <c r="J40" s="0" t="n">
        <v>1</v>
      </c>
      <c r="K40" s="0" t="n">
        <v>1</v>
      </c>
      <c r="L40" s="0" t="n">
        <v>1</v>
      </c>
    </row>
    <row r="41" customFormat="false" ht="15" hidden="false" customHeight="false" outlineLevel="0" collapsed="false">
      <c r="A41" s="0" t="n">
        <v>39</v>
      </c>
      <c r="B41" s="0" t="s">
        <v>167</v>
      </c>
      <c r="C41" s="0" t="s">
        <v>168</v>
      </c>
      <c r="D41" s="0" t="s">
        <v>158</v>
      </c>
      <c r="E41" s="0" t="s">
        <v>169</v>
      </c>
      <c r="F41" s="0" t="s">
        <v>169</v>
      </c>
      <c r="G41" s="2" t="b">
        <f aca="false">FALSE()</f>
        <v>0</v>
      </c>
      <c r="H41" s="0" t="s">
        <v>170</v>
      </c>
      <c r="I41" s="3" t="b">
        <f aca="false">FALSE()</f>
        <v>0</v>
      </c>
      <c r="J41" s="0" t="n">
        <v>0.2</v>
      </c>
      <c r="K41" s="0" t="n">
        <v>0.5</v>
      </c>
      <c r="L41" s="0" t="n">
        <v>0.166666666666667</v>
      </c>
    </row>
    <row r="42" customFormat="false" ht="23.3" hidden="false" customHeight="false" outlineLevel="0" collapsed="false">
      <c r="A42" s="0" t="n">
        <v>40</v>
      </c>
      <c r="B42" s="0" t="s">
        <v>171</v>
      </c>
      <c r="C42" s="1" t="s">
        <v>172</v>
      </c>
      <c r="D42" s="0" t="s">
        <v>78</v>
      </c>
      <c r="E42" s="0" t="s">
        <v>173</v>
      </c>
      <c r="F42" s="0" t="s">
        <v>173</v>
      </c>
      <c r="G42" s="2" t="b">
        <f aca="false">FALSE()</f>
        <v>0</v>
      </c>
      <c r="H42" s="0" t="s">
        <v>174</v>
      </c>
      <c r="I42" s="3" t="b">
        <f aca="false">FALSE()</f>
        <v>0</v>
      </c>
      <c r="J42" s="0" t="n">
        <v>0.25</v>
      </c>
      <c r="K42" s="0" t="n">
        <v>1</v>
      </c>
      <c r="L42" s="0" t="n">
        <v>0.25</v>
      </c>
    </row>
    <row r="43" customFormat="false" ht="15" hidden="false" customHeight="false" outlineLevel="0" collapsed="false">
      <c r="A43" s="0" t="n">
        <v>41</v>
      </c>
      <c r="B43" s="0" t="s">
        <v>175</v>
      </c>
      <c r="C43" s="0" t="s">
        <v>176</v>
      </c>
      <c r="D43" s="0" t="s">
        <v>60</v>
      </c>
      <c r="E43" s="0" t="s">
        <v>177</v>
      </c>
      <c r="F43" s="0" t="s">
        <v>178</v>
      </c>
      <c r="G43" s="2" t="b">
        <f aca="false">TRUE()</f>
        <v>1</v>
      </c>
      <c r="H43" s="0" t="s">
        <v>179</v>
      </c>
      <c r="I43" s="3" t="b">
        <f aca="false">FALSE()</f>
        <v>0</v>
      </c>
      <c r="J43" s="0" t="n">
        <v>0.166666666666667</v>
      </c>
      <c r="K43" s="0" t="n">
        <v>1</v>
      </c>
      <c r="L43" s="0" t="n">
        <v>0.166666666666667</v>
      </c>
    </row>
    <row r="44" customFormat="false" ht="15" hidden="false" customHeight="false" outlineLevel="0" collapsed="false">
      <c r="A44" s="0" t="n">
        <v>42</v>
      </c>
      <c r="B44" s="0" t="s">
        <v>180</v>
      </c>
      <c r="C44" s="0" t="s">
        <v>181</v>
      </c>
      <c r="D44" s="0" t="s">
        <v>182</v>
      </c>
      <c r="E44" s="0" t="s">
        <v>153</v>
      </c>
      <c r="F44" s="0" t="s">
        <v>94</v>
      </c>
      <c r="G44" s="2" t="b">
        <f aca="false">TRUE()</f>
        <v>1</v>
      </c>
      <c r="H44" s="0" t="s">
        <v>183</v>
      </c>
      <c r="I44" s="2" t="b">
        <f aca="false">TRUE()</f>
        <v>1</v>
      </c>
      <c r="J44" s="0" t="n">
        <v>1</v>
      </c>
      <c r="K44" s="0" t="n">
        <v>1</v>
      </c>
      <c r="L44" s="0" t="n">
        <v>1</v>
      </c>
    </row>
    <row r="45" customFormat="false" ht="15" hidden="false" customHeight="false" outlineLevel="0" collapsed="false">
      <c r="A45" s="0" t="n">
        <v>43</v>
      </c>
      <c r="B45" s="0" t="s">
        <v>184</v>
      </c>
      <c r="C45" s="0" t="s">
        <v>185</v>
      </c>
      <c r="D45" s="0" t="s">
        <v>186</v>
      </c>
      <c r="E45" s="0" t="s">
        <v>187</v>
      </c>
      <c r="F45" s="0" t="s">
        <v>188</v>
      </c>
      <c r="G45" s="2" t="b">
        <f aca="false">TRUE()</f>
        <v>1</v>
      </c>
      <c r="H45" s="0" t="s">
        <v>189</v>
      </c>
      <c r="I45" s="3" t="b">
        <f aca="false">FALSE()</f>
        <v>0</v>
      </c>
      <c r="J45" s="0" t="n">
        <v>0.428571428571429</v>
      </c>
      <c r="K45" s="0" t="n">
        <v>1</v>
      </c>
      <c r="L45" s="0" t="n">
        <v>0.428571428571429</v>
      </c>
    </row>
    <row r="46" customFormat="false" ht="121.4" hidden="false" customHeight="false" outlineLevel="0" collapsed="false">
      <c r="A46" s="0" t="n">
        <v>44</v>
      </c>
      <c r="B46" s="0" t="s">
        <v>190</v>
      </c>
      <c r="C46" s="1" t="s">
        <v>191</v>
      </c>
      <c r="D46" s="0" t="s">
        <v>78</v>
      </c>
      <c r="E46" s="0" t="s">
        <v>20</v>
      </c>
      <c r="F46" s="0" t="s">
        <v>20</v>
      </c>
      <c r="G46" s="2" t="b">
        <f aca="false">FALSE()</f>
        <v>0</v>
      </c>
      <c r="H46" s="0" t="s">
        <v>192</v>
      </c>
      <c r="I46" s="3" t="b">
        <f aca="false">FALSE()</f>
        <v>0</v>
      </c>
      <c r="J46" s="0" t="n">
        <v>0</v>
      </c>
      <c r="K46" s="0" t="n">
        <v>0</v>
      </c>
      <c r="L46" s="0" t="n">
        <v>0</v>
      </c>
    </row>
    <row r="47" customFormat="false" ht="15" hidden="false" customHeight="false" outlineLevel="0" collapsed="false">
      <c r="A47" s="0" t="n">
        <v>45</v>
      </c>
      <c r="B47" s="0" t="s">
        <v>193</v>
      </c>
      <c r="C47" s="0" t="s">
        <v>194</v>
      </c>
      <c r="D47" s="0" t="s">
        <v>195</v>
      </c>
      <c r="E47" s="0" t="s">
        <v>196</v>
      </c>
      <c r="F47" s="0" t="s">
        <v>196</v>
      </c>
      <c r="G47" s="2" t="b">
        <f aca="false">FALSE()</f>
        <v>0</v>
      </c>
      <c r="H47" s="0" t="s">
        <v>197</v>
      </c>
      <c r="I47" s="3" t="b">
        <f aca="false">FALSE()</f>
        <v>0</v>
      </c>
      <c r="J47" s="0" t="n">
        <v>0.333333333333333</v>
      </c>
      <c r="K47" s="0" t="n">
        <v>1</v>
      </c>
      <c r="L47" s="0" t="n">
        <v>0.333333333333333</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198</v>
      </c>
      <c r="C1" s="0" t="s">
        <v>199</v>
      </c>
      <c r="D1" s="0" t="s">
        <v>200</v>
      </c>
      <c r="E1" s="0" t="s">
        <v>201</v>
      </c>
      <c r="F1" s="0" t="s">
        <v>202</v>
      </c>
      <c r="G1" s="0" t="s">
        <v>203</v>
      </c>
    </row>
    <row r="2" customFormat="false" ht="15" hidden="false" customHeight="false" outlineLevel="0" collapsed="false">
      <c r="A2" s="0" t="s">
        <v>60</v>
      </c>
      <c r="B2" s="0" t="n">
        <v>6</v>
      </c>
      <c r="C2" s="0" t="n">
        <v>5</v>
      </c>
      <c r="D2" s="0" t="n">
        <v>8</v>
      </c>
      <c r="E2" s="0" t="n">
        <v>1</v>
      </c>
      <c r="F2" s="0" t="s">
        <v>204</v>
      </c>
      <c r="G2" s="0" t="s">
        <v>205</v>
      </c>
    </row>
    <row r="3" customFormat="false" ht="15" hidden="false" customHeight="false" outlineLevel="0" collapsed="false">
      <c r="A3" s="0" t="s">
        <v>206</v>
      </c>
      <c r="B3" s="0" t="n">
        <v>1</v>
      </c>
      <c r="C3" s="0" t="n">
        <v>1</v>
      </c>
      <c r="D3" s="0" t="n">
        <v>2</v>
      </c>
      <c r="E3" s="0" t="n">
        <v>0</v>
      </c>
      <c r="F3" s="0" t="s">
        <v>207</v>
      </c>
      <c r="G3" s="0" t="s">
        <v>208</v>
      </c>
    </row>
    <row r="4" customFormat="false" ht="15" hidden="false" customHeight="false" outlineLevel="0" collapsed="false">
      <c r="A4" s="0" t="s">
        <v>41</v>
      </c>
      <c r="B4" s="0" t="n">
        <v>1</v>
      </c>
      <c r="C4" s="0" t="n">
        <v>0</v>
      </c>
      <c r="D4" s="0" t="n">
        <v>5</v>
      </c>
      <c r="E4" s="0" t="n">
        <v>1</v>
      </c>
      <c r="F4" s="0" t="s">
        <v>209</v>
      </c>
      <c r="G4" s="0" t="s">
        <v>209</v>
      </c>
    </row>
    <row r="5" customFormat="false" ht="15" hidden="false" customHeight="false" outlineLevel="0" collapsed="false">
      <c r="A5" s="0" t="s">
        <v>33</v>
      </c>
      <c r="B5" s="0" t="n">
        <v>7</v>
      </c>
      <c r="C5" s="0" t="n">
        <v>7</v>
      </c>
      <c r="D5" s="0" t="n">
        <v>8</v>
      </c>
      <c r="E5" s="0" t="n">
        <v>0</v>
      </c>
      <c r="F5" s="0" t="s">
        <v>207</v>
      </c>
      <c r="G5" s="0" t="s">
        <v>210</v>
      </c>
    </row>
    <row r="6" customFormat="false" ht="15" hidden="false" customHeight="false" outlineLevel="0" collapsed="false">
      <c r="A6" s="0" t="s">
        <v>142</v>
      </c>
      <c r="B6" s="0" t="n">
        <v>1</v>
      </c>
      <c r="C6" s="0" t="n">
        <v>1</v>
      </c>
      <c r="D6" s="0" t="n">
        <v>1</v>
      </c>
      <c r="E6" s="0" t="n">
        <v>0</v>
      </c>
      <c r="F6" s="0" t="s">
        <v>207</v>
      </c>
      <c r="G6" s="0" t="s">
        <v>211</v>
      </c>
    </row>
    <row r="7" customFormat="false" ht="15" hidden="false" customHeight="false" outlineLevel="0" collapsed="false">
      <c r="A7" s="0" t="s">
        <v>55</v>
      </c>
      <c r="B7" s="0" t="n">
        <v>3</v>
      </c>
      <c r="C7" s="0" t="n">
        <v>1</v>
      </c>
      <c r="D7" s="0" t="n">
        <v>10</v>
      </c>
      <c r="E7" s="0" t="n">
        <v>2</v>
      </c>
      <c r="F7" s="0" t="s">
        <v>208</v>
      </c>
      <c r="G7" s="0" t="s">
        <v>212</v>
      </c>
    </row>
    <row r="8" customFormat="false" ht="15" hidden="false" customHeight="false" outlineLevel="0" collapsed="false">
      <c r="A8" s="0" t="s">
        <v>28</v>
      </c>
      <c r="B8" s="0" t="n">
        <v>3</v>
      </c>
      <c r="C8" s="0" t="n">
        <v>3</v>
      </c>
      <c r="D8" s="0" t="n">
        <v>4</v>
      </c>
      <c r="E8" s="0" t="n">
        <v>0</v>
      </c>
      <c r="F8" s="0" t="s">
        <v>207</v>
      </c>
      <c r="G8" s="0" t="s">
        <v>213</v>
      </c>
    </row>
    <row r="9" customFormat="false" ht="15" hidden="false" customHeight="false" outlineLevel="0" collapsed="false">
      <c r="A9" s="0" t="s">
        <v>78</v>
      </c>
      <c r="B9" s="0" t="n">
        <v>4</v>
      </c>
      <c r="C9" s="0" t="n">
        <v>1</v>
      </c>
      <c r="D9" s="0" t="n">
        <v>2</v>
      </c>
      <c r="E9" s="0" t="n">
        <v>3</v>
      </c>
      <c r="F9" s="0" t="s">
        <v>214</v>
      </c>
      <c r="G9" s="0" t="s">
        <v>208</v>
      </c>
    </row>
    <row r="10" customFormat="false" ht="15" hidden="false" customHeight="false" outlineLevel="0" collapsed="false">
      <c r="A10" s="0" t="s">
        <v>24</v>
      </c>
      <c r="B10" s="0" t="n">
        <v>5</v>
      </c>
      <c r="C10" s="0" t="n">
        <v>4</v>
      </c>
      <c r="D10" s="0" t="n">
        <v>2</v>
      </c>
      <c r="E10" s="0" t="n">
        <v>1</v>
      </c>
      <c r="F10" s="0" t="s">
        <v>215</v>
      </c>
      <c r="G10" s="0" t="s">
        <v>216</v>
      </c>
    </row>
    <row r="11" customFormat="false" ht="15" hidden="false" customHeight="false" outlineLevel="0" collapsed="false">
      <c r="A11" s="0" t="s">
        <v>19</v>
      </c>
      <c r="B11" s="0" t="n">
        <v>7</v>
      </c>
      <c r="C11" s="0" t="n">
        <v>4</v>
      </c>
      <c r="D11" s="0" t="n">
        <v>2</v>
      </c>
      <c r="E11" s="0" t="n">
        <v>3</v>
      </c>
      <c r="F11" s="0" t="s">
        <v>217</v>
      </c>
      <c r="G11" s="0" t="s">
        <v>216</v>
      </c>
    </row>
    <row r="12" customFormat="false" ht="15" hidden="false" customHeight="false" outlineLevel="0" collapsed="false">
      <c r="A12" s="0" t="s">
        <v>45</v>
      </c>
      <c r="B12" s="0" t="n">
        <v>3</v>
      </c>
      <c r="C12" s="0" t="n">
        <v>1</v>
      </c>
      <c r="D12" s="0" t="n">
        <v>11</v>
      </c>
      <c r="E12" s="0" t="n">
        <v>2</v>
      </c>
      <c r="F12" s="0" t="s">
        <v>208</v>
      </c>
      <c r="G12" s="0" t="s">
        <v>218</v>
      </c>
    </row>
    <row r="13" customFormat="false" ht="15" hidden="false" customHeight="false" outlineLevel="0" collapsed="false">
      <c r="A13" s="0" t="s">
        <v>20</v>
      </c>
      <c r="B13" s="0" t="n">
        <v>1</v>
      </c>
      <c r="C13" s="0" t="n">
        <v>1</v>
      </c>
      <c r="D13" s="0" t="n">
        <v>9</v>
      </c>
      <c r="E13" s="0" t="n">
        <v>0</v>
      </c>
      <c r="F13" s="0" t="s">
        <v>207</v>
      </c>
      <c r="G13" s="0" t="s">
        <v>219</v>
      </c>
    </row>
    <row r="14" customFormat="false" ht="15" hidden="false" customHeight="false" outlineLevel="0" collapsed="false">
      <c r="A14" s="0" t="s">
        <v>220</v>
      </c>
      <c r="B14" s="0" t="n">
        <v>0</v>
      </c>
      <c r="C14" s="0" t="n">
        <v>0</v>
      </c>
      <c r="D14" s="0" t="n">
        <v>3</v>
      </c>
      <c r="E14" s="0" t="n">
        <v>0</v>
      </c>
      <c r="F14" s="0" t="s">
        <v>221</v>
      </c>
      <c r="G14" s="0" t="s">
        <v>209</v>
      </c>
    </row>
    <row r="15" customFormat="false" ht="15" hidden="false" customHeight="false" outlineLevel="0" collapsed="false">
      <c r="A15" s="0" t="s">
        <v>105</v>
      </c>
      <c r="B15" s="0" t="n">
        <v>4</v>
      </c>
      <c r="C15" s="0" t="n">
        <v>2</v>
      </c>
      <c r="D15" s="0" t="n">
        <v>5</v>
      </c>
      <c r="E15" s="0" t="n">
        <v>2</v>
      </c>
      <c r="F15" s="0" t="s">
        <v>211</v>
      </c>
      <c r="G15" s="0" t="s">
        <v>222</v>
      </c>
    </row>
    <row r="16" customFormat="false" ht="15" hidden="false" customHeight="false" outlineLevel="0" collapsed="false">
      <c r="A16" s="0" t="s">
        <v>69</v>
      </c>
      <c r="B16" s="0" t="n">
        <v>1</v>
      </c>
      <c r="C16" s="0" t="n">
        <v>0</v>
      </c>
      <c r="D16" s="0" t="n">
        <v>7</v>
      </c>
      <c r="E16" s="0" t="n">
        <v>1</v>
      </c>
      <c r="F16" s="0" t="s">
        <v>209</v>
      </c>
      <c r="G16" s="0" t="s">
        <v>209</v>
      </c>
    </row>
    <row r="17" customFormat="false" ht="15" hidden="false" customHeight="false" outlineLevel="0" collapsed="false">
      <c r="A17" s="0" t="s">
        <v>195</v>
      </c>
      <c r="B17" s="0" t="n">
        <v>1</v>
      </c>
      <c r="C17" s="0" t="n">
        <v>1</v>
      </c>
      <c r="D17" s="0" t="n">
        <v>1</v>
      </c>
      <c r="E17" s="0" t="n">
        <v>0</v>
      </c>
      <c r="F17" s="0" t="s">
        <v>207</v>
      </c>
      <c r="G17" s="0" t="s">
        <v>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223</v>
      </c>
      <c r="B1" s="0" t="s">
        <v>224</v>
      </c>
      <c r="C1" s="0" t="s">
        <v>225</v>
      </c>
    </row>
    <row r="2" customFormat="false" ht="15" hidden="false" customHeight="false" outlineLevel="0" collapsed="false">
      <c r="A2" s="0" t="s">
        <v>226</v>
      </c>
      <c r="B2" s="0" t="s">
        <v>227</v>
      </c>
      <c r="C2" s="0" t="n">
        <v>46</v>
      </c>
    </row>
    <row r="3" customFormat="false" ht="15" hidden="false" customHeight="false" outlineLevel="0" collapsed="false">
      <c r="A3" s="0" t="s">
        <v>228</v>
      </c>
      <c r="B3" s="0" t="s">
        <v>229</v>
      </c>
      <c r="C3" s="0" t="n">
        <v>46</v>
      </c>
    </row>
    <row r="4" customFormat="false" ht="15" hidden="false" customHeight="false" outlineLevel="0" collapsed="false">
      <c r="A4" s="0" t="s">
        <v>230</v>
      </c>
      <c r="B4" s="0" t="s">
        <v>231</v>
      </c>
      <c r="C4" s="0" t="n">
        <v>46</v>
      </c>
    </row>
    <row r="5" customFormat="false" ht="15" hidden="false" customHeight="false" outlineLevel="0" collapsed="false">
      <c r="A5" s="0" t="s">
        <v>232</v>
      </c>
      <c r="B5" s="0" t="s">
        <v>229</v>
      </c>
      <c r="C5" s="0" t="n">
        <v>46</v>
      </c>
    </row>
    <row r="6" customFormat="false" ht="15" hidden="false" customHeight="false" outlineLevel="0" collapsed="false">
      <c r="A6" s="0" t="s">
        <v>233</v>
      </c>
      <c r="B6" s="0" t="s">
        <v>208</v>
      </c>
      <c r="C6" s="0"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2026-07-21T06:13:05Z</dcterms:created>
  <dc:creator>openpyxl</dc:creator>
  <dc:description/>
  <dc:language>en-GB</dc:language>
  <cp:lastModifiedBy/>
  <dcterms:modified xsi:type="dcterms:W3CDTF">2026-07-21T14:31:19Z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