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<sst xmlns="http://schemas.openxmlformats.org/spreadsheetml/2006/main" count="349" uniqueCount="237">
  <si>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</si>
  <si>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</si>
  <si>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</si>
  <si>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</si>
  <si>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</si>
  <si>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</si>
  <si>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</si>
  <si>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</si>
  <si>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</si>
  <si>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</si>
  <si>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</si>
  <si>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</si>
  <si>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University of Bath Cellular Agriculture Manufacturing Hub (CARMA)</t>
  </si>
  <si>
    <t xml:space="preserve">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</si>
  <si>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 xml:space="preserve">cross-cutting</t>
  </si>
  <si>
    <t xml:space="preserve">Bioprocess design, Scaffolding, Ingredient optimisation, Other</t>
  </si>
  <si>
    <t xml:space="preserve">Bioprocess design, Scaffolding, Ingredient optimisation</t>
  </si>
  <si>
    <t xml:space="preserve">This hub grant funds broad cellular agriculture manufacturing research across the value chain, explicitly covering bioprocess/manufacturing systems (Bioprocess design), scaffold and biomaterial development (Scaffolding), and ingredient-level production of proteins, fats, and carbohydrates (Ingredient optimisation); LCA is mentioned only as motivational context rather than a funded research activity, and end product formulation, texturization, safety, health, and consumer research are not identified as substantive funded activities, while the hub coordination and ecosystem-building aspects fall under Other.</t>
  </si>
  <si>
    <t xml:space="preserve">Alternative Protein Sources - Review for the 24th DGE Ernährungsbericht</t>
  </si>
  <si>
    <t xml:space="preserve">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</si>
  <si>
    <t xml:space="preserve">Impact assessments</t>
  </si>
  <si>
    <t xml:space="preserve">Other</t>
  </si>
  <si>
    <t xml:space="preserve">This grant funds a broad review/overview chapter covering alternative protein sources, their technologies, challenges, and nutritional aspects — a review activity that fits the 'Other' category rather than any specific funded research activity.</t>
  </si>
  <si>
    <t xml:space="preserve">Oxidation and glycation during gastro-intestinal digestion of
  meat (analogues): influence on nutrition and health</t>
  </si>
  <si>
    <t xml:space="preserve">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</si>
  <si>
    <t xml:space="preserve">Health &amp; nutrition</t>
  </si>
  <si>
    <t xml:space="preserve">The grant funds in vitro digestion and in vivo rat studies measuring physiological outcomes (protein digestibility, fermentation, microbial changes, inflammation, oxidative stress) from consuming meat and meat analogues, making Health &amp; nutrition the primary category.</t>
  </si>
  <si>
    <t xml:space="preserve">CERAFIM - Cellular Agriculture for Sustainable Food and Materials (Part 1)</t>
  </si>
  <si>
    <t xml:space="preserve">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</si>
  <si>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 xml:space="preserve">Feedstocks</t>
  </si>
  <si>
    <t xml:space="preserve">Bioprocess design, Ingredient optimisation, End product formulation</t>
  </si>
  <si>
    <t xml:space="preserve">The CERAFIM project covers the full value chain of cellular agriculture: microbial cultivation in bioreactors (Bioprocess design), pre-treatment and processing of raw materials to produce proteins as ingredients (Ingredient optimisation), and manufacture of consumer products from these proteins (End product formulation).</t>
  </si>
  <si>
    <t xml:space="preserve">Agree with the labels, but I need to add Feedstocks to the CC options.</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</si>
  <si>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</si>
  <si>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</si>
  <si>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Consumer &amp; market research</t>
  </si>
  <si>
    <t xml:space="preserve">Consumer &amp; market research, Other</t>
  </si>
  <si>
    <t xml:space="preserve">The grant is primarily focused on consumer behaviour, cultural acceptance, and the social/theoretical question of how food becomes accepted as edible — this is consumer &amp; market research — with an additional 'Other' component for the novel theoretical and methodological framework development around 'systems of edibility'.</t>
  </si>
  <si>
    <t xml:space="preserve">The Political Economy of Meat System Transformation</t>
  </si>
  <si>
    <t xml:space="preserve">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</si>
  <si>
    <t xml:space="preserve">This grant funds political economy, policy analysis, social norms, and discourse research around meat system transformation, qualifying as Consumer &amp; market research (consumer behaviour, public opinion, purchasing behaviour) and Other (policy/regulatory/political economy research, ethical/societal dimensions), with no substantive funded activities in production, formulation, safety, nutrition, or quantitative impact assessment categories.</t>
  </si>
  <si>
    <t xml:space="preserve">Cellular food for sustainable production and innovative food concepts (CellFood)</t>
  </si>
  <si>
    <t xml:space="preserve">-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</si>
  <si>
    <t xml:space="preserve">Cell line development</t>
  </si>
  <si>
    <t xml:space="preserve">End product formulation, Consumer &amp; market research, Other</t>
  </si>
  <si>
    <t xml:space="preserve">End product formulation, Consumer &amp; market research</t>
  </si>
  <si>
    <t xml:space="preserve">The abstract describes a broad 5-year programme covering technological development of cellular foods (suggesting end product formulation activities) and consumer acceptance research, with the overarching framing suggesting a wide-ranging initiative that also encompasses review and coordination activities beyond specific technical categories.</t>
  </si>
  <si>
    <t xml:space="preserve">Designed fermentation for off-flavor
  elimination in plant-based foods</t>
  </si>
  <si>
    <t xml:space="preserve">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</si>
  <si>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 xml:space="preserve">Ingredient optimisation</t>
  </si>
  <si>
    <t xml:space="preserve">Ingredient optimisation, End product formulation, Consumer &amp; market research</t>
  </si>
  <si>
    <t xml:space="preserve">The grant funds fermentation-based screening and optimization of microbial blends to eliminate off-flavors in plant-based ingredients (Ingredient optimisation), application of these blends to create plant-based dairy alternatives (End product formulation), and consumer sensory testing with hundreds of volunteers to assess flavor acceptance and demand (Consumer &amp; market research).</t>
  </si>
  <si>
    <t xml:space="preserve">Should probably exclude consumer research given it’s just product testing but oh well.</t>
  </si>
  <si>
    <t xml:space="preserve">Towards a bio-based future: joining forces to maximize conditions of success for the transition towards a more natural and sustainable global food chain</t>
  </si>
  <si>
    <t xml:space="preserve">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</si>
  <si>
    <t xml:space="preserve">This grant focuses on ethical, normative, and stakeholder engagement dimensions of the bio-based food transition — covering sustainability, naturalness, credibility, and global justice through action research and conceptual analysis — which fits the 'Other' category (ethical/philosophical research and broad policy/societal research) rather than any specific alternative protein research category.</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</si>
  <si>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</si>
  <si>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The grant is primarily focused on consumer behaviour, cultural acceptance, and the sociological/anthropological question of how food becomes accepted as edible and desirable, with empirical fieldwork in Singapore and Vietnam; it also develops new theoretical and methodological frameworks (Other) for studying meat replacement, but does not fund any food science, production, or quantitative impact research.</t>
  </si>
  <si>
    <t xml:space="preserve">An innovative whey protein powder that includes lactoferrin and NAD+, promoting fitness and longevity, while its
  production reduces carbon emissions</t>
  </si>
  <si>
    <t xml:space="preserve">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</si>
  <si>
    <t xml:space="preserve">End product formulation</t>
  </si>
  <si>
    <t xml:space="preserve">Ingredient optimisation, End product formulation, Health &amp; nutrition</t>
  </si>
  <si>
    <t xml:space="preserve">The grant funds development of a whey protein powder (End product formulation) incorporating fermented lactoferrin and NAD+ with a unique fermentation process to improve ingredient properties (Ingredient optimisation), and explicitly targets health outcomes such as fitness, longevity, gut health, and immune function (Health &amp; nutrition); environmental and economic benefits are mentioned as motivation rather than as funded research activities.</t>
  </si>
  <si>
    <t xml:space="preserve">Precision Technology: Biotechnology, smart sensors, and advanced data analysis</t>
  </si>
  <si>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</si>
  <si>
    <t xml:space="preserve">Bioprocess design</t>
  </si>
  <si>
    <t xml:space="preserve">Bioprocess design, Ingredient optimisation, Other</t>
  </si>
  <si>
    <t xml:space="preserve">Bioprocess design, Ingredient optimisation</t>
  </si>
  <si>
    <t xml:space="preserve">The grant funds bioprocess development (precision fermentation, cultivated meat, enzymatic hydrolysis for protein/fatty acid production), ingredient optimisation (enzymatic protein hydrolysis and utilisation of residual raw materials), and other enabling technologies including spectroscopic sensor development and data analytics/chemometrics tools that do not fit neatly into the defined alternative protein categories.</t>
  </si>
  <si>
    <t xml:space="preserve">FoodFutures</t>
  </si>
  <si>
    <t xml:space="preserve">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</si>
  <si>
    <t xml:space="preserve">The grant is a broad systems-level food futures initiative focused on sustainable food value chains, dietary transitions, and circular bioeconomy strategies rather than funding specific technical research activities in any of the defined alternative protein categories.</t>
  </si>
  <si>
    <t xml:space="preserve">Development of innovative food products
  using plant proteins and precision fermentation with in-silico optimisation</t>
  </si>
  <si>
    <t xml:space="preserve">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</si>
  <si>
    <t xml:space="preserve">Target molecule selection</t>
  </si>
  <si>
    <t xml:space="preserve">The grant funds bioprocess optimisation (fermentation efficiency, downstream processing, stabilisation via in-silico tools), ingredient customisation for functionality and sensory performance (ingredient optimisation), and testing of precision-fermented ingredients in finished alternative protein and pet food products (end product formulation).</t>
  </si>
  <si>
    <t xml:space="preserve">Need to add target molecule selection as an option.</t>
  </si>
  <si>
    <t xml:space="preserve">Investigating protein and saliva interactions, impact on mucosal surfaces and any links to resulting mouthfeel</t>
  </si>
  <si>
    <t xml:space="preserve">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</si>
  <si>
    <t xml:space="preserve">The grant focuses on studying protein (including plant-based) interactions with saliva and mucosal surfaces to understand mouthfeel, which constitutes research into the functional and sensory properties of protein ingredients in isolation from the oral environment — fitting Ingredient Optimisation rather than End Product Formulation or Health &amp; Nutrition.</t>
  </si>
  <si>
    <t xml:space="preserve">Accelerating PROteins innoVAtors beyond reguLatory Sandboxes (APROVALS)</t>
  </si>
  <si>
    <t xml:space="preserve">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</si>
  <si>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 xml:space="preserve">Food safety &amp; quality</t>
  </si>
  <si>
    <t xml:space="preserve">This grant focuses on regulatory sandboxes, stakeholder engagement, policy frameworks, and innovation support for cellular agriculture commercialisation — none of which constitute substantive funded research activities in the defined technical categories, making 'Other' the only applicable classification.</t>
  </si>
  <si>
    <t xml:space="preserve">Cultural entrepreneurship in vegan meat markets</t>
  </si>
  <si>
    <t xml:space="preserve">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</si>
  <si>
    <t xml:space="preserve">The grant primarily funds research into entrepreneur narratives, cultural resources, market dynamics, and stakeholder communications in the vegan meat sector, which falls under consumer &amp; market research (consumer influence, value propositions) and Other (entrepreneurship, policy environment, ethical/social change agendas); no substantive funded activities relate to product development, bioprocessing, or quantitative impact assessments.</t>
  </si>
  <si>
    <t xml:space="preserve">The supermarket of the future</t>
  </si>
  <si>
    <t xml:space="preserve">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</si>
  <si>
    <t xml:space="preserve">The grant funds benchmarking of retail chains' plant-based offerings and consumer segment analysis, which are clearly consumer and market research activities focused on purchasing behaviour, product range, pricing, and market trends.</t>
  </si>
  <si>
    <t xml:space="preserve">UKProNet2025</t>
  </si>
  <si>
    <t xml:space="preserve">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</si>
  <si>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 xml:space="preserve">This grant funds a UK research network (UKProNet) focused on protein homeostasis/proteostasis science for ageing, health, and food security, with activities centred on community building, workshops, pump-priming grants, and ECR support — none of which constitute substantive alternative protein research activities in any of the defined categories.</t>
  </si>
  <si>
    <t xml:space="preserve">Alternative protein sources: growing the next generation computational modelling framework</t>
  </si>
  <si>
    <t xml:space="preserve">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</si>
  <si>
    <t xml:space="preserve">Bioprocess design, Other</t>
  </si>
  <si>
    <t xml:space="preserve">The grant funds development of a computational modelling framework using multi-physics fluid mechanics and high-performance computing, which primarily supports bioprocess design (bioreactor/process engineering simulation), with an 'Other' classification warranted given the broad, cross-cutting nature of the open-source modelling tool that extends beyond any single specific category.</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</si>
  <si>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</si>
  <si>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</si>
  <si>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Consumer &amp; market research, Impact assessments, Other</t>
  </si>
  <si>
    <t xml:space="preserve">Consumer &amp; market research, Impact assessments</t>
  </si>
  <si>
    <t xml:space="preserve">The grant funds research into consumer acceptance of APs across European contexts (Consumer &amp; market research), quantitative modelling of social, economic, and environmental impacts of AP adoption including demand projections to 2050 (Impact assessments), and broader interdisciplinary socio-ecological and economic analysis that spans disciplines like land economy and environmental social sciences (Other).</t>
  </si>
  <si>
    <t xml:space="preserve">Food 2.0</t>
  </si>
  <si>
    <t xml:space="preserve">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</si>
  <si>
    <t xml:space="preserve">The grant abstract describes a broad ecosystem and R&amp;D initiative focused on food system sustainability, circular economy, and supply chain resilience without specifying any concrete funded research activities in any of the defined alternative protein categories, making 'Other' the only applicable classification.</t>
  </si>
  <si>
    <t xml:space="preserve">New sustainable proteins for food, feed and non-food bio-based applications (InnoProtein)</t>
  </si>
  <si>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</si>
  <si>
    <t xml:space="preserve">The grant funds production of single-cell proteins from microalgae, bacteria, fungi, and insects (bioprocess design), improvement of these protein ingredients (ingredient optimisation), and their incorporation into food, feed, and bio-based products (end product formulation).</t>
  </si>
  <si>
    <t xml:space="preserve">Discovery and optimisation of unconventional yeasts to enable the industrial scaling of alternative protein production using precision fermentation</t>
  </si>
  <si>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</si>
  <si>
    <t xml:space="preserve">Strain development</t>
  </si>
  <si>
    <t xml:space="preserve">The grant focuses on discovering and optimising unconventional yeast strains using synthetic biology and machine learning for precision fermentation-based protein production; while this touches on strain development and screening platform validation, none of the defined categories (bioprocess design, ingredient optimisation, etc.) are the primary funded activity — the core work is yeast strain discovery and development, which falls under 'Other' as strain development is not explicitly listed as a standalone category.</t>
  </si>
  <si>
    <t xml:space="preserve">This should be F, not CC. It is just precision fermentation.</t>
  </si>
  <si>
    <t xml:space="preserve">Designing a manufacturing facility of the future for cell cultivated products</t>
  </si>
  <si>
    <t xml:space="preserve">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</si>
  <si>
    <t xml:space="preserve">The grant focuses on designing manufacturing facilities and scaling up production for cell cultivated products, which falls under bioprocess design (scale-up, facility/process engineering), while the broader facility design and manufacturing infrastructure aspects also warrant an 'Other' classification as they extend beyond standard bioprocess categories into facility planning and industrial design.</t>
  </si>
  <si>
    <t xml:space="preserve">Reproduction of the gastrointestinal tract microenvironment for the nutritional study of alternative proteins and their interaction with the microbiota</t>
  </si>
  <si>
    <t xml:space="preserve">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</si>
  <si>
    <t xml:space="preserve">Ingredient optimisation, Health &amp; nutrition</t>
  </si>
  <si>
    <t xml:space="preserve">The grant funds research into the techno-functional and nutritional properties of alternative protein ingredients (A3, Ingredient optimisation), and uses in vitro digestion, Organ-on-Chip, and in vivo/ex vivo models to assess protein nutritional quality and microbiota interactions as primary physiological endpoints (A1, A2, A4, Health &amp; nutrition).</t>
  </si>
  <si>
    <t xml:space="preserve">BiochAIn - BiochAIn ist ein Softwareprojekt für die Optimierung einer gesamten biotechnologischen Verfahrenskette(Chain) mittels AI</t>
  </si>
  <si>
    <t xml:space="preserve">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</si>
  <si>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This grant funds development of an AI-driven digital process modeling and optimization software toolbox for bioprocess engineering, which directly supports bioprocess design through monitoring, control, digital twins, and process chain optimization; alternative proteins (cultured meat, precision fermentation) are mentioned only as one of several application domains.</t>
  </si>
  <si>
    <t xml:space="preserve">Impact analysis of the novel food knowledge unit</t>
  </si>
  <si>
    <t xml:space="preserve">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</si>
  <si>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 xml:space="preserve">This grant focuses on evaluating the economic and industry impact of establishing a knowledge unit on novel food regulation in Estonia, which is a policy/regulatory research activity that does not fit any of the specific alternative protein research categories.</t>
  </si>
  <si>
    <t xml:space="preserve">Innovations for a future-oriented consumption and animal production NOVAnimal</t>
  </si>
  <si>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</si>
  <si>
    <t xml:space="preserve">Health &amp; nutrition, Consumer &amp; market research, Impact assessments, Other</t>
  </si>
  <si>
    <t xml:space="preserve">Health &amp; nutrition, Consumer &amp; market research, Impact assessments</t>
  </si>
  <si>
    <t xml:space="preserve">The grant funds research into environmental and economic implications of animal production (impact assessments), public health outcomes of consumption patterns (health &amp; nutrition), consumer and away-from-home consumption behaviour (consumer &amp; market research), and policy/strategy development including stakeholder-oriented recommendations and system modelling (other), rather than any specific alternative protein ingredient, product, or process development.</t>
  </si>
  <si>
    <t xml:space="preserve">Deep Learning Dynamic Graphs for Food Microstructures (Delifood)</t>
  </si>
  <si>
    <t xml:space="preserve">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</si>
  <si>
    <t xml:space="preserve">This grant focuses on developing deep learning and microscopy methods to image and model food microstructures and textures over time — a methodological/analytical research activity that does not fit any of the specific alternative protein categories but falls under 'Other' as it concerns general food structure measurement and modelling tools.</t>
  </si>
  <si>
    <t xml:space="preserve">This should probably be end product formulation more in the sense that it would inform formulation, even if it does not formulate specifically.</t>
  </si>
  <si>
    <t xml:space="preserve">Edible Metal-Organic Frameworks for Food Fortification</t>
  </si>
  <si>
    <t xml:space="preserve">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</si>
  <si>
    <t xml:space="preserve">End product formulation, Health &amp; nutrition</t>
  </si>
  <si>
    <t xml:space="preserve">The grant develops edible MOF delivery systems for iron fortification evaluated in food products (End product formulation), and explicitly assesses bioaccessibility and gastrointestinal behaviour as physiological/nutritional outcomes (Health &amp; nutrition); no other categories represent substantive funded research activities.</t>
  </si>
  <si>
    <t xml:space="preserve">National Alternative Proteins Innovation and Knowledge Centre (NAPIC)</t>
  </si>
  <si>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</si>
  <si>
    <t xml:space="preserve">Bioprocess design, Ingredient optimisation, End product formulation, Food safety &amp; quality, Health &amp; nutrition, Consumer &amp; market research, Other</t>
  </si>
  <si>
    <t xml:space="preserve">Bioprocess design, Ingredient optimisation, End product formulation, Food safety &amp; quality, Health &amp; nutrition, Consumer &amp; market research</t>
  </si>
  <si>
    <t xml:space="preserve">NAPIC is a broad pan-UK centre covering the full AP value chain: bioprocessing at scale (cultivated meat, precision fermentation) maps to Bioprocess design; producing tasty, nutritious, affordable AP foods covers Ingredient optimisation and End product formulation; safety tools and standards cover Food safety &amp; quality; post-consumption health outcomes cover Health &amp; nutrition; consumer dietary transition and acceptance cover Consumer &amp; market research; and regulatory/policy/knowledge transfer activities fall under Other. Impact assessments and scaffolding are not explicitly funded research activities but are mentioned only as context or not at all.</t>
  </si>
  <si>
    <t xml:space="preserve">Plant breeding research P3 joint project: 'Rapeseed as a domestic source of high-quality protein for human nutrition (RaPEQ3) Subproject A</t>
  </si>
  <si>
    <t xml:space="preserve">No Abstract Available</t>
  </si>
  <si>
    <t xml:space="preserve">Crop development</t>
  </si>
  <si>
    <t xml:space="preserve">The grant focuses on plant breeding of rapeseed to improve protein quality for human nutrition, which falls under ingredient optimisation as the primary goal is improving the protein ingredient properties through upstream cultivation/breeding approaches.</t>
  </si>
  <si>
    <t xml:space="preserve">This should be PB, not CC. It is crop development only.</t>
  </si>
  <si>
    <t xml:space="preserve">Glyc(oxid)ation during gastrointestinal digestion of meat
  (analogues): formation of advanced glycation endproducts and implications on
  health.</t>
  </si>
  <si>
    <t xml:space="preserve">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</si>
  <si>
    <t xml:space="preserve">The grant funds in vitro digestion studies and an in vivo rat feeding trial measuring glycoxidative endproduct formation and physiological outcomes (metabolism, gut microbiota), making Health &amp; nutrition the primary category.</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</si>
  <si>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</si>
  <si>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</si>
  <si>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The grant funds bioprocess development for upcycling whey streams via microalgae cultivation (Bioprocess_design), improvement of the resulting microalgae biomass as a functional/protein ingredient (Ingredient_optimisation), and incorporation into fortified dairy and dairy-alternative products (End_product_formulation).</t>
  </si>
  <si>
    <t xml:space="preserve">Need to add Feedstocks to list.</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</si>
  <si>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</si>
  <si>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</si>
  <si>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The grant funds research into consumer acceptance of alternative proteins across European contexts (Consumer &amp; market research), models future protein demand scenarios, and assesses the social, economic, and environmental impacts of shifting to alternative proteins (Impact assessments), with no substantive research activities in product development, bioprocessing, or food safety.</t>
  </si>
  <si>
    <t xml:space="preserve">NordForsk: Mushroom-based processes for increased local production of non-meat protein and enhanced agriculture sustainability</t>
  </si>
  <si>
    <t xml:space="preserve">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</si>
  <si>
    <t xml:space="preserve">Ingredient optimisation, Other</t>
  </si>
  <si>
    <t xml:space="preserve">The grant funds extraction and processing of bioactive compounds (β-glucans, carotenoids, lipids) from mushroom/yeast biomass as ingredients (Ingredient optimisation), while the broader activities around biofertilizers, wastewater bioremediation, and agricultural sustainability fall outside the standard alternative protein categories (Other).</t>
  </si>
  <si>
    <t xml:space="preserve">Should include Strain development – I need to add it,</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</si>
  <si>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</si>
  <si>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</si>
  <si>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This grant focuses on synthetic biology engineering of the endoplasmic reticulum in yeast and plant cells to improve recombinant protein secretion — a fundamental cell biology/bioengineering research project that does not directly address any of the specific alternative protein research categories (bioprocess design, ingredient optimisation, etc.) but rather underpins upstream platform technology development, fitting best under Other.</t>
  </si>
  <si>
    <t xml:space="preserve">Need to add Strain development.</t>
  </si>
  <si>
    <t xml:space="preserve">The Pursuit and Maintenance of Sustainable Diets</t>
  </si>
  <si>
    <t xml:space="preserve">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</si>
  <si>
    <t xml:space="preserve">The grant funds social psychology research on consumer attitudes, behaviours, and identity profiles related to plant-based diet adoption and maintenance (Consumer &amp; market research), as well as fellowship development activities including dissemination, collaboration, and funding applications that fall outside the core technical categories (Other).</t>
  </si>
  <si>
    <t xml:space="preserve">CERAFIM - Cellular Agriculture for Sustainable Food and Materials (Part 2)</t>
  </si>
  <si>
    <t xml:space="preserve">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</si>
  <si>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 xml:space="preserve">Feedstocks, Ingredient optimisation</t>
  </si>
  <si>
    <t xml:space="preserve">Bioprocess design, Ingredient optimisation, End product formulation, Consumer &amp; market research, Other</t>
  </si>
  <si>
    <t xml:space="preserve">Bioprocess design, Ingredient optimisation, End product formulation, Consumer &amp; market research</t>
  </si>
  <si>
    <t xml:space="preserve">The grant funds scalable bioprocess development for recombinant proteins, microbial fats, and whole cell concepts (Bioprocess_design); improvement of these ingredients including microbial breeding and cultivation (Ingredient_optimisation); food and material product development across the value chain (End_product_formulation); consumer acceptance and business vision for 2030 (Consumer_market_research); and stakeholder networking and industry vision activities that don't fit other categories (Other).</t>
  </si>
  <si>
    <t xml:space="preserve">Organic acids – Old natural compounds with underexploited biofunctionalities (BIOFUNC)</t>
  </si>
  <si>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</si>
  <si>
    <t xml:space="preserve">Bioprocess design, Ingredient optimisation, End product formulation, Food safety &amp; quality</t>
  </si>
  <si>
    <t xml:space="preserve">The grant funds bioreactor-based production of organic acids (Bioprocess design), characterisation of organic acid antimicrobial activity and properties as ingredients (Ingredient optimisation), testing of these acids in finished food products including plant-based meat analogues (End product formulation), and assessment of food spoilage prevention and food safety outcomes (Food safety &amp; quality).</t>
  </si>
  <si>
    <t xml:space="preserve">Protein Transition 2.0</t>
  </si>
  <si>
    <t xml:space="preserve">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</si>
  <si>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 xml:space="preserve">Bioprocess design, Ingredient optimisation, End product formulation, Food safety &amp; quality, Health &amp; nutrition, Impact assessments, Other</t>
  </si>
  <si>
    <t xml:space="preserve">Bioprocess design, Ingredient optimisation, End product formulation, Food safety &amp; quality, Health &amp; nutrition, Impact assessments</t>
  </si>
  <si>
    <t xml:space="preserve">The grant funds research on scalability and downstream processing (Bioprocess design), protein quality and structure-function relationships of novel ingredients (Ingredient optimisation), development of food prototypes (End product formulation), safety assessments of fermentation approaches (Food safety &amp; quality), nutritional quality evaluation (Health &amp; nutrition), resource efficiency and sustainability potential assessment (Impact assessments), and EU legislation/regulatory aspects (Other).</t>
  </si>
  <si>
    <t xml:space="preserve">The biosynthetic protein transition: assessing impacts, outcomes and opportunities for Norways post-animal bioeconomy</t>
  </si>
  <si>
    <t xml:space="preserve">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</si>
  <si>
    <t xml:space="preserve">Impact assessments, Consumer &amp; market research</t>
  </si>
  <si>
    <t xml:space="preserve">This grant funds consumer willingness-to-try studies and market research (Consumer &amp; market research), economic modelling and impact assessments of cultured protein on Norwegian agriculture and food systems (Impact assessments), and broader policy/stakeholder analysis including regulatory landscape and rural community impacts (Other); no laboratory or production research activities are funded.</t>
  </si>
  <si>
    <t xml:space="preserve">ARRIVAL (ARRIVAL of Cellular Agriculture-Enabling biotechnology for Future Food Production)</t>
  </si>
  <si>
    <t xml:space="preserve">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</si>
  <si>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 xml:space="preserve">Cell culture media, Strain development , Bioprocess design</t>
  </si>
  <si>
    <t xml:space="preserve">Bioprocess design, Consumer &amp; market research, Other</t>
  </si>
  <si>
    <t xml:space="preserve">Bioprocess design, Consumer &amp; market research</t>
  </si>
  <si>
    <t xml:space="preserve">The grant funds development of enabling biotechnology for precision fermentation and cultured meat production (Bioprocess_design), transdisciplinary research into consumer and societal readiness for cellular agriculture (Consumer_market_research), and exploration of ethical, policy, and societal foundations for CellAg adoption in Norway (Other); product formulation, texturization, scaffolding, and impact assessments are mentioned only as context or downstream aspirations rather than funded research activities.</t>
  </si>
  <si>
    <t xml:space="preserve">Need to add all categories to the list</t>
  </si>
  <si>
    <t xml:space="preserve">Expert Network for Novel Foods Regulatory Challenges – UK's first collaboration cluster to support best practice and facilitate the regulatory approval journey of innovative food ingredients</t>
  </si>
  <si>
    <t xml:space="preserve">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</si>
  <si>
    <t xml:space="preserve">This grant funds the creation of a regulatory science network to support Novel Foods approval processes in the UK, which is a policy/regulatory and network-building activity that does not involve any of the specific alternative protein research categories.</t>
  </si>
  <si>
    <t xml:space="preserve">Leveraging Scaffolding-, Emulsion-, and Extrusion Technologies to Enable the Production of Healthy and Sustainable Composite Meat Alternatives</t>
  </si>
  <si>
    <t xml:space="preserve">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</si>
  <si>
    <t xml:space="preserve">Texturization methods</t>
  </si>
  <si>
    <t xml:space="preserve">Scaffolding, End product formulation, Texturization methods</t>
  </si>
  <si>
    <t xml:space="preserve">The grant funds scaffolding research (integrating plant-based scaffolds with animal cells for cultivated meat), texturization methods (combining emulsion and extrusion technologies to improve tenderness and juiciness), and end product formulation (developing hybrid meat alternatives using Swedish ingredients with multi-component product design and sensory quality goals).</t>
  </si>
  <si>
    <t xml:space="preserve">n_true</t>
  </si>
  <si>
    <t xml:space="preserve">tp</t>
  </si>
  <si>
    <t xml:space="preserve">fp</t>
  </si>
  <si>
    <t xml:space="preserve">fn</t>
  </si>
  <si>
    <t xml:space="preserve">recall</t>
  </si>
  <si>
    <t xml:space="preserve">precision</t>
  </si>
  <si>
    <t xml:space="preserve">100%</t>
  </si>
  <si>
    <t xml:space="preserve">43%</t>
  </si>
  <si>
    <t xml:space="preserve">47%</t>
  </si>
  <si>
    <t xml:space="preserve">33%</t>
  </si>
  <si>
    <t xml:space="preserve">8%</t>
  </si>
  <si>
    <t xml:space="preserve">25%</t>
  </si>
  <si>
    <t xml:space="preserve">80%</t>
  </si>
  <si>
    <t xml:space="preserve">50%</t>
  </si>
  <si>
    <t xml:space="preserve">57%</t>
  </si>
  <si>
    <t xml:space="preserve">19%</t>
  </si>
  <si>
    <t xml:space="preserve">9%</t>
  </si>
  <si>
    <t xml:space="preserve">Scaffolding</t>
  </si>
  <si>
    <t xml:space="preserve">-</t>
  </si>
  <si>
    <t xml:space="preserve">0%</t>
  </si>
  <si>
    <t xml:space="preserve">metric</t>
  </si>
  <si>
    <t xml:space="preserve">value</t>
  </si>
  <si>
    <t xml:space="preserve">n</t>
  </si>
  <si>
    <t xml:space="preserve">exact_match_accuracy</t>
  </si>
  <si>
    <t xml:space="preserve">26%</t>
  </si>
  <si>
    <t xml:space="preserve">mean_row_precision</t>
  </si>
  <si>
    <t xml:space="preserve">38%</t>
  </si>
  <si>
    <t xml:space="preserve">mean_row_recall</t>
  </si>
  <si>
    <t xml:space="preserve">54%</t>
  </si>
  <si>
    <t xml:space="preserve">mean_row_jaccard</t>
  </si>
  <si>
    <t xml:space="preserve">other_clash_rate</t>
  </si>
  <si>
    <t xml:space="preserve">39%</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</si>
</sst>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BBE33D"/>
        <bgColor rgb="FF81D41A"/>
      </patternFill>
    </fill>
    <fill>
      <patternFill patternType="solid">
        <fgColor rgb="FF81D41A"/>
        <bgColor rgb="FFBBE33D"/>
      </patternFill>
    </fill>
    <fill>
      <patternFill patternType="solid">
        <fgColor rgb="FFFF8000"/>
        <bgColor rgb="FFFF66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true" showRowColHeaders="true" showZeros="true" rightToLeft="false" tabSelected="true" showOutlineSymbols="true" defaultGridColor="true" view="normal" topLeftCell="A38" colorId="64" zoomScale="100" zoomScaleNormal="100" zoomScalePageLayoutView="100" workbookViewId="0">
      <selection pane="topLeft" activeCell="I47" activeCellId="0" sqref="I47"/>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86.8" hidden="false" customHeight="false" outlineLevel="0" collapsed="false">
      <c r="A2" s="0" t="n">
        <v>0</v>
      </c>
      <c r="B2" s="0" t="s">
        <v>12</v>
      </c>
      <c r="C2" s="1" t="s">
        <v>13</v>
      </c>
      <c r="D2" s="0" t="s">
        <v>14</v>
      </c>
      <c r="E2" s="0" t="s">
        <v>15</v>
      </c>
      <c r="F2" s="0" t="s">
        <v>16</v>
      </c>
      <c r="G2" s="2" t="b">
        <f aca="false">TRUE()</f>
        <v>1</v>
      </c>
      <c r="H2" s="0" t="s">
        <v>17</v>
      </c>
      <c r="I2" s="3" t="b">
        <f aca="false">FALSE()</f>
        <v>0</v>
      </c>
      <c r="J2" s="0" t="n">
        <v>0</v>
      </c>
      <c r="K2" s="0" t="n">
        <v>0</v>
      </c>
      <c r="L2" s="0" t="n">
        <v>0</v>
      </c>
    </row>
    <row r="3" customFormat="false" ht="15" hidden="false" customHeight="false" outlineLevel="0" collapsed="false">
      <c r="A3" s="0" t="n">
        <v>1</v>
      </c>
      <c r="B3" s="0" t="s">
        <v>18</v>
      </c>
      <c r="C3" s="0" t="s">
        <v>19</v>
      </c>
      <c r="D3" s="0" t="s">
        <v>20</v>
      </c>
      <c r="E3" s="0" t="s">
        <v>21</v>
      </c>
      <c r="F3" s="0" t="s">
        <v>21</v>
      </c>
      <c r="G3" s="2" t="b">
        <f aca="false">FALSE()</f>
        <v>0</v>
      </c>
      <c r="H3" s="0" t="s">
        <v>22</v>
      </c>
      <c r="I3" s="4" t="b">
        <f aca="false">FALSE()</f>
        <v>0</v>
      </c>
      <c r="J3" s="0" t="n">
        <v>0</v>
      </c>
      <c r="K3" s="0" t="n">
        <v>0</v>
      </c>
      <c r="L3" s="0" t="n">
        <v>0</v>
      </c>
    </row>
    <row r="4" customFormat="false" ht="23.3" hidden="false" customHeight="false" outlineLevel="0" collapsed="false">
      <c r="A4" s="0" t="n">
        <v>2</v>
      </c>
      <c r="B4" s="1" t="s">
        <v>23</v>
      </c>
      <c r="C4" s="0" t="s">
        <v>24</v>
      </c>
      <c r="D4" s="0" t="s">
        <v>25</v>
      </c>
      <c r="E4" s="0" t="s">
        <v>25</v>
      </c>
      <c r="F4" s="0" t="s">
        <v>25</v>
      </c>
      <c r="G4" s="2" t="b">
        <f aca="false">FALSE()</f>
        <v>0</v>
      </c>
      <c r="H4" s="0" t="s">
        <v>26</v>
      </c>
      <c r="I4" s="2" t="b">
        <f aca="false">TRUE()</f>
        <v>1</v>
      </c>
      <c r="J4" s="0" t="n">
        <v>1</v>
      </c>
      <c r="K4" s="0" t="n">
        <v>1</v>
      </c>
      <c r="L4" s="0" t="n">
        <v>1</v>
      </c>
    </row>
    <row r="5" customFormat="false" ht="15" hidden="false" customHeight="false" outlineLevel="0" collapsed="false">
      <c r="A5" s="0" t="n">
        <v>3</v>
      </c>
      <c r="B5" s="0" t="s">
        <v>27</v>
      </c>
      <c r="C5" s="0" t="s">
        <v>28</v>
      </c>
      <c r="D5" s="0" t="s">
        <v>29</v>
      </c>
      <c r="E5" s="0" t="s">
        <v>30</v>
      </c>
      <c r="F5" s="0" t="s">
        <v>30</v>
      </c>
      <c r="G5" s="2" t="b">
        <f aca="false">FALSE()</f>
        <v>0</v>
      </c>
      <c r="H5" s="0" t="s">
        <v>31</v>
      </c>
      <c r="I5" s="5" t="b">
        <f aca="false">FALSE()</f>
        <v>0</v>
      </c>
      <c r="J5" s="0" t="n">
        <v>0</v>
      </c>
      <c r="K5" s="0" t="n">
        <v>0</v>
      </c>
      <c r="L5" s="0" t="n">
        <v>0</v>
      </c>
      <c r="N5" s="0" t="s">
        <v>32</v>
      </c>
    </row>
    <row r="6" customFormat="false" ht="15" hidden="false" customHeight="false" outlineLevel="0" collapsed="false">
      <c r="A6" s="0" t="n">
        <v>4</v>
      </c>
      <c r="B6" s="0" t="s">
        <v>33</v>
      </c>
      <c r="C6" s="0" t="s">
        <v>34</v>
      </c>
      <c r="D6" s="0" t="s">
        <v>35</v>
      </c>
      <c r="E6" s="0" t="s">
        <v>36</v>
      </c>
      <c r="F6" s="0" t="s">
        <v>35</v>
      </c>
      <c r="G6" s="2" t="b">
        <f aca="false">TRUE()</f>
        <v>1</v>
      </c>
      <c r="H6" s="0" t="s">
        <v>37</v>
      </c>
      <c r="I6" s="2" t="b">
        <f aca="false">TRUE()</f>
        <v>1</v>
      </c>
      <c r="J6" s="0" t="n">
        <v>1</v>
      </c>
      <c r="K6" s="0" t="n">
        <v>1</v>
      </c>
      <c r="L6" s="0" t="n">
        <v>1</v>
      </c>
    </row>
    <row r="7" customFormat="false" ht="154.1" hidden="false" customHeight="false" outlineLevel="0" collapsed="false">
      <c r="A7" s="0" t="n">
        <v>5</v>
      </c>
      <c r="B7" s="0" t="s">
        <v>38</v>
      </c>
      <c r="C7" s="1" t="s">
        <v>39</v>
      </c>
      <c r="D7" s="0" t="s">
        <v>35</v>
      </c>
      <c r="E7" s="0" t="s">
        <v>36</v>
      </c>
      <c r="F7" s="0" t="s">
        <v>35</v>
      </c>
      <c r="G7" s="2" t="b">
        <f aca="false">TRUE()</f>
        <v>1</v>
      </c>
      <c r="H7" s="0" t="s">
        <v>40</v>
      </c>
      <c r="I7" s="2" t="b">
        <f aca="false">TRUE()</f>
        <v>1</v>
      </c>
      <c r="J7" s="0" t="n">
        <v>1</v>
      </c>
      <c r="K7" s="0" t="n">
        <v>1</v>
      </c>
      <c r="L7" s="0" t="n">
        <v>1</v>
      </c>
    </row>
    <row r="8" customFormat="false" ht="15" hidden="false" customHeight="false" outlineLevel="0" collapsed="false">
      <c r="A8" s="0" t="n">
        <v>6</v>
      </c>
      <c r="B8" s="0" t="s">
        <v>41</v>
      </c>
      <c r="C8" s="0" t="s">
        <v>42</v>
      </c>
      <c r="D8" s="0" t="s">
        <v>43</v>
      </c>
      <c r="E8" s="0" t="s">
        <v>44</v>
      </c>
      <c r="F8" s="0" t="s">
        <v>45</v>
      </c>
      <c r="G8" s="2" t="b">
        <f aca="false">TRUE()</f>
        <v>1</v>
      </c>
      <c r="H8" s="0" t="s">
        <v>46</v>
      </c>
      <c r="I8" s="4" t="b">
        <f aca="false">FALSE()</f>
        <v>0</v>
      </c>
      <c r="J8" s="0" t="n">
        <v>0</v>
      </c>
      <c r="K8" s="0" t="n">
        <v>0</v>
      </c>
      <c r="L8" s="0" t="n">
        <v>0</v>
      </c>
    </row>
    <row r="9" customFormat="false" ht="23.3" hidden="false" customHeight="false" outlineLevel="0" collapsed="false">
      <c r="A9" s="0" t="n">
        <v>7</v>
      </c>
      <c r="B9" s="1" t="s">
        <v>47</v>
      </c>
      <c r="C9" s="0" t="s">
        <v>48</v>
      </c>
      <c r="D9" s="0" t="s">
        <v>49</v>
      </c>
      <c r="E9" s="0" t="s">
        <v>50</v>
      </c>
      <c r="F9" s="0" t="s">
        <v>50</v>
      </c>
      <c r="G9" s="2" t="b">
        <f aca="false">FALSE()</f>
        <v>0</v>
      </c>
      <c r="H9" s="0" t="s">
        <v>51</v>
      </c>
      <c r="I9" s="4" t="b">
        <f aca="false">FALSE()</f>
        <v>0</v>
      </c>
      <c r="J9" s="0" t="n">
        <v>0.333333333333333</v>
      </c>
      <c r="K9" s="0" t="n">
        <v>1</v>
      </c>
      <c r="L9" s="0" t="n">
        <v>0.333333333333333</v>
      </c>
      <c r="N9" s="0" t="s">
        <v>52</v>
      </c>
    </row>
    <row r="10" customFormat="false" ht="15" hidden="false" customHeight="false" outlineLevel="0" collapsed="false">
      <c r="A10" s="0" t="n">
        <v>8</v>
      </c>
      <c r="B10" s="0" t="s">
        <v>53</v>
      </c>
      <c r="C10" s="0" t="s">
        <v>54</v>
      </c>
      <c r="D10" s="0" t="s">
        <v>20</v>
      </c>
      <c r="E10" s="0" t="s">
        <v>21</v>
      </c>
      <c r="F10" s="0" t="s">
        <v>21</v>
      </c>
      <c r="G10" s="2" t="b">
        <f aca="false">FALSE()</f>
        <v>0</v>
      </c>
      <c r="H10" s="0" t="s">
        <v>55</v>
      </c>
      <c r="I10" s="4" t="b">
        <f aca="false">FALSE()</f>
        <v>0</v>
      </c>
      <c r="J10" s="0" t="n">
        <v>0</v>
      </c>
      <c r="K10" s="0" t="n">
        <v>0</v>
      </c>
      <c r="L10" s="0" t="n">
        <v>0</v>
      </c>
    </row>
    <row r="11" customFormat="false" ht="15" hidden="false" customHeight="false" outlineLevel="0" collapsed="false">
      <c r="A11" s="0" t="n">
        <v>9</v>
      </c>
      <c r="B11" s="0" t="s">
        <v>33</v>
      </c>
      <c r="C11" s="0" t="s">
        <v>56</v>
      </c>
      <c r="D11" s="0" t="s">
        <v>35</v>
      </c>
      <c r="E11" s="0" t="s">
        <v>36</v>
      </c>
      <c r="F11" s="0" t="s">
        <v>35</v>
      </c>
      <c r="G11" s="2" t="b">
        <f aca="false">TRUE()</f>
        <v>1</v>
      </c>
      <c r="H11" s="0" t="s">
        <v>57</v>
      </c>
      <c r="I11" s="2" t="b">
        <f aca="false">TRUE()</f>
        <v>1</v>
      </c>
      <c r="J11" s="0" t="n">
        <v>1</v>
      </c>
      <c r="K11" s="0" t="n">
        <v>1</v>
      </c>
      <c r="L11" s="0" t="n">
        <v>1</v>
      </c>
    </row>
    <row r="12" customFormat="false" ht="99.6" hidden="false" customHeight="false" outlineLevel="0" collapsed="false">
      <c r="A12" s="0" t="n">
        <v>10</v>
      </c>
      <c r="B12" s="1" t="s">
        <v>58</v>
      </c>
      <c r="C12" s="1" t="s">
        <v>59</v>
      </c>
      <c r="D12" s="0" t="s">
        <v>60</v>
      </c>
      <c r="E12" s="0" t="s">
        <v>61</v>
      </c>
      <c r="F12" s="0" t="s">
        <v>61</v>
      </c>
      <c r="G12" s="2" t="b">
        <f aca="false">FALSE()</f>
        <v>0</v>
      </c>
      <c r="H12" s="0" t="s">
        <v>62</v>
      </c>
      <c r="I12" s="4" t="b">
        <f aca="false">FALSE()</f>
        <v>0</v>
      </c>
      <c r="J12" s="0" t="n">
        <v>0.333333333333333</v>
      </c>
      <c r="K12" s="0" t="n">
        <v>1</v>
      </c>
      <c r="L12" s="0" t="n">
        <v>0.333333333333333</v>
      </c>
    </row>
    <row r="13" customFormat="false" ht="132.3" hidden="false" customHeight="false" outlineLevel="0" collapsed="false">
      <c r="A13" s="0" t="n">
        <v>11</v>
      </c>
      <c r="B13" s="0" t="s">
        <v>63</v>
      </c>
      <c r="C13" s="1" t="s">
        <v>64</v>
      </c>
      <c r="D13" s="0" t="s">
        <v>65</v>
      </c>
      <c r="E13" s="0" t="s">
        <v>66</v>
      </c>
      <c r="F13" s="0" t="s">
        <v>67</v>
      </c>
      <c r="G13" s="2" t="b">
        <f aca="false">TRUE()</f>
        <v>1</v>
      </c>
      <c r="H13" s="0" t="s">
        <v>68</v>
      </c>
      <c r="I13" s="4" t="b">
        <f aca="false">FALSE()</f>
        <v>0</v>
      </c>
      <c r="J13" s="0" t="n">
        <v>0.5</v>
      </c>
      <c r="K13" s="0" t="n">
        <v>1</v>
      </c>
      <c r="L13" s="0" t="n">
        <v>0.5</v>
      </c>
    </row>
    <row r="14" customFormat="false" ht="15" hidden="false" customHeight="false" outlineLevel="0" collapsed="false">
      <c r="A14" s="0" t="n">
        <v>12</v>
      </c>
      <c r="B14" s="0" t="s">
        <v>69</v>
      </c>
      <c r="C14" s="0" t="s">
        <v>70</v>
      </c>
      <c r="D14" s="0" t="s">
        <v>25</v>
      </c>
      <c r="E14" s="0" t="s">
        <v>21</v>
      </c>
      <c r="F14" s="0" t="s">
        <v>21</v>
      </c>
      <c r="G14" s="2" t="b">
        <f aca="false">FALSE()</f>
        <v>0</v>
      </c>
      <c r="H14" s="0" t="s">
        <v>71</v>
      </c>
      <c r="I14" s="4" t="b">
        <f aca="false">FALSE()</f>
        <v>0</v>
      </c>
      <c r="J14" s="0" t="n">
        <v>0</v>
      </c>
      <c r="K14" s="0" t="n">
        <v>0</v>
      </c>
      <c r="L14" s="0" t="n">
        <v>0</v>
      </c>
    </row>
    <row r="15" customFormat="false" ht="23.3" hidden="false" customHeight="false" outlineLevel="0" collapsed="false">
      <c r="A15" s="0" t="n">
        <v>13</v>
      </c>
      <c r="B15" s="1" t="s">
        <v>72</v>
      </c>
      <c r="C15" s="1" t="s">
        <v>73</v>
      </c>
      <c r="D15" s="0" t="s">
        <v>74</v>
      </c>
      <c r="E15" s="0" t="s">
        <v>30</v>
      </c>
      <c r="F15" s="0" t="s">
        <v>30</v>
      </c>
      <c r="G15" s="2" t="b">
        <f aca="false">FALSE()</f>
        <v>0</v>
      </c>
      <c r="H15" s="0" t="s">
        <v>75</v>
      </c>
      <c r="I15" s="5" t="b">
        <f aca="false">FALSE()</f>
        <v>0</v>
      </c>
      <c r="J15" s="0" t="n">
        <v>0</v>
      </c>
      <c r="K15" s="0" t="n">
        <v>0</v>
      </c>
      <c r="L15" s="0" t="n">
        <v>0</v>
      </c>
      <c r="N15" s="0" t="s">
        <v>76</v>
      </c>
    </row>
    <row r="16" customFormat="false" ht="274.4" hidden="false" customHeight="false" outlineLevel="0" collapsed="false">
      <c r="A16" s="0" t="n">
        <v>14</v>
      </c>
      <c r="B16" s="0" t="s">
        <v>77</v>
      </c>
      <c r="C16" s="1" t="s">
        <v>78</v>
      </c>
      <c r="D16" s="0" t="s">
        <v>60</v>
      </c>
      <c r="E16" s="0" t="s">
        <v>49</v>
      </c>
      <c r="F16" s="0" t="s">
        <v>49</v>
      </c>
      <c r="G16" s="2" t="b">
        <f aca="false">FALSE()</f>
        <v>0</v>
      </c>
      <c r="H16" s="0" t="s">
        <v>79</v>
      </c>
      <c r="I16" s="4" t="b">
        <f aca="false">FALSE()</f>
        <v>0</v>
      </c>
      <c r="J16" s="0" t="n">
        <v>0</v>
      </c>
      <c r="K16" s="0" t="n">
        <v>0</v>
      </c>
      <c r="L16" s="0" t="n">
        <v>0</v>
      </c>
    </row>
    <row r="17" customFormat="false" ht="99.6" hidden="false" customHeight="false" outlineLevel="0" collapsed="false">
      <c r="A17" s="0" t="n">
        <v>15</v>
      </c>
      <c r="B17" s="0" t="s">
        <v>80</v>
      </c>
      <c r="C17" s="1" t="s">
        <v>81</v>
      </c>
      <c r="D17" s="0" t="s">
        <v>82</v>
      </c>
      <c r="E17" s="0" t="s">
        <v>21</v>
      </c>
      <c r="F17" s="0" t="s">
        <v>21</v>
      </c>
      <c r="G17" s="2" t="b">
        <f aca="false">FALSE()</f>
        <v>0</v>
      </c>
      <c r="H17" s="0" t="s">
        <v>83</v>
      </c>
      <c r="I17" s="4" t="b">
        <f aca="false">FALSE()</f>
        <v>0</v>
      </c>
      <c r="J17" s="0" t="n">
        <v>0</v>
      </c>
      <c r="K17" s="0" t="n">
        <v>0</v>
      </c>
      <c r="L17" s="0" t="n">
        <v>0</v>
      </c>
    </row>
    <row r="18" customFormat="false" ht="56" hidden="false" customHeight="false" outlineLevel="0" collapsed="false">
      <c r="A18" s="0" t="n">
        <v>16</v>
      </c>
      <c r="B18" s="0" t="s">
        <v>84</v>
      </c>
      <c r="C18" s="1" t="s">
        <v>85</v>
      </c>
      <c r="D18" s="0" t="s">
        <v>35</v>
      </c>
      <c r="E18" s="0" t="s">
        <v>36</v>
      </c>
      <c r="F18" s="0" t="s">
        <v>35</v>
      </c>
      <c r="G18" s="2" t="b">
        <f aca="false">TRUE()</f>
        <v>1</v>
      </c>
      <c r="H18" s="0" t="s">
        <v>86</v>
      </c>
      <c r="I18" s="2" t="b">
        <f aca="false">TRUE()</f>
        <v>1</v>
      </c>
      <c r="J18" s="0" t="n">
        <v>1</v>
      </c>
      <c r="K18" s="0" t="n">
        <v>1</v>
      </c>
      <c r="L18" s="0" t="n">
        <v>1</v>
      </c>
    </row>
    <row r="19" customFormat="false" ht="34.2" hidden="false" customHeight="false" outlineLevel="0" collapsed="false">
      <c r="A19" s="0" t="n">
        <v>17</v>
      </c>
      <c r="B19" s="0" t="s">
        <v>87</v>
      </c>
      <c r="C19" s="1" t="s">
        <v>88</v>
      </c>
      <c r="D19" s="0" t="s">
        <v>35</v>
      </c>
      <c r="E19" s="0" t="s">
        <v>35</v>
      </c>
      <c r="F19" s="0" t="s">
        <v>35</v>
      </c>
      <c r="G19" s="2" t="b">
        <f aca="false">FALSE()</f>
        <v>0</v>
      </c>
      <c r="H19" s="0" t="s">
        <v>89</v>
      </c>
      <c r="I19" s="2" t="b">
        <f aca="false">TRUE()</f>
        <v>1</v>
      </c>
      <c r="J19" s="0" t="n">
        <v>1</v>
      </c>
      <c r="K19" s="0" t="n">
        <v>1</v>
      </c>
      <c r="L19" s="0" t="n">
        <v>1</v>
      </c>
    </row>
    <row r="20" customFormat="false" ht="143.2" hidden="false" customHeight="false" outlineLevel="0" collapsed="false">
      <c r="A20" s="0" t="n">
        <v>18</v>
      </c>
      <c r="B20" s="0" t="s">
        <v>90</v>
      </c>
      <c r="C20" s="1" t="s">
        <v>91</v>
      </c>
      <c r="D20" s="0" t="s">
        <v>21</v>
      </c>
      <c r="E20" s="0" t="s">
        <v>21</v>
      </c>
      <c r="F20" s="0" t="s">
        <v>21</v>
      </c>
      <c r="G20" s="2" t="b">
        <f aca="false">FALSE()</f>
        <v>0</v>
      </c>
      <c r="H20" s="0" t="s">
        <v>92</v>
      </c>
      <c r="I20" s="2" t="b">
        <f aca="false">TRUE()</f>
        <v>1</v>
      </c>
      <c r="J20" s="0" t="n">
        <v>1</v>
      </c>
      <c r="K20" s="0" t="n">
        <v>1</v>
      </c>
      <c r="L20" s="0" t="n">
        <v>1</v>
      </c>
    </row>
    <row r="21" customFormat="false" ht="15" hidden="false" customHeight="false" outlineLevel="0" collapsed="false">
      <c r="A21" s="0" t="n">
        <v>19</v>
      </c>
      <c r="B21" s="0" t="s">
        <v>93</v>
      </c>
      <c r="C21" s="0" t="s">
        <v>94</v>
      </c>
      <c r="D21" s="0" t="s">
        <v>20</v>
      </c>
      <c r="E21" s="0" t="s">
        <v>95</v>
      </c>
      <c r="F21" s="0" t="s">
        <v>65</v>
      </c>
      <c r="G21" s="2" t="b">
        <f aca="false">TRUE()</f>
        <v>1</v>
      </c>
      <c r="H21" s="0" t="s">
        <v>96</v>
      </c>
      <c r="I21" s="4" t="b">
        <f aca="false">FALSE()</f>
        <v>0</v>
      </c>
      <c r="J21" s="0" t="n">
        <v>0</v>
      </c>
      <c r="K21" s="0" t="n">
        <v>0</v>
      </c>
      <c r="L21" s="0" t="n">
        <v>0</v>
      </c>
    </row>
    <row r="22" customFormat="false" ht="459.75" hidden="false" customHeight="false" outlineLevel="0" collapsed="false">
      <c r="A22" s="0" t="n">
        <v>20</v>
      </c>
      <c r="B22" s="1" t="s">
        <v>97</v>
      </c>
      <c r="C22" s="1" t="s">
        <v>98</v>
      </c>
      <c r="D22" s="0" t="s">
        <v>20</v>
      </c>
      <c r="E22" s="0" t="s">
        <v>99</v>
      </c>
      <c r="F22" s="0" t="s">
        <v>100</v>
      </c>
      <c r="G22" s="2" t="b">
        <f aca="false">TRUE()</f>
        <v>1</v>
      </c>
      <c r="H22" s="0" t="s">
        <v>101</v>
      </c>
      <c r="I22" s="4" t="b">
        <f aca="false">FALSE()</f>
        <v>0</v>
      </c>
      <c r="J22" s="0" t="n">
        <v>0.5</v>
      </c>
      <c r="K22" s="0" t="n">
        <v>1</v>
      </c>
      <c r="L22" s="0" t="n">
        <v>0.5</v>
      </c>
    </row>
    <row r="23" customFormat="false" ht="88.7" hidden="false" customHeight="false" outlineLevel="0" collapsed="false">
      <c r="A23" s="0" t="n">
        <v>21</v>
      </c>
      <c r="B23" s="0" t="s">
        <v>102</v>
      </c>
      <c r="C23" s="1" t="s">
        <v>103</v>
      </c>
      <c r="D23" s="0" t="s">
        <v>14</v>
      </c>
      <c r="E23" s="0" t="s">
        <v>21</v>
      </c>
      <c r="F23" s="0" t="s">
        <v>21</v>
      </c>
      <c r="G23" s="2" t="b">
        <f aca="false">FALSE()</f>
        <v>0</v>
      </c>
      <c r="H23" s="0" t="s">
        <v>104</v>
      </c>
      <c r="I23" s="4" t="b">
        <f aca="false">FALSE()</f>
        <v>0</v>
      </c>
      <c r="J23" s="0" t="n">
        <v>0</v>
      </c>
      <c r="K23" s="0" t="n">
        <v>0</v>
      </c>
      <c r="L23" s="0" t="n">
        <v>0</v>
      </c>
    </row>
    <row r="24" customFormat="false" ht="15" hidden="false" customHeight="false" outlineLevel="0" collapsed="false">
      <c r="A24" s="0" t="n">
        <v>22</v>
      </c>
      <c r="B24" s="0" t="s">
        <v>105</v>
      </c>
      <c r="C24" s="0" t="s">
        <v>106</v>
      </c>
      <c r="D24" s="0" t="s">
        <v>67</v>
      </c>
      <c r="E24" s="0" t="s">
        <v>30</v>
      </c>
      <c r="F24" s="0" t="s">
        <v>30</v>
      </c>
      <c r="G24" s="2" t="b">
        <f aca="false">FALSE()</f>
        <v>0</v>
      </c>
      <c r="H24" s="0" t="s">
        <v>107</v>
      </c>
      <c r="I24" s="4" t="b">
        <f aca="false">FALSE()</f>
        <v>0</v>
      </c>
      <c r="J24" s="0" t="n">
        <v>0.666666666666667</v>
      </c>
      <c r="K24" s="0" t="n">
        <v>1</v>
      </c>
      <c r="L24" s="0" t="n">
        <v>0.666666666666667</v>
      </c>
    </row>
    <row r="25" customFormat="false" ht="77.8" hidden="false" customHeight="false" outlineLevel="0" collapsed="false">
      <c r="A25" s="0" t="n">
        <v>23</v>
      </c>
      <c r="B25" s="0" t="s">
        <v>108</v>
      </c>
      <c r="C25" s="1" t="s">
        <v>109</v>
      </c>
      <c r="D25" s="0" t="s">
        <v>110</v>
      </c>
      <c r="E25" s="0" t="s">
        <v>21</v>
      </c>
      <c r="F25" s="0" t="s">
        <v>21</v>
      </c>
      <c r="G25" s="2" t="b">
        <f aca="false">FALSE()</f>
        <v>0</v>
      </c>
      <c r="H25" s="0" t="s">
        <v>111</v>
      </c>
      <c r="I25" s="6" t="b">
        <f aca="false">FALSE()</f>
        <v>0</v>
      </c>
      <c r="J25" s="0" t="n">
        <v>0</v>
      </c>
      <c r="K25" s="0" t="n">
        <v>0</v>
      </c>
      <c r="L25" s="0" t="n">
        <v>0</v>
      </c>
      <c r="N25" s="0" t="s">
        <v>112</v>
      </c>
    </row>
    <row r="26" customFormat="false" ht="77.8" hidden="false" customHeight="false" outlineLevel="0" collapsed="false">
      <c r="A26" s="0" t="n">
        <v>24</v>
      </c>
      <c r="B26" s="0" t="s">
        <v>113</v>
      </c>
      <c r="C26" s="1" t="s">
        <v>114</v>
      </c>
      <c r="D26" s="0" t="s">
        <v>65</v>
      </c>
      <c r="E26" s="0" t="s">
        <v>95</v>
      </c>
      <c r="F26" s="0" t="s">
        <v>65</v>
      </c>
      <c r="G26" s="2" t="b">
        <f aca="false">TRUE()</f>
        <v>1</v>
      </c>
      <c r="H26" s="0" t="s">
        <v>115</v>
      </c>
      <c r="I26" s="2" t="b">
        <f aca="false">TRUE()</f>
        <v>1</v>
      </c>
      <c r="J26" s="0" t="n">
        <v>1</v>
      </c>
      <c r="K26" s="0" t="n">
        <v>1</v>
      </c>
      <c r="L26" s="0" t="n">
        <v>1</v>
      </c>
    </row>
    <row r="27" customFormat="false" ht="110.5" hidden="false" customHeight="false" outlineLevel="0" collapsed="false">
      <c r="A27" s="0" t="n">
        <v>25</v>
      </c>
      <c r="B27" s="0" t="s">
        <v>116</v>
      </c>
      <c r="C27" s="1" t="s">
        <v>117</v>
      </c>
      <c r="D27" s="0" t="s">
        <v>25</v>
      </c>
      <c r="E27" s="0" t="s">
        <v>118</v>
      </c>
      <c r="F27" s="0" t="s">
        <v>118</v>
      </c>
      <c r="G27" s="2" t="b">
        <f aca="false">FALSE()</f>
        <v>0</v>
      </c>
      <c r="H27" s="0" t="s">
        <v>119</v>
      </c>
      <c r="I27" s="4" t="b">
        <f aca="false">FALSE()</f>
        <v>0</v>
      </c>
      <c r="J27" s="0" t="n">
        <v>0.5</v>
      </c>
      <c r="K27" s="0" t="n">
        <v>1</v>
      </c>
      <c r="L27" s="0" t="n">
        <v>0.5</v>
      </c>
    </row>
    <row r="28" customFormat="false" ht="121.4" hidden="false" customHeight="false" outlineLevel="0" collapsed="false">
      <c r="A28" s="0" t="n">
        <v>26</v>
      </c>
      <c r="B28" s="0" t="s">
        <v>120</v>
      </c>
      <c r="C28" s="1" t="s">
        <v>121</v>
      </c>
      <c r="D28" s="0" t="s">
        <v>65</v>
      </c>
      <c r="E28" s="0" t="s">
        <v>65</v>
      </c>
      <c r="F28" s="0" t="s">
        <v>65</v>
      </c>
      <c r="G28" s="2" t="b">
        <f aca="false">FALSE()</f>
        <v>0</v>
      </c>
      <c r="H28" s="0" t="s">
        <v>122</v>
      </c>
      <c r="I28" s="2" t="b">
        <f aca="false">TRUE()</f>
        <v>1</v>
      </c>
      <c r="J28" s="0" t="n">
        <v>1</v>
      </c>
      <c r="K28" s="0" t="n">
        <v>1</v>
      </c>
      <c r="L28" s="0" t="n">
        <v>1</v>
      </c>
    </row>
    <row r="29" customFormat="false" ht="15" hidden="false" customHeight="false" outlineLevel="0" collapsed="false">
      <c r="A29" s="0" t="n">
        <v>27</v>
      </c>
      <c r="B29" s="0" t="s">
        <v>123</v>
      </c>
      <c r="C29" s="0" t="s">
        <v>124</v>
      </c>
      <c r="D29" s="0" t="s">
        <v>82</v>
      </c>
      <c r="E29" s="0" t="s">
        <v>21</v>
      </c>
      <c r="F29" s="0" t="s">
        <v>21</v>
      </c>
      <c r="G29" s="2" t="b">
        <f aca="false">FALSE()</f>
        <v>0</v>
      </c>
      <c r="H29" s="0" t="s">
        <v>125</v>
      </c>
      <c r="I29" s="4" t="b">
        <f aca="false">FALSE()</f>
        <v>0</v>
      </c>
      <c r="J29" s="0" t="n">
        <v>0</v>
      </c>
      <c r="K29" s="0" t="n">
        <v>0</v>
      </c>
      <c r="L29" s="0" t="n">
        <v>0</v>
      </c>
    </row>
    <row r="30" customFormat="false" ht="23.3" hidden="false" customHeight="false" outlineLevel="0" collapsed="false">
      <c r="A30" s="0" t="n">
        <v>28</v>
      </c>
      <c r="B30" s="0" t="s">
        <v>126</v>
      </c>
      <c r="C30" s="1" t="s">
        <v>127</v>
      </c>
      <c r="D30" s="0" t="s">
        <v>20</v>
      </c>
      <c r="E30" s="0" t="s">
        <v>128</v>
      </c>
      <c r="F30" s="0" t="s">
        <v>129</v>
      </c>
      <c r="G30" s="2" t="b">
        <f aca="false">TRUE()</f>
        <v>1</v>
      </c>
      <c r="H30" s="0" t="s">
        <v>130</v>
      </c>
      <c r="I30" s="4" t="b">
        <f aca="false">FALSE()</f>
        <v>0</v>
      </c>
      <c r="J30" s="0" t="n">
        <v>0.333333333333333</v>
      </c>
      <c r="K30" s="0" t="n">
        <v>1</v>
      </c>
      <c r="L30" s="0" t="n">
        <v>0.333333333333333</v>
      </c>
    </row>
    <row r="31" customFormat="false" ht="15" hidden="false" customHeight="false" outlineLevel="0" collapsed="false">
      <c r="A31" s="0" t="n">
        <v>29</v>
      </c>
      <c r="B31" s="0" t="s">
        <v>131</v>
      </c>
      <c r="C31" s="0" t="s">
        <v>132</v>
      </c>
      <c r="D31" s="0" t="s">
        <v>60</v>
      </c>
      <c r="E31" s="0" t="s">
        <v>21</v>
      </c>
      <c r="F31" s="0" t="s">
        <v>21</v>
      </c>
      <c r="G31" s="2" t="b">
        <f aca="false">FALSE()</f>
        <v>0</v>
      </c>
      <c r="H31" s="0" t="s">
        <v>133</v>
      </c>
      <c r="I31" s="5" t="b">
        <f aca="false">FALSE()</f>
        <v>0</v>
      </c>
      <c r="J31" s="0" t="n">
        <v>0</v>
      </c>
      <c r="K31" s="0" t="n">
        <v>0</v>
      </c>
      <c r="L31" s="0" t="n">
        <v>0</v>
      </c>
      <c r="N31" s="0" t="s">
        <v>134</v>
      </c>
    </row>
    <row r="32" customFormat="false" ht="15" hidden="false" customHeight="false" outlineLevel="0" collapsed="false">
      <c r="A32" s="0" t="n">
        <v>30</v>
      </c>
      <c r="B32" s="0" t="s">
        <v>135</v>
      </c>
      <c r="C32" s="0" t="s">
        <v>136</v>
      </c>
      <c r="D32" s="0" t="s">
        <v>25</v>
      </c>
      <c r="E32" s="0" t="s">
        <v>137</v>
      </c>
      <c r="F32" s="0" t="s">
        <v>137</v>
      </c>
      <c r="G32" s="2" t="b">
        <f aca="false">FALSE()</f>
        <v>0</v>
      </c>
      <c r="H32" s="0" t="s">
        <v>138</v>
      </c>
      <c r="I32" s="4" t="b">
        <f aca="false">FALSE()</f>
        <v>0</v>
      </c>
      <c r="J32" s="0" t="n">
        <v>0.5</v>
      </c>
      <c r="K32" s="0" t="n">
        <v>1</v>
      </c>
      <c r="L32" s="0" t="n">
        <v>0.5</v>
      </c>
    </row>
    <row r="33" customFormat="false" ht="56" hidden="false" customHeight="false" outlineLevel="0" collapsed="false">
      <c r="A33" s="0" t="n">
        <v>31</v>
      </c>
      <c r="B33" s="0" t="s">
        <v>139</v>
      </c>
      <c r="C33" s="1" t="s">
        <v>140</v>
      </c>
      <c r="D33" s="0" t="s">
        <v>14</v>
      </c>
      <c r="E33" s="0" t="s">
        <v>141</v>
      </c>
      <c r="F33" s="0" t="s">
        <v>142</v>
      </c>
      <c r="G33" s="2" t="b">
        <f aca="false">TRUE()</f>
        <v>1</v>
      </c>
      <c r="H33" s="0" t="s">
        <v>143</v>
      </c>
      <c r="I33" s="4" t="b">
        <f aca="false">FALSE()</f>
        <v>0</v>
      </c>
      <c r="J33" s="0" t="n">
        <v>0</v>
      </c>
      <c r="K33" s="0" t="n">
        <v>0</v>
      </c>
      <c r="L33" s="0" t="n">
        <v>0</v>
      </c>
    </row>
    <row r="34" customFormat="false" ht="15" hidden="false" customHeight="false" outlineLevel="0" collapsed="false">
      <c r="A34" s="0" t="n">
        <v>32</v>
      </c>
      <c r="B34" s="0" t="s">
        <v>144</v>
      </c>
      <c r="C34" s="0" t="s">
        <v>145</v>
      </c>
      <c r="D34" s="0" t="s">
        <v>146</v>
      </c>
      <c r="E34" s="0" t="s">
        <v>49</v>
      </c>
      <c r="F34" s="0" t="s">
        <v>49</v>
      </c>
      <c r="G34" s="2" t="b">
        <f aca="false">FALSE()</f>
        <v>0</v>
      </c>
      <c r="H34" s="0" t="s">
        <v>147</v>
      </c>
      <c r="I34" s="6" t="b">
        <f aca="false">FALSE()</f>
        <v>0</v>
      </c>
      <c r="J34" s="0" t="n">
        <v>0</v>
      </c>
      <c r="K34" s="0" t="n">
        <v>0</v>
      </c>
      <c r="L34" s="0" t="n">
        <v>0</v>
      </c>
      <c r="N34" s="0" t="s">
        <v>148</v>
      </c>
    </row>
    <row r="35" customFormat="false" ht="34.2" hidden="false" customHeight="false" outlineLevel="0" collapsed="false">
      <c r="A35" s="0" t="n">
        <v>33</v>
      </c>
      <c r="B35" s="1" t="s">
        <v>149</v>
      </c>
      <c r="C35" s="0" t="s">
        <v>150</v>
      </c>
      <c r="D35" s="0" t="s">
        <v>25</v>
      </c>
      <c r="E35" s="0" t="s">
        <v>25</v>
      </c>
      <c r="F35" s="0" t="s">
        <v>25</v>
      </c>
      <c r="G35" s="2" t="b">
        <f aca="false">FALSE()</f>
        <v>0</v>
      </c>
      <c r="H35" s="0" t="s">
        <v>151</v>
      </c>
      <c r="I35" s="2" t="b">
        <f aca="false">TRUE()</f>
        <v>1</v>
      </c>
      <c r="J35" s="0" t="n">
        <v>1</v>
      </c>
      <c r="K35" s="0" t="n">
        <v>1</v>
      </c>
      <c r="L35" s="0" t="n">
        <v>1</v>
      </c>
    </row>
    <row r="36" customFormat="false" ht="23.3" hidden="false" customHeight="false" outlineLevel="0" collapsed="false">
      <c r="A36" s="0" t="n">
        <v>34</v>
      </c>
      <c r="B36" s="1" t="s">
        <v>152</v>
      </c>
      <c r="C36" s="0" t="s">
        <v>153</v>
      </c>
      <c r="D36" s="0" t="s">
        <v>29</v>
      </c>
      <c r="E36" s="0" t="s">
        <v>30</v>
      </c>
      <c r="F36" s="0" t="s">
        <v>30</v>
      </c>
      <c r="G36" s="2" t="b">
        <f aca="false">FALSE()</f>
        <v>0</v>
      </c>
      <c r="H36" s="0" t="s">
        <v>154</v>
      </c>
      <c r="I36" s="5" t="b">
        <f aca="false">FALSE()</f>
        <v>0</v>
      </c>
      <c r="J36" s="0" t="n">
        <v>0</v>
      </c>
      <c r="K36" s="0" t="n">
        <v>0</v>
      </c>
      <c r="L36" s="0" t="n">
        <v>0</v>
      </c>
      <c r="N36" s="0" t="s">
        <v>155</v>
      </c>
    </row>
    <row r="37" customFormat="false" ht="459.75" hidden="false" customHeight="false" outlineLevel="0" collapsed="false">
      <c r="A37" s="0" t="n">
        <v>35</v>
      </c>
      <c r="B37" s="0" t="s">
        <v>156</v>
      </c>
      <c r="C37" s="1" t="s">
        <v>157</v>
      </c>
      <c r="D37" s="0" t="s">
        <v>20</v>
      </c>
      <c r="E37" s="0" t="s">
        <v>100</v>
      </c>
      <c r="F37" s="0" t="s">
        <v>100</v>
      </c>
      <c r="G37" s="2" t="b">
        <f aca="false">FALSE()</f>
        <v>0</v>
      </c>
      <c r="H37" s="0" t="s">
        <v>158</v>
      </c>
      <c r="I37" s="4" t="b">
        <f aca="false">FALSE()</f>
        <v>0</v>
      </c>
      <c r="J37" s="0" t="n">
        <v>0.5</v>
      </c>
      <c r="K37" s="0" t="n">
        <v>1</v>
      </c>
      <c r="L37" s="0" t="n">
        <v>0.5</v>
      </c>
    </row>
    <row r="38" customFormat="false" ht="56" hidden="false" customHeight="false" outlineLevel="0" collapsed="false">
      <c r="A38" s="0" t="n">
        <v>36</v>
      </c>
      <c r="B38" s="0" t="s">
        <v>159</v>
      </c>
      <c r="C38" s="1" t="s">
        <v>160</v>
      </c>
      <c r="D38" s="0" t="s">
        <v>110</v>
      </c>
      <c r="E38" s="0" t="s">
        <v>161</v>
      </c>
      <c r="F38" s="0" t="s">
        <v>49</v>
      </c>
      <c r="G38" s="2" t="b">
        <f aca="false">TRUE()</f>
        <v>1</v>
      </c>
      <c r="H38" s="0" t="s">
        <v>162</v>
      </c>
      <c r="I38" s="5" t="b">
        <f aca="false">FALSE()</f>
        <v>0</v>
      </c>
      <c r="J38" s="0" t="n">
        <v>0</v>
      </c>
      <c r="K38" s="0" t="n">
        <v>0</v>
      </c>
      <c r="L38" s="0" t="n">
        <v>0</v>
      </c>
      <c r="N38" s="0" t="s">
        <v>163</v>
      </c>
    </row>
    <row r="39" customFormat="false" ht="15" hidden="false" customHeight="false" outlineLevel="0" collapsed="false">
      <c r="A39" s="0" t="n">
        <v>37</v>
      </c>
      <c r="B39" s="0" t="s">
        <v>164</v>
      </c>
      <c r="C39" s="0" t="s">
        <v>165</v>
      </c>
      <c r="D39" s="0" t="s">
        <v>110</v>
      </c>
      <c r="E39" s="0" t="s">
        <v>21</v>
      </c>
      <c r="F39" s="0" t="s">
        <v>21</v>
      </c>
      <c r="G39" s="2" t="b">
        <f aca="false">FALSE()</f>
        <v>0</v>
      </c>
      <c r="H39" s="0" t="s">
        <v>166</v>
      </c>
      <c r="I39" s="5" t="b">
        <f aca="false">FALSE()</f>
        <v>0</v>
      </c>
      <c r="J39" s="0" t="n">
        <v>0</v>
      </c>
      <c r="K39" s="0" t="n">
        <v>0</v>
      </c>
      <c r="L39" s="0" t="n">
        <v>0</v>
      </c>
      <c r="N39" s="0" t="s">
        <v>167</v>
      </c>
    </row>
    <row r="40" customFormat="false" ht="132.3" hidden="false" customHeight="false" outlineLevel="0" collapsed="false">
      <c r="A40" s="0" t="n">
        <v>38</v>
      </c>
      <c r="B40" s="0" t="s">
        <v>168</v>
      </c>
      <c r="C40" s="1" t="s">
        <v>169</v>
      </c>
      <c r="D40" s="0" t="s">
        <v>35</v>
      </c>
      <c r="E40" s="0" t="s">
        <v>36</v>
      </c>
      <c r="F40" s="0" t="s">
        <v>35</v>
      </c>
      <c r="G40" s="2" t="b">
        <f aca="false">TRUE()</f>
        <v>1</v>
      </c>
      <c r="H40" s="0" t="s">
        <v>170</v>
      </c>
      <c r="I40" s="2" t="b">
        <f aca="false">TRUE()</f>
        <v>1</v>
      </c>
      <c r="J40" s="0" t="n">
        <v>1</v>
      </c>
      <c r="K40" s="0" t="n">
        <v>1</v>
      </c>
      <c r="L40" s="0" t="n">
        <v>1</v>
      </c>
    </row>
    <row r="41" customFormat="false" ht="15" hidden="false" customHeight="false" outlineLevel="0" collapsed="false">
      <c r="A41" s="0" t="n">
        <v>39</v>
      </c>
      <c r="B41" s="0" t="s">
        <v>171</v>
      </c>
      <c r="C41" s="0" t="s">
        <v>172</v>
      </c>
      <c r="D41" s="0" t="s">
        <v>173</v>
      </c>
      <c r="E41" s="0" t="s">
        <v>174</v>
      </c>
      <c r="F41" s="0" t="s">
        <v>175</v>
      </c>
      <c r="G41" s="2" t="b">
        <f aca="false">TRUE()</f>
        <v>1</v>
      </c>
      <c r="H41" s="0" t="s">
        <v>176</v>
      </c>
      <c r="I41" s="5" t="b">
        <f aca="false">FALSE()</f>
        <v>0</v>
      </c>
      <c r="J41" s="0" t="n">
        <v>0.25</v>
      </c>
      <c r="K41" s="0" t="n">
        <v>0.5</v>
      </c>
      <c r="L41" s="0" t="n">
        <v>0.2</v>
      </c>
      <c r="N41" s="0" t="s">
        <v>155</v>
      </c>
    </row>
    <row r="42" customFormat="false" ht="23.3" hidden="false" customHeight="false" outlineLevel="0" collapsed="false">
      <c r="A42" s="0" t="n">
        <v>40</v>
      </c>
      <c r="B42" s="0" t="s">
        <v>177</v>
      </c>
      <c r="C42" s="1" t="s">
        <v>178</v>
      </c>
      <c r="D42" s="0" t="s">
        <v>82</v>
      </c>
      <c r="E42" s="0" t="s">
        <v>179</v>
      </c>
      <c r="F42" s="0" t="s">
        <v>179</v>
      </c>
      <c r="G42" s="2" t="b">
        <f aca="false">FALSE()</f>
        <v>0</v>
      </c>
      <c r="H42" s="0" t="s">
        <v>180</v>
      </c>
      <c r="I42" s="3" t="b">
        <f aca="false">FALSE()</f>
        <v>0</v>
      </c>
      <c r="J42" s="0" t="n">
        <v>0.25</v>
      </c>
      <c r="K42" s="0" t="n">
        <v>1</v>
      </c>
      <c r="L42" s="0" t="n">
        <v>0.25</v>
      </c>
    </row>
    <row r="43" customFormat="false" ht="15" hidden="false" customHeight="false" outlineLevel="0" collapsed="false">
      <c r="A43" s="0" t="n">
        <v>41</v>
      </c>
      <c r="B43" s="0" t="s">
        <v>181</v>
      </c>
      <c r="C43" s="0" t="s">
        <v>182</v>
      </c>
      <c r="D43" s="0" t="s">
        <v>65</v>
      </c>
      <c r="E43" s="0" t="s">
        <v>183</v>
      </c>
      <c r="F43" s="0" t="s">
        <v>184</v>
      </c>
      <c r="G43" s="2" t="b">
        <f aca="false">TRUE()</f>
        <v>1</v>
      </c>
      <c r="H43" s="0" t="s">
        <v>185</v>
      </c>
      <c r="I43" s="4" t="b">
        <f aca="false">FALSE()</f>
        <v>0</v>
      </c>
      <c r="J43" s="0" t="n">
        <v>0.166666666666667</v>
      </c>
      <c r="K43" s="0" t="n">
        <v>1</v>
      </c>
      <c r="L43" s="0" t="n">
        <v>0.166666666666667</v>
      </c>
    </row>
    <row r="44" customFormat="false" ht="15" hidden="false" customHeight="false" outlineLevel="0" collapsed="false">
      <c r="A44" s="0" t="n">
        <v>42</v>
      </c>
      <c r="B44" s="0" t="s">
        <v>186</v>
      </c>
      <c r="C44" s="0" t="s">
        <v>187</v>
      </c>
      <c r="D44" s="0" t="s">
        <v>188</v>
      </c>
      <c r="E44" s="0" t="s">
        <v>99</v>
      </c>
      <c r="F44" s="0" t="s">
        <v>100</v>
      </c>
      <c r="G44" s="2" t="b">
        <f aca="false">TRUE()</f>
        <v>1</v>
      </c>
      <c r="H44" s="0" t="s">
        <v>189</v>
      </c>
      <c r="I44" s="2" t="b">
        <f aca="false">TRUE()</f>
        <v>1</v>
      </c>
      <c r="J44" s="0" t="n">
        <v>1</v>
      </c>
      <c r="K44" s="0" t="n">
        <v>1</v>
      </c>
      <c r="L44" s="0" t="n">
        <v>1</v>
      </c>
    </row>
    <row r="45" customFormat="false" ht="15" hidden="false" customHeight="false" outlineLevel="0" collapsed="false">
      <c r="A45" s="0" t="n">
        <v>43</v>
      </c>
      <c r="B45" s="0" t="s">
        <v>190</v>
      </c>
      <c r="C45" s="0" t="s">
        <v>191</v>
      </c>
      <c r="D45" s="0" t="s">
        <v>192</v>
      </c>
      <c r="E45" s="0" t="s">
        <v>193</v>
      </c>
      <c r="F45" s="0" t="s">
        <v>194</v>
      </c>
      <c r="G45" s="2" t="b">
        <f aca="false">TRUE()</f>
        <v>1</v>
      </c>
      <c r="H45" s="0" t="s">
        <v>195</v>
      </c>
      <c r="I45" s="5" t="b">
        <f aca="false">FALSE()</f>
        <v>0</v>
      </c>
      <c r="J45" s="0" t="n">
        <v>0.5</v>
      </c>
      <c r="K45" s="0" t="n">
        <v>0.333333333333333</v>
      </c>
      <c r="L45" s="0" t="n">
        <v>0.25</v>
      </c>
      <c r="N45" s="0" t="s">
        <v>196</v>
      </c>
    </row>
    <row r="46" customFormat="false" ht="121.4" hidden="false" customHeight="false" outlineLevel="0" collapsed="false">
      <c r="A46" s="0" t="n">
        <v>44</v>
      </c>
      <c r="B46" s="0" t="s">
        <v>197</v>
      </c>
      <c r="C46" s="1" t="s">
        <v>198</v>
      </c>
      <c r="D46" s="0" t="s">
        <v>82</v>
      </c>
      <c r="E46" s="0" t="s">
        <v>21</v>
      </c>
      <c r="F46" s="0" t="s">
        <v>21</v>
      </c>
      <c r="G46" s="2" t="b">
        <f aca="false">FALSE()</f>
        <v>0</v>
      </c>
      <c r="H46" s="0" t="s">
        <v>199</v>
      </c>
      <c r="I46" s="4" t="b">
        <f aca="false">FALSE()</f>
        <v>0</v>
      </c>
      <c r="J46" s="0" t="n">
        <v>0</v>
      </c>
      <c r="K46" s="0" t="n">
        <v>0</v>
      </c>
      <c r="L46" s="0" t="n">
        <v>0</v>
      </c>
    </row>
    <row r="47" customFormat="false" ht="15" hidden="false" customHeight="false" outlineLevel="0" collapsed="false">
      <c r="A47" s="0" t="n">
        <v>45</v>
      </c>
      <c r="B47" s="0" t="s">
        <v>200</v>
      </c>
      <c r="C47" s="0" t="s">
        <v>201</v>
      </c>
      <c r="D47" s="0" t="s">
        <v>202</v>
      </c>
      <c r="E47" s="0" t="s">
        <v>203</v>
      </c>
      <c r="F47" s="0" t="s">
        <v>203</v>
      </c>
      <c r="G47" s="2" t="b">
        <f aca="false">FALSE()</f>
        <v>0</v>
      </c>
      <c r="H47" s="0" t="s">
        <v>204</v>
      </c>
      <c r="I47" s="4" t="b">
        <f aca="false">FALSE()</f>
        <v>0</v>
      </c>
      <c r="J47" s="0" t="n">
        <v>0.333333333333333</v>
      </c>
      <c r="K47" s="0" t="n">
        <v>1</v>
      </c>
      <c r="L47" s="0" t="n">
        <v>0.333333333333333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205</v>
      </c>
      <c r="C1" s="0" t="s">
        <v>206</v>
      </c>
      <c r="D1" s="0" t="s">
        <v>207</v>
      </c>
      <c r="E1" s="0" t="s">
        <v>208</v>
      </c>
      <c r="F1" s="0" t="s">
        <v>209</v>
      </c>
      <c r="G1" s="0" t="s">
        <v>210</v>
      </c>
    </row>
    <row r="2" customFormat="false" ht="15" hidden="false" customHeight="false" outlineLevel="0" collapsed="false">
      <c r="A2" s="0" t="s">
        <v>65</v>
      </c>
      <c r="B2" s="0" t="n">
        <v>6</v>
      </c>
      <c r="C2" s="0" t="n">
        <v>6</v>
      </c>
      <c r="D2" s="0" t="n">
        <v>8</v>
      </c>
      <c r="E2" s="0" t="n">
        <v>0</v>
      </c>
      <c r="F2" s="0" t="s">
        <v>211</v>
      </c>
      <c r="G2" s="0" t="s">
        <v>212</v>
      </c>
    </row>
    <row r="3" customFormat="false" ht="15" hidden="false" customHeight="false" outlineLevel="0" collapsed="false">
      <c r="A3" s="0" t="s">
        <v>35</v>
      </c>
      <c r="B3" s="0" t="n">
        <v>7</v>
      </c>
      <c r="C3" s="0" t="n">
        <v>7</v>
      </c>
      <c r="D3" s="0" t="n">
        <v>8</v>
      </c>
      <c r="E3" s="0" t="n">
        <v>0</v>
      </c>
      <c r="F3" s="0" t="s">
        <v>211</v>
      </c>
      <c r="G3" s="0" t="s">
        <v>213</v>
      </c>
    </row>
    <row r="4" customFormat="false" ht="15" hidden="false" customHeight="false" outlineLevel="0" collapsed="false">
      <c r="A4" s="0" t="s">
        <v>60</v>
      </c>
      <c r="B4" s="0" t="n">
        <v>3</v>
      </c>
      <c r="C4" s="0" t="n">
        <v>1</v>
      </c>
      <c r="D4" s="0" t="n">
        <v>12</v>
      </c>
      <c r="E4" s="0" t="n">
        <v>2</v>
      </c>
      <c r="F4" s="0" t="s">
        <v>214</v>
      </c>
      <c r="G4" s="0" t="s">
        <v>215</v>
      </c>
    </row>
    <row r="5" customFormat="false" ht="15" hidden="false" customHeight="false" outlineLevel="0" collapsed="false">
      <c r="A5" s="0" t="s">
        <v>82</v>
      </c>
      <c r="B5" s="0" t="n">
        <v>4</v>
      </c>
      <c r="C5" s="0" t="n">
        <v>1</v>
      </c>
      <c r="D5" s="0" t="n">
        <v>2</v>
      </c>
      <c r="E5" s="0" t="n">
        <v>3</v>
      </c>
      <c r="F5" s="0" t="s">
        <v>216</v>
      </c>
      <c r="G5" s="0" t="s">
        <v>214</v>
      </c>
    </row>
    <row r="6" customFormat="false" ht="15" hidden="false" customHeight="false" outlineLevel="0" collapsed="false">
      <c r="A6" s="0" t="s">
        <v>25</v>
      </c>
      <c r="B6" s="0" t="n">
        <v>5</v>
      </c>
      <c r="C6" s="0" t="n">
        <v>4</v>
      </c>
      <c r="D6" s="0" t="n">
        <v>4</v>
      </c>
      <c r="E6" s="0" t="n">
        <v>1</v>
      </c>
      <c r="F6" s="0" t="s">
        <v>217</v>
      </c>
      <c r="G6" s="0" t="s">
        <v>218</v>
      </c>
    </row>
    <row r="7" customFormat="false" ht="15" hidden="false" customHeight="false" outlineLevel="0" collapsed="false">
      <c r="A7" s="0" t="s">
        <v>20</v>
      </c>
      <c r="B7" s="0" t="n">
        <v>7</v>
      </c>
      <c r="C7" s="0" t="n">
        <v>4</v>
      </c>
      <c r="D7" s="0" t="n">
        <v>1</v>
      </c>
      <c r="E7" s="0" t="n">
        <v>3</v>
      </c>
      <c r="F7" s="0" t="s">
        <v>219</v>
      </c>
      <c r="G7" s="0" t="s">
        <v>217</v>
      </c>
    </row>
    <row r="8" customFormat="false" ht="15" hidden="false" customHeight="false" outlineLevel="0" collapsed="false">
      <c r="A8" s="0" t="s">
        <v>49</v>
      </c>
      <c r="B8" s="0" t="n">
        <v>3</v>
      </c>
      <c r="C8" s="0" t="n">
        <v>3</v>
      </c>
      <c r="D8" s="0" t="n">
        <v>13</v>
      </c>
      <c r="E8" s="0" t="n">
        <v>0</v>
      </c>
      <c r="F8" s="0" t="s">
        <v>211</v>
      </c>
      <c r="G8" s="0" t="s">
        <v>220</v>
      </c>
    </row>
    <row r="9" customFormat="false" ht="15" hidden="false" customHeight="false" outlineLevel="0" collapsed="false">
      <c r="A9" s="0" t="s">
        <v>21</v>
      </c>
      <c r="B9" s="0" t="n">
        <v>1</v>
      </c>
      <c r="C9" s="0" t="n">
        <v>1</v>
      </c>
      <c r="D9" s="0" t="n">
        <v>10</v>
      </c>
      <c r="E9" s="0" t="n">
        <v>0</v>
      </c>
      <c r="F9" s="0" t="s">
        <v>211</v>
      </c>
      <c r="G9" s="0" t="s">
        <v>221</v>
      </c>
    </row>
    <row r="10" customFormat="false" ht="15" hidden="false" customHeight="false" outlineLevel="0" collapsed="false">
      <c r="A10" s="0" t="s">
        <v>222</v>
      </c>
      <c r="B10" s="0" t="n">
        <v>0</v>
      </c>
      <c r="C10" s="0" t="n">
        <v>0</v>
      </c>
      <c r="D10" s="0" t="n">
        <v>2</v>
      </c>
      <c r="E10" s="0" t="n">
        <v>0</v>
      </c>
      <c r="F10" s="0" t="s">
        <v>223</v>
      </c>
      <c r="G10" s="0" t="s">
        <v>224</v>
      </c>
    </row>
    <row r="11" customFormat="false" ht="15" hidden="false" customHeight="false" outlineLevel="0" collapsed="false">
      <c r="A11" s="0" t="s">
        <v>202</v>
      </c>
      <c r="B11" s="0" t="n">
        <v>1</v>
      </c>
      <c r="C11" s="0" t="n">
        <v>1</v>
      </c>
      <c r="D11" s="0" t="n">
        <v>0</v>
      </c>
      <c r="E11" s="0" t="n">
        <v>0</v>
      </c>
      <c r="F11" s="0" t="s">
        <v>211</v>
      </c>
      <c r="G11" s="0" t="s">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225</v>
      </c>
      <c r="B1" s="0" t="s">
        <v>226</v>
      </c>
      <c r="C1" s="0" t="s">
        <v>227</v>
      </c>
    </row>
    <row r="2" customFormat="false" ht="15" hidden="false" customHeight="false" outlineLevel="0" collapsed="false">
      <c r="A2" s="0" t="s">
        <v>228</v>
      </c>
      <c r="B2" s="0" t="s">
        <v>229</v>
      </c>
      <c r="C2" s="0" t="n">
        <v>46</v>
      </c>
    </row>
    <row r="3" customFormat="false" ht="15" hidden="false" customHeight="false" outlineLevel="0" collapsed="false">
      <c r="A3" s="0" t="s">
        <v>230</v>
      </c>
      <c r="B3" s="0" t="s">
        <v>231</v>
      </c>
      <c r="C3" s="0" t="n">
        <v>46</v>
      </c>
    </row>
    <row r="4" customFormat="false" ht="15" hidden="false" customHeight="false" outlineLevel="0" collapsed="false">
      <c r="A4" s="0" t="s">
        <v>232</v>
      </c>
      <c r="B4" s="0" t="s">
        <v>233</v>
      </c>
      <c r="C4" s="0" t="n">
        <v>46</v>
      </c>
    </row>
    <row r="5" customFormat="false" ht="15" hidden="false" customHeight="false" outlineLevel="0" collapsed="false">
      <c r="A5" s="0" t="s">
        <v>234</v>
      </c>
      <c r="B5" s="0" t="s">
        <v>231</v>
      </c>
      <c r="C5" s="0" t="n">
        <v>46</v>
      </c>
    </row>
    <row r="6" customFormat="false" ht="15" hidden="false" customHeight="false" outlineLevel="0" collapsed="false">
      <c r="A6" s="0" t="s">
        <v>235</v>
      </c>
      <c r="B6" s="0" t="s">
        <v>236</v>
      </c>
      <c r="C6" s="0"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2026-07-21T05:35:24Z</dcterms:created>
  <dc:creator>openpyxl</dc:creator>
  <dc:description/>
  <dc:language>en-GB</dc:language>
  <cp:lastModifiedBy/>
  <dcterms:modified xsi:type="dcterms:W3CDTF">2026-07-21T13:59:18Z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