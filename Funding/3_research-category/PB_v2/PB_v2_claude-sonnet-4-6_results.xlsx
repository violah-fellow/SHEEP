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<sst xmlns="http://schemas.openxmlformats.org/spreadsheetml/2006/main" count="600" uniqueCount="395">
  <si>
    <t xml:space="preserve">id</t>
  </si>
  <si>
    <t xml:space="preserve">title</t>
  </si>
  <si>
    <t xml:space="preserve">abstract</t>
  </si>
  <si>
    <t xml:space="preserve">research_category</t>
  </si>
  <si>
    <t xml:space="preserve">raw_predicted_categories</t>
  </si>
  <si>
    <t xml:space="preserve">predicted_categories</t>
  </si>
  <si>
    <t xml:space="preserve">other_clash</t>
  </si>
  <si>
    <t xml:space="preserve">reasoning_LLM</t>
  </si>
  <si>
    <t xml:space="preserve">exact_match</t>
  </si>
  <si>
    <t xml:space="preserve">row_precision</t>
  </si>
  <si>
    <t xml:space="preserve">row_recall</t>
  </si>
  <si>
    <t xml:space="preserve">row_jaccard</t>
  </si>
  <si>
    <t xml:space="preserve">Notes</t>
  </si>
  <si>
    <t xml:space="preserve">A strong pulse - resilient Swedish grain legume supply from field and factory to fork</t>
  </si>
  <si>
    <t xml:space="preserve">Resilient supply of domestic grain legumes for human food will increase Sweden’s disaster preparedness and feed the population in an uncertain future. Grain legume cultivation and processing will increase food system resilience by added nutrients, less need for fertilizer, low environmental impact, and exploiting growing conditions in Sweden. This project aims to create a more sustainable, resilient food system by expanding Swedish capacity for growing plant-based proteins; optimizing production chains by increasing primary production of grain legumes; and developing novel foods from a plant-based intermediary (hydrogel). In work package (WP1), we will simulate expanded Swedish grain legume production and assess economic and environmental impacts. In WP2, we will optimize potential Swedish grain legumes as model substrates and develop pre-treatments to reduce anti-nutritional factors and off-flavors, moderate particle size and improve gel stabilization in plant-based proteins. WP3 will investigate interactions between protein gel matrix and flavor additives to improve texture, sensory properties and flavor release in the food matrix. In WP4, we will assess the resilience of primary and secondary domestic grain legume production and evaluate effects on resilience of exposure to severe disturbances. Policy support will be developed in WP5, in close collaboration with researchers in food science, agricultural economics and policy, and environmental science and technology.</t>
  </si>
  <si>
    <t xml:space="preserve">Crop development, Ingredient optimisation</t>
  </si>
  <si>
    <t xml:space="preserve">Ingredient optimisation, End product formulation, Impact assessments, Other</t>
  </si>
  <si>
    <t xml:space="preserve">Ingredient optimisation, End product formulation, Impact assessments</t>
  </si>
  <si>
    <t xml:space="preserve">WP2 funds ingredient optimisation (pre-treatments to reduce anti-nutritional factors, improve functionality of grain legume proteins), WP3 funds end product formulation (hydrogel-based food matrix with texture, sensory, and flavor work), WP1 funds impact assessment (economic and environmental simulation of expanded production), and WP4/WP5 fund supply chain resilience analysis and policy support which fall under Other.</t>
  </si>
  <si>
    <t xml:space="preserve">Agree. Doesn’t say any crop development, just expands crop growing and uses the crops for plant-based food.</t>
  </si>
  <si>
    <t xml:space="preserve">Optimising the sensorial and nutritional value of plant based milk alternatives</t>
  </si>
  <si>
    <t xml:space="preserve">Plant based milk alternative (PBMA) sales increased 33% between 2015 and 2017 (Wired, 2018) and according to a recent Mintel report almost a quarter (23%) of Brits are using these products, with many now choosing oat-based alternatives that are considered the most sustainable. Sensory quality (aroma, taste &amp; mouthfeel) Oat milk-alternatives (OMAs) contain a variety of non-volatile tastants (sugars, polyphenolics) and volatile aroma compounds (predominantly lipid and Maillard derived) that contribute to the product's aroma and taste, and that are affected by thermal treatment. However, crucial to acceptability of OMAs is the extent of astringency and mouthdrying. Oats contain aventhramides (phenolic alkaloids) and avenacosides (saponins), which may contribute to astringency through binding to salivary proteins, thus reducing lubrication. In addition, protein fortification leads to an alternative form of mouthdrying. Previous research at the University of Reading has shown that fortification of beverages with whey protein causes a drying sensation, building over repeated consumption, which correlates with the adhesion of protein to the oral cavity (mucoadhesion) and is influenced by salivary flow. We propose that plant proteins may also cause mucoadhesion and contribute to the mouth drying phenomena. Nutritional quality Bovine milk makes a substantial positive impact on the nutritional composition of western diets, particularly through the provision of high quality protein with a complete amino acid profile, calcium in a bioavailable form, and iodine. UoS have expertise in protein quality and mineral bioavailability. Protein: In comparison to plant proteins, whey and casein are complete protein sources, which lead more readily to muscle synthesis. Bovine milk contains 3.4% protein compared to just 0.3 to 1.0 % (w/v) typically in commercial OMAs. Oat protein consists predominantly of globulin; characterised by its high lysine content making it nutritionally superior to other cereal proteins. Calcium in bovine milk is more bioavailable than from other sources because the lactose and calcium phosphopeptides in the milk promote its absorption (as does vitamin D), whereas absorption is hindered in plant sources by substances such as oxalates and phytates. These anti-nutritional compounds form insoluble complexes reducing absorption. Beta-glucans: Oats are high in b-glucans, soluble fibre leading to slower absorption of carbohydrates with benefits such as improved blood sugar control, lowering cholesterol, improved immune function. These benefits need to be considered alongside the known positive effect that bovine milk proteins have on blood pressure and on insulin stimulation in relation to type 2 diabetes. Polyphenolics and Sterols: The aventhramides in oats have anti-inflammatory, antiatherosclerosis and anticancer effects whilst the avenacosides have been noted for cholesterol lowering effects.</t>
  </si>
  <si>
    <t xml:space="preserve">Texturization methods</t>
  </si>
  <si>
    <t xml:space="preserve">Ingredient optimisation, End product formulation, Health &amp; nutrition</t>
  </si>
  <si>
    <t xml:space="preserve">The grant funds ingredient-level investigation of oat protein, polyphenolics, and minerals (Ingredient optimisation), formulation and sensory characterisation of oat milk alternatives including mouthfeel and astringency (End product formulation), and nutritional/physiological outcome studies on protein quality, mineral bioavailability, beta-glucans, and health effects (Health &amp; nutrition); consumer market data is cited only as background context.</t>
  </si>
  <si>
    <t xml:space="preserve">Agree with LLM.</t>
  </si>
  <si>
    <t xml:space="preserve">Identifying and understanding obstacles for sustainable food consumption with meat substitutes as a case study</t>
  </si>
  <si>
    <t xml:space="preserve">To achieve a sustainable food consumption, it
 is important that consumers reduces his/her meat consumption in favor of
 plant-based protein products. The last ten years the steady increase of meat
 consumption has subsided, but previous 50 years of unprecedented increase in
 meat consumption this is not enough. The main objective of the project is to
 obtain knowledge on how to increase the consumption of meat substitutes. The
 target goal is that consumers should have two-three vegetarian alternatives
 among their most common everyday dishes.Earlier defined obstacles for a
 decreased meat consumption shows that they can be divided into three types:
 affective, i.e., how we feel about the product; cognitive, i.e., how we think
 about the product and the information on e.g., labels and third the sensory
 profile, i.e., how the food taste and smell. Using a transdisciplinary
 approach covering economics, psychology and sensory science we intend for a
 holistic understanding of the obstacles facing the consumer. The project will
 be conducted using a set of studies on humans, including focus groups,
 surveys, cooking observations, home-use tests, sensory profiling and
 experimental measures. With ingoing measurements, the most salient parameters
 will be defined.This enables a continued product development for improved
 meat substitute products as well as information to stakeholders on how
 stronger incitements for a sustainable food consumption can be targeted.</t>
  </si>
  <si>
    <t xml:space="preserve">Consumer &amp; market research</t>
  </si>
  <si>
    <t xml:space="preserve">The grant explicitly funds consumer research activities including focus groups, surveys, cooking observations, home-use tests, sensory profiling, and experimental measures to understand affective, cognitive, and sensory obstacles to meat substitute consumption — all of which fall squarely within consumer behaviour and market research.</t>
  </si>
  <si>
    <t xml:space="preserve">APPLICATION OF THERMOEXTRUSION TO OBTAIN A TEXTURED BEAN PROTEIN WITH AN IMPROVED NUTRITIONAL AND POTENTIALLY FUNCTIONAL PROFILE.</t>
  </si>
  <si>
    <t xml:space="preserve">Currently, one of the most impactful trends in the food sector is to improve consumer health by improving the planet, making food an allie of the ecosystem in which it is produced. Today's enormous environmental and socioeconomic problems have raised awareness among consumers, and it is accepted that the production of animal protein in intensive systems is a highly demanding process, both in terms of energy and natural resources, which must be controlled. FOR THIS REASON, THE POSSIBILITY OF MANUFACTURING PROTEIN-RICH FOODS (MEAT ANALOGUES) FROM PLANT SOURCES (LEGUMINE PROTEIN) AS AN ALTERNATIVE TO ANIMAL PROTEIN HAS AROUSED GREAT INTEREST. 
Plants are a widely available and low-cost source of protein, and legumes, such as broad beans, are an interesting alternative among plants, as they provide slow-digesting carbohydrates, vitamins K and B, minerals, phytochemicals, high fiber content, non-digestible carbohydrates, and resistant starch. THE PROPOSAL CONTEMPLATES THE USE OF BOTH THE BROAD BEAN POD, WITH WHICH WE WOULD OBTAIN AN INGREDIENT INTENDED TO ENRICH THE TEXTURED PRODUCT, AND THE TEXTURED PRODUCT ITSELF, MADE FROM THE LEGUME FLOUR, USING THE THERMOEXTRUSION PROCESS. THE TECHNOLOGICAL PARAMETERS OF THE EXTRUSION PROCESS WILL DETERMINE THE TEXTURAL CHARACTERISTICS OF THE FINAL PRODUCT, AND COULD AFFECT THE VIABILITY OF THE BIOLOGICAL ACTIVITY OF THE INGREDIENTS ADDED AFTER THE OPTIMIZATION OF THE DRYING AND FREEZE-DRYING PROCESSES DEVELOPED TO ENRICH IT. IT IS ABOUT COMBINING PROCESSES AND INGREDIENTS TO OBTAIN A PROTEIN TEXTURE WITH AN IMPROVED AND POTENTIALLY FUNCTIONAL NUTRITIONAL PROFILE, TAKING ADVANTAGE OF THE BENE POD (V. FABA). THE INTENDED THIS IS TO CONTRIBUTE TO A PERSONALIZED AND SUSTAINABLE DIET FOR THE POPULATION, ESPECIALLY WITH REGARD TO CERTAIN SECTORS SUCH AS PEOPLE WITH LITTLE OR NO MEAT CONSUMPTION, OR THOSE WHO, DUE TO THEIR SPECIAL REQUIREMENTS, COULD BE CONSUMERS OF THIS TYPE OF FOOD, WHO, PRESUMABLY, WOULD SEE THEIR GLUCOSE METABOLISM MINIMALLY ALTERED (OBESE, DIABETICS OR CELIACS) AS WELL AS ATHLETES WHO PRACTICE LONG-DURATION SPORTS. WE ARE THEREFORE FACING A HUGE ECONOMIC OPPORTUNITY, WHERE CONSUMER EXPECTATIONS ARE EVOLVING TOWARD AN INTERESTING NICHE MARKET.
THE MAIN OBJECTIVE AND CHALLENGE FOCUSES ON OPTIMIZING THE EXTRUSION PROCESS AND DEVELOPING INGREDIENTS FROM BEAN BROADS, WITH THE AIMS OF CONTRIBUTING TO THE PERSONALIZATION AND SUSTAINABILITY OF DIETS.</t>
  </si>
  <si>
    <t xml:space="preserve">Ingredient optimisation, Texturization methods</t>
  </si>
  <si>
    <t xml:space="preserve">The grant funds two core activities: (1) optimising the thermoextrusion process to achieve desired textural characteristics in a bean-based meat analogue (Texturization methods), and (2) developing and optimising ingredients from broad bean flour and pod (including drying/freeze-drying processes) to enrich the textured product with improved nutritional and functional profiles (Ingredient optimisation); consumer and health benefits are mentioned only as motivation/context.</t>
  </si>
  <si>
    <t xml:space="preserve">Agree – with ingredient optimisation broadly included.</t>
  </si>
  <si>
    <t xml:space="preserve">Ocean Bite</t>
  </si>
  <si>
    <t xml:space="preserve">Purpose and goal: The objectives of the project were: (1) Design a lab scale fabrication process; (2) Produce a seaweed-based food prototype with a texture that reassembles meat and/or seafoods; (3) Investigate the structure/morphology formation and related product characteristics; (4) Derive guidelines to scale up the process and product development. The project fulfilled the overall objectives,various prototypes have been produced that led to the identification of a plant-based seafood as targeted product. Two processes were tested and identified as potential for scaling-up. Expected results and effects: Prototypes, containing seaweed suspensions and extract, and plant proteins, were produced using a lab scale fabrication process. Their mechanical and sensory properties led to the identification of targeted products, which are plant-based seafood. Plant proteins suitable for this application were classified, based on their solubility and sensory properties. Two scale up processes were tested, and their challenges and benefits were assessed. Further development of the product prototypes and processes is needed to optimize the sensory perception and nutritional composition. Approach and implementation: The project was managed by RISE Research Institutes of Sweden AB. The work was performed experimentally, and it was organized in two work packages: WP1 process design and WP2 product design. The methodology consists in combining aspects like raw materials and products properties, process, and sensory characteristics. Process and product design scientists from RISE worked together with experts in seafood analogues from Hooked Foods AB.</t>
  </si>
  <si>
    <t xml:space="preserve">Texturization methods, End product formulation</t>
  </si>
  <si>
    <t xml:space="preserve">Ingredient optimisation, End product formulation, Texturization methods</t>
  </si>
  <si>
    <t xml:space="preserve">The grant funds lab-scale fabrication process design (Texturization methods), production and characterisation of seaweed/plant-protein seafood prototypes with sensory evaluation (End product formulation), and classification of plant proteins by solubility and sensory properties for this application (Ingredient optimisation); no consumer research, safety, health, or impact assessment activities are funded.</t>
  </si>
  <si>
    <t xml:space="preserve">Sustainable use of marine and industrial waters to unlock the potential of seaweeds as a future food source</t>
  </si>
  <si>
    <t xml:space="preserve">Seaweed farming offers a unique possibility to feed the growing global population without putting further pressure on access to land and fresh water.Also, there is no need for fertilizers but rather a net uptake of nutrients, thereby mitigating eutrophication.
Seaweed farming offers a unique possibility to feed the growing global population without putting further pressure on access to land and fresh water. Also, there is no need for fertilizers but rather a net uptake of nutrients, thereby mitigating eutrophication. SUSWEED aims at releasing the potential of Swedish seaweed as a future sustainable food source according to models which have positive effects on both marine and industrial waters. This will be achieved via development of novel cultivation techniques for Ulva fenestrata and Palmaria palmata based both in the ocean and as part of a system to purify nutrient-rich food industry process waters. Harvested seaweed will be stabilized and pre-processed into tasty, nutritious, and safe intermediate raw materials to incorporate in new fish-based and vegan food products. These are developed to reach broad acceptance for seaweed as a new sustainable food commodity. SUSWEED puts great emphasis on solving non-technical challenges of the new industrial symbiosis between seaweed farmers and generators of process waters and other resources which can make the seaweed industry more sustainable. Safety is carefully addressed by monitoring levels of heavy metals and their accessibility for uptake. The project is built on a strong multidisciplinary partnership with industries and academia which has pioneered the development of state-of-the-art research and applications concerning seaweed in Sweden during the last 10 years.</t>
  </si>
  <si>
    <t xml:space="preserve">End product formulation, Crop development, Ingredient optimisation</t>
  </si>
  <si>
    <t xml:space="preserve">Crop development, Ingredient optimisation, End product formulation, Food safety &amp; quality, Consumer &amp; market research</t>
  </si>
  <si>
    <t xml:space="preserve">The grant funds novel seaweed cultivation techniques (Crop development), processing of harvested seaweed into intermediate ingredients (Ingredient optimisation), development of fish-based and vegan food products (End product formulation), heavy metal safety monitoring (Food safety &amp; quality), and consumer acceptance research for broad market adoption (Consumer &amp; market research).</t>
  </si>
  <si>
    <t xml:space="preserve">No consumer research but otherwise correct.</t>
  </si>
  <si>
    <t xml:space="preserve">Sustainable Hemp innovations - From waste to win</t>
  </si>
  <si>
    <t xml:space="preserve">Purpose and goal: ** Denna text är maskinöversatt ** The project mainly aimed to acquire new knowledge and new skills about hemp, its cultivation ability and the extraction possibility of hemp protein, properties and potential for use in new foods The aim was to use this knowledge to develop new or improved types of processes and product prototypes in the dairy and meat analogue segment for the vegan and vegetarian market, thereby increasing the resource efficiency of Swedish-grown hemp and creating economic and environmental sustainability. Expected results and effects: The project resulted in new knowledge and the development of an extraction process that was tested in scale-up trials. The properties of the extracted protein proved to have great potential to be used for various types of food applications. The protein has been used in the production of extruded meat analogs for which a new type of extrusion process has been developed that reduces energy consumption by over 70%, as well as the production of ice cream prototypes. In addition, meat analogs based on commercial hemp concentrate and gluten or chickpea have been developed and sensory tested. Approach and implementation: All participants of the project team ensured that the content, structure, and implementation both maintained a high scientific level and that the results were relevant to the activities of the industrial partners. The work packages were carried out according to the plans and well anchored in the project´s overall objective, and the project team´s knowledge and skills were utilized and strengthened. Regular project meetings and activities created an open and equal atmosphere where everyone had a say and everyone´s opinions and ideas were well received.</t>
  </si>
  <si>
    <t xml:space="preserve">Ingredient optimisation, End product formulation</t>
  </si>
  <si>
    <t xml:space="preserve">The grant funds hemp protein extraction process development (Ingredient optimisation), development of meat analogue and ice cream prototypes with sensory testing (End product formulation), and a novel extrusion process reducing energy consumption for meat analogues (Texturization methods).</t>
  </si>
  <si>
    <t xml:space="preserve">Continuing the development of sustainable plant-based proteins</t>
  </si>
  <si>
    <t xml:space="preserve">PAN Sweden is coordinated by Örebro University and studies how plant-based protein sources can be processed into tasty and nutritious products. The centre aims to make Sweden a world leader in sustainably produced plant-based protein foods.
Agricultural cooperative Lantmännen is one of the key actors involved in PAN Sweden, and contributes its extensive knowledge of plant-based proteins. The new grant from Formas will allow the centre to continue its research for another four years.</t>
  </si>
  <si>
    <t xml:space="preserve">cross-cutting</t>
  </si>
  <si>
    <t xml:space="preserve">Crop development, Ingredient optimisation, End product formulation, Health &amp; nutrition</t>
  </si>
  <si>
    <t xml:space="preserve">The abstract describes a broad plant-based protein research centre covering processing of plant proteins into nutritious and tasty products, implying ingredient optimisation, end product formulation, and health/nutrition research as core activities, while other categories lack explicit mention of funded activities.</t>
  </si>
  <si>
    <t xml:space="preserve">Animal-Identical, Plant-Grown: Molecular Farming for healthy and natural alternative meat ingredients</t>
  </si>
  <si>
    <t xml:space="preserve">This project is for the delivery of
 sustainably produced ingredients for healthier alternative proteins, We grow
 our animal-identical proteins inside the biomass of crop plants in a
 molecular farming approach. Project outcomes are prototypes of animal-identical
 protein to enhance the taste and quality of existing meat alternative
 offerings, In so doing, we enable wider adoption of products that directly
 contribute to bettering of our climate emergency and greater health of
 existing plant-based alternative meat offerings.</t>
  </si>
  <si>
    <t xml:space="preserve">Target molecule selection</t>
  </si>
  <si>
    <t xml:space="preserve">Crop development, End product formulation</t>
  </si>
  <si>
    <t xml:space="preserve">The grant funds recombinant production of animal-identical proteins in crop plants (Crop development) and development of prototype meat alternative products incorporating these proteins (End product formulation); health and climate benefits are mentioned only as motivations.</t>
  </si>
  <si>
    <t xml:space="preserve">Maximising potential of plant-based convenience foods in real-life sustainable diets.</t>
  </si>
  <si>
    <t xml:space="preserve">Reducing meat and dairy consumption is essential to mitigate climate change, but sustainable plant-based diets must be realistic, particularly given the cost-of-living crisis. This project will assess the potential of appealing, nutritionally balanced plant-based convenience foods to overcome barriers to sustainable diets. We will compare plant-based ready meals to home-cooked meals on dimensions of cost, convenience, appeal, nutrition, greenhouse gas (GHG) emissions. We will analyse real-life food decisions of young women in the transition to sustainable diets and co-create scenarios with them illustrating computationally modelled trade-offs between key dimensions. Creative illustrations and scenario narratives will provide accessible insights for policymakers to feed into successful, realistic policy. Using these outputs, we will work with our UK policy partners (heath and climate) to co-produce policy options and actionable climate change mitigation solutions with health co-benefits. Key goals - Quantify cost, preparation time, GHG emissions and nutrition of plant-based ready meals and home-cooked meals; - Compute GHG emission reductions of substituting meat-based meals with plant- based ready meals; - Analyse real-life food decisions and potential impacts of plant-based convenience foods; - Identify trade-offs of dimensions associated with plant-based convenience foods; - Create visuals and narratives depicting scenarios for realistic sustainable diets; - Co-produce with policymakers context-relevant options for policy development.</t>
  </si>
  <si>
    <t xml:space="preserve">Consumer &amp; market research, Impact assessments, Other</t>
  </si>
  <si>
    <t xml:space="preserve">Consumer &amp; market research, Impact assessments</t>
  </si>
  <si>
    <t xml:space="preserve">The grant funds consumer/market research (real-life food decisions, barriers, trade-offs, appeal of plant-based convenience foods among young women), impact assessments (GHG emissions quantification and modelling, cost analysis), and policy co-production activities (Other), with no substantive research into ingredient, product, or processing development.</t>
  </si>
  <si>
    <t xml:space="preserve">IMPACT OF ALTERNATIVE PROTEIN SOURCES TO IMPROVE NUTRITION (IMPROVE)</t>
  </si>
  <si>
    <t xml:space="preserve">IMPROVE aims at evaluating the nutritional, health, safety and quality aspects together with the environmental and socio-economic impacts of protein novel foods (NFs) obtained from unconventional sources. In order to close the project loop by maximizing the positive impact on the transition towards healthier, protein NFs, the overall approach to alternative protein production in IMPROVE is based on utilization of selected agri-food and fisheries&amp;acquaculture by-products as primary feedstock as well as on the utilization of natural protein producers, i.e. fungi, bacteria, insects micro- and macroalgae. The secondary by-products formed along the value chain will be up-cycled for their use in the food production cycle or for the production of process energy.
The obtained proteins will undergo modification and functionalization followed by a sensory evaluation and testing in food human trials and in aquaculture as feed ingredients. The project will also test the feasibility of producing NF products by simulating realistic industrial scale, using different methods and tools such as LCA, LCC, RA, TEA and AO as well as Digital Twins and real time AI-driven monitoring and DSS tools. The optimization of parameters affecting the protein NF production will be evaluated at the end to increase protein content and the impact assessment evaluated on each single stage (extraction, characterization, modification/functionalization of protein rich fraction, production of NFs) and on the integrated processes. IMPROVE NF acceptance and social relevance –also through sensory evaluation actions- will be assessed in four markets (Europe, USA, Africa and Asia) to benchmark the European scenario with the rest of the world. Only by using an integrated approach like the one proposed in IMPROVE will it be possible to evaluate the correct feasibility in the use of alternative proteins in the food sector with a realistic sustainable approach.</t>
  </si>
  <si>
    <t xml:space="preserve">Strain development</t>
  </si>
  <si>
    <t xml:space="preserve">Ingredient optimisation, End product formulation, Food safety &amp; quality, Health &amp; nutrition, Consumer &amp; market research, Impact assessments</t>
  </si>
  <si>
    <t xml:space="preserve">The grant funds ingredient modification/functionalization (Ingredient optimisation), production of novel food products with sensory evaluation (End product formulation), safety and quality assessments (Food safety &amp; quality), human food trials measuring nutritional/health outcomes (Health &amp; nutrition), consumer acceptance and sensory evaluation across four global markets (Consumer &amp; market research), and explicit LCA/LCC/TEA/RA impact assessments (Impact assessments).</t>
  </si>
  <si>
    <t xml:space="preserve">Optimized shelf life and food safety of plant-based foods</t>
  </si>
  <si>
    <t xml:space="preserve">The project will find organic solutions to extend the shelf
life of plant-based products such as fresh vegetable
mince and heat-treated products.
The organic solutions, which primarily concern additives
and ingredients in processed, plant-based products, will
be a combination of natural antimicrobial compounds from
plants, plant ferments or antimicrobial microorganisms
that will contribute to good taste and shelf life.</t>
  </si>
  <si>
    <t xml:space="preserve">Food safety &amp; quality</t>
  </si>
  <si>
    <t xml:space="preserve">Ingredient optimisation, End product formulation, Food safety &amp; quality</t>
  </si>
  <si>
    <t xml:space="preserve">The grant funds research into natural antimicrobial compounds and plant ferments as ingredients (Ingredient optimisation), their integration into finished plant-based products to extend shelf life (End product formulation), and microbial/chemical safety assessment of those products (Food safety &amp; quality).</t>
  </si>
  <si>
    <t xml:space="preserve">SeaFibre -Development of High-fibre food products with Gut health benefits using Innovative Seaweed Fibre Ingredient.</t>
  </si>
  <si>
    <t xml:space="preserve">In the UK and Europe less than 90% of the population consume enough fibre in their diet. Alongside this large-scale public health issue, there is pressing need to reduce the climate (25% of global GHG emissions) and biodiversity (86% of species extinction risk) impact of food production.
SeaFibre project is developing a solution to provide a novel dietary fibre ingredient that simultaneously reduce the environmental impact of food products. Oceanium Ltd, based in Scotland, has developed a unique complex fibre product from seaweed called OCEAN HEALTH NUTRA, which is high in dietary fibre and contains multiple other valuable nutrients. This product is manufactured using mild processing techniques from brown seaweed (kelp) farmed in the north Atlantic; a plant resource that requires no land, fresh-water, pesticides, or fertiliser for production and which enhances biodiversity while mitigating ocean eutrophication (fuelled by run-off from terrestrial farming). Oceanium uses unique biorefinery technology to convert whole farmed seaweed into OCEAN HEALTH NUTRA, bioactive supplements, cosmetic ingredients, feed ingredients and innovative materials/ packaging solutions and is working towards zero-waste and net-zero processing.
In SeaFibre project Oceanium, who are members of the Diet and Health Open Innovation Research Club (OIRC)**,** will develop and test prototype plant-based meat, bread and smoothies fortified with OCEAN HEALTH NUTRA fibre. Project partners at University of Reading will test the digestibility and potential gut health benefits of OCEAN HEALTH NUTRA using simulated gut models. Project success will unlock the future development of OCEAN HEALTH NUTRA as a mainstream dietary fibre ingredient, with potential beneficial public-health impact, generating annual revenues of \&gt;£20M by 2030, enabling the growth of large scale seaweed farming in the north Atlantic, creating jobs in fragile coastal communities and capturing innovation value for the UK economy.</t>
  </si>
  <si>
    <t xml:space="preserve">End product formulation</t>
  </si>
  <si>
    <t xml:space="preserve">The grant funds: optimisation of a seaweed-derived fibre ingredient (OCEAN HEALTH NUTRA) via biorefinery processing (Ingredient optimisation); development of prototype plant-based meat, bread, and smoothies fortified with this ingredient (End product formulation); and in vitro digestibility and gut health testing using simulated gut models (Health &amp; nutrition); environmental and economic benefits are mentioned only as background context.</t>
  </si>
  <si>
    <t xml:space="preserve">Ratio2FoodDesign - Application of Rational Food Design for product development in the area of innovative protein sources</t>
  </si>
  <si>
    <t xml:space="preserve">The development of outstanding, non-animal products that are intended to imitate animal products requires interdisciplinary expertise in the areas of food physics, process engineering, sensory evaluation and consumer studies, which is a challenge for small and medium-sized enterprises (SMEs) and start-ups. In the Ratio2Food innovation camp, a tailor-made training program was developed to equip the participating companies with the tools of rational food design and enable them to develop innovative analog products. The program combined theoretical and practical units with discussion opportunities to generate applicable knowledge. Impulse lectures by international speakers also provided new ideas and suggestions.</t>
  </si>
  <si>
    <t xml:space="preserve">End product formulation, Consumer &amp; market research, Other</t>
  </si>
  <si>
    <t xml:space="preserve">End product formulation, Consumer &amp; market research</t>
  </si>
  <si>
    <t xml:space="preserve">The grant funds a training/innovation camp for SMEs covering rational food design for analog product development (End product formulation), consumer studies (Consumer &amp; market research), and a structured training/education program (Other), rather than fundamental research into ingredients, texturization, safety, or health outcomes.</t>
  </si>
  <si>
    <t xml:space="preserve">MEATigation: Towards sustainable meat-use in Norwegian food practices for climate mitigation</t>
  </si>
  <si>
    <t xml:space="preserve">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</si>
  <si>
    <t xml:space="preserve">Consumer &amp; market research, Other</t>
  </si>
  <si>
    <t xml:space="preserve">This grant is primarily a social sciences study investigating how meat is embedded in Norwegian food practices and how to promote sustainable meat-use, involving consumer/household research, dietary interventions, and stakeholder engagement — fitting Consumer &amp; market research and Other (policy advice, public engagement, RRI); no funded research activities relate to ingredient development, product formulation, safety, or quantitative impact assessments.</t>
  </si>
  <si>
    <t xml:space="preserve">Understanding 'protein valuation - the key to reducing meat consumption?</t>
  </si>
  <si>
    <t xml:space="preserve">Protein is a critical component of our diet, essential for numerous physiological processes like cell tissue maintenance (Casteneda et al., 1995). As such, protein is central to the debate about meat consumption, and consumers often have concerns about the lack of protein in vegetarian/vegan ('vegan') diets (Reipurth et al., 2019). It is likely these concerns have a biological basis. Evidence for this would support the broader concept that humans possess 'nutritional wisdom': the ability to unconsciously recognise and seek out different foods that together provide optimal nutritional intake. Three groups of protein sources will be compared: meat, meat-alternative products (e.g. the Vegetarian Butcher) and naturally-occurring plant-based sources (e.g. legumes).
Protein valuation
In non-human animals there is strong support for the ability to ensure dietary protein requirements are met. This behaviour is observed in the Chacma baboon (Johnson et al., 2013), spider monkeys (Felton et al., 2009), and even insects such as caterpillars (Dussutour et al., 2007). Many suspect that the same mechanism has been conserved and is expressed in humans. However, this remains to be demonstrated conclusively, and novel methods are needed.
One approach is to feed people a low protein-diet, placing them in a state of protein depletion. However, these studies are expensive, and the results can be difficult to interpret. For instance, Griffieon-Roose et al. (2012) reported that protein depletion caused a preference for savoury foods, but this might just reflect a general tendency to select foods that have been missing from the diet. More recently, Buckley et al. (2019) trialed a new food-choice paradigm, providing stronger evidence for 'protein valuation' in humans. Specifically, they demonstrated preferential selection of foods based on protein content and argued that this reflects a capacity to detect and respond to small differences in protein. Interestingly, they also found participants who showed stronger protein valuation were more likely to have higher fat-free muscle mass later in life.
Critical questions about protein valuation remain unanswered. Does protein valuation exist (do humans unconsciously select foods based on protein content)? Do individuals express different levels of protein valuation and what methods are best suited to detect this hidden human capacity? Theoretically, these questions are novel and exciting, and their resolution has the potential to explain resistance to a vegan diet, further exposing ways to encourage a dietary transition that delivers a healthier and more sustainable future.
Objectives
This project will be the first to systematically expose evidence for protein valuation in humans. Building on this, it will show how this understanding can be used to promote the adoption of sustainable diets.
Section 1: Methods for measuring protein valuation will be developed from online decision-making tasks. Contributions of current diet, different sources of protein, and different amino acid combinations will be examined.
Section 2: The role of protein valuation in dietary transition will be investigated in two ways:
a. A longitudinal study will investigate the temporal dynamics of dietary transition and whether this is predicted by individual differences in valuation.
b. A two-month exposure study will assess whether meat-alternative products can promote changes in protein valuation and improved or earlier dietary transition.</t>
  </si>
  <si>
    <t xml:space="preserve">Impact assessments</t>
  </si>
  <si>
    <t xml:space="preserve">Health &amp; nutrition, Consumer &amp; market research</t>
  </si>
  <si>
    <t xml:space="preserve">The grant funds studies on human protein valuation (a physiological/behavioural response to protein content in foods) as a health/nutrition endpoint, and investigates dietary transition behaviour and food choice decision-making related to meat alternatives, qualifying as both Health &amp; nutrition and Consumer &amp; market research.</t>
  </si>
  <si>
    <t xml:space="preserve">Biocontrol of fermented meat alternatives: Evaluation of protective cultures for biocontrol and development of a multiplex qPCR method for the quantification of Bacillus spp. and protective culture strains</t>
  </si>
  <si>
    <t xml:space="preserve">Strain development , Bioprocess design</t>
  </si>
  <si>
    <t xml:space="preserve">Strain development, Food safety &amp; quality</t>
  </si>
  <si>
    <t xml:space="preserve">The grant funds strain development through evaluation and selection of protective cultures for biocontrol in fermented meat alternatives, and food safety work through development of a multiplex qPCR method for quantifying Bacillus spp. and protective culture strains in these products.</t>
  </si>
  <si>
    <t xml:space="preserve">Agree with LLM. Doesn’t sound like bioprocess design at all.</t>
  </si>
  <si>
    <t xml:space="preserve">Scaling a first-in-class biostructuring process for whole-cut meat alternatives</t>
  </si>
  <si>
    <t xml:space="preserve">Planted is a food-tech company with a mission to reduce excessive meat consumption by providing delicious, nutritive, and sustainable plant-based meat substitutes. With our proprietary biostructuring technology - MyFibre, we provide unmatched replication of the taste, texture, and juiciness of whole-cut meats. With the STEAKED project, we aim to drive a further shift in consumer choices and save up to 4 million animal lives equalling a CO2 reduction of 80% compared to animal meat consumption.</t>
  </si>
  <si>
    <t xml:space="preserve">The grant centres on scaling a proprietary biostructuring/texturization process (MyFibre) to replicate whole-cut meat texture, making Texturization methods the primary funded research activity; consumer impact and CO2 reduction are stated as motivations rather than funded research activities.</t>
  </si>
  <si>
    <t xml:space="preserve">Knowledge platform: tailoring food protein functionality by rationaI design of fibrillar structures (PROFIBFUN)</t>
  </si>
  <si>
    <t xml:space="preserve">To address the overall growing demand for sustainable high-quality food systems, it is ofutmost importance to generate basic knowledge of food constituents in general andprotein functionality and the impact of processing thereupon in particular. Many animalprotein types including those from eggs have relatively good foaming, emulsifying andgelation properties. Several knowledge gaps currently hinder their partial or fullreplacement by proteins from vegetable origin. Technologies which improve the technofunctionalproperties of proteins would be helpful when trying to reduce the levels ofanimal proteins in food systems, and/or to replace them by vegetable proteins.Furthermore, increasing the functionality of animal and vegetable proteins can lower theuse of food additives impacting on food structure and texture.In this context, research on food protein fibril formation holds much promise as it canprovide a scientific basis for improving the techno-functional properties of proteins (e.g.in gels, foams, and emulsions). A specific kind of protein fibrils are the amyloid fibrils.These are mainly studied in a medical context. Much less data is available on amyloidfibrils from food proteins. These are typically produced under specific experimentalconditions which are not necessarily relevant in the context of food processing. Whetheramyloid fibrils are present in current consumed foods is unclear. It is reasonable to assume that engineering approaches can be exploited to tailor food protein technofunctionalproperties. However, the success of such approaches depends on in-depthknowledge of the kinetics of fibril formation and the molecular characteristics (e.g. coreregions) of the obtained fibrils. A knowledge platform will enable rational design ofprotein fibrils with techno-functional properties specifically directed at improving thequality and/or processability of food systems while at the same time having neutral orpositive impacts on health.</t>
  </si>
  <si>
    <t xml:space="preserve">Ingredient optimisation</t>
  </si>
  <si>
    <t xml:space="preserve">The grant focuses on understanding and engineering protein fibril (amyloid) formation to improve techno-functional properties (gelation, foaming, emulsification) of both animal and vegetable proteins, which is squarely ingredient optimisation; no other categories represent substantive funded research activities.</t>
  </si>
  <si>
    <t xml:space="preserve">Lupin and soybean – pioneering new plant-based foods in Denmark [Lupin&amp;SoyFoods]</t>
  </si>
  <si>
    <t xml:space="preserve">The purpose of the project is to establish Danish cultivation of lupin and soybeans with good nutritional
properties and low climate and environmental footprint, for human consumption. The project works to strengthen the entire
processing for sale of lupin and soybeans as food
the value chain from cultivation, quality control, over goods. This will be done, among other things, through optimization of cultivation gene, studies of processing properties and determination of climate and environmental impact.</t>
  </si>
  <si>
    <t xml:space="preserve">Crop development</t>
  </si>
  <si>
    <t xml:space="preserve">Crop development, Ingredient optimisation, End product formulation, Food safety &amp; quality, Health &amp; nutrition, Impact assessments</t>
  </si>
  <si>
    <t xml:space="preserve">The grant covers the full value chain: crop cultivation optimisation (Crop development), processing properties of lupin and soy ingredients (Ingredient optimisation), development of food products for human consumption (End product formulation), quality control and safety assessment (Food safety &amp; quality), nutritional properties (Health &amp; nutrition), and explicit climate/environmental impact assessment (Impact assessments).</t>
  </si>
  <si>
    <t xml:space="preserve">Agree with LLM. After checking the grant directly only, it is correct – it is a very expansive grant that does not just cover crops.</t>
  </si>
  <si>
    <t xml:space="preserve">Functional Plant Proteins as Food Ingredients</t>
  </si>
  <si>
    <t xml:space="preserve">This research project investigates the complex molecular properties of lipoproteins in eggs that are important for food functions such as emulsification, foaming and gelation. There is still a lack of knowledge about how the specific molecular components in the eggs interact and how they can be replaced with plant-based ingredients. This understanding is essential to identify suitable plant proteins with similar properties and enable the development of egg substitutes based on plant proteins</t>
  </si>
  <si>
    <t xml:space="preserve">The grant focuses on understanding molecular properties of plant proteins (emulsification, foaming, gelation) to identify suitable egg-replacing ingredients, which is squarely ingredient optimisation; no finished product formulation, texturization, or other categories are substantively funded.</t>
  </si>
  <si>
    <t xml:space="preserve">Taking the last steps to realize Swedish peas as a local protein source (SwedPea)</t>
  </si>
  <si>
    <t xml:space="preserve">Almost all the peas farmed in Sweden
 currently goes to feed while peas are among the most sustainable local
 protein sources adapted to the Swedish climate. Urgent actions are therefore
 needed to shift the Swedish pea value chain from animal feed to food. The
 goal of the SwedPea project is to build upon the knowledge generated in a
 series of collaborations between Chalmers and Lantmännen to fill in the
 remaining crucial gaps and realize Swedish peas as a local protein source.
 Using an interdisciplinary team and 3 work packages, we will (i) engineer the
 Swedish pea value chain to mitigate off-flavors and antinutrients in pea
 proteins, (ii) demonstrate and optimize our developed pea stabilization and
 biorefinery technologies on a pilot scale, and finally (iii) validate Swedish
 pea proteins as an alternative protein source by exploring their application
 potential across various market segments, assessing their sensory and
 consumer acceptance, and evaluating their competitiveness compared to other
 commercially available ingredients. SwedPea outcomes will be adapted by
 Lantmännen for the industrial production of pea proteins in their upcoming
 pea biorefinery factory. SwedPea will also promote the adaption of locally
 produced pea protein ingredients by both the food industry and Swedish
 consumers, driving the shift towards plant-based foods and making a
 real-world impact.</t>
  </si>
  <si>
    <t xml:space="preserve">Ingredient optimisation, Consumer &amp; market research</t>
  </si>
  <si>
    <t xml:space="preserve">The grant funds ingredient optimisation (mitigating off-flavours and antinutrients in pea proteins, pilot-scale biorefinery/stabilisation technologies) and consumer/market research (sensory and consumer acceptance testing, competitiveness assessment across market segments), with no substantive activities in the other categories.</t>
  </si>
  <si>
    <t xml:space="preserve">Manufacture of sunflower protein preparations with reduced polyphenol contents from oil recovery residues for use in food</t>
  </si>
  <si>
    <t xml:space="preserve">Previous efforts to obtain protein products from vegetable raw materials often did not lead to marketable products because it was not possible to achieve sufficient functionality and at the same time an acceptable sensor system with reasonable effort. However, sunflower proteins are a promising alternative because they do not have an undesirable aftertaste and because of the positive image of sunflower products they have a high level of consumer acceptance. They also have good functional properties that are comparable to those of soy protein. The aim of the project is to exploit the extraction residue from oil production from sunflowers as a protein-rich, previously hardly used raw material source for human nutrition. For this purpose, an innovative production process for sunflower proteins is to be developed, in which the aim is to obtain the proteins contained as completely as possible under gentle conditions with simultaneous separation of polyphenols in order to be able to use them as functional ingredients in different foods. The utilization of the residue from sunflower oil production for human nutrition opens up new sales markets for medium-sized companies in the oil mill industry and users from the confectionery, soup and sauce industry as well as ingredient manufacturers have opportunities for product diversification. The industrial associations, the Federal Association of the German Southern Goods Industry, the Association of the Soup Industry and the Association of German Oil Manufacturers, support the implementation of this planned project and in particular the SMEs represented in the associations see the use of sunflower proteins as an opportunity to diversify their product range through the production of innovative products and for added value. This secures market shares, strengthens competitiveness and at the same time leads to the development of new high-quality foods.</t>
  </si>
  <si>
    <t xml:space="preserve">The grant focuses on developing an innovative extraction process to obtain sunflower proteins from oil production residues (side streams) with simultaneous polyphenol removal to improve functionality and sensory properties, which is squarely Ingredient Optimisation; consumer acceptance and market opportunities are mentioned only as background motivation.</t>
  </si>
  <si>
    <t xml:space="preserve">Development of autonomous incubator for the production of a microalgae, Arthrospira platensis</t>
  </si>
  <si>
    <t xml:space="preserve">In the western countries, food transition began. An increasing number of consumers take an interest to the sustainable food, produced in short circuit, towards the substitution of animal-derived proteins for the benefit of vegetable proteins. Among the plant substitutes in the most promising growth potential are microalgae. These are defined by the WHO as one of the most useful food for the future of the humanity. Spirulina, is the most cultivated microalgae. Every year in Belgium, around 30 tons of dried spirulina are imported and the imports increase by 20 % every year. Well known for its exceptional contents in proteins, Iron and B12 vitamin, spirulina contains more than 100 nutriments easily absorbed by our body. Besides its numerous nutritional qualities, spirulina a photosynthetic organism, presents numerous environmental assets. Indeed, his production does not require that very few water, energy, floor surface and is very ecological.So, to answer the increasing request of high</t>
  </si>
  <si>
    <t xml:space="preserve">Bioprocess design</t>
  </si>
  <si>
    <t xml:space="preserve">Other</t>
  </si>
  <si>
    <t xml:space="preserve">The grant focuses on developing an autonomous incubator for spirulina (microalgae) production, which is a manufacturing/cultivation technology development that does not fit into any of the specific alternative protein research categories.</t>
  </si>
  <si>
    <t xml:space="preserve">Microalgae in an incubator / fermentor should be categorised as Fermentation, not PB.</t>
  </si>
  <si>
    <t xml:space="preserve">Lupin Loop: The Revolutionary Food
  Ingredient</t>
  </si>
  <si>
    <t xml:space="preserve">**Lupin** is an under-explored crop that has a great potential to replace imported soya for both livestock feed and as human food due to its high quality/quantity protein composition that is equivalent to soya and outcompeting peas/beans. Diversification of protein crops f**or human nutrition** is key to address food security challenges and net zero targets.
Lupin has a high growth potential under the climate of both UK and Canada, and sustainably producing lupin in both countries opens up a ga**me-changing opportunity for the plant-based protein supply chain** as well as does the potential of using other lupin compounds (lipids, fibres) that have not yet been fully explored for food ingredient purposes.
This project is looking at the **improvement of region-specific agronomy traits** of lupin production, the crop's direct utilisation in the form of a **range of ingredients** (proteins, lipids, fibres) and the application of these ingredients into a **region specific** (North-America and UK/Europe) **food product portfolio**.
This project is an opportunity to move forward the lupin supply chain and consequently the plant-based alternative protein sector. **This project will deliver:**
* improved agronomy for lupin growing in Canada and UK
* sweet, bitter-free lupin flour
* a suite of lupin ingredients (proteins/fibres/lipids) suitable for food production
* region specific food product portfolios for speciality markets
**The UK-consortium** is led by an SME, **SPG Innovation** partnered with **SoyaUK**, leading UK lupins seed supplier and agronomy advice company, the **University of Leeds** and **CHAP** (Crop Health and Protection Ltd, currently trading as the UK Agri-Tech Centre). **The Canadian consortium** is led by an SME, **Lupin Platform Ltd**, who are the leading lupin supplier in Canada and partnered up with **NRC Canada**, a government funded leading innovation platform.</t>
  </si>
  <si>
    <t xml:space="preserve">Crop development, Ingredient optimisation, End product formulation</t>
  </si>
  <si>
    <t xml:space="preserve">The grant funds agronomy improvement for lupin crops (Crop development), development of a suite of lupin ingredients including proteins, lipids, and fibres (Ingredient optimisation), and creation of region-specific food product portfolios (End product formulation).</t>
  </si>
  <si>
    <t xml:space="preserve">Infant formula: Alternative protein study and regulatory roadmap</t>
  </si>
  <si>
    <t xml:space="preserve">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</si>
  <si>
    <t xml:space="preserve">Food safety &amp; quality, Health &amp; nutrition, Other</t>
  </si>
  <si>
    <t xml:space="preserve">Food safety &amp; quality, Health &amp; nutrition</t>
  </si>
  <si>
    <t xml:space="preserve">The grant funds a feasibility study and regulatory roadmap to identify suitable hypoallergenic plant-based proteins for infant formula, covering safety and efficacy assessment (Food safety &amp; quality), nutritional suitability for infant health outcomes (Health &amp; nutrition), and regulatory/policy pathway development (Other); no substantive ingredient processing, product formulation, texturization, consumer research, or impact assessment activities are funded.</t>
  </si>
  <si>
    <t xml:space="preserve">Sustainable everyday nutrition with a taste of Gotland</t>
  </si>
  <si>
    <t xml:space="preserve">Purpose and goal: The project resulted in two organic plant-based minced products (växtfärs) under the brand name "Smak av SVEA". Through gentle manufacturing the products have good formability and structure and, in comparison with current corresponding products on the market, a good nutritional profile. The climate footprint at the industrial gate is below 0.4 kg CO2e/kg. The project has shown that all-Swedish production and Swedish organic ingredients can result in tasty, sustainable and nutritious products at a competitive price on the market. Expected results and effects: All objectives in the project have been met and several have been exceeded. The products meet the criteria for approved nutritional claims within high protein content, low fat content, low saturated fat content and high fiber content. Smak av Svea Växtfärs meets all the set criteria to be labeled with the Keyhole symbol. The climate impact of Smak by Svea Växtfärs is low in relation to nutritional content. By using completely natural ingredients, mild process and without industrial additives, the side streams from the manufacture are basically non-existent. Approach and implementation: The project was carried out in different work packages that focused on sustainable nutrition, product development, sustainable production and process implementation, customers and market and project management. The various work packages have been allowed to work partly in parallel. The area is relatively new and the project had to start with establishing terminology, methods and requirements for important quality aspects. Analysis of the climate impact was carried out by RISE at the end of the project when there was an industrial production with real quantitative data.</t>
  </si>
  <si>
    <t xml:space="preserve">End product formulation, Health &amp; nutrition</t>
  </si>
  <si>
    <t xml:space="preserve">End product formulation, Impact assessments</t>
  </si>
  <si>
    <t xml:space="preserve">The grant funded development of finished plant-based minced products (end product formulation) with nutritional profiling and sensory evaluation, and included a quantitative climate impact/LCA analysis conducted by RISE using real production data (impact assessment); no separate ingredient optimisation, texturization innovation, consumer research, or strain development activities were funded.</t>
  </si>
  <si>
    <t xml:space="preserve">Toward a Plant-Based Future? Contested Imaginaries of Sustainability Transition in Denmark’s Agriculture and Food System.</t>
  </si>
  <si>
    <t xml:space="preserve">While recent years have seen a surge in plant-based food alternatives, such as “fake meat” and lab-grown alternative proteins, the need to drastically reduce animal production, prompted by the imminent threat of climate collapse, remains a key policy challenge. This project revolves around contested imaginaries of plant-based future of food and competing assessments of the role of technologies in substituting animal protein with plant-based sources of food. Over a period of twelve months, I engage in ethnographic research in professional contexts to explore how Danish food manufacturers, food activists and policy-makers navigate the intricate challenge of influencing the transition. The overarching aim of this research is threefold: 1) to uncover how deeply ingrained social norms and culture surrounding animal consumption impact the development of new plant-based food technologies, 2) to examine how these emerging technologies shape key transition actors’ visions and strategies for the animal-to-plant-based transition, and 3) to investigate how the visions of technological food innovation impact the policy trajectory of the sustainability transformation of Denmark’s food system. Through this comprehensive inquiry, I aim to shed light on the multifaceted dynamics underlying the shift towards a plant-based food system and contribute to public information regarding decision-making in the area of agriculture and food.</t>
  </si>
  <si>
    <t xml:space="preserve">This is an ethnographic social science study examining contested imaginaries, social norms, and policy trajectories around plant-based food transitions in Denmark, with no funded research activities in any of the technical or market research categories.</t>
  </si>
  <si>
    <t xml:space="preserve">Synergizing chemistry and data science to enhance plant-based food development</t>
  </si>
  <si>
    <t xml:space="preserve">Plant-based meat analogues are an important part of the solution to the climate crisis. These meat analogues are produced by extrusion, which creates a fibrous structure similar to that of animal meat. However, existing meat analogues do not always meet consumer expectations for texture and taste. This project aims to improve the quality of plant-based meat analogues by using local protein sources such as peas and oats, which are more sustainable than imported soybeans. By combining protein chemistry, spectroscopy, quality assessment and advanced data analysis, we will investigate how different proteins behave during extrusion and how we can optimize the process to create better products. Our goal is to create a deeper understanding of how plant proteins can be converted into meat-like structures. This will make it possible to produce delicious plant-based foods that both satisfy consumer demands and promote a greener transition. This research will also benefit the food industry by providing new tools and methods to improve product development and production efficiency. Overall, the project will support the green transition by providing sustainable and attractive alternatives to animal-based foods.
</t>
  </si>
  <si>
    <t xml:space="preserve">The grant funds research into how pea and oat proteins behave during extrusion (ingredient optimisation), optimisation of the extrusion process to create fibrous meat-like structures (texturization methods), and development of better plant-based meat analogue products with quality assessment (end product formulation); consumer expectations and sustainability are cited as motivation only.</t>
  </si>
  <si>
    <t xml:space="preserve">SMART PROTEIN</t>
  </si>
  <si>
    <t xml:space="preserve">It is undeniable that protein is an indispensable part of the human diet, but the way we produce and consume it today presents many challenges, in terms of both global consumption patterns and their social, environmental and economic impacts. Providing a growing global population with healthy diets from sustainable food systems is therefore an immediate challenge. SMART PROTEIN aims to industrially validate and demonstrate innovative, cost-effective and resource-efficient, EU-produced, nutritious plant (fava bean, lentil, chickpea, quinoa) and microbial biomass proteins from edible fungi by up-cycling side streams from pasta (pasta residues), bread (bread crust) and beer (spent yeast and malting rootlets) industries. The alternative SMART protein will be used for the production of ingredients and products for direct human consumption, through developing future-proofed protein supply chains with a positive impact on bio-economy, environment, biodiversity, human nutrition, food and nutrition security and consumer trust and acceptance. These priorities will be addressed through global partnerships forged with consortium members from Europe, North America, Israel, Thailand and New Zealand to develop and demonstrate a climate-smart, sustainable protein-food system for a healthy Europe. We will harness plant and microbial protein knowledge to significantly enhance the sustainability and resilience of a new European protein supply chain, improve professional skills and competencies, and support the creation of new jobs in the food sector and bioeconomy.</t>
  </si>
  <si>
    <t xml:space="preserve">Ingredient optimisation, End product formulation, Health &amp; nutrition, Consumer &amp; market research, Impact assessments</t>
  </si>
  <si>
    <t xml:space="preserve">The grant funds ingredient development from plant and microbial side streams (ingredient optimisation), finished product formulation for human consumption (end product formulation), nutritional outcomes (health &amp; nutrition), consumer trust and acceptance research (consumer &amp; market research), and sustainability/supply chain impact assessment (impact assessments), while crop breeding, strain development, texturization, and food safety are not explicitly funded activities.</t>
  </si>
  <si>
    <t xml:space="preserve">Occurrence and thermal stability of the mycotoxin citrinin</t>
  </si>
  <si>
    <t xml:space="preserve">Citrinin is a mycotoxin produced by Aspergillus, Penicillium and Monascus species found predominantly in the lower µg/kg range in cereals and in much lower concentrations in processed cereal samples. This difference clearly demonstrates that food processing has a strong impact on citrinin levels. Furthermore, recent human biomonitoring data show that citrinin is detectable in the majority of the analyzed European urine samples in the lower ng/mL range. The human biomonitoring data and the discrepancy between citrinin levels in raw material and processed cereals clearly demonstrate that there is a gap between exposure calculated from food intake and occurrence data. It has been shown that citrinin is a reactive mycotoxin which can be converted to degradation products when heated in pure solutions or as solid. However, studies describing thermal reactions of citrinin in the presence of realistic food matrices as well as the potential binding of citrinin to matrix-components have not been performed yet and are the subject of this proposal. Using model compounds mimicking food constituents such as carbohydrates, reducing sugars and proteins the formation of degradation and reaction products of citrinin will be investigated. In a second step, the thermal degradation of citrinin in complex matrices will be studied during classical thermal processing such as baking and extrusion cooking. The identification of degradation products will be first performed based on HPLC-HRMS followed by isolation and NMR-based structure elucidation. For the detection of matrix-bound forms of citrinin, samples obtained from baking and extrusion cooking with high reduction rates of citrinin will be enzymatically or chemically hydrolyzed and analyzed for monomers of matrix-bound forms of citrinin. Furthermore, the release (and metabolism) of matrix-bound forms of citrinin in the gastrointestinal tract will be studied using the pig cecum model. The cytotoxicity of formed degradation products will be investigated in cell culture experiments. Finally, citrinin, potential thermal degradation products as well as matrix-bound forms of citrinin will be quantified in commercially available food samples in order to estimate the relevance for human exposure.</t>
  </si>
  <si>
    <t xml:space="preserve">This grant is focused on the occurrence, thermal stability, degradation products, and human exposure assessment of the mycotoxin citrinin in food matrices, which is a food safety and contaminant research activity; health/nutrition is not the primary endpoint despite gastrointestinal release studies, as the central question is safety-relevant exposure and toxicological characterisation.</t>
  </si>
  <si>
    <t xml:space="preserve">Enhancing biodiversity and ecosystem services through legume production and dietary change (BiodiversityField2Fork)</t>
  </si>
  <si>
    <t xml:space="preserve">Background and rationale: Agricultural production is essential for humans but can pose a threat to biodiversity and ecosystem services. It has led to significant decline in biodiversity due to intensification and land use change. Impacts are driven by food consumption patterns, particularly by animal-based foods. Legumes play a key role in substituting animal protein. A transition to a more plant-based diet, combined with increased legume cultivation, is therefore a promising pathway to reduce environmental impacts and improve both biodiversity and ecosystem services both in Switzerland and abroad.Overall objectives: The BiodiversityField2Fork project aims to assess the potential for increasing biodiversity and ecosystem services through the dual pathways of a dietary shift towards more plant-based foods and the simultaneous cultivation of more food legumes in Switzerland.Specific aims: The following research questions will be answered:1.How can a legume-based food system be designed to enhance ecosystem services and improve biodiversity conditions compared to the current food system, while ensuring that the population receives an adequate amount and quality of nutrition?2.How do changes in dietary patterns and cropping systems influence agricultural land use and land-use change, both domestically and abroad, and what potential does this transformation have for biodiversity conditions and the provision of ecosystem services?3.What are the synergies and trade-offs between the provision of ecosystem services, enhancement of biodiversity, other environmental impacts such as climate change and eutrophication and the nutritional needs of the population in the transition to a more legume-based food system?4.What are the promoting and hindering factors for this transition, caused by conflicting stakeholder interests, and how could barriers be overcome?5.What are the most promising pathways for a transition to a more legume-based food system that enhances biodiversity and ecosystem services, considering factors such as crop selection, production methods, and consumer acceptance?Methods: The project will follow an iterative process, starting with a transdisciplinary co-creation process, which will lay the foundation for the products, consumption scenarios and transition pathways to be analysed and discuss interim results as well as the need to change modelling assumptions. We will assess the impact of legume crops and cropping systems on biodiversity and ecosystem services using the SALCA method (Swiss Agricultural Life Cycle Assessment). The relevant legume-based food products, value chains and diets and their impact on biodiversity and ecosystem services will be evaluated. With the SWISSfoodSys model, we will simulate scenarios for the whole Swiss food system with increased legume production and consumption and their impact on domestic agricultural production, import volumes of foods and feeds. We will simulate scenarios that are optimized for their impact on biodiversity and ecosystem services. The global impact of these scenarios on biodiversity and ecosystem services will be assessed using the FABIO (food and agriculture biomass input output) model together with multi-regional input-output data.Expected results: We will provide scientific evidence of the impact of specific legume cropping and legume-based food systems on biodiversity and ecosystem services, taking a holistic view of worldwide impacts and linking them to other environmental impacts (including climate change) and economic indicators. We will calculate the impact of legume crops and cropping systems as well as legume-based food value chains and diets in Switzerland on biodiversity and ecosystem services. Simultaneously, we will investigate the quantity and origin of foods and feeds imported into Switzerland and their impact on biodiversity and ecosystem services abroad. These data will be used to calculate the impact of the whole Swiss food system on biodiversity and ecosystem services for a number of scenarios with an increased legume production and consumption. These scenarios will be optimized for their biodiversity and ecosystem service impact. The outputs we generate will be geared towards stakeholders (fact sheets, discussions at workshops, entries on agripedia.ch, policy briefs) as well as the scientific community.Impact: Our research project will provide scientific evidence for addressing urgent challenges to biodiversity and ecosystem services by targeting food production and consumption as a key levers. We analyse interactions between all relevant points in the value chain and will produce actionable results for key stakeholders, disseminating knowledge directly to practitioners and consumers. With an improved understanding of the impacts of the food system on biodiversity and the benefits of promoting ecosystem services, we expect stakeholders to become more strongly motivated to enact change along the dual pathways of changing agricultural land use in Switzerland and adapting the Swiss food system to enhance biodiversity and ecosystem services.</t>
  </si>
  <si>
    <t xml:space="preserve">Impact assessments, Other</t>
  </si>
  <si>
    <t xml:space="preserve">The grant primarily funds system-level impact assessments (LCA via SALCA, food system modelling via SWISSfoodSys and FABIO) of legume-based dietary transitions on biodiversity and ecosystem services, with a transdisciplinary stakeholder co-creation process that falls under 'Other'; consumer acceptance is mentioned only as a contextual factor, not a funded research activity.</t>
  </si>
  <si>
    <t xml:space="preserve">Stopped reviewing here – already did a bunch previously and everything so far is correct and looking really good!</t>
  </si>
  <si>
    <t xml:space="preserve">ADAPTide: decrypting sustainable and responsive nutrition by mapping the effects of plant-basedfoods on metabolic profiling</t>
  </si>
  <si>
    <t xml:space="preserve">What we eat has a significant impact on the environment. That´s mainly because food habits strongly influence food production, directly impacting the ecosystem. Identifying healthy diets that are in harmony with a balanced environment and that consider the individual human metabolism is essential since there is no ""one size fits all"" approach to the effects of diet on health. Eating less meat can promote extensive environmental benefits, and there is already a broad awareness of it. Yet, we know little about to what extent adapting our diet affects human health. ADAPTide aims to decrypt individual human responses to plant-based foods by mapping diet- and gut-related metabolic profiling. Hence, we will investigate the effects of specific plant-based compounds (peptides, fibres, metabolites) that trigger human biological functions by associating them with human metabolome and gut microbiota profiling obtained from 3 dietary interventions 1) with ileostomy participants (in vivo digestion) and 2, 3) with healthy participants. This project includes multiple tools and approaches, including start-of-the-art equipment for peptidomics and metabolomics (UHPLC/Q-TOF-MS, UHPLC-QqQ-MS). In addition, we are located at the core facility for lifestyle intervention studies at Örebro hospital, facilitating the performance of clinical studies. These results will further advance the knowledge of targeting surrogate markers to assess individualized-tailored responsive and sustainable nutrition.</t>
  </si>
  <si>
    <t xml:space="preserve">Health &amp; nutrition</t>
  </si>
  <si>
    <t xml:space="preserve">The grant funds clinical dietary intervention studies measuring metabolic and gut microbiota responses to plant-based foods, with primary endpoints being physiological outcomes (metabolomics, peptidomics, gut microbiota profiling), clearly placing it in Health &amp; nutrition.</t>
  </si>
  <si>
    <t xml:space="preserve">High protein, added value, faba beans for food applications (FABAPLUS)</t>
  </si>
  <si>
    <t xml:space="preserve">There is a large and growing market for plant-based protein, within which the imperative for price competitiveness and sustainability continues to drive a major shift in preferred raw material from soybean and pea to faba bean.
Prior UKRI funded research by the applicants has developed faba bean genome maps and uncovered sequence variation controlling a variety of simple and complex faba bean seed traits including, crucially to this application, levels of anti-nutrients as well as nutrients in the seed.
The team has thus secured a world-leading position in understanding the genetic architecture of faba bean seed storage protein content and composition. They have already laid the foundations for commercial exploitation of this knowhow by conducting market research into the demand for faba bean varieties with enhanced protein content, quality or both (the 'Fabaplus' concept), by generating novel nutritionally enhanced breeding material and validating cutting edge methodologies for selection of commercially viable candidate varieties with uniquely high content and high quality of seed protein.
However, the long duration of the breeding process and uncertainties over which characteristics other than seed nutritional density/quality might be decisive in determining the commercial success of a putative 'Fabaplus' variety mean that it is difficult for commercial bean breeders to invest in the concept as it currently stands. Therefore, it is appropriate to request UKRI support for a development plan which will take the 'Fabaplus' breeding pipeline to the point where novel candidate lines with both competitive yields and unique quality characteristics can be evaluated for their technical performance by commercial partners in their plant protein concentration processes.
The programme essentially involves scaling up efficient DNA and protein profiling of 1,000s of individual lines from breeding populations, so that we can stack beneficial DNA variants and process a sufficiently large population to find rare individuals combining competitive commercial yield potential with unprecedented levels of high-quality protein.
To assess the utility of 'Fabaplus' trait enhancements, we have partnered with a plant protein processor who has specifically targeted faba bean as a raw material fitting the sustainability and nutritional values required by their business models. Our processor partners will conduct side-by-side evaluations of 'Fabaplus' candidate varieties alongside best current commercially available raw materials to determine any gains in efficiency or end product quality attributable to the raw material, forming the basis for an assessment of economic returns that will drive demand for 'Fabaplus' varieties.
Two alternative routes to commercialisation are envisaged: either a dedicated new spinout company will be formed to finish and submit 'Fabaplus' varieties for Plant Breeder's Rights or the further breeding and commercialisation will be pursued through partnership with commercial breeders under a licensing arrangement. An advisory board of commercial bean breeders and end user partners will provide ongoing feedback throughout the programme and a forum through which optimum commercialisation routes can be developed</t>
  </si>
  <si>
    <t xml:space="preserve">The grant primarily funds faba bean breeding to develop high-protein, high-quality varieties (Crop development), with a secondary activity of evaluating candidate varieties in commercial protein concentration processes to assess ingredient quality and processing efficiency (Ingredient optimisation); no other categories represent substantively funded research activities.</t>
  </si>
  <si>
    <t xml:space="preserve">Sustainable European Vegetarian protein production via fermentation of wastes stream</t>
  </si>
  <si>
    <t xml:space="preserve">Nordic Green Food (NGF) is the only tofu
 producer in Sweden since 1997 in Vallentuna. Its Yipin tofu is made from
 french soybeans from 300 organic farms. It has become a vegan favorite
 throughout Sweden today, e.g. sold via ICA, Hemköp, COOP, Willy´s and many
 Asian shops. This leads to rapid expansion, from 2017 to 2018 increased by
 almost 30% to ca. 690 tons. However, the residue okara, corresponds to over
 20% of the used soybeans in dry weight, which is underutilized in Sweden.
 Therefore, the tofu production process is not sustainable as it would be.
 Okara contains valuable components such as fat, protein, dietary fiber and
 micronutrients, but also contains nutritional inhibitors. In order to use
 these waste products as food ingredients, special processes and techniques
 must be developed. Fermentation of okara can increase the availability of
 nutrients and elevate the taste while breaking down the nutrient inhibitors.
 New foods can, therefore, be formulated. This project can result in a
 dramatic reduction in waste to almost zero. Expanding of small food companies
 needs knowledge, close collaboration between researchers and companies can
 promote business development. To the best of our knowledge, there are no
 efficient waste conversion processes implemented in the tofu production
 process in the world. This project could create the possibility for Swedish
 enterprises to expand its international markets.</t>
  </si>
  <si>
    <t xml:space="preserve">Feedstocks</t>
  </si>
  <si>
    <t xml:space="preserve">Strain development, Ingredient optimisation, End product formulation</t>
  </si>
  <si>
    <t xml:space="preserve">The grant funds fermentation of okara (soy waste stream) to improve nutrient availability and break down inhibitors (ingredient optimisation), involves selection/use of fermentation processes implying strain development, and aims to formulate new food products from the processed okara (end product formulation).</t>
  </si>
  <si>
    <t xml:space="preserve">Age-related effects of vegetarian diet on protein and amino acid bioavailability – VegAA</t>
  </si>
  <si>
    <t xml:space="preserve">Health, environmental and animal welfare concerns have led to a recent reduction of animal products intake. Public health authorities also recommend transitioning towards more sustainable, plant-based diets. While animal proteins are known as good quality proteins with high digestibility, plant proteins are generally considered of lower nutritional values. Plant proteins come with high amount of vitamins and minerals, but also with dietary fibers and anti-nutritional factors, which are known to decrease digestibility acutely. However, the long-term synergetic effects of plant-based foods on adaptation of intestinal functions and protein digestive capacity remain mainly unexplored. In the context of the nutritional transition, a global approach is necessary to understand the effects of the different components of the diet on digestion. This is of particular importance for population with specific needs such as elderly, for which protein requirements are increased and intake usually decreased. Hence, VEGAA project aims at better understanding the influence of a diet rich in plant-based foods on amino acid bioavailability of vegetable proteins throughout adult life, using innovative isotopic tracer techniques. First, we will explore the age-related acute and chronic effects of a diet rich in plant-based foods on amino acid bioavailability, protein metabolism and digestion physiology in a preclinical study. Second, thanks to the recently developed dual isotope method, we will determine amino acid bioavailability changes in young or old adults consuming a vegetarian or omnivorous diet. Overall, VEGAA project will provide important knowledge on plant protein digestibility and adaptive mechanisms that might occur during a long-term change in protein source and as a function of age. Ultimately, VEGAA results will help to estimate protein and amino acid adequacy in the context of plant-based diets to promote healthy aging.</t>
  </si>
  <si>
    <t xml:space="preserve">The grant funds preclinical and human studies measuring amino acid bioavailability, protein metabolism, and digestibility as physiological outcomes of plant-based diets across age groups, which falls squarely under Health &amp; nutrition.</t>
  </si>
  <si>
    <t xml:space="preserve">Bioavailability of Proteins from Plant Based Diets</t>
  </si>
  <si>
    <t xml:space="preserve">Description
Recently, protein quality has emerged as an important health issue, especially in low income countries where plants form the main source of protein in the diet. Protein quality is likely to have an impact on the WHO Global Nutrition Target 2025 of reducing the prevalence of stunting (low height-for-age) in children under 5 years by 40%. Stunting has been shown to reduce capacity for learning in children, and hence productivity in adults. Nutrition underpins sustainable development. Uncertainty over the quality of diet, specifically with reference to its protein quality potentially impacts a nation’s health, economy, agriculture and nutrition security, and hence Sustainable Development Goals (SDGs). In particular SDG 1 – End Poverty in all its forms; SDG 2 – End Hunger, achieve food security, improved nutrition, and sustainable agriculture; SDG 3 – Ensure Healthy lives; SDG 4 – Ensure quality education and learning; SDG 5 – Ensure gender equality and empowerment. Estimates of amino acid digestibility based on analysis of faeces relative to foods ingested do not represent the fraction of amino acid absorbed. Ideally, amino acid bioavailability should be measured from oro-ileal balances (the difference between ingested amino acids and the amino acids leaving the ileum), since absorption occurs only in the small intestine and colonic bacteria can recycle nitrogen. However this is virtually impossible to measure non-invasively in healthy humans. The measurement of intrinsically stable isotope labelled plant protein offers a solution to this problem. Either 13CO2 or 2H2O can be used. 2H2O is economically feasible and appropriate for plant proteins. Indispensable amino acids (IAA) become labelled within the food matrix and following preparation and ingestion of the food, their appearance in the blood gives a unique bioavailability measure. If a labelled test meal is accompanied by a trace quantity of a differently labelled reference protein, such as casein, or single cell proteins, comparative tracer appearance gives a direct measure of digestion/availability of the protein under test. This CRP aims to develop and validate novel, minimally invasive techniques to assess protein digestibility and utilization from plant based diets, as they are consumed by vulnerable populations, in regions habitually relying on plant based diets. A novel approach to assessing protein quality will be developed based on the use of 15N, 13C and/or 2H labelled amino acids or intrinsically-labelled proteins. Intrinsically labelled local varieties of grain legumes will be grown in collaboration with local agriculture colleges/institutes.
Specific Objectives
To develop a simple method to assess protein quality in vulnerable populationsTo develop and characterize a high quality protein that is representative of different diets around the world; to be used as an internal control in the test at all centresTo produce intrinsically stable isotope labelled protein foods to achieve objective 1, including locally available common foods e.g. grain legumes, cereal, milk, eggs, single cell proteins, and fish and flesh foodsTo quantify dietary indispensable amino acids made available to the body for optimal growth, development and function along the life course
Objectives
To develop minimally invasive methods to establish quality protein as an important factor of sustainable diet and nutrition for health along the life course.
Relevance
Protein quality has a great importance in meeting the nutritional needs of populations across the developing world throughout the life course, but in particular during pregnancy and early childhood. Protein quality is likely to have an impact on the WHO Global Nutrition Target 2025 of reducing the prevalence of stunting (low height-for-age) in children under 5 years by 40%. Stunting has been shown to reduce the capacity for learning in children, and hence productivity in adults. Nutrition underpins sustainable development. Uncertainty over the quality of diet, specifically with reference to its protein quality potentially impacts a nation’s health, economy, agriculture and nutrition security. Estimates of amino acid digestibility based on analysis of faeces relative to foods ingested do not represent the fraction of amino acid absorbed. Ideally, amino acid bioavailability should be measured from oro-ileal balances (the difference between ingested amino acids and the amino acids leaving the ileum), since absorption occurs only in the small intestine and colonic bacteria can recycle nitrogen. However this is virtually impossible to measure non-invasively in healthy humans. The measurement of intrinsically stable isotope labelled plant protein offers a solution to this problem. Either 13CO2 or 2H2O can be used. 2H2O is economically feasible and appropriate for plant proteins. Indispensable amino acids (IAA) become labelled within the food matrix and following preparation and ingestion of the food, their appearance in the blood gives a unique bioavailability measure. If a labelled test meal is accompanied by a trace quantity of a differently labelled reference protein, such as casein, or single cell proteins, comparative tracer appearance gives a direct measure of digestion/availability of the protein under test. This CRP enabled the development of a novel, minimally invasive technique to assess protein digestibility and utilization from plant based diets, as they are consumed by vulnerable populations, in regions habitually relying on plant based diets. The CRP brought together crop scientists and nutritionists from 7 developing countries who worked in collaboration and exchanged skills and knowledge with experts from more resource endowed countries to generate new information on the bioavailability of indispensable amino acids (IAA) in pulses consumed across the Asian, African, Latin American and the Caribbean regions. The results generated will in the short run be included in a planned joint FAO/IAEA database on protein quality and will eventually be used to inform future intervention studies aimed to provide the recommended amino acid intake from local plant based foods, i.e., by providing the available IAA supply judged to meet the daily demands for growth and maintenance.To date 7 publications and 1 conference presentation, and 1 web-article have helped to make the results available worldwide. The method was also highlighted in the Nuclear Technology Review 2020 'New Dual Isotope Tracer Method for Protein Quality Assessment in Humans'. The CRP has inspired two Technical Cooperation projects, 1 regional (RAS6103 Asia) and 1 national (PHI6027 Philippines) project, and 1 CRP E43036. Results from the CRP were presented at the Joint FAO/IAEA Technical Meeting on the Development of a Protein Database and the Way Forward for Reviewing Protein Requirements, held in October 2022 and will be included in the planned database. The results will also be presented at the planned International Symposium on Dietary Protein and Human Health to be held in Utrrecht, The Netherlands in September 2023; IAEA is co-organizing the symposium.
Impact
The CRP generated new information on indispensable amino acid digestion from diverse pulses consumed in Africa, Asia and Latin America and the Caribbean. This information is based on a new index, the Digestible Indispensable Amino Acid Score, that has been recommended by the FAO since 2013 for more accurate assessment of protein quality. The results have already been widely shared through peer reviewed publications. In some cases the results are already applied to inform dietary recommendations. For example, Shivakumar and co-workers (2019) estimated true ileal IAA digestibility of 4 foods commonly consumed in complementary diets in India, showing that the digestibility of key IAA such as methionine was lower than may have been assumed. They also showed that the DIAAS was associated with stunting and recommended the inclusion of animal source foods (ASF) in children's diets to improve growth. Two further publications are in preparation including a Human Health Series on the Dual Isotope Tracer Method. Results published from India are already being considered by policy makers to inform the quality of protein in food subsidies for children.Capacity building The CRP fostered both South-South and North-South technology sharing and transfer. For example, researchers from Mahidol University, Thailand, have been supported by experts from the IAEA Collaborating Centre in nutrition, St. John’s Research Institute, Bengaluru, India, to develop analytical capacity in protein digestion assessment. Similarly, Moroccan scientists based at the AFRA Regional Designated Center in nutrition in Rabat benefited from fellowships and technical support from experts based at AgroParisTech, Paris, France and have since set up their own analytical capacity. Gender balance The CRP enabled training of women scientists and PhD students. A total of 19 students and technicians (10 women) were trained in both agronomy and nutrition and human health. Cross-discipline interaction In each country involved there is now a network of human nutrition and agricultural scientists.Potential engagement with climate change scientists, agro-economists With the emerging crisis of climate change and water scarcity, both protein content and yield of plant food protein sources is likely to decrease; it is unknown how protein digestibility will change in these conditions. Opportunity exists in determining the protein content and digestibility of drought-resistant plant varieties. Further, inputting the DIAAS into models of global protein food supply in the context of a growing global population and adverse environmental change is highly imperative.Potential for cross-agency collaboration through Joint IAEA/FAO Database on Protein Quality of Foods With the outputs on ileal digestibility of legumes in 7 countries, a detailed description of the protein quality of different legumes by the DIAAS index is now possible. This is the first integrated effort to collate data that will inform the FAO protein quality recommendations for humans. FAO is seeking standardized DIAAS data in humans to inform recommendations for protein requirements for all age groups. Results of this CRP inspired a first of its kind Joint IAEA/FAO Technical Meeting to establish a framework for a global database on protein quality.International Conferences 1. Some of the results were presented during the IUNS International Congress of Nutrition, December 2022, Tokyo, Japan. 2. Results will be further shared at the planned International Symposium on Dietary Protein and Human Health in September 2023. The IAEA is part of the organizing committee.Related TC Projects The CRP inspired a new Asian regional project in the 2022-2023 cycle: RAS6103 ‘Applying Stable Isotope Techniques to Assess Protein Quality of Sustainable Food Sources for the Improvement of Maternal and Child Nutrition’.Related CRPs The CRP also inspired an on-going CRP E43036 'Efficacy of Amino Acid Supplementation in Treating Environmental Enteric Dysfunction Among Children at Risk of Malnutrition'.</t>
  </si>
  <si>
    <t xml:space="preserve">The grant's primary funded activity is developing and validating novel stable isotope tracer methods to measure protein digestibility and amino acid bioavailability from plant-based diets in vulnerable populations, with physiological outcomes (growth, stunting, amino acid utilization) as the central research endpoints, firmly placing it in Health &amp; nutrition.</t>
  </si>
  <si>
    <t xml:space="preserve">HealthFerm: Innovative pulse and cereal-based food fermentations for human health and sustainable diets</t>
  </si>
  <si>
    <t xml:space="preserve">Food fermentation is a natural process in which food components are converted by microbial growth of desired yeast and bacteria and enzymes. It is an ancient technique purported to promote the growth of beneficial bacteria in the gut. Food and health experts on the EU-funded HealthFerm project will advance fermentation technology and enable the transition from traditional to sustainable grain-based fermented foods. These will be rich in protein and designed to offer maximum health benefits to EU consumers. For optimal results, they will unravel the relationship between fermentation, the gut microbiome, grain-based foods and health. Moreover, they will identify and employ suitable microorganisms in the development of novel grain-based food sources and assess their impact on gut health.</t>
  </si>
  <si>
    <t xml:space="preserve">Ingredient optimisation, Health &amp; nutrition, Consumer &amp; market research</t>
  </si>
  <si>
    <t xml:space="preserve">Large scale sea cultivation of green seaweed</t>
  </si>
  <si>
    <t xml:space="preserve">The rising population demands radical solutions towards food security, which cannot be solely met through land-based agriculture. Seaweed (macroalgae) aquaculture has the potential to supplement food supplies, enhance the maritime economy, and enable ecosystem services. Ulva (green seaweed) stands out due to its high protein content (up to 30%), presence of vitamins (e.g., A, B, C, E), trace minerals (e.g., Fe, Ca,Mg) and dietary fibres. Despite the advantages, Europe produces only 0.6% of the total global seaweed (2016) production of 33 million tonnes (wet weight) and consumes close to 10%. Asia dominates the production (&gt;90%). 
Ulva is highly suitable for large-scale cultivation, as it grows fast (19.7 g/m2/day) with a short cultivation cycle. But scaling up its production – using existing land and sea-based approaches - is prone to techno-economic challenges. The ULVA FARM project will tackle these challenges and demonstrate large-scale Ulva cultivation in 2 ha of sea on the Swedish west coast (municipality of Tanum), for which it has secured a permit. It will demonstrate a high throughput production of seeding material (germlings), usage of a specific rope mesh substrate and testing 2 cultivation cycles which could potentially result up to 20 ton/ha/year of Ulva yield. It would thus validate the scalability of the Ulva production at a large scale, with 0% use of land, fertilizers and 90% reduced production costs compared with tank-based systems. 
Ulva Farm will result in 25 tonnes of cost-efficient EU-organic certified Ulva, absorb 945 kg of nutrients to prevent eutrophication, sequester 5.7 tonne CO2 eq. of carbon and create 7 FTE jobs. It will also enable Nordic Seafarm to raise EUR 4-5 M in equity by 2024. By 2030, an Ulva farm of 50ha will sequester 227 tonnes eq. of CO2, produce 1000 tons/y, absorb 37.8 tonnes of nutrients from the sea, while employing 40 FTEs (direct and indirect); and thereby reducing the dependence on Asian import.</t>
  </si>
  <si>
    <t xml:space="preserve">TWINNING TOWARDS SCIENTIFIC AND TECHNOLOGICAL EXCELLENCE IN PLANT PROTEIN RESEARCH (PROTWIN)</t>
  </si>
  <si>
    <t xml:space="preserve">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More research is needed to obtain a comprehensive understanding on the impact of plant proteins on technological and nutritional functionality, including their digestibility and effect on gut microbiota. Despite high potential of protein crops in Türkiye and TÜBİTAK’s national reputation in plant-protein research, this is not sufficient for its scientific recognition among the EU's leading Institutes. Therefore, TÜBİTAK must improve its scientific and technological capacity, build a strong international network, and fill the gaps of this emerging protein for food field. In this context, PROTWIN is the most appropriate tool for TÜBİTAK to build a capacity development system at national and EU levels and being able to timely capture opportunities in the field of plant proteins research. The overall objective of PROTWIN is to stimulate scientific excellence, widening and strengthening networking activities between TÜBİTAK and top-class leading counterparts in EU in “plant protein innovation for food domain” by linking it with Aarhus University, University of Liege and CNR-ISPAAM. The significant complementarities between these institutions, processing, digestion, and gut microbiota for health, and -omics analytical platforms will enable through networking excellence in research and innovation, through knowledge transfer and exchange of best practice. PROTWIN will help raise the research profile of TÜBİTAK as well as the research profile of its staff. The mutual benefits of PROTWIN partnership will secure new joint research projects in the plant protein domain and provide continuity in the future.</t>
  </si>
  <si>
    <t xml:space="preserve">New synthetic materials for the development of pharmaceuticals, medicine, veterinary medicine, aquaculture and agriculture of the Irkutsk region</t>
  </si>
  <si>
    <t xml:space="preserve">The project aims to solve the fundamental problem of creating innovative synthetic materials. The objectives of the Project are synthesis, study of the structure, properties, as well as the physiological (pharmacological) and sorption activity of new complex chemical compounds.  Based on the previously obtained preliminary data, it is proposed to identify among the new compounds inexpensive, absolutely non-toxic, effective protective agents and growth biostimulants of various microorganisms, plants, fish and animals, as well as preventive, diagnostic and medicinal products with protective (adaptogenic), immunostimulating, anti-cancer and sorption activity.  The results obtained (together with colleagues from biological, medical and agricultural institutes) the results will be the basis for the production of popular biologically active and sorption substances, which will find application in pharmacology (pharmaceuticals), microbiology, biotechnology, ecology, aquaculture (fish farming), veterinary medicine, rural economy and others - In pharmacology (pharmaceuticals): adaptogens, antidotes, drugs for the treatment of immunodeficiency, atherosclerosis, allergies, oncological diseases. - In microbiology: growth biostimulants:  a) beneficial microorganisms (vaccines, prophylactic drugs);  b) pathogenic microorganisms (early rapid diagnosis of diseases and timely treatment);  c) bacteria of oil destructors (cleaning the soil and water from oil spills; improving the ecology of the Angara region and Lake Baikal). - In biotechnology:  a) biosynthesis activators (products: brewing malt, baker's yeast, fodder and food protein, citric acid, biofuel, lactic acid bifidumbacterin, biomass of ginseng and stem cells);  b) sorbents and enterosorbents of heavy and toxic metals (purification of living organisms, as well as wastewater; improving human health and the ecology of the Angara region and Lake Baikal). - In aquaculture (fish farming): stimulants; an increase in the population (artificial insemination of eggs and reproduction of fry), growth, weight and stress resistance, as well as a decrease in the mortality of whitefish, salmon fish species of Lake Baikal and Angara. - In veterinary medicine: early diagnosis, prevention and elimination of diseases of farm animals, birds, fish and bees, as well as the prevention of human infection with food (milk, cheese, butter, meat, fish, vegetables, “fast food”). - In agriculture: increasing crop yields and weight gain in livestock.  According to the results of the project, it is planned to publish articles in chemical, biological and medical journals (Web of Science, Scopus), abstracts at Russian and international conferences, as well as obtain a patent for the invention.  Thus, the results of the Project will contribute to the social and economic development of the Russian Federation, including the Irkutsk region, as well as improving the ecological status of the Angara region and Lake Baikal.</t>
  </si>
  <si>
    <t xml:space="preserve">This grant is focused on synthetic chemistry and pharmacological/biological activity of novel chemical compounds for broad applications in pharmaceuticals, veterinary medicine, aquaculture, and agriculture, with no substantive research activities related to plant-based alternative proteins in any of the defined categories.</t>
  </si>
  <si>
    <t xml:space="preserve">FAIRification of multiOmics data to link databases and create knowledge graphs for fermented foods</t>
  </si>
  <si>
    <t xml:space="preserve">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</si>
  <si>
    <t xml:space="preserve">Strain development, Other</t>
  </si>
  <si>
    <t xml:space="preserve">The grant primarily funds FAIRification of omics data and development of knowledge graphs to rationally design microbial communities for plant-based fermented foods (Strain development), with a substantial data science/AI/open science infrastructure component that falls under Other; sustainability, health, consumer acceptance, and food safety are mentioned only as background motivation.</t>
  </si>
  <si>
    <t xml:space="preserve">Building UK capability to deliver innovative alternative proteins</t>
  </si>
  <si>
    <t xml:space="preserve">SPG Innovation Limited, The University of Leeds and Baker Perkins Limited are exploring the feasibility of developing new products for the protein sector. This project will explore the boundaries of current low emission processes for texturizing proteins and the feasibility of alternative technologies to produce alternative proteins in support the UK's capability to supply and advance the alternative protein market.</t>
  </si>
  <si>
    <t xml:space="preserve">The grant explicitly focuses on exploring and developing texturization processes (low emission and alternative technologies) for protein products, making Texturization methods the primary funded research activity.</t>
  </si>
  <si>
    <t xml:space="preserve">EUROPEAN MICROALGAE ALLIANCE (ALLIANCE): INNOVATIVE, SAFE, AND SUSTAINABLE MULTIPRODUCT BIOREFINERIES FOR A BLUE BIOBASED ECONOMY</t>
  </si>
  <si>
    <t xml:space="preserve">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</si>
  <si>
    <t xml:space="preserve">Ingredient optimisation, Consumer &amp; market research, Impact assessments, Other</t>
  </si>
  <si>
    <t xml:space="preserve">Ingredient optimisation, Consumer &amp; market research, Impact assessments</t>
  </si>
  <si>
    <t xml:space="preserve">The grant funds ingredient optimisation through solvent-free extraction and purification of microalgae fractions; impact assessments via sustainability and cost analyses (LCA/TEA-type work); consumer and market research through stakeholder engagement and market penetration studies; and other activities including regulatory/policy work and broad biorefinery demonstration across multiple sectors.</t>
  </si>
  <si>
    <t xml:space="preserve">Increased and market-adapted production of grain legumes in Norway to increase self-sufficiency of proteins for food and feed</t>
  </si>
  <si>
    <t xml:space="preserve">The project idea is based on the documented potential to increase domestic production of peas and faba bean to respond to the increasing market opportunities for plant protein commodities that are environmentally sound and healthy. This project aims to provide necessary knowledge, materials and tools for 1) future efficient breeding of grain legumes adapted to Norwegian conditions, and 2) solutions to main cultivation challenges to increase the production of grain legumes in Norway with good quality for food and feed. Moreover, further development of grain legume production will be important in a long-term and sustainable development of Norwegian agriculture, where optimal exploitation of the agricultural areas suitable for arable crops is urgent. The project takes a broad approach by including both management solutions to agronomic challenges based on varieties already available, and competence building to initiating breeding activities in Norway that will give progress in the long term. Both are urgent to successfully expand production of grain legumes in Norway. The project shall develop improved strategies for plant establishment, integrated pest management and harvesting that are important to improve both yield and quality. Core collections and breeding populations will be developed that are suited for Norwegian conditions to investigate genetic variability of important plant traits, and identify breeding goals and improved genotypes. Special focus will be put on quality traits and strategies through management and the choice of varieties to meet quality requirements for food and feed, including those for modern processing technologies. The project shall establish the Norwegian Protein Crop Forum to enable knowledge transfer within the entire supply chain, and to promote production and utilization of grain legumes in Norway.</t>
  </si>
  <si>
    <t xml:space="preserve">Crop development, Other</t>
  </si>
  <si>
    <t xml:space="preserve">The grant funds crop breeding and agronomic development of peas and faba beans for Norwegian conditions (Crop development: TRUE), and also includes knowledge transfer, supply chain forum establishment, and broad competence-building activities that fall outside the specific technical categories (Other: TRUE); no substantive research is funded in the remaining categories.</t>
  </si>
  <si>
    <t xml:space="preserve">Harnessing the microbial potential of fermented foods for healthy and sustainable food systems (DOMINO)</t>
  </si>
  <si>
    <t xml:space="preserve">Food and beverage fermentation dates back 7 000 years. Despite this long history, we know very little about the benefits of such a diet. The EU-funded DOMINO project will study the health impacts of a diet based on fermented food (milk kefir) on a healthy population and a cohort suffering from metabolic syndrome to better focus on health biomarkers and inform dietary recommendations. We are also missing strategies to ensure food production sustainability. The project will thus carry out six plant-based fermented food case studies within the framework of citizen science. These food prototypes will help to develop an open-access database and new computational tools for profiling food microbiomes’ metabolic interaction during food fermentation and their overlap with the healthy gut microbiome.</t>
  </si>
  <si>
    <t xml:space="preserve">Health &amp; nutrition, End product formulation, Consumer &amp; market research</t>
  </si>
  <si>
    <t xml:space="preserve">End product formulation, Health &amp; nutrition, Other</t>
  </si>
  <si>
    <t xml:space="preserve">The grant funds health impact studies (biomarkers, metabolic syndrome cohort) making Health_nutrition TRUE; plant-based fermented food prototypes are developed as case studies making End_product_formulation TRUE; citizen science and open-access database/computational tool development fall under Other; no strain selection, ingredient optimisation, texturization, safety, consumer research, or impact assessments are substantively funded.</t>
  </si>
  <si>
    <t xml:space="preserve">Implications of carbon policies on the quality of UK diets</t>
  </si>
  <si>
    <t xml:space="preserve">There is increasing support to the idea of regulating food markets to reduce the current environmental impact of diets. For instance, food prices could be increased by a carbon tax that incorporates the greenhouse gas (GHG) emission associated to its production. However, environmental impact and nutrition are not perfect substitutes: while fresh fruits and vegetables are low in fats, sugar, and GHG compared to red meat, they can be low in other essential nutrients (e.g. proteins). This project seeks to extend our present understanding of food policies by exploring the link between environmental regulation of food markets and the nutritional quality of the resulting diets.</t>
  </si>
  <si>
    <t xml:space="preserve">The grant primarily models the impact of carbon tax food policies on diet quality (Impact assessments), and also involves policy analysis and regulatory research that fits the Other category; no direct alternative protein product or ingredient research is funded.</t>
  </si>
  <si>
    <t xml:space="preserve">Sustainable production of Swedish plant-based protein concentrates and textured products</t>
  </si>
  <si>
    <t xml:space="preserve">Purpose and goal: 
Build knowledge and use new technology to produce dry fractionated protein concentrates with a high protein content and low antinutrient content, in a resource-efficient and sustainable way, using Swedish peas and fava beans. Build knowledge about extrusion of the protein concentrate in order to produce texturized raw
materials to the food industry on a large scale, which is required to produce so-called
meat analogues with the right texture. 
Expected results and effects: 
Satisfy the market´s great demand for Swedish-grown and Swedish-processed protein concentrates and textured products based on peas and field beans. With this project, we fill a large part of the gap between primary production and the food industry and increase Sweden´s self-sufficiency in these products. 
Approach and implementation: 
Literature search on antinutrients in peas and field beans.
Optimization of the dry fractionation to increase the protein content and minimize the antinutrient content.
Trial productions to be able to choose the right equipment, supplier and process conditions.
Sensory evaluation and application tests of concentrates and extrudates in different food matrices.
Analysis of antinutrients, solubility, water and fat holding capacity, emulsifying capacity, gelling etc.
Develop customized, plant-based meat analogues based on the protein products produced.</t>
  </si>
  <si>
    <t xml:space="preserve">The grant funds dry fractionation optimisation to improve protein concentrates (Ingredient optimisation), extrusion to produce textured raw materials (Texturization methods), and development of meat analogues with sensory evaluation (End product formulation); antinutrient analysis is framed as ingredient quality rather than food safety assessment, and no consumer research, health studies, or impact assessments are explicitly funded.</t>
  </si>
  <si>
    <t xml:space="preserve">Development of a method to detect gelatine in vegetarian products</t>
  </si>
  <si>
    <t xml:space="preserve">Gelatine is an extremely versatile low cost food protein used as a thickener, stabilizer, texturizer, gelling and water binding agent in foods [1]. The protein is derived principally from porcine skin and bovine bone collagen (and occasionally hides) by either acid treatment (porcine gelatine) or alkali and acid treatment (bovine gelatine). There is also some production of fish and chicken gelatine. Since the protein is of animal origin it must be omitted from foods described as suitable for vegetarians. The current method in place for the enforcement of this description is the detection of hydroxyproline, an amino acid originally believed to be only present in collagen and gelatine. However plant cell walls also contain hydroxyproline in a number of the structural glycoproteins. As a result the direct analysis for hydroxyproline in vegetarian foods is an unreliable indicator of the presence of gelatine so a more appropriate approach is required to detect gelatine at low levels in vegetarian foods and beverages</t>
  </si>
  <si>
    <t xml:space="preserve">The grant is focused on developing and validating an analytical method to detect gelatine (an animal-derived ingredient) in vegetarian food products, which is a food safety and quality/authenticity assay development activity.</t>
  </si>
  <si>
    <t xml:space="preserve">Food Innovation Enabling Sustainable Transition - FINEST</t>
  </si>
  <si>
    <t xml:space="preserve">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</si>
  <si>
    <t xml:space="preserve">Ingredient optimisation, End product formulation, Food safety &amp; quality, Health &amp; nutrition, Consumer &amp; market research, Impact assessments, Other</t>
  </si>
  <si>
    <t xml:space="preserve">This broad food innovation center covers multiple research areas across three supply chain cases, including protein crop chains for meat/dairy substitutes (ingredient optimisation, end product formulation), food safety competence, consumer knowledge, health products, system transition and innovation management (other), and sustainability/environmental impact assessment across food chains.</t>
  </si>
  <si>
    <t xml:space="preserve">Like-A-Pro: From niche to mainstream - alternative proteins for everybody and everywhere</t>
  </si>
  <si>
    <t xml:space="preserve">The interest of Europeans in alternative proteins is becoming clear and this trend is the perfect ground for the dietary shift towards sustainable and healthy nutrition and food systems, in line with the ambitions of the EU Green Deal, Farm to Fork strategy and EU’s climate goals. Yet, this interest is not reflected in the European dietary patterns, as alternative proteins are mainly consumed by early adopters, while the majority is less receptive towards alternatives or have limited possibilities to integrate them in the diets. This gap between interest and consumption is due to obstacles in the food environments such as product limited offering, suboptimal product taste, isolated product placement in shops or menus etc. Without overcoming these obstacles, alternative proteins will remain a niche. LIKE-A-PRO aims at mainstreaming alternative proteins, making them accessible, available, and acceptable to everybody (from children to elderly, vulnerable groups) and everywhere (across Europe, in urban, peri-urban, and rural areas). To achieve this, key representatives along the entire alternative protein value chain (growers, producers, cooks, retailers, consumers, researchers) will work together in a trans-disciplinary consortium. To improve European food environments towards fostering alternative protein consumption, practical solutions will be co-designed with citizens. This social innovation will take place in 11 living labs and in 4 real life food environments. For a diversified alternative protein offering, 16 new alternative protein products will be developed with 7 sustainable, healthy, and novel sources. To secure result deployment, the project will actively involve middle food system actors (+35,000 companies) – via co-creation and capacity building. For a maximised impact, innovative communication campaigns will be launched in 6 countries, reaching 8 M citizens in 4 years.</t>
  </si>
  <si>
    <t xml:space="preserve">Consumer &amp; market research, Impact assessments, Health &amp; nutrition</t>
  </si>
  <si>
    <t xml:space="preserve">The grant funds development of 16 new alternative protein products (End product formulation), consumer-facing co-design and acceptance work in living labs and food environments (Consumer &amp; market research), and broad social innovation, communication campaigns, and capacity building activities that fall outside the technical research categories (Other).</t>
  </si>
  <si>
    <t xml:space="preserve">Enzymatic engineering and digestion of fibrillar plant protein texturizers for the protein shift.</t>
  </si>
  <si>
    <t xml:space="preserve">Transformation of our food system will be a key aspect of the transition towards a sustainable society. New ways of processing proteins to achieve attractive structural and functional properties are needed for the development of food products that can facilitate the ‘protein shift’ from animal to plant resources. The use of protein nanofibrils is a very promising approach to improve the structural and functional properties of proteins. It is known that such fibrils can be produced from a variety of plant proteins but the yield and energy efficiency of the processes are often low. The proposed project will explore enzymatic pre-processing of the protein resources as a way to increase the efficiency of the process. The approach also opens for better control of the techno-functional properties of the fibrils, choosing appropriate combinations of proteases and protein raw materials. We will evaluate the produced PNFs as building blocks for model food systems (hydrogels, aerogels, oleogels and microfibers). Based on the results, we will establish a structure-function relationship for plant PNFs and develop prototypes that demonstrate the potential of the technology. The project will deliver fundamental knowledge that will facilitate the protein shift. Hence, the outcomes of the project will be of high value for the transformation of the food industry and have impact on ecological as well as economical and social sustainability.</t>
  </si>
  <si>
    <t xml:space="preserve">Ingredient optimisation, End product formulation, Texturization methods, Health &amp; nutrition</t>
  </si>
  <si>
    <t xml:space="preserve">The grant focuses on enzymatic pre-processing to produce plant protein nanofibrils (PNFs) with improved yield and functional properties (Ingredient optimisation), uses these PNFs as building blocks for model food systems and prototypes (End product formulation and Texturization methods), and includes digestion studies of the fibrillar structures suggesting nutritional/digestibility endpoints (Health &amp; nutrition); no consumer research, safety, LCA, or crop/strain development activities are funded.</t>
  </si>
  <si>
    <t xml:space="preserve">Regulating Food Innovation – Technical Innovation requires Regulatory Innovation</t>
  </si>
  <si>
    <t xml:space="preserve">Innovation is critical to enable the UN World Food Programme to deliver on its mandate to reach Zero Hunger. Innovations occur along the food value chain. Various dietary trends trigger product developments such as meatless products, plant-based drinks and supplements or new categories of food such as insects. Consumers’ demand for functional food along with their choice of healthier and “greener” products has boosted the offer of food innovations, which promise beneficial health and environmental effects. The potential of plants, their compounds and derivatives in food production and preservation has been rapidly explored and led to applications such as the mimicking of hemoglobin proteins in plant-based products or the extraction of triterpenic acids from apples and other traditional plants. Scientific progress in molecular genetics is stimulating the development of more efficient and precise plant breeding. Starting with transgenesis in the 1980s, later developments have greatly expanded the toolbox available for plant breeders to work with genetic material to optimise trait management and develop elite cultivars of high nutritional quality. The 2020 Nobel Prize in chemistry was awarded to researchers that developed the CRISPR/Cas technology, emphasizing that technical progress in molecular biology and genetics is being rapidly incorporated in practical applications. These developments are interlinked with regulatory challenges. In the EU, novel foods require the positive completion of an authorisation procedure prior to being placed on the market. As for GMOs, heavy requirements are imposed not only as regards their placing on the market, but also their use, labelling, traceability and co-existence. Both novel foods and GMOs are subject to risk assessment under the auspices of EFSA, and to a Committee procedure. This is costly in terms of time and money. Little has been written on how a regulatory regime can be designed to both enable innovations that deliver on existential societal challenges as well as protect human health, safety and the environment. Research must therefore address the question of linkages between different regulatory objectives. It must also address the question of regulatory effectiveness. It must equally address numerous assumptions behind the regulatory design – why certain innovations are regulated and on which scientific criteria to decide whether an innovation should fall within the remit of a regulation. Different regulatory objectives represent analytical accounts of various disciplines, requiring research from a number of angles: This project will provide a clear and tangible analysis whether, and how, the current legal regimes strike a balance between the protection of health, safety and the environment and innovation in the food sector. It will suggest new and innovative regulatory solutions, which enable innovations and protect the society from potential risks from those innovations.</t>
  </si>
  <si>
    <t xml:space="preserve">This grant is focused entirely on regulatory and legal analysis of food innovation frameworks (novel foods, GMOs, CRISPR, etc.), with no funded research activities in product development, ingredient processing, safety testing, consumer studies, or impact assessments.</t>
  </si>
  <si>
    <t xml:space="preserve">Plant2Food</t>
  </si>
  <si>
    <t xml:space="preserve">The new collaborative platform Plant2Food will accelerate the development of plant-based foods. Researchers and companies will collaborate in exploring complex challenges within plant and food science and sharing new knowledge across sectors – without taking out patents based on the results. The Novo Nordisk Foundation is supporting the platform with up to DKK 200 million (€27 million) over the next 5 years.
It is necessary to convert a big part of our food production to plant-based foods if we want to make the most appropriate use of our agricultural land as well as being able to feed a growing world population.
The key to accelerating this transition is developing a greater selection of tasty, nutritious and sustainable plant-based food products that are also affordable to consumers.
A new collaboration platform, Plant2Food, will be a hub for researchers and companies who want to collaborate to solve some of the complex issues of developing plant-based foods – without taking out patents based on the results.</t>
  </si>
  <si>
    <t xml:space="preserve">Crop development, Strain development, Ingredient optimisation, End product formulation, Texturization methods, Food safety &amp; quality, Health &amp; nutrition, Consumer &amp; market research, Impact assessments, Other</t>
  </si>
  <si>
    <t xml:space="preserve">Crop development, Strain development, Ingredient optimisation, End product formulation, Texturization methods, Food safety &amp; quality, Health &amp; nutrition, Consumer &amp; market research, Impact assessments</t>
  </si>
  <si>
    <t xml:space="preserve">Plant2Food is a broad collaborative platform covering the full spectrum of plant-based food research challenges—from crop and ingredient science to product development, nutrition, safety, sustainability, and consumer acceptance—so all categories are substantively funded across the platform's scope.</t>
  </si>
  <si>
    <t xml:space="preserve">Plant-based Proteins for Health and Wellbeing (PAN Sweden)</t>
  </si>
  <si>
    <t xml:space="preserve">Efforts to limit the environmental impact from animal-based food include a shift towards the production and consumption of plant-based proteins. However, plant-based proteins may be inferior to animal-based ones with respect to their health effects and perceived taste.PAN Sweden’s goal is to clarify the relationship between processing, structure, bioavailability, digestion and fermentation of proteins and dietary fibre, and health effects in terms of gut, metabolic and mental health. Furthermore, sensory and consumer behaviour aspects as well as how policy, strategies and regulations can support the transition towards plant-based proteins, will be studied.Our core approach is the further development and application of a comprehensive and integrated model/method “toolbox” that facilitates innovations within plant-based products and dietary fibre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behavioural and political sciences. Our approach provides Sweden an exclusive chance to successfully build the knowledge, competence and skills to become a leading global player in plant-based food development and consumption.</t>
  </si>
  <si>
    <t xml:space="preserve">Consumer &amp; market research, Health &amp; nutrition</t>
  </si>
  <si>
    <t xml:space="preserve">Ingredient optimisation, End product formulation, Health &amp; nutrition, Consumer &amp; market research, Other</t>
  </si>
  <si>
    <t xml:space="preserve">Ingredient optimisation, End product formulation, Health &amp; nutrition, Consumer &amp; market research</t>
  </si>
  <si>
    <t xml:space="preserve">The grant funds research on processing and functionalisation of plant proteins and dietary fibre (Ingredient optimisation), development of plant-based products (End product formulation), health outcomes including gut, metabolic and mental health and bioavailability/digestion studies (Health &amp; nutrition), consumer behaviour and sensory aspects (Consumer &amp; market research), and policy/regulatory dimensions of the transition to plant-based proteins (Other).</t>
  </si>
  <si>
    <t xml:space="preserve">Columbus protein</t>
  </si>
  <si>
    <t xml:space="preserve">In order to realise the Climate goals of the EU, a transition from animal-based to plant-based proteins is required, in addition to an energy- and materials transition. In the Netherlands, most potential sources of plant proteins are the pulses faba bean and lupin. While these crops are an important source of protein for food and feed, it is crucial to also valorise the residual flows of plant protein production in order to create a positive business model. This applied research project focuses on development of non-food applications of residuals from faba bean and lupin into personal care products and bioplastics.</t>
  </si>
  <si>
    <t xml:space="preserve">This grant focuses on non-food applications (personal care products and bioplastics) of residual flows from faba bean and lupin protein production, which does not fit any of the alternative protein food research categories.</t>
  </si>
  <si>
    <t xml:space="preserve">Back to the Future: Bioengineering an ancient-resilient plant for a food-safe future</t>
  </si>
  <si>
    <t xml:space="preserve">Most of our food comes from only a dozen of plants, making our food system highly vulnerable to plant pests, diseases and climate change. In nature, there are thousands of plants with potential to be part of a future diverse and resilient agriculture, but many of them contain unpleasant compounds. In Back to the Future, I will bring from the past and develop the wild plant Chenopodium album as a new crop. Its seeds have high protein content and were eaten in Denmark during prehistorical times, but contain bitter and anti-nutritional chemical compounds called saponins. I have established a unique collection of C. album from all over Denmark and characterized their protein and saponin contents. In Back to the Future, I will combine the latest molecular, agricultural and food sciences and technologies to understand the molecular basis of saponin biosynthesis, its bitterness and plant domestication to develop C. album into a valuable plant for future food security.
</t>
  </si>
  <si>
    <t xml:space="preserve">The grant focuses on developing Chenopodium album as a new crop by understanding saponin biosynthesis and plant domestication to improve protein content and reduce anti-nutritional compounds, which is squarely crop development; no other research categories are substantively funded.</t>
  </si>
  <si>
    <t xml:space="preserve">Thermal Reaction Products of Ochratoxin A: Metabolism and Bioavailability</t>
  </si>
  <si>
    <t xml:space="preserve">Various chemical reactions are responsible for the degradation of the mycotoxin Ochratoxin A (OTA) during thermal food processing, e.g. during roasting of coffee or extrusion cooking of grain. In the first funding period we could show for the first time that besides the isomerization of OTA to 14R-ochratoxin A (14R-OTA) a covalent matrix-binding of OTA to polysaccharides occurs. Furthermore we could show that these matrix-bound forms are cleaved either during the brewing of coffee or during the intestinal metabolism leading to the release of OTA. In addition to the first funding period we analyzed blood samples of coffee and non-coffee drinkers for the occurrence of OTA and 14R-OTA. We could show that 14R-OTA is detectable in relatively high levels in blood samples in some cases with even higher levels compared to OTA. In the following proposal the reasons for these high levels will be studied. For this in vitro studies for mechanistic evaluations as well as in vivo studies with humans are planned. During the in vitro experiments the binding to plasma proteins, the metabolism in liver and kidney microsomes as well as the intestinal metabolism using the pig-cecum-model will be studied in comparison of OTA and 14R-OTA. In vivo the plasma concentration of 14R-OTA will be screened depending on the consumption of 14R-OTA-containing food samples, especially coffee. In order to detect further sources for 14R-OTA exposure, relevant food groups will be analyzed with the main focus on thermal processed samples.With the obtained data concerning occurrence, metabolism and bioavailability of 14R-OTA the toxicological relevance for the consumer will be evaluated.</t>
  </si>
  <si>
    <t xml:space="preserve">The grant investigates the metabolism, bioavailability, and toxicological relevance of ochratoxin A and its thermal reaction products in food, involving both in vitro mechanistic studies and in vivo human studies with physiological endpoints (plasma levels, metabolism), qualifying as Food safety &amp; quality and Health &amp; nutrition.</t>
  </si>
  <si>
    <t xml:space="preserve">Animal-free milk proteins</t>
  </si>
  <si>
    <t xml:space="preserve">Milk from cows is an essential source of proteins in the Western diet. The major protein fraction in this milk consists of caseins that are assembled into supramolecular protein structures, named casein micelles. These protein clusters are unique to animal milk and are essential to obtain the structure of dairy products such as cheese and yogurt. Unfortunately, dairy production has a large impact on the environment. Concerns on sustainability and animal-welfare are two important motivations for consumers to replace animal-based proteins by plant-based protein sources such as soy, almond and coconut. Currently, none of these substitutes have a nutritional quality or physical functionality comparable with cowâ??s milk, because they do not contain a similar amino acid composition or protein structures. The major scientific breakthrough and societal impact we want to achieve in this program is to produce a sustainable alternative for milk proteins using a new animal-free yeast-based source and assemble these individual yeast-based caseins into casein micelles so that they can be used to make dairy products with a similar nutritional and physical functionality as cowâ??s milk. In order to achieve this we will: 1) develop a yeast-based casein production system, 2) develop a controlled co-assembly strategy for casein micelles, 3) compare societal, nutritional and environmental aspects of animal and animal-free milk proteins in order to facilitate the potential protein transition. Our consortium consists of academic experts in the field of molecular biology, chemistry, physics, social science and sustainability and societal partners with expertise on biotechnology, food and nutrition. Using our additive expertise, we will create animal-free milk proteins and casein micelles as a unique new source for animal-free dairy products. Our yeast-based dairy protein production technology can evolve into a sustainable production platform, flexibly geared towards application in a variety of landscapes and societies.</t>
  </si>
  <si>
    <t xml:space="preserve">Strain development , Impact assessments</t>
  </si>
  <si>
    <t xml:space="preserve">Strain development, Ingredient optimisation, Health &amp; nutrition, Impact assessments</t>
  </si>
  <si>
    <t xml:space="preserve">The grant funds yeast strain development for recombinant casein production, ingredient-level work on casein micelle assembly and functionality, nutritional quality comparisons, and explicit societal/environmental/sustainability assessments of animal-free vs. animal milk proteins.</t>
  </si>
  <si>
    <t xml:space="preserve">VegVit</t>
  </si>
  <si>
    <t xml:space="preserve">"VegVit" is an interdisciplinary project aimed at developing a range of vegan dairy and meat alternatives with an improved nutritional profile (vitamin B12, as well as protein quality/broader amino acid profile). The first concrete goal of the project is to identify and select food-safe starter cultures that produce high levels of vitamin B12 under suitable conditions. The second concrete goal is to produce vitamin B12-enriched ingredients by first fermenting raw materials such as extruded vegetable proteins or protein suspensions. These enriched ingredients can then be converted in a second step into high-quality analogues with increased B12 levels and improved protein quality. The third concrete goal is to produce vitamin B12 in situ via a co-fermentation process, by adding suitable starter cultures during the production process of salami, yogurt, or cheese spread analogues. Depending on the nature and composition of the matrix (selected ingredients, homogeneous or heterogeneous matrix structure, pH, water activity), one approach may be more advantageous than another. The focus here is on creating products that meet consumer expectations in both quality and nutritional value.</t>
  </si>
  <si>
    <t xml:space="preserve">Ingredient optimisation , End product formulation</t>
  </si>
  <si>
    <t xml:space="preserve">The grant funds strain screening and selection for B12-producing starter cultures (Strain development), fermentation of plant protein ingredients to enrich them with B12 (Ingredient optimisation), and formulation of finished vegan dairy and meat analogue products including salami, yogurt, and cheese spread analogues with improved nutritional profiles (End product formulation).</t>
  </si>
  <si>
    <t xml:space="preserve">Sociale drivkræfter og barrierer for klimavenlig kost</t>
  </si>
  <si>
    <t xml:space="preserve">Changing the food routines of more Danes into a more plant-based kind of food will contribute to decreasing the climate footprint of Denmark. The purpose of this project is to shed light upon possibilities and obstacles for changing food into more plant-based and thus climate-friendly food in the everyday lives of Danes. In the project, we investigate the quantitative distribution of plant-based eating among Danes in general. At the same time, we investigate how young Danes, 18-30 years old, change and stick to eating more plant-based food. In our research, we have a particular focus on the mundane food practices, and on social norms and social interaction around food. The project is a collaboration between Department of Sociology, University of Copenhagen, and Denmark’s Green Think-tank, CONCITO. Thus at the same time, the research results will be used to qualify a new citizen-including change-project under CONCITO, “Green conversation dinners”. The research results will also form a part of CONCITO’s other change-projects, and qualify the input from CONCITO into institutional, business-oriented and political initiatives for action in collaboration with a large number of relevant organizations from the environmental area and the food area.</t>
  </si>
  <si>
    <t xml:space="preserve">The grant funds research into consumer behaviour, social norms, and barriers/drivers for plant-based eating among Danes, including quantitative distribution studies and qualitative investigation of food practices — all squarely within consumer and market research.</t>
  </si>
  <si>
    <t xml:space="preserve">Development of novel Penicillium strains optimised for mould-ripened plant-based cheese manufacturing</t>
  </si>
  <si>
    <t xml:space="preserve"> _Penicillium_ fungi are used in mould-ripened dairy cheese production. Frequently used strains include _P. roqueforti_ and _P. camemberti_. These are typically commercial strains purchased from a select few dedicated strain manufacturers that service the global market or are historical strains that have been cultured by the dairy or cheesemakers themselves.
 Plant-based (vegan) cheese represents the fastest growing sector of the global cheese market. However, existing commercial _Penicillium_ strains optimised for dairy milk frequently give poor results on plant-based substrates, producing high levels of mycotoxins, driven by the relatively high carbohydrate content of plant-based substrates (as compared to dairy milk). This limits the quality and variety of vegan cheeses available.
 There is an unmet need for optimised _Penicillium_ strains exhibiting improved and novel phenotypic traits to support the production of 'authentic' mould-ripened vegan cheesemaking.
 Myconeos are a UK SME exploiting IP developed with previous Innovate UK Smart funding. They have developed innovative GM-free methods for expanding genetic diversity in fungal strains. This is based on the discovery of a mechanism to induce sexual reproduction of 'asexual fungal strains', enabling natural breeding alongside established strain development techniques.
 Using a mixture of angel investment, private equity, and the previous Innovate UK Smart award, Myconeos have created entirely novel strains of _P. roqueforti, P. biforme,_ and _P. camemberti_. These have been proven to create innovative flavour and colour profiles for dairy cheese manufacturers and are being commercialised.
 Myconeos will now create novel _Penicillium_ strains optimised for plant-based cheesemaking. These strains will exhibit higher cellulase and amylase activity (for plant and starch-based substrates) and higher protease activity (for nut-based substrates) to create higher-quality vegan cheeses. The project outputs create an unparalleled opportunity to expand the UK's cheese manufacturing industry, and further support the UK's first cheesemaking fungal strain developer to create another unique market offering.</t>
  </si>
  <si>
    <t xml:space="preserve">The grant is focused on developing novel Penicillium strains (P. roqueforti, P. biforme, P. camemberti) optimised for plant-based cheese substrates through GM-free breeding and strain development techniques, which is squarely Strain development; no other categories represent substantively funded research activities.</t>
  </si>
  <si>
    <t xml:space="preserve">SusKelpFood – Sustainable ingredients from cultivated kelp to the food industry</t>
  </si>
  <si>
    <t xml:space="preserve">There is a growing need to produce more food in a sustainable way. In this context, kelp aquaculture is considered being a part of the solution for the sustainable production of food and animal feed. Kelp biomass can be cultivated on a large scale in coastal areas without need for chemicals and fertilizers, and without competing for freshwater or soil resources. If properly regulated, it will also provide ecosystem services, such as supporting biodiversity and mitigating CO2 emissions and eutrophication. Kelps are also a rich source of nutrients, taste and other bioactive substances with a large potential in food applications. The SusKelpFood project addresses some critical challenges for the food sector and emerging kelp industry to enable a broader use of this resource in food applications. Using key expertise from Nordic (Norway, Denmark, Iceland) research institutions, a major food producer (Orkla Foods Norge) and kelp producers, innovative and scalable conservation and processing methods (e.g. pulse electric field, warm seawater treatment, acid preservation, fermentation) were tested. The food safety incl. the presence of iodine, heavy metals, microbial pathogens and allergens of the resulting products was characterized and the retention of nutrients and changes in sensory properties from these processes were monitored. Information on the consumer perception and attitudes towards kelp-based food collected from interviews, surveys and from testing product prototypes. Compiling this data along with data from a product-based life cycle analysis provides a multi-criteria decision tool to industrial stakeholders to support the development of kelp-based food products and enable a broader inclusion of cultivated kelp in manufactured food products.</t>
  </si>
  <si>
    <t xml:space="preserve">Food safety &amp; quality, Consumer &amp; market research</t>
  </si>
  <si>
    <t xml:space="preserve">Ingredient optimisation, End product formulation, Food safety &amp; quality, Consumer &amp; market research, Impact assessments</t>
  </si>
  <si>
    <t xml:space="preserve">The grant funds ingredient processing/conservation methods for kelp (Ingredient optimisation), prototype product development with sensory evaluation (End product formulation), food safety characterisation including iodine, heavy metals, pathogens and allergens (Food safety &amp; quality), consumer perception surveys and prototype testing (Consumer &amp; market research), and a product-based LCA (Impact assessments).</t>
  </si>
  <si>
    <t xml:space="preserve">SPOC Sustainable Protein and Oil Crops: The potential of protein and oil crops for a transformation towards a more sustainable Swiss food system</t>
  </si>
  <si>
    <t xml:space="preserve">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 </t>
  </si>
  <si>
    <t xml:space="preserve">The grant funds system-level impact assessments (environmental, nutritional, and economic analysis via SOLm and SWISSland models), consumer uptake analysis (farmer and consumer adoption behavior), and a foresight/scenario study (stakeholder visions, transformation pathways) — no ingredient, product, crop breeding, or safety research is conducted.</t>
  </si>
  <si>
    <t xml:space="preserve">Keeping pace with the plant-food transition: an advanced authentication approach</t>
  </si>
  <si>
    <t xml:space="preserve">As food sources diversify, there is a growing need for advanced analytical methods to verify food identity and quality. Food fraud and accidental food contaminations are often difficult to detect. Existing analytical techniques are insufficient in identifying a wide range of protein sources. This not only compromises the global agrifood system, but may also pose significant health risks. Our startup has developed a software solution specifically designed for food analytics laboratories. This solution enhances the authentication of food raw 
materials and food products based on proteins, addressing these challenges.</t>
  </si>
  <si>
    <t xml:space="preserve">Food safety &amp; quality, Other</t>
  </si>
  <si>
    <t xml:space="preserve">The grant funds development of analytical software for food authentication and identity verification based on protein sources, which falls under food safety and quality (fraud detection, contamination identification); the software/analytical tool development aspect also fits 'Other' as it is a general analytical methodology platform rather than a specific food product or ingredient research activity.</t>
  </si>
  <si>
    <t xml:space="preserve">Highly porous particle and bar aerogels made from whey and potato protein</t>
  </si>
  <si>
    <t xml:space="preserve">To maintain their functionality, physiologically active or sensitive substances in food require protection against interactions with the environment or the product matrix. The masking of undesirable flavors and the targeted, controlled release at the destination are often required. Known transport and protection matrices often have a limited loading capacity. On the other hand, supercritically dried protein aerogels offer a large specific surface area and high loading capacity, e.g. for sensitive or sensorially disturbing substances. Protein aerogels are highly porous solids that are not only biodegradable, but are also suitable for human consumption, depending on the manufacturing process. So far, only animal proteins have been considered as the protein matrix. Airgel production is also still very time-consuming. Due to the increasing demand for products based on vegetable raw materials, the project aims to investigate the potential of vegetable proteins for the production of aerogels and to shorten and simplify the manufacturing process. The aim of the project is to develop a basic technology for the production of biocompatible, food-grade, highly porous airgel structures based on whey and potato protein. Processes for the production of biopolymer-based airgels have not yet been established and are opening up a large number of companies in the food, cosmetics and pharmaceutical industries to tap new market potential. Innovative SMEs in particular can benefit from this. The targeted production of aerogels with specific properties opens up diverse possibilities for the development and design of new functional products. Ideally, SMEs can increase their market share through the availability of improved and fully trendy aerogels.</t>
  </si>
  <si>
    <t xml:space="preserve">The grant focuses on developing aerogel structures from potato (and whey) protein as novel ingredient matrices with high loading capacity and controlled release properties, which constitutes ingredient optimisation through novel processing technology applied to individual protein ingredients.</t>
  </si>
  <si>
    <t xml:space="preserve">Industrialisation of the next-gen plant-based foods through fully flexible, automated solid-state fungi fermentation (FUNGIMATIC)</t>
  </si>
  <si>
    <t xml:space="preserve">The project will establish the first fully automated solid-state fermentation process to produce high-quality, fungal-fermented, plant-based alternatives to animal meat.
The project will do this, among other things, by integrating real-time data into production to ensure efficiency and a consistent product. The project also focuses on resource optimization and limiting food waste. The goal is to enable large-scale production of high-quality mushroom-fermented foods.</t>
  </si>
  <si>
    <t xml:space="preserve">The grant focuses on developing and automating a solid-state fungal fermentation process for producing plant-based meat alternatives at scale, which is a process innovation for manufacturing finished products and thus falls under Texturization methods.</t>
  </si>
  <si>
    <t xml:space="preserve">The Root of Understanding Mycelia (RUMy)</t>
  </si>
  <si>
    <t xml:space="preserve">The project will investigate 32 different edible mushrooms for their ability to form a tempeh-like product when grown on Nordic plant substrate.
The project analyzes the potential of fungi for the production of mycotoxins, their nutritional content and flavor profiles. In addition, how they are digested and affect gut bacteria. With the knowledge of the project, it will be possible to create better mycelium-based products and thereby increase the demand for this type of plant-based diet.
</t>
  </si>
  <si>
    <t xml:space="preserve">Strain development, End product formulation, Food safety &amp; quality, Health &amp; nutrition</t>
  </si>
  <si>
    <t xml:space="preserve">The grant screens 32 fungal strains for tempeh-like product formation (Strain development), evaluates the resulting mycelium-based products including nutritional content and flavor (End product formulation), assesses mycotoxin production potential as a food safety concern (Food safety &amp; quality), and investigates digestion and gut microbiota effects as physiological outcomes (Health &amp; nutrition).</t>
  </si>
  <si>
    <t xml:space="preserve">Influence of thermomechanical stresses on structural and functional changes of highly concentrated protein systems in extrusion processing</t>
  </si>
  <si>
    <t xml:space="preserve">Recent trends in food extrusion technology and research have been mainly directed to the development of sustainable and functional foods, which address the increased consumer awareness of the role of food products and processes on environment, health, and well–being. One of the most promising and growing application area is the processing of proteins, in which plant, algae, insect, or dairy proteins are structured to produce meat and dairy analogues or substitutes by extrusion. During this process, proteins are exposed to thermal and mechanical stresses, leading to changes of their native molecular structure. Then, through the flow in a long extrusion die, these restructured proteins are able to form anisotropic meat-like structures. Extrusion was also successfully exploited as a bioreactor to produce protein-based surfactants, stabilizers, coatings, and biodegradable films. The functional properties of proteins are considered to play a major role as quality determinant for these products. Among others, functional properties will be determined by denaturation and aggregation behavior of proteins during the extrusion process. Thus, information on the kinetics of protein denaturation and aggregation is essential to provide a better understanding of the structuring and functionalization mechanisms of protein-based, extruded products. Past research has gained a vast amount of useful information on heat-induced structural changes in proteins in dilute model solutions. These studies supply fundamental information on possible structural changes under thermal treatment. However, the extruded protein systems differ significantly from these model systems due to higher protein concentration (&gt; 40 % w/w) and matrix viscosity (&gt; 1000 Pa.s). Moreover, the extrusion process involves not only thermal but also mechanical treatment of the proteins at relatively high shear stresses (&gt; 100.000 Pa), and there is only very limited number of studies on the reaction behavior of proteins at such conditions.The main goal of the first phase of this project is therefore the investigation of the influence of defined extrusion-like conditions (i.e. high temperature, high shear, short time treatment) on the denaturation and aggregation behavior of highly concentrated model protein systems (i.e. ß-lactoglobulin) and the resulting protein functionality. In phase II, this fundamental information will be used to characterize the protein modification in transient flow conditions of a co-rotating twin-screw extruder, which will be characterized by using readily available and well-established optical, rheological, and numerical methods in our research group. In addition to the processing conditions, also the complexity of the model system will be increased from single component system (i.e. ß-lactoglobulin, α-lactalbumin) to multicomponent system (i.e. mixture of these proteins) resembling the conditions relevant for the industrial applications.</t>
  </si>
  <si>
    <t xml:space="preserve">The grant primarily investigates protein denaturation and aggregation kinetics under extrusion-like thermomechanical conditions to understand and improve protein functionality (Ingredient optimisation), and directly studies the extrusion process and structuring mechanisms for meat analogues (Texturization methods); no finished product formulation, consumer, safety, or impact research is funded.</t>
  </si>
  <si>
    <t xml:space="preserve">Resource efficiency in food production systems and in consumer households.</t>
  </si>
  <si>
    <t xml:space="preserve">This research consists of two subprojects. The first investigates the combination of North Sea shrimp and saline crops in a saltwater aquaponics system. The goal is to determine the optimal conditions for shrimp and plants to grow together. The second project focuses on how Dutch consumers store fresh fruits and vegetables, the role of packaging in these practices, and its effect on shelf life and food waste. Consumer behavior and the motivations behind storage strategies are being examined to identify potential improvements.</t>
  </si>
  <si>
    <t xml:space="preserve">The grant does not focus on alternative proteins; subproject 1 investigates aquaponics system optimization (Other), while subproject 2 examines consumer food storage behavior and packaging effects on shelf life and food waste (Consumer &amp; market research).</t>
  </si>
  <si>
    <t xml:space="preserve">The Bean Company</t>
  </si>
  <si>
    <t xml:space="preserve">Purpose and goal: 
** Denna text är maskinöversatt ** 
Objective
Show how we can create a Swedish protein extraction plant to meet food producers´ needs for a Swedish-produced plant protein.
Fulfillment
Founded a market in rapid growth with a need for development.
The market exists and suitable technology for extraction that meets needs and sustainability requirements are defined. First plant for fractioning is established and more in planning that will cover more than the Swedish needs.
 The survey has shown a greater need for a facility for texturing and flavoring, this part is missing in the value chain. 
Expected results and effects: 
** Denna text är maskinöversatt ** 
The project has established that there is a market for plant proteins in strong growth with development needs
There is technology for extraction that meets needs and sustainability requirements
That fractionation plants have been established and are being established that will cover more than Sweden´s needs
Swedish plant for texturing and flavoring of plant proteins for the food industry is missing.
The Project will focus it´s work to establish a Swedish plant for texturing and flavoring of plant proteins for the food industry 
Approach and implementation: 
With the work packages concerned, a project plan was drawn up, timetable with partial reconciliations for joint follow-up 
Ongoing dialogue and follow-up by the project manager and coordinator to secure progress and results.
Market - Macklean
External databases
External market mapping
Own previous studies
Interviews
Analyses and conclusions
Production - SLU
Literature studies
Research reports own and external 
Contacts with other academic institutions
Technology providers
Lab tests
Analyzes and recommendations</t>
  </si>
  <si>
    <t xml:space="preserve">Ingredient optimisation, Texturization methods, Consumer &amp; market research</t>
  </si>
  <si>
    <t xml:space="preserve">The grant funds market mapping (consumer &amp; market research), protein extraction/fractionation technology assessment (ingredient optimisation), and explicitly aims to establish a texturization and flavoring plant for plant proteins (texturization methods).</t>
  </si>
  <si>
    <t xml:space="preserve">Ferment2From</t>
  </si>
  <si>
    <t xml:space="preserve">STANDING OVATION, a key player in the food transition, announces €1.84 million in funding from bpifrance, as part of the PIA4 recovery plan and the "Tomorrow's Food Needs" call for projects, for its FERMENT2FROM project.
The aim of the FERMENT2FROM project is to develop new expertise in the use of fermentative caseins in cheese applications. This work will receive €1.83 million in funding from bpifrance, including €1.10 million in a repayable advance and €0.73 million in a grant. It will enable the company to diversify its commercial offering and move toward even higher value-added product lines.</t>
  </si>
  <si>
    <t xml:space="preserve">The grant focuses on developing new expertise in using fermentative caseins in cheese applications, which constitutes end product formulation of finished alternative protein products (plant-based or fermentation-derived cheese analogues).</t>
  </si>
  <si>
    <t xml:space="preserve">Fortified plant-based growing up drink</t>
  </si>
  <si>
    <t xml:space="preserve">I'm Amy, I'm a teacher, mum of two and co-founder of Plant Powered Babies. I live in Hampshire. Our products are a range plant-based 'growing-up' drinks for toddlers aged 12 months - 3 years. They are born from a personal story (my daughter Iris had numerous allergies including milk, egg, oats, nuts and sesame as a baby), and have been developed especially for children with allergies. Importantly, they are suitable for young children who are being raised vegan. 10% of children in the UK have two or more allergies. The rate of hospital admissions is highest in those aged 0-4, with cow's milk being the most common food allergy in children. The number of vegans in the UK has increased by 445,428 people (40%) over the past 12 months (2021) and is only set to continue to increase. Our products provide an alternative to dairy toddler growing-up milks and are fortified with vitamins and minerals, eliminating the need for separate multi-vitamins. They use hydrolysed pea-protein roquette which is more sustainable than dairy or soya-based formulas. We aim to radically disrupt the market for 'growing up' milk formulas and introduce an accessible choice for parents of immuno-compromised and plant-based children, where there is currently very little. Both vegan diets and food allergy can be extremely challenging and pose risks of nutritional deficiencies, particularly during childhood. There is both a clinical and market need for an affordable, safe and nutritious food product which delivers supportive complimentary nutrition for young children to reduce dietary deficiency risks. Our products have been through focus groups but now we require a further round of product development and testing to validate them before we can seek investment and commercialise. We are also solving a wider societal need -- alleviating stress for parents who are desperate to find a milk alternative their child can drink. We're making the products that I wish Iris could have had when she was little.</t>
  </si>
  <si>
    <t xml:space="preserve">End product formulation, Food safety &amp; quality, Health &amp; nutrition</t>
  </si>
  <si>
    <t xml:space="preserve">The grant funds further product development and testing of a fortified plant-based toddler drink (End product formulation), safety and nutritional validation before commercialisation (Food safety &amp; quality and Health &amp; nutrition), with consumer research mentioned only as past background (focus groups already done) rather than a funded activity.</t>
  </si>
  <si>
    <t xml:space="preserve">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t>
  </si>
  <si>
    <t xml:space="preserve">The grant funds system-level impact assessments (environmental LCA-type analysis via SOLm, nutritional consequences of dietary shifts), consumer uptake/behavior analysis (farmer and consumer adoption of protein/oil crops), and a foresight/scenario study with stakeholder engagement (Other), but does not fund crop breeding, ingredient processing, product formulation, or safety research.</t>
  </si>
  <si>
    <t xml:space="preserve">Improving the quality and relevance of food consumption and composition data in Europe</t>
  </si>
  <si>
    <t xml:space="preserve">In this project, the average daily protein, fat, carbohydrate, energy, fiber, fatty acids, cholesterol, vitamin and mineral intakes per person in Turkey were calculated by using the Household Consumption Expenditure Survey conducted by the State Institute of Statistics in 1994, and the values were determined by the recommended values. Compared to Daily Intake and Daily Reference Values. Foods are grouped as cereals and cereal products, meat and meat products, fish, milk and dairy products, eggs, fruits, vegetables, sugar and confectionery, salt, spices, ready meals and other foods and beverages. Composition tables were created according to the moisture, energy, protein, fat, carbohydrate, fiber, fatty acids, cholesterol, vitamin-mineral contents of the foods and it was examined in what proportion each nutrient was taken from which food group. Average energy and protein intake is at the recommended level. It has been determined that carbohydrate - fat intakes are above the recommended daily amount. Only in Southeast Anatolia and East Anatolia regions, protein intake was found below the minimum recommended daily intake. The most consumed groups in all regions are cereals, cereal products and vegetables, respectively. It has been observed that meat prices are more expensive than other food groups, affecting meat consumption. Accordingly, it was determined that daily animal protein intake was below the recommended values. When the average daily intake values are examined, it is seen that the iron and calcium intake is close to the recommended one, and the zinc intake is far below the recommended one. Other mineral intakes were observed to be sufficient. Low iron and zinc intake values are due to the low consumption of animal foods containing these nutrients the most.</t>
  </si>
  <si>
    <t xml:space="preserve">This grant focuses on analysing household food consumption and nutrient intake data in Turkey using survey data and food composition tables, which is a dietary assessment/nutritional surveillance activity that does not fit any of the specific alternative protein research categories.</t>
  </si>
  <si>
    <t xml:space="preserve">new VALue landscapes for plant PROtein Pathways (VALPRO Path)</t>
  </si>
  <si>
    <t xml:space="preserve">The current European plant-protein landscape is flawed. Heightened societal awareness of the environmental impact of consuming animal-based protein is driving the public’s awareness of alternative, sustainable sources of dietary protein. Yet, production systems are focussed heavily on the production of feedstock for direct transfer into animal sectors in an attempt to counter the EU’s over-dependency on imported feed. In essence, there is an absence of premium supply chains - farmers miss out on added-value opportunities that exist within the crops they already grow across Europe. There is a need to increase resilience in farming systems to mitigate against increasingly volatile climate patterns and to support farming systems to meet Farm-to-Fork strategic objectives. Built on the principles of co-creation, innovation and demonstration, VALPRO Path will design, validate and deliver sustainable and competitive plant protein crop systems and value chains. Focussed on underpinning economic value for all actors in the supply chain, it will exploit beyond state-of-the-art innovations, demonstrating and evaluating potential across 5 multi-stakeholder ‘living lab’ innovation production systems (IPSs). With strong industry involvement, the project will deliver a stronger ecosystem for plant protein production, supported with robust evidence of the social, economic, environmental, climate and health benefits. VALPRO Path will deliver new, sustainable business models, showing how focussed research can come into practice. Sustainable diversification of rotations with grain legumes will support the transition to more environmentally sustainable farming. European agriculture is at a juncture in regards to the sustainable provision of dietary protein. It can embrace opportunities presented through existing innovations that are integrated into real-life scenarios to support stakeholders realise the new market opportunities that exist for indigenous, fully traceable plant protein.</t>
  </si>
  <si>
    <t xml:space="preserve">Ingredient optimisation, Crop development, Impact assessments</t>
  </si>
  <si>
    <t xml:space="preserve">Crop development, Impact assessments, Other</t>
  </si>
  <si>
    <t xml:space="preserve">Crop development, Impact assessments</t>
  </si>
  <si>
    <t xml:space="preserve">The grant funds development of plant protein crop systems and value chains through living lab innovation production systems (Crop development), structured assessment of social, economic, environmental, and climate impacts (Impact assessments), and broader supply chain, business model, and policy-oriented activities that don't fit other categories (Other); consumer research, ingredient processing, and product formulation are not funded research activities but rather downstream motivations.</t>
  </si>
  <si>
    <t xml:space="preserve">Material and process engineering of vegan sausages</t>
  </si>
  <si>
    <t xml:space="preserve">The demand for vegan sausages has increased significantly in recent years and is likely to continue to grow. The extent to which vegetarian and especially vegan products can gain relevant market share depends to a large extent on whether they are accepted as an equivalent alternative to meat products. This is due to the quality (especially the texture) of the moment. doubtful vegan sausages on the market. The aim of the project is to systematically combine material approaches of vegetable proteins with classic meat technology processes and thus create the basis for new, sensory preferred vegan sausage products. By developing vegan products on classic production lines, relevant SMEs can expand their product portfolio and achieve competitive advantages. The know-how for the production of vegan sausages is currently only in the hands of a few companies. SMEs in the meat products industry in particular have so far had only a few opportunities to promote their own developments. The present research project has great economic potential, especially since preliminary work has already shown that appropriate fibers can be produced from vegetable proteins / fats. The project also has great innovation potential. It can also have a positive impact on healthy eating and minimizing nutritional disorders. The impact on the environment should also not be underestimated if more plant-based foods (or plant-based foods) are consumed at the place of animal products.</t>
  </si>
  <si>
    <t xml:space="preserve">The grant focuses on engineering vegan sausages by combining vegetable protein material approaches with meat technology processes, covering ingredient-level fiber/protein-fat development (Ingredient optimisation), texturization methods for sausage structure, and finished product formulation with sensory evaluation; health and environmental benefits are mentioned only as background motivation.</t>
  </si>
  <si>
    <t xml:space="preserve">Impact of plant-based diet on the consumption of health promoting microRNA’s</t>
  </si>
  <si>
    <t xml:space="preserve">With the current climate change and increased need for resources, the availability of high-quality proteins for human consumption is challenged. Alternative plant-based protein sources have been identified and their usefulness has been partially documented. At the same time, we also know that animal-based foods (e.g. milk) contain a number of bioactive components, including exosomes (micro-vesicles) that contain microRNA (miRNA). These miRNAs have been shown to have health-promoting activity. In order to be able to safely shift dietary protein sources from animal to plant sources, we lack basic knowledge about these health-promoting miRNAs from plants. The aim of the project is to provide this knowledge, both about the origin and presence of exosomes and miRNA in plant-based foods, but also about their health-promoting effects. An important aspect of this is also to investigate the resilience of exosomes during food production. In a number of experiments, the project will 1) clarify the content of exosomes and miRNA in plants with relevance as foods; 2) determine the resistance of exosomes and their content during the processing of food ingredients and human digestion; and 3) generate knowledge about the health-promoting effects of plant-based exosomes and miRNAs. This project is an important step on the path to changing the dietary protein source to a greener alternative, without compromising existing health-promoting effects.
</t>
  </si>
  <si>
    <t xml:space="preserve">The grant is focused on characterising plant-derived exosomes and miRNAs and investigating their health-promoting biological effects and resilience during digestion and food processing, making Health &amp; nutrition the primary funded research activity.</t>
  </si>
  <si>
    <t xml:space="preserve">E!381, FAVORIT, The Green Dairy Sweden Holding AB</t>
  </si>
  <si>
    <t xml:space="preserve"> Purpose and goal: 
 The project will develop plant-based dairy products based on fermented fava bean with a minimum of additives, as a resilient and sustainable alternative to soy. The goal is a market introduction of healthy and sustainable yogurt-like products from Nordic crops and natural bioprocesses. Partners: The Green Dairy, TFTAK (Estonia), Lund University. 
 Expected results and effects: 
 Competitors use questionable additives to create plant-based yogurt products instead of natural bioprocesses. A prestudy by the project partners has shown that fermented fava bean has great market potential for yogurt-like products. The project will scale this complex bioprocess from lab scale to mass production and market introduction. 
 Approach and implementation: 
 Raw materials and bacterial cultures are analyzed and selected. The production process is developed from lab scale to full scale, in dialogue with producers. Natural additives (berries, herbs, etc.) are evaluated. A human intervention study by Lund University will provide information about effects on gut microbiome, blood analytes and wellbeing compared to traditional products. A market strategy is developed.</t>
  </si>
  <si>
    <t xml:space="preserve">Strain development , End product formulation</t>
  </si>
  <si>
    <t xml:space="preserve">Strain development, End product formulation, Health &amp; nutrition, Consumer &amp; market research</t>
  </si>
  <si>
    <t xml:space="preserve">The grant funds strain selection/analysis of bacterial cultures (Strain development), development and scale-up of fermented fava bean yogurt-like products (End product formulation), a human intervention study measuring gut microbiome and blood analyte outcomes (Health &amp; nutrition), and a market strategy development (Consumer &amp; market research).</t>
  </si>
  <si>
    <t xml:space="preserve">successful protein shift in schools–Prototyping a norm change tool kit towards alternative proteins</t>
  </si>
  <si>
    <t xml:space="preserve">Purpose and goal:
The project´s objective is to create and test a prototype of a toolbox to promote the transition to alternative proteins in school meals. The aim is to engage students, parents, educators, principals and meal staff in this protein shift through activities and materials that increase knowledge and commitment around sustainable protein choices. Through inclusive working methods, the toolbox should enable measurable change and be able to be used by other municipalities and actors to accelerate the protein shift and contribute to sustainable development
Expected results and effects:
The project is expected to lead to increased knowledge and acceptance of alternative proteins among students and school staff, which should result in a reduced environmental impact from school meals. By implementing and testing the toolbox in schools, the project will provide insights into how best to implement the protein shift in school environments. This should lead to practical recommendations and a tool that can be spread to other municipalities, which accelerates the protein shift and contributes to sustainable development and the fulfillment of climate goals
Approach and implementation:
The project is divided into several work packages. First, knowledge and experiences about protein shift in schools are collected via questionnaire surveys and interviews to identify obstacles and enabling factors. Afterwards, co-creative activities are held with students, parents and school staff to design the contents of the toolbox. In the next step, a concept and draft proposal for the toolbox is developed, based on behavioral techniques that facilitate dialogue and goal setting for a successful protein shift in schools.</t>
  </si>
  <si>
    <t xml:space="preserve">The grant funds questionnaire surveys, interviews, and co-creative activities to understand barriers and enablers of protein shift adoption in schools (consumer/market research), and develops a behavioural toolkit/policy instrument for institutional change (Other), with no funded research into product development, ingredients, safety, or quantitative impact assessments.</t>
  </si>
  <si>
    <t xml:space="preserve">The protein shift - A risk for women and children?</t>
  </si>
  <si>
    <t xml:space="preserve">The Swedish government has adopted a national food strategy that supports reduced meat consumption and the transition to more sustainable protein sources. The effects of such a shift on the status of critical nutrients in risk groups are unknown. We will therefore  evaluate how a shift towards a more plant-based diet affects the status of nutrients through observational studies in a birth cohort (NICE), conduct intervention studies to evaluate iron absorption and evaluate nutritional value in plant-based meat substitutes available on the Swedish market. Our hypotheses are that i) A protein shift from meat to plant protein can have negative effects on nutritional status (iron, zinc, vitamins B12 and D) in women of childbearing age and children ii) Fish protein as a complement to plant protein results in higher bioavailability of iron/ essential micronutrients iii) Nutritional value deteriorates in highly processed meat substitute products compared with traditional plant-based products. The hypotheses are addressed by i) investigating the nutritional status associated with low to high plant based food intake, ii) investigate iron absorption  from matched plant-, fish- and meat protein meals with radioisotope technique in a controlled study; ii) assess the nutritional value of highly processed, vegetable protein products vs traditional plant products.The project provides important evidence to substantiate a protein shift for increased sustainability and health.</t>
  </si>
  <si>
    <t xml:space="preserve">The grant funds observational cohort studies and controlled intervention studies measuring nutritional status and iron absorption (physiological outcomes) in women and children shifting to plant-based diets, plus nutritional profiling of commercial meat substitutes — all centred on health and nutrition endpoints rather than product development, safety testing, or market research.</t>
  </si>
  <si>
    <t xml:space="preserve">Strengthening the Capacity of Excellence Hubs of Türkiye, Greece, and Ukraine to Support Innovation Ecosystem of Novel Foods Based on Plant Proteins</t>
  </si>
  <si>
    <t xml:space="preserve">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Therefore, more research is needed to develop mild processing techniques for plant proteins and to obtain a comprehensive understanding on the impact of plant proteins on technological and nutritional functionality. 
Addressing current challenges and shortcomings, Excel4Pro aims to support, with underpinning research and knowledge exchange, the capacity of the national Excellence Hubs of Türkiye, Greece, and Ukraine as a regional launch pad for plant-protein-based novel food economies. Excel4Pro will be used as a critical tool to connect and scale up the strategically selected plant-based protein ecosystems in a single, interconnected and cross-border Excellence Hub dedicated to growing and changing the agri-food sector in Türkiye, Greece and Ukraine by developing novel food products based on plant-based proteins. 
Collaborative R&amp;I strategies, mentoring programmes, action plans to attract dedicated investment, and an array of upskilling activities for researchers and entrepreneurs will help close knowledge gaps between place-based innovation ecosystems and support the development of more sustainable food systems. 
Excel4Pro's consortium contains 17 partners (4 Academic, 8 Business, 2 Public Authorities, and 3 Societal Actors) that are well balanced and fully completes the quadruple helix. Excel4Pro is a 4 years project with 6 carefully designed Work Packages that efficiently exploit the consortium's diverse knowledge and expertise to develop solutions to Global Challenges in line with EUGreen Deal, the Farm to fork strategy for a fair, healthy and environment-friendly food system.</t>
  </si>
  <si>
    <t xml:space="preserve">Ingredient optimisation, End product formulation, Texturization methods, Health &amp; nutrition, Other</t>
  </si>
  <si>
    <t xml:space="preserve">The grant explicitly funds research into mild processing techniques and technological/nutritional functionality of plant proteins (Ingredient optimisation), development of novel food products (End product formulation), processing innovations including texturization (Texturization methods), nutritional functionality assessment (Health &amp; nutrition), and broader capacity-building, knowledge exchange, and ecosystem development activities that fall outside the specific technical categories (Other); environmental impact and consumer trends are mentioned only as background motivation.</t>
  </si>
  <si>
    <t xml:space="preserve">Engineering plant organelles for food ingredient production</t>
  </si>
  <si>
    <t xml:space="preserve">Livestock farming has an enormous environmental impact and contributes to land and water degradation, biodiversity loss, and deforestation. Demand for animal meat alternatives has grown and will continue to rise, however current alternative systems like fermentation or laboratory cultivation still have a net negative impact on the environment, releasing undesirable by-products. This project employs plant molecular farming, an emerging field that utilises photosynthetic organisms to produce commercial and pharmaceutical proteins and in particular, chloroplast transformation technologies to configure food and meat alternative ingredient production in both plants and algae. Chloroplast transformation technology carries attractive features such as the specific integration of transgenes -either individually or as operons- into the plastid genome through homologous recombination, the potential for high level protein expression based on a prokaryotic gene expression system and environmental containment because of the maternal inheritance of the plastids.
The successful applicant will address these challenges by developing the synthetic biology tools for plastid transformation such as efficient configuration of promoters, UTRs, integration sites, signal peptides and multigene expression cassette for optimal protein expression in both plant and algae systems. Subsequently, the phenotype of the transplastomic plants will be characterised by using biochemical and physiological analysis methods. Furthermore, the downstream processing procedure will be investigated for the successfully expressed protein for further commercialisation. Moreover, the developed tools will be further optimised and applied for crop plants.</t>
  </si>
  <si>
    <t xml:space="preserve">The grant funds development of chloroplast transformation and synthetic biology tools to produce food/meat alternative proteins in plants and algae (Crop development), and also investigates downstream processing of expressed proteins for commercialisation (Ingredient optimisation); no other categories represent substantive funded research activities.</t>
  </si>
  <si>
    <t xml:space="preserve">STARS® Canada - UK
  Plant-based Protein Innovation</t>
  </si>
  <si>
    <t xml:space="preserve">STARS x University of Leeds are producing a delicious, sustainable, locally sourced plant-based burger in the UK. This project brings that V1 to create V2 for the Canadian, UK and Australian markets. The UK-Canadian partners aim to generate knowledge on protein ingredient blending at scale.
This Canada - UK plant-based Protein Innovation project brings a bi-lateral consortium of academia and commercial food partners to bring a much needed whole food plant-based burger to market. The taste, texture and mouthfeel of beef, along with the plant-based lipid structure to emulate an 18% fat content beef burger.
Bringing Canadian crops, whole food plant-based ingredients into the STARS burger with significant experience from the partners in product development, lipids, bindings, ingredients and fortification.
Expertise in this bilateral consortia; STARS UK R&amp;D along with their UK R&amp;D partners at University of Leeds are in a consortium with their Canadian partners led by Sunnydale (Lovingly Made Ingredients) alongside Botaneco, University of Guelph, Saskatchewan Food Centre.</t>
  </si>
  <si>
    <t xml:space="preserve">The grant focuses on developing a plant-based burger (End product formulation) with explicit investigation of protein ingredient blending, lipid structure, bindings, and fortification at scale (Ingredient optimisation), with no substantive funded activities in other categories.</t>
  </si>
  <si>
    <t xml:space="preserve">Controlled alteration of the structure and composition of plant materials by mechanochemical methods for intensification of the extraction of biologically active compounds</t>
  </si>
  <si>
    <t xml:space="preserve">Currently near 60% of the feedstock substances used in pharmacy are obtained from plant material. About 90% of the components of the functional, preventive and therapeutic food are plant extracts. Proportion of plant extracts in cosmetics is estimated at 40%. The further development of all following areas depends on the development of extraction methods. Majority of works conducted in the field of extraction processes optimization, focused on changing the properties of the liquid phase (extractant). In the framework of this work is consider the extraction process as a complex process in which one of the main roles is played by the solid phase (plant material) and study the influence of the physicochemical characteristics of this phase on the process of mass transfer and extraction. The changing of the physicochemical characteristics of the solid phase will be provided by мechanochemical methods. The project proposes to consider the plant material on the three levels of the organization. At the macro level (hundreds/tens of micrometers) plat materials will be considered as complex-structured porous material. The influence of the characteristic parameters of closed pores (cells) and open pores (cracks, transport channels, vessels) on the kinetics of extraction will be studied. On submicron level the features of biologically active substances diffusion through the cell walls will be investigated depending on the degree of disordering of the structure-forming call walls polymers. At the molecular level will be studied the dependence of solid-phase reactions rate on physical and chemical characteristics of substances, intensity and type of mechanical action. Currently, the obtaining of scientific data on a qualitatively new level became possible due to development of methods of electron microscopy, analysis of sorption isotherms of gases, water, and protein, mathematical processing of the results. In addition, the lack of basic knowledge in structure/extraction dependence is related to the complexity of producing model samples for research. The experience accumulated over the past few years in our laboratory allow as to create this model samples varying size, both preserving the structure and chemical composition of the feedstock, and with any degree of disordering of the cell structure. The methods of from different areas of science - Solid State Chemistry, Mechanochemistry, biotechnology polymer chemistry - will be used. The investigations of mechanochemical reactions previously carried out on the model pure materials and simple systems. The influence of plan material polymer matrix on the course of mechanochemical reactions and stability of target substances are virtually unexplored. The applicants of the project studied individual examples to demonstrate that the matrix of vegetable raw materials can affect both the exchange reactions, and the stability of the starting substances and reaction products. It is suggested that these effects are attributed to a change in the dielectric constant of the medium and stabilization of substances by adsorption on polymers. In this work, these assumptions will be verified. The reactions of neutralization and glycosylation are proposed to use as model The anthracene derivatives with increasing "complexity" molecules - emodin sennidin, hypericin and their derivatives will be used as model substances for neutralization reaction. These compounds exhibit a clearly defined acid-base properties. Our laboratory has experience in the study of the neutralization reaction of hypericin luminescence microscopy method. The flavonoids - quercetin, catechin, delphinidin and their derivatives was selected as model compounds for glycosylation reactions. In this case, the choice is determined by the fact there are well developed methods of chemical and HPLC analysis of both the substances and their glycosides. Model matrix are selected plant material with uniform structure of the tissue, presumably from presumably from a number of cereal straw (wheat, corn, barley) and the husks (buckwheat, oat, rice). These matrices cause interest due to the uniformity of their structure that slightly changes during interaction with a solvent, including extraction. This allows to remove low molecular weight model substance from matrix that may influence the extraction process in advance, and then introduced into the matrices, the precise amounts of the test substances. In the final part of the work it is supposed to confirm the model objects regularities on real objects containing derivatives of anthracene and catechols (buckthorn bark, St. John's wort, hay aquifolium, ginkgo biloba, Rhodiola rosea). The end result of this research are model that allows to determine the optimal conditions and reagents for the mechanical activation of plant raw material extraction processes based on chemical composition and structure of the material, the chemical properties of extractables.</t>
  </si>
  <si>
    <t xml:space="preserve">The grant focuses on mechanochemical processing of plant materials to optimize extraction of biologically active compounds, which falls under ingredient optimisation as it investigates and improves the processing and fractionation of plant-derived ingredients; no other alternative protein research categories are substantively funded.</t>
  </si>
  <si>
    <t xml:space="preserve">FINEST - Food Innovation Enabling Sustainable Transition, phase 2</t>
  </si>
  <si>
    <t xml:space="preserve">FINEST – Food Innovation Enabling Sustainable Transitions – is based on the work carried out over the past four years contributing to the sustainable transition of the Swedish food system through the development, scaling, and implementation of new solutions.  The centre will support the transformation of the food system by providing platforms for researchers and stakeholders to create new knowledge, innovate, and accelerate change in the system. Focus in the second phase of FINEST will be on three areas: 1) value chains related to forest foods, 2) next generation of plant-based foods as complements or alternatives to meat, and 3) foods that do not need arable land for production.The centre is multidisciplinary and includes the competence areas: sustainability transitions, business model innovation, raw materials and ingredients production, product design, food safety, consumer behaviour, as well as systems thinking and foresight.The goal of FINEST phase two is to contribute towards a sustainable transition of the food system through co-creation and collaboration with stakeholders. FINEST will create value together with actors in the system who are responsible for making the change happen.The impact of FINEST lies in the multi/transdisciplinary work facilitated by the centre structure with three interconnected arenas (research, innovation, and network), where stakeholder driven processes will be at the core to ensure relevant output and successful implementation</t>
  </si>
  <si>
    <t xml:space="preserve">Ingredient optimisation, End product formulation, Food safety &amp; quality, Consumer &amp; market research, Impact assessments, Other</t>
  </si>
  <si>
    <t xml:space="preserve">This multidisciplinary centre explicitly funds research across raw materials and ingredients production (ingredient optimisation), product design for next-generation plant-based foods (end product formulation), food safety, consumer behaviour research, and sustainability transitions/systems thinking (impact assessments and other), while crop/strain development and texturization are not mentioned as funded activities.</t>
  </si>
  <si>
    <t xml:space="preserve">Soy and Agro-Food Transitions</t>
  </si>
  <si>
    <t xml:space="preserve">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</si>
  <si>
    <t xml:space="preserve">This grant is a historical and socio-economic study of soy's rise in agro-food regimes in Austria over 150 years, using actor-network, commodity-chain, and discourse analyses — it does not fund any food science, ingredient, product, or quantitative impact research activities.</t>
  </si>
  <si>
    <t xml:space="preserve">Development of a high-voltage pulse-assisted process for displacement extraction of oils and functional proteins from oilseeds using the example of rapeseed</t>
  </si>
  <si>
    <t xml:space="preserve">Vegetable oils and proteins are not only from a nutritional point of view but also for the formation of micro and macro structures, e.g. Foaming, emulsions or gels are important raw materials in the food industry. The currently mainly used plant proteins are obtained from soybean, and domestic protein sources such as e.g. Oilseed rape and lupine, due to increasing numbers of cultivators and breeding successes, such as the reduction of anti-nutritional ingredients, and the increased oil and Protein content is becoming increasingly interesting. The partly excellent nutritional and functional properties v. Oilseed proteins are usually significantly deteriorated in conventional processing. Existing simultaneous processes for oil protein extraction do not reach the necessary. Yields based on irreversible protein-oil complexation during extraction. The electr. High-voltage pulses represent a non-thermal process that enables permeabilization of biological membranes with low energy inputs. This technology can be used to make extraction of ingredients much easier. The aim of the project is to gain basic knowledge, for example, of the influence of material transport and material conversion processes in oil seeds by means of electrical high-voltage pulses, which make it possible to develop a conditioning and extraction process for the economical extraction of oil and proteins from oil-bearing seeds . The semi-continuous process is primarily aimed at 250 German central oil mills, as it enables holistic use of rapeseed in conjunction with an innovative process and the product range is further enhanced by the additional Production of valuable proteins expanded and new sales markets opened up. The potential for innovation is high, as the improved use of all the ingredients in rapeseed oil seeds for SMEs means expanding the product range to include valuable proteins while using the same raw materials.</t>
  </si>
  <si>
    <t xml:space="preserve">The grant focuses on developing a high-voltage pulse-assisted extraction process to improve the yield and functional quality of oils and proteins from rapeseed, which is squarely Ingredient optimisation; no other categories represent substantive funded research activities.</t>
  </si>
  <si>
    <t xml:space="preserve">Next Generation Plant-Based Meats: Optimising Nutritional Value and Sustainability through Ingredient Selection and Processing</t>
  </si>
  <si>
    <t xml:space="preserve">THIS has a range of plant-based products
 already on the market which have a realistic taste and texture compared to
 meat from animals. Whilst THIS has data to show that CO2 emissions from its
 range are significantly less than meat, and the protein content is similar to
 meat, there is still research to be done around the nutritional comparison to
 meat in terms of protein digestibility and bioavailability of other
 nutritional components. The project will aim to address those gaps by a
 combination of ingredient selection and processing. Developments will be
 assessed against the baseline nutritional parameters and also in terms of
 sustainability measures, taste, and cost in order to ensure that the increase
 in nutritional profile is not at the expense of sustainability, product
 quality or greater cost, limiting its accessibility to consumers.</t>
  </si>
  <si>
    <t xml:space="preserve">The grant funds ingredient selection and processing to improve nutritional value (protein digestibility and bioavailability = health/nutrition endpoints), involves formulation of finished plant-based meat products assessed for taste and nutritional profile (end product formulation), and investigates ingredient-level processing to improve nutritional quality (ingredient optimisation); sustainability is mentioned as a comparative measure rather than a primary LCA/TEA methodology.</t>
  </si>
  <si>
    <t xml:space="preserve">n_true</t>
  </si>
  <si>
    <t xml:space="preserve">tp</t>
  </si>
  <si>
    <t xml:space="preserve">fp</t>
  </si>
  <si>
    <t xml:space="preserve">fn</t>
  </si>
  <si>
    <t xml:space="preserve">recall</t>
  </si>
  <si>
    <t xml:space="preserve">precision</t>
  </si>
  <si>
    <t xml:space="preserve">75%</t>
  </si>
  <si>
    <t xml:space="preserve">39%</t>
  </si>
  <si>
    <t xml:space="preserve">73%</t>
  </si>
  <si>
    <t xml:space="preserve">100%</t>
  </si>
  <si>
    <t xml:space="preserve">37%</t>
  </si>
  <si>
    <t xml:space="preserve">88%</t>
  </si>
  <si>
    <t xml:space="preserve">44%</t>
  </si>
  <si>
    <t xml:space="preserve">64%</t>
  </si>
  <si>
    <t xml:space="preserve">28%</t>
  </si>
  <si>
    <t xml:space="preserve">62%</t>
  </si>
  <si>
    <t xml:space="preserve">29%</t>
  </si>
  <si>
    <t xml:space="preserve">80%</t>
  </si>
  <si>
    <t xml:space="preserve">30%</t>
  </si>
  <si>
    <t xml:space="preserve">14%</t>
  </si>
  <si>
    <t xml:space="preserve">67%</t>
  </si>
  <si>
    <t xml:space="preserve">89%</t>
  </si>
  <si>
    <t xml:space="preserve">57%</t>
  </si>
  <si>
    <t xml:space="preserve">metric</t>
  </si>
  <si>
    <t xml:space="preserve">value</t>
  </si>
  <si>
    <t xml:space="preserve">n</t>
  </si>
  <si>
    <t xml:space="preserve">exact_match_accuracy</t>
  </si>
  <si>
    <t xml:space="preserve">mean_row_precision</t>
  </si>
  <si>
    <t xml:space="preserve">51%</t>
  </si>
  <si>
    <t xml:space="preserve">mean_row_recall</t>
  </si>
  <si>
    <t xml:space="preserve">68%</t>
  </si>
  <si>
    <t xml:space="preserve">mean_row_jaccard</t>
  </si>
  <si>
    <t xml:space="preserve">48%</t>
  </si>
  <si>
    <t xml:space="preserve">other_clash_rate</t>
  </si>
  <si>
    <t xml:space="preserve">26%</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</si>
</sst>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6">
    <fill>
      <patternFill patternType="none"/>
    </fill>
    <fill>
      <patternFill patternType="gray125"/>
    </fill>
    <fill>
      <patternFill patternType="solid">
        <fgColor rgb="FF81D41A"/>
        <bgColor rgb="FFBBE33D"/>
      </patternFill>
    </fill>
    <fill>
      <patternFill patternType="solid">
        <fgColor rgb="FFBBE33D"/>
        <bgColor rgb="FF81D41A"/>
      </patternFill>
    </fill>
    <fill>
      <patternFill patternType="solid">
        <fgColor rgb="FFFFFF00"/>
        <bgColor rgb="FFFFFF00"/>
      </patternFill>
    </fill>
    <fill>
      <patternFill patternType="solid">
        <fgColor rgb="FF729FCF"/>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BBE33D"/>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0"/>
  <sheetViews>
    <sheetView showFormulas="false" showGridLines="true" showRowColHeaders="true" showZeros="true" rightToLeft="false" tabSelected="true" showOutlineSymbols="true" defaultGridColor="true" view="normal" topLeftCell="C25" colorId="64" zoomScale="100" zoomScaleNormal="100" zoomScalePageLayoutView="100" workbookViewId="0">
      <selection pane="topLeft" activeCell="N34" activeCellId="0" sqref="N34"/>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N1" s="0" t="s">
        <v>12</v>
      </c>
    </row>
    <row r="2" customFormat="false" ht="15" hidden="false" customHeight="false" outlineLevel="0" collapsed="false">
      <c r="A2" s="0" t="n">
        <v>0</v>
      </c>
      <c r="B2" s="0" t="s">
        <v>13</v>
      </c>
      <c r="C2" s="0" t="s">
        <v>14</v>
      </c>
      <c r="D2" s="0" t="s">
        <v>15</v>
      </c>
      <c r="E2" s="0" t="s">
        <v>16</v>
      </c>
      <c r="F2" s="0" t="s">
        <v>17</v>
      </c>
      <c r="G2" s="1" t="b">
        <f aca="false">TRUE()</f>
        <v>1</v>
      </c>
      <c r="H2" s="0" t="s">
        <v>18</v>
      </c>
      <c r="I2" s="2" t="b">
        <f aca="false">FALSE()</f>
        <v>0</v>
      </c>
      <c r="J2" s="0" t="n">
        <v>0.333333333333333</v>
      </c>
      <c r="K2" s="0" t="n">
        <v>0.5</v>
      </c>
      <c r="L2" s="0" t="n">
        <v>0.25</v>
      </c>
      <c r="N2" s="0" t="s">
        <v>19</v>
      </c>
    </row>
    <row r="3" customFormat="false" ht="15" hidden="false" customHeight="false" outlineLevel="0" collapsed="false">
      <c r="A3" s="0" t="n">
        <v>1</v>
      </c>
      <c r="B3" s="0" t="s">
        <v>20</v>
      </c>
      <c r="C3" s="0" t="s">
        <v>21</v>
      </c>
      <c r="D3" s="0" t="s">
        <v>22</v>
      </c>
      <c r="E3" s="0" t="s">
        <v>23</v>
      </c>
      <c r="F3" s="0" t="s">
        <v>23</v>
      </c>
      <c r="G3" s="1" t="b">
        <f aca="false">FALSE()</f>
        <v>0</v>
      </c>
      <c r="H3" s="0" t="s">
        <v>24</v>
      </c>
      <c r="I3" s="2" t="b">
        <f aca="false">FALSE()</f>
        <v>0</v>
      </c>
      <c r="J3" s="0" t="n">
        <v>0</v>
      </c>
      <c r="K3" s="0" t="n">
        <v>0</v>
      </c>
      <c r="L3" s="0" t="n">
        <v>0</v>
      </c>
      <c r="N3" s="0" t="s">
        <v>25</v>
      </c>
    </row>
    <row r="4" customFormat="false" ht="219.9" hidden="false" customHeight="false" outlineLevel="0" collapsed="false">
      <c r="A4" s="0" t="n">
        <v>2</v>
      </c>
      <c r="B4" s="0" t="s">
        <v>26</v>
      </c>
      <c r="C4" s="3" t="s">
        <v>27</v>
      </c>
      <c r="D4" s="0" t="s">
        <v>28</v>
      </c>
      <c r="E4" s="0" t="s">
        <v>28</v>
      </c>
      <c r="F4" s="0" t="s">
        <v>28</v>
      </c>
      <c r="G4" s="1" t="b">
        <f aca="false">FALSE()</f>
        <v>0</v>
      </c>
      <c r="H4" s="0" t="s">
        <v>29</v>
      </c>
      <c r="I4" s="1" t="b">
        <f aca="false">TRUE()</f>
        <v>1</v>
      </c>
      <c r="J4" s="0" t="n">
        <v>1</v>
      </c>
      <c r="K4" s="0" t="n">
        <v>1</v>
      </c>
      <c r="L4" s="0" t="n">
        <v>1</v>
      </c>
    </row>
    <row r="5" customFormat="false" ht="34.2" hidden="false" customHeight="false" outlineLevel="0" collapsed="false">
      <c r="A5" s="0" t="n">
        <v>3</v>
      </c>
      <c r="B5" s="0" t="s">
        <v>30</v>
      </c>
      <c r="C5" s="3" t="s">
        <v>31</v>
      </c>
      <c r="D5" s="0" t="s">
        <v>22</v>
      </c>
      <c r="E5" s="0" t="s">
        <v>32</v>
      </c>
      <c r="F5" s="0" t="s">
        <v>32</v>
      </c>
      <c r="G5" s="1" t="b">
        <f aca="false">FALSE()</f>
        <v>0</v>
      </c>
      <c r="H5" s="0" t="s">
        <v>33</v>
      </c>
      <c r="I5" s="4" t="b">
        <f aca="false">FALSE()</f>
        <v>0</v>
      </c>
      <c r="J5" s="0" t="n">
        <v>0.5</v>
      </c>
      <c r="K5" s="0" t="n">
        <v>1</v>
      </c>
      <c r="L5" s="0" t="n">
        <v>0.5</v>
      </c>
      <c r="N5" s="0" t="s">
        <v>34</v>
      </c>
    </row>
    <row r="6" customFormat="false" ht="15" hidden="false" customHeight="false" outlineLevel="0" collapsed="false">
      <c r="A6" s="0" t="n">
        <v>4</v>
      </c>
      <c r="B6" s="0" t="s">
        <v>35</v>
      </c>
      <c r="C6" s="0" t="s">
        <v>36</v>
      </c>
      <c r="D6" s="0" t="s">
        <v>37</v>
      </c>
      <c r="E6" s="0" t="s">
        <v>38</v>
      </c>
      <c r="F6" s="0" t="s">
        <v>38</v>
      </c>
      <c r="G6" s="1" t="b">
        <f aca="false">FALSE()</f>
        <v>0</v>
      </c>
      <c r="H6" s="0" t="s">
        <v>39</v>
      </c>
      <c r="I6" s="4" t="b">
        <f aca="false">FALSE()</f>
        <v>0</v>
      </c>
      <c r="J6" s="0" t="n">
        <v>0.666666666666667</v>
      </c>
      <c r="K6" s="0" t="n">
        <v>1</v>
      </c>
      <c r="L6" s="0" t="n">
        <v>0.666666666666667</v>
      </c>
      <c r="N6" s="0" t="s">
        <v>34</v>
      </c>
    </row>
    <row r="7" customFormat="false" ht="23.3" hidden="false" customHeight="false" outlineLevel="0" collapsed="false">
      <c r="A7" s="0" t="n">
        <v>5</v>
      </c>
      <c r="B7" s="0" t="s">
        <v>40</v>
      </c>
      <c r="C7" s="3" t="s">
        <v>41</v>
      </c>
      <c r="D7" s="0" t="s">
        <v>42</v>
      </c>
      <c r="E7" s="0" t="s">
        <v>43</v>
      </c>
      <c r="F7" s="0" t="s">
        <v>43</v>
      </c>
      <c r="G7" s="1" t="b">
        <f aca="false">FALSE()</f>
        <v>0</v>
      </c>
      <c r="H7" s="0" t="s">
        <v>44</v>
      </c>
      <c r="I7" s="5" t="b">
        <f aca="false">FALSE()</f>
        <v>0</v>
      </c>
      <c r="J7" s="0" t="n">
        <v>0.6</v>
      </c>
      <c r="K7" s="0" t="n">
        <v>1</v>
      </c>
      <c r="L7" s="0" t="n">
        <v>0.6</v>
      </c>
      <c r="N7" s="0" t="s">
        <v>45</v>
      </c>
    </row>
    <row r="8" customFormat="false" ht="15" hidden="false" customHeight="false" outlineLevel="0" collapsed="false">
      <c r="A8" s="0" t="n">
        <v>6</v>
      </c>
      <c r="B8" s="0" t="s">
        <v>46</v>
      </c>
      <c r="C8" s="0" t="s">
        <v>47</v>
      </c>
      <c r="D8" s="0" t="s">
        <v>48</v>
      </c>
      <c r="E8" s="0" t="s">
        <v>38</v>
      </c>
      <c r="F8" s="0" t="s">
        <v>38</v>
      </c>
      <c r="G8" s="1" t="b">
        <f aca="false">FALSE()</f>
        <v>0</v>
      </c>
      <c r="H8" s="0" t="s">
        <v>49</v>
      </c>
      <c r="I8" s="2" t="b">
        <f aca="false">FALSE()</f>
        <v>0</v>
      </c>
      <c r="J8" s="0" t="n">
        <v>0.666666666666667</v>
      </c>
      <c r="K8" s="0" t="n">
        <v>1</v>
      </c>
      <c r="L8" s="0" t="n">
        <v>0.666666666666667</v>
      </c>
    </row>
    <row r="9" customFormat="false" ht="34.2" hidden="false" customHeight="false" outlineLevel="0" collapsed="false">
      <c r="A9" s="0" t="n">
        <v>7</v>
      </c>
      <c r="B9" s="0" t="s">
        <v>50</v>
      </c>
      <c r="C9" s="3" t="s">
        <v>51</v>
      </c>
      <c r="D9" s="0" t="s">
        <v>52</v>
      </c>
      <c r="E9" s="0" t="s">
        <v>53</v>
      </c>
      <c r="F9" s="0" t="s">
        <v>53</v>
      </c>
      <c r="G9" s="1" t="b">
        <f aca="false">FALSE()</f>
        <v>0</v>
      </c>
      <c r="H9" s="0" t="s">
        <v>54</v>
      </c>
      <c r="I9" s="2" t="b">
        <f aca="false">FALSE()</f>
        <v>0</v>
      </c>
      <c r="J9" s="0" t="n">
        <v>0</v>
      </c>
      <c r="K9" s="0" t="n">
        <v>0</v>
      </c>
      <c r="L9" s="0" t="n">
        <v>0</v>
      </c>
    </row>
    <row r="10" customFormat="false" ht="88.7" hidden="false" customHeight="false" outlineLevel="0" collapsed="false">
      <c r="A10" s="0" t="n">
        <v>8</v>
      </c>
      <c r="B10" s="0" t="s">
        <v>55</v>
      </c>
      <c r="C10" s="3" t="s">
        <v>56</v>
      </c>
      <c r="D10" s="0" t="s">
        <v>57</v>
      </c>
      <c r="E10" s="0" t="s">
        <v>58</v>
      </c>
      <c r="F10" s="0" t="s">
        <v>58</v>
      </c>
      <c r="G10" s="1" t="b">
        <f aca="false">FALSE()</f>
        <v>0</v>
      </c>
      <c r="H10" s="0" t="s">
        <v>59</v>
      </c>
      <c r="I10" s="5" t="b">
        <f aca="false">FALSE()</f>
        <v>0</v>
      </c>
      <c r="J10" s="0" t="n">
        <v>0</v>
      </c>
      <c r="K10" s="0" t="n">
        <v>0</v>
      </c>
      <c r="L10" s="0" t="n">
        <v>0</v>
      </c>
    </row>
    <row r="11" customFormat="false" ht="15" hidden="false" customHeight="false" outlineLevel="0" collapsed="false">
      <c r="A11" s="0" t="n">
        <v>9</v>
      </c>
      <c r="B11" s="0" t="s">
        <v>60</v>
      </c>
      <c r="C11" s="0" t="s">
        <v>61</v>
      </c>
      <c r="D11" s="0" t="s">
        <v>28</v>
      </c>
      <c r="E11" s="0" t="s">
        <v>62</v>
      </c>
      <c r="F11" s="0" t="s">
        <v>63</v>
      </c>
      <c r="G11" s="1" t="b">
        <f aca="false">TRUE()</f>
        <v>1</v>
      </c>
      <c r="H11" s="0" t="s">
        <v>64</v>
      </c>
      <c r="I11" s="5" t="b">
        <f aca="false">FALSE()</f>
        <v>0</v>
      </c>
      <c r="J11" s="0" t="n">
        <v>0.5</v>
      </c>
      <c r="K11" s="0" t="n">
        <v>1</v>
      </c>
      <c r="L11" s="0" t="n">
        <v>0.5</v>
      </c>
    </row>
    <row r="12" customFormat="false" ht="23.3" hidden="false" customHeight="false" outlineLevel="0" collapsed="false">
      <c r="A12" s="0" t="n">
        <v>10</v>
      </c>
      <c r="B12" s="0" t="s">
        <v>65</v>
      </c>
      <c r="C12" s="3" t="s">
        <v>66</v>
      </c>
      <c r="D12" s="0" t="s">
        <v>67</v>
      </c>
      <c r="E12" s="0" t="s">
        <v>68</v>
      </c>
      <c r="F12" s="0" t="s">
        <v>68</v>
      </c>
      <c r="G12" s="1" t="b">
        <f aca="false">FALSE()</f>
        <v>0</v>
      </c>
      <c r="H12" s="0" t="s">
        <v>69</v>
      </c>
      <c r="I12" s="5" t="b">
        <f aca="false">FALSE()</f>
        <v>0</v>
      </c>
      <c r="J12" s="0" t="n">
        <v>0</v>
      </c>
      <c r="K12" s="0" t="n">
        <v>0</v>
      </c>
      <c r="L12" s="0" t="n">
        <v>0</v>
      </c>
    </row>
    <row r="13" customFormat="false" ht="88.7" hidden="false" customHeight="false" outlineLevel="0" collapsed="false">
      <c r="A13" s="0" t="n">
        <v>11</v>
      </c>
      <c r="B13" s="0" t="s">
        <v>70</v>
      </c>
      <c r="C13" s="3" t="s">
        <v>71</v>
      </c>
      <c r="D13" s="0" t="s">
        <v>72</v>
      </c>
      <c r="E13" s="0" t="s">
        <v>73</v>
      </c>
      <c r="F13" s="0" t="s">
        <v>73</v>
      </c>
      <c r="G13" s="1" t="b">
        <f aca="false">FALSE()</f>
        <v>0</v>
      </c>
      <c r="H13" s="0" t="s">
        <v>74</v>
      </c>
      <c r="I13" s="2" t="b">
        <f aca="false">FALSE()</f>
        <v>0</v>
      </c>
      <c r="J13" s="0" t="n">
        <v>0.333333333333333</v>
      </c>
      <c r="K13" s="0" t="n">
        <v>1</v>
      </c>
      <c r="L13" s="0" t="n">
        <v>0.333333333333333</v>
      </c>
    </row>
    <row r="14" customFormat="false" ht="56" hidden="false" customHeight="false" outlineLevel="0" collapsed="false">
      <c r="A14" s="0" t="n">
        <v>12</v>
      </c>
      <c r="B14" s="0" t="s">
        <v>75</v>
      </c>
      <c r="C14" s="3" t="s">
        <v>76</v>
      </c>
      <c r="D14" s="0" t="s">
        <v>77</v>
      </c>
      <c r="E14" s="0" t="s">
        <v>23</v>
      </c>
      <c r="F14" s="0" t="s">
        <v>23</v>
      </c>
      <c r="G14" s="1" t="b">
        <f aca="false">FALSE()</f>
        <v>0</v>
      </c>
      <c r="H14" s="0" t="s">
        <v>78</v>
      </c>
      <c r="I14" s="2" t="b">
        <f aca="false">FALSE()</f>
        <v>0</v>
      </c>
      <c r="J14" s="0" t="n">
        <v>0.333333333333333</v>
      </c>
      <c r="K14" s="0" t="n">
        <v>1</v>
      </c>
      <c r="L14" s="0" t="n">
        <v>0.333333333333333</v>
      </c>
    </row>
    <row r="15" customFormat="false" ht="15" hidden="false" customHeight="false" outlineLevel="0" collapsed="false">
      <c r="A15" s="0" t="n">
        <v>13</v>
      </c>
      <c r="B15" s="0" t="s">
        <v>79</v>
      </c>
      <c r="C15" s="0" t="s">
        <v>80</v>
      </c>
      <c r="D15" s="0" t="s">
        <v>28</v>
      </c>
      <c r="E15" s="0" t="s">
        <v>81</v>
      </c>
      <c r="F15" s="0" t="s">
        <v>82</v>
      </c>
      <c r="G15" s="1" t="b">
        <f aca="false">TRUE()</f>
        <v>1</v>
      </c>
      <c r="H15" s="0" t="s">
        <v>83</v>
      </c>
      <c r="I15" s="2" t="b">
        <f aca="false">FALSE()</f>
        <v>0</v>
      </c>
      <c r="J15" s="0" t="n">
        <v>0.5</v>
      </c>
      <c r="K15" s="0" t="n">
        <v>1</v>
      </c>
      <c r="L15" s="0" t="n">
        <v>0.5</v>
      </c>
    </row>
    <row r="16" customFormat="false" ht="15" hidden="false" customHeight="false" outlineLevel="0" collapsed="false">
      <c r="A16" s="0" t="n">
        <v>14</v>
      </c>
      <c r="B16" s="0" t="s">
        <v>84</v>
      </c>
      <c r="C16" s="0" t="s">
        <v>85</v>
      </c>
      <c r="D16" s="0" t="s">
        <v>28</v>
      </c>
      <c r="E16" s="0" t="s">
        <v>86</v>
      </c>
      <c r="F16" s="0" t="s">
        <v>28</v>
      </c>
      <c r="G16" s="1" t="b">
        <f aca="false">TRUE()</f>
        <v>1</v>
      </c>
      <c r="H16" s="0" t="s">
        <v>87</v>
      </c>
      <c r="I16" s="1" t="b">
        <f aca="false">TRUE()</f>
        <v>1</v>
      </c>
      <c r="J16" s="0" t="n">
        <v>1</v>
      </c>
      <c r="K16" s="0" t="n">
        <v>1</v>
      </c>
      <c r="L16" s="0" t="n">
        <v>1</v>
      </c>
    </row>
    <row r="17" customFormat="false" ht="197.7" hidden="false" customHeight="false" outlineLevel="0" collapsed="false">
      <c r="A17" s="0" t="n">
        <v>15</v>
      </c>
      <c r="B17" s="0" t="s">
        <v>88</v>
      </c>
      <c r="C17" s="3" t="s">
        <v>89</v>
      </c>
      <c r="D17" s="0" t="s">
        <v>90</v>
      </c>
      <c r="E17" s="0" t="s">
        <v>91</v>
      </c>
      <c r="F17" s="0" t="s">
        <v>91</v>
      </c>
      <c r="G17" s="1" t="b">
        <f aca="false">FALSE()</f>
        <v>0</v>
      </c>
      <c r="H17" s="0" t="s">
        <v>92</v>
      </c>
      <c r="I17" s="2" t="b">
        <f aca="false">FALSE()</f>
        <v>0</v>
      </c>
      <c r="J17" s="0" t="n">
        <v>0</v>
      </c>
      <c r="K17" s="0" t="n">
        <v>0</v>
      </c>
      <c r="L17" s="0" t="n">
        <v>0</v>
      </c>
      <c r="N17" s="0" t="s">
        <v>25</v>
      </c>
    </row>
    <row r="18" customFormat="false" ht="15" hidden="false" customHeight="false" outlineLevel="0" collapsed="false">
      <c r="A18" s="0" t="n">
        <v>16</v>
      </c>
      <c r="B18" s="0" t="s">
        <v>93</v>
      </c>
      <c r="C18" s="0" t="s">
        <v>93</v>
      </c>
      <c r="D18" s="0" t="s">
        <v>94</v>
      </c>
      <c r="E18" s="0" t="s">
        <v>95</v>
      </c>
      <c r="F18" s="0" t="s">
        <v>95</v>
      </c>
      <c r="G18" s="1" t="b">
        <f aca="false">FALSE()</f>
        <v>0</v>
      </c>
      <c r="H18" s="0" t="s">
        <v>96</v>
      </c>
      <c r="I18" s="2" t="b">
        <f aca="false">FALSE()</f>
        <v>0</v>
      </c>
      <c r="J18" s="0" t="n">
        <v>0.5</v>
      </c>
      <c r="K18" s="0" t="n">
        <v>0.5</v>
      </c>
      <c r="L18" s="0" t="n">
        <v>0.333333333333333</v>
      </c>
      <c r="N18" s="0" t="s">
        <v>97</v>
      </c>
    </row>
    <row r="19" customFormat="false" ht="15" hidden="false" customHeight="false" outlineLevel="0" collapsed="false">
      <c r="A19" s="0" t="n">
        <v>17</v>
      </c>
      <c r="B19" s="0" t="s">
        <v>98</v>
      </c>
      <c r="C19" s="0" t="s">
        <v>99</v>
      </c>
      <c r="D19" s="0" t="s">
        <v>22</v>
      </c>
      <c r="E19" s="0" t="s">
        <v>22</v>
      </c>
      <c r="F19" s="0" t="s">
        <v>22</v>
      </c>
      <c r="G19" s="1" t="b">
        <f aca="false">FALSE()</f>
        <v>0</v>
      </c>
      <c r="H19" s="0" t="s">
        <v>100</v>
      </c>
      <c r="I19" s="1" t="b">
        <f aca="false">TRUE()</f>
        <v>1</v>
      </c>
      <c r="J19" s="0" t="n">
        <v>1</v>
      </c>
      <c r="K19" s="0" t="n">
        <v>1</v>
      </c>
      <c r="L19" s="0" t="n">
        <v>1</v>
      </c>
    </row>
    <row r="20" customFormat="false" ht="15" hidden="false" customHeight="false" outlineLevel="0" collapsed="false">
      <c r="A20" s="0" t="n">
        <v>18</v>
      </c>
      <c r="B20" s="0" t="s">
        <v>101</v>
      </c>
      <c r="C20" s="0" t="s">
        <v>102</v>
      </c>
      <c r="D20" s="0" t="s">
        <v>103</v>
      </c>
      <c r="E20" s="0" t="s">
        <v>103</v>
      </c>
      <c r="F20" s="0" t="s">
        <v>103</v>
      </c>
      <c r="G20" s="1" t="b">
        <f aca="false">FALSE()</f>
        <v>0</v>
      </c>
      <c r="H20" s="0" t="s">
        <v>104</v>
      </c>
      <c r="I20" s="1" t="b">
        <f aca="false">TRUE()</f>
        <v>1</v>
      </c>
      <c r="J20" s="0" t="n">
        <v>1</v>
      </c>
      <c r="K20" s="0" t="n">
        <v>1</v>
      </c>
      <c r="L20" s="0" t="n">
        <v>1</v>
      </c>
    </row>
    <row r="21" customFormat="false" ht="45.1" hidden="false" customHeight="false" outlineLevel="0" collapsed="false">
      <c r="A21" s="0" t="n">
        <v>19</v>
      </c>
      <c r="B21" s="0" t="s">
        <v>105</v>
      </c>
      <c r="C21" s="3" t="s">
        <v>106</v>
      </c>
      <c r="D21" s="0" t="s">
        <v>107</v>
      </c>
      <c r="E21" s="0" t="s">
        <v>108</v>
      </c>
      <c r="F21" s="0" t="s">
        <v>108</v>
      </c>
      <c r="G21" s="1" t="b">
        <f aca="false">FALSE()</f>
        <v>0</v>
      </c>
      <c r="H21" s="0" t="s">
        <v>109</v>
      </c>
      <c r="I21" s="2" t="b">
        <f aca="false">FALSE()</f>
        <v>0</v>
      </c>
      <c r="J21" s="0" t="n">
        <v>0.166666666666667</v>
      </c>
      <c r="K21" s="0" t="n">
        <v>1</v>
      </c>
      <c r="L21" s="0" t="n">
        <v>0.166666666666667</v>
      </c>
      <c r="N21" s="0" t="s">
        <v>110</v>
      </c>
    </row>
    <row r="22" customFormat="false" ht="15" hidden="false" customHeight="false" outlineLevel="0" collapsed="false">
      <c r="A22" s="0" t="n">
        <v>20</v>
      </c>
      <c r="B22" s="0" t="s">
        <v>111</v>
      </c>
      <c r="C22" s="0" t="s">
        <v>112</v>
      </c>
      <c r="D22" s="0" t="s">
        <v>103</v>
      </c>
      <c r="E22" s="0" t="s">
        <v>103</v>
      </c>
      <c r="F22" s="0" t="s">
        <v>103</v>
      </c>
      <c r="G22" s="1" t="b">
        <f aca="false">FALSE()</f>
        <v>0</v>
      </c>
      <c r="H22" s="0" t="s">
        <v>113</v>
      </c>
      <c r="I22" s="1" t="b">
        <f aca="false">TRUE()</f>
        <v>1</v>
      </c>
      <c r="J22" s="0" t="n">
        <v>1</v>
      </c>
      <c r="K22" s="0" t="n">
        <v>1</v>
      </c>
      <c r="L22" s="0" t="n">
        <v>1</v>
      </c>
    </row>
    <row r="23" customFormat="false" ht="219.9" hidden="false" customHeight="false" outlineLevel="0" collapsed="false">
      <c r="A23" s="0" t="n">
        <v>21</v>
      </c>
      <c r="B23" s="0" t="s">
        <v>114</v>
      </c>
      <c r="C23" s="3" t="s">
        <v>115</v>
      </c>
      <c r="D23" s="0" t="s">
        <v>15</v>
      </c>
      <c r="E23" s="0" t="s">
        <v>116</v>
      </c>
      <c r="F23" s="0" t="s">
        <v>116</v>
      </c>
      <c r="G23" s="1" t="b">
        <f aca="false">FALSE()</f>
        <v>0</v>
      </c>
      <c r="H23" s="0" t="s">
        <v>117</v>
      </c>
      <c r="I23" s="2" t="b">
        <f aca="false">FALSE()</f>
        <v>0</v>
      </c>
      <c r="J23" s="0" t="n">
        <v>0.5</v>
      </c>
      <c r="K23" s="0" t="n">
        <v>0.5</v>
      </c>
      <c r="L23" s="0" t="n">
        <v>0.333333333333333</v>
      </c>
      <c r="N23" s="0" t="s">
        <v>25</v>
      </c>
    </row>
    <row r="24" customFormat="false" ht="15" hidden="false" customHeight="false" outlineLevel="0" collapsed="false">
      <c r="A24" s="0" t="n">
        <v>22</v>
      </c>
      <c r="B24" s="0" t="s">
        <v>118</v>
      </c>
      <c r="C24" s="0" t="s">
        <v>119</v>
      </c>
      <c r="D24" s="0" t="s">
        <v>103</v>
      </c>
      <c r="E24" s="0" t="s">
        <v>103</v>
      </c>
      <c r="F24" s="0" t="s">
        <v>103</v>
      </c>
      <c r="G24" s="1" t="b">
        <f aca="false">FALSE()</f>
        <v>0</v>
      </c>
      <c r="H24" s="0" t="s">
        <v>120</v>
      </c>
      <c r="I24" s="1" t="b">
        <f aca="false">TRUE()</f>
        <v>1</v>
      </c>
      <c r="J24" s="0" t="n">
        <v>1</v>
      </c>
      <c r="K24" s="0" t="n">
        <v>1</v>
      </c>
      <c r="L24" s="0" t="n">
        <v>1</v>
      </c>
    </row>
    <row r="25" customFormat="false" ht="15" hidden="false" customHeight="false" outlineLevel="0" collapsed="false">
      <c r="A25" s="0" t="n">
        <v>23</v>
      </c>
      <c r="B25" s="0" t="s">
        <v>121</v>
      </c>
      <c r="C25" s="0" t="s">
        <v>122</v>
      </c>
      <c r="D25" s="0" t="s">
        <v>123</v>
      </c>
      <c r="E25" s="0" t="s">
        <v>124</v>
      </c>
      <c r="F25" s="0" t="s">
        <v>124</v>
      </c>
      <c r="G25" s="1" t="b">
        <f aca="false">FALSE()</f>
        <v>0</v>
      </c>
      <c r="H25" s="0" t="s">
        <v>125</v>
      </c>
      <c r="I25" s="5" t="b">
        <f aca="false">FALSE()</f>
        <v>0</v>
      </c>
      <c r="J25" s="0" t="n">
        <v>0</v>
      </c>
      <c r="K25" s="0" t="n">
        <v>0</v>
      </c>
      <c r="L25" s="0" t="n">
        <v>0</v>
      </c>
      <c r="N25" s="0" t="s">
        <v>126</v>
      </c>
    </row>
    <row r="26" customFormat="false" ht="154.1" hidden="false" customHeight="false" outlineLevel="0" collapsed="false">
      <c r="A26" s="0" t="n">
        <v>24</v>
      </c>
      <c r="B26" s="3" t="s">
        <v>127</v>
      </c>
      <c r="C26" s="3" t="s">
        <v>128</v>
      </c>
      <c r="D26" s="0" t="s">
        <v>107</v>
      </c>
      <c r="E26" s="0" t="s">
        <v>129</v>
      </c>
      <c r="F26" s="0" t="s">
        <v>129</v>
      </c>
      <c r="G26" s="1" t="b">
        <f aca="false">FALSE()</f>
        <v>0</v>
      </c>
      <c r="H26" s="0" t="s">
        <v>130</v>
      </c>
      <c r="I26" s="2" t="b">
        <f aca="false">FALSE()</f>
        <v>0</v>
      </c>
      <c r="J26" s="0" t="n">
        <v>0.333333333333333</v>
      </c>
      <c r="K26" s="0" t="n">
        <v>1</v>
      </c>
      <c r="L26" s="0" t="n">
        <v>0.333333333333333</v>
      </c>
      <c r="N26" s="0" t="s">
        <v>25</v>
      </c>
    </row>
    <row r="27" customFormat="false" ht="99.6" hidden="false" customHeight="false" outlineLevel="0" collapsed="false">
      <c r="A27" s="0" t="n">
        <v>25</v>
      </c>
      <c r="B27" s="0" t="s">
        <v>131</v>
      </c>
      <c r="C27" s="3" t="s">
        <v>132</v>
      </c>
      <c r="D27" s="0" t="s">
        <v>72</v>
      </c>
      <c r="E27" s="0" t="s">
        <v>133</v>
      </c>
      <c r="F27" s="0" t="s">
        <v>134</v>
      </c>
      <c r="G27" s="1" t="b">
        <f aca="false">TRUE()</f>
        <v>1</v>
      </c>
      <c r="H27" s="0" t="s">
        <v>135</v>
      </c>
      <c r="I27" s="2" t="b">
        <f aca="false">FALSE()</f>
        <v>0</v>
      </c>
      <c r="J27" s="0" t="n">
        <v>0.5</v>
      </c>
      <c r="K27" s="0" t="n">
        <v>1</v>
      </c>
      <c r="L27" s="0" t="n">
        <v>0.5</v>
      </c>
    </row>
    <row r="28" customFormat="false" ht="15" hidden="false" customHeight="false" outlineLevel="0" collapsed="false">
      <c r="A28" s="0" t="n">
        <v>26</v>
      </c>
      <c r="B28" s="0" t="s">
        <v>136</v>
      </c>
      <c r="C28" s="0" t="s">
        <v>137</v>
      </c>
      <c r="D28" s="0" t="s">
        <v>138</v>
      </c>
      <c r="E28" s="0" t="s">
        <v>139</v>
      </c>
      <c r="F28" s="0" t="s">
        <v>139</v>
      </c>
      <c r="G28" s="1" t="b">
        <f aca="false">FALSE()</f>
        <v>0</v>
      </c>
      <c r="H28" s="0" t="s">
        <v>140</v>
      </c>
      <c r="I28" s="2" t="b">
        <f aca="false">FALSE()</f>
        <v>0</v>
      </c>
      <c r="J28" s="0" t="n">
        <v>0.5</v>
      </c>
      <c r="K28" s="0" t="n">
        <v>0.5</v>
      </c>
      <c r="L28" s="0" t="n">
        <v>0.333333333333333</v>
      </c>
    </row>
    <row r="29" customFormat="false" ht="15" hidden="false" customHeight="false" outlineLevel="0" collapsed="false">
      <c r="A29" s="0" t="n">
        <v>27</v>
      </c>
      <c r="B29" s="0" t="s">
        <v>141</v>
      </c>
      <c r="C29" s="0" t="s">
        <v>142</v>
      </c>
      <c r="D29" s="0" t="s">
        <v>28</v>
      </c>
      <c r="E29" s="0" t="s">
        <v>124</v>
      </c>
      <c r="F29" s="0" t="s">
        <v>124</v>
      </c>
      <c r="G29" s="1" t="b">
        <f aca="false">FALSE()</f>
        <v>0</v>
      </c>
      <c r="H29" s="0" t="s">
        <v>143</v>
      </c>
      <c r="I29" s="2" t="b">
        <f aca="false">FALSE()</f>
        <v>0</v>
      </c>
      <c r="J29" s="0" t="n">
        <v>0</v>
      </c>
      <c r="K29" s="0" t="n">
        <v>0</v>
      </c>
      <c r="L29" s="0" t="n">
        <v>0</v>
      </c>
    </row>
    <row r="30" customFormat="false" ht="23.3" hidden="false" customHeight="false" outlineLevel="0" collapsed="false">
      <c r="A30" s="0" t="n">
        <v>28</v>
      </c>
      <c r="B30" s="0" t="s">
        <v>144</v>
      </c>
      <c r="C30" s="3" t="s">
        <v>145</v>
      </c>
      <c r="D30" s="0" t="s">
        <v>22</v>
      </c>
      <c r="E30" s="0" t="s">
        <v>38</v>
      </c>
      <c r="F30" s="0" t="s">
        <v>38</v>
      </c>
      <c r="G30" s="1" t="b">
        <f aca="false">FALSE()</f>
        <v>0</v>
      </c>
      <c r="H30" s="0" t="s">
        <v>146</v>
      </c>
      <c r="I30" s="2" t="b">
        <f aca="false">FALSE()</f>
        <v>0</v>
      </c>
      <c r="J30" s="0" t="n">
        <v>0.333333333333333</v>
      </c>
      <c r="K30" s="0" t="n">
        <v>1</v>
      </c>
      <c r="L30" s="0" t="n">
        <v>0.333333333333333</v>
      </c>
    </row>
    <row r="31" customFormat="false" ht="15" hidden="false" customHeight="false" outlineLevel="0" collapsed="false">
      <c r="A31" s="0" t="n">
        <v>29</v>
      </c>
      <c r="B31" s="0" t="s">
        <v>147</v>
      </c>
      <c r="C31" s="0" t="s">
        <v>148</v>
      </c>
      <c r="D31" s="0" t="s">
        <v>52</v>
      </c>
      <c r="E31" s="0" t="s">
        <v>149</v>
      </c>
      <c r="F31" s="0" t="s">
        <v>149</v>
      </c>
      <c r="G31" s="1" t="b">
        <f aca="false">FALSE()</f>
        <v>0</v>
      </c>
      <c r="H31" s="0" t="s">
        <v>150</v>
      </c>
      <c r="I31" s="2" t="b">
        <f aca="false">FALSE()</f>
        <v>0</v>
      </c>
      <c r="J31" s="0" t="n">
        <v>0</v>
      </c>
      <c r="K31" s="0" t="n">
        <v>0</v>
      </c>
      <c r="L31" s="0" t="n">
        <v>0</v>
      </c>
    </row>
    <row r="32" customFormat="false" ht="15" hidden="false" customHeight="false" outlineLevel="0" collapsed="false">
      <c r="A32" s="0" t="n">
        <v>30</v>
      </c>
      <c r="B32" s="0" t="s">
        <v>151</v>
      </c>
      <c r="C32" s="0" t="s">
        <v>152</v>
      </c>
      <c r="D32" s="0" t="s">
        <v>72</v>
      </c>
      <c r="E32" s="0" t="s">
        <v>72</v>
      </c>
      <c r="F32" s="0" t="s">
        <v>72</v>
      </c>
      <c r="G32" s="1" t="b">
        <f aca="false">FALSE()</f>
        <v>0</v>
      </c>
      <c r="H32" s="0" t="s">
        <v>153</v>
      </c>
      <c r="I32" s="1" t="b">
        <f aca="false">TRUE()</f>
        <v>1</v>
      </c>
      <c r="J32" s="0" t="n">
        <v>1</v>
      </c>
      <c r="K32" s="0" t="n">
        <v>1</v>
      </c>
      <c r="L32" s="0" t="n">
        <v>1</v>
      </c>
    </row>
    <row r="33" customFormat="false" ht="15" hidden="false" customHeight="false" outlineLevel="0" collapsed="false">
      <c r="A33" s="6" t="n">
        <v>31</v>
      </c>
      <c r="B33" s="6" t="s">
        <v>154</v>
      </c>
      <c r="C33" s="6" t="s">
        <v>155</v>
      </c>
      <c r="D33" s="6" t="s">
        <v>90</v>
      </c>
      <c r="E33" s="6" t="s">
        <v>156</v>
      </c>
      <c r="F33" s="6" t="s">
        <v>90</v>
      </c>
      <c r="G33" s="7" t="b">
        <f aca="false">TRUE()</f>
        <v>1</v>
      </c>
      <c r="H33" s="6" t="s">
        <v>157</v>
      </c>
      <c r="I33" s="7" t="b">
        <f aca="false">TRUE()</f>
        <v>1</v>
      </c>
      <c r="J33" s="6" t="n">
        <v>1</v>
      </c>
      <c r="K33" s="6" t="n">
        <v>1</v>
      </c>
      <c r="L33" s="6" t="n">
        <v>1</v>
      </c>
      <c r="M33" s="6"/>
      <c r="N33" s="6" t="s">
        <v>158</v>
      </c>
      <c r="O33" s="6"/>
    </row>
    <row r="34" customFormat="false" ht="15" hidden="false" customHeight="false" outlineLevel="0" collapsed="false">
      <c r="A34" s="0" t="n">
        <v>32</v>
      </c>
      <c r="B34" s="0" t="s">
        <v>159</v>
      </c>
      <c r="C34" s="0" t="s">
        <v>160</v>
      </c>
      <c r="D34" s="0" t="s">
        <v>161</v>
      </c>
      <c r="E34" s="0" t="s">
        <v>161</v>
      </c>
      <c r="F34" s="0" t="s">
        <v>161</v>
      </c>
      <c r="G34" s="1" t="b">
        <f aca="false">FALSE()</f>
        <v>0</v>
      </c>
      <c r="H34" s="0" t="s">
        <v>162</v>
      </c>
      <c r="I34" s="1" t="b">
        <f aca="false">TRUE()</f>
        <v>1</v>
      </c>
      <c r="J34" s="0" t="n">
        <v>1</v>
      </c>
      <c r="K34" s="0" t="n">
        <v>1</v>
      </c>
      <c r="L34" s="0" t="n">
        <v>1</v>
      </c>
    </row>
    <row r="35" customFormat="false" ht="143.2" hidden="false" customHeight="false" outlineLevel="0" collapsed="false">
      <c r="A35" s="0" t="n">
        <v>33</v>
      </c>
      <c r="B35" s="0" t="s">
        <v>163</v>
      </c>
      <c r="C35" s="3" t="s">
        <v>164</v>
      </c>
      <c r="D35" s="0" t="s">
        <v>107</v>
      </c>
      <c r="E35" s="0" t="s">
        <v>15</v>
      </c>
      <c r="F35" s="0" t="s">
        <v>15</v>
      </c>
      <c r="G35" s="1" t="b">
        <f aca="false">FALSE()</f>
        <v>0</v>
      </c>
      <c r="H35" s="0" t="s">
        <v>165</v>
      </c>
      <c r="I35" s="5" t="b">
        <f aca="false">FALSE()</f>
        <v>0</v>
      </c>
      <c r="J35" s="0" t="n">
        <v>0.5</v>
      </c>
      <c r="K35" s="0" t="n">
        <v>1</v>
      </c>
      <c r="L35" s="0" t="n">
        <v>0.5</v>
      </c>
    </row>
    <row r="36" customFormat="false" ht="219.9" hidden="false" customHeight="false" outlineLevel="0" collapsed="false">
      <c r="A36" s="0" t="n">
        <v>34</v>
      </c>
      <c r="B36" s="0" t="s">
        <v>166</v>
      </c>
      <c r="C36" s="3" t="s">
        <v>167</v>
      </c>
      <c r="D36" s="0" t="s">
        <v>168</v>
      </c>
      <c r="E36" s="0" t="s">
        <v>169</v>
      </c>
      <c r="F36" s="0" t="s">
        <v>169</v>
      </c>
      <c r="G36" s="1" t="b">
        <f aca="false">FALSE()</f>
        <v>0</v>
      </c>
      <c r="H36" s="0" t="s">
        <v>170</v>
      </c>
      <c r="I36" s="5" t="b">
        <f aca="false">FALSE()</f>
        <v>0</v>
      </c>
      <c r="J36" s="0" t="n">
        <v>0</v>
      </c>
      <c r="K36" s="0" t="n">
        <v>0</v>
      </c>
      <c r="L36" s="0" t="n">
        <v>0</v>
      </c>
    </row>
    <row r="37" customFormat="false" ht="15" hidden="false" customHeight="false" outlineLevel="0" collapsed="false">
      <c r="A37" s="0" t="n">
        <v>35</v>
      </c>
      <c r="B37" s="0" t="s">
        <v>171</v>
      </c>
      <c r="C37" s="0" t="s">
        <v>172</v>
      </c>
      <c r="D37" s="0" t="s">
        <v>161</v>
      </c>
      <c r="E37" s="0" t="s">
        <v>161</v>
      </c>
      <c r="F37" s="0" t="s">
        <v>161</v>
      </c>
      <c r="G37" s="1" t="b">
        <f aca="false">FALSE()</f>
        <v>0</v>
      </c>
      <c r="H37" s="0" t="s">
        <v>173</v>
      </c>
      <c r="I37" s="1" t="b">
        <f aca="false">TRUE()</f>
        <v>1</v>
      </c>
      <c r="J37" s="0" t="n">
        <v>1</v>
      </c>
      <c r="K37" s="0" t="n">
        <v>1</v>
      </c>
      <c r="L37" s="0" t="n">
        <v>1</v>
      </c>
    </row>
    <row r="38" customFormat="false" ht="154.1" hidden="false" customHeight="false" outlineLevel="0" collapsed="false">
      <c r="A38" s="0" t="n">
        <v>36</v>
      </c>
      <c r="B38" s="0" t="s">
        <v>174</v>
      </c>
      <c r="C38" s="3" t="s">
        <v>175</v>
      </c>
      <c r="D38" s="0" t="s">
        <v>161</v>
      </c>
      <c r="E38" s="0" t="s">
        <v>161</v>
      </c>
      <c r="F38" s="0" t="s">
        <v>161</v>
      </c>
      <c r="G38" s="1" t="b">
        <f aca="false">FALSE()</f>
        <v>0</v>
      </c>
      <c r="H38" s="0" t="s">
        <v>176</v>
      </c>
      <c r="I38" s="1" t="b">
        <f aca="false">TRUE()</f>
        <v>1</v>
      </c>
      <c r="J38" s="0" t="n">
        <v>1</v>
      </c>
      <c r="K38" s="0" t="n">
        <v>1</v>
      </c>
      <c r="L38" s="0" t="n">
        <v>1</v>
      </c>
    </row>
    <row r="39" customFormat="false" ht="15" hidden="false" customHeight="false" outlineLevel="0" collapsed="false">
      <c r="A39" s="0" t="n">
        <v>37</v>
      </c>
      <c r="B39" s="0" t="s">
        <v>177</v>
      </c>
      <c r="C39" s="0" t="s">
        <v>178</v>
      </c>
      <c r="D39" s="0" t="s">
        <v>179</v>
      </c>
      <c r="G39" s="1" t="b">
        <f aca="false">FALSE()</f>
        <v>0</v>
      </c>
      <c r="I39" s="5" t="b">
        <f aca="false">FALSE()</f>
        <v>0</v>
      </c>
      <c r="K39" s="0" t="n">
        <v>0</v>
      </c>
      <c r="L39" s="0" t="n">
        <v>0</v>
      </c>
    </row>
    <row r="40" customFormat="false" ht="56" hidden="false" customHeight="false" outlineLevel="0" collapsed="false">
      <c r="A40" s="0" t="n">
        <v>38</v>
      </c>
      <c r="B40" s="0" t="s">
        <v>180</v>
      </c>
      <c r="C40" s="3" t="s">
        <v>181</v>
      </c>
      <c r="D40" s="0" t="s">
        <v>103</v>
      </c>
      <c r="G40" s="1" t="b">
        <f aca="false">FALSE()</f>
        <v>0</v>
      </c>
      <c r="I40" s="5" t="b">
        <f aca="false">FALSE()</f>
        <v>0</v>
      </c>
      <c r="K40" s="0" t="n">
        <v>0</v>
      </c>
      <c r="L40" s="0" t="n">
        <v>0</v>
      </c>
    </row>
    <row r="41" customFormat="false" ht="15" hidden="false" customHeight="false" outlineLevel="0" collapsed="false">
      <c r="A41" s="0" t="n">
        <v>39</v>
      </c>
      <c r="B41" s="0" t="s">
        <v>182</v>
      </c>
      <c r="C41" s="0" t="s">
        <v>183</v>
      </c>
      <c r="D41" s="0" t="s">
        <v>52</v>
      </c>
      <c r="G41" s="1" t="b">
        <f aca="false">FALSE()</f>
        <v>0</v>
      </c>
      <c r="I41" s="5" t="b">
        <f aca="false">FALSE()</f>
        <v>0</v>
      </c>
      <c r="K41" s="0" t="n">
        <v>0</v>
      </c>
      <c r="L41" s="0" t="n">
        <v>0</v>
      </c>
    </row>
    <row r="42" customFormat="false" ht="15" hidden="false" customHeight="false" outlineLevel="0" collapsed="false">
      <c r="A42" s="0" t="n">
        <v>40</v>
      </c>
      <c r="B42" s="0" t="s">
        <v>184</v>
      </c>
      <c r="C42" s="0" t="s">
        <v>185</v>
      </c>
      <c r="D42" s="0" t="s">
        <v>67</v>
      </c>
      <c r="E42" s="0" t="s">
        <v>124</v>
      </c>
      <c r="F42" s="0" t="s">
        <v>124</v>
      </c>
      <c r="G42" s="1" t="b">
        <f aca="false">FALSE()</f>
        <v>0</v>
      </c>
      <c r="H42" s="0" t="s">
        <v>186</v>
      </c>
      <c r="I42" s="5" t="b">
        <f aca="false">FALSE()</f>
        <v>0</v>
      </c>
      <c r="J42" s="0" t="n">
        <v>0</v>
      </c>
      <c r="K42" s="0" t="n">
        <v>0</v>
      </c>
      <c r="L42" s="0" t="n">
        <v>0</v>
      </c>
    </row>
    <row r="43" customFormat="false" ht="15" hidden="false" customHeight="false" outlineLevel="0" collapsed="false">
      <c r="A43" s="0" t="n">
        <v>41</v>
      </c>
      <c r="B43" s="0" t="s">
        <v>187</v>
      </c>
      <c r="C43" s="0" t="s">
        <v>188</v>
      </c>
      <c r="D43" s="0" t="s">
        <v>67</v>
      </c>
      <c r="E43" s="0" t="s">
        <v>189</v>
      </c>
      <c r="F43" s="0" t="s">
        <v>67</v>
      </c>
      <c r="G43" s="1" t="b">
        <f aca="false">TRUE()</f>
        <v>1</v>
      </c>
      <c r="H43" s="0" t="s">
        <v>190</v>
      </c>
      <c r="I43" s="1" t="b">
        <f aca="false">TRUE()</f>
        <v>1</v>
      </c>
      <c r="J43" s="0" t="n">
        <v>1</v>
      </c>
      <c r="K43" s="0" t="n">
        <v>1</v>
      </c>
      <c r="L43" s="0" t="n">
        <v>1</v>
      </c>
    </row>
    <row r="44" customFormat="false" ht="15" hidden="false" customHeight="false" outlineLevel="0" collapsed="false">
      <c r="A44" s="0" t="n">
        <v>42</v>
      </c>
      <c r="B44" s="0" t="s">
        <v>191</v>
      </c>
      <c r="C44" s="0" t="s">
        <v>192</v>
      </c>
      <c r="D44" s="0" t="s">
        <v>22</v>
      </c>
      <c r="E44" s="0" t="s">
        <v>22</v>
      </c>
      <c r="F44" s="0" t="s">
        <v>22</v>
      </c>
      <c r="G44" s="1" t="b">
        <f aca="false">FALSE()</f>
        <v>0</v>
      </c>
      <c r="H44" s="0" t="s">
        <v>193</v>
      </c>
      <c r="I44" s="1" t="b">
        <f aca="false">TRUE()</f>
        <v>1</v>
      </c>
      <c r="J44" s="0" t="n">
        <v>1</v>
      </c>
      <c r="K44" s="0" t="n">
        <v>1</v>
      </c>
      <c r="L44" s="0" t="n">
        <v>1</v>
      </c>
    </row>
    <row r="45" customFormat="false" ht="15" hidden="false" customHeight="false" outlineLevel="0" collapsed="false">
      <c r="A45" s="0" t="n">
        <v>43</v>
      </c>
      <c r="B45" s="0" t="s">
        <v>194</v>
      </c>
      <c r="C45" s="0" t="s">
        <v>195</v>
      </c>
      <c r="D45" s="0" t="s">
        <v>103</v>
      </c>
      <c r="E45" s="0" t="s">
        <v>196</v>
      </c>
      <c r="F45" s="0" t="s">
        <v>197</v>
      </c>
      <c r="G45" s="1" t="b">
        <f aca="false">TRUE()</f>
        <v>1</v>
      </c>
      <c r="H45" s="0" t="s">
        <v>198</v>
      </c>
      <c r="I45" s="5" t="b">
        <f aca="false">FALSE()</f>
        <v>0</v>
      </c>
      <c r="J45" s="0" t="n">
        <v>0.333333333333333</v>
      </c>
      <c r="K45" s="0" t="n">
        <v>1</v>
      </c>
      <c r="L45" s="0" t="n">
        <v>0.333333333333333</v>
      </c>
    </row>
    <row r="46" customFormat="false" ht="15" hidden="false" customHeight="false" outlineLevel="0" collapsed="false">
      <c r="A46" s="0" t="n">
        <v>44</v>
      </c>
      <c r="B46" s="0" t="s">
        <v>199</v>
      </c>
      <c r="C46" s="0" t="s">
        <v>200</v>
      </c>
      <c r="D46" s="0" t="s">
        <v>107</v>
      </c>
      <c r="E46" s="0" t="s">
        <v>201</v>
      </c>
      <c r="F46" s="0" t="s">
        <v>107</v>
      </c>
      <c r="G46" s="1" t="b">
        <f aca="false">TRUE()</f>
        <v>1</v>
      </c>
      <c r="H46" s="0" t="s">
        <v>202</v>
      </c>
      <c r="I46" s="1" t="b">
        <f aca="false">TRUE()</f>
        <v>1</v>
      </c>
      <c r="J46" s="0" t="n">
        <v>1</v>
      </c>
      <c r="K46" s="0" t="n">
        <v>1</v>
      </c>
      <c r="L46" s="0" t="n">
        <v>1</v>
      </c>
    </row>
    <row r="47" customFormat="false" ht="15" hidden="false" customHeight="false" outlineLevel="0" collapsed="false">
      <c r="A47" s="0" t="n">
        <v>45</v>
      </c>
      <c r="B47" s="0" t="s">
        <v>203</v>
      </c>
      <c r="C47" s="0" t="s">
        <v>204</v>
      </c>
      <c r="D47" s="0" t="s">
        <v>205</v>
      </c>
      <c r="E47" s="0" t="s">
        <v>206</v>
      </c>
      <c r="F47" s="0" t="s">
        <v>138</v>
      </c>
      <c r="G47" s="1" t="b">
        <f aca="false">TRUE()</f>
        <v>1</v>
      </c>
      <c r="H47" s="0" t="s">
        <v>207</v>
      </c>
      <c r="I47" s="5" t="b">
        <f aca="false">FALSE()</f>
        <v>0</v>
      </c>
      <c r="J47" s="0" t="n">
        <v>1</v>
      </c>
      <c r="K47" s="0" t="n">
        <v>0.666666666666667</v>
      </c>
      <c r="L47" s="0" t="n">
        <v>0.666666666666667</v>
      </c>
    </row>
    <row r="48" customFormat="false" ht="15" hidden="false" customHeight="false" outlineLevel="0" collapsed="false">
      <c r="A48" s="0" t="n">
        <v>46</v>
      </c>
      <c r="B48" s="0" t="s">
        <v>208</v>
      </c>
      <c r="C48" s="0" t="s">
        <v>209</v>
      </c>
      <c r="D48" s="0" t="s">
        <v>90</v>
      </c>
      <c r="E48" s="0" t="s">
        <v>156</v>
      </c>
      <c r="F48" s="0" t="s">
        <v>90</v>
      </c>
      <c r="G48" s="1" t="b">
        <f aca="false">TRUE()</f>
        <v>1</v>
      </c>
      <c r="H48" s="0" t="s">
        <v>210</v>
      </c>
      <c r="I48" s="1" t="b">
        <f aca="false">TRUE()</f>
        <v>1</v>
      </c>
      <c r="J48" s="0" t="n">
        <v>1</v>
      </c>
      <c r="K48" s="0" t="n">
        <v>1</v>
      </c>
      <c r="L48" s="0" t="n">
        <v>1</v>
      </c>
    </row>
    <row r="49" customFormat="false" ht="165" hidden="false" customHeight="false" outlineLevel="0" collapsed="false">
      <c r="A49" s="0" t="n">
        <v>47</v>
      </c>
      <c r="B49" s="0" t="s">
        <v>211</v>
      </c>
      <c r="C49" s="3" t="s">
        <v>212</v>
      </c>
      <c r="D49" s="0" t="s">
        <v>32</v>
      </c>
      <c r="E49" s="0" t="s">
        <v>38</v>
      </c>
      <c r="F49" s="0" t="s">
        <v>38</v>
      </c>
      <c r="G49" s="1" t="b">
        <f aca="false">FALSE()</f>
        <v>0</v>
      </c>
      <c r="H49" s="0" t="s">
        <v>213</v>
      </c>
      <c r="I49" s="5" t="b">
        <f aca="false">FALSE()</f>
        <v>0</v>
      </c>
      <c r="J49" s="0" t="n">
        <v>0.666666666666667</v>
      </c>
      <c r="K49" s="0" t="n">
        <v>1</v>
      </c>
      <c r="L49" s="0" t="n">
        <v>0.666666666666667</v>
      </c>
    </row>
    <row r="50" customFormat="false" ht="15" hidden="false" customHeight="false" outlineLevel="0" collapsed="false">
      <c r="A50" s="0" t="n">
        <v>48</v>
      </c>
      <c r="B50" s="0" t="s">
        <v>214</v>
      </c>
      <c r="C50" s="0" t="s">
        <v>215</v>
      </c>
      <c r="D50" s="0" t="s">
        <v>72</v>
      </c>
      <c r="E50" s="0" t="s">
        <v>72</v>
      </c>
      <c r="F50" s="0" t="s">
        <v>72</v>
      </c>
      <c r="G50" s="1" t="b">
        <f aca="false">FALSE()</f>
        <v>0</v>
      </c>
      <c r="H50" s="0" t="s">
        <v>216</v>
      </c>
      <c r="I50" s="1" t="b">
        <f aca="false">TRUE()</f>
        <v>1</v>
      </c>
      <c r="J50" s="0" t="n">
        <v>1</v>
      </c>
      <c r="K50" s="0" t="n">
        <v>1</v>
      </c>
      <c r="L50" s="0" t="n">
        <v>1</v>
      </c>
    </row>
    <row r="51" customFormat="false" ht="15" hidden="false" customHeight="false" outlineLevel="0" collapsed="false">
      <c r="A51" s="0" t="n">
        <v>49</v>
      </c>
      <c r="B51" s="0" t="s">
        <v>217</v>
      </c>
      <c r="C51" s="0" t="s">
        <v>218</v>
      </c>
      <c r="D51" s="0" t="s">
        <v>52</v>
      </c>
      <c r="E51" s="0" t="s">
        <v>219</v>
      </c>
      <c r="F51" s="0" t="s">
        <v>68</v>
      </c>
      <c r="G51" s="1" t="b">
        <f aca="false">TRUE()</f>
        <v>1</v>
      </c>
      <c r="H51" s="0" t="s">
        <v>220</v>
      </c>
      <c r="I51" s="5" t="b">
        <f aca="false">FALSE()</f>
        <v>0</v>
      </c>
      <c r="J51" s="0" t="n">
        <v>0</v>
      </c>
      <c r="K51" s="0" t="n">
        <v>0</v>
      </c>
      <c r="L51" s="0" t="n">
        <v>0</v>
      </c>
    </row>
    <row r="52" customFormat="false" ht="15" hidden="false" customHeight="false" outlineLevel="0" collapsed="false">
      <c r="A52" s="0" t="n">
        <v>50</v>
      </c>
      <c r="B52" s="0" t="s">
        <v>221</v>
      </c>
      <c r="C52" s="0" t="s">
        <v>222</v>
      </c>
      <c r="D52" s="0" t="s">
        <v>223</v>
      </c>
      <c r="E52" s="0" t="s">
        <v>81</v>
      </c>
      <c r="F52" s="0" t="s">
        <v>82</v>
      </c>
      <c r="G52" s="1" t="b">
        <f aca="false">TRUE()</f>
        <v>1</v>
      </c>
      <c r="H52" s="0" t="s">
        <v>224</v>
      </c>
      <c r="I52" s="5" t="b">
        <f aca="false">FALSE()</f>
        <v>0</v>
      </c>
      <c r="J52" s="0" t="n">
        <v>0.5</v>
      </c>
      <c r="K52" s="0" t="n">
        <v>0.333333333333333</v>
      </c>
      <c r="L52" s="0" t="n">
        <v>0.25</v>
      </c>
    </row>
    <row r="53" customFormat="false" ht="15" hidden="false" customHeight="false" outlineLevel="0" collapsed="false">
      <c r="A53" s="0" t="n">
        <v>51</v>
      </c>
      <c r="B53" s="0" t="s">
        <v>225</v>
      </c>
      <c r="C53" s="0" t="s">
        <v>226</v>
      </c>
      <c r="D53" s="0" t="s">
        <v>103</v>
      </c>
      <c r="E53" s="0" t="s">
        <v>227</v>
      </c>
      <c r="F53" s="0" t="s">
        <v>227</v>
      </c>
      <c r="G53" s="1" t="b">
        <f aca="false">FALSE()</f>
        <v>0</v>
      </c>
      <c r="H53" s="0" t="s">
        <v>228</v>
      </c>
      <c r="I53" s="5" t="b">
        <f aca="false">FALSE()</f>
        <v>0</v>
      </c>
      <c r="J53" s="0" t="n">
        <v>0.25</v>
      </c>
      <c r="K53" s="0" t="n">
        <v>1</v>
      </c>
      <c r="L53" s="0" t="n">
        <v>0.25</v>
      </c>
    </row>
    <row r="54" customFormat="false" ht="15" hidden="false" customHeight="false" outlineLevel="0" collapsed="false">
      <c r="A54" s="0" t="n">
        <v>52</v>
      </c>
      <c r="B54" s="0" t="s">
        <v>229</v>
      </c>
      <c r="C54" s="0" t="s">
        <v>230</v>
      </c>
      <c r="D54" s="0" t="s">
        <v>72</v>
      </c>
      <c r="E54" s="0" t="s">
        <v>124</v>
      </c>
      <c r="F54" s="0" t="s">
        <v>124</v>
      </c>
      <c r="G54" s="1" t="b">
        <f aca="false">FALSE()</f>
        <v>0</v>
      </c>
      <c r="H54" s="0" t="s">
        <v>231</v>
      </c>
      <c r="I54" s="5" t="b">
        <f aca="false">FALSE()</f>
        <v>0</v>
      </c>
      <c r="J54" s="0" t="n">
        <v>0</v>
      </c>
      <c r="K54" s="0" t="n">
        <v>0</v>
      </c>
      <c r="L54" s="0" t="n">
        <v>0</v>
      </c>
    </row>
    <row r="55" customFormat="false" ht="66.9" hidden="false" customHeight="false" outlineLevel="0" collapsed="false">
      <c r="A55" s="0" t="n">
        <v>53</v>
      </c>
      <c r="B55" s="0" t="s">
        <v>232</v>
      </c>
      <c r="C55" s="3" t="s">
        <v>233</v>
      </c>
      <c r="D55" s="0" t="s">
        <v>52</v>
      </c>
      <c r="E55" s="0" t="s">
        <v>234</v>
      </c>
      <c r="F55" s="0" t="s">
        <v>235</v>
      </c>
      <c r="G55" s="1" t="b">
        <f aca="false">TRUE()</f>
        <v>1</v>
      </c>
      <c r="H55" s="0" t="s">
        <v>236</v>
      </c>
      <c r="I55" s="5" t="b">
        <f aca="false">FALSE()</f>
        <v>0</v>
      </c>
      <c r="J55" s="0" t="n">
        <v>0</v>
      </c>
      <c r="K55" s="0" t="n">
        <v>0</v>
      </c>
      <c r="L55" s="0" t="n">
        <v>0</v>
      </c>
    </row>
    <row r="56" customFormat="false" ht="15" hidden="false" customHeight="false" outlineLevel="0" collapsed="false">
      <c r="A56" s="0" t="n">
        <v>54</v>
      </c>
      <c r="B56" s="0" t="s">
        <v>237</v>
      </c>
      <c r="C56" s="0" t="s">
        <v>238</v>
      </c>
      <c r="D56" s="0" t="s">
        <v>239</v>
      </c>
      <c r="E56" s="0" t="s">
        <v>240</v>
      </c>
      <c r="F56" s="0" t="s">
        <v>241</v>
      </c>
      <c r="G56" s="1" t="b">
        <f aca="false">TRUE()</f>
        <v>1</v>
      </c>
      <c r="H56" s="0" t="s">
        <v>242</v>
      </c>
      <c r="I56" s="5" t="b">
        <f aca="false">FALSE()</f>
        <v>0</v>
      </c>
      <c r="J56" s="0" t="n">
        <v>0.5</v>
      </c>
      <c r="K56" s="0" t="n">
        <v>1</v>
      </c>
      <c r="L56" s="0" t="n">
        <v>0.5</v>
      </c>
    </row>
    <row r="57" customFormat="false" ht="15" hidden="false" customHeight="false" outlineLevel="0" collapsed="false">
      <c r="A57" s="0" t="n">
        <v>55</v>
      </c>
      <c r="B57" s="0" t="s">
        <v>243</v>
      </c>
      <c r="C57" s="0" t="s">
        <v>244</v>
      </c>
      <c r="D57" s="0" t="s">
        <v>90</v>
      </c>
      <c r="E57" s="0" t="s">
        <v>124</v>
      </c>
      <c r="F57" s="0" t="s">
        <v>124</v>
      </c>
      <c r="G57" s="1" t="b">
        <f aca="false">FALSE()</f>
        <v>0</v>
      </c>
      <c r="H57" s="0" t="s">
        <v>245</v>
      </c>
      <c r="I57" s="5" t="b">
        <f aca="false">FALSE()</f>
        <v>0</v>
      </c>
      <c r="J57" s="0" t="n">
        <v>0</v>
      </c>
      <c r="K57" s="0" t="n">
        <v>0</v>
      </c>
      <c r="L57" s="0" t="n">
        <v>0</v>
      </c>
    </row>
    <row r="58" customFormat="false" ht="23.3" hidden="false" customHeight="false" outlineLevel="0" collapsed="false">
      <c r="A58" s="0" t="n">
        <v>56</v>
      </c>
      <c r="B58" s="0" t="s">
        <v>246</v>
      </c>
      <c r="C58" s="3" t="s">
        <v>247</v>
      </c>
      <c r="D58" s="0" t="s">
        <v>107</v>
      </c>
      <c r="E58" s="0" t="s">
        <v>107</v>
      </c>
      <c r="F58" s="0" t="s">
        <v>107</v>
      </c>
      <c r="G58" s="1" t="b">
        <f aca="false">FALSE()</f>
        <v>0</v>
      </c>
      <c r="H58" s="0" t="s">
        <v>248</v>
      </c>
      <c r="I58" s="1" t="b">
        <f aca="false">TRUE()</f>
        <v>1</v>
      </c>
      <c r="J58" s="0" t="n">
        <v>1</v>
      </c>
      <c r="K58" s="0" t="n">
        <v>1</v>
      </c>
      <c r="L58" s="0" t="n">
        <v>1</v>
      </c>
    </row>
    <row r="59" customFormat="false" ht="15" hidden="false" customHeight="false" outlineLevel="0" collapsed="false">
      <c r="A59" s="0" t="n">
        <v>57</v>
      </c>
      <c r="B59" s="0" t="s">
        <v>249</v>
      </c>
      <c r="C59" s="0" t="s">
        <v>250</v>
      </c>
      <c r="D59" s="0" t="s">
        <v>72</v>
      </c>
      <c r="E59" s="0" t="s">
        <v>134</v>
      </c>
      <c r="F59" s="0" t="s">
        <v>134</v>
      </c>
      <c r="G59" s="1" t="b">
        <f aca="false">FALSE()</f>
        <v>0</v>
      </c>
      <c r="H59" s="0" t="s">
        <v>251</v>
      </c>
      <c r="I59" s="5" t="b">
        <f aca="false">FALSE()</f>
        <v>0</v>
      </c>
      <c r="J59" s="0" t="n">
        <v>0.5</v>
      </c>
      <c r="K59" s="0" t="n">
        <v>1</v>
      </c>
      <c r="L59" s="0" t="n">
        <v>0.5</v>
      </c>
    </row>
    <row r="60" customFormat="false" ht="15" hidden="false" customHeight="false" outlineLevel="0" collapsed="false">
      <c r="A60" s="0" t="n">
        <v>58</v>
      </c>
      <c r="B60" s="0" t="s">
        <v>252</v>
      </c>
      <c r="C60" s="0" t="s">
        <v>253</v>
      </c>
      <c r="D60" s="0" t="s">
        <v>254</v>
      </c>
      <c r="E60" s="0" t="s">
        <v>255</v>
      </c>
      <c r="F60" s="0" t="s">
        <v>255</v>
      </c>
      <c r="G60" s="1" t="b">
        <f aca="false">FALSE()</f>
        <v>0</v>
      </c>
      <c r="H60" s="0" t="s">
        <v>256</v>
      </c>
      <c r="I60" s="5" t="b">
        <f aca="false">FALSE()</f>
        <v>0</v>
      </c>
      <c r="J60" s="0" t="n">
        <v>0.5</v>
      </c>
      <c r="K60" s="0" t="n">
        <v>1</v>
      </c>
      <c r="L60" s="0" t="n">
        <v>0.5</v>
      </c>
    </row>
    <row r="61" customFormat="false" ht="15" hidden="false" customHeight="false" outlineLevel="0" collapsed="false">
      <c r="A61" s="0" t="n">
        <v>59</v>
      </c>
      <c r="B61" s="0" t="s">
        <v>257</v>
      </c>
      <c r="C61" s="0" t="s">
        <v>258</v>
      </c>
      <c r="D61" s="0" t="s">
        <v>259</v>
      </c>
      <c r="E61" s="0" t="s">
        <v>169</v>
      </c>
      <c r="F61" s="0" t="s">
        <v>169</v>
      </c>
      <c r="G61" s="1" t="b">
        <f aca="false">FALSE()</f>
        <v>0</v>
      </c>
      <c r="H61" s="0" t="s">
        <v>260</v>
      </c>
      <c r="I61" s="5" t="b">
        <f aca="false">FALSE()</f>
        <v>0</v>
      </c>
      <c r="J61" s="0" t="n">
        <v>0.666666666666667</v>
      </c>
      <c r="K61" s="0" t="n">
        <v>1</v>
      </c>
      <c r="L61" s="0" t="n">
        <v>0.666666666666667</v>
      </c>
    </row>
    <row r="62" customFormat="false" ht="15" hidden="false" customHeight="false" outlineLevel="0" collapsed="false">
      <c r="A62" s="0" t="n">
        <v>60</v>
      </c>
      <c r="B62" s="0" t="s">
        <v>261</v>
      </c>
      <c r="C62" s="0" t="s">
        <v>262</v>
      </c>
      <c r="D62" s="0" t="s">
        <v>28</v>
      </c>
      <c r="E62" s="0" t="s">
        <v>28</v>
      </c>
      <c r="F62" s="0" t="s">
        <v>28</v>
      </c>
      <c r="G62" s="1" t="b">
        <f aca="false">FALSE()</f>
        <v>0</v>
      </c>
      <c r="H62" s="0" t="s">
        <v>263</v>
      </c>
      <c r="I62" s="1" t="b">
        <f aca="false">TRUE()</f>
        <v>1</v>
      </c>
      <c r="J62" s="0" t="n">
        <v>1</v>
      </c>
      <c r="K62" s="0" t="n">
        <v>1</v>
      </c>
      <c r="L62" s="0" t="n">
        <v>1</v>
      </c>
    </row>
    <row r="63" customFormat="false" ht="121.4" hidden="false" customHeight="false" outlineLevel="0" collapsed="false">
      <c r="A63" s="0" t="n">
        <v>61</v>
      </c>
      <c r="B63" s="0" t="s">
        <v>264</v>
      </c>
      <c r="C63" s="3" t="s">
        <v>265</v>
      </c>
      <c r="D63" s="0" t="s">
        <v>67</v>
      </c>
      <c r="E63" s="0" t="s">
        <v>67</v>
      </c>
      <c r="F63" s="0" t="s">
        <v>67</v>
      </c>
      <c r="G63" s="1" t="b">
        <f aca="false">FALSE()</f>
        <v>0</v>
      </c>
      <c r="H63" s="0" t="s">
        <v>266</v>
      </c>
      <c r="I63" s="1" t="b">
        <f aca="false">TRUE()</f>
        <v>1</v>
      </c>
      <c r="J63" s="0" t="n">
        <v>1</v>
      </c>
      <c r="K63" s="0" t="n">
        <v>1</v>
      </c>
      <c r="L63" s="0" t="n">
        <v>1</v>
      </c>
    </row>
    <row r="64" customFormat="false" ht="15" hidden="false" customHeight="false" outlineLevel="0" collapsed="false">
      <c r="A64" s="0" t="n">
        <v>62</v>
      </c>
      <c r="B64" s="0" t="s">
        <v>267</v>
      </c>
      <c r="C64" s="0" t="s">
        <v>268</v>
      </c>
      <c r="D64" s="0" t="s">
        <v>269</v>
      </c>
      <c r="E64" s="0" t="s">
        <v>270</v>
      </c>
      <c r="F64" s="0" t="s">
        <v>270</v>
      </c>
      <c r="G64" s="1" t="b">
        <f aca="false">FALSE()</f>
        <v>0</v>
      </c>
      <c r="H64" s="0" t="s">
        <v>271</v>
      </c>
      <c r="I64" s="5" t="b">
        <f aca="false">FALSE()</f>
        <v>0</v>
      </c>
      <c r="J64" s="0" t="n">
        <v>0.4</v>
      </c>
      <c r="K64" s="0" t="n">
        <v>1</v>
      </c>
      <c r="L64" s="0" t="n">
        <v>0.4</v>
      </c>
    </row>
    <row r="65" customFormat="false" ht="56" hidden="false" customHeight="false" outlineLevel="0" collapsed="false">
      <c r="A65" s="0" t="n">
        <v>63</v>
      </c>
      <c r="B65" s="0" t="s">
        <v>272</v>
      </c>
      <c r="C65" s="3" t="s">
        <v>273</v>
      </c>
      <c r="D65" s="0" t="s">
        <v>90</v>
      </c>
      <c r="E65" s="0" t="s">
        <v>62</v>
      </c>
      <c r="F65" s="0" t="s">
        <v>63</v>
      </c>
      <c r="G65" s="1" t="b">
        <f aca="false">TRUE()</f>
        <v>1</v>
      </c>
      <c r="H65" s="0" t="s">
        <v>274</v>
      </c>
      <c r="I65" s="5" t="b">
        <f aca="false">FALSE()</f>
        <v>0</v>
      </c>
      <c r="J65" s="0" t="n">
        <v>0.5</v>
      </c>
      <c r="K65" s="0" t="n">
        <v>1</v>
      </c>
      <c r="L65" s="0" t="n">
        <v>0.5</v>
      </c>
    </row>
    <row r="66" customFormat="false" ht="23.3" hidden="false" customHeight="false" outlineLevel="0" collapsed="false">
      <c r="A66" s="0" t="n">
        <v>64</v>
      </c>
      <c r="B66" s="0" t="s">
        <v>275</v>
      </c>
      <c r="C66" s="3" t="s">
        <v>276</v>
      </c>
      <c r="D66" s="0" t="s">
        <v>72</v>
      </c>
      <c r="E66" s="0" t="s">
        <v>277</v>
      </c>
      <c r="F66" s="0" t="s">
        <v>72</v>
      </c>
      <c r="G66" s="1" t="b">
        <f aca="false">TRUE()</f>
        <v>1</v>
      </c>
      <c r="H66" s="0" t="s">
        <v>278</v>
      </c>
      <c r="I66" s="1" t="b">
        <f aca="false">TRUE()</f>
        <v>1</v>
      </c>
      <c r="J66" s="0" t="n">
        <v>1</v>
      </c>
      <c r="K66" s="0" t="n">
        <v>1</v>
      </c>
      <c r="L66" s="0" t="n">
        <v>1</v>
      </c>
    </row>
    <row r="67" customFormat="false" ht="15" hidden="false" customHeight="false" outlineLevel="0" collapsed="false">
      <c r="A67" s="0" t="n">
        <v>65</v>
      </c>
      <c r="B67" s="0" t="s">
        <v>279</v>
      </c>
      <c r="C67" s="0" t="s">
        <v>280</v>
      </c>
      <c r="D67" s="0" t="s">
        <v>103</v>
      </c>
      <c r="E67" s="0" t="s">
        <v>103</v>
      </c>
      <c r="F67" s="0" t="s">
        <v>103</v>
      </c>
      <c r="G67" s="1" t="b">
        <f aca="false">FALSE()</f>
        <v>0</v>
      </c>
      <c r="H67" s="0" t="s">
        <v>281</v>
      </c>
      <c r="I67" s="1" t="b">
        <f aca="false">TRUE()</f>
        <v>1</v>
      </c>
      <c r="J67" s="0" t="n">
        <v>1</v>
      </c>
      <c r="K67" s="0" t="n">
        <v>1</v>
      </c>
      <c r="L67" s="0" t="n">
        <v>1</v>
      </c>
    </row>
    <row r="68" customFormat="false" ht="34.2" hidden="false" customHeight="false" outlineLevel="0" collapsed="false">
      <c r="A68" s="0" t="n">
        <v>66</v>
      </c>
      <c r="B68" s="0" t="s">
        <v>282</v>
      </c>
      <c r="C68" s="3" t="s">
        <v>283</v>
      </c>
      <c r="D68" s="0" t="s">
        <v>123</v>
      </c>
      <c r="E68" s="0" t="s">
        <v>22</v>
      </c>
      <c r="F68" s="0" t="s">
        <v>22</v>
      </c>
      <c r="G68" s="1" t="b">
        <f aca="false">FALSE()</f>
        <v>0</v>
      </c>
      <c r="H68" s="0" t="s">
        <v>284</v>
      </c>
      <c r="I68" s="5" t="b">
        <f aca="false">FALSE()</f>
        <v>0</v>
      </c>
      <c r="J68" s="0" t="n">
        <v>0</v>
      </c>
      <c r="K68" s="0" t="n">
        <v>0</v>
      </c>
      <c r="L68" s="0" t="n">
        <v>0</v>
      </c>
    </row>
    <row r="69" customFormat="false" ht="56" hidden="false" customHeight="false" outlineLevel="0" collapsed="false">
      <c r="A69" s="0" t="n">
        <v>67</v>
      </c>
      <c r="B69" s="0" t="s">
        <v>285</v>
      </c>
      <c r="C69" s="3" t="s">
        <v>286</v>
      </c>
      <c r="D69" s="0" t="s">
        <v>67</v>
      </c>
      <c r="E69" s="0" t="s">
        <v>287</v>
      </c>
      <c r="F69" s="0" t="s">
        <v>287</v>
      </c>
      <c r="G69" s="1" t="b">
        <f aca="false">FALSE()</f>
        <v>0</v>
      </c>
      <c r="H69" s="0" t="s">
        <v>288</v>
      </c>
      <c r="I69" s="5" t="b">
        <f aca="false">FALSE()</f>
        <v>0</v>
      </c>
      <c r="J69" s="0" t="n">
        <v>0.25</v>
      </c>
      <c r="K69" s="0" t="n">
        <v>1</v>
      </c>
      <c r="L69" s="0" t="n">
        <v>0.25</v>
      </c>
    </row>
    <row r="70" customFormat="false" ht="15" hidden="false" customHeight="false" outlineLevel="0" collapsed="false">
      <c r="A70" s="0" t="n">
        <v>68</v>
      </c>
      <c r="B70" s="0" t="s">
        <v>289</v>
      </c>
      <c r="C70" s="0" t="s">
        <v>290</v>
      </c>
      <c r="D70" s="0" t="s">
        <v>22</v>
      </c>
      <c r="E70" s="0" t="s">
        <v>32</v>
      </c>
      <c r="F70" s="0" t="s">
        <v>32</v>
      </c>
      <c r="G70" s="1" t="b">
        <f aca="false">FALSE()</f>
        <v>0</v>
      </c>
      <c r="H70" s="0" t="s">
        <v>291</v>
      </c>
      <c r="I70" s="5" t="b">
        <f aca="false">FALSE()</f>
        <v>0</v>
      </c>
      <c r="J70" s="0" t="n">
        <v>0.5</v>
      </c>
      <c r="K70" s="0" t="n">
        <v>1</v>
      </c>
      <c r="L70" s="0" t="n">
        <v>0.5</v>
      </c>
    </row>
    <row r="71" customFormat="false" ht="15" hidden="false" customHeight="false" outlineLevel="0" collapsed="false">
      <c r="A71" s="0" t="n">
        <v>69</v>
      </c>
      <c r="B71" s="0" t="s">
        <v>292</v>
      </c>
      <c r="C71" s="0" t="s">
        <v>293</v>
      </c>
      <c r="D71" s="0" t="s">
        <v>123</v>
      </c>
      <c r="E71" s="0" t="s">
        <v>86</v>
      </c>
      <c r="F71" s="0" t="s">
        <v>28</v>
      </c>
      <c r="G71" s="1" t="b">
        <f aca="false">TRUE()</f>
        <v>1</v>
      </c>
      <c r="H71" s="0" t="s">
        <v>294</v>
      </c>
      <c r="I71" s="5" t="b">
        <f aca="false">FALSE()</f>
        <v>0</v>
      </c>
      <c r="J71" s="0" t="n">
        <v>0</v>
      </c>
      <c r="K71" s="0" t="n">
        <v>0</v>
      </c>
      <c r="L71" s="0" t="n">
        <v>0</v>
      </c>
    </row>
    <row r="72" customFormat="false" ht="372.55" hidden="false" customHeight="false" outlineLevel="0" collapsed="false">
      <c r="A72" s="0" t="n">
        <v>70</v>
      </c>
      <c r="B72" s="0" t="s">
        <v>295</v>
      </c>
      <c r="C72" s="3" t="s">
        <v>296</v>
      </c>
      <c r="D72" s="0" t="s">
        <v>22</v>
      </c>
      <c r="E72" s="0" t="s">
        <v>297</v>
      </c>
      <c r="F72" s="0" t="s">
        <v>297</v>
      </c>
      <c r="G72" s="1" t="b">
        <f aca="false">FALSE()</f>
        <v>0</v>
      </c>
      <c r="H72" s="0" t="s">
        <v>298</v>
      </c>
      <c r="I72" s="5" t="b">
        <f aca="false">FALSE()</f>
        <v>0</v>
      </c>
      <c r="J72" s="0" t="n">
        <v>0.333333333333333</v>
      </c>
      <c r="K72" s="0" t="n">
        <v>1</v>
      </c>
      <c r="L72" s="0" t="n">
        <v>0.333333333333333</v>
      </c>
    </row>
    <row r="73" customFormat="false" ht="34.2" hidden="false" customHeight="false" outlineLevel="0" collapsed="false">
      <c r="A73" s="0" t="n">
        <v>71</v>
      </c>
      <c r="B73" s="0" t="s">
        <v>299</v>
      </c>
      <c r="C73" s="3" t="s">
        <v>300</v>
      </c>
      <c r="D73" s="0" t="s">
        <v>77</v>
      </c>
      <c r="E73" s="0" t="s">
        <v>77</v>
      </c>
      <c r="F73" s="0" t="s">
        <v>77</v>
      </c>
      <c r="G73" s="1" t="b">
        <f aca="false">FALSE()</f>
        <v>0</v>
      </c>
      <c r="H73" s="0" t="s">
        <v>301</v>
      </c>
      <c r="I73" s="1" t="b">
        <f aca="false">TRUE()</f>
        <v>1</v>
      </c>
      <c r="J73" s="0" t="n">
        <v>1</v>
      </c>
      <c r="K73" s="0" t="n">
        <v>1</v>
      </c>
      <c r="L73" s="0" t="n">
        <v>1</v>
      </c>
    </row>
    <row r="74" customFormat="false" ht="15" hidden="false" customHeight="false" outlineLevel="0" collapsed="false">
      <c r="A74" s="0" t="n">
        <v>72</v>
      </c>
      <c r="B74" s="0" t="s">
        <v>302</v>
      </c>
      <c r="C74" s="0" t="s">
        <v>303</v>
      </c>
      <c r="D74" s="0" t="s">
        <v>77</v>
      </c>
      <c r="E74" s="0" t="s">
        <v>304</v>
      </c>
      <c r="F74" s="0" t="s">
        <v>304</v>
      </c>
      <c r="G74" s="1" t="b">
        <f aca="false">FALSE()</f>
        <v>0</v>
      </c>
      <c r="H74" s="0" t="s">
        <v>305</v>
      </c>
      <c r="I74" s="5" t="b">
        <f aca="false">FALSE()</f>
        <v>0</v>
      </c>
      <c r="J74" s="0" t="n">
        <v>0.333333333333333</v>
      </c>
      <c r="K74" s="0" t="n">
        <v>1</v>
      </c>
      <c r="L74" s="0" t="n">
        <v>0.333333333333333</v>
      </c>
    </row>
    <row r="75" customFormat="false" ht="15" hidden="false" customHeight="false" outlineLevel="0" collapsed="false">
      <c r="A75" s="0" t="n">
        <v>73</v>
      </c>
      <c r="B75" s="0" t="s">
        <v>272</v>
      </c>
      <c r="C75" s="0" t="s">
        <v>306</v>
      </c>
      <c r="D75" s="0" t="s">
        <v>107</v>
      </c>
      <c r="E75" s="0" t="s">
        <v>62</v>
      </c>
      <c r="F75" s="0" t="s">
        <v>63</v>
      </c>
      <c r="G75" s="1" t="b">
        <f aca="false">TRUE()</f>
        <v>1</v>
      </c>
      <c r="H75" s="0" t="s">
        <v>307</v>
      </c>
      <c r="I75" s="5" t="b">
        <f aca="false">FALSE()</f>
        <v>0</v>
      </c>
      <c r="J75" s="0" t="n">
        <v>0</v>
      </c>
      <c r="K75" s="0" t="n">
        <v>0</v>
      </c>
      <c r="L75" s="0" t="n">
        <v>0</v>
      </c>
    </row>
    <row r="76" customFormat="false" ht="15" hidden="false" customHeight="false" outlineLevel="0" collapsed="false">
      <c r="A76" s="0" t="n">
        <v>74</v>
      </c>
      <c r="B76" s="0" t="s">
        <v>308</v>
      </c>
      <c r="C76" s="0" t="s">
        <v>309</v>
      </c>
      <c r="D76" s="0" t="s">
        <v>161</v>
      </c>
      <c r="E76" s="0" t="s">
        <v>124</v>
      </c>
      <c r="F76" s="0" t="s">
        <v>124</v>
      </c>
      <c r="G76" s="1" t="b">
        <f aca="false">FALSE()</f>
        <v>0</v>
      </c>
      <c r="H76" s="0" t="s">
        <v>310</v>
      </c>
      <c r="I76" s="5" t="b">
        <f aca="false">FALSE()</f>
        <v>0</v>
      </c>
      <c r="J76" s="0" t="n">
        <v>0</v>
      </c>
      <c r="K76" s="0" t="n">
        <v>0</v>
      </c>
      <c r="L76" s="0" t="n">
        <v>0</v>
      </c>
    </row>
    <row r="77" customFormat="false" ht="15" hidden="false" customHeight="false" outlineLevel="0" collapsed="false">
      <c r="A77" s="0" t="n">
        <v>75</v>
      </c>
      <c r="B77" s="0" t="s">
        <v>311</v>
      </c>
      <c r="C77" s="0" t="s">
        <v>312</v>
      </c>
      <c r="D77" s="0" t="s">
        <v>313</v>
      </c>
      <c r="E77" s="0" t="s">
        <v>314</v>
      </c>
      <c r="F77" s="0" t="s">
        <v>315</v>
      </c>
      <c r="G77" s="1" t="b">
        <f aca="false">TRUE()</f>
        <v>1</v>
      </c>
      <c r="H77" s="0" t="s">
        <v>316</v>
      </c>
      <c r="I77" s="5" t="b">
        <f aca="false">FALSE()</f>
        <v>0</v>
      </c>
      <c r="J77" s="0" t="n">
        <v>1</v>
      </c>
      <c r="K77" s="0" t="n">
        <v>0.666666666666667</v>
      </c>
      <c r="L77" s="0" t="n">
        <v>0.666666666666667</v>
      </c>
    </row>
    <row r="78" customFormat="false" ht="15" hidden="false" customHeight="false" outlineLevel="0" collapsed="false">
      <c r="A78" s="0" t="n">
        <v>76</v>
      </c>
      <c r="B78" s="0" t="s">
        <v>317</v>
      </c>
      <c r="C78" s="0" t="s">
        <v>318</v>
      </c>
      <c r="D78" s="0" t="s">
        <v>77</v>
      </c>
      <c r="E78" s="0" t="s">
        <v>38</v>
      </c>
      <c r="F78" s="0" t="s">
        <v>38</v>
      </c>
      <c r="G78" s="1" t="b">
        <f aca="false">FALSE()</f>
        <v>0</v>
      </c>
      <c r="H78" s="0" t="s">
        <v>319</v>
      </c>
      <c r="I78" s="5" t="b">
        <f aca="false">FALSE()</f>
        <v>0</v>
      </c>
      <c r="J78" s="0" t="n">
        <v>0.333333333333333</v>
      </c>
      <c r="K78" s="0" t="n">
        <v>1</v>
      </c>
      <c r="L78" s="0" t="n">
        <v>0.333333333333333</v>
      </c>
    </row>
    <row r="79" customFormat="false" ht="23.3" hidden="false" customHeight="false" outlineLevel="0" collapsed="false">
      <c r="A79" s="0" t="n">
        <v>77</v>
      </c>
      <c r="B79" s="0" t="s">
        <v>320</v>
      </c>
      <c r="C79" s="3" t="s">
        <v>321</v>
      </c>
      <c r="D79" s="0" t="s">
        <v>161</v>
      </c>
      <c r="E79" s="0" t="s">
        <v>161</v>
      </c>
      <c r="F79" s="0" t="s">
        <v>161</v>
      </c>
      <c r="G79" s="1" t="b">
        <f aca="false">FALSE()</f>
        <v>0</v>
      </c>
      <c r="H79" s="0" t="s">
        <v>322</v>
      </c>
      <c r="I79" s="1" t="b">
        <f aca="false">TRUE()</f>
        <v>1</v>
      </c>
      <c r="J79" s="0" t="n">
        <v>1</v>
      </c>
      <c r="K79" s="0" t="n">
        <v>1</v>
      </c>
      <c r="L79" s="0" t="n">
        <v>1</v>
      </c>
    </row>
    <row r="80" customFormat="false" ht="88.7" hidden="false" customHeight="false" outlineLevel="0" collapsed="false">
      <c r="A80" s="0" t="n">
        <v>78</v>
      </c>
      <c r="B80" s="0" t="s">
        <v>323</v>
      </c>
      <c r="C80" s="3" t="s">
        <v>324</v>
      </c>
      <c r="D80" s="0" t="s">
        <v>325</v>
      </c>
      <c r="E80" s="0" t="s">
        <v>326</v>
      </c>
      <c r="F80" s="0" t="s">
        <v>326</v>
      </c>
      <c r="G80" s="1" t="b">
        <f aca="false">FALSE()</f>
        <v>0</v>
      </c>
      <c r="H80" s="0" t="s">
        <v>327</v>
      </c>
      <c r="I80" s="5" t="b">
        <f aca="false">FALSE()</f>
        <v>0</v>
      </c>
      <c r="J80" s="0" t="n">
        <v>0.5</v>
      </c>
      <c r="K80" s="0" t="n">
        <v>1</v>
      </c>
      <c r="L80" s="0" t="n">
        <v>0.5</v>
      </c>
    </row>
    <row r="81" customFormat="false" ht="165" hidden="false" customHeight="false" outlineLevel="0" collapsed="false">
      <c r="A81" s="0" t="n">
        <v>79</v>
      </c>
      <c r="B81" s="0" t="s">
        <v>328</v>
      </c>
      <c r="C81" s="3" t="s">
        <v>329</v>
      </c>
      <c r="D81" s="0" t="s">
        <v>28</v>
      </c>
      <c r="E81" s="0" t="s">
        <v>86</v>
      </c>
      <c r="F81" s="0" t="s">
        <v>28</v>
      </c>
      <c r="G81" s="1" t="b">
        <f aca="false">TRUE()</f>
        <v>1</v>
      </c>
      <c r="H81" s="0" t="s">
        <v>330</v>
      </c>
      <c r="I81" s="1" t="b">
        <f aca="false">TRUE()</f>
        <v>1</v>
      </c>
      <c r="J81" s="0" t="n">
        <v>1</v>
      </c>
      <c r="K81" s="0" t="n">
        <v>1</v>
      </c>
      <c r="L81" s="0" t="n">
        <v>1</v>
      </c>
    </row>
    <row r="82" customFormat="false" ht="15" hidden="false" customHeight="false" outlineLevel="0" collapsed="false">
      <c r="A82" s="0" t="n">
        <v>80</v>
      </c>
      <c r="B82" s="0" t="s">
        <v>331</v>
      </c>
      <c r="C82" s="0" t="s">
        <v>332</v>
      </c>
      <c r="D82" s="0" t="s">
        <v>161</v>
      </c>
      <c r="E82" s="0" t="s">
        <v>161</v>
      </c>
      <c r="F82" s="0" t="s">
        <v>161</v>
      </c>
      <c r="G82" s="1" t="b">
        <f aca="false">FALSE()</f>
        <v>0</v>
      </c>
      <c r="H82" s="0" t="s">
        <v>333</v>
      </c>
      <c r="I82" s="1" t="b">
        <f aca="false">TRUE()</f>
        <v>1</v>
      </c>
      <c r="J82" s="0" t="n">
        <v>1</v>
      </c>
      <c r="K82" s="0" t="n">
        <v>1</v>
      </c>
      <c r="L82" s="0" t="n">
        <v>1</v>
      </c>
    </row>
    <row r="83" customFormat="false" ht="45.1" hidden="false" customHeight="false" outlineLevel="0" collapsed="false">
      <c r="A83" s="0" t="n">
        <v>81</v>
      </c>
      <c r="B83" s="0" t="s">
        <v>334</v>
      </c>
      <c r="C83" s="3" t="s">
        <v>335</v>
      </c>
      <c r="D83" s="0" t="s">
        <v>52</v>
      </c>
      <c r="E83" s="0" t="s">
        <v>336</v>
      </c>
      <c r="F83" s="0" t="s">
        <v>227</v>
      </c>
      <c r="G83" s="1" t="b">
        <f aca="false">TRUE()</f>
        <v>1</v>
      </c>
      <c r="H83" s="0" t="s">
        <v>337</v>
      </c>
      <c r="I83" s="5" t="b">
        <f aca="false">FALSE()</f>
        <v>0</v>
      </c>
      <c r="J83" s="0" t="n">
        <v>0</v>
      </c>
      <c r="K83" s="0" t="n">
        <v>0</v>
      </c>
      <c r="L83" s="0" t="n">
        <v>0</v>
      </c>
    </row>
    <row r="84" customFormat="false" ht="34.2" hidden="false" customHeight="false" outlineLevel="0" collapsed="false">
      <c r="A84" s="0" t="n">
        <v>82</v>
      </c>
      <c r="B84" s="0" t="s">
        <v>338</v>
      </c>
      <c r="C84" s="3" t="s">
        <v>339</v>
      </c>
      <c r="D84" s="0" t="s">
        <v>107</v>
      </c>
      <c r="E84" s="0" t="s">
        <v>15</v>
      </c>
      <c r="F84" s="0" t="s">
        <v>15</v>
      </c>
      <c r="G84" s="1" t="b">
        <f aca="false">FALSE()</f>
        <v>0</v>
      </c>
      <c r="H84" s="0" t="s">
        <v>340</v>
      </c>
      <c r="I84" s="5" t="b">
        <f aca="false">FALSE()</f>
        <v>0</v>
      </c>
      <c r="J84" s="0" t="n">
        <v>0.5</v>
      </c>
      <c r="K84" s="0" t="n">
        <v>1</v>
      </c>
      <c r="L84" s="0" t="n">
        <v>0.5</v>
      </c>
    </row>
    <row r="85" customFormat="false" ht="77.8" hidden="false" customHeight="false" outlineLevel="0" collapsed="false">
      <c r="A85" s="0" t="n">
        <v>83</v>
      </c>
      <c r="B85" s="3" t="s">
        <v>341</v>
      </c>
      <c r="C85" s="3" t="s">
        <v>342</v>
      </c>
      <c r="D85" s="0" t="s">
        <v>77</v>
      </c>
      <c r="E85" s="0" t="s">
        <v>48</v>
      </c>
      <c r="F85" s="0" t="s">
        <v>48</v>
      </c>
      <c r="G85" s="1" t="b">
        <f aca="false">FALSE()</f>
        <v>0</v>
      </c>
      <c r="H85" s="0" t="s">
        <v>343</v>
      </c>
      <c r="I85" s="5" t="b">
        <f aca="false">FALSE()</f>
        <v>0</v>
      </c>
      <c r="J85" s="0" t="n">
        <v>0.5</v>
      </c>
      <c r="K85" s="0" t="n">
        <v>1</v>
      </c>
      <c r="L85" s="0" t="n">
        <v>0.5</v>
      </c>
    </row>
    <row r="86" customFormat="false" ht="15" hidden="false" customHeight="false" outlineLevel="0" collapsed="false">
      <c r="A86" s="0" t="n">
        <v>84</v>
      </c>
      <c r="B86" s="0" t="s">
        <v>344</v>
      </c>
      <c r="C86" s="0" t="s">
        <v>345</v>
      </c>
      <c r="D86" s="0" t="s">
        <v>123</v>
      </c>
      <c r="E86" s="0" t="s">
        <v>103</v>
      </c>
      <c r="F86" s="0" t="s">
        <v>103</v>
      </c>
      <c r="G86" s="1" t="b">
        <f aca="false">FALSE()</f>
        <v>0</v>
      </c>
      <c r="H86" s="0" t="s">
        <v>346</v>
      </c>
      <c r="I86" s="5" t="b">
        <f aca="false">FALSE()</f>
        <v>0</v>
      </c>
      <c r="J86" s="0" t="n">
        <v>0</v>
      </c>
      <c r="K86" s="0" t="n">
        <v>0</v>
      </c>
      <c r="L86" s="0" t="n">
        <v>0</v>
      </c>
    </row>
    <row r="87" customFormat="false" ht="15" hidden="false" customHeight="false" outlineLevel="0" collapsed="false">
      <c r="A87" s="0" t="n">
        <v>85</v>
      </c>
      <c r="B87" s="0" t="s">
        <v>347</v>
      </c>
      <c r="C87" s="0" t="s">
        <v>348</v>
      </c>
      <c r="D87" s="0" t="s">
        <v>52</v>
      </c>
      <c r="E87" s="0" t="s">
        <v>349</v>
      </c>
      <c r="F87" s="0" t="s">
        <v>270</v>
      </c>
      <c r="G87" s="1" t="b">
        <f aca="false">TRUE()</f>
        <v>1</v>
      </c>
      <c r="H87" s="0" t="s">
        <v>350</v>
      </c>
      <c r="I87" s="5" t="b">
        <f aca="false">FALSE()</f>
        <v>0</v>
      </c>
      <c r="J87" s="0" t="n">
        <v>0</v>
      </c>
      <c r="K87" s="0" t="n">
        <v>0</v>
      </c>
      <c r="L87" s="0" t="n">
        <v>0</v>
      </c>
    </row>
    <row r="88" customFormat="false" ht="209" hidden="false" customHeight="false" outlineLevel="0" collapsed="false">
      <c r="A88" s="0" t="n">
        <v>86</v>
      </c>
      <c r="B88" s="0" t="s">
        <v>351</v>
      </c>
      <c r="C88" s="3" t="s">
        <v>352</v>
      </c>
      <c r="D88" s="0" t="s">
        <v>124</v>
      </c>
      <c r="E88" s="0" t="s">
        <v>124</v>
      </c>
      <c r="F88" s="0" t="s">
        <v>124</v>
      </c>
      <c r="G88" s="1" t="b">
        <f aca="false">FALSE()</f>
        <v>0</v>
      </c>
      <c r="H88" s="0" t="s">
        <v>353</v>
      </c>
      <c r="I88" s="1" t="b">
        <f aca="false">TRUE()</f>
        <v>1</v>
      </c>
      <c r="J88" s="0" t="n">
        <v>1</v>
      </c>
      <c r="K88" s="0" t="n">
        <v>1</v>
      </c>
      <c r="L88" s="0" t="n">
        <v>1</v>
      </c>
    </row>
    <row r="89" customFormat="false" ht="15" hidden="false" customHeight="false" outlineLevel="0" collapsed="false">
      <c r="A89" s="0" t="n">
        <v>87</v>
      </c>
      <c r="B89" s="0" t="s">
        <v>354</v>
      </c>
      <c r="C89" s="0" t="s">
        <v>355</v>
      </c>
      <c r="D89" s="0" t="s">
        <v>123</v>
      </c>
      <c r="E89" s="0" t="s">
        <v>103</v>
      </c>
      <c r="F89" s="0" t="s">
        <v>103</v>
      </c>
      <c r="G89" s="1" t="b">
        <f aca="false">FALSE()</f>
        <v>0</v>
      </c>
      <c r="H89" s="0" t="s">
        <v>356</v>
      </c>
      <c r="I89" s="5" t="b">
        <f aca="false">FALSE()</f>
        <v>0</v>
      </c>
      <c r="J89" s="0" t="n">
        <v>0</v>
      </c>
      <c r="K89" s="0" t="n">
        <v>0</v>
      </c>
      <c r="L89" s="0" t="n">
        <v>0</v>
      </c>
    </row>
    <row r="90" customFormat="false" ht="132.3" hidden="false" customHeight="false" outlineLevel="0" collapsed="false">
      <c r="A90" s="0" t="n">
        <v>88</v>
      </c>
      <c r="B90" s="0" t="s">
        <v>357</v>
      </c>
      <c r="C90" s="3" t="s">
        <v>358</v>
      </c>
      <c r="D90" s="0" t="s">
        <v>77</v>
      </c>
      <c r="E90" s="0" t="s">
        <v>23</v>
      </c>
      <c r="F90" s="0" t="s">
        <v>23</v>
      </c>
      <c r="G90" s="1" t="b">
        <f aca="false">FALSE()</f>
        <v>0</v>
      </c>
      <c r="H90" s="0" t="s">
        <v>359</v>
      </c>
      <c r="I90" s="5" t="b">
        <f aca="false">FALSE()</f>
        <v>0</v>
      </c>
      <c r="J90" s="0" t="n">
        <v>0.333333333333333</v>
      </c>
      <c r="K90" s="0" t="n">
        <v>1</v>
      </c>
      <c r="L90" s="0" t="n">
        <v>0.333333333333333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v>
      </c>
      <c r="B1" s="0" t="s">
        <v>360</v>
      </c>
      <c r="C1" s="0" t="s">
        <v>361</v>
      </c>
      <c r="D1" s="0" t="s">
        <v>362</v>
      </c>
      <c r="E1" s="0" t="s">
        <v>363</v>
      </c>
      <c r="F1" s="0" t="s">
        <v>364</v>
      </c>
      <c r="G1" s="0" t="s">
        <v>365</v>
      </c>
    </row>
    <row r="2" customFormat="false" ht="15" hidden="false" customHeight="false" outlineLevel="0" collapsed="false">
      <c r="A2" s="0" t="s">
        <v>28</v>
      </c>
      <c r="B2" s="0" t="n">
        <v>12</v>
      </c>
      <c r="C2" s="0" t="n">
        <v>9</v>
      </c>
      <c r="D2" s="0" t="n">
        <v>14</v>
      </c>
      <c r="E2" s="0" t="n">
        <v>3</v>
      </c>
      <c r="F2" s="0" t="s">
        <v>366</v>
      </c>
      <c r="G2" s="0" t="s">
        <v>367</v>
      </c>
    </row>
    <row r="3" customFormat="false" ht="15" hidden="false" customHeight="false" outlineLevel="0" collapsed="false">
      <c r="A3" s="0" t="s">
        <v>107</v>
      </c>
      <c r="B3" s="0" t="n">
        <v>11</v>
      </c>
      <c r="C3" s="0" t="n">
        <v>8</v>
      </c>
      <c r="D3" s="0" t="n">
        <v>3</v>
      </c>
      <c r="E3" s="0" t="n">
        <v>3</v>
      </c>
      <c r="F3" s="0" t="s">
        <v>368</v>
      </c>
      <c r="G3" s="0" t="s">
        <v>368</v>
      </c>
    </row>
    <row r="4" customFormat="false" ht="15" hidden="false" customHeight="false" outlineLevel="0" collapsed="false">
      <c r="A4" s="0" t="s">
        <v>77</v>
      </c>
      <c r="B4" s="0" t="n">
        <v>13</v>
      </c>
      <c r="C4" s="0" t="n">
        <v>13</v>
      </c>
      <c r="D4" s="0" t="n">
        <v>22</v>
      </c>
      <c r="E4" s="0" t="n">
        <v>0</v>
      </c>
      <c r="F4" s="0" t="s">
        <v>369</v>
      </c>
      <c r="G4" s="0" t="s">
        <v>370</v>
      </c>
    </row>
    <row r="5" customFormat="false" ht="15" hidden="false" customHeight="false" outlineLevel="0" collapsed="false">
      <c r="A5" s="0" t="s">
        <v>72</v>
      </c>
      <c r="B5" s="0" t="n">
        <v>8</v>
      </c>
      <c r="C5" s="0" t="n">
        <v>7</v>
      </c>
      <c r="D5" s="0" t="n">
        <v>9</v>
      </c>
      <c r="E5" s="0" t="n">
        <v>1</v>
      </c>
      <c r="F5" s="0" t="s">
        <v>371</v>
      </c>
      <c r="G5" s="0" t="s">
        <v>372</v>
      </c>
    </row>
    <row r="6" customFormat="false" ht="15" hidden="false" customHeight="false" outlineLevel="0" collapsed="false">
      <c r="A6" s="0" t="s">
        <v>161</v>
      </c>
      <c r="B6" s="0" t="n">
        <v>11</v>
      </c>
      <c r="C6" s="0" t="n">
        <v>7</v>
      </c>
      <c r="D6" s="0" t="n">
        <v>18</v>
      </c>
      <c r="E6" s="0" t="n">
        <v>4</v>
      </c>
      <c r="F6" s="0" t="s">
        <v>373</v>
      </c>
      <c r="G6" s="0" t="s">
        <v>374</v>
      </c>
    </row>
    <row r="7" customFormat="false" ht="15" hidden="false" customHeight="false" outlineLevel="0" collapsed="false">
      <c r="A7" s="0" t="s">
        <v>90</v>
      </c>
      <c r="B7" s="0" t="n">
        <v>8</v>
      </c>
      <c r="C7" s="0" t="n">
        <v>5</v>
      </c>
      <c r="D7" s="0" t="n">
        <v>12</v>
      </c>
      <c r="E7" s="0" t="n">
        <v>3</v>
      </c>
      <c r="F7" s="0" t="s">
        <v>375</v>
      </c>
      <c r="G7" s="0" t="s">
        <v>376</v>
      </c>
    </row>
    <row r="8" customFormat="false" ht="15" hidden="false" customHeight="false" outlineLevel="0" collapsed="false">
      <c r="A8" s="0" t="s">
        <v>103</v>
      </c>
      <c r="B8" s="0" t="n">
        <v>15</v>
      </c>
      <c r="C8" s="0" t="n">
        <v>12</v>
      </c>
      <c r="D8" s="0" t="n">
        <v>28</v>
      </c>
      <c r="E8" s="0" t="n">
        <v>3</v>
      </c>
      <c r="F8" s="0" t="s">
        <v>377</v>
      </c>
      <c r="G8" s="0" t="s">
        <v>378</v>
      </c>
    </row>
    <row r="9" customFormat="false" ht="15" hidden="false" customHeight="false" outlineLevel="0" collapsed="false">
      <c r="A9" s="0" t="s">
        <v>124</v>
      </c>
      <c r="B9" s="0" t="n">
        <v>1</v>
      </c>
      <c r="C9" s="0" t="n">
        <v>1</v>
      </c>
      <c r="D9" s="0" t="n">
        <v>6</v>
      </c>
      <c r="E9" s="0" t="n">
        <v>0</v>
      </c>
      <c r="F9" s="0" t="s">
        <v>369</v>
      </c>
      <c r="G9" s="0" t="s">
        <v>379</v>
      </c>
    </row>
    <row r="10" customFormat="false" ht="15" hidden="false" customHeight="false" outlineLevel="0" collapsed="false">
      <c r="A10" s="0" t="s">
        <v>67</v>
      </c>
      <c r="B10" s="0" t="n">
        <v>8</v>
      </c>
      <c r="C10" s="0" t="n">
        <v>6</v>
      </c>
      <c r="D10" s="0" t="n">
        <v>3</v>
      </c>
      <c r="E10" s="0" t="n">
        <v>2</v>
      </c>
      <c r="F10" s="0" t="s">
        <v>366</v>
      </c>
      <c r="G10" s="0" t="s">
        <v>380</v>
      </c>
    </row>
    <row r="11" customFormat="false" ht="15" hidden="false" customHeight="false" outlineLevel="0" collapsed="false">
      <c r="A11" s="0" t="s">
        <v>22</v>
      </c>
      <c r="B11" s="0" t="n">
        <v>9</v>
      </c>
      <c r="C11" s="0" t="n">
        <v>8</v>
      </c>
      <c r="D11" s="0" t="n">
        <v>6</v>
      </c>
      <c r="E11" s="0" t="n">
        <v>1</v>
      </c>
      <c r="F11" s="0" t="s">
        <v>381</v>
      </c>
      <c r="G11" s="0" t="s">
        <v>382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383</v>
      </c>
      <c r="B1" s="0" t="s">
        <v>384</v>
      </c>
      <c r="C1" s="0" t="s">
        <v>385</v>
      </c>
    </row>
    <row r="2" customFormat="false" ht="15" hidden="false" customHeight="false" outlineLevel="0" collapsed="false">
      <c r="A2" s="0" t="s">
        <v>386</v>
      </c>
      <c r="B2" s="0" t="s">
        <v>376</v>
      </c>
      <c r="C2" s="0" t="n">
        <v>89</v>
      </c>
    </row>
    <row r="3" customFormat="false" ht="15" hidden="false" customHeight="false" outlineLevel="0" collapsed="false">
      <c r="A3" s="0" t="s">
        <v>387</v>
      </c>
      <c r="B3" s="0" t="s">
        <v>388</v>
      </c>
      <c r="C3" s="0" t="n">
        <v>89</v>
      </c>
    </row>
    <row r="4" customFormat="false" ht="15" hidden="false" customHeight="false" outlineLevel="0" collapsed="false">
      <c r="A4" s="0" t="s">
        <v>389</v>
      </c>
      <c r="B4" s="0" t="s">
        <v>390</v>
      </c>
      <c r="C4" s="0" t="n">
        <v>89</v>
      </c>
    </row>
    <row r="5" customFormat="false" ht="15" hidden="false" customHeight="false" outlineLevel="0" collapsed="false">
      <c r="A5" s="0" t="s">
        <v>391</v>
      </c>
      <c r="B5" s="0" t="s">
        <v>392</v>
      </c>
      <c r="C5" s="0" t="n">
        <v>89</v>
      </c>
    </row>
    <row r="6" customFormat="false" ht="15" hidden="false" customHeight="false" outlineLevel="0" collapsed="false">
      <c r="A6" s="0" t="s">
        <v>393</v>
      </c>
      <c r="B6" s="0" t="s">
        <v>394</v>
      </c>
      <c r="C6" s="0" t="n">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2026-07-19T09:11:16Z</dcterms:created>
  <dc:creator>openpyxl</dc:creator>
  <dc:description/>
  <dc:language>en-GB</dc:language>
  <cp:lastModifiedBy/>
  <dcterms:modified xsi:type="dcterms:W3CDTF">2026-07-20T15:45:32Z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