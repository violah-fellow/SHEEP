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<sst xmlns="http://schemas.openxmlformats.org/spreadsheetml/2006/main" count="125" uniqueCount="92">
  <si>
    <t xml:space="preserve">id</t>
  </si>
  <si>
    <t xml:space="preserve">title</t>
  </si>
  <si>
    <t xml:space="preserve">abstract</t>
  </si>
  <si>
    <t xml:space="preserve">research_category</t>
  </si>
  <si>
    <t xml:space="preserve">raw_predicted_categories</t>
  </si>
  <si>
    <t xml:space="preserve">predicted_categories</t>
  </si>
  <si>
    <t xml:space="preserve">other_clash</t>
  </si>
  <si>
    <t xml:space="preserve">reasoning_LLM</t>
  </si>
  <si>
    <t xml:space="preserve">exact_match</t>
  </si>
  <si>
    <t xml:space="preserve">row_precision</t>
  </si>
  <si>
    <t xml:space="preserve">row_recall</t>
  </si>
  <si>
    <t xml:space="preserve">row_jaccard</t>
  </si>
  <si>
    <t xml:space="preserve">IMPROVED VALORIZATION OF MARINE SOURCES AND PROCESSING WASTE FOR RESOURCE EFFICIENT BLUE FOOD/FEED AND ENVIRONMENTALLY SUSTAINABLE MATERIALS DEVELOPMENT</t>
  </si>
  <si>
    <t xml:space="preserve">Ingredient optimisation, Feedstocks</t>
  </si>
  <si>
    <t xml:space="preserve">Other</t>
  </si>
  <si>
    <t xml:space="preserve">The abstract is unavailable and the title focuses on marine/blue food sources rather than plant-based alternative proteins, making it impossible to assign specific research categories beyond Other.</t>
  </si>
  <si>
    <t xml:space="preserve">No abstract.</t>
  </si>
  <si>
    <t xml:space="preserve">Ocean Bite</t>
  </si>
  <si>
    <t xml:space="preserve">Purpose and goal: The objectives of the project were: (1) Design a lab scale fabrication process; (2) Produce a seaweed-based food prototype with a texture that reassembles meat and/or seafoods; (3) Investigate the structure/morphology formation and related product characteristics; (4) Derive guidelines to scale up the process and product development. The project fulfilled the overall objectives,various prototypes have been produced that led to the identification of a plant-based seafood as targeted product. Two processes were tested and identified as potential for scaling-up. Expected results and effects: Prototypes, containing seaweed suspensions and extract, and plant proteins, were produced using a lab scale fabrication process. Their mechanical and sensory properties led to the identification of targeted products, which are plant-based seafood. Plant proteins suitable for this application were classified, based on their solubility and sensory properties. Two scale up processes were tested, and their challenges and benefits were assessed. Further development of the product prototypes and processes is needed to optimize the sensory perception and nutritional composition. Approach and implementation: The project was managed by RISE Research Institutes of Sweden AB. The work was performed experimentally, and it was organized in two work packages: WP1 process design and WP2 product design. The methodology consists in combining aspects like raw materials and products properties, process, and sensory characteristics. Process and product design scientists from RISE worked together with experts in seafood analogues from Hooked Foods AB.</t>
  </si>
  <si>
    <t xml:space="preserve">Texturization methods, End product formulation</t>
  </si>
  <si>
    <t xml:space="preserve">Ingredient optimisation, End product formulation, Texturization methods</t>
  </si>
  <si>
    <t xml:space="preserve">The grant funds lab-scale fabrication process design (Texturization methods), production and characterisation of seaweed/plant-protein seafood prototypes with sensory and mechanical evaluation (End product formulation), and classification of plant proteins by solubility and sensory properties (Ingredient optimisation); no consumer research, safety, health, or impact assessment activities are funded.</t>
  </si>
  <si>
    <t xml:space="preserve">Agree</t>
  </si>
  <si>
    <t xml:space="preserve">How to build a protein factory? Linking structure and function of the plant endoplasmic reticulum</t>
  </si>
  <si>
    <t xml:space="preserve">Strain development</t>
  </si>
  <si>
    <t xml:space="preserve">With no abstract available, the title suggests fundamental plant cell biology research on the endoplasmic reticulum's role in protein synthesis, which does not clearly map to any specific alternative protein applied research category and is classified as Other.</t>
  </si>
  <si>
    <t xml:space="preserve">No abstract. Agree that it’s likely to be Other</t>
  </si>
  <si>
    <t xml:space="preserve">AlgFlavor, Enhancing algal biomass consumer acceptance for food markets</t>
  </si>
  <si>
    <t xml:space="preserve">As society shifts away from animal-based diets driven by environmental, health and animal welfare
concerns, both seaweed and microalgae (collectively referred to as algae) emerge as a promising
sustainable food source. With their rich nutritional content, including protein, minerals, vitamins, fiber
and omega-3 fatty acids, these low trophic marine species offer a viable solution to meet consumer
demands for healthy and eco-friendly diets. Despite the potential of algae, the widespread adoption in
European markets faces hurdles due to limited consumer acceptance stemming from the impact of
algal biomass on taste, aroma and visual appeal in food products. AlgFlavor will tackle these
concerns as it is crucial for building consumer trust and promoting the widespread use of algae in food.</t>
  </si>
  <si>
    <t xml:space="preserve">Consumer &amp; market research</t>
  </si>
  <si>
    <t xml:space="preserve">Ingredient optimisation, End product formulation, Consumer &amp; market research</t>
  </si>
  <si>
    <t xml:space="preserve">The grant funds research to improve algal biomass sensory properties (taste, aroma, visual appeal) for ingredient optimisation, incorporates these into food products (end product formulation), and explicitly targets consumer acceptance as a core research activity rather than mere background motivation.</t>
  </si>
  <si>
    <t xml:space="preserve">I agree? I thought it was just consumer &amp; market research but actually, I think it will be ingredient and end product optimisation, with a focus on flavour. It’s just not that clear.</t>
  </si>
  <si>
    <t xml:space="preserve">Tackling barriers to increased acceptance of meat analogues through taste enhancement using healthy fats</t>
  </si>
  <si>
    <t xml:space="preserve">Substituting meat with more environmentally friendly proteins such as meat analogues has become more accepted by consumers. However, resistance grounded in taste preferences persists. Fats are a key carrier of flavor and represent an opportunity for sensorial improvement in these products. Meat analogues often contain fats rich in healthy unsaturated fatty acids, which are typically liquid at room temperature (RT), affecting their mechanical and structural properties. The impact of this on the sensory experience is under-researched. The potential for using oleogels, which are more solid at RT and thus closer in mechanical terms to the fats found in meat, here is also relatively unknown. This project aims to assess the role of healthy vegetable fats and oleogels in enhancing the taste of meat analogues. Prototypes varying in fat type, content, and processing will be developed, evaluated sensorially (profiling and liking) and behaviorally (performance in meal preparation), and benchmarked against existing commercial products. The prototypes will also be comprehensively characterized instrumentally in order to describe the sensory data in physiochemical terms, increasing knowledge on the origin of the sensory experiences and expediting future product development.</t>
  </si>
  <si>
    <t xml:space="preserve">End product formulation</t>
  </si>
  <si>
    <t xml:space="preserve">Ingredient optimisation, End product formulation</t>
  </si>
  <si>
    <t xml:space="preserve">The grant funds investigation of healthy fats and oleogels as ingredients (Ingredient optimisation) and their integration into meat analogue prototypes with sensory profiling, liking evaluation, and physicochemical characterisation (End product formulation); consumer acceptance is mentioned as motivation but no dedicated consumer/market research is funded.</t>
  </si>
  <si>
    <t xml:space="preserve">Borderline. I was leaning end product formulation only but oleogels and vegetable fats are being evaluated as functional ingredients for their mechanical and structural properties, which is ingredient-level work. Successfully removed consumer &amp; market research.</t>
  </si>
  <si>
    <t xml:space="preserve">Synergizing chemistry and data science to enhance plant-based food development</t>
  </si>
  <si>
    <t xml:space="preserve">Plant-based meat analogues are an important part of the solution to the climate crisis. These meat analogues are produced by extrusion, which creates a fibrous structure similar to that of animal meat. However, existing meat analogues do not always meet consumer expectations for texture and taste. This project aims to improve the quality of plant-based meat analogues by using local protein sources such as peas and oats, which are more sustainable than imported soybeans. By combining protein chemistry, spectroscopy, quality assessment and advanced data analysis, we will investigate how different proteins behave during extrusion and how we can optimize the process to create better products. Our goal is to create a deeper understanding of how plant proteins can be converted into meat-like structures. This will make it possible to produce delicious plant-based foods that both satisfy consumer demands and promote a greener transition. This research will also benefit the food industry by providing new tools and methods to improve product development and production efficiency. Overall, the project will support the green transition by providing sustainable and attractive alternatives to animal-based foods.
</t>
  </si>
  <si>
    <t xml:space="preserve">Texturization methods</t>
  </si>
  <si>
    <t xml:space="preserve">The grant funds research into how pea and oat proteins behave during extrusion (ingredient optimisation), optimisation of the extrusion process to create fibrous meat-like structures (texturization methods), and quality assessment of the resulting plant-based meat analogues (end product formulation); consumer expectations and sustainability are mentioned only as motivation.</t>
  </si>
  <si>
    <t xml:space="preserve">Borderline. Focus should be texturisation methods but it is true that lots of ingredient optimisation and end product language is there and should be recognised.</t>
  </si>
  <si>
    <t xml:space="preserve">Sustainable use of marine and industrial waters to unlock the potential of seaweeds as a future food source</t>
  </si>
  <si>
    <t xml:space="preserve">Seaweed farming offers a unique possibility to feed the growing global population without putting further pressure on access to land and fresh water.Also, there is no need for fertilizers but rather a net uptake of nutrients, thereby mitigating eutrophication.
Seaweed farming offers a unique possibility to feed the growing global population without putting further pressure on access to land and fresh water. Also, there is no need for fertilizers but rather a net uptake of nutrients, thereby mitigating eutrophication. SUSWEED aims at releasing the potential of Swedish seaweed as a future sustainable food source according to models which have positive effects on both marine and industrial waters. This will be achieved via development of novel cultivation techniques for Ulva fenestrata and Palmaria palmata based both in the ocean and as part of a system to purify nutrient-rich food industry process waters. Harvested seaweed will be stabilized and pre-processed into tasty, nutritious, and safe intermediate raw materials to incorporate in new fish-based and vegan food products. These are developed to reach broad acceptance for seaweed as a new sustainable food commodity. SUSWEED puts great emphasis on solving non-technical challenges of the new industrial symbiosis between seaweed farmers and generators of process waters and other resources which can make the seaweed industry more sustainable. Safety is carefully addressed by monitoring levels of heavy metals and their accessibility for uptake. The project is built on a strong multidisciplinary partnership with industries and academia which has pioneered the development of state-of-the-art research and applications concerning seaweed in Sweden during the last 10 years.</t>
  </si>
  <si>
    <t xml:space="preserve">End product formulation, Crop development, Ingredient optimisation</t>
  </si>
  <si>
    <t xml:space="preserve">Crop development, Ingredient optimisation, End product formulation, Food safety &amp; quality, Consumer &amp; market research</t>
  </si>
  <si>
    <t xml:space="preserve">The grant funds novel seaweed cultivation techniques (Crop development), stabilization and pre-processing of seaweed into intermediate ingredients (Ingredient optimisation), development of fish-based and vegan food products (End product formulation), heavy metal safety monitoring (Food safety &amp; quality), and broad consumer acceptance research for seaweed as a food commodity (Consumer &amp; market research).</t>
  </si>
  <si>
    <t xml:space="preserve">If the only technology being investigated is extrusion, then it should really only be texturization.</t>
  </si>
  <si>
    <t xml:space="preserve">VegVit</t>
  </si>
  <si>
    <t xml:space="preserve">"VegVit" is an interdisciplinary project aimed at developing a range of vegan dairy and meat alternatives with an improved nutritional profile (vitamin B12, as well as protein quality/broader amino acid profile). The first concrete goal of the project is to identify and select food-safe starter cultures that produce high levels of vitamin B12 under suitable conditions. The second concrete goal is to produce vitamin B12-enriched ingredients by first fermenting raw materials such as extruded vegetable proteins or protein suspensions. These enriched ingredients can then be converted in a second step into high-quality analogues with increased B12 levels and improved protein quality. The third concrete goal is to produce vitamin B12 in situ via a co-fermentation process, by adding suitable starter cultures during the production process of salami, yogurt, or cheese spread analogues. Depending on the nature and composition of the matrix (selected ingredients, homogeneous or heterogeneous matrix structure, pH, water activity), one approach may be more advantageous than another. The focus here is on creating products that meet consumer expectations in both quality and nutritional value.</t>
  </si>
  <si>
    <t xml:space="preserve">Ingredient optimisation , End product formulation</t>
  </si>
  <si>
    <t xml:space="preserve">The grant funds strain screening/selection for B12-producing starter cultures (Strain development), fermentation of ingredients to enrich them with B12 (Ingredient optimisation), and development of finished vegan dairy and meat analogue products with improved nutritional profiles (End product formulation); no consumer research, safety testing of finished products, texturization, or impact assessments are substantively funded.</t>
  </si>
  <si>
    <t xml:space="preserve">E!381, FAVORIT, The Green Dairy Sweden Holding AB</t>
  </si>
  <si>
    <t xml:space="preserve"> Purpose and goal: 
 The project will develop plant-based dairy products based on fermented fava bean with a minimum of additives, as a resilient and sustainable alternative to soy. The goal is a market introduction of healthy and sustainable yogurt-like products from Nordic crops and natural bioprocesses. Partners: The Green Dairy, TFTAK (Estonia), Lund University. 
 Expected results and effects: 
 Competitors use questionable additives to create plant-based yogurt products instead of natural bioprocesses. A prestudy by the project partners has shown that fermented fava bean has great market potential for yogurt-like products. The project will scale this complex bioprocess from lab scale to mass production and market introduction. 
 Approach and implementation: 
 Raw materials and bacterial cultures are analyzed and selected. The production process is developed from lab scale to full scale, in dialogue with producers. Natural additives (berries, herbs, etc.) are evaluated. A human intervention study by Lund University will provide information about effects on gut microbiome, blood analytes and wellbeing compared to traditional products. A market strategy is developed.</t>
  </si>
  <si>
    <t xml:space="preserve">Strain development , End product formulation</t>
  </si>
  <si>
    <t xml:space="preserve">End product formulation, Health &amp; nutrition, Consumer &amp; market research</t>
  </si>
  <si>
    <t xml:space="preserve">The grant funds: end product formulation (developing fermented fava bean yogurt-like products with natural additives, scaling from lab to full scale); strain development is borderline but bacterial culture selection is mentioned; health &amp; nutrition (human intervention study measuring gut microbiome, blood analytes, and wellbeing); and consumer &amp; market research (market strategy development); strain/culture selection is noted but classified under the broader product development effort.</t>
  </si>
  <si>
    <t xml:space="preserve">Borderline. Labels are acceptable but I feel like it should include strain development.</t>
  </si>
  <si>
    <t xml:space="preserve">STARS® Canada - UK
  Plant-based Protein Innovation</t>
  </si>
  <si>
    <t xml:space="preserve">STARS x University of Leeds are producing a delicious, sustainable, locally sourced plant-based burger in the UK. This project brings that V1 to create V2 for the Canadian, UK and Australian markets. The UK-Canadian partners aim to generate knowledge on protein ingredient blending at scale.
This Canada - UK plant-based Protein Innovation project brings a bi-lateral consortium of academia and commercial food partners to bring a much needed whole food plant-based burger to market. The taste, texture and mouthfeel of beef, along with the plant-based lipid structure to emulate an 18% fat content beef burger.
Bringing Canadian crops, whole food plant-based ingredients into the STARS burger with significant experience from the partners in product development, lipids, bindings, ingredients and fortification.
Expertise in this bilateral consortia; STARS UK R&amp;D along with their UK R&amp;D partners at University of Leeds are in a consortium with their Canadian partners led by Sunnydale (Lovingly Made Ingredients) alongside Botaneco, University of Guelph, Saskatchewan Food Centre.</t>
  </si>
  <si>
    <t xml:space="preserve">The grant funds end product formulation of a whole food plant-based burger (taste, texture, mouthfeel, fat content, fortification) and ingredient optimisation through protein ingredient blending, lipid structuring, and investigation of individual ingredient properties at scale; no other categories represent substantive funded research activities.</t>
  </si>
  <si>
    <t xml:space="preserve">n_true</t>
  </si>
  <si>
    <t xml:space="preserve">tp</t>
  </si>
  <si>
    <t xml:space="preserve">fp</t>
  </si>
  <si>
    <t xml:space="preserve">fn</t>
  </si>
  <si>
    <t xml:space="preserve">recall</t>
  </si>
  <si>
    <t xml:space="preserve">precision</t>
  </si>
  <si>
    <t xml:space="preserve">100%</t>
  </si>
  <si>
    <t xml:space="preserve">33%</t>
  </si>
  <si>
    <t xml:space="preserve">Crop development</t>
  </si>
  <si>
    <t xml:space="preserve">75%</t>
  </si>
  <si>
    <t xml:space="preserve">Food safety &amp; quality</t>
  </si>
  <si>
    <t xml:space="preserve">-</t>
  </si>
  <si>
    <t xml:space="preserve">0%</t>
  </si>
  <si>
    <t xml:space="preserve">Health &amp; nutrition</t>
  </si>
  <si>
    <t xml:space="preserve">Impact assessments</t>
  </si>
  <si>
    <t xml:space="preserve">Ingredient optimisation</t>
  </si>
  <si>
    <t xml:space="preserve">67%</t>
  </si>
  <si>
    <t xml:space="preserve">29%</t>
  </si>
  <si>
    <t xml:space="preserve">metric</t>
  </si>
  <si>
    <t xml:space="preserve">value</t>
  </si>
  <si>
    <t xml:space="preserve">n</t>
  </si>
  <si>
    <t xml:space="preserve">exact_match_accuracy</t>
  </si>
  <si>
    <t xml:space="preserve">10%</t>
  </si>
  <si>
    <t xml:space="preserve">mean_row_precision</t>
  </si>
  <si>
    <t xml:space="preserve">43%</t>
  </si>
  <si>
    <t xml:space="preserve">mean_row_recall</t>
  </si>
  <si>
    <t xml:space="preserve">mean_row_jaccard</t>
  </si>
  <si>
    <t xml:space="preserve">42%</t>
  </si>
  <si>
    <t xml:space="preserve">other_clash_rate</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</si>
</sst>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6">
    <fill>
      <patternFill patternType="none"/>
    </fill>
    <fill>
      <patternFill patternType="gray125"/>
    </fill>
    <fill>
      <patternFill patternType="solid">
        <fgColor rgb="FFFFFF00"/>
        <bgColor rgb="FFFFFF00"/>
      </patternFill>
    </fill>
    <fill>
      <patternFill patternType="solid">
        <fgColor rgb="FF81D41A"/>
        <bgColor rgb="FFBBE33D"/>
      </patternFill>
    </fill>
    <fill>
      <patternFill patternType="solid">
        <fgColor rgb="FFBBE33D"/>
        <bgColor rgb="FF81D41A"/>
      </patternFill>
    </fill>
    <fill>
      <patternFill patternType="solid">
        <fgColor rgb="FFFF8000"/>
        <bgColor rgb="FFFF66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BBE33D"/>
      <rgbColor rgb="FFFF80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0" activeCellId="0" sqref="A10"/>
    </sheetView>
  </sheetViews>
  <sheetFormatPr defaultColWidth="8.34375" defaultRowHeight="15" customHeight="false" zeroHeight="false" outlineLevelRow="0" outlineLevelCol="0"/>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K1" s="0" t="s">
        <v>10</v>
      </c>
      <c r="L1" s="0" t="s">
        <v>11</v>
      </c>
    </row>
    <row r="2" customFormat="false" ht="15" hidden="false" customHeight="false" outlineLevel="0" collapsed="false">
      <c r="A2" s="0" t="n">
        <v>0</v>
      </c>
      <c r="B2" s="0" t="s">
        <v>12</v>
      </c>
      <c r="D2" s="0" t="s">
        <v>13</v>
      </c>
      <c r="E2" s="0" t="s">
        <v>14</v>
      </c>
      <c r="F2" s="0" t="s">
        <v>14</v>
      </c>
      <c r="G2" s="1" t="b">
        <f aca="false">FALSE()</f>
        <v>0</v>
      </c>
      <c r="H2" s="0" t="s">
        <v>15</v>
      </c>
      <c r="I2" s="2" t="b">
        <f aca="false">FALSE()</f>
        <v>0</v>
      </c>
      <c r="J2" s="0" t="n">
        <v>0</v>
      </c>
      <c r="K2" s="0" t="n">
        <v>0</v>
      </c>
      <c r="L2" s="0" t="n">
        <v>0</v>
      </c>
      <c r="N2" s="3" t="s">
        <v>16</v>
      </c>
    </row>
    <row r="3" customFormat="false" ht="15" hidden="false" customHeight="false" outlineLevel="0" collapsed="false">
      <c r="A3" s="0" t="n">
        <v>1</v>
      </c>
      <c r="B3" s="0" t="s">
        <v>17</v>
      </c>
      <c r="C3" s="0" t="s">
        <v>18</v>
      </c>
      <c r="D3" s="0" t="s">
        <v>19</v>
      </c>
      <c r="E3" s="0" t="s">
        <v>20</v>
      </c>
      <c r="F3" s="0" t="s">
        <v>20</v>
      </c>
      <c r="G3" s="1" t="b">
        <f aca="false">FALSE()</f>
        <v>0</v>
      </c>
      <c r="H3" s="0" t="s">
        <v>21</v>
      </c>
      <c r="I3" s="4" t="b">
        <f aca="false">FALSE()</f>
        <v>0</v>
      </c>
      <c r="J3" s="0" t="n">
        <v>0.666666666666667</v>
      </c>
      <c r="K3" s="0" t="n">
        <v>1</v>
      </c>
      <c r="L3" s="0" t="n">
        <v>0.666666666666667</v>
      </c>
      <c r="N3" s="0" t="s">
        <v>22</v>
      </c>
    </row>
    <row r="4" customFormat="false" ht="15" hidden="false" customHeight="false" outlineLevel="0" collapsed="false">
      <c r="A4" s="0" t="n">
        <v>2</v>
      </c>
      <c r="B4" s="0" t="s">
        <v>23</v>
      </c>
      <c r="D4" s="0" t="s">
        <v>24</v>
      </c>
      <c r="E4" s="0" t="s">
        <v>14</v>
      </c>
      <c r="F4" s="0" t="s">
        <v>14</v>
      </c>
      <c r="G4" s="1" t="b">
        <f aca="false">FALSE()</f>
        <v>0</v>
      </c>
      <c r="H4" s="0" t="s">
        <v>25</v>
      </c>
      <c r="I4" s="2" t="b">
        <f aca="false">FALSE()</f>
        <v>0</v>
      </c>
      <c r="J4" s="0" t="n">
        <v>0</v>
      </c>
      <c r="K4" s="0" t="n">
        <v>0</v>
      </c>
      <c r="L4" s="0" t="n">
        <v>0</v>
      </c>
      <c r="N4" s="3" t="s">
        <v>26</v>
      </c>
    </row>
    <row r="5" customFormat="false" ht="88.7" hidden="false" customHeight="false" outlineLevel="0" collapsed="false">
      <c r="A5" s="0" t="n">
        <v>3</v>
      </c>
      <c r="B5" s="0" t="s">
        <v>27</v>
      </c>
      <c r="C5" s="5" t="s">
        <v>28</v>
      </c>
      <c r="D5" s="0" t="s">
        <v>29</v>
      </c>
      <c r="E5" s="0" t="s">
        <v>30</v>
      </c>
      <c r="F5" s="0" t="s">
        <v>30</v>
      </c>
      <c r="G5" s="1" t="b">
        <f aca="false">FALSE()</f>
        <v>0</v>
      </c>
      <c r="H5" s="0" t="s">
        <v>31</v>
      </c>
      <c r="I5" s="4" t="b">
        <f aca="false">FALSE()</f>
        <v>0</v>
      </c>
      <c r="J5" s="0" t="n">
        <v>0.333333333333333</v>
      </c>
      <c r="K5" s="0" t="n">
        <v>1</v>
      </c>
      <c r="L5" s="0" t="n">
        <v>0.333333333333333</v>
      </c>
      <c r="N5" s="0" t="s">
        <v>32</v>
      </c>
    </row>
    <row r="6" customFormat="false" ht="15" hidden="false" customHeight="false" outlineLevel="0" collapsed="false">
      <c r="A6" s="0" t="n">
        <v>4</v>
      </c>
      <c r="B6" s="0" t="s">
        <v>33</v>
      </c>
      <c r="C6" s="0" t="s">
        <v>34</v>
      </c>
      <c r="D6" s="0" t="s">
        <v>35</v>
      </c>
      <c r="E6" s="0" t="s">
        <v>36</v>
      </c>
      <c r="F6" s="0" t="s">
        <v>36</v>
      </c>
      <c r="G6" s="1" t="b">
        <f aca="false">FALSE()</f>
        <v>0</v>
      </c>
      <c r="H6" s="0" t="s">
        <v>37</v>
      </c>
      <c r="I6" s="6" t="b">
        <f aca="false">FALSE()</f>
        <v>0</v>
      </c>
      <c r="J6" s="0" t="n">
        <v>0.5</v>
      </c>
      <c r="K6" s="0" t="n">
        <v>1</v>
      </c>
      <c r="L6" s="0" t="n">
        <v>0.5</v>
      </c>
      <c r="N6" s="7" t="s">
        <v>38</v>
      </c>
    </row>
    <row r="7" customFormat="false" ht="23.3" hidden="false" customHeight="false" outlineLevel="0" collapsed="false">
      <c r="A7" s="0" t="n">
        <v>5</v>
      </c>
      <c r="B7" s="0" t="s">
        <v>39</v>
      </c>
      <c r="C7" s="5" t="s">
        <v>40</v>
      </c>
      <c r="D7" s="0" t="s">
        <v>41</v>
      </c>
      <c r="E7" s="0" t="s">
        <v>20</v>
      </c>
      <c r="F7" s="0" t="s">
        <v>20</v>
      </c>
      <c r="G7" s="1" t="b">
        <f aca="false">FALSE()</f>
        <v>0</v>
      </c>
      <c r="H7" s="0" t="s">
        <v>42</v>
      </c>
      <c r="I7" s="6" t="b">
        <f aca="false">FALSE()</f>
        <v>0</v>
      </c>
      <c r="J7" s="0" t="n">
        <v>0.333333333333333</v>
      </c>
      <c r="K7" s="0" t="n">
        <v>1</v>
      </c>
      <c r="L7" s="0" t="n">
        <v>0.333333333333333</v>
      </c>
      <c r="N7" s="0" t="s">
        <v>43</v>
      </c>
    </row>
    <row r="8" customFormat="false" ht="23.3" hidden="false" customHeight="false" outlineLevel="0" collapsed="false">
      <c r="A8" s="0" t="n">
        <v>6</v>
      </c>
      <c r="B8" s="0" t="s">
        <v>44</v>
      </c>
      <c r="C8" s="5" t="s">
        <v>45</v>
      </c>
      <c r="D8" s="0" t="s">
        <v>46</v>
      </c>
      <c r="E8" s="0" t="s">
        <v>47</v>
      </c>
      <c r="F8" s="0" t="s">
        <v>47</v>
      </c>
      <c r="G8" s="1" t="b">
        <f aca="false">FALSE()</f>
        <v>0</v>
      </c>
      <c r="H8" s="0" t="s">
        <v>48</v>
      </c>
      <c r="I8" s="2" t="b">
        <f aca="false">FALSE()</f>
        <v>0</v>
      </c>
      <c r="J8" s="0" t="n">
        <v>0.6</v>
      </c>
      <c r="K8" s="0" t="n">
        <v>1</v>
      </c>
      <c r="L8" s="0" t="n">
        <v>0.6</v>
      </c>
      <c r="N8" s="7" t="s">
        <v>49</v>
      </c>
    </row>
    <row r="9" customFormat="false" ht="15" hidden="false" customHeight="false" outlineLevel="0" collapsed="false">
      <c r="A9" s="0" t="n">
        <v>7</v>
      </c>
      <c r="B9" s="0" t="s">
        <v>50</v>
      </c>
      <c r="C9" s="0" t="s">
        <v>51</v>
      </c>
      <c r="D9" s="0" t="s">
        <v>52</v>
      </c>
      <c r="E9" s="0" t="s">
        <v>36</v>
      </c>
      <c r="F9" s="0" t="s">
        <v>36</v>
      </c>
      <c r="G9" s="1" t="b">
        <f aca="false">FALSE()</f>
        <v>0</v>
      </c>
      <c r="H9" s="0" t="s">
        <v>53</v>
      </c>
      <c r="I9" s="1" t="b">
        <f aca="false">TRUE()</f>
        <v>1</v>
      </c>
      <c r="J9" s="0" t="n">
        <v>1</v>
      </c>
      <c r="K9" s="0" t="n">
        <v>1</v>
      </c>
      <c r="L9" s="0" t="n">
        <v>1</v>
      </c>
    </row>
    <row r="10" customFormat="false" ht="88.7" hidden="false" customHeight="false" outlineLevel="0" collapsed="false">
      <c r="A10" s="0" t="n">
        <v>8</v>
      </c>
      <c r="B10" s="0" t="s">
        <v>54</v>
      </c>
      <c r="C10" s="5" t="s">
        <v>55</v>
      </c>
      <c r="D10" s="0" t="s">
        <v>56</v>
      </c>
      <c r="E10" s="0" t="s">
        <v>57</v>
      </c>
      <c r="F10" s="0" t="s">
        <v>57</v>
      </c>
      <c r="G10" s="1" t="b">
        <f aca="false">FALSE()</f>
        <v>0</v>
      </c>
      <c r="H10" s="0" t="s">
        <v>58</v>
      </c>
      <c r="I10" s="8" t="b">
        <f aca="false">FALSE()</f>
        <v>0</v>
      </c>
      <c r="J10" s="0" t="n">
        <v>0.333333333333333</v>
      </c>
      <c r="K10" s="0" t="n">
        <v>0.5</v>
      </c>
      <c r="L10" s="0" t="n">
        <v>0.25</v>
      </c>
      <c r="N10" s="0" t="s">
        <v>59</v>
      </c>
    </row>
    <row r="11" customFormat="false" ht="77.8" hidden="false" customHeight="false" outlineLevel="0" collapsed="false">
      <c r="A11" s="0" t="n">
        <v>9</v>
      </c>
      <c r="B11" s="5" t="s">
        <v>60</v>
      </c>
      <c r="C11" s="5" t="s">
        <v>61</v>
      </c>
      <c r="D11" s="0" t="s">
        <v>35</v>
      </c>
      <c r="E11" s="0" t="s">
        <v>36</v>
      </c>
      <c r="F11" s="0" t="s">
        <v>36</v>
      </c>
      <c r="G11" s="1" t="b">
        <f aca="false">FALSE()</f>
        <v>0</v>
      </c>
      <c r="H11" s="0" t="s">
        <v>62</v>
      </c>
      <c r="I11" s="2" t="b">
        <f aca="false">FALSE()</f>
        <v>0</v>
      </c>
      <c r="J11" s="0" t="n">
        <v>0.5</v>
      </c>
      <c r="K11" s="0" t="n">
        <v>1</v>
      </c>
      <c r="L11" s="0" t="n">
        <v>0.5</v>
      </c>
    </row>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3</v>
      </c>
      <c r="B1" s="0" t="s">
        <v>63</v>
      </c>
      <c r="C1" s="0" t="s">
        <v>64</v>
      </c>
      <c r="D1" s="0" t="s">
        <v>65</v>
      </c>
      <c r="E1" s="0" t="s">
        <v>66</v>
      </c>
      <c r="F1" s="0" t="s">
        <v>67</v>
      </c>
      <c r="G1" s="0" t="s">
        <v>68</v>
      </c>
    </row>
    <row r="2" customFormat="false" ht="15" hidden="false" customHeight="false" outlineLevel="0" collapsed="false">
      <c r="A2" s="0" t="s">
        <v>29</v>
      </c>
      <c r="B2" s="0" t="n">
        <v>1</v>
      </c>
      <c r="C2" s="0" t="n">
        <v>1</v>
      </c>
      <c r="D2" s="0" t="n">
        <v>2</v>
      </c>
      <c r="E2" s="0" t="n">
        <v>0</v>
      </c>
      <c r="F2" s="0" t="s">
        <v>69</v>
      </c>
      <c r="G2" s="0" t="s">
        <v>70</v>
      </c>
    </row>
    <row r="3" customFormat="false" ht="15" hidden="false" customHeight="false" outlineLevel="0" collapsed="false">
      <c r="A3" s="0" t="s">
        <v>71</v>
      </c>
      <c r="B3" s="0" t="n">
        <v>1</v>
      </c>
      <c r="C3" s="0" t="n">
        <v>1</v>
      </c>
      <c r="D3" s="0" t="n">
        <v>0</v>
      </c>
      <c r="E3" s="0" t="n">
        <v>0</v>
      </c>
      <c r="F3" s="0" t="s">
        <v>69</v>
      </c>
      <c r="G3" s="0" t="s">
        <v>69</v>
      </c>
    </row>
    <row r="4" customFormat="false" ht="15" hidden="false" customHeight="false" outlineLevel="0" collapsed="false">
      <c r="A4" s="0" t="s">
        <v>35</v>
      </c>
      <c r="B4" s="0" t="n">
        <v>6</v>
      </c>
      <c r="C4" s="0" t="n">
        <v>6</v>
      </c>
      <c r="D4" s="0" t="n">
        <v>2</v>
      </c>
      <c r="E4" s="0" t="n">
        <v>0</v>
      </c>
      <c r="F4" s="0" t="s">
        <v>69</v>
      </c>
      <c r="G4" s="0" t="s">
        <v>72</v>
      </c>
    </row>
    <row r="5" customFormat="false" ht="15" hidden="false" customHeight="false" outlineLevel="0" collapsed="false">
      <c r="A5" s="0" t="s">
        <v>73</v>
      </c>
      <c r="B5" s="0" t="n">
        <v>0</v>
      </c>
      <c r="C5" s="0" t="n">
        <v>0</v>
      </c>
      <c r="D5" s="0" t="n">
        <v>1</v>
      </c>
      <c r="E5" s="0" t="n">
        <v>0</v>
      </c>
      <c r="F5" s="0" t="s">
        <v>74</v>
      </c>
      <c r="G5" s="0" t="s">
        <v>75</v>
      </c>
    </row>
    <row r="6" customFormat="false" ht="15" hidden="false" customHeight="false" outlineLevel="0" collapsed="false">
      <c r="A6" s="0" t="s">
        <v>76</v>
      </c>
      <c r="B6" s="0" t="n">
        <v>0</v>
      </c>
      <c r="C6" s="0" t="n">
        <v>0</v>
      </c>
      <c r="D6" s="0" t="n">
        <v>1</v>
      </c>
      <c r="E6" s="0" t="n">
        <v>0</v>
      </c>
      <c r="F6" s="0" t="s">
        <v>74</v>
      </c>
      <c r="G6" s="0" t="s">
        <v>75</v>
      </c>
    </row>
    <row r="7" customFormat="false" ht="15" hidden="false" customHeight="false" outlineLevel="0" collapsed="false">
      <c r="A7" s="0" t="s">
        <v>77</v>
      </c>
      <c r="B7" s="0" t="n">
        <v>0</v>
      </c>
      <c r="C7" s="0" t="n">
        <v>0</v>
      </c>
      <c r="D7" s="0" t="n">
        <v>0</v>
      </c>
      <c r="E7" s="0" t="n">
        <v>0</v>
      </c>
      <c r="F7" s="0" t="s">
        <v>74</v>
      </c>
      <c r="G7" s="0" t="s">
        <v>74</v>
      </c>
    </row>
    <row r="8" customFormat="false" ht="15" hidden="false" customHeight="false" outlineLevel="0" collapsed="false">
      <c r="A8" s="0" t="s">
        <v>78</v>
      </c>
      <c r="B8" s="0" t="n">
        <v>3</v>
      </c>
      <c r="C8" s="0" t="n">
        <v>2</v>
      </c>
      <c r="D8" s="0" t="n">
        <v>5</v>
      </c>
      <c r="E8" s="0" t="n">
        <v>1</v>
      </c>
      <c r="F8" s="0" t="s">
        <v>79</v>
      </c>
      <c r="G8" s="0" t="s">
        <v>80</v>
      </c>
    </row>
    <row r="9" customFormat="false" ht="15" hidden="false" customHeight="false" outlineLevel="0" collapsed="false">
      <c r="A9" s="0" t="s">
        <v>14</v>
      </c>
      <c r="B9" s="0" t="n">
        <v>0</v>
      </c>
      <c r="C9" s="0" t="n">
        <v>0</v>
      </c>
      <c r="D9" s="0" t="n">
        <v>2</v>
      </c>
      <c r="E9" s="0" t="n">
        <v>0</v>
      </c>
      <c r="F9" s="0" t="s">
        <v>74</v>
      </c>
      <c r="G9" s="0" t="s">
        <v>75</v>
      </c>
    </row>
    <row r="10" customFormat="false" ht="15" hidden="false" customHeight="false" outlineLevel="0" collapsed="false">
      <c r="A10" s="0" t="s">
        <v>41</v>
      </c>
      <c r="B10" s="0" t="n">
        <v>2</v>
      </c>
      <c r="C10" s="0" t="n">
        <v>2</v>
      </c>
      <c r="D10" s="0" t="n">
        <v>0</v>
      </c>
      <c r="E10" s="0" t="n">
        <v>0</v>
      </c>
      <c r="F10" s="0" t="s">
        <v>69</v>
      </c>
      <c r="G10" s="0" t="s">
        <v>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81</v>
      </c>
      <c r="B1" s="0" t="s">
        <v>82</v>
      </c>
      <c r="C1" s="0" t="s">
        <v>83</v>
      </c>
    </row>
    <row r="2" customFormat="false" ht="15" hidden="false" customHeight="false" outlineLevel="0" collapsed="false">
      <c r="A2" s="0" t="s">
        <v>84</v>
      </c>
      <c r="B2" s="0" t="s">
        <v>85</v>
      </c>
      <c r="C2" s="0" t="n">
        <v>10</v>
      </c>
    </row>
    <row r="3" customFormat="false" ht="15" hidden="false" customHeight="false" outlineLevel="0" collapsed="false">
      <c r="A3" s="0" t="s">
        <v>86</v>
      </c>
      <c r="B3" s="0" t="s">
        <v>87</v>
      </c>
      <c r="C3" s="0" t="n">
        <v>10</v>
      </c>
    </row>
    <row r="4" customFormat="false" ht="15" hidden="false" customHeight="false" outlineLevel="0" collapsed="false">
      <c r="A4" s="0" t="s">
        <v>88</v>
      </c>
      <c r="B4" s="0" t="s">
        <v>72</v>
      </c>
      <c r="C4" s="0" t="n">
        <v>10</v>
      </c>
    </row>
    <row r="5" customFormat="false" ht="15" hidden="false" customHeight="false" outlineLevel="0" collapsed="false">
      <c r="A5" s="0" t="s">
        <v>89</v>
      </c>
      <c r="B5" s="0" t="s">
        <v>90</v>
      </c>
      <c r="C5" s="0" t="n">
        <v>10</v>
      </c>
    </row>
    <row r="6" customFormat="false" ht="15" hidden="false" customHeight="false" outlineLevel="0" collapsed="false">
      <c r="A6" s="0" t="s">
        <v>91</v>
      </c>
      <c r="B6" s="0" t="s">
        <v>75</v>
      </c>
      <c r="C6" s="0" t="n">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4294</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2026-07-16T08:22:56Z</dcterms:created>
  <dc:creator>openpyxl</dc:creator>
  <dc:description/>
  <dc:language>en-GB</dc:language>
  <cp:lastModifiedBy/>
  <dcterms:modified xsi:type="dcterms:W3CDTF">2026-07-19T08:58:00Z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