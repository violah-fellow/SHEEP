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<sst xmlns="http://schemas.openxmlformats.org/spreadsheetml/2006/main" count="470" uniqueCount="322">
  <si>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</si>
  <si>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</si>
  <si>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</si>
  <si>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</si>
  <si>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</si>
  <si>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</si>
  <si>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</si>
  <si>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</si>
  <si>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</si>
  <si>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</si>
  <si>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</si>
  <si>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</si>
  <si>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Support for the development, regulatory approval, and commercialization of the Solein protein</t>
  </si>
  <si>
    <t xml:space="preserve">“We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</si>
  <si>
    <t xml:space="preserve">Bioprocess design</t>
  </si>
  <si>
    <t xml:space="preserve">Bioprocess design, End product formulation, Other</t>
  </si>
  <si>
    <t xml:space="preserve">Bioprocess design, End product formulation</t>
  </si>
  <si>
    <t xml:space="preserve">The grant supports Factory 02 pre-engineering (bioprocess/scale-up), product development (end product formulation), and regulatory/commercialization activities (Other), but the abstract lacks sufficient detail to confirm more specific research categories.</t>
  </si>
  <si>
    <t xml:space="preserve">Agree with LLM.</t>
  </si>
  <si>
    <t xml:space="preserve">AI-Optimised Fermentation for Sustainable Protein Production from Food Side Streams</t>
  </si>
  <si>
    <t xml:space="preserve">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</si>
  <si>
    <t xml:space="preserve">Feedstocks</t>
  </si>
  <si>
    <t xml:space="preserve">Feedstocks, Bioprocess design</t>
  </si>
  <si>
    <t xml:space="preserve">The grant funds experimental data collection and AI model development for optimising fermentation processes using food side streams (soft fruit, Jerusalem artichokes) as substrates (Feedstocks: TRUE) and includes scale-up fermentation trials and process parameter optimisation such as pH, moisture, and nutrient supplementation (Bioprocess design: TRUE); other categories are mentioned only as context or expected outcomes rather than funded research activities.</t>
  </si>
  <si>
    <t xml:space="preserve">Meatier meat-analogues through elucidating and optimising water entrainment in mycoprotein-based products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</si>
  <si>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</si>
  <si>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End product formulation</t>
  </si>
  <si>
    <t xml:space="preserve">Ingredient optimisation, End product formulation</t>
  </si>
  <si>
    <t xml:space="preserve">The grant focuses on understanding water physicochemical state and distribution in mycoprotein mixtures (ingredient optimisation) and correlating these properties to sensory response and rational design of meat analogues (end product formulation), with no substantive activities in other categories.</t>
  </si>
  <si>
    <t xml:space="preserve">Should just be end product formulation.</t>
  </si>
  <si>
    <t xml:space="preserve">FUTUREDAIRY: Non-animal Dairy Favorites – Danbo cheese and Natural Yogurt</t>
  </si>
  <si>
    <t xml:space="preserve">The project will develop a plant-based Danbo cheese and natural yogurt. The project will use precision fermentation to produce ”milk” proteins based on peas, broad beans and other novel alternative protein sources, as well as other upcycled side streams.</t>
  </si>
  <si>
    <t xml:space="preserve">Feedstocks, Target molecule selection, Ingredient optimisation, End product formulation</t>
  </si>
  <si>
    <t xml:space="preserve">The grant funds precision fermentation to produce milk proteins (Target molecule selection), uses novel plant-based and upcycled feedstocks (Feedstocks), optimises these protein ingredients (Ingredient optimisation), and develops finished plant-based cheese and yogurt products (End product formulation).</t>
  </si>
  <si>
    <t xml:space="preserve">PES EIC Accelerator - FutureFerm</t>
  </si>
  <si>
    <t xml:space="preserve">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</si>
  <si>
    <t xml:space="preserve">The grant focuses on developing novel hardware and cloud-based infrastructure for fermentation process monitoring and control, which falls squarely under bioprocess design (reactor monitoring, control systems, and process engineering for scalability).</t>
  </si>
  <si>
    <t xml:space="preserve">CA24132 - Accelerating Innovation and Development of European Microbial Foods (Mic2Food)
</t>
  </si>
  <si>
    <t xml:space="preserve">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</si>
  <si>
    <t xml:space="preserve">Bioprocess design, Feedstocks</t>
  </si>
  <si>
    <t xml:space="preserve">Strain development, Bioprocess design, Ingredient optimisation, End product formulation, Health &amp; nutrition, Other</t>
  </si>
  <si>
    <t xml:space="preserve">Strain development, Bioprocess design, Ingredient optimisation, End product formulation, Health &amp; nutrition</t>
  </si>
  <si>
    <t xml:space="preserve">This COST Action network funds strain isolation/screening (Strain development), scale-up and downstream processing including RNA removal (Bioprocess design), ingredient optimisation of protein/lipid/micronutrient composition, product formulation (End product formulation), nutritional characterisation (Health &amp; nutrition), and regulatory/commercialisation facilitation (Other).</t>
  </si>
  <si>
    <t xml:space="preserve">Machine-learning generated nucleases for accelerating the deployment of a novel, low-emission food production systems</t>
  </si>
  <si>
    <t xml:space="preserve">**Eden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</si>
  <si>
    <t xml:space="preserve">Strain development</t>
  </si>
  <si>
    <t xml:space="preserve">Strain development, Other</t>
  </si>
  <si>
    <t xml:space="preserve">The grant funds development of a machine-learning tool to generate novel nucleases for genome editing in precision fermentation contexts, which supports strain engineering/optimisation services (Strain development: TRUE); the tool-building and repository creation aspect is also sufficiently distinct to warrant Other: TRUE, as it is primarily a bioinformatics/ML platform development effort rather than direct biological research.</t>
  </si>
  <si>
    <t xml:space="preserve">BioGas2protein – Biogas upgrading and microbial protein production through enrichment of phototrophic and sulfur-oxidizing microbial consortia</t>
  </si>
  <si>
    <t xml:space="preserve">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</si>
  <si>
    <t xml:space="preserve">Target molecule selection</t>
  </si>
  <si>
    <t xml:space="preserve">Feedstocks, Strain development, Bioprocess design</t>
  </si>
  <si>
    <t xml:space="preserve">The grant focuses on using biogas as a feedstock for microbial protein production (Feedstocks), enriching and developing phototrophic and sulfur-oxidizing microbial consortia (Strain development), and engineering the biogas upgrading and fermentation process (Bioprocess design).</t>
  </si>
  <si>
    <t xml:space="preserve">Nutrition-functional tailored food from microalgal-dairy hybrid systems through in-line sensing and predictive control of multiphase structure extrusion processing</t>
  </si>
  <si>
    <t xml:space="preserve">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</si>
  <si>
    <t xml:space="preserve">Ingredient optimisation, End product formulation, Texturization methods, Health &amp; nutrition</t>
  </si>
  <si>
    <t xml:space="preserve">The grant funds research on microalgae-dairy hybrid ingredient systems (ingredient optimisation), development of finished hybrid food products with tailored nutritional and sensory properties (end product formulation), controlled 2-step co-extrusion for multi-scale structuring (texturization methods), and health-relevant nutritional quality assessment (health &amp; nutrition); sustainability and market potential are mentioned as motivation/context rather than primary funded research activities.</t>
  </si>
  <si>
    <t xml:space="preserve">Not sure about health &amp; nutrition but the rest is fine.</t>
  </si>
  <si>
    <t xml:space="preserve">UNICO2RN: Flexible and Efficient Capture and Bioconversion of CO2 to Materials and Ingredients</t>
  </si>
  <si>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</si>
  <si>
    <t xml:space="preserve">Feedstocks, Strain development, Bioprocess design, Impact assessments</t>
  </si>
  <si>
    <t xml:space="preserve">The grant funds research on using biogenic CO2 as a feedstock for fermentation (Feedstocks), developing microbial strains and processes to convert CO2 into microbial proteins, PHAs, and amino acids (Strain development, Bioprocess design), and quantifies energy and GHG emission reductions suggesting structured impact assessment (Impact assessments), while product formulation, safety, nutrition, and consumer research are not funded activities.</t>
  </si>
  <si>
    <t xml:space="preserve">Feedstocks, definitely, the rest feel like a bit of a stretch but is okay.</t>
  </si>
  <si>
    <t xml:space="preserve">Bioaccessibility, bioavailability, and bioactivity assessment of iron from microalgae for treatment of iron-deficiency anaemia</t>
  </si>
  <si>
    <t xml:space="preserve">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</si>
  <si>
    <t xml:space="preserve">Health &amp; nutrition</t>
  </si>
  <si>
    <t xml:space="preserve">The grant's primary funded research activities are in vitro, ex vivo, and in vivo assessments of iron bioaccessibility, bioavailability, and bioactivity from microalgae, with physiological outcomes (IDA treatment) as the central research question, firmly placing this in Health &amp; Nutrition.</t>
  </si>
  <si>
    <t xml:space="preserve">Optimisation of the Quorn fermentation process for the production and extraction of functional mycoprotein</t>
  </si>
  <si>
    <t xml:space="preserve">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</si>
  <si>
    <t xml:space="preserve">Ingredient optimisation</t>
  </si>
  <si>
    <t xml:space="preserve">Bioprocess design, Ingredient optimisation</t>
  </si>
  <si>
    <t xml:space="preserve">The grant focuses on scaling up the production and extraction of functional proteins from the Quorn fermentation process (Bioprocess design) and improving their functional properties as foaming, emulsifying, and gelling agents (Ingredient optimisation); end product formulation and other categories are mentioned only as downstream applications.</t>
  </si>
  <si>
    <t xml:space="preserve">Investigating the structure and function of the microbiome underpinning anaerobic digestion for resource recovery from carbon-rich, nutrient-rich ferm</t>
  </si>
  <si>
    <t xml:space="preserve">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</si>
  <si>
    <t xml:space="preserve">Bioprocess design, Other</t>
  </si>
  <si>
    <t xml:space="preserve">This grant funds research on anaerobic digestion of fermentation wastewater (from Quorn) for resource recovery, involving bioreactor design/operation (Bioprocess design) and microbiome characterisation via metagenomics and pangenomics, which does not fit neatly into alternative protein categories and is classified as Other; no alternative protein ingredient, product, safety, health, or market research is conducted.</t>
  </si>
  <si>
    <t xml:space="preserve">New coloring agents from Basidiomycetes for food</t>
  </si>
  <si>
    <t xml:space="preserve">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</si>
  <si>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 xml:space="preserve">Bioprocess design, Food safety &amp; quality, Other</t>
  </si>
  <si>
    <t xml:space="preserve">Bioprocess design, Food safety &amp; quality</t>
  </si>
  <si>
    <t xml:space="preserve">The grant funds development of a biotechnological process to extract natural dyes from basidiomycetes (bioprocess design), toxicological safety assessment of the dyes (food safety &amp; quality), and the broader goal of producing novel natural colorants for food/cosmetics falls partly under Other as it is not a core alternative protein research category.</t>
  </si>
  <si>
    <t xml:space="preserve">Should not be bioprocess – need to exclude extraction. Probably ingredient optimisation – not really target molecule selection in the PF sense…</t>
  </si>
  <si>
    <t xml:space="preserve">Safe precision fermentation for production of dairy and meat protein analogues (SAFERMENT)</t>
  </si>
  <si>
    <t xml:space="preserve">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</si>
  <si>
    <t xml:space="preserve">Food safety &amp; quality</t>
  </si>
  <si>
    <t xml:space="preserve">Food safety &amp; quality, Consumer &amp; market research</t>
  </si>
  <si>
    <t xml:space="preserve">The grant explicitly funds food safety research (allergenicity, protein modifications, recombinant genetic material detection, hazard identification and risk analysis in production chains) and consumer risk perception/attitudes research, while precision fermentation and GMM production are the context rather than the funded research activities.</t>
  </si>
  <si>
    <t xml:space="preserve">Microbial Food Hub</t>
  </si>
  <si>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</si>
  <si>
    <t xml:space="preserve">cross-cutting</t>
  </si>
  <si>
    <t xml:space="preserve">Feedstocks, Target molecule selection, Strain development, Bioprocess design, Ingredient optimisation, End product formulation, Food safety &amp; quality, Health &amp; nutrition, Consumer &amp; market research, Other</t>
  </si>
  <si>
    <t xml:space="preserve">Feedstocks, Target molecule selection, Strain development, Bioprocess design, Ingredient optimisation, End product formulation, Food safety &amp; quality, Health &amp; nutrition, Consumer &amp; market research</t>
  </si>
  <si>
    <t xml:space="preserve">This broad Hub grant explicitly funds research across biomass, traditional, and precision fermentation applications plus capability projects spanning strain engineering, scale-up, AI, food technology, and nutrition, with additional translation paths covering regulation, commercialisation, and education, justifying TRUE across most categories; texturization methods and impact assessments are not explicitly named as funded research activities, and impact/sustainability benefits are framed as motivation rather than structured LCA/TEA studies.</t>
  </si>
  <si>
    <t xml:space="preserve">Producing novel non-plant biomass feedstocks and bio-based products through upcycling and the cascading use of brewery side-streams</t>
  </si>
  <si>
    <t xml:space="preserve">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</si>
  <si>
    <t xml:space="preserve">Feedstocks, Bioprocess design, Impact assessments</t>
  </si>
  <si>
    <t xml:space="preserve">The grant funds research on upcycling brewery side-streams (bagasse, wastewater, CO2, CH4) as novel feedstocks for bio-based production (Feedstocks TRUE), develops new bioprocesses and innovative bioreactors validated at demo-scale (Bioprocess design TRUE), and explicitly conducts LCA and broader impact assessments including biodiversity and land use (Impact assessments TRUE); other categories are not substantively funded research activities.</t>
  </si>
  <si>
    <t xml:space="preserve">PES - Woman TechEU resubmission - SifoTEK</t>
  </si>
  <si>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</si>
  <si>
    <t xml:space="preserve">Consumer &amp; market research</t>
  </si>
  <si>
    <t xml:space="preserve">Other</t>
  </si>
  <si>
    <t xml:space="preserve">This grant funds business development, commercialisation, partnership sourcing, financial planning, IP strategy, and investor readiness activities for a women-led deep tech startup in precision fermentation — none of the funded activities constitute substantive scientific research in any of the defined technical categories.</t>
  </si>
  <si>
    <t xml:space="preserve">Valorization of Agro-Industrial Waste through Fungi Fermentation supported by Digital Modeling (Zest)</t>
  </si>
  <si>
    <t xml:space="preserve">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</si>
  <si>
    <t xml:space="preserve">The grant explicitly funds: use of agricultural waste streams as fermentation feedstocks; design of a multipurpose bioreactor with AI-based monitoring and control for fungi-based protein production; and structured assessment of value chains including economic viability, market potential, and environmental impact (TEA/LCA-type activities).</t>
  </si>
  <si>
    <t xml:space="preserve">International conference on precision fermentation of milk proteins</t>
  </si>
  <si>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</si>
  <si>
    <t xml:space="preserve">This grant funds an international conference to discuss and disseminate knowledge about precision fermentation of milk proteins, with no substantive funded research activities in any specific technical category — it is a broad convening and knowledge-exchange event that fits the 'Other' category.</t>
  </si>
  <si>
    <t xml:space="preserve">Securing Holistic and Impactful Food Systems Transformation with Novel Foods based on alternative proteins</t>
  </si>
  <si>
    <t xml:space="preserve">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</si>
  <si>
    <t xml:space="preserve">Impact assessments</t>
  </si>
  <si>
    <t xml:space="preserve">Consumer &amp; market research, Impact assessments, Other</t>
  </si>
  <si>
    <t xml:space="preserve">Consumer &amp; market research, Impact assessments</t>
  </si>
  <si>
    <t xml:space="preserve">This grant funds system-level sustainability impact assessments (LCA, economic, social) of novel alternative protein foods, consumer/market research including food environments and marketing recommendations, and broader policy/regulatory/decision-support activities — with no substantive research into production, processing, or ingredient development.</t>
  </si>
  <si>
    <t xml:space="preserve">Systems Biology of Hydrogen Oxidising Bacteria for the Production of High Quality Feed Protein and Other Feed Ingredients</t>
  </si>
  <si>
    <t xml:space="preserve">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</si>
  <si>
    <t xml:space="preserve">Feedstocks, Ingredient optimisation</t>
  </si>
  <si>
    <t xml:space="preserve">The grant funds research into how different growth conditions (including CO2 feedstocks from industrial sources) affect biomass composition and nutritional quality of hydrogen-oxidising bacteria SCP, covering feedstock optimisation and ingredient property improvement through systematic cultivation condition variation and omics analysis.</t>
  </si>
  <si>
    <t xml:space="preserve">Milk-free production of recombinant
  Osteopontin to enable supplementation in baby, elderly, and sports nutrition</t>
  </si>
  <si>
    <t xml:space="preserve">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</si>
  <si>
    <t xml:space="preserve">Target molecule selection, Strain development, Bioprocess design</t>
  </si>
  <si>
    <t xml:space="preserve">The grant funds precision fermentation-based recombinant expression of osteopontin with post-translational modifications (Target molecule selection), genetic engineering of yeast to enable PTM pathways (Strain development), and optimisation of fermentation conditions and yield at small scale (Bioprocess design); health benefits and sustainability are cited as motivation rather than funded research activities.</t>
  </si>
  <si>
    <t xml:space="preserve">Pioneering vegan whole cuts through
  mycelium solid state fermentation</t>
  </si>
  <si>
    <t xml:space="preserve">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</si>
  <si>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 xml:space="preserve">Texturization methods</t>
  </si>
  <si>
    <t xml:space="preserve">Feedstocks, Bioprocess design, End product formulation, Texturization methods</t>
  </si>
  <si>
    <t xml:space="preserve">The grant funds solid-state fermentation bioprocess development using tray bioreactors (Bioprocess design), exploitation of mycelial fibres and gelation properties to achieve whole-cut textures (Texturization methods), development of finished fish/seafood alternative products (End product formulation), and use of local side streams as substrates (Feedstocks); market opportunity figures and LOIs are background context rather than funded consumer research activities.</t>
  </si>
  <si>
    <t xml:space="preserve">Harnessing the immense potential of
  precision fermentation to produce animal fats for the next generation ofmeat
  and dairy alternatives</t>
  </si>
  <si>
    <t xml:space="preserve">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</si>
  <si>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 xml:space="preserve">Target molecule selection, Strain development, Bioprocess design, Ingredient optimisation, End product formulation</t>
  </si>
  <si>
    <t xml:space="preserve">The grant funds precision fermentation using engineered yeasts to produce animal-like fats (Target molecule selection, Strain development), scale-up of the production process from pilot to demo scale (Bioprocess design), optimisation of fat properties such as functionality and flavour (Ingredient optimisation), and application testing in meat and dairy analogues (End product formulation).</t>
  </si>
  <si>
    <t xml:space="preserve">I would argue that this grant is only bioprocess design – it’s only for scale up (last sentence). But then colleague doesn’t agree with that lense if choosing TMS and so if taking abstract in full then I agree with LLM.</t>
  </si>
  <si>
    <t xml:space="preserve">BLUE WAY TO A SUSTAINABLE EUROPE</t>
  </si>
  <si>
    <t xml:space="preserve">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</si>
  <si>
    <t xml:space="preserve">Feedstocks, Bioprocess design, Ingredient optimisation, End product formulation, Food safety &amp; quality, Health &amp; nutrition, Consumer &amp; market research</t>
  </si>
  <si>
    <t xml:space="preserve">The grant funds microalgae cultivation and biorefinery (Feedstocks, Bioprocess design), extraction and improvement of proteins and bioactive compounds (Ingredient optimisation), development of finished products including novel foods and supplements (End product formulation), safety and sensory assessments (Food safety &amp; quality), clinical trials measuring health outcomes (Health &amp; nutrition), and consumer acceptance research (Consumer &amp; market research).</t>
  </si>
  <si>
    <t xml:space="preserve">Sustainable production of microbial proteins and their application in value-added cereal goods manufacturing</t>
  </si>
  <si>
    <t xml:space="preserve">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</si>
  <si>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 xml:space="preserve">Feedstocks, Ingredient optimisation, End product formulation</t>
  </si>
  <si>
    <t xml:space="preserve">The grant explicitly funds research on using industrial waste byproducts (corn mash, glycerol) as fermentation feedstocks, optimising microbial biomass (filamentous fungi and yeast) as an ingredient, and incorporating the produced biomass into bakery product formulation.</t>
  </si>
  <si>
    <t xml:space="preserve">AdvanceYeastPro-Advanced and sustainable yeast-based novel food, grown in vegetable derived scaffolds for a high-structured and protein rich product</t>
  </si>
  <si>
    <t xml:space="preserve">**-AdvanceYeastProt**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</si>
  <si>
    <t xml:space="preserve">Feedstocks, Bioprocess design, Ingredient optimisation, End product formulation, Texturization methods</t>
  </si>
  <si>
    <t xml:space="preserve">The grant funds development of a yeast-based whole-cut product using vegetable side-streams as feedstocks, engineering the production process for sustainability and scalability, optimising the yeast ingredient for nutritional and sensory properties, and formulating/texturizing a finished structured protein product.</t>
  </si>
  <si>
    <t xml:space="preserve">Development of safety assessment methodology for innovative food obtained from microbial synthesis</t>
  </si>
  <si>
    <t xml:space="preserve">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</si>
  <si>
    <t xml:space="preserve">Food safety &amp; quality, Health &amp; nutrition, Other</t>
  </si>
  <si>
    <t xml:space="preserve">Food safety &amp; quality, Health &amp; nutrition</t>
  </si>
  <si>
    <t xml:space="preserve">The grant funds comprehensive safety assessment methodology (food safety &amp; quality) including toxicological, allergenic, and reproductive studies, as well as in vivo nutritional/digestibility studies measuring physiological outcomes (health &amp; nutrition), for a microbial protein concentrate from Methylococcus capsulatus; it also involves regulatory/policy framework development for novel food registration (other), while all other categories are only mentioned as background context.</t>
  </si>
  <si>
    <t xml:space="preserve">Nanocapsules and recombinant proteins for nutritious vegan cheese making</t>
  </si>
  <si>
    <t xml:space="preserve">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</si>
  <si>
    <t xml:space="preserve">Target molecule selection, Ingredient optimisation, End product formulation</t>
  </si>
  <si>
    <t xml:space="preserve">The grant funds recombinant production of milk proteins via precision fermentation (Target molecule selection), optimisation of plant-based milk formulations using nanocapsules and colloidal science (Ingredient optimisation), and development of vegan cheese products with target sensory and nutritional properties (End product formulation).</t>
  </si>
  <si>
    <t xml:space="preserve">PES - Woman TechEU - SifoTEK</t>
  </si>
  <si>
    <t xml:space="preserve">This grant funds business development, commercialisation, partnership sourcing, IP strategy, and investor readiness activities for a women-led deep tech startup in precision fermentation — not substantive scientific research in any of the defined technical categories.</t>
  </si>
  <si>
    <t xml:space="preserve">mael: MicroAlgae Extracts for Low impact next generation food</t>
  </si>
  <si>
    <t xml:space="preserve">Our KAVA aims to unlock the potential of microalgae and communicate it to the rest of Europe + act as a reference point for related scale-up projects. By “unlocking the potential of microalgae” we will take the needed actions to produce our microalgae efficiently and break their cell. Then, we will extract the different high-value protein isolates, oil extracts enriched pigments, following the 2030 100% full-product biorefining policy This KAVA will mainly serve the 2nd EIT Food KIC’s Strategic Objective about “enabling healthier and more sustainable individual consumer choice”. Our Acvity will position the microalgae protein isolates as a highly promising alternative, with unique selling proposions. Specifically, our proposed KAVA’s microalgae protein isolates: 1) have the highest protein content, ideal for customized ingredients for specific applications 2) have a complete meanwhile necessary amino-acids profile which is rare for humans on Earth 3) have the lowest ever allergenicity level, compared to peas and soy 4) offer great side-effects and improved functions to a vast majority of the customers’ segments. Along with our microalgae protein isolates, our full-product biorefining goals include the oil extracts and the pigments that are rich in EPA – DHA, offering a fish-oil replacement to certain seafood manufacturers. Along with the already tested quality the added benefit over existing solutions available is the production cost. Likewise, our proposed KAVA follows the mixotrophic cultivation process where we fixate CO2, recirculate 90% of our needed water for 10 growth cycles and along with our higher than usual yields (4gr/lt/day) we produce higher volumes of biomass, without overconsuming neither the scarce natural resources nor the energy, like in most conventional food production methods, world widely Solmeyea will apply its “hybrid vercal microalgae farming” harvesng method in its IoT fully automated Greenhouse.Solmeyea also will run the downstream tasks, guaranteeing the quality of the extracted biomolecules. The exploitation partners will receive samples of our whole biomass and of both the hydrophobic hydrophilic extracts for further addition to their food formulations, beer evaluating their functionalies Following this, Solmeyea will receive feedback about all samples and may amend its harvesting processes according to the exploitation partners’ feedback and expected specifications. This KAVA will also establish a socioeconomic and sustainability impact assessment, which will be of use for emerging microalgae food ingredients’ networks. The specific sustainability assessment framework will include parameters such as vertical farming costing in Greece, lifecycle approach to sustainability impacts in the RIS countries and energy accoutinng in product lifecycle. This will ensure that microalgae proteins oils are managed in a sustainable manner and highlight its suitability as a promising plant- based alternate.</t>
  </si>
  <si>
    <t xml:space="preserve">Bioprocess design, Ingredient optimisation, Impact assessments</t>
  </si>
  <si>
    <t xml:space="preserve">The grant funds bioprocess design activities (mixotrophic cultivation, IoT-automated greenhouse, harvesting/downstream processing optimisation), ingredient optimisation (extraction of protein isolates, oil extracts, and pigments with evaluation of functional properties and allergenicity), and a structured sustainability/LCA impact assessment framework; product formulation is handled by exploitation partners rather than being a funded research activity within this grant.</t>
  </si>
  <si>
    <t xml:space="preserve">The future of cheese production in the face of climate and societal change, developing recombinant technology and plant-based analogues.</t>
  </si>
  <si>
    <t xml:space="preserve">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</si>
  <si>
    <t xml:space="preserve">This grant funds a workshop and subsequent review paper covering sustainability, recombinant technology, and plant-based analogues in the dairy/cheese sector — no primary research activities are funded, making it a broad review/knowledge synthesis exercise that fits only the 'Other' category.</t>
  </si>
  <si>
    <t xml:space="preserve">New business for farmers and cooperatives in rural areas by local upcycling solutions using underutilized agricultural feedstocks</t>
  </si>
  <si>
    <t xml:space="preserve">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</si>
  <si>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 xml:space="preserve">Strain development, Ingredient optimisation</t>
  </si>
  <si>
    <t xml:space="preserve">Feedstocks, Bioprocess design, Ingredient optimisation, Impact assessments, Other</t>
  </si>
  <si>
    <t xml:space="preserve">Feedstocks, Bioprocess design, Ingredient optimisation, Impact assessments</t>
  </si>
  <si>
    <t xml:space="preserve">The grant funds research on underutilized agricultural feedstocks (grass, greenhouse/cotton by-products, olive pruning) as fermentation substrates (Feedstocks TRUE), develops submerged and solid-state fermentation processes for protein-rich ingredients (Bioprocess design TRUE, Ingredient optimisation TRUE), broadly assesses sustainability of new value chains (Impact assessments TRUE), and includes business model development and guidance to farmers/SMEs/policymakers (Other TRUE).</t>
  </si>
  <si>
    <t xml:space="preserve">Novel strain development for the mycoprotein fungus Fusarium venenatum</t>
  </si>
  <si>
    <t xml:space="preserve">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</si>
  <si>
    <t xml:space="preserve">The grant is entirely focused on developing novel Fusarium venenatum strains through sexual breeding, classical genetics (diploidy, parasexual crossing), and genome editing (CRISPR) to improve growth stability, vitamin content, mycotoxin reduction, and flavour — all core strain development activities.</t>
  </si>
  <si>
    <t xml:space="preserve">MULTIPLY: Multiplying feasible microalgae-derived products at scale</t>
  </si>
  <si>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</si>
  <si>
    <t xml:space="preserve">Bioprocess design, Ingredient optimisation, End product formulation, Consumer &amp; market research, Impact assessments</t>
  </si>
  <si>
    <t xml:space="preserve">The grant funds bioprocess/biorefinery process development for microalgae cultivation at scale (Bioprocess design), improvement of algae ingredients for food and other industries (Ingredient optimisation), formulation of mid-priced products (End product formulation), social acceptance/awareness research (Consumer &amp; market research), and economic and environmental feasibility demonstration including CO2 reduction (Impact assessments).</t>
  </si>
  <si>
    <t xml:space="preserve">Innovative Non-invasive and Affordable Technology to Automate Monitoring of Cultures to Enhance Productivity and Accelerate Fermentation and Scale-up in Bioprocessing</t>
  </si>
  <si>
    <t xml:space="preserve">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</si>
  <si>
    <t xml:space="preserve">The grant funds development of non-invasive, automated monitoring and feeding devices for fermentation vessels, which is a bioprocess design/engineering innovation focused on real-time process control, contamination reduction, and scale-up efficiency.</t>
  </si>
  <si>
    <t xml:space="preserve">Deciphering pathways of fatty acid efflux and their use to optimize microbial cell factories</t>
  </si>
  <si>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</si>
  <si>
    <t xml:space="preserve">The grant funds genetic screening and engineering of yeast strains (S. cerevisiae, S. bombicola, Y. lipolytica) to identify and manipulate fatty acid efflux components, with the applied aim of improving fatty acid secretion yields and modifying substrate specificity — all of which constitute strain development activities.</t>
  </si>
  <si>
    <t xml:space="preserve">EUROPEAN MICROALGAE ALLIANCE (ALLIANCE):
  INNOVATIVE, SAFE, AND SUSTAINABLE MULTIPRODUCT BIOREFINERIES FOR A BLUE
  BIOBASED ECONOMY</t>
  </si>
  <si>
    <t xml:space="preserve">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</si>
  <si>
    <t xml:space="preserve">Feedstocks, Bioprocess design, Ingredient optimisation, Consumer &amp; market research, Impact assessments, Other</t>
  </si>
  <si>
    <t xml:space="preserve">Feedstocks, Bioprocess design, Ingredient optimisation, Consumer &amp; market research, Impact assessments</t>
  </si>
  <si>
    <t xml:space="preserve">The grant funds biorefinery process engineering (bioprocess design), nutrient/water recirculation and feedstock efficiency (feedstocks), solvent-free extraction and fractionation to improve ingredient properties (ingredient optimisation), stakeholder and market penetration work including consumer acceptance (consumer &amp; market research), builds on prior sustainability/cost analyses and continues such assessments (impact assessments), and includes regulatory/policy engagement (other); no explicit strain development, target molecule expression, finished product formulation, texturization, food safety, or health/nutrition trials are funded.</t>
  </si>
  <si>
    <t xml:space="preserve">It is mostly bioprocess design but technically the LLM is right and it does touch on all of the other labels it gives.</t>
  </si>
  <si>
    <t xml:space="preserve">Single-step disentanglement and fractionation of microalgal high-value products through acoustophoresis</t>
  </si>
  <si>
    <t xml:space="preserve">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</si>
  <si>
    <t xml:space="preserve">The grant focuses on developing a novel acoustophoresis-based single-step extraction and fractionation technology for microalgal biomass components (proteins, fatty acids, carotenoids, etc.), which constitutes bioprocess/downstream processing innovation (Bioprocess design) and improvement of ingredient recovery and properties (Ingredient optimisation), with no substantive research activities in other categories.</t>
  </si>
  <si>
    <t xml:space="preserve">Joint data- and model-driven attention-based integration of imaging, proteomics, and metabolic modelling</t>
  </si>
  <si>
    <t xml:space="preserve">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</si>
  <si>
    <t xml:space="preserve">Strain development, Bioprocess design, Ingredient optimisation</t>
  </si>
  <si>
    <t xml:space="preserve">The grant funds: strain development (characterising and detecting C-variant mutant strains with altered hyphal morphology in F. venenatum); bioprocess design (optimising fermentation process monitoring and control via deep learning and metabolic modelling to extend fermentation cycles and improve efficiency); and ingredient optimisation (optimising fermentation medium composition and predicting/improving mycoprotein texture properties through metabolic and imaging-based approaches).</t>
  </si>
  <si>
    <t xml:space="preserve">Network - Feed stock industry for cell cultured food production</t>
  </si>
  <si>
    <t xml:space="preserve">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</si>
  <si>
    <t xml:space="preserve">Feedstocks, Other</t>
  </si>
  <si>
    <t xml:space="preserve">The grant focuses on building a network to explore feedstocks (upcycling carbon from waste streams and crops as alternatives to refined sugar in cell-based food production media), and the network/industry-building framing also warrants an Other classification; environmental and market figures are cited as motivation rather than as funded research activities.</t>
  </si>
  <si>
    <t xml:space="preserve">Human Milk Lactoferrin by Precision
  Fermentation</t>
  </si>
  <si>
    <t xml:space="preserve">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</si>
  <si>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 xml:space="preserve">Target molecule selection, Bioprocess design, End product formulation</t>
  </si>
  <si>
    <t xml:space="preserve">The grant funds precision fermentation to produce recombinant human milk lactoferrin (target molecule selection), scale-up to pre-industrial production (bioprocess design), and formulation of infant formula and immunity shots incorporating hLF with HMOs and probiotics (end product formulation); other categories such as health/nutrition and food safety are mentioned as motivation or downstream applications rather than funded research activities.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</si>
  <si>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</si>
  <si>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The grant focuses on understanding water physicochemical state and distribution in mycoprotein mixtures (Ingredient Optimisation) and using this knowledge to rationally design meat analogues with improved sensory properties matching real meat (End Product Formulation), with no substantive activities in other categories.</t>
  </si>
  <si>
    <t xml:space="preserve">SAFE MEAT ANALOGUES MADE WITH ALTERNATIVE PROTEINS</t>
  </si>
  <si>
    <t xml:space="preserve">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</si>
  <si>
    <t xml:space="preserve">The grant is primarily focused on food safety: identifying microbial contamination sources, characterising pathogens in meat analogues made from plant-based proteins and mycoprotein, developing risk management strategies (hurdle technology, biopreservation, HPP, packaging), and conducting quantitative microbial risk assessment — all of which are substantive food safety research activities.</t>
  </si>
  <si>
    <t xml:space="preserve">Fish substitute from algae to preserve marine wildlife and develop algaculture</t>
  </si>
  <si>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</si>
  <si>
    <t xml:space="preserve">Bioprocess design, End product formulation, Food safety &amp; quality</t>
  </si>
  <si>
    <t xml:space="preserve">The grant funds scale-up to industrial operation (Bioprocess design), regulatory compliance preparation (Food safety &amp; quality), and market-ready product development for four seafood substitutes (End product formulation), with no substantive research activities in the remaining categories.</t>
  </si>
  <si>
    <t xml:space="preserve">Should not include food safety (no regulations)</t>
  </si>
  <si>
    <t xml:space="preserve">Alternative sources for high added value food and/or feed ingredients</t>
  </si>
  <si>
    <t xml:space="preserve">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</si>
  <si>
    <t xml:space="preserve">Feedstocks, Bioprocess design, Ingredient optimisation, End product formulation</t>
  </si>
  <si>
    <t xml:space="preserve">The grant funds commercial-scale production using lignocellulosic/agricultural residue feedstocks (Feedstocks), scale-up to a 10kt/year industrial plant (Bioprocess design), development of SylPro as a high-quality protein ingredient (Ingredient optimisation), and creation of market applications in food, petfood, and aquafeed sectors (End product formulation).</t>
  </si>
  <si>
    <t xml:space="preserve">Exploring Mycoprotein Potential: Assessing Biomass Yield and Quality Using Spent Biomass.</t>
  </si>
  <si>
    <t xml:space="preserve">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</si>
  <si>
    <t xml:space="preserve">Feedstocks, Strain development, Bioprocess design, Ingredient optimisation, Food safety &amp; quality</t>
  </si>
  <si>
    <t xml:space="preserve">The grant funds screening of fungal species/strains for biomass yield (Strain development), evaluation of spent brewer's grain and spent algal biomass as substrates (Feedstocks), optimisation of cultivation parameters including reactor type (Bioprocess design), assessment of nutritional composition and amino acid profile (Ingredient optimisation), and mycotoxin safety analysis via ICP-OES and HPLC (Food safety &amp; quality).</t>
  </si>
  <si>
    <t xml:space="preserve">Synthetically engineered microalgae for improved gut function and human health</t>
  </si>
  <si>
    <t xml:space="preserve">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</si>
  <si>
    <t xml:space="preserve">Feedstocks, Target molecule selection, Strain development, Bioprocess design, Health &amp; nutrition, Impact assessments</t>
  </si>
  <si>
    <t xml:space="preserve">The grant funds strain engineering of microalgae for biofilm growth and overexpression of specific molecules (B12, lutein, EPS), use of potato waste streams as feedstocks, thin film photobioreactor design and control systems, in vitro gut function models assessing health outcomes, and LCA/TEA modelling.</t>
  </si>
  <si>
    <t xml:space="preserve">Use of biobased feedstocks for new food products</t>
  </si>
  <si>
    <t xml:space="preserve">SPG Innovation investigates the commercialisation of know-how and IP generated through Innovate UK support in novel expanded food products.</t>
  </si>
  <si>
    <t xml:space="preserve">Feedstocks, End product formulation</t>
  </si>
  <si>
    <t xml:space="preserve">The grant focuses on commercialising biobased feedstocks for novel expanded food products, indicating active research into feedstock use and end product formulation, while other categories are not substantively mentioned as funded activities.</t>
  </si>
  <si>
    <t xml:space="preserve">mHycoprotein Project</t>
  </si>
  <si>
    <t xml:space="preserve">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</si>
  <si>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 xml:space="preserve">Impact assessments, Bioprocess design</t>
  </si>
  <si>
    <t xml:space="preserve">This grant funds a feasibility study on deploying green hydrogen dual-fuel boilers at Quorn's manufacturing facility to decarbonise heating operations — a facility/energy infrastructure project that does not involve any alternative protein research activities across any of the defined categories.</t>
  </si>
  <si>
    <t xml:space="preserve">Characterization of determinants of lactic acid bacteria and propionic acid bacteria towards co-fermentation of edible plant waste for efficient production of propionic acid and fortification of bioavailable vitamin B12</t>
  </si>
  <si>
    <t xml:space="preserve">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</si>
  <si>
    <t xml:space="preserve">Feedstocks, Strain development, Bioprocess design, Food safety &amp; quality</t>
  </si>
  <si>
    <t xml:space="preserve">The grant funds research on plant waste streams as fermentation substrates (Feedstocks), selection and screening of LAB and PAB strains for efficient metabolite production (Strain development), optimisation of co-fermentation conditions and process parameters (Bioprocess design), and microbiological safety assessment of the waste matrix and fortified product (Food safety &amp; quality); health and nutrition, consumer research, and impact assessments are mentioned only as background motivation.</t>
  </si>
  <si>
    <t xml:space="preserve">"Animal Free Protein - fermentation produced milk protein"</t>
  </si>
  <si>
    <t xml:space="preserve">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</si>
  <si>
    <t xml:space="preserve">This grant funds a network-building and roadmap initiative to connect Danish stakeholders across biotechnology and food sectors, with no substantive funded research activities in any specific technical category — it is a pre-competitive forum producing strategic guidance rather than conducting research.</t>
  </si>
  <si>
    <t xml:space="preserve">Microbial proteins as food product?</t>
  </si>
  <si>
    <t xml:space="preserve">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</si>
  <si>
    <t xml:space="preserve">This grant funds a literature review summarising the current state of research on microbial/single cell proteins and precision fermentation for food, with no primary empirical research activities in any specific category.</t>
  </si>
  <si>
    <t xml:space="preserve">Enhanced Production of Heterologous Proteins Following Translational Fine-Tuning by Optimized Post-Transcriptional RNA Modification (ProteRNA)</t>
  </si>
  <si>
    <t xml:space="preserve">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</si>
  <si>
    <t xml:space="preserve">The grant focuses on engineering microbial translation machinery via RNA modifications (post-transcriptional modifications of mRNA and tRNA) to boost heterologous protein production yields, which constitutes strain/cell engineering to alter functional properties of the production organism, fitting Strain Development.</t>
  </si>
  <si>
    <t xml:space="preserve">E4Y: Engineering and Evolving Energetic Efficiency in Yeasts</t>
  </si>
  <si>
    <t xml:space="preserve">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</si>
  <si>
    <t xml:space="preserve">The grant focuses on engineering and evolving yeast strains to improve sugar consumption efficiency and protein production, which is core strain development activity; no other categories represent substantive funded research activities.</t>
  </si>
  <si>
    <t xml:space="preserve">Fundamental research of dietary patterns as a base for perspective technologies of foods with specified composition and attributes for the implementation of the healthy nutrition strategy and the prevention of socially significant diseases.</t>
  </si>
  <si>
    <t xml:space="preserve">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</si>
  <si>
    <t xml:space="preserve">Ingredient optimisation, End product formulation, Health &amp; nutrition, Other</t>
  </si>
  <si>
    <t xml:space="preserve">Ingredient optimisation, End product formulation, Health &amp; nutrition</t>
  </si>
  <si>
    <t xml:space="preserve">The grant funds ingredient optimisation work (Maillard reaction products from yeast extract, brazzein stability and sweetness characterisation), end product formulation of functional/specialised foods, health and nutrition research (bioavailability under in vitro models, neurophysiological/electromyographic responses, steatosis diagnostics), and broader dietary pattern assessment methodology that falls under Other.</t>
  </si>
  <si>
    <t xml:space="preserve">Multifunctional high-value fungal biomass from the Norwegian agriculture supply chain by-products</t>
  </si>
  <si>
    <t xml:space="preserve">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</si>
  <si>
    <t xml:space="preserve">The grant funds research on valorising Norwegian agricultural by-products (animal fat/protein, brewery residues, lignocellulose) as fermentation feedstocks for oleaginous fungi (Feedstocks), developing bioprocesses to produce multifunctional fungal biomass (Bioprocess design), fractionating and optimising biomass components such as lipids, pigments, chitin/chitosan, and beta-glucans as high-value ingredients (Ingredient optimisation), and includes techno-economic evaluation of the novel process and bio-products (Impact assessments).</t>
  </si>
  <si>
    <t xml:space="preserve">Characterization of bioactive compounds in waste raw materials from the brewing industry and examination of their nutritional value and biotechnological potential</t>
  </si>
  <si>
    <t xml:space="preserve">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</si>
  <si>
    <t xml:space="preserve">Feedstocks, Food safety &amp; quality, Health &amp; nutrition</t>
  </si>
  <si>
    <t xml:space="preserve">The grant funds: characterisation of brewing waste (spent grain, yeast slurry) as fermentation substrates/feedstocks for vitamin B12 production by Propionibacterium; in vitro gut microbiota studies examining prebiotic and biofilm effects of brewery grains (health/nutrition endpoint); and safety confirmation of spent grain for food use (food safety). No strain engineering, product formulation, texturization, LCA, or consumer research is conducted.</t>
  </si>
  <si>
    <t xml:space="preserve">Revolutionary OnLine Fermentation monitoring</t>
  </si>
  <si>
    <t xml:space="preserve">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</si>
  <si>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 xml:space="preserve">The grant funds development of an in-line holographic microscopy and AI-based bioprocess monitoring and control platform (Bioprocess Design), with a specific focus on detecting spoiler microorganisms in real-time to prevent contamination and waste (Food Safety &amp; Quality).</t>
  </si>
  <si>
    <t xml:space="preserve">Shouldn’t include food safety</t>
  </si>
  <si>
    <t xml:space="preserve">AlgFlavor: Enhancing algal biomass consumer acceptance for food markets</t>
  </si>
  <si>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</si>
  <si>
    <t xml:space="preserve">Ingredient optimisation, End product formulation, Health &amp; nutrition, Consumer &amp; market research, Impact assessments</t>
  </si>
  <si>
    <t xml:space="preserve">The grant funds optimisation of cultivation and processing conditions to improve algal flavour (Ingredient Optimisation), formulation of algal-containing food products including seafood alternatives with sensory evaluation (End Product Formulation), a risk-benefit/nutritional impact study on consuming algal foods across population groups (Health &amp; Nutrition), consumer acceptance and engagement research (Consumer &amp; Market Research), and integrated environmental, social, and economic impact assessments of algal production (Impact Assessments).</t>
  </si>
  <si>
    <t xml:space="preserve">Novo Nordisk Foundation Biotechnology Research Institute for the Green Transition (BRIGHT)</t>
  </si>
  <si>
    <t xml:space="preserve">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</si>
  <si>
    <t xml:space="preserve">Strain development, Bioprocess design, Other</t>
  </si>
  <si>
    <t xml:space="preserve">Strain development, Bioprocess design</t>
  </si>
  <si>
    <t xml:space="preserve">The grant broadly funds microbial cell factory development and fermentation scale-up infrastructure (Strain development, Bioprocess design) under a large multi-area biotechnology institute; the 'microbial foods' pillar and general scope also warrant an Other classification given the broad, non-specific research mandate covering sustainable materials and agriculture beyond food protein categories.</t>
  </si>
  <si>
    <t xml:space="preserve">Training network on the conversion of CO2 by smart autotrophic biorefineries</t>
  </si>
  <si>
    <t xml:space="preserve">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</si>
  <si>
    <t xml:space="preserve">Feedstocks, Strain development, Bioprocess design, Other</t>
  </si>
  <si>
    <t xml:space="preserve">This grant funds research on CO2 fixation using autotrophic fermentation, covering novel feedstocks (CO2/H2/O2 gas streams), strain engineering via synthetic biology and adaptive laboratory evolution, and bioprocess design including new reactor concepts and process intensification; the 'Other' category applies due to the substantial training/education network component and roadmap development for industrial implementation.</t>
  </si>
  <si>
    <t xml:space="preserve">Centre for Industrial Biotechnology</t>
  </si>
  <si>
    <t xml:space="preserve">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</si>
  <si>
    <t xml:space="preserve">Feedstocks, Target molecule selection, Strain development, Bioprocess design, Other</t>
  </si>
  <si>
    <t xml:space="preserve">Feedstocks, Target molecule selection, Strain development, Bioprocess design</t>
  </si>
  <si>
    <t xml:space="preserve">This broad industrial biotechnology centre funds research across feedstocks (land-based, marine biomass, gaseous/C1 substrates), microbial cell factories and strain engineering (strain development), industrial enzymes and target molecule expression (target molecule selection), and fermentation process engineering (bioprocess design), with food and feed ingredients as one of several product areas alongside pharmaceuticals and biopolymers; the grant is primarily a broad research centre rather than focused on ingredient optimisation, product formulation, safety, health, consumer, or impact assessment activities.</t>
  </si>
  <si>
    <t xml:space="preserve">Optimising feedstock utilisation for a fermentation-derived palm oil alternative</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</si>
  <si>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</si>
  <si>
    <t xml:space="preserve">Feedstocks, Strain development</t>
  </si>
  <si>
    <t xml:space="preserve">The grant funds two core activities: optimising the yeast strain's ability to utilise low-grade, sustainable feedstocks (Feedstocks: TRUE) and engineering/optimising the oleaginous yeast strain itself for improved feedstock metabolism and oil production (Strain development: TRUE); environmental impact savings are cited as motivation rather than as a funded LCA or structured impact assessment.</t>
  </si>
  <si>
    <t xml:space="preserve">n_true</t>
  </si>
  <si>
    <t xml:space="preserve">tp</t>
  </si>
  <si>
    <t xml:space="preserve">fp</t>
  </si>
  <si>
    <t xml:space="preserve">fn</t>
  </si>
  <si>
    <t xml:space="preserve">recall</t>
  </si>
  <si>
    <t xml:space="preserve">precision</t>
  </si>
  <si>
    <t xml:space="preserve">90%</t>
  </si>
  <si>
    <t xml:space="preserve">26%</t>
  </si>
  <si>
    <t xml:space="preserve">20%</t>
  </si>
  <si>
    <t xml:space="preserve">14%</t>
  </si>
  <si>
    <t xml:space="preserve">100%</t>
  </si>
  <si>
    <t xml:space="preserve">35%</t>
  </si>
  <si>
    <t xml:space="preserve">89%</t>
  </si>
  <si>
    <t xml:space="preserve">32%</t>
  </si>
  <si>
    <t xml:space="preserve">27%</t>
  </si>
  <si>
    <t xml:space="preserve">50%</t>
  </si>
  <si>
    <t xml:space="preserve">10%</t>
  </si>
  <si>
    <t xml:space="preserve">67%</t>
  </si>
  <si>
    <t xml:space="preserve">18%</t>
  </si>
  <si>
    <t xml:space="preserve">75%</t>
  </si>
  <si>
    <t xml:space="preserve">25%</t>
  </si>
  <si>
    <t xml:space="preserve">-</t>
  </si>
  <si>
    <t xml:space="preserve">0%</t>
  </si>
  <si>
    <t xml:space="preserve">57%</t>
  </si>
  <si>
    <t xml:space="preserve">33%</t>
  </si>
  <si>
    <t xml:space="preserve">metric</t>
  </si>
  <si>
    <t xml:space="preserve">value</t>
  </si>
  <si>
    <t xml:space="preserve">n</t>
  </si>
  <si>
    <t xml:space="preserve">exact_match_accuracy</t>
  </si>
  <si>
    <t xml:space="preserve">15%</t>
  </si>
  <si>
    <t xml:space="preserve">mean_row_precision</t>
  </si>
  <si>
    <t xml:space="preserve">mean_row_recall</t>
  </si>
  <si>
    <t xml:space="preserve">71%</t>
  </si>
  <si>
    <t xml:space="preserve">mean_row_jaccard</t>
  </si>
  <si>
    <t xml:space="preserve">other_clash_rate</t>
  </si>
  <si>
    <t xml:space="preserve">23%</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</si>
</sst>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7">
    <fill>
      <patternFill patternType="none"/>
    </fill>
    <fill>
      <patternFill patternType="gray125"/>
    </fill>
    <fill>
      <patternFill patternType="solid">
        <fgColor rgb="FF81D41A"/>
        <bgColor rgb="FFBBE33D"/>
      </patternFill>
    </fill>
    <fill>
      <patternFill patternType="solid">
        <fgColor rgb="FFFFFFFF"/>
        <bgColor rgb="FFFFFFCC"/>
      </patternFill>
    </fill>
    <fill>
      <patternFill patternType="solid">
        <fgColor rgb="FFFF8000"/>
        <bgColor rgb="FFFF6600"/>
      </patternFill>
    </fill>
    <fill>
      <patternFill patternType="solid">
        <fgColor rgb="FFBBE33D"/>
        <bgColor rgb="FF81D41A"/>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8" activeCellId="0" sqref="I8"/>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5" hidden="false" customHeight="false" outlineLevel="0" collapsed="false">
      <c r="A2" s="0" t="n">
        <v>0</v>
      </c>
      <c r="B2" s="0" t="s">
        <v>12</v>
      </c>
      <c r="C2" s="0" t="s">
        <v>13</v>
      </c>
      <c r="D2" s="0" t="s">
        <v>14</v>
      </c>
      <c r="E2" s="0" t="s">
        <v>15</v>
      </c>
      <c r="F2" s="0" t="s">
        <v>16</v>
      </c>
      <c r="G2" s="1" t="b">
        <f aca="false">TRUE()</f>
        <v>1</v>
      </c>
      <c r="H2" s="0" t="s">
        <v>17</v>
      </c>
      <c r="I2" s="2" t="b">
        <f aca="false">FALSE()</f>
        <v>0</v>
      </c>
      <c r="J2" s="0" t="n">
        <v>0.5</v>
      </c>
      <c r="K2" s="0" t="n">
        <v>1</v>
      </c>
      <c r="L2" s="0" t="n">
        <v>0.5</v>
      </c>
      <c r="N2" s="0" t="s">
        <v>18</v>
      </c>
    </row>
    <row r="3" customFormat="false" ht="154.1" hidden="false" customHeight="false" outlineLevel="0" collapsed="false">
      <c r="A3" s="0" t="n">
        <v>1</v>
      </c>
      <c r="B3" s="0" t="s">
        <v>19</v>
      </c>
      <c r="C3" s="3" t="s">
        <v>20</v>
      </c>
      <c r="D3" s="0" t="s">
        <v>21</v>
      </c>
      <c r="E3" s="0" t="s">
        <v>22</v>
      </c>
      <c r="F3" s="0" t="s">
        <v>22</v>
      </c>
      <c r="G3" s="4" t="b">
        <f aca="false">FALSE()</f>
        <v>0</v>
      </c>
      <c r="H3" s="0" t="s">
        <v>23</v>
      </c>
      <c r="I3" s="2" t="b">
        <f aca="false">FALSE()</f>
        <v>0</v>
      </c>
      <c r="J3" s="0" t="n">
        <v>0.5</v>
      </c>
      <c r="K3" s="0" t="n">
        <v>1</v>
      </c>
      <c r="L3" s="0" t="n">
        <v>0.5</v>
      </c>
      <c r="N3" s="0" t="s">
        <v>18</v>
      </c>
    </row>
    <row r="4" customFormat="false" ht="99.6" hidden="false" customHeight="false" outlineLevel="0" collapsed="false">
      <c r="A4" s="0" t="n">
        <v>2</v>
      </c>
      <c r="B4" s="0" t="s">
        <v>24</v>
      </c>
      <c r="C4" s="3" t="s">
        <v>25</v>
      </c>
      <c r="D4" s="0" t="s">
        <v>26</v>
      </c>
      <c r="E4" s="0" t="s">
        <v>27</v>
      </c>
      <c r="F4" s="0" t="s">
        <v>27</v>
      </c>
      <c r="G4" s="1" t="b">
        <f aca="false">FALSE()</f>
        <v>0</v>
      </c>
      <c r="H4" s="0" t="s">
        <v>28</v>
      </c>
      <c r="I4" s="5" t="b">
        <f aca="false">FALSE()</f>
        <v>0</v>
      </c>
      <c r="J4" s="0" t="n">
        <v>0.5</v>
      </c>
      <c r="K4" s="0" t="n">
        <v>1</v>
      </c>
      <c r="L4" s="0" t="n">
        <v>0.5</v>
      </c>
      <c r="N4" s="0" t="s">
        <v>29</v>
      </c>
    </row>
    <row r="5" customFormat="false" ht="15" hidden="false" customHeight="false" outlineLevel="0" collapsed="false">
      <c r="A5" s="0" t="n">
        <v>3</v>
      </c>
      <c r="B5" s="0" t="s">
        <v>30</v>
      </c>
      <c r="C5" s="0" t="s">
        <v>31</v>
      </c>
      <c r="D5" s="0" t="s">
        <v>26</v>
      </c>
      <c r="E5" s="0" t="s">
        <v>32</v>
      </c>
      <c r="F5" s="0" t="s">
        <v>32</v>
      </c>
      <c r="G5" s="1" t="b">
        <f aca="false">FALSE()</f>
        <v>0</v>
      </c>
      <c r="H5" s="0" t="s">
        <v>33</v>
      </c>
      <c r="I5" s="2" t="b">
        <f aca="false">FALSE()</f>
        <v>0</v>
      </c>
      <c r="J5" s="0" t="n">
        <v>0.25</v>
      </c>
      <c r="K5" s="0" t="n">
        <v>1</v>
      </c>
      <c r="L5" s="0" t="n">
        <v>0.25</v>
      </c>
    </row>
    <row r="6" customFormat="false" ht="15" hidden="false" customHeight="false" outlineLevel="0" collapsed="false">
      <c r="A6" s="0" t="n">
        <v>4</v>
      </c>
      <c r="B6" s="0" t="s">
        <v>34</v>
      </c>
      <c r="C6" s="0" t="s">
        <v>35</v>
      </c>
      <c r="D6" s="0" t="s">
        <v>14</v>
      </c>
      <c r="E6" s="0" t="s">
        <v>14</v>
      </c>
      <c r="F6" s="0" t="s">
        <v>14</v>
      </c>
      <c r="G6" s="1" t="b">
        <f aca="false">FALSE()</f>
        <v>0</v>
      </c>
      <c r="H6" s="0" t="s">
        <v>36</v>
      </c>
      <c r="I6" s="1" t="b">
        <f aca="false">TRUE()</f>
        <v>1</v>
      </c>
      <c r="J6" s="0" t="n">
        <v>1</v>
      </c>
      <c r="K6" s="0" t="n">
        <v>1</v>
      </c>
      <c r="L6" s="0" t="n">
        <v>1</v>
      </c>
    </row>
    <row r="7" customFormat="false" ht="110.5" hidden="false" customHeight="false" outlineLevel="0" collapsed="false">
      <c r="A7" s="0" t="n">
        <v>5</v>
      </c>
      <c r="B7" s="3" t="s">
        <v>37</v>
      </c>
      <c r="C7" s="3" t="s">
        <v>38</v>
      </c>
      <c r="D7" s="0" t="s">
        <v>39</v>
      </c>
      <c r="E7" s="0" t="s">
        <v>40</v>
      </c>
      <c r="F7" s="0" t="s">
        <v>41</v>
      </c>
      <c r="G7" s="1" t="b">
        <f aca="false">TRUE()</f>
        <v>1</v>
      </c>
      <c r="H7" s="0" t="s">
        <v>42</v>
      </c>
      <c r="I7" s="2" t="b">
        <f aca="false">FALSE()</f>
        <v>0</v>
      </c>
      <c r="J7" s="0" t="n">
        <v>0.2</v>
      </c>
      <c r="K7" s="0" t="n">
        <v>0.5</v>
      </c>
      <c r="L7" s="0" t="n">
        <v>0.166666666666667</v>
      </c>
    </row>
    <row r="8" customFormat="false" ht="372.55" hidden="false" customHeight="false" outlineLevel="0" collapsed="false">
      <c r="A8" s="0" t="n">
        <v>6</v>
      </c>
      <c r="B8" s="0" t="s">
        <v>43</v>
      </c>
      <c r="C8" s="3" t="s">
        <v>44</v>
      </c>
      <c r="D8" s="0" t="s">
        <v>45</v>
      </c>
      <c r="E8" s="0" t="s">
        <v>46</v>
      </c>
      <c r="F8" s="0" t="s">
        <v>45</v>
      </c>
      <c r="G8" s="1" t="b">
        <f aca="false">TRUE()</f>
        <v>1</v>
      </c>
      <c r="H8" s="0" t="s">
        <v>47</v>
      </c>
      <c r="I8" s="1" t="b">
        <f aca="false">TRUE()</f>
        <v>1</v>
      </c>
      <c r="J8" s="0" t="n">
        <v>1</v>
      </c>
      <c r="K8" s="0" t="n">
        <v>1</v>
      </c>
      <c r="L8" s="0" t="n">
        <v>1</v>
      </c>
    </row>
    <row r="9" customFormat="false" ht="15" hidden="false" customHeight="false" outlineLevel="0" collapsed="false">
      <c r="A9" s="0" t="n">
        <v>7</v>
      </c>
      <c r="B9" s="0" t="s">
        <v>48</v>
      </c>
      <c r="C9" s="0" t="s">
        <v>49</v>
      </c>
      <c r="D9" s="0" t="s">
        <v>50</v>
      </c>
      <c r="E9" s="0" t="s">
        <v>51</v>
      </c>
      <c r="F9" s="0" t="s">
        <v>51</v>
      </c>
      <c r="G9" s="1" t="b">
        <f aca="false">FALSE()</f>
        <v>0</v>
      </c>
      <c r="H9" s="0" t="s">
        <v>52</v>
      </c>
      <c r="I9" s="2" t="b">
        <f aca="false">FALSE()</f>
        <v>0</v>
      </c>
      <c r="J9" s="0" t="n">
        <v>0</v>
      </c>
      <c r="K9" s="0" t="n">
        <v>0</v>
      </c>
      <c r="L9" s="0" t="n">
        <v>0</v>
      </c>
    </row>
    <row r="10" customFormat="false" ht="15" hidden="false" customHeight="false" outlineLevel="0" collapsed="false">
      <c r="A10" s="0" t="n">
        <v>8</v>
      </c>
      <c r="B10" s="0" t="s">
        <v>53</v>
      </c>
      <c r="C10" s="0" t="s">
        <v>54</v>
      </c>
      <c r="D10" s="0" t="s">
        <v>26</v>
      </c>
      <c r="E10" s="0" t="s">
        <v>55</v>
      </c>
      <c r="F10" s="0" t="s">
        <v>55</v>
      </c>
      <c r="G10" s="1" t="b">
        <f aca="false">FALSE()</f>
        <v>0</v>
      </c>
      <c r="H10" s="0" t="s">
        <v>56</v>
      </c>
      <c r="I10" s="6" t="b">
        <f aca="false">FALSE()</f>
        <v>0</v>
      </c>
      <c r="J10" s="0" t="n">
        <v>0.25</v>
      </c>
      <c r="K10" s="0" t="n">
        <v>1</v>
      </c>
      <c r="L10" s="0" t="n">
        <v>0.25</v>
      </c>
      <c r="N10" s="0" t="s">
        <v>57</v>
      </c>
    </row>
    <row r="11" customFormat="false" ht="34.2" hidden="false" customHeight="false" outlineLevel="0" collapsed="false">
      <c r="A11" s="0" t="n">
        <v>9</v>
      </c>
      <c r="B11" s="0" t="s">
        <v>58</v>
      </c>
      <c r="C11" s="3" t="s">
        <v>59</v>
      </c>
      <c r="D11" s="0" t="s">
        <v>50</v>
      </c>
      <c r="E11" s="0" t="s">
        <v>60</v>
      </c>
      <c r="F11" s="0" t="s">
        <v>60</v>
      </c>
      <c r="G11" s="1" t="b">
        <f aca="false">FALSE()</f>
        <v>0</v>
      </c>
      <c r="H11" s="0" t="s">
        <v>61</v>
      </c>
      <c r="I11" s="6" t="b">
        <f aca="false">FALSE()</f>
        <v>0</v>
      </c>
      <c r="J11" s="0" t="n">
        <v>0</v>
      </c>
      <c r="K11" s="0" t="n">
        <v>0</v>
      </c>
      <c r="L11" s="0" t="n">
        <v>0</v>
      </c>
      <c r="N11" s="0" t="s">
        <v>62</v>
      </c>
    </row>
    <row r="12" customFormat="false" ht="15" hidden="false" customHeight="false" outlineLevel="0" collapsed="false">
      <c r="A12" s="0" t="n">
        <v>10</v>
      </c>
      <c r="B12" s="0" t="s">
        <v>63</v>
      </c>
      <c r="C12" s="0" t="s">
        <v>64</v>
      </c>
      <c r="D12" s="0" t="s">
        <v>65</v>
      </c>
      <c r="E12" s="0" t="s">
        <v>65</v>
      </c>
      <c r="F12" s="0" t="s">
        <v>65</v>
      </c>
      <c r="G12" s="1" t="b">
        <f aca="false">FALSE()</f>
        <v>0</v>
      </c>
      <c r="H12" s="0" t="s">
        <v>66</v>
      </c>
      <c r="I12" s="1" t="b">
        <f aca="false">TRUE()</f>
        <v>1</v>
      </c>
      <c r="J12" s="0" t="n">
        <v>1</v>
      </c>
      <c r="K12" s="0" t="n">
        <v>1</v>
      </c>
      <c r="L12" s="0" t="n">
        <v>1</v>
      </c>
    </row>
    <row r="13" customFormat="false" ht="15" hidden="false" customHeight="false" outlineLevel="0" collapsed="false">
      <c r="A13" s="0" t="n">
        <v>11</v>
      </c>
      <c r="B13" s="0" t="s">
        <v>67</v>
      </c>
      <c r="C13" s="0" t="s">
        <v>68</v>
      </c>
      <c r="D13" s="0" t="s">
        <v>69</v>
      </c>
      <c r="E13" s="0" t="s">
        <v>70</v>
      </c>
      <c r="F13" s="0" t="s">
        <v>70</v>
      </c>
      <c r="G13" s="1" t="b">
        <f aca="false">FALSE()</f>
        <v>0</v>
      </c>
      <c r="H13" s="0" t="s">
        <v>71</v>
      </c>
      <c r="I13" s="2" t="b">
        <f aca="false">FALSE()</f>
        <v>0</v>
      </c>
      <c r="J13" s="0" t="n">
        <v>0.5</v>
      </c>
      <c r="K13" s="0" t="n">
        <v>1</v>
      </c>
      <c r="L13" s="0" t="n">
        <v>0.5</v>
      </c>
    </row>
    <row r="14" customFormat="false" ht="66.9" hidden="false" customHeight="false" outlineLevel="0" collapsed="false">
      <c r="A14" s="0" t="n">
        <v>12</v>
      </c>
      <c r="B14" s="0" t="s">
        <v>72</v>
      </c>
      <c r="C14" s="3" t="s">
        <v>73</v>
      </c>
      <c r="D14" s="0" t="s">
        <v>69</v>
      </c>
      <c r="E14" s="0" t="s">
        <v>74</v>
      </c>
      <c r="F14" s="0" t="s">
        <v>14</v>
      </c>
      <c r="G14" s="1" t="b">
        <f aca="false">TRUE()</f>
        <v>1</v>
      </c>
      <c r="H14" s="0" t="s">
        <v>75</v>
      </c>
      <c r="I14" s="2" t="b">
        <f aca="false">FALSE()</f>
        <v>0</v>
      </c>
      <c r="J14" s="0" t="n">
        <v>0</v>
      </c>
      <c r="K14" s="0" t="n">
        <v>0</v>
      </c>
      <c r="L14" s="0" t="n">
        <v>0</v>
      </c>
    </row>
    <row r="15" customFormat="false" ht="15" hidden="false" customHeight="false" outlineLevel="0" collapsed="false">
      <c r="A15" s="0" t="n">
        <v>13</v>
      </c>
      <c r="B15" s="0" t="s">
        <v>76</v>
      </c>
      <c r="C15" s="0" t="s">
        <v>77</v>
      </c>
      <c r="D15" s="0" t="s">
        <v>50</v>
      </c>
      <c r="E15" s="0" t="s">
        <v>78</v>
      </c>
      <c r="F15" s="0" t="s">
        <v>79</v>
      </c>
      <c r="G15" s="1" t="b">
        <f aca="false">TRUE()</f>
        <v>1</v>
      </c>
      <c r="H15" s="0" t="s">
        <v>80</v>
      </c>
      <c r="I15" s="5" t="b">
        <f aca="false">FALSE()</f>
        <v>0</v>
      </c>
      <c r="J15" s="0" t="n">
        <v>0</v>
      </c>
      <c r="K15" s="0" t="n">
        <v>0</v>
      </c>
      <c r="L15" s="0" t="n">
        <v>0</v>
      </c>
      <c r="N15" s="0" t="s">
        <v>81</v>
      </c>
    </row>
    <row r="16" customFormat="false" ht="77.8" hidden="false" customHeight="false" outlineLevel="0" collapsed="false">
      <c r="A16" s="0" t="n">
        <v>14</v>
      </c>
      <c r="B16" s="0" t="s">
        <v>82</v>
      </c>
      <c r="C16" s="3" t="s">
        <v>83</v>
      </c>
      <c r="D16" s="0" t="s">
        <v>84</v>
      </c>
      <c r="E16" s="0" t="s">
        <v>85</v>
      </c>
      <c r="F16" s="0" t="s">
        <v>85</v>
      </c>
      <c r="G16" s="1" t="b">
        <f aca="false">FALSE()</f>
        <v>0</v>
      </c>
      <c r="H16" s="0" t="s">
        <v>86</v>
      </c>
      <c r="I16" s="2" t="b">
        <f aca="false">FALSE()</f>
        <v>0</v>
      </c>
      <c r="J16" s="0" t="n">
        <v>0.5</v>
      </c>
      <c r="K16" s="0" t="n">
        <v>1</v>
      </c>
      <c r="L16" s="0" t="n">
        <v>0.5</v>
      </c>
    </row>
    <row r="17" customFormat="false" ht="339.8" hidden="false" customHeight="false" outlineLevel="0" collapsed="false">
      <c r="A17" s="0" t="n">
        <v>15</v>
      </c>
      <c r="B17" s="0" t="s">
        <v>87</v>
      </c>
      <c r="C17" s="3" t="s">
        <v>88</v>
      </c>
      <c r="D17" s="0" t="s">
        <v>89</v>
      </c>
      <c r="E17" s="0" t="s">
        <v>90</v>
      </c>
      <c r="F17" s="0" t="s">
        <v>91</v>
      </c>
      <c r="G17" s="1" t="b">
        <f aca="false">TRUE()</f>
        <v>1</v>
      </c>
      <c r="H17" s="0" t="s">
        <v>92</v>
      </c>
      <c r="I17" s="2" t="b">
        <f aca="false">FALSE()</f>
        <v>0</v>
      </c>
      <c r="J17" s="0" t="n">
        <v>0</v>
      </c>
      <c r="K17" s="0" t="n">
        <v>0</v>
      </c>
      <c r="L17" s="0" t="n">
        <v>0</v>
      </c>
    </row>
    <row r="18" customFormat="false" ht="56" hidden="false" customHeight="false" outlineLevel="0" collapsed="false">
      <c r="A18" s="0" t="n">
        <v>16</v>
      </c>
      <c r="B18" s="0" t="s">
        <v>93</v>
      </c>
      <c r="C18" s="3" t="s">
        <v>94</v>
      </c>
      <c r="D18" s="0" t="s">
        <v>21</v>
      </c>
      <c r="E18" s="0" t="s">
        <v>95</v>
      </c>
      <c r="F18" s="0" t="s">
        <v>95</v>
      </c>
      <c r="G18" s="1" t="b">
        <f aca="false">FALSE()</f>
        <v>0</v>
      </c>
      <c r="H18" s="0" t="s">
        <v>96</v>
      </c>
      <c r="I18" s="2" t="b">
        <f aca="false">FALSE()</f>
        <v>0</v>
      </c>
      <c r="J18" s="0" t="n">
        <v>0.333333333333333</v>
      </c>
      <c r="K18" s="0" t="n">
        <v>1</v>
      </c>
      <c r="L18" s="0" t="n">
        <v>0.333333333333333</v>
      </c>
    </row>
    <row r="19" customFormat="false" ht="197.7" hidden="false" customHeight="false" outlineLevel="0" collapsed="false">
      <c r="A19" s="0" t="n">
        <v>17</v>
      </c>
      <c r="B19" s="0" t="s">
        <v>97</v>
      </c>
      <c r="C19" s="3" t="s">
        <v>98</v>
      </c>
      <c r="D19" s="0" t="s">
        <v>99</v>
      </c>
      <c r="E19" s="0" t="s">
        <v>100</v>
      </c>
      <c r="F19" s="0" t="s">
        <v>100</v>
      </c>
      <c r="G19" s="1" t="b">
        <f aca="false">FALSE()</f>
        <v>0</v>
      </c>
      <c r="H19" s="0" t="s">
        <v>101</v>
      </c>
      <c r="I19" s="2" t="b">
        <f aca="false">FALSE()</f>
        <v>0</v>
      </c>
      <c r="J19" s="0" t="n">
        <v>0</v>
      </c>
      <c r="K19" s="0" t="n">
        <v>0</v>
      </c>
      <c r="L19" s="0" t="n">
        <v>0</v>
      </c>
    </row>
    <row r="20" customFormat="false" ht="23.3" hidden="false" customHeight="false" outlineLevel="0" collapsed="false">
      <c r="A20" s="0" t="n">
        <v>18</v>
      </c>
      <c r="B20" s="0" t="s">
        <v>102</v>
      </c>
      <c r="C20" s="3" t="s">
        <v>103</v>
      </c>
      <c r="D20" s="0" t="s">
        <v>22</v>
      </c>
      <c r="E20" s="0" t="s">
        <v>95</v>
      </c>
      <c r="F20" s="0" t="s">
        <v>95</v>
      </c>
      <c r="G20" s="1" t="b">
        <f aca="false">FALSE()</f>
        <v>0</v>
      </c>
      <c r="H20" s="0" t="s">
        <v>104</v>
      </c>
      <c r="I20" s="2" t="b">
        <f aca="false">FALSE()</f>
        <v>0</v>
      </c>
      <c r="J20" s="0" t="n">
        <v>0.666666666666667</v>
      </c>
      <c r="K20" s="0" t="n">
        <v>1</v>
      </c>
      <c r="L20" s="0" t="n">
        <v>0.666666666666667</v>
      </c>
    </row>
    <row r="21" customFormat="false" ht="15" hidden="false" customHeight="false" outlineLevel="0" collapsed="false">
      <c r="A21" s="0" t="n">
        <v>19</v>
      </c>
      <c r="B21" s="0" t="s">
        <v>105</v>
      </c>
      <c r="C21" s="0" t="s">
        <v>106</v>
      </c>
      <c r="D21" s="0" t="s">
        <v>89</v>
      </c>
      <c r="E21" s="0" t="s">
        <v>100</v>
      </c>
      <c r="F21" s="0" t="s">
        <v>100</v>
      </c>
      <c r="G21" s="1" t="b">
        <f aca="false">FALSE()</f>
        <v>0</v>
      </c>
      <c r="H21" s="0" t="s">
        <v>107</v>
      </c>
      <c r="I21" s="2" t="b">
        <f aca="false">FALSE()</f>
        <v>0</v>
      </c>
      <c r="J21" s="0" t="n">
        <v>0</v>
      </c>
      <c r="K21" s="0" t="n">
        <v>0</v>
      </c>
      <c r="L21" s="0" t="n">
        <v>0</v>
      </c>
    </row>
    <row r="22" customFormat="false" ht="15" hidden="false" customHeight="false" outlineLevel="0" collapsed="false">
      <c r="A22" s="0" t="n">
        <v>20</v>
      </c>
      <c r="B22" s="0" t="s">
        <v>108</v>
      </c>
      <c r="C22" s="0" t="s">
        <v>109</v>
      </c>
      <c r="D22" s="0" t="s">
        <v>110</v>
      </c>
      <c r="E22" s="0" t="s">
        <v>111</v>
      </c>
      <c r="F22" s="0" t="s">
        <v>112</v>
      </c>
      <c r="G22" s="1" t="b">
        <f aca="false">TRUE()</f>
        <v>1</v>
      </c>
      <c r="H22" s="0" t="s">
        <v>113</v>
      </c>
      <c r="I22" s="2" t="b">
        <f aca="false">FALSE()</f>
        <v>0</v>
      </c>
      <c r="J22" s="0" t="n">
        <v>0.5</v>
      </c>
      <c r="K22" s="0" t="n">
        <v>1</v>
      </c>
      <c r="L22" s="0" t="n">
        <v>0.5</v>
      </c>
    </row>
    <row r="23" customFormat="false" ht="34.2" hidden="false" customHeight="false" outlineLevel="0" collapsed="false">
      <c r="A23" s="0" t="n">
        <v>21</v>
      </c>
      <c r="B23" s="0" t="s">
        <v>114</v>
      </c>
      <c r="C23" s="3" t="s">
        <v>115</v>
      </c>
      <c r="D23" s="0" t="s">
        <v>45</v>
      </c>
      <c r="E23" s="0" t="s">
        <v>116</v>
      </c>
      <c r="F23" s="0" t="s">
        <v>116</v>
      </c>
      <c r="G23" s="1" t="b">
        <f aca="false">FALSE()</f>
        <v>0</v>
      </c>
      <c r="H23" s="0" t="s">
        <v>117</v>
      </c>
      <c r="I23" s="2" t="b">
        <f aca="false">FALSE()</f>
        <v>0</v>
      </c>
      <c r="J23" s="0" t="n">
        <v>0</v>
      </c>
      <c r="K23" s="0" t="n">
        <v>0</v>
      </c>
      <c r="L23" s="0" t="n">
        <v>0</v>
      </c>
      <c r="N23" s="0" t="s">
        <v>18</v>
      </c>
    </row>
    <row r="24" customFormat="false" ht="121.4" hidden="false" customHeight="false" outlineLevel="0" collapsed="false">
      <c r="A24" s="0" t="n">
        <v>22</v>
      </c>
      <c r="B24" s="3" t="s">
        <v>118</v>
      </c>
      <c r="C24" s="3" t="s">
        <v>119</v>
      </c>
      <c r="D24" s="0" t="s">
        <v>50</v>
      </c>
      <c r="E24" s="0" t="s">
        <v>120</v>
      </c>
      <c r="F24" s="0" t="s">
        <v>120</v>
      </c>
      <c r="G24" s="1" t="b">
        <f aca="false">FALSE()</f>
        <v>0</v>
      </c>
      <c r="H24" s="0" t="s">
        <v>121</v>
      </c>
      <c r="I24" s="2" t="b">
        <f aca="false">FALSE()</f>
        <v>0</v>
      </c>
      <c r="J24" s="0" t="n">
        <v>0.333333333333333</v>
      </c>
      <c r="K24" s="0" t="n">
        <v>1</v>
      </c>
      <c r="L24" s="0" t="n">
        <v>0.333333333333333</v>
      </c>
    </row>
    <row r="25" customFormat="false" ht="45.1" hidden="false" customHeight="false" outlineLevel="0" collapsed="false">
      <c r="A25" s="0" t="n">
        <v>23</v>
      </c>
      <c r="B25" s="3" t="s">
        <v>122</v>
      </c>
      <c r="C25" s="3" t="s">
        <v>123</v>
      </c>
      <c r="D25" s="0" t="s">
        <v>124</v>
      </c>
      <c r="E25" s="0" t="s">
        <v>125</v>
      </c>
      <c r="F25" s="0" t="s">
        <v>125</v>
      </c>
      <c r="G25" s="1" t="b">
        <f aca="false">FALSE()</f>
        <v>0</v>
      </c>
      <c r="H25" s="0" t="s">
        <v>126</v>
      </c>
      <c r="I25" s="2" t="b">
        <f aca="false">FALSE()</f>
        <v>0</v>
      </c>
      <c r="J25" s="0" t="n">
        <v>0.25</v>
      </c>
      <c r="K25" s="0" t="n">
        <v>1</v>
      </c>
      <c r="L25" s="0" t="n">
        <v>0.25</v>
      </c>
    </row>
    <row r="26" customFormat="false" ht="56" hidden="false" customHeight="false" outlineLevel="0" collapsed="false">
      <c r="A26" s="0" t="n">
        <v>24</v>
      </c>
      <c r="B26" s="3" t="s">
        <v>127</v>
      </c>
      <c r="C26" s="3" t="s">
        <v>128</v>
      </c>
      <c r="D26" s="0" t="s">
        <v>50</v>
      </c>
      <c r="E26" s="0" t="s">
        <v>129</v>
      </c>
      <c r="F26" s="0" t="s">
        <v>129</v>
      </c>
      <c r="G26" s="1" t="b">
        <f aca="false">FALSE()</f>
        <v>0</v>
      </c>
      <c r="H26" s="0" t="s">
        <v>130</v>
      </c>
      <c r="I26" s="6" t="b">
        <f aca="false">FALSE()</f>
        <v>0</v>
      </c>
      <c r="J26" s="0" t="n">
        <v>0.2</v>
      </c>
      <c r="K26" s="0" t="n">
        <v>1</v>
      </c>
      <c r="L26" s="0" t="n">
        <v>0.2</v>
      </c>
      <c r="N26" s="0" t="s">
        <v>131</v>
      </c>
    </row>
    <row r="27" customFormat="false" ht="15" hidden="false" customHeight="false" outlineLevel="0" collapsed="false">
      <c r="A27" s="0" t="n">
        <v>25</v>
      </c>
      <c r="B27" s="0" t="s">
        <v>132</v>
      </c>
      <c r="C27" s="0" t="s">
        <v>133</v>
      </c>
      <c r="D27" s="0" t="s">
        <v>69</v>
      </c>
      <c r="E27" s="0" t="s">
        <v>134</v>
      </c>
      <c r="F27" s="0" t="s">
        <v>134</v>
      </c>
      <c r="G27" s="1" t="b">
        <f aca="false">FALSE()</f>
        <v>0</v>
      </c>
      <c r="H27" s="0" t="s">
        <v>135</v>
      </c>
      <c r="I27" s="6" t="b">
        <f aca="false">FALSE()</f>
        <v>0</v>
      </c>
      <c r="J27" s="0" t="n">
        <v>0.142857142857143</v>
      </c>
      <c r="K27" s="0" t="n">
        <v>1</v>
      </c>
      <c r="L27" s="0" t="n">
        <v>0.142857142857143</v>
      </c>
    </row>
    <row r="28" customFormat="false" ht="23.3" hidden="false" customHeight="false" outlineLevel="0" collapsed="false">
      <c r="A28" s="0" t="n">
        <v>26</v>
      </c>
      <c r="B28" s="0" t="s">
        <v>136</v>
      </c>
      <c r="C28" s="3" t="s">
        <v>137</v>
      </c>
      <c r="D28" s="0" t="s">
        <v>26</v>
      </c>
      <c r="E28" s="0" t="s">
        <v>138</v>
      </c>
      <c r="F28" s="0" t="s">
        <v>138</v>
      </c>
      <c r="G28" s="1" t="b">
        <f aca="false">FALSE()</f>
        <v>0</v>
      </c>
      <c r="H28" s="0" t="s">
        <v>139</v>
      </c>
      <c r="I28" s="2" t="b">
        <f aca="false">FALSE()</f>
        <v>0</v>
      </c>
      <c r="J28" s="0" t="n">
        <v>0.333333333333333</v>
      </c>
      <c r="K28" s="0" t="n">
        <v>1</v>
      </c>
      <c r="L28" s="0" t="n">
        <v>0.333333333333333</v>
      </c>
    </row>
    <row r="29" customFormat="false" ht="15" hidden="false" customHeight="false" outlineLevel="0" collapsed="false">
      <c r="A29" s="0" t="n">
        <v>27</v>
      </c>
      <c r="B29" s="0" t="s">
        <v>140</v>
      </c>
      <c r="C29" s="0" t="s">
        <v>141</v>
      </c>
      <c r="D29" s="0" t="s">
        <v>26</v>
      </c>
      <c r="E29" s="0" t="s">
        <v>142</v>
      </c>
      <c r="F29" s="0" t="s">
        <v>142</v>
      </c>
      <c r="G29" s="1" t="b">
        <f aca="false">FALSE()</f>
        <v>0</v>
      </c>
      <c r="H29" s="0" t="s">
        <v>143</v>
      </c>
      <c r="I29" s="6" t="b">
        <f aca="false">FALSE()</f>
        <v>0</v>
      </c>
      <c r="J29" s="0" t="n">
        <v>0.2</v>
      </c>
      <c r="K29" s="0" t="n">
        <v>1</v>
      </c>
      <c r="L29" s="0" t="n">
        <v>0.2</v>
      </c>
    </row>
    <row r="30" customFormat="false" ht="143.2" hidden="false" customHeight="false" outlineLevel="0" collapsed="false">
      <c r="A30" s="0" t="n">
        <v>28</v>
      </c>
      <c r="B30" s="0" t="s">
        <v>144</v>
      </c>
      <c r="C30" s="3" t="s">
        <v>145</v>
      </c>
      <c r="D30" s="0" t="s">
        <v>84</v>
      </c>
      <c r="E30" s="0" t="s">
        <v>146</v>
      </c>
      <c r="F30" s="0" t="s">
        <v>147</v>
      </c>
      <c r="G30" s="1" t="b">
        <f aca="false">TRUE()</f>
        <v>1</v>
      </c>
      <c r="H30" s="0" t="s">
        <v>148</v>
      </c>
      <c r="I30" s="2" t="b">
        <f aca="false">FALSE()</f>
        <v>0</v>
      </c>
      <c r="J30" s="0" t="n">
        <v>0.5</v>
      </c>
      <c r="K30" s="0" t="n">
        <v>1</v>
      </c>
      <c r="L30" s="0" t="n">
        <v>0.5</v>
      </c>
    </row>
    <row r="31" customFormat="false" ht="154.1" hidden="false" customHeight="false" outlineLevel="0" collapsed="false">
      <c r="A31" s="0" t="n">
        <v>29</v>
      </c>
      <c r="B31" s="0" t="s">
        <v>149</v>
      </c>
      <c r="C31" s="3" t="s">
        <v>150</v>
      </c>
      <c r="D31" s="0" t="s">
        <v>50</v>
      </c>
      <c r="E31" s="0" t="s">
        <v>151</v>
      </c>
      <c r="F31" s="0" t="s">
        <v>151</v>
      </c>
      <c r="G31" s="1" t="b">
        <f aca="false">FALSE()</f>
        <v>0</v>
      </c>
      <c r="H31" s="0" t="s">
        <v>152</v>
      </c>
      <c r="I31" s="2" t="b">
        <f aca="false">FALSE()</f>
        <v>0</v>
      </c>
      <c r="J31" s="0" t="n">
        <v>0.333333333333333</v>
      </c>
      <c r="K31" s="0" t="n">
        <v>1</v>
      </c>
      <c r="L31" s="0" t="n">
        <v>0.333333333333333</v>
      </c>
    </row>
    <row r="32" customFormat="false" ht="197.7" hidden="false" customHeight="false" outlineLevel="0" collapsed="false">
      <c r="A32" s="0" t="n">
        <v>30</v>
      </c>
      <c r="B32" s="0" t="s">
        <v>153</v>
      </c>
      <c r="C32" s="3" t="s">
        <v>98</v>
      </c>
      <c r="D32" s="0" t="s">
        <v>99</v>
      </c>
      <c r="E32" s="0" t="s">
        <v>100</v>
      </c>
      <c r="F32" s="0" t="s">
        <v>100</v>
      </c>
      <c r="G32" s="1" t="b">
        <f aca="false">FALSE()</f>
        <v>0</v>
      </c>
      <c r="H32" s="0" t="s">
        <v>154</v>
      </c>
      <c r="I32" s="2" t="b">
        <f aca="false">FALSE()</f>
        <v>0</v>
      </c>
      <c r="J32" s="0" t="n">
        <v>0</v>
      </c>
      <c r="K32" s="0" t="n">
        <v>0</v>
      </c>
      <c r="L32" s="0" t="n">
        <v>0</v>
      </c>
    </row>
    <row r="33" customFormat="false" ht="15" hidden="false" customHeight="false" outlineLevel="0" collapsed="false">
      <c r="A33" s="0" t="n">
        <v>31</v>
      </c>
      <c r="B33" s="0" t="s">
        <v>155</v>
      </c>
      <c r="C33" s="0" t="s">
        <v>156</v>
      </c>
      <c r="D33" s="0" t="s">
        <v>69</v>
      </c>
      <c r="E33" s="0" t="s">
        <v>157</v>
      </c>
      <c r="F33" s="0" t="s">
        <v>157</v>
      </c>
      <c r="G33" s="1" t="b">
        <f aca="false">FALSE()</f>
        <v>0</v>
      </c>
      <c r="H33" s="0" t="s">
        <v>158</v>
      </c>
      <c r="I33" s="2" t="b">
        <f aca="false">FALSE()</f>
        <v>0</v>
      </c>
      <c r="J33" s="0" t="n">
        <v>0.333333333333333</v>
      </c>
      <c r="K33" s="0" t="n">
        <v>1</v>
      </c>
      <c r="L33" s="0" t="n">
        <v>0.333333333333333</v>
      </c>
    </row>
    <row r="34" customFormat="false" ht="15" hidden="false" customHeight="false" outlineLevel="0" collapsed="false">
      <c r="A34" s="0" t="n">
        <v>32</v>
      </c>
      <c r="B34" s="0" t="s">
        <v>159</v>
      </c>
      <c r="C34" s="0" t="s">
        <v>160</v>
      </c>
      <c r="D34" s="0" t="s">
        <v>99</v>
      </c>
      <c r="E34" s="0" t="s">
        <v>100</v>
      </c>
      <c r="F34" s="0" t="s">
        <v>100</v>
      </c>
      <c r="G34" s="1" t="b">
        <f aca="false">FALSE()</f>
        <v>0</v>
      </c>
      <c r="H34" s="0" t="s">
        <v>161</v>
      </c>
      <c r="I34" s="2" t="b">
        <f aca="false">FALSE()</f>
        <v>0</v>
      </c>
      <c r="J34" s="0" t="n">
        <v>0</v>
      </c>
      <c r="K34" s="0" t="n">
        <v>0</v>
      </c>
      <c r="L34" s="0" t="n">
        <v>0</v>
      </c>
    </row>
    <row r="35" customFormat="false" ht="56" hidden="false" customHeight="false" outlineLevel="0" collapsed="false">
      <c r="A35" s="0" t="n">
        <v>33</v>
      </c>
      <c r="B35" s="0" t="s">
        <v>162</v>
      </c>
      <c r="C35" s="3" t="s">
        <v>163</v>
      </c>
      <c r="D35" s="0" t="s">
        <v>164</v>
      </c>
      <c r="E35" s="0" t="s">
        <v>165</v>
      </c>
      <c r="F35" s="0" t="s">
        <v>166</v>
      </c>
      <c r="G35" s="1" t="b">
        <f aca="false">TRUE()</f>
        <v>1</v>
      </c>
      <c r="H35" s="0" t="s">
        <v>167</v>
      </c>
      <c r="I35" s="2" t="b">
        <f aca="false">FALSE()</f>
        <v>0</v>
      </c>
      <c r="J35" s="0" t="n">
        <v>0.25</v>
      </c>
      <c r="K35" s="0" t="n">
        <v>0.5</v>
      </c>
      <c r="L35" s="0" t="n">
        <v>0.2</v>
      </c>
    </row>
    <row r="36" customFormat="false" ht="15" hidden="false" customHeight="false" outlineLevel="0" collapsed="false">
      <c r="A36" s="0" t="n">
        <v>34</v>
      </c>
      <c r="B36" s="0" t="s">
        <v>168</v>
      </c>
      <c r="C36" s="0" t="s">
        <v>169</v>
      </c>
      <c r="D36" s="0" t="s">
        <v>45</v>
      </c>
      <c r="E36" s="0" t="s">
        <v>45</v>
      </c>
      <c r="F36" s="0" t="s">
        <v>45</v>
      </c>
      <c r="G36" s="1" t="b">
        <f aca="false">FALSE()</f>
        <v>0</v>
      </c>
      <c r="H36" s="0" t="s">
        <v>170</v>
      </c>
      <c r="I36" s="1" t="b">
        <f aca="false">TRUE()</f>
        <v>1</v>
      </c>
      <c r="J36" s="0" t="n">
        <v>1</v>
      </c>
      <c r="K36" s="0" t="n">
        <v>1</v>
      </c>
      <c r="L36" s="0" t="n">
        <v>1</v>
      </c>
    </row>
    <row r="37" customFormat="false" ht="56" hidden="false" customHeight="false" outlineLevel="0" collapsed="false">
      <c r="A37" s="0" t="n">
        <v>35</v>
      </c>
      <c r="B37" s="0" t="s">
        <v>171</v>
      </c>
      <c r="C37" s="3" t="s">
        <v>172</v>
      </c>
      <c r="D37" s="0" t="s">
        <v>110</v>
      </c>
      <c r="E37" s="0" t="s">
        <v>173</v>
      </c>
      <c r="F37" s="0" t="s">
        <v>173</v>
      </c>
      <c r="G37" s="1" t="b">
        <f aca="false">FALSE()</f>
        <v>0</v>
      </c>
      <c r="H37" s="0" t="s">
        <v>174</v>
      </c>
      <c r="I37" s="6" t="b">
        <f aca="false">FALSE()</f>
        <v>0</v>
      </c>
      <c r="J37" s="0" t="n">
        <v>0.2</v>
      </c>
      <c r="K37" s="0" t="n">
        <v>1</v>
      </c>
      <c r="L37" s="0" t="n">
        <v>0.2</v>
      </c>
    </row>
    <row r="38" customFormat="false" ht="99.6" hidden="false" customHeight="false" outlineLevel="0" collapsed="false">
      <c r="A38" s="0" t="n">
        <v>36</v>
      </c>
      <c r="B38" s="0" t="s">
        <v>175</v>
      </c>
      <c r="C38" s="3" t="s">
        <v>176</v>
      </c>
      <c r="D38" s="0" t="s">
        <v>14</v>
      </c>
      <c r="E38" s="0" t="s">
        <v>14</v>
      </c>
      <c r="F38" s="0" t="s">
        <v>14</v>
      </c>
      <c r="G38" s="1" t="b">
        <f aca="false">FALSE()</f>
        <v>0</v>
      </c>
      <c r="H38" s="0" t="s">
        <v>177</v>
      </c>
      <c r="I38" s="1" t="b">
        <f aca="false">TRUE()</f>
        <v>1</v>
      </c>
      <c r="J38" s="0" t="n">
        <v>1</v>
      </c>
      <c r="K38" s="0" t="n">
        <v>1</v>
      </c>
      <c r="L38" s="0" t="n">
        <v>1</v>
      </c>
    </row>
    <row r="39" customFormat="false" ht="23.3" hidden="false" customHeight="false" outlineLevel="0" collapsed="false">
      <c r="A39" s="0" t="n">
        <v>37</v>
      </c>
      <c r="B39" s="0" t="s">
        <v>178</v>
      </c>
      <c r="C39" s="3" t="s">
        <v>179</v>
      </c>
      <c r="D39" s="0" t="s">
        <v>45</v>
      </c>
      <c r="E39" s="0" t="s">
        <v>45</v>
      </c>
      <c r="F39" s="0" t="s">
        <v>45</v>
      </c>
      <c r="G39" s="1" t="b">
        <f aca="false">FALSE()</f>
        <v>0</v>
      </c>
      <c r="H39" s="0" t="s">
        <v>180</v>
      </c>
      <c r="I39" s="1" t="b">
        <f aca="false">TRUE()</f>
        <v>1</v>
      </c>
      <c r="J39" s="0" t="n">
        <v>1</v>
      </c>
      <c r="K39" s="0" t="n">
        <v>1</v>
      </c>
      <c r="L39" s="0" t="n">
        <v>1</v>
      </c>
    </row>
    <row r="40" customFormat="false" ht="34.2" hidden="false" customHeight="false" outlineLevel="0" collapsed="false">
      <c r="A40" s="0" t="n">
        <v>38</v>
      </c>
      <c r="B40" s="3" t="s">
        <v>181</v>
      </c>
      <c r="C40" s="0" t="s">
        <v>182</v>
      </c>
      <c r="D40" s="0" t="s">
        <v>14</v>
      </c>
      <c r="E40" s="0" t="s">
        <v>183</v>
      </c>
      <c r="F40" s="0" t="s">
        <v>184</v>
      </c>
      <c r="G40" s="1" t="b">
        <f aca="false">TRUE()</f>
        <v>1</v>
      </c>
      <c r="H40" s="0" t="s">
        <v>185</v>
      </c>
      <c r="I40" s="6" t="b">
        <f aca="false">FALSE()</f>
        <v>0</v>
      </c>
      <c r="J40" s="0" t="n">
        <v>0.2</v>
      </c>
      <c r="K40" s="0" t="n">
        <v>1</v>
      </c>
      <c r="L40" s="0" t="n">
        <v>0.2</v>
      </c>
      <c r="N40" s="0" t="s">
        <v>186</v>
      </c>
    </row>
    <row r="41" customFormat="false" ht="15" hidden="false" customHeight="false" outlineLevel="0" collapsed="false">
      <c r="A41" s="7" t="n">
        <v>39</v>
      </c>
      <c r="B41" s="0" t="s">
        <v>187</v>
      </c>
      <c r="C41" s="0" t="s">
        <v>188</v>
      </c>
      <c r="D41" s="0" t="s">
        <v>69</v>
      </c>
      <c r="E41" s="0" t="s">
        <v>70</v>
      </c>
      <c r="F41" s="0" t="s">
        <v>70</v>
      </c>
      <c r="G41" s="1" t="b">
        <f aca="false">FALSE()</f>
        <v>0</v>
      </c>
      <c r="H41" s="0" t="s">
        <v>189</v>
      </c>
      <c r="I41" s="2" t="b">
        <f aca="false">FALSE()</f>
        <v>0</v>
      </c>
      <c r="J41" s="0" t="n">
        <v>0.5</v>
      </c>
      <c r="K41" s="0" t="n">
        <v>1</v>
      </c>
      <c r="L41" s="0" t="n">
        <v>0.5</v>
      </c>
    </row>
    <row r="42" customFormat="false" ht="165" hidden="false" customHeight="false" outlineLevel="0" collapsed="false">
      <c r="A42" s="0" t="n">
        <v>40</v>
      </c>
      <c r="B42" s="0" t="s">
        <v>190</v>
      </c>
      <c r="C42" s="3" t="s">
        <v>191</v>
      </c>
      <c r="D42" s="0" t="s">
        <v>14</v>
      </c>
      <c r="E42" s="0" t="s">
        <v>192</v>
      </c>
      <c r="F42" s="0" t="s">
        <v>192</v>
      </c>
      <c r="G42" s="1" t="b">
        <f aca="false">FALSE()</f>
        <v>0</v>
      </c>
      <c r="H42" s="0" t="s">
        <v>193</v>
      </c>
      <c r="I42" s="2" t="b">
        <f aca="false">FALSE()</f>
        <v>0</v>
      </c>
      <c r="J42" s="0" t="n">
        <v>0.333333333333333</v>
      </c>
      <c r="K42" s="0" t="n">
        <v>1</v>
      </c>
      <c r="L42" s="0" t="n">
        <v>0.333333333333333</v>
      </c>
    </row>
    <row r="43" customFormat="false" ht="77.8" hidden="false" customHeight="false" outlineLevel="0" collapsed="false">
      <c r="A43" s="0" t="n">
        <v>41</v>
      </c>
      <c r="B43" s="0" t="s">
        <v>194</v>
      </c>
      <c r="C43" s="3" t="s">
        <v>195</v>
      </c>
      <c r="D43" s="0" t="s">
        <v>21</v>
      </c>
      <c r="E43" s="0" t="s">
        <v>196</v>
      </c>
      <c r="F43" s="0" t="s">
        <v>21</v>
      </c>
      <c r="G43" s="1" t="b">
        <f aca="false">TRUE()</f>
        <v>1</v>
      </c>
      <c r="H43" s="0" t="s">
        <v>197</v>
      </c>
      <c r="I43" s="1" t="b">
        <f aca="false">TRUE()</f>
        <v>1</v>
      </c>
      <c r="J43" s="0" t="n">
        <v>1</v>
      </c>
      <c r="K43" s="0" t="n">
        <v>1</v>
      </c>
      <c r="L43" s="0" t="n">
        <v>1</v>
      </c>
    </row>
    <row r="44" customFormat="false" ht="23.3" hidden="false" customHeight="false" outlineLevel="0" collapsed="false">
      <c r="A44" s="0" t="n">
        <v>42</v>
      </c>
      <c r="B44" s="3" t="s">
        <v>198</v>
      </c>
      <c r="C44" s="0" t="s">
        <v>199</v>
      </c>
      <c r="D44" s="0" t="s">
        <v>50</v>
      </c>
      <c r="E44" s="0" t="s">
        <v>200</v>
      </c>
      <c r="F44" s="0" t="s">
        <v>200</v>
      </c>
      <c r="G44" s="1" t="b">
        <f aca="false">FALSE()</f>
        <v>0</v>
      </c>
      <c r="H44" s="0" t="s">
        <v>201</v>
      </c>
      <c r="I44" s="2" t="b">
        <f aca="false">FALSE()</f>
        <v>0</v>
      </c>
      <c r="J44" s="0" t="n">
        <v>0.333333333333333</v>
      </c>
      <c r="K44" s="0" t="n">
        <v>1</v>
      </c>
      <c r="L44" s="0" t="n">
        <v>0.333333333333333</v>
      </c>
    </row>
    <row r="45" customFormat="false" ht="99.6" hidden="false" customHeight="false" outlineLevel="0" collapsed="false">
      <c r="A45" s="0" t="n">
        <v>43</v>
      </c>
      <c r="B45" s="0" t="s">
        <v>24</v>
      </c>
      <c r="C45" s="3" t="s">
        <v>202</v>
      </c>
      <c r="D45" s="0" t="s">
        <v>26</v>
      </c>
      <c r="E45" s="0" t="s">
        <v>27</v>
      </c>
      <c r="F45" s="0" t="s">
        <v>27</v>
      </c>
      <c r="G45" s="1" t="b">
        <f aca="false">FALSE()</f>
        <v>0</v>
      </c>
      <c r="H45" s="0" t="s">
        <v>203</v>
      </c>
      <c r="I45" s="5" t="b">
        <f aca="false">FALSE()</f>
        <v>0</v>
      </c>
      <c r="J45" s="0" t="n">
        <v>0.5</v>
      </c>
      <c r="K45" s="0" t="n">
        <v>1</v>
      </c>
      <c r="L45" s="0" t="n">
        <v>0.5</v>
      </c>
      <c r="N45" s="0" t="s">
        <v>29</v>
      </c>
    </row>
    <row r="46" customFormat="false" ht="77.8" hidden="false" customHeight="false" outlineLevel="0" collapsed="false">
      <c r="A46" s="0" t="n">
        <v>44</v>
      </c>
      <c r="B46" s="0" t="s">
        <v>204</v>
      </c>
      <c r="C46" s="3" t="s">
        <v>205</v>
      </c>
      <c r="D46" s="0" t="s">
        <v>84</v>
      </c>
      <c r="E46" s="0" t="s">
        <v>84</v>
      </c>
      <c r="F46" s="0" t="s">
        <v>84</v>
      </c>
      <c r="G46" s="1" t="b">
        <f aca="false">FALSE()</f>
        <v>0</v>
      </c>
      <c r="H46" s="0" t="s">
        <v>206</v>
      </c>
      <c r="I46" s="1" t="b">
        <f aca="false">TRUE()</f>
        <v>1</v>
      </c>
      <c r="J46" s="0" t="n">
        <v>1</v>
      </c>
      <c r="K46" s="0" t="n">
        <v>1</v>
      </c>
      <c r="L46" s="0" t="n">
        <v>1</v>
      </c>
    </row>
    <row r="47" customFormat="false" ht="45.1" hidden="false" customHeight="false" outlineLevel="0" collapsed="false">
      <c r="A47" s="0" t="n">
        <v>45</v>
      </c>
      <c r="B47" s="0" t="s">
        <v>207</v>
      </c>
      <c r="C47" s="3" t="s">
        <v>208</v>
      </c>
      <c r="D47" s="0" t="s">
        <v>26</v>
      </c>
      <c r="E47" s="0" t="s">
        <v>209</v>
      </c>
      <c r="F47" s="0" t="s">
        <v>209</v>
      </c>
      <c r="G47" s="1" t="b">
        <f aca="false">FALSE()</f>
        <v>0</v>
      </c>
      <c r="H47" s="0" t="s">
        <v>210</v>
      </c>
      <c r="I47" s="5" t="b">
        <f aca="false">FALSE()</f>
        <v>0</v>
      </c>
      <c r="J47" s="0" t="n">
        <v>0.333333333333333</v>
      </c>
      <c r="K47" s="0" t="n">
        <v>1</v>
      </c>
      <c r="L47" s="0" t="n">
        <v>0.333333333333333</v>
      </c>
      <c r="N47" s="0" t="s">
        <v>211</v>
      </c>
    </row>
    <row r="48" customFormat="false" ht="56" hidden="false" customHeight="false" outlineLevel="0" collapsed="false">
      <c r="A48" s="0" t="n">
        <v>46</v>
      </c>
      <c r="B48" s="0" t="s">
        <v>212</v>
      </c>
      <c r="C48" s="3" t="s">
        <v>213</v>
      </c>
      <c r="D48" s="0" t="s">
        <v>69</v>
      </c>
      <c r="E48" s="0" t="s">
        <v>214</v>
      </c>
      <c r="F48" s="0" t="s">
        <v>214</v>
      </c>
      <c r="G48" s="1" t="b">
        <f aca="false">FALSE()</f>
        <v>0</v>
      </c>
      <c r="H48" s="0" t="s">
        <v>215</v>
      </c>
      <c r="I48" s="2" t="b">
        <f aca="false">FALSE()</f>
        <v>0</v>
      </c>
      <c r="J48" s="0" t="n">
        <v>0.25</v>
      </c>
      <c r="K48" s="0" t="n">
        <v>1</v>
      </c>
      <c r="L48" s="0" t="n">
        <v>0.25</v>
      </c>
    </row>
    <row r="49" customFormat="false" ht="15" hidden="false" customHeight="false" outlineLevel="0" collapsed="false">
      <c r="A49" s="0" t="n">
        <v>47</v>
      </c>
      <c r="B49" s="0" t="s">
        <v>216</v>
      </c>
      <c r="C49" s="0" t="s">
        <v>217</v>
      </c>
      <c r="D49" s="0" t="s">
        <v>65</v>
      </c>
      <c r="E49" s="0" t="s">
        <v>218</v>
      </c>
      <c r="F49" s="0" t="s">
        <v>218</v>
      </c>
      <c r="G49" s="1" t="b">
        <f aca="false">FALSE()</f>
        <v>0</v>
      </c>
      <c r="H49" s="0" t="s">
        <v>219</v>
      </c>
      <c r="I49" s="2" t="b">
        <f aca="false">FALSE()</f>
        <v>0</v>
      </c>
      <c r="J49" s="0" t="n">
        <v>0</v>
      </c>
      <c r="K49" s="0" t="n">
        <v>0</v>
      </c>
      <c r="L49" s="0" t="n">
        <v>0</v>
      </c>
    </row>
    <row r="50" customFormat="false" ht="143.2" hidden="false" customHeight="false" outlineLevel="0" collapsed="false">
      <c r="A50" s="0" t="n">
        <v>48</v>
      </c>
      <c r="B50" s="0" t="s">
        <v>220</v>
      </c>
      <c r="C50" s="3" t="s">
        <v>221</v>
      </c>
      <c r="D50" s="0" t="s">
        <v>45</v>
      </c>
      <c r="E50" s="0" t="s">
        <v>222</v>
      </c>
      <c r="F50" s="0" t="s">
        <v>222</v>
      </c>
      <c r="G50" s="1" t="b">
        <f aca="false">FALSE()</f>
        <v>0</v>
      </c>
      <c r="H50" s="0" t="s">
        <v>223</v>
      </c>
      <c r="I50" s="2" t="b">
        <f aca="false">FALSE()</f>
        <v>0</v>
      </c>
      <c r="J50" s="0" t="n">
        <v>0.166666666666667</v>
      </c>
      <c r="K50" s="0" t="n">
        <v>1</v>
      </c>
      <c r="L50" s="0" t="n">
        <v>0.166666666666667</v>
      </c>
    </row>
    <row r="51" customFormat="false" ht="15" hidden="false" customHeight="false" outlineLevel="0" collapsed="false">
      <c r="A51" s="0" t="n">
        <v>49</v>
      </c>
      <c r="B51" s="0" t="s">
        <v>224</v>
      </c>
      <c r="C51" s="0" t="s">
        <v>225</v>
      </c>
      <c r="D51" s="0" t="s">
        <v>21</v>
      </c>
      <c r="E51" s="0" t="s">
        <v>226</v>
      </c>
      <c r="F51" s="0" t="s">
        <v>226</v>
      </c>
      <c r="G51" s="1" t="b">
        <f aca="false">FALSE()</f>
        <v>0</v>
      </c>
      <c r="H51" s="0" t="s">
        <v>227</v>
      </c>
      <c r="I51" s="2" t="b">
        <f aca="false">FALSE()</f>
        <v>0</v>
      </c>
      <c r="J51" s="0" t="n">
        <v>0.5</v>
      </c>
      <c r="K51" s="0" t="n">
        <v>1</v>
      </c>
      <c r="L51" s="0" t="n">
        <v>0.5</v>
      </c>
    </row>
    <row r="52" customFormat="false" ht="15" hidden="false" customHeight="false" outlineLevel="0" collapsed="false">
      <c r="A52" s="0" t="n">
        <v>50</v>
      </c>
      <c r="B52" s="0" t="s">
        <v>228</v>
      </c>
      <c r="C52" s="0" t="s">
        <v>229</v>
      </c>
      <c r="D52" s="0" t="s">
        <v>230</v>
      </c>
      <c r="E52" s="0" t="s">
        <v>100</v>
      </c>
      <c r="F52" s="0" t="s">
        <v>100</v>
      </c>
      <c r="G52" s="1" t="b">
        <f aca="false">FALSE()</f>
        <v>0</v>
      </c>
      <c r="H52" s="0" t="s">
        <v>231</v>
      </c>
      <c r="I52" s="2" t="b">
        <f aca="false">FALSE()</f>
        <v>0</v>
      </c>
      <c r="J52" s="0" t="n">
        <v>0</v>
      </c>
      <c r="K52" s="0" t="n">
        <v>0</v>
      </c>
      <c r="L52" s="0" t="n">
        <v>0</v>
      </c>
    </row>
    <row r="53" customFormat="false" ht="15" hidden="false" customHeight="false" outlineLevel="0" collapsed="false">
      <c r="A53" s="0" t="n">
        <v>51</v>
      </c>
      <c r="B53" s="0" t="s">
        <v>232</v>
      </c>
      <c r="C53" s="0" t="s">
        <v>233</v>
      </c>
      <c r="D53" s="0" t="s">
        <v>69</v>
      </c>
      <c r="E53" s="0" t="s">
        <v>234</v>
      </c>
      <c r="F53" s="0" t="s">
        <v>234</v>
      </c>
      <c r="G53" s="1" t="b">
        <f aca="false">FALSE()</f>
        <v>0</v>
      </c>
      <c r="H53" s="0" t="s">
        <v>235</v>
      </c>
      <c r="I53" s="2" t="b">
        <f aca="false">FALSE()</f>
        <v>0</v>
      </c>
      <c r="J53" s="0" t="n">
        <v>0</v>
      </c>
      <c r="K53" s="0" t="n">
        <v>0</v>
      </c>
      <c r="L53" s="0" t="n">
        <v>0</v>
      </c>
    </row>
    <row r="54" customFormat="false" ht="34.2" hidden="false" customHeight="false" outlineLevel="0" collapsed="false">
      <c r="A54" s="0" t="n">
        <v>52</v>
      </c>
      <c r="B54" s="0" t="s">
        <v>236</v>
      </c>
      <c r="C54" s="3" t="s">
        <v>237</v>
      </c>
      <c r="D54" s="0" t="s">
        <v>89</v>
      </c>
      <c r="E54" s="0" t="s">
        <v>100</v>
      </c>
      <c r="F54" s="0" t="s">
        <v>100</v>
      </c>
      <c r="G54" s="1" t="b">
        <f aca="false">FALSE()</f>
        <v>0</v>
      </c>
      <c r="H54" s="0" t="s">
        <v>238</v>
      </c>
      <c r="I54" s="2" t="b">
        <f aca="false">FALSE()</f>
        <v>0</v>
      </c>
      <c r="J54" s="0" t="n">
        <v>0</v>
      </c>
      <c r="K54" s="0" t="n">
        <v>0</v>
      </c>
      <c r="L54" s="0" t="n">
        <v>0</v>
      </c>
    </row>
    <row r="55" customFormat="false" ht="15" hidden="false" customHeight="false" outlineLevel="0" collapsed="false">
      <c r="A55" s="0" t="n">
        <v>53</v>
      </c>
      <c r="B55" s="0" t="s">
        <v>239</v>
      </c>
      <c r="C55" s="0" t="s">
        <v>240</v>
      </c>
      <c r="D55" s="0" t="s">
        <v>89</v>
      </c>
      <c r="E55" s="0" t="s">
        <v>100</v>
      </c>
      <c r="F55" s="0" t="s">
        <v>100</v>
      </c>
      <c r="G55" s="1" t="b">
        <f aca="false">FALSE()</f>
        <v>0</v>
      </c>
      <c r="H55" s="0" t="s">
        <v>241</v>
      </c>
      <c r="I55" s="2" t="b">
        <f aca="false">FALSE()</f>
        <v>0</v>
      </c>
      <c r="J55" s="0" t="n">
        <v>0</v>
      </c>
      <c r="K55" s="0" t="n">
        <v>0</v>
      </c>
      <c r="L55" s="0" t="n">
        <v>0</v>
      </c>
    </row>
    <row r="56" customFormat="false" ht="15" hidden="false" customHeight="false" outlineLevel="0" collapsed="false">
      <c r="A56" s="0" t="n">
        <v>54</v>
      </c>
      <c r="B56" s="0" t="s">
        <v>242</v>
      </c>
      <c r="C56" s="0" t="s">
        <v>243</v>
      </c>
      <c r="D56" s="0" t="s">
        <v>45</v>
      </c>
      <c r="E56" s="0" t="s">
        <v>45</v>
      </c>
      <c r="F56" s="0" t="s">
        <v>45</v>
      </c>
      <c r="G56" s="1" t="b">
        <f aca="false">FALSE()</f>
        <v>0</v>
      </c>
      <c r="H56" s="0" t="s">
        <v>244</v>
      </c>
      <c r="I56" s="1" t="b">
        <f aca="false">TRUE()</f>
        <v>1</v>
      </c>
      <c r="J56" s="0" t="n">
        <v>1</v>
      </c>
      <c r="K56" s="0" t="n">
        <v>1</v>
      </c>
      <c r="L56" s="0" t="n">
        <v>1</v>
      </c>
    </row>
    <row r="57" customFormat="false" ht="23.3" hidden="false" customHeight="false" outlineLevel="0" collapsed="false">
      <c r="A57" s="0" t="n">
        <v>55</v>
      </c>
      <c r="B57" s="0" t="s">
        <v>245</v>
      </c>
      <c r="C57" s="3" t="s">
        <v>246</v>
      </c>
      <c r="D57" s="0" t="s">
        <v>45</v>
      </c>
      <c r="E57" s="0" t="s">
        <v>45</v>
      </c>
      <c r="F57" s="0" t="s">
        <v>45</v>
      </c>
      <c r="G57" s="1" t="b">
        <f aca="false">FALSE()</f>
        <v>0</v>
      </c>
      <c r="H57" s="0" t="s">
        <v>247</v>
      </c>
      <c r="I57" s="1" t="b">
        <f aca="false">TRUE()</f>
        <v>1</v>
      </c>
      <c r="J57" s="0" t="n">
        <v>1</v>
      </c>
      <c r="K57" s="0" t="n">
        <v>1</v>
      </c>
      <c r="L57" s="0" t="n">
        <v>1</v>
      </c>
    </row>
    <row r="58" customFormat="false" ht="110.5" hidden="false" customHeight="false" outlineLevel="0" collapsed="false">
      <c r="A58" s="0" t="n">
        <v>56</v>
      </c>
      <c r="B58" s="0" t="s">
        <v>248</v>
      </c>
      <c r="C58" s="3" t="s">
        <v>249</v>
      </c>
      <c r="D58" s="0" t="s">
        <v>99</v>
      </c>
      <c r="E58" s="0" t="s">
        <v>250</v>
      </c>
      <c r="F58" s="0" t="s">
        <v>251</v>
      </c>
      <c r="G58" s="1" t="b">
        <f aca="false">TRUE()</f>
        <v>1</v>
      </c>
      <c r="H58" s="0" t="s">
        <v>252</v>
      </c>
      <c r="I58" s="2" t="b">
        <f aca="false">FALSE()</f>
        <v>0</v>
      </c>
      <c r="J58" s="0" t="n">
        <v>0</v>
      </c>
      <c r="K58" s="0" t="n">
        <v>0</v>
      </c>
      <c r="L58" s="0" t="n">
        <v>0</v>
      </c>
    </row>
    <row r="59" customFormat="false" ht="15" hidden="false" customHeight="false" outlineLevel="0" collapsed="false">
      <c r="A59" s="0" t="n">
        <v>57</v>
      </c>
      <c r="B59" s="0" t="s">
        <v>253</v>
      </c>
      <c r="C59" s="0" t="s">
        <v>254</v>
      </c>
      <c r="D59" s="0" t="s">
        <v>21</v>
      </c>
      <c r="E59" s="0" t="s">
        <v>166</v>
      </c>
      <c r="F59" s="0" t="s">
        <v>166</v>
      </c>
      <c r="G59" s="1" t="b">
        <f aca="false">FALSE()</f>
        <v>0</v>
      </c>
      <c r="H59" s="0" t="s">
        <v>255</v>
      </c>
      <c r="I59" s="2" t="b">
        <f aca="false">FALSE()</f>
        <v>0</v>
      </c>
      <c r="J59" s="0" t="n">
        <v>0.25</v>
      </c>
      <c r="K59" s="0" t="n">
        <v>1</v>
      </c>
      <c r="L59" s="0" t="n">
        <v>0.25</v>
      </c>
    </row>
    <row r="60" customFormat="false" ht="15" hidden="false" customHeight="false" outlineLevel="0" collapsed="false">
      <c r="A60" s="0" t="n">
        <v>58</v>
      </c>
      <c r="B60" s="0" t="s">
        <v>256</v>
      </c>
      <c r="C60" s="0" t="s">
        <v>257</v>
      </c>
      <c r="D60" s="0" t="s">
        <v>21</v>
      </c>
      <c r="E60" s="0" t="s">
        <v>258</v>
      </c>
      <c r="F60" s="0" t="s">
        <v>258</v>
      </c>
      <c r="G60" s="1" t="b">
        <f aca="false">FALSE()</f>
        <v>0</v>
      </c>
      <c r="H60" s="0" t="s">
        <v>259</v>
      </c>
      <c r="I60" s="2" t="b">
        <f aca="false">FALSE()</f>
        <v>0</v>
      </c>
      <c r="J60" s="0" t="n">
        <v>0.333333333333333</v>
      </c>
      <c r="K60" s="0" t="n">
        <v>1</v>
      </c>
      <c r="L60" s="0" t="n">
        <v>0.333333333333333</v>
      </c>
    </row>
    <row r="61" customFormat="false" ht="34.2" hidden="false" customHeight="false" outlineLevel="0" collapsed="false">
      <c r="A61" s="0" t="n">
        <v>59</v>
      </c>
      <c r="B61" s="0" t="s">
        <v>260</v>
      </c>
      <c r="C61" s="3" t="s">
        <v>261</v>
      </c>
      <c r="D61" s="0" t="s">
        <v>14</v>
      </c>
      <c r="E61" s="0" t="s">
        <v>79</v>
      </c>
      <c r="F61" s="0" t="s">
        <v>79</v>
      </c>
      <c r="G61" s="1" t="b">
        <f aca="false">FALSE()</f>
        <v>0</v>
      </c>
      <c r="H61" s="0" t="s">
        <v>262</v>
      </c>
      <c r="I61" s="5" t="b">
        <f aca="false">FALSE()</f>
        <v>0</v>
      </c>
      <c r="J61" s="0" t="n">
        <v>0.5</v>
      </c>
      <c r="K61" s="0" t="n">
        <v>1</v>
      </c>
      <c r="L61" s="0" t="n">
        <v>0.5</v>
      </c>
      <c r="N61" s="0" t="s">
        <v>263</v>
      </c>
    </row>
    <row r="62" customFormat="false" ht="15" hidden="false" customHeight="false" outlineLevel="0" collapsed="false">
      <c r="A62" s="0" t="n">
        <v>60</v>
      </c>
      <c r="B62" s="0" t="s">
        <v>264</v>
      </c>
      <c r="C62" s="0" t="s">
        <v>265</v>
      </c>
      <c r="D62" s="0" t="s">
        <v>99</v>
      </c>
      <c r="E62" s="0" t="s">
        <v>266</v>
      </c>
      <c r="F62" s="0" t="s">
        <v>266</v>
      </c>
      <c r="G62" s="1" t="b">
        <f aca="false">FALSE()</f>
        <v>0</v>
      </c>
      <c r="H62" s="0" t="s">
        <v>267</v>
      </c>
      <c r="I62" s="2" t="b">
        <f aca="false">FALSE()</f>
        <v>0</v>
      </c>
      <c r="J62" s="0" t="n">
        <v>0.2</v>
      </c>
      <c r="K62" s="0" t="n">
        <v>1</v>
      </c>
      <c r="L62" s="0" t="n">
        <v>0.2</v>
      </c>
    </row>
    <row r="63" customFormat="false" ht="99.6" hidden="false" customHeight="false" outlineLevel="0" collapsed="false">
      <c r="A63" s="0" t="n">
        <v>61</v>
      </c>
      <c r="B63" s="0" t="s">
        <v>268</v>
      </c>
      <c r="C63" s="3" t="s">
        <v>269</v>
      </c>
      <c r="D63" s="0" t="s">
        <v>89</v>
      </c>
      <c r="E63" s="0" t="s">
        <v>270</v>
      </c>
      <c r="F63" s="0" t="s">
        <v>271</v>
      </c>
      <c r="G63" s="1" t="b">
        <f aca="false">TRUE()</f>
        <v>1</v>
      </c>
      <c r="H63" s="0" t="s">
        <v>272</v>
      </c>
      <c r="I63" s="6" t="b">
        <f aca="false">FALSE()</f>
        <v>0</v>
      </c>
      <c r="J63" s="0" t="n">
        <v>0</v>
      </c>
      <c r="K63" s="0" t="n">
        <v>0</v>
      </c>
      <c r="L63" s="0" t="n">
        <v>0</v>
      </c>
    </row>
    <row r="64" customFormat="false" ht="15" hidden="false" customHeight="false" outlineLevel="0" collapsed="false">
      <c r="A64" s="0" t="n">
        <v>62</v>
      </c>
      <c r="B64" s="0" t="s">
        <v>273</v>
      </c>
      <c r="C64" s="0" t="s">
        <v>274</v>
      </c>
      <c r="D64" s="0" t="s">
        <v>14</v>
      </c>
      <c r="E64" s="0" t="s">
        <v>275</v>
      </c>
      <c r="F64" s="0" t="s">
        <v>51</v>
      </c>
      <c r="G64" s="1" t="b">
        <f aca="false">TRUE()</f>
        <v>1</v>
      </c>
      <c r="H64" s="0" t="s">
        <v>276</v>
      </c>
      <c r="I64" s="2" t="b">
        <f aca="false">FALSE()</f>
        <v>0</v>
      </c>
      <c r="J64" s="0" t="n">
        <v>0.333333333333333</v>
      </c>
      <c r="K64" s="0" t="n">
        <v>1</v>
      </c>
      <c r="L64" s="0" t="n">
        <v>0.333333333333333</v>
      </c>
    </row>
    <row r="65" customFormat="false" ht="15" hidden="false" customHeight="false" outlineLevel="0" collapsed="false">
      <c r="A65" s="0" t="n">
        <v>63</v>
      </c>
      <c r="B65" s="0" t="s">
        <v>277</v>
      </c>
      <c r="C65" s="0" t="s">
        <v>278</v>
      </c>
      <c r="D65" s="0" t="s">
        <v>89</v>
      </c>
      <c r="E65" s="0" t="s">
        <v>279</v>
      </c>
      <c r="F65" s="0" t="s">
        <v>280</v>
      </c>
      <c r="G65" s="1" t="b">
        <f aca="false">TRUE()</f>
        <v>1</v>
      </c>
      <c r="H65" s="0" t="s">
        <v>281</v>
      </c>
      <c r="I65" s="2" t="b">
        <f aca="false">FALSE()</f>
        <v>0</v>
      </c>
      <c r="J65" s="0" t="n">
        <v>0</v>
      </c>
      <c r="K65" s="0" t="n">
        <v>0</v>
      </c>
      <c r="L65" s="0" t="n">
        <v>0</v>
      </c>
    </row>
    <row r="66" customFormat="false" ht="56" hidden="false" customHeight="false" outlineLevel="0" collapsed="false">
      <c r="A66" s="0" t="n">
        <v>64</v>
      </c>
      <c r="B66" s="0" t="s">
        <v>282</v>
      </c>
      <c r="C66" s="3" t="s">
        <v>283</v>
      </c>
      <c r="D66" s="0" t="s">
        <v>21</v>
      </c>
      <c r="E66" s="0" t="s">
        <v>284</v>
      </c>
      <c r="F66" s="0" t="s">
        <v>284</v>
      </c>
      <c r="G66" s="1" t="b">
        <f aca="false">FALSE()</f>
        <v>0</v>
      </c>
      <c r="H66" s="0" t="s">
        <v>285</v>
      </c>
      <c r="I66" s="2" t="b">
        <f aca="false">FALSE()</f>
        <v>0</v>
      </c>
      <c r="J66" s="0" t="n">
        <v>0.5</v>
      </c>
      <c r="K66" s="0" t="n">
        <v>1</v>
      </c>
      <c r="L66" s="0" t="n">
        <v>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286</v>
      </c>
      <c r="C1" s="0" t="s">
        <v>287</v>
      </c>
      <c r="D1" s="0" t="s">
        <v>288</v>
      </c>
      <c r="E1" s="0" t="s">
        <v>289</v>
      </c>
      <c r="F1" s="0" t="s">
        <v>290</v>
      </c>
      <c r="G1" s="0" t="s">
        <v>291</v>
      </c>
    </row>
    <row r="2" customFormat="false" ht="15" hidden="false" customHeight="false" outlineLevel="0" collapsed="false">
      <c r="A2" s="0" t="s">
        <v>14</v>
      </c>
      <c r="B2" s="0" t="n">
        <v>10</v>
      </c>
      <c r="C2" s="0" t="n">
        <v>9</v>
      </c>
      <c r="D2" s="0" t="n">
        <v>26</v>
      </c>
      <c r="E2" s="0" t="n">
        <v>1</v>
      </c>
      <c r="F2" s="0" t="s">
        <v>292</v>
      </c>
      <c r="G2" s="0" t="s">
        <v>293</v>
      </c>
    </row>
    <row r="3" customFormat="false" ht="15" hidden="false" customHeight="false" outlineLevel="0" collapsed="false">
      <c r="A3" s="0" t="s">
        <v>99</v>
      </c>
      <c r="B3" s="0" t="n">
        <v>5</v>
      </c>
      <c r="C3" s="0" t="n">
        <v>1</v>
      </c>
      <c r="D3" s="0" t="n">
        <v>6</v>
      </c>
      <c r="E3" s="0" t="n">
        <v>4</v>
      </c>
      <c r="F3" s="0" t="s">
        <v>294</v>
      </c>
      <c r="G3" s="0" t="s">
        <v>295</v>
      </c>
    </row>
    <row r="4" customFormat="false" ht="15" hidden="false" customHeight="false" outlineLevel="0" collapsed="false">
      <c r="A4" s="0" t="s">
        <v>26</v>
      </c>
      <c r="B4" s="0" t="n">
        <v>7</v>
      </c>
      <c r="C4" s="0" t="n">
        <v>7</v>
      </c>
      <c r="D4" s="0" t="n">
        <v>13</v>
      </c>
      <c r="E4" s="0" t="n">
        <v>0</v>
      </c>
      <c r="F4" s="0" t="s">
        <v>296</v>
      </c>
      <c r="G4" s="0" t="s">
        <v>297</v>
      </c>
    </row>
    <row r="5" customFormat="false" ht="15" hidden="false" customHeight="false" outlineLevel="0" collapsed="false">
      <c r="A5" s="0" t="s">
        <v>21</v>
      </c>
      <c r="B5" s="0" t="n">
        <v>9</v>
      </c>
      <c r="C5" s="0" t="n">
        <v>8</v>
      </c>
      <c r="D5" s="0" t="n">
        <v>17</v>
      </c>
      <c r="E5" s="0" t="n">
        <v>1</v>
      </c>
      <c r="F5" s="0" t="s">
        <v>298</v>
      </c>
      <c r="G5" s="0" t="s">
        <v>299</v>
      </c>
    </row>
    <row r="6" customFormat="false" ht="15" hidden="false" customHeight="false" outlineLevel="0" collapsed="false">
      <c r="A6" s="0" t="s">
        <v>84</v>
      </c>
      <c r="B6" s="0" t="n">
        <v>3</v>
      </c>
      <c r="C6" s="0" t="n">
        <v>3</v>
      </c>
      <c r="D6" s="0" t="n">
        <v>8</v>
      </c>
      <c r="E6" s="0" t="n">
        <v>0</v>
      </c>
      <c r="F6" s="0" t="s">
        <v>296</v>
      </c>
      <c r="G6" s="0" t="s">
        <v>300</v>
      </c>
    </row>
    <row r="7" customFormat="false" ht="15" hidden="false" customHeight="false" outlineLevel="0" collapsed="false">
      <c r="A7" s="0" t="s">
        <v>65</v>
      </c>
      <c r="B7" s="0" t="n">
        <v>2</v>
      </c>
      <c r="C7" s="0" t="n">
        <v>1</v>
      </c>
      <c r="D7" s="0" t="n">
        <v>9</v>
      </c>
      <c r="E7" s="0" t="n">
        <v>1</v>
      </c>
      <c r="F7" s="0" t="s">
        <v>301</v>
      </c>
      <c r="G7" s="0" t="s">
        <v>302</v>
      </c>
    </row>
    <row r="8" customFormat="false" ht="15" hidden="false" customHeight="false" outlineLevel="0" collapsed="false">
      <c r="A8" s="0" t="s">
        <v>110</v>
      </c>
      <c r="B8" s="0" t="n">
        <v>3</v>
      </c>
      <c r="C8" s="0" t="n">
        <v>2</v>
      </c>
      <c r="D8" s="0" t="n">
        <v>9</v>
      </c>
      <c r="E8" s="0" t="n">
        <v>1</v>
      </c>
      <c r="F8" s="0" t="s">
        <v>303</v>
      </c>
      <c r="G8" s="0" t="s">
        <v>304</v>
      </c>
    </row>
    <row r="9" customFormat="false" ht="15" hidden="false" customHeight="false" outlineLevel="0" collapsed="false">
      <c r="A9" s="0" t="s">
        <v>69</v>
      </c>
      <c r="B9" s="0" t="n">
        <v>8</v>
      </c>
      <c r="C9" s="0" t="n">
        <v>6</v>
      </c>
      <c r="D9" s="0" t="n">
        <v>18</v>
      </c>
      <c r="E9" s="0" t="n">
        <v>2</v>
      </c>
      <c r="F9" s="0" t="s">
        <v>305</v>
      </c>
      <c r="G9" s="0" t="s">
        <v>306</v>
      </c>
    </row>
    <row r="10" customFormat="false" ht="15" hidden="false" customHeight="false" outlineLevel="0" collapsed="false">
      <c r="A10" s="0" t="s">
        <v>100</v>
      </c>
      <c r="B10" s="0" t="n">
        <v>0</v>
      </c>
      <c r="C10" s="0" t="n">
        <v>0</v>
      </c>
      <c r="D10" s="0" t="n">
        <v>7</v>
      </c>
      <c r="E10" s="0" t="n">
        <v>0</v>
      </c>
      <c r="F10" s="0" t="s">
        <v>307</v>
      </c>
      <c r="G10" s="0" t="s">
        <v>308</v>
      </c>
    </row>
    <row r="11" customFormat="false" ht="15" hidden="false" customHeight="false" outlineLevel="0" collapsed="false">
      <c r="A11" s="0" t="s">
        <v>45</v>
      </c>
      <c r="B11" s="0" t="n">
        <v>8</v>
      </c>
      <c r="C11" s="0" t="n">
        <v>6</v>
      </c>
      <c r="D11" s="0" t="n">
        <v>13</v>
      </c>
      <c r="E11" s="0" t="n">
        <v>2</v>
      </c>
      <c r="F11" s="0" t="s">
        <v>305</v>
      </c>
      <c r="G11" s="0" t="s">
        <v>299</v>
      </c>
    </row>
    <row r="12" customFormat="false" ht="15" hidden="false" customHeight="false" outlineLevel="0" collapsed="false">
      <c r="A12" s="0" t="s">
        <v>50</v>
      </c>
      <c r="B12" s="0" t="n">
        <v>7</v>
      </c>
      <c r="C12" s="0" t="n">
        <v>4</v>
      </c>
      <c r="D12" s="0" t="n">
        <v>4</v>
      </c>
      <c r="E12" s="0" t="n">
        <v>3</v>
      </c>
      <c r="F12" s="0" t="s">
        <v>309</v>
      </c>
      <c r="G12" s="0" t="s">
        <v>301</v>
      </c>
    </row>
    <row r="13" customFormat="false" ht="15" hidden="false" customHeight="false" outlineLevel="0" collapsed="false">
      <c r="A13" s="0" t="s">
        <v>124</v>
      </c>
      <c r="B13" s="0" t="n">
        <v>1</v>
      </c>
      <c r="C13" s="0" t="n">
        <v>1</v>
      </c>
      <c r="D13" s="0" t="n">
        <v>2</v>
      </c>
      <c r="E13" s="0" t="n">
        <v>0</v>
      </c>
      <c r="F13" s="0" t="s">
        <v>296</v>
      </c>
      <c r="G13" s="0"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311</v>
      </c>
      <c r="B1" s="0" t="s">
        <v>312</v>
      </c>
      <c r="C1" s="0" t="s">
        <v>313</v>
      </c>
    </row>
    <row r="2" customFormat="false" ht="15" hidden="false" customHeight="false" outlineLevel="0" collapsed="false">
      <c r="A2" s="0" t="s">
        <v>314</v>
      </c>
      <c r="B2" s="0" t="s">
        <v>315</v>
      </c>
      <c r="C2" s="0" t="n">
        <v>65</v>
      </c>
    </row>
    <row r="3" customFormat="false" ht="15" hidden="false" customHeight="false" outlineLevel="0" collapsed="false">
      <c r="A3" s="0" t="s">
        <v>316</v>
      </c>
      <c r="B3" s="0" t="s">
        <v>297</v>
      </c>
      <c r="C3" s="0" t="n">
        <v>65</v>
      </c>
    </row>
    <row r="4" customFormat="false" ht="15" hidden="false" customHeight="false" outlineLevel="0" collapsed="false">
      <c r="A4" s="0" t="s">
        <v>317</v>
      </c>
      <c r="B4" s="0" t="s">
        <v>318</v>
      </c>
      <c r="C4" s="0" t="n">
        <v>65</v>
      </c>
    </row>
    <row r="5" customFormat="false" ht="15" hidden="false" customHeight="false" outlineLevel="0" collapsed="false">
      <c r="A5" s="0" t="s">
        <v>319</v>
      </c>
      <c r="B5" s="0" t="s">
        <v>297</v>
      </c>
      <c r="C5" s="0" t="n">
        <v>65</v>
      </c>
    </row>
    <row r="6" customFormat="false" ht="15" hidden="false" customHeight="false" outlineLevel="0" collapsed="false">
      <c r="A6" s="0" t="s">
        <v>320</v>
      </c>
      <c r="B6" s="0" t="s">
        <v>321</v>
      </c>
      <c r="C6" s="0" t="n">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2026-07-20T08:12:24Z</dcterms:created>
  <dc:creator>openpyxl</dc:creator>
  <dc:description/>
  <dc:language>en-GB</dc:language>
  <cp:lastModifiedBy/>
  <dcterms:modified xsi:type="dcterms:W3CDTF">2026-07-20T18:21:25Z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