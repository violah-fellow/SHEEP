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<sst xmlns="http://schemas.openxmlformats.org/spreadsheetml/2006/main" count="433" uniqueCount="242">
  <si>
    <t xml:space="preserve">id</t>
  </si>
  <si>
    <t xml:space="preserve">title</t>
  </si>
  <si>
    <t xml:space="preserve">abstract</t>
  </si>
  <si>
    <t xml:space="preserve">award_purpose</t>
  </si>
  <si>
    <t xml:space="preserve">raw_predicted_categories</t>
  </si>
  <si>
    <t xml:space="preserve">predicted_award_purpose</t>
  </si>
  <si>
    <t xml:space="preserve">reasoning_LLM</t>
  </si>
  <si>
    <t xml:space="preserve">exact_match</t>
  </si>
  <si>
    <t xml:space="preserve">row_precision</t>
  </si>
  <si>
    <t xml:space="preserve">row_recall</t>
  </si>
  <si>
    <t xml:space="preserve">row_jaccard</t>
  </si>
  <si>
    <t xml:space="preserve">Notes</t>
  </si>
  <si>
    <t xml:space="preserve">Reimagine protein - Processing of alternative proteins for superior nutritional functionality</t>
  </si>
  <si>
    <t xml:space="preserve">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</si>
  <si>
    <t xml:space="preserve">Research and development</t>
  </si>
  <si>
    <t xml:space="preserve">This grant funds scientific research and development into how processing affects the nutritional quality of alternative proteins, conducted by a consortium of research partners and food industry members, with no explicit focus on training, networking, equipment acquisition, or shared research infrastructure.</t>
  </si>
  <si>
    <t xml:space="preserve">A New Approach to the Production of Cultured Meat with Enhanced Texture - Project 2</t>
  </si>
  <si>
    <t xml:space="preserve">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</si>
  <si>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 xml:space="preserve">Research and development, Education and training</t>
  </si>
  <si>
    <t xml:space="preserve">This grant funds scientific research and development of a novel bioreactor method for producing cultured meat with enhanced texture using aligned extracellular matrix, involving collaborative R&amp;D across universities and an industry partner with no explicit education, networking, equipment, or shared infrastructure purposes.</t>
  </si>
  <si>
    <t xml:space="preserve">Education and training is unclear. It may fund PhD positions but not obviously, so the LLM doesn’t know.</t>
  </si>
  <si>
    <t xml:space="preserve">APPLICATION OF THERMOEXTRUSION TO OBTAIN A TEXTURED BEAN PROTEIN WITH AN IMPROVED NUTRITIONAL AND POTENTIALLY FUNCTIONAL PROFILE.</t>
  </si>
  <si>
    <t xml:space="preserve">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</si>
  <si>
    <t xml:space="preserve">This grant funds scientific research and development focused on optimizing thermoextrusion processes and developing plant-based meat analogues from broad bean protein, with no mention of training, networking, shared facilities, or production equipment funding.</t>
  </si>
  <si>
    <t xml:space="preserve">Utilising food waste as a feedstock for cultivated meat</t>
  </si>
  <si>
    <t xml:space="preserve">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</si>
  <si>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 xml:space="preserve">Research and development; Education and training</t>
  </si>
  <si>
    <t xml:space="preserve">This is a Doctoral Training Partnership grant funding a PhD studentship on using food waste as feedstock for cultivated meat, combining postgraduate research and development with explicit doctoral training.</t>
  </si>
  <si>
    <t xml:space="preserve">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</si>
  <si>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</si>
  <si>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 xml:space="preserve">Research infrastructure, Networking</t>
  </si>
  <si>
    <t xml:space="preserve">Networking; Research infrastructure</t>
  </si>
  <si>
    <t xml:space="preserve">The grant explicitly funds the creation of an all-island Irish network of research organisations (Networking) and the federation/accreditation of shared research facilities across multiple Irish institutions into the IBISBA European research infrastructure (Research infrastructure), with no primary R&amp;D activity described beyond the audit, roadmap, and standardisation work needed to build the network and infrastructure.</t>
  </si>
  <si>
    <t xml:space="preserve">Umiami acquires Unilever factory to establish 'Made-in-France plant-based meat'</t>
  </si>
  <si>
    <t xml:space="preserve">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</si>
  <si>
    <t xml:space="preserve">Equipment and infrastructure</t>
  </si>
  <si>
    <t xml:space="preserve">The grant funds Umiami's acquisition of a single organisation's own manufacturing facility (a former Unilever factory) for plant-based meat production, with no described research, training, networking, or shared research infrastructure activity.</t>
  </si>
  <si>
    <t xml:space="preserve">geniALGE - geniALGE- algae technology as a hope for the future</t>
  </si>
  <si>
    <t xml:space="preserve">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</si>
  <si>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 xml:space="preserve">This grant funds student-led research and development activities around algae technology (including experiments, algae cultivation, and reactor construction) while simultaneously serving as an education and training initiative through workshops, peer learning, and hands-on laboratory experiences for students of different ages.</t>
  </si>
  <si>
    <t xml:space="preserve">Solar Foods accelerates production of climate-friendly protein with investment from The Finnish Climate Fund</t>
  </si>
  <si>
    <t xml:space="preserve">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</si>
  <si>
    <t xml:space="preserve">The grant funds commercial-scale production facility construction for Solar Foods' own Solein protein manufacturing, with no described R&amp;D, training, networking, or shared research infrastructure activity.</t>
  </si>
  <si>
    <t xml:space="preserve">Unveiling algaenan metabolism in eukaryotic microalgae</t>
  </si>
  <si>
    <t xml:space="preserve">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</si>
  <si>
    <t xml:space="preserve">This grant funds scientific research into algaenan metabolism in microalgae using genetic engineering, co-expression analysis, and mass spectrometry, with applied goals of improving microalgae as a food source — a clear R&amp;D grant with no explicit education, networking, or infrastructure components.</t>
  </si>
  <si>
    <t xml:space="preserve">Interdisciplinary Future Food Network (IFFN)</t>
  </si>
  <si>
    <t xml:space="preserve">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</si>
  <si>
    <t xml:space="preserve">Networking</t>
  </si>
  <si>
    <t xml:space="preserve">Research and development; Networking</t>
  </si>
  <si>
    <t xml:space="preserve">The grant explicitly builds an interdisciplinary network connecting academics and stakeholders across the value chain (Networking), while also conducting research and proposing solutions on future food challenges including novel proteins and side-stream utilization (R&amp;D).</t>
  </si>
  <si>
    <t xml:space="preserve">Agree with LLM</t>
  </si>
  <si>
    <t xml:space="preserve">Pilot plant for cultivated pork for sustainable food systems</t>
  </si>
  <si>
    <t xml:space="preserve">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</si>
  <si>
    <t xml:space="preserve">Equipment and infrastructure, Research and development</t>
  </si>
  <si>
    <t xml:space="preserve">Research and development; Equipment and infrastructure</t>
  </si>
  <si>
    <t xml:space="preserve">The grant funds development of cultivated pork technology and explicitly establishes a pilot plant for cultivated meat production at HigherSteaks, a single organisation's own manufacturing facility aimed at scaling product output.</t>
  </si>
  <si>
    <t xml:space="preserve">Towards a bio-based future: joining forces to maximize conditions of success for the transition towards a more natural and sustainable global food chain</t>
  </si>
  <si>
    <t xml:space="preserve">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</si>
  <si>
    <t xml:space="preserve">The grant funds multi-stakeholder mutual learning exercises, conceptual analysis, and collaborative processes to align diverse actors (science, industry, governance, civil society) around a bio-based food transition — its primary purpose is connecting and coordinating stakeholders rather than conducting R&amp;D, training individuals, or building physical infrastructure.</t>
  </si>
  <si>
    <t xml:space="preserve">The development of green electrochemistry methods to improve the efficiency of food production: molecular, multicomponent and cellular biological targets of an electrochemically activated aqueous solution</t>
  </si>
  <si>
    <t xml:space="preserve">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</si>
  <si>
    <t xml:space="preserve">The grant funds scientific research and development of electrochemically activated aqueous solution (ECAS) methods for food processing, including extraction of plant substances and minced meat processing, with no described training, networking, or infrastructure purposes.</t>
  </si>
  <si>
    <t xml:space="preserve">Optimising microbial protein biotechnology using machine learning and mathematical optimisation for protein sustainability</t>
  </si>
  <si>
    <t xml:space="preserve">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</si>
  <si>
    <t xml:space="preserve">This grant funds scientific research and development activities — specifically applying machine learning, model predictive control, and mathematical optimisation to advance mycoprotein fermentation biotechnology and supply chain sustainability — with no primary focus on training, networking, shared infrastructure, or production equipment.</t>
  </si>
  <si>
    <t xml:space="preserve">EPINET: Epistemic networks</t>
  </si>
  <si>
    <t xml:space="preserve">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</si>
  <si>
    <t xml:space="preserve">The grant funds development of new methodological frameworks (R&amp;D) and explicitly builds epistemic networks connecting TA practitioners, innovators, and policy makers across multiple domains including synthetic meat, making Networking also applicable.</t>
  </si>
  <si>
    <t xml:space="preserve">Understanding the functional properties of microbial proteins</t>
  </si>
  <si>
    <t xml:space="preserve">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</si>
  <si>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 xml:space="preserve">This CDT (Centre for Doctoral Training) grant funds both R&amp;D into the techno-functional and mouthfeel properties of single-cell proteins from microbial sources and a structured training programme for postgraduate researchers (PGR students) with skills in innovation, enterprise, and cross-disciplinary research, including CPD modules for industry professionals.</t>
  </si>
  <si>
    <t xml:space="preserve">Novel production method for boosting texture and binding of Nordic plant-based meat [PlantBoost]</t>
  </si>
  <si>
    <t xml:space="preserve">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</si>
  <si>
    <t xml:space="preserve">The grant funds R&amp;D of novel production methods and formulations for plant-based meat analogues using Nordic ingredients, with no explicit focus on training, networking, shared research infrastructure, or single-organisation production equipment procurement.</t>
  </si>
  <si>
    <t xml:space="preserve">SusProFood: Optimising development of SUStainable functional fibre-rich FOODs fortified with plant PROteins.</t>
  </si>
  <si>
    <t xml:space="preserve">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</si>
  <si>
    <t xml:space="preserve">This grant funds scientific research and development to optimise physical modification of plant proteins for use in fibre-rich foods, including formulation, processing, sensory trials, and consumer studies, with no explicit focus on training, networking, shared infrastructure, or production equipment.</t>
  </si>
  <si>
    <t xml:space="preserve">Support for the development, regulatory approval, and commercialization of the Solein protein</t>
  </si>
  <si>
    <t xml:space="preserve">“We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</si>
  <si>
    <t xml:space="preserve">The grant funds both R&amp;D/product development activities and the pre-engineering phase of Factory 02, a single organisation's (Solar Foods) own production facility, indicating both research and development and equipment/infrastructure purposes.</t>
  </si>
  <si>
    <t xml:space="preserve">Pilot-scale wet extrusion system for the development of new products in human and animal food</t>
  </si>
  <si>
    <t xml:space="preserve">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</si>
  <si>
    <t xml:space="preserve">Research infrastructure</t>
  </si>
  <si>
    <t xml:space="preserve">Research and development; Research infrastructure</t>
  </si>
  <si>
    <t xml:space="preserve">The grant funds a pilot-scale wet extrusion system that will be part of a university's Food Technology Pilot Plant Testing service, explicitly shared across multiple research groups in agri-food, nutrition, and health — making it a shared research infrastructure rather than a single organisation's production equipment, while also supporting R&amp;D on new food products and processes.</t>
  </si>
  <si>
    <t xml:space="preserve">MICROALGAE PROTEIN INGREDIENTS FOR THE FOOD AND FEED OF THE FUTURE (PRO-FUTURE)</t>
  </si>
  <si>
    <t xml:space="preserve">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</si>
  <si>
    <t xml:space="preserve">The grant funds scientific research and development activities including evaluating advanced production systems, characterizing nutritional effects, incorporating single-cell proteins into food and feed at industrial level, and appraising the microalgae value chain to improve competitiveness.</t>
  </si>
  <si>
    <t xml:space="preserve">Strengthening the Capacity of Excellence Hubs of Türkiye, Greece, and Ukraine to Support Innovation Ecosystem of Novel Foods Based on Plant Proteins</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</si>
  <si>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</si>
  <si>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 xml:space="preserve">Education and training</t>
  </si>
  <si>
    <t xml:space="preserve">Research and development; Education and training; Networking</t>
  </si>
  <si>
    <t xml:space="preserve">This grant explicitly funds R&amp;D on plant protein processing, upskilling/mentoring activities for researchers and entrepreneurs (education and training), and the building of a cross-border interconnected Excellence Hub network connecting 17 partners across three countries (networking), but does not fund physical production equipment or a shared research facility.</t>
  </si>
  <si>
    <t xml:space="preserve">Advanced decisional tools for large-scale cultured meat facilities</t>
  </si>
  <si>
    <t xml:space="preserve">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</si>
  <si>
    <t xml:space="preserve">The grant funds development of mathematical models and computational decisional tools for cultured meat bioreactor processes, which is purely R&amp;D with no explicit education/training, networking, equipment, or shared research infrastructure components.</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</si>
  <si>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</si>
  <si>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</si>
  <si>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This grant funds multidisciplinary scientific research into cellular agriculture and single-cell proteins, exploring scalability, protein quality, downstream processing, structure-function relationships, and food prototype development — a clear R&amp;D focus with no explicit mention of training programs, networking activities, shared research facilities, or production equipment funding.</t>
  </si>
  <si>
    <t xml:space="preserve">Recovery and characterisation of high value functional proteins from leaf and vegetable sources for applications in the food sector</t>
  </si>
  <si>
    <t xml:space="preserve">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</si>
  <si>
    <t xml:space="preserve">The grant funds scientific research and development of innovative processing technologies to extract and characterise high-value proteins and chemicals from plant-based and agricultural residue sources, with no mention of training, networking, shared infrastructure, or production equipment.</t>
  </si>
  <si>
    <t xml:space="preserve">SYLPLANT</t>
  </si>
  <si>
    <t xml:space="preserve">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</si>
  <si>
    <t xml:space="preserve">SYLPLANT is a collaborative R&amp;D project scaling up alternative protein technology (SylPro®) across a 17-partner value chain, and explicitly describes building a factory for industrial-scale production of 10,000 tons/year, indicating both R&amp;D and single-organisation production infrastructure investment.</t>
  </si>
  <si>
    <t xml:space="preserve">Designer plant burgers - use of targeted biochemistry and chemistry to generate flavour (taste and aroma) during extrusion of plant protein</t>
  </si>
  <si>
    <t xml:space="preserve">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</si>
  <si>
    <t xml:space="preserve">This is a 4-year PhD studentship (education and training) focused on developing flavour and texture in plant-based meat products through extrusion technology and biochemistry (research and development), supported by an interdisciplinary team across two universities and Unilever.</t>
  </si>
  <si>
    <t xml:space="preserve">Like-A-Pro: From niche to mainstream - alternative proteins for everybody and everywhere</t>
  </si>
  <si>
    <t xml:space="preserve">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</si>
  <si>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 xml:space="preserve">Research and development, Education and training, Research infrastructure</t>
  </si>
  <si>
    <t xml:space="preserve">The grant funds R&amp;D through development of 16 new alternative protein products from novel sources, and also funds networking/coordination across a trans-disciplinary consortium of value chain actors, living labs, and co-creation activities across multiple countries and organisations.</t>
  </si>
  <si>
    <t xml:space="preserve">Characterization of bioactive compounds in waste raw materials from the brewing industry and examination of their nutritional value and biotechnological potential</t>
  </si>
  <si>
    <t xml:space="preserve">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</si>
  <si>
    <t xml:space="preserve">This grant funds scientific research into characterizing bioactive compounds in brewing industry waste (brewery grains and yeast slurry) and examining their nutritional, prebiotic, and biotechnological potential, with no mention of training, networking, or shared/production infrastructure.</t>
  </si>
  <si>
    <t xml:space="preserve">"Animal Free Protein - fermentation produced milk protein"</t>
  </si>
  <si>
    <t xml:space="preserve">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</si>
  <si>
    <t xml:space="preserve">The grant explicitly funds a network initiative to connect Danish competencies, build bridges between research and innovation, and produce a roadmap — its primary purpose is coordination and networking across stakeholders rather than directly funding R&amp;D, training, or infrastructure.</t>
  </si>
  <si>
    <t xml:space="preserve">Integration of acorn flour into the food chain as a ingredient with high nutrition value (2MIs planned)</t>
  </si>
  <si>
    <t xml:space="preserve">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</si>
  <si>
    <t xml:space="preserve">The grant funds scientific development and commercialization of acorn-based food ingredients (flour, coffee substitute, meat substitutes), including recipe creation, validation, and life cycle assessment — all core R&amp;D activities with no explicit funding of training, networking, shared research infrastructure, or production equipment.</t>
  </si>
  <si>
    <t xml:space="preserve">Joint project: Upcycling of side streams with basidiomycetes to obtain sensory-usable legume and mycoproteins as new vegan protein alternatives (LegPlusMyk) - Subproject B</t>
  </si>
  <si>
    <t xml:space="preserve">No abstract</t>
  </si>
  <si>
    <t xml:space="preserve">The title describes a joint R&amp;D project focused on upcycling side streams using basidiomycetes to develop legume and mycoproteins as vegan protein alternatives, indicating research and development as the primary purpose.</t>
  </si>
  <si>
    <t xml:space="preserve">Single-step disentanglement and fractionation of microalgal high-value products through acoustophoresis</t>
  </si>
  <si>
    <t xml:space="preserve">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</si>
  <si>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 xml:space="preserve">This grant funds scientific research and development of a novel acoustophoresis-based single-step extraction and separation technology for microalgal high-value products, with no mention of training, networking, or shared/production infrastructure.</t>
  </si>
  <si>
    <t xml:space="preserve">InGREENdient</t>
  </si>
  <si>
    <t xml:space="preserve">Platform that transforms plant co-products into a highly nutritious powder powder by a process that generates only water vapour and no additional inputs.</t>
  </si>
  <si>
    <t xml:space="preserve">The grant funds development of a platform process to transform plant co-products into nutritious powder, which is clearly R&amp;D activity with no mention of training, networking, shared infrastructure, or production equipment funding.</t>
  </si>
  <si>
    <t xml:space="preserve">Sustainable bioproducts from low cost methane gas</t>
  </si>
  <si>
    <t xml:space="preserve">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</si>
  <si>
    <t xml:space="preserve">This is a PhD project (education and training) that also involves scientific research and development of methane fermentation processes and M. capsulatus as a protein feed source (R&amp;D), with no focus on networking, equipment, or shared research infrastructure.</t>
  </si>
  <si>
    <t xml:space="preserve">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</si>
  <si>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</si>
  <si>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 xml:space="preserve">Research and development, Education and training, Research infrastructure, Networking</t>
  </si>
  <si>
    <t xml:space="preserve">Research and development; Education and training; Networking; Research infrastructure</t>
  </si>
  <si>
    <t xml:space="preserve">NAPIC is a pan-UK national centre explicitly funding R&amp;D across the full AP value chain, training future sector leaders with bespoke technical and entrepreneurial programmes, coordinating an international network of academic, industry, and policy partners, and providing shared innovation facilities and hubs to support broad multi-partner research across the UK agri-food sector.</t>
  </si>
  <si>
    <t xml:space="preserve">Optimising the sensorial and nutritional value of plant based milk alternatives</t>
  </si>
  <si>
    <t xml:space="preserve">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</si>
  <si>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 xml:space="preserve">This grant funds scientific research into optimising the sensory (aroma, taste, mouthfeel, astringency) and nutritional (protein quality, mineral bioavailability, beta-glucans) properties of oat-based plant milk alternatives, with no mention of training, networking, or infrastructure purposes.</t>
  </si>
  <si>
    <t xml:space="preserve">Grant to Enifer for commercial-scale mycoprotein facility</t>
  </si>
  <si>
    <t xml:space="preserve">Finnish biotech startup Enifer announces that it has received a grant worth over €12 million from the European Union’s NextGenerationEU programme, to construct its first commercial-scale mycoprotein facility in the Uusimaa region (the exact location has not been revealed).</t>
  </si>
  <si>
    <t xml:space="preserve">The grant exclusively funds construction of a single organisation's (Enifer's) first commercial-scale mycoprotein production facility, with no described research, training, networking, or shared research infrastructure activity.</t>
  </si>
  <si>
    <t xml:space="preserve">In vitro digestibility - reducing animal use whilst meeting the demand to evaluate alternative proteins</t>
  </si>
  <si>
    <t xml:space="preserve">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</si>
  <si>
    <t xml:space="preserve">This grant funds scientific research and development of an in vitro protein digestibility model to screen alternative protein sources, comparing it against in vivo methods in broiler chickens, with no described training, networking, or infrastructure purposes.</t>
  </si>
  <si>
    <t xml:space="preserve">Feeding Future Generations Sustainably: Legal Challenges and Scientific Innovation</t>
  </si>
  <si>
    <t xml:space="preserve">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</si>
  <si>
    <t xml:space="preserve">The grant funds both research activities (assessing science-law relationships around food innovation including cultured meat and novel foods, with peer-reviewed publications) and education/training (introducing a multidisciplinary course, seminars, and academic events to build knowledge and skills in the field).</t>
  </si>
  <si>
    <t xml:space="preserve">GoCreate</t>
  </si>
  <si>
    <t xml:space="preserve">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</si>
  <si>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 xml:space="preserve">The grant explicitly funds getting Fermtech's team and operations 'up and running,' indicating it supports a single organisation's operational setup and infrastructure rather than research, training, networking, or shared research facilities.</t>
  </si>
  <si>
    <t xml:space="preserve">Investigating the structure and function of the microbiome underpinning anaerobic digestion for resource recovery from carbon-rich, nutrient-rich ferm</t>
  </si>
  <si>
    <t xml:space="preserve">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</si>
  <si>
    <t xml:space="preserve">This grant funds scientific research investigating microbiome structure and function in anaerobic digestion of fermentation wastewater, with no described training, networking, or shared/production infrastructure components.</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</si>
  <si>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</si>
  <si>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</si>
  <si>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Education and training; Networking</t>
  </si>
  <si>
    <t xml:space="preserve">UKProNet2025 is explicitly a network-building and community coordination grant that funds workshops, lab exchanges, ECR support, summer studentships, and community integration activities — not direct R&amp;D — making Networking and Education and training the primary purposes with no described research or development activity of its own.</t>
  </si>
  <si>
    <t xml:space="preserve">Scaling production of animal-free egg protein (Bioalbumen)</t>
  </si>
  <si>
    <t xml:space="preserve">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</si>
  <si>
    <t xml:space="preserve">The grant funds scaling production of animal-free egg protein (Bioalbumen) at Onego Bio, indicating both product development R&amp;D and investment in a single organisation's production/manufacturing capacity.</t>
  </si>
  <si>
    <t xml:space="preserve">Development of hollow-fibre bioreactor technology to enable resource-efficient cultivated meat production</t>
  </si>
  <si>
    <t xml:space="preserve">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</si>
  <si>
    <t xml:space="preserve">The grant primarily funds R&amp;D to optimise and validate hollow-fibre bioreactor technology for cultivated meat production; the mention of e-learning courses is incidental and not the primary funded activity, and the bioreactor prototype is a research tool rather than a single organisation's commercial production facility.</t>
  </si>
  <si>
    <t xml:space="preserve">Industrialization and commercialization of a competitive, sustainable, and consumer oriented alternative animal protein source (Meat4All)</t>
  </si>
  <si>
    <t xml:space="preserve">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</si>
  <si>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 xml:space="preserve">This grant funds both R&amp;D activities (scaling up cultured meat production technology, safety assessments, consumer trials, media development) and physical scale-up of a single organisation's production capacity from 135 kg to 10 tons per year, qualifying as equipment and infrastructure for commercialization purposes.</t>
  </si>
  <si>
    <t xml:space="preserve">Support for travel costs</t>
  </si>
  <si>
    <t xml:space="preserve">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</si>
  <si>
    <t xml:space="preserve">The grant explicitly funds travel costs for a study trip to the Israeli food and ag tech innovation ecosystem, focused on generating insights and cooperation opportunities — a networking/exchange visit with no described R&amp;D, training, or infrastructure activity.</t>
  </si>
  <si>
    <t xml:space="preserve">Scientific Exchange to assess QUality and Risks of FOODs obtained by novel processing and Packaging 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</si>
  <si>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</si>
  <si>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Research and development, Networking</t>
  </si>
  <si>
    <t xml:space="preserve">The grant funds both scientific R&amp;D on novel food processing and packaging technologies and the building of an international scientific network/consortium across EU and South American universities and research institutes.</t>
  </si>
  <si>
    <t xml:space="preserve">SEAlgaePower: Sustainable development of microalgae-based products using waste streams from aquaculture and seafood processing industry</t>
  </si>
  <si>
    <t xml:space="preserve">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</si>
  <si>
    <t xml:space="preserve">This grant funds scientific research and development of microalgae-based technologies for wastewater treatment and biomass valorisation into food ingredients, spanning lab-scale to pilot-scale cultivation, biorefinery protocols, and prototype development across a multi-partner consortium.</t>
  </si>
  <si>
    <t xml:space="preserve">Multi-scale structure, technological and nutritional properties of new protein food ingredients obtained from mushroom and algae biomass</t>
  </si>
  <si>
    <t xml:space="preserve">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</si>
  <si>
    <t xml:space="preserve">This grant funds scientific research and development focused on extracting and characterizing protein-rich ingredients from mushroom and algae biomass, studying their nutritional quality, techno-functional properties, and processing via 3D printing — a clear R&amp;D project with no explicit education, networking, or infrastructure components.</t>
  </si>
  <si>
    <t xml:space="preserve">Development of autonomous incubator for the production of a microalgae, Arthrospira platensis</t>
  </si>
  <si>
    <t xml:space="preserve">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</si>
  <si>
    <t xml:space="preserve">The grant funds development of an autonomous incubator for microalgae (spirulina) production, which is a product/technology development activity focused on a single organisation's production system, but the abstract describes it as R&amp;D (developing the incubator technology) rather than explicitly funding a pilot-scale or commercial manufacturing facility for scaling production.</t>
  </si>
  <si>
    <t xml:space="preserve">Study on wheat-based alternative protein products combined with other raw materials</t>
  </si>
  <si>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</si>
  <si>
    <t xml:space="preserve">The grant funds R&amp;D of wheat-based meat substitute prototypes (including sensory analysis) and explicitly aims to stimulate and create partnerships among value chain actors in the Swedish food sector.</t>
  </si>
  <si>
    <t xml:space="preserve">Meatier meat-analogues through elucidating and optimising water entrainment in mycoprotein-based products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</si>
  <si>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</si>
  <si>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This grant funds scientific research into water entrainment and physicochemical behaviour in mycoprotein-based meat analogues to improve product design, with no mention of training, networking, shared facilities, or production equipment.</t>
  </si>
  <si>
    <t xml:space="preserve">Nachhaltige Proteinerzeugung aus Quinoa und Buchweizen - Demonstration und Praxisintegration - Landwirtschaftlichen Lehranstalten Triesdorf (NaP-TQ)</t>
  </si>
  <si>
    <t xml:space="preserve">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</si>
  <si>
    <t xml:space="preserve">The grant funds practical field trials of quinoa and buckwheat cultivation (R&amp;D), disseminates knowledge through seminars, field days, and online/social media offerings (education and training), and coordinates actors across the value chain including farmers, processors, and consumers in a regional network (networking).</t>
  </si>
  <si>
    <t xml:space="preserve">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</si>
  <si>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</si>
  <si>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 xml:space="preserve">The grant funds the transformation of a food-grade facility into a production scale-up site for start-ups in precision fermentation, biomass fermentation, and cell-based meat — this is physical production/manufacturing infrastructure for a single organisation (Synbio Powerlabs), with no described R&amp;D, training, or networking activity.</t>
  </si>
  <si>
    <t xml:space="preserve">Rethinking Cultured Meat (CM) Growth Medium: Can Grassland Plant-Derived Supplements Sustainably Support CM Production?</t>
  </si>
  <si>
    <t xml:space="preserve">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</si>
  <si>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 xml:space="preserve">This PhD studentship funds both R&amp;D into grassland plant-derived supplements as sustainable cultured meat growth media and explicit interdisciplinary training of a student in biorefining, anaerobic fermentation, cell culture, LCA, and related skills.</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</si>
  <si>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</si>
  <si>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</si>
  <si>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This is a PhD studentship (education and training) conducting interdisciplinary socio-ecological research (R&amp;D) on the potential impacts of alternative proteins in the UK and Europe, co-designed with the Good Food Institute.</t>
  </si>
  <si>
    <t xml:space="preserve">Biorefining Protein from UK Grasslands - Can We Combine Novel Protein with Surplus Bread Crusts to Sustainably Feed Healthier Food to More People?</t>
  </si>
  <si>
    <t xml:space="preserve">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</si>
  <si>
    <t xml:space="preserve">This is a studentship (PhD training) grant that funds both scientific R&amp;D (biorefining, fermentation, protein extraction from grass/clover combined with bread crusts) and the education/training of a researcher through that studentship programme.</t>
  </si>
  <si>
    <t xml:space="preserve">Comparing the Physical Properties of Plant Lipid Droplets (Oleosomes) with Milk Lipid Droplets (Milk Fat Globules) in Model Food Systems</t>
  </si>
  <si>
    <t xml:space="preserve">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</si>
  <si>
    <t xml:space="preserve">This grant funds scientific research comparing plant oleosomes with milk fat globules across multiple analytical objectives, and explicitly includes student skill development as a structured component of the award, indicating both R&amp;D and education/training purposes.</t>
  </si>
  <si>
    <t xml:space="preserve">BettaF!sh</t>
  </si>
  <si>
    <t xml:space="preserve">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</si>
  <si>
    <t xml:space="preserve">The grant funds the development and launch of new plant-based seafood products and a seaweed-based umami enhancer, constituting product development and innovation activity.</t>
  </si>
  <si>
    <t xml:space="preserve">Scaling up to a new mycoprotein factory</t>
  </si>
  <si>
    <t xml:space="preserve">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</si>
  <si>
    <t xml:space="preserve">The grant exclusively funds scaling up operations and moving into a commercial mycoprotein production factory for a single organisation, with no described research, training, networking, or shared research infrastructure activity.</t>
  </si>
  <si>
    <t xml:space="preserve">microTEXTURE: Unlocking the Secrets of Plant-Based Textures through Investigations at Multiple Length Scales</t>
  </si>
  <si>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</si>
  <si>
    <t xml:space="preserve">This grant funds scientific research into the microstructural, rheological, and sensory mechanisms underlying texture development in plant-based cheese alternatives, with no described training, networking, or infrastructure purposes.</t>
  </si>
  <si>
    <t xml:space="preserve">n_true</t>
  </si>
  <si>
    <t xml:space="preserve">tp</t>
  </si>
  <si>
    <t xml:space="preserve">fp</t>
  </si>
  <si>
    <t xml:space="preserve">fn</t>
  </si>
  <si>
    <t xml:space="preserve">recall</t>
  </si>
  <si>
    <t xml:space="preserve">precision</t>
  </si>
  <si>
    <t xml:space="preserve">57%</t>
  </si>
  <si>
    <t xml:space="preserve">93%</t>
  </si>
  <si>
    <t xml:space="preserve">100%</t>
  </si>
  <si>
    <t xml:space="preserve">69%</t>
  </si>
  <si>
    <t xml:space="preserve">98%</t>
  </si>
  <si>
    <t xml:space="preserve">88%</t>
  </si>
  <si>
    <t xml:space="preserve">75%</t>
  </si>
  <si>
    <t xml:space="preserve">metric</t>
  </si>
  <si>
    <t xml:space="preserve">value</t>
  </si>
  <si>
    <t xml:space="preserve">n</t>
  </si>
  <si>
    <t xml:space="preserve">award_purpose_exact_match_accuracy</t>
  </si>
  <si>
    <t xml:space="preserve">award_purpose_mean_precision</t>
  </si>
  <si>
    <t xml:space="preserve">92%</t>
  </si>
  <si>
    <t xml:space="preserve">award_purpose_mean_recall</t>
  </si>
  <si>
    <t xml:space="preserve">91%</t>
  </si>
  <si>
    <t xml:space="preserve">award_purpose_mean_jaccard</t>
  </si>
  <si>
    <t xml:space="preserve">84%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</si>
</sst>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BBE33D"/>
        <bgColor rgb="FF81D41A"/>
      </patternFill>
    </fill>
    <fill>
      <patternFill patternType="solid">
        <fgColor rgb="FF81D41A"/>
        <bgColor rgb="FFBBE33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BBE33D"/>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L30" activeCellId="0" sqref="L30"/>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56" hidden="false" customHeight="false" outlineLevel="0" collapsed="false">
      <c r="A2" s="0" t="n">
        <v>0</v>
      </c>
      <c r="B2" s="0" t="s">
        <v>12</v>
      </c>
      <c r="C2" s="1" t="s">
        <v>13</v>
      </c>
      <c r="D2" s="0" t="s">
        <v>14</v>
      </c>
      <c r="E2" s="0" t="s">
        <v>14</v>
      </c>
      <c r="F2" s="0" t="s">
        <v>14</v>
      </c>
      <c r="G2" s="0" t="s">
        <v>15</v>
      </c>
      <c r="H2" s="2" t="b">
        <f aca="false">TRUE()</f>
        <v>1</v>
      </c>
      <c r="I2" s="0" t="n">
        <v>1</v>
      </c>
      <c r="J2" s="0" t="n">
        <v>1</v>
      </c>
      <c r="K2" s="0" t="n">
        <v>1</v>
      </c>
    </row>
    <row r="3" customFormat="false" ht="34.2" hidden="false" customHeight="false" outlineLevel="0" collapsed="false">
      <c r="A3" s="0" t="n">
        <v>1</v>
      </c>
      <c r="B3" s="0" t="s">
        <v>16</v>
      </c>
      <c r="C3" s="1" t="s">
        <v>17</v>
      </c>
      <c r="D3" s="0" t="s">
        <v>18</v>
      </c>
      <c r="E3" s="0" t="s">
        <v>14</v>
      </c>
      <c r="F3" s="0" t="s">
        <v>14</v>
      </c>
      <c r="G3" s="0" t="s">
        <v>19</v>
      </c>
      <c r="H3" s="3" t="b">
        <f aca="false">FALSE()</f>
        <v>0</v>
      </c>
      <c r="I3" s="0" t="n">
        <v>1</v>
      </c>
      <c r="J3" s="0" t="n">
        <v>0.5</v>
      </c>
      <c r="K3" s="0" t="n">
        <v>0.5</v>
      </c>
      <c r="L3" s="0" t="s">
        <v>20</v>
      </c>
    </row>
    <row r="4" customFormat="false" ht="34.2" hidden="false" customHeight="false" outlineLevel="0" collapsed="false">
      <c r="A4" s="0" t="n">
        <v>2</v>
      </c>
      <c r="B4" s="0" t="s">
        <v>21</v>
      </c>
      <c r="C4" s="1" t="s">
        <v>22</v>
      </c>
      <c r="D4" s="0" t="s">
        <v>14</v>
      </c>
      <c r="E4" s="0" t="s">
        <v>14</v>
      </c>
      <c r="F4" s="0" t="s">
        <v>14</v>
      </c>
      <c r="G4" s="0" t="s">
        <v>23</v>
      </c>
      <c r="H4" s="2" t="b">
        <f aca="false">TRUE()</f>
        <v>1</v>
      </c>
      <c r="I4" s="0" t="n">
        <v>1</v>
      </c>
      <c r="J4" s="0" t="n">
        <v>1</v>
      </c>
      <c r="K4" s="0" t="n">
        <v>1</v>
      </c>
    </row>
    <row r="5" customFormat="false" ht="15" hidden="false" customHeight="false" outlineLevel="0" collapsed="false">
      <c r="A5" s="0" t="n">
        <v>3</v>
      </c>
      <c r="B5" s="0" t="s">
        <v>24</v>
      </c>
      <c r="C5" s="0" t="s">
        <v>25</v>
      </c>
      <c r="D5" s="0" t="s">
        <v>18</v>
      </c>
      <c r="E5" s="0" t="s">
        <v>26</v>
      </c>
      <c r="F5" s="0" t="s">
        <v>26</v>
      </c>
      <c r="G5" s="0" t="s">
        <v>27</v>
      </c>
      <c r="H5" s="2" t="b">
        <f aca="false">TRUE()</f>
        <v>1</v>
      </c>
      <c r="I5" s="0" t="n">
        <v>1</v>
      </c>
      <c r="J5" s="0" t="n">
        <v>1</v>
      </c>
      <c r="K5" s="0" t="n">
        <v>1</v>
      </c>
    </row>
    <row r="6" customFormat="false" ht="15" hidden="false" customHeight="false" outlineLevel="0" collapsed="false">
      <c r="A6" s="0" t="n">
        <v>4</v>
      </c>
      <c r="B6" s="0" t="s">
        <v>28</v>
      </c>
      <c r="C6" s="0" t="s">
        <v>29</v>
      </c>
      <c r="D6" s="0" t="s">
        <v>30</v>
      </c>
      <c r="E6" s="0" t="s">
        <v>31</v>
      </c>
      <c r="F6" s="0" t="s">
        <v>31</v>
      </c>
      <c r="G6" s="0" t="s">
        <v>32</v>
      </c>
      <c r="H6" s="2" t="b">
        <f aca="false">TRUE()</f>
        <v>1</v>
      </c>
      <c r="I6" s="0" t="n">
        <v>1</v>
      </c>
      <c r="J6" s="0" t="n">
        <v>1</v>
      </c>
      <c r="K6" s="0" t="n">
        <v>1</v>
      </c>
    </row>
    <row r="7" customFormat="false" ht="56" hidden="false" customHeight="false" outlineLevel="0" collapsed="false">
      <c r="A7" s="0" t="n">
        <v>5</v>
      </c>
      <c r="B7" s="0" t="s">
        <v>33</v>
      </c>
      <c r="C7" s="1" t="s">
        <v>34</v>
      </c>
      <c r="D7" s="0" t="s">
        <v>35</v>
      </c>
      <c r="E7" s="0" t="s">
        <v>35</v>
      </c>
      <c r="F7" s="0" t="s">
        <v>35</v>
      </c>
      <c r="G7" s="0" t="s">
        <v>36</v>
      </c>
      <c r="H7" s="2" t="b">
        <f aca="false">TRUE()</f>
        <v>1</v>
      </c>
      <c r="I7" s="0" t="n">
        <v>1</v>
      </c>
      <c r="J7" s="0" t="n">
        <v>1</v>
      </c>
      <c r="K7" s="0" t="n">
        <v>1</v>
      </c>
    </row>
    <row r="8" customFormat="false" ht="45.1" hidden="false" customHeight="false" outlineLevel="0" collapsed="false">
      <c r="A8" s="0" t="n">
        <v>6</v>
      </c>
      <c r="B8" s="0" t="s">
        <v>37</v>
      </c>
      <c r="C8" s="1" t="s">
        <v>38</v>
      </c>
      <c r="D8" s="0" t="s">
        <v>18</v>
      </c>
      <c r="E8" s="0" t="s">
        <v>26</v>
      </c>
      <c r="F8" s="0" t="s">
        <v>26</v>
      </c>
      <c r="G8" s="0" t="s">
        <v>39</v>
      </c>
      <c r="H8" s="2" t="b">
        <f aca="false">TRUE()</f>
        <v>1</v>
      </c>
      <c r="I8" s="0" t="n">
        <v>1</v>
      </c>
      <c r="J8" s="0" t="n">
        <v>1</v>
      </c>
      <c r="K8" s="0" t="n">
        <v>1</v>
      </c>
    </row>
    <row r="9" customFormat="false" ht="34.2" hidden="false" customHeight="false" outlineLevel="0" collapsed="false">
      <c r="A9" s="0" t="n">
        <v>7</v>
      </c>
      <c r="B9" s="0" t="s">
        <v>40</v>
      </c>
      <c r="C9" s="1" t="s">
        <v>41</v>
      </c>
      <c r="D9" s="0" t="s">
        <v>35</v>
      </c>
      <c r="E9" s="0" t="s">
        <v>35</v>
      </c>
      <c r="F9" s="0" t="s">
        <v>35</v>
      </c>
      <c r="G9" s="0" t="s">
        <v>42</v>
      </c>
      <c r="H9" s="2" t="b">
        <f aca="false">TRUE()</f>
        <v>1</v>
      </c>
      <c r="I9" s="0" t="n">
        <v>1</v>
      </c>
      <c r="J9" s="0" t="n">
        <v>1</v>
      </c>
      <c r="K9" s="0" t="n">
        <v>1</v>
      </c>
    </row>
    <row r="10" customFormat="false" ht="34.2" hidden="false" customHeight="false" outlineLevel="0" collapsed="false">
      <c r="A10" s="0" t="n">
        <v>8</v>
      </c>
      <c r="B10" s="0" t="s">
        <v>43</v>
      </c>
      <c r="C10" s="1" t="s">
        <v>44</v>
      </c>
      <c r="D10" s="0" t="s">
        <v>18</v>
      </c>
      <c r="E10" s="0" t="s">
        <v>14</v>
      </c>
      <c r="F10" s="0" t="s">
        <v>14</v>
      </c>
      <c r="G10" s="0" t="s">
        <v>45</v>
      </c>
      <c r="H10" s="3" t="b">
        <f aca="false">FALSE()</f>
        <v>0</v>
      </c>
      <c r="I10" s="0" t="n">
        <v>1</v>
      </c>
      <c r="J10" s="0" t="n">
        <v>0.5</v>
      </c>
      <c r="K10" s="0" t="n">
        <v>0.5</v>
      </c>
      <c r="L10" s="0" t="s">
        <v>20</v>
      </c>
    </row>
    <row r="11" customFormat="false" ht="77.8" hidden="false" customHeight="false" outlineLevel="0" collapsed="false">
      <c r="A11" s="0" t="n">
        <v>9</v>
      </c>
      <c r="B11" s="0" t="s">
        <v>46</v>
      </c>
      <c r="C11" s="1" t="s">
        <v>47</v>
      </c>
      <c r="D11" s="0" t="s">
        <v>48</v>
      </c>
      <c r="E11" s="0" t="s">
        <v>49</v>
      </c>
      <c r="F11" s="0" t="s">
        <v>49</v>
      </c>
      <c r="G11" s="0" t="s">
        <v>50</v>
      </c>
      <c r="H11" s="4" t="b">
        <f aca="false">FALSE()</f>
        <v>0</v>
      </c>
      <c r="I11" s="0" t="n">
        <v>0.5</v>
      </c>
      <c r="J11" s="0" t="n">
        <v>1</v>
      </c>
      <c r="K11" s="0" t="n">
        <v>0.5</v>
      </c>
      <c r="L11" s="0" t="s">
        <v>51</v>
      </c>
    </row>
    <row r="12" customFormat="false" ht="15" hidden="false" customHeight="false" outlineLevel="0" collapsed="false">
      <c r="A12" s="0" t="n">
        <v>10</v>
      </c>
      <c r="B12" s="0" t="s">
        <v>52</v>
      </c>
      <c r="C12" s="0" t="s">
        <v>53</v>
      </c>
      <c r="D12" s="0" t="s">
        <v>54</v>
      </c>
      <c r="E12" s="0" t="s">
        <v>55</v>
      </c>
      <c r="F12" s="0" t="s">
        <v>55</v>
      </c>
      <c r="G12" s="0" t="s">
        <v>56</v>
      </c>
      <c r="H12" s="2" t="b">
        <f aca="false">TRUE()</f>
        <v>1</v>
      </c>
      <c r="I12" s="0" t="n">
        <v>1</v>
      </c>
      <c r="J12" s="0" t="n">
        <v>1</v>
      </c>
      <c r="K12" s="0" t="n">
        <v>1</v>
      </c>
    </row>
    <row r="13" customFormat="false" ht="15" hidden="false" customHeight="false" outlineLevel="0" collapsed="false">
      <c r="A13" s="0" t="n">
        <v>11</v>
      </c>
      <c r="B13" s="0" t="s">
        <v>57</v>
      </c>
      <c r="C13" s="0" t="s">
        <v>58</v>
      </c>
      <c r="D13" s="0" t="s">
        <v>48</v>
      </c>
      <c r="E13" s="0" t="s">
        <v>48</v>
      </c>
      <c r="F13" s="0" t="s">
        <v>48</v>
      </c>
      <c r="G13" s="0" t="s">
        <v>59</v>
      </c>
      <c r="H13" s="2" t="b">
        <f aca="false">TRUE()</f>
        <v>1</v>
      </c>
      <c r="I13" s="0" t="n">
        <v>1</v>
      </c>
      <c r="J13" s="0" t="n">
        <v>1</v>
      </c>
      <c r="K13" s="0" t="n">
        <v>1</v>
      </c>
    </row>
    <row r="14" customFormat="false" ht="45.1" hidden="false" customHeight="false" outlineLevel="0" collapsed="false">
      <c r="A14" s="0" t="n">
        <v>12</v>
      </c>
      <c r="B14" s="0" t="s">
        <v>60</v>
      </c>
      <c r="C14" s="1" t="s">
        <v>61</v>
      </c>
      <c r="D14" s="0" t="s">
        <v>14</v>
      </c>
      <c r="E14" s="0" t="s">
        <v>14</v>
      </c>
      <c r="F14" s="0" t="s">
        <v>14</v>
      </c>
      <c r="G14" s="0" t="s">
        <v>62</v>
      </c>
      <c r="H14" s="2" t="b">
        <f aca="false">TRUE()</f>
        <v>1</v>
      </c>
      <c r="I14" s="0" t="n">
        <v>1</v>
      </c>
      <c r="J14" s="0" t="n">
        <v>1</v>
      </c>
      <c r="K14" s="0" t="n">
        <v>1</v>
      </c>
    </row>
    <row r="15" customFormat="false" ht="15" hidden="false" customHeight="false" outlineLevel="0" collapsed="false">
      <c r="A15" s="0" t="n">
        <v>13</v>
      </c>
      <c r="B15" s="0" t="s">
        <v>63</v>
      </c>
      <c r="C15" s="0" t="s">
        <v>64</v>
      </c>
      <c r="D15" s="0" t="s">
        <v>18</v>
      </c>
      <c r="E15" s="0" t="s">
        <v>14</v>
      </c>
      <c r="F15" s="0" t="s">
        <v>14</v>
      </c>
      <c r="G15" s="0" t="s">
        <v>65</v>
      </c>
      <c r="H15" s="3" t="b">
        <f aca="false">FALSE()</f>
        <v>0</v>
      </c>
      <c r="I15" s="0" t="n">
        <v>1</v>
      </c>
      <c r="J15" s="0" t="n">
        <v>0.5</v>
      </c>
      <c r="K15" s="0" t="n">
        <v>0.5</v>
      </c>
      <c r="L15" s="0" t="s">
        <v>20</v>
      </c>
    </row>
    <row r="16" customFormat="false" ht="66.9" hidden="false" customHeight="false" outlineLevel="0" collapsed="false">
      <c r="A16" s="0" t="n">
        <v>14</v>
      </c>
      <c r="B16" s="0" t="s">
        <v>66</v>
      </c>
      <c r="C16" s="1" t="s">
        <v>67</v>
      </c>
      <c r="D16" s="0" t="s">
        <v>48</v>
      </c>
      <c r="E16" s="0" t="s">
        <v>49</v>
      </c>
      <c r="F16" s="0" t="s">
        <v>49</v>
      </c>
      <c r="G16" s="0" t="s">
        <v>68</v>
      </c>
      <c r="H16" s="4" t="b">
        <f aca="false">FALSE()</f>
        <v>0</v>
      </c>
      <c r="I16" s="0" t="n">
        <v>0.5</v>
      </c>
      <c r="J16" s="0" t="n">
        <v>1</v>
      </c>
      <c r="K16" s="0" t="n">
        <v>0.5</v>
      </c>
    </row>
    <row r="17" customFormat="false" ht="132.3" hidden="false" customHeight="false" outlineLevel="0" collapsed="false">
      <c r="A17" s="0" t="n">
        <v>15</v>
      </c>
      <c r="B17" s="0" t="s">
        <v>69</v>
      </c>
      <c r="C17" s="1" t="s">
        <v>70</v>
      </c>
      <c r="D17" s="0" t="s">
        <v>18</v>
      </c>
      <c r="E17" s="0" t="s">
        <v>26</v>
      </c>
      <c r="F17" s="0" t="s">
        <v>26</v>
      </c>
      <c r="G17" s="0" t="s">
        <v>71</v>
      </c>
      <c r="H17" s="2" t="b">
        <f aca="false">TRUE()</f>
        <v>1</v>
      </c>
      <c r="I17" s="0" t="n">
        <v>1</v>
      </c>
      <c r="J17" s="0" t="n">
        <v>1</v>
      </c>
      <c r="K17" s="0" t="n">
        <v>1</v>
      </c>
    </row>
    <row r="18" customFormat="false" ht="307.1" hidden="false" customHeight="false" outlineLevel="0" collapsed="false">
      <c r="A18" s="0" t="n">
        <v>16</v>
      </c>
      <c r="B18" s="0" t="s">
        <v>72</v>
      </c>
      <c r="C18" s="1" t="s">
        <v>73</v>
      </c>
      <c r="D18" s="0" t="s">
        <v>14</v>
      </c>
      <c r="E18" s="0" t="s">
        <v>14</v>
      </c>
      <c r="F18" s="0" t="s">
        <v>14</v>
      </c>
      <c r="G18" s="0" t="s">
        <v>74</v>
      </c>
      <c r="H18" s="2" t="b">
        <f aca="false">TRUE()</f>
        <v>1</v>
      </c>
      <c r="I18" s="0" t="n">
        <v>1</v>
      </c>
      <c r="J18" s="0" t="n">
        <v>1</v>
      </c>
      <c r="K18" s="0" t="n">
        <v>1</v>
      </c>
    </row>
    <row r="19" customFormat="false" ht="459.75" hidden="false" customHeight="false" outlineLevel="0" collapsed="false">
      <c r="A19" s="0" t="n">
        <v>17</v>
      </c>
      <c r="B19" s="0" t="s">
        <v>75</v>
      </c>
      <c r="C19" s="1" t="s">
        <v>76</v>
      </c>
      <c r="D19" s="0" t="s">
        <v>14</v>
      </c>
      <c r="E19" s="0" t="s">
        <v>14</v>
      </c>
      <c r="F19" s="0" t="s">
        <v>14</v>
      </c>
      <c r="G19" s="0" t="s">
        <v>77</v>
      </c>
      <c r="H19" s="2" t="b">
        <f aca="false">TRUE()</f>
        <v>1</v>
      </c>
      <c r="I19" s="0" t="n">
        <v>1</v>
      </c>
      <c r="J19" s="0" t="n">
        <v>1</v>
      </c>
      <c r="K19" s="0" t="n">
        <v>1</v>
      </c>
    </row>
    <row r="20" customFormat="false" ht="15" hidden="false" customHeight="false" outlineLevel="0" collapsed="false">
      <c r="A20" s="0" t="n">
        <v>18</v>
      </c>
      <c r="B20" s="0" t="s">
        <v>78</v>
      </c>
      <c r="C20" s="0" t="s">
        <v>79</v>
      </c>
      <c r="D20" s="0" t="s">
        <v>54</v>
      </c>
      <c r="E20" s="0" t="s">
        <v>55</v>
      </c>
      <c r="F20" s="0" t="s">
        <v>55</v>
      </c>
      <c r="G20" s="0" t="s">
        <v>80</v>
      </c>
      <c r="H20" s="2" t="b">
        <f aca="false">TRUE()</f>
        <v>1</v>
      </c>
      <c r="I20" s="0" t="n">
        <v>1</v>
      </c>
      <c r="J20" s="0" t="n">
        <v>1</v>
      </c>
      <c r="K20" s="0" t="n">
        <v>1</v>
      </c>
    </row>
    <row r="21" customFormat="false" ht="23.3" hidden="false" customHeight="false" outlineLevel="0" collapsed="false">
      <c r="A21" s="0" t="n">
        <v>19</v>
      </c>
      <c r="B21" s="0" t="s">
        <v>81</v>
      </c>
      <c r="C21" s="1" t="s">
        <v>82</v>
      </c>
      <c r="D21" s="0" t="s">
        <v>83</v>
      </c>
      <c r="E21" s="0" t="s">
        <v>84</v>
      </c>
      <c r="F21" s="0" t="s">
        <v>84</v>
      </c>
      <c r="G21" s="0" t="s">
        <v>85</v>
      </c>
      <c r="H21" s="2" t="b">
        <f aca="false">FALSE()</f>
        <v>0</v>
      </c>
      <c r="I21" s="0" t="n">
        <v>0.5</v>
      </c>
      <c r="J21" s="0" t="n">
        <v>1</v>
      </c>
      <c r="K21" s="0" t="n">
        <v>0.5</v>
      </c>
    </row>
    <row r="22" customFormat="false" ht="15" hidden="false" customHeight="false" outlineLevel="0" collapsed="false">
      <c r="A22" s="0" t="n">
        <v>20</v>
      </c>
      <c r="B22" s="0" t="s">
        <v>86</v>
      </c>
      <c r="C22" s="0" t="s">
        <v>87</v>
      </c>
      <c r="D22" s="0" t="s">
        <v>14</v>
      </c>
      <c r="E22" s="0" t="s">
        <v>14</v>
      </c>
      <c r="F22" s="0" t="s">
        <v>14</v>
      </c>
      <c r="G22" s="0" t="s">
        <v>88</v>
      </c>
      <c r="H22" s="2" t="b">
        <f aca="false">TRUE()</f>
        <v>1</v>
      </c>
      <c r="I22" s="0" t="n">
        <v>1</v>
      </c>
      <c r="J22" s="0" t="n">
        <v>1</v>
      </c>
      <c r="K22" s="0" t="n">
        <v>1</v>
      </c>
    </row>
    <row r="23" customFormat="false" ht="45.1" hidden="false" customHeight="false" outlineLevel="0" collapsed="false">
      <c r="A23" s="0" t="n">
        <v>21</v>
      </c>
      <c r="B23" s="0" t="s">
        <v>89</v>
      </c>
      <c r="C23" s="1" t="s">
        <v>90</v>
      </c>
      <c r="D23" s="0" t="s">
        <v>91</v>
      </c>
      <c r="E23" s="0" t="s">
        <v>92</v>
      </c>
      <c r="F23" s="0" t="s">
        <v>92</v>
      </c>
      <c r="G23" s="0" t="s">
        <v>93</v>
      </c>
      <c r="H23" s="4" t="b">
        <f aca="false">FALSE()</f>
        <v>0</v>
      </c>
      <c r="I23" s="0" t="n">
        <v>0.333333333333333</v>
      </c>
      <c r="J23" s="0" t="n">
        <v>1</v>
      </c>
      <c r="K23" s="0" t="n">
        <v>0.333333333333333</v>
      </c>
    </row>
    <row r="24" customFormat="false" ht="15" hidden="false" customHeight="false" outlineLevel="0" collapsed="false">
      <c r="A24" s="0" t="n">
        <v>22</v>
      </c>
      <c r="B24" s="0" t="s">
        <v>94</v>
      </c>
      <c r="C24" s="0" t="s">
        <v>95</v>
      </c>
      <c r="D24" s="0" t="s">
        <v>18</v>
      </c>
      <c r="E24" s="0" t="s">
        <v>14</v>
      </c>
      <c r="F24" s="0" t="s">
        <v>14</v>
      </c>
      <c r="G24" s="0" t="s">
        <v>96</v>
      </c>
      <c r="H24" s="3" t="b">
        <f aca="false">FALSE()</f>
        <v>0</v>
      </c>
      <c r="I24" s="0" t="n">
        <v>1</v>
      </c>
      <c r="J24" s="0" t="n">
        <v>0.5</v>
      </c>
      <c r="K24" s="0" t="n">
        <v>0.5</v>
      </c>
      <c r="L24" s="0" t="s">
        <v>20</v>
      </c>
    </row>
    <row r="25" customFormat="false" ht="15" hidden="false" customHeight="false" outlineLevel="0" collapsed="false">
      <c r="A25" s="0" t="n">
        <v>23</v>
      </c>
      <c r="B25" s="0" t="s">
        <v>97</v>
      </c>
      <c r="C25" s="0" t="s">
        <v>98</v>
      </c>
      <c r="D25" s="0" t="s">
        <v>14</v>
      </c>
      <c r="E25" s="0" t="s">
        <v>14</v>
      </c>
      <c r="F25" s="0" t="s">
        <v>14</v>
      </c>
      <c r="G25" s="0" t="s">
        <v>99</v>
      </c>
      <c r="H25" s="2" t="b">
        <f aca="false">TRUE()</f>
        <v>1</v>
      </c>
      <c r="I25" s="0" t="n">
        <v>1</v>
      </c>
      <c r="J25" s="0" t="n">
        <v>1</v>
      </c>
      <c r="K25" s="0" t="n">
        <v>1</v>
      </c>
    </row>
    <row r="26" customFormat="false" ht="15" hidden="false" customHeight="false" outlineLevel="0" collapsed="false">
      <c r="A26" s="0" t="n">
        <v>24</v>
      </c>
      <c r="B26" s="0" t="s">
        <v>100</v>
      </c>
      <c r="C26" s="0" t="s">
        <v>101</v>
      </c>
      <c r="D26" s="0" t="s">
        <v>18</v>
      </c>
      <c r="E26" s="0" t="s">
        <v>14</v>
      </c>
      <c r="F26" s="0" t="s">
        <v>14</v>
      </c>
      <c r="G26" s="0" t="s">
        <v>102</v>
      </c>
      <c r="H26" s="3" t="b">
        <f aca="false">FALSE()</f>
        <v>0</v>
      </c>
      <c r="I26" s="0" t="n">
        <v>1</v>
      </c>
      <c r="J26" s="0" t="n">
        <v>0.5</v>
      </c>
      <c r="K26" s="0" t="n">
        <v>0.5</v>
      </c>
      <c r="L26" s="0" t="s">
        <v>20</v>
      </c>
    </row>
    <row r="27" customFormat="false" ht="15" hidden="false" customHeight="false" outlineLevel="0" collapsed="false">
      <c r="A27" s="0" t="n">
        <v>25</v>
      </c>
      <c r="B27" s="0" t="s">
        <v>103</v>
      </c>
      <c r="C27" s="0" t="s">
        <v>104</v>
      </c>
      <c r="D27" s="0" t="s">
        <v>54</v>
      </c>
      <c r="E27" s="0" t="s">
        <v>55</v>
      </c>
      <c r="F27" s="0" t="s">
        <v>55</v>
      </c>
      <c r="G27" s="0" t="s">
        <v>105</v>
      </c>
      <c r="H27" s="2" t="b">
        <f aca="false">TRUE()</f>
        <v>1</v>
      </c>
      <c r="I27" s="0" t="n">
        <v>1</v>
      </c>
      <c r="J27" s="0" t="n">
        <v>1</v>
      </c>
      <c r="K27" s="0" t="n">
        <v>1</v>
      </c>
    </row>
    <row r="28" customFormat="false" ht="15" hidden="false" customHeight="false" outlineLevel="0" collapsed="false">
      <c r="A28" s="0" t="n">
        <v>26</v>
      </c>
      <c r="B28" s="0" t="s">
        <v>106</v>
      </c>
      <c r="C28" s="0" t="s">
        <v>107</v>
      </c>
      <c r="D28" s="0" t="s">
        <v>18</v>
      </c>
      <c r="E28" s="0" t="s">
        <v>26</v>
      </c>
      <c r="F28" s="0" t="s">
        <v>26</v>
      </c>
      <c r="G28" s="0" t="s">
        <v>108</v>
      </c>
      <c r="H28" s="2" t="b">
        <f aca="false">TRUE()</f>
        <v>1</v>
      </c>
      <c r="I28" s="0" t="n">
        <v>1</v>
      </c>
      <c r="J28" s="0" t="n">
        <v>1</v>
      </c>
      <c r="K28" s="0" t="n">
        <v>1</v>
      </c>
    </row>
    <row r="29" customFormat="false" ht="15" hidden="false" customHeight="false" outlineLevel="0" collapsed="false">
      <c r="A29" s="0" t="n">
        <v>27</v>
      </c>
      <c r="B29" s="0" t="s">
        <v>109</v>
      </c>
      <c r="C29" s="0" t="s">
        <v>110</v>
      </c>
      <c r="D29" s="0" t="s">
        <v>111</v>
      </c>
      <c r="E29" s="0" t="s">
        <v>49</v>
      </c>
      <c r="F29" s="0" t="s">
        <v>49</v>
      </c>
      <c r="G29" s="0" t="s">
        <v>112</v>
      </c>
      <c r="H29" s="4" t="b">
        <f aca="false">FALSE()</f>
        <v>0</v>
      </c>
      <c r="I29" s="0" t="n">
        <v>0.5</v>
      </c>
      <c r="J29" s="0" t="n">
        <v>0.333333333333333</v>
      </c>
      <c r="K29" s="0" t="n">
        <v>0.25</v>
      </c>
      <c r="L29" s="0" t="s">
        <v>51</v>
      </c>
    </row>
    <row r="30" customFormat="false" ht="15" hidden="false" customHeight="false" outlineLevel="0" collapsed="false">
      <c r="A30" s="0" t="n">
        <v>28</v>
      </c>
      <c r="B30" s="0" t="s">
        <v>113</v>
      </c>
      <c r="C30" s="0" t="s">
        <v>114</v>
      </c>
      <c r="D30" s="0" t="s">
        <v>14</v>
      </c>
      <c r="E30" s="0" t="s">
        <v>14</v>
      </c>
      <c r="F30" s="0" t="s">
        <v>14</v>
      </c>
      <c r="G30" s="0" t="s">
        <v>115</v>
      </c>
      <c r="H30" s="2" t="b">
        <f aca="false">TRUE()</f>
        <v>1</v>
      </c>
      <c r="I30" s="0" t="n">
        <v>1</v>
      </c>
      <c r="J30" s="0" t="n">
        <v>1</v>
      </c>
      <c r="K30" s="0" t="n">
        <v>1</v>
      </c>
    </row>
    <row r="31" customFormat="false" ht="34.2" hidden="false" customHeight="false" outlineLevel="0" collapsed="false">
      <c r="A31" s="0" t="n">
        <v>29</v>
      </c>
      <c r="B31" s="0" t="s">
        <v>116</v>
      </c>
      <c r="C31" s="1" t="s">
        <v>117</v>
      </c>
      <c r="D31" s="0" t="s">
        <v>48</v>
      </c>
      <c r="E31" s="0" t="s">
        <v>48</v>
      </c>
      <c r="F31" s="0" t="s">
        <v>48</v>
      </c>
      <c r="G31" s="0" t="s">
        <v>118</v>
      </c>
      <c r="H31" s="2" t="b">
        <f aca="false">TRUE()</f>
        <v>1</v>
      </c>
      <c r="I31" s="0" t="n">
        <v>1</v>
      </c>
      <c r="J31" s="0" t="n">
        <v>1</v>
      </c>
      <c r="K31" s="0" t="n">
        <v>1</v>
      </c>
    </row>
    <row r="32" customFormat="false" ht="209" hidden="false" customHeight="false" outlineLevel="0" collapsed="false">
      <c r="A32" s="0" t="n">
        <v>30</v>
      </c>
      <c r="B32" s="0" t="s">
        <v>119</v>
      </c>
      <c r="C32" s="1" t="s">
        <v>120</v>
      </c>
      <c r="D32" s="0" t="s">
        <v>14</v>
      </c>
      <c r="E32" s="0" t="s">
        <v>14</v>
      </c>
      <c r="F32" s="0" t="s">
        <v>14</v>
      </c>
      <c r="G32" s="0" t="s">
        <v>121</v>
      </c>
      <c r="H32" s="2" t="b">
        <f aca="false">TRUE()</f>
        <v>1</v>
      </c>
      <c r="I32" s="0" t="n">
        <v>1</v>
      </c>
      <c r="J32" s="0" t="n">
        <v>1</v>
      </c>
      <c r="K32" s="0" t="n">
        <v>1</v>
      </c>
    </row>
    <row r="33" customFormat="false" ht="15" hidden="false" customHeight="false" outlineLevel="0" collapsed="false">
      <c r="A33" s="0" t="n">
        <v>31</v>
      </c>
      <c r="B33" s="0" t="s">
        <v>122</v>
      </c>
      <c r="C33" s="0" t="s">
        <v>123</v>
      </c>
      <c r="D33" s="0" t="s">
        <v>14</v>
      </c>
      <c r="E33" s="0" t="s">
        <v>14</v>
      </c>
      <c r="F33" s="0" t="s">
        <v>14</v>
      </c>
      <c r="G33" s="0" t="s">
        <v>124</v>
      </c>
      <c r="H33" s="2" t="b">
        <f aca="false">TRUE()</f>
        <v>1</v>
      </c>
      <c r="I33" s="0" t="n">
        <v>1</v>
      </c>
      <c r="J33" s="0" t="n">
        <v>1</v>
      </c>
      <c r="K33" s="0" t="n">
        <v>1</v>
      </c>
    </row>
    <row r="34" customFormat="false" ht="15" hidden="false" customHeight="false" outlineLevel="0" collapsed="false">
      <c r="A34" s="0" t="n">
        <v>32</v>
      </c>
      <c r="B34" s="0" t="s">
        <v>125</v>
      </c>
      <c r="C34" s="0" t="s">
        <v>126</v>
      </c>
      <c r="D34" s="0" t="s">
        <v>18</v>
      </c>
      <c r="E34" s="0" t="s">
        <v>14</v>
      </c>
      <c r="F34" s="0" t="s">
        <v>14</v>
      </c>
      <c r="G34" s="0" t="s">
        <v>127</v>
      </c>
      <c r="H34" s="3" t="b">
        <f aca="false">FALSE()</f>
        <v>0</v>
      </c>
      <c r="I34" s="0" t="n">
        <v>1</v>
      </c>
      <c r="J34" s="0" t="n">
        <v>0.5</v>
      </c>
      <c r="K34" s="0" t="n">
        <v>0.5</v>
      </c>
      <c r="L34" s="0" t="s">
        <v>20</v>
      </c>
    </row>
    <row r="35" customFormat="false" ht="15" hidden="false" customHeight="false" outlineLevel="0" collapsed="false">
      <c r="A35" s="0" t="n">
        <v>33</v>
      </c>
      <c r="B35" s="0" t="s">
        <v>128</v>
      </c>
      <c r="C35" s="0" t="s">
        <v>129</v>
      </c>
      <c r="D35" s="0" t="s">
        <v>14</v>
      </c>
      <c r="E35" s="0" t="s">
        <v>14</v>
      </c>
      <c r="F35" s="0" t="s">
        <v>14</v>
      </c>
      <c r="G35" s="0" t="s">
        <v>130</v>
      </c>
      <c r="H35" s="2" t="b">
        <f aca="false">TRUE()</f>
        <v>1</v>
      </c>
      <c r="I35" s="0" t="n">
        <v>1</v>
      </c>
      <c r="J35" s="0" t="n">
        <v>1</v>
      </c>
      <c r="K35" s="0" t="n">
        <v>1</v>
      </c>
    </row>
    <row r="36" customFormat="false" ht="23.3" hidden="false" customHeight="false" outlineLevel="0" collapsed="false">
      <c r="A36" s="0" t="n">
        <v>34</v>
      </c>
      <c r="B36" s="0" t="s">
        <v>131</v>
      </c>
      <c r="C36" s="1" t="s">
        <v>132</v>
      </c>
      <c r="D36" s="0" t="s">
        <v>91</v>
      </c>
      <c r="E36" s="0" t="s">
        <v>26</v>
      </c>
      <c r="F36" s="0" t="s">
        <v>26</v>
      </c>
      <c r="G36" s="0" t="s">
        <v>133</v>
      </c>
      <c r="H36" s="4" t="b">
        <f aca="false">FALSE()</f>
        <v>0</v>
      </c>
      <c r="I36" s="0" t="n">
        <v>0.5</v>
      </c>
      <c r="J36" s="0" t="n">
        <v>1</v>
      </c>
      <c r="K36" s="0" t="n">
        <v>0.5</v>
      </c>
      <c r="L36" s="0" t="s">
        <v>51</v>
      </c>
    </row>
    <row r="37" customFormat="false" ht="56" hidden="false" customHeight="false" outlineLevel="0" collapsed="false">
      <c r="A37" s="0" t="n">
        <v>35</v>
      </c>
      <c r="B37" s="0" t="s">
        <v>134</v>
      </c>
      <c r="C37" s="1" t="s">
        <v>135</v>
      </c>
      <c r="D37" s="0" t="s">
        <v>136</v>
      </c>
      <c r="E37" s="0" t="s">
        <v>137</v>
      </c>
      <c r="F37" s="0" t="s">
        <v>137</v>
      </c>
      <c r="G37" s="0" t="s">
        <v>138</v>
      </c>
      <c r="H37" s="2" t="b">
        <f aca="false">TRUE()</f>
        <v>1</v>
      </c>
      <c r="I37" s="0" t="n">
        <v>1</v>
      </c>
      <c r="J37" s="0" t="n">
        <v>1</v>
      </c>
      <c r="K37" s="0" t="n">
        <v>1</v>
      </c>
    </row>
    <row r="38" customFormat="false" ht="15" hidden="false" customHeight="false" outlineLevel="0" collapsed="false">
      <c r="A38" s="0" t="n">
        <v>36</v>
      </c>
      <c r="B38" s="0" t="s">
        <v>139</v>
      </c>
      <c r="C38" s="0" t="s">
        <v>140</v>
      </c>
      <c r="D38" s="0" t="s">
        <v>18</v>
      </c>
      <c r="E38" s="0" t="s">
        <v>14</v>
      </c>
      <c r="F38" s="0" t="s">
        <v>14</v>
      </c>
      <c r="G38" s="0" t="s">
        <v>141</v>
      </c>
      <c r="H38" s="3" t="b">
        <f aca="false">FALSE()</f>
        <v>0</v>
      </c>
      <c r="I38" s="0" t="n">
        <v>1</v>
      </c>
      <c r="J38" s="0" t="n">
        <v>0.5</v>
      </c>
      <c r="K38" s="0" t="n">
        <v>0.5</v>
      </c>
      <c r="L38" s="0" t="s">
        <v>20</v>
      </c>
    </row>
    <row r="39" customFormat="false" ht="15" hidden="false" customHeight="false" outlineLevel="0" collapsed="false">
      <c r="A39" s="0" t="n">
        <v>37</v>
      </c>
      <c r="B39" s="0" t="s">
        <v>142</v>
      </c>
      <c r="C39" s="0" t="s">
        <v>143</v>
      </c>
      <c r="D39" s="0" t="s">
        <v>35</v>
      </c>
      <c r="E39" s="0" t="s">
        <v>35</v>
      </c>
      <c r="F39" s="0" t="s">
        <v>35</v>
      </c>
      <c r="G39" s="0" t="s">
        <v>144</v>
      </c>
      <c r="H39" s="2" t="b">
        <f aca="false">TRUE()</f>
        <v>1</v>
      </c>
      <c r="I39" s="0" t="n">
        <v>1</v>
      </c>
      <c r="J39" s="0" t="n">
        <v>1</v>
      </c>
      <c r="K39" s="0" t="n">
        <v>1</v>
      </c>
    </row>
    <row r="40" customFormat="false" ht="165" hidden="false" customHeight="false" outlineLevel="0" collapsed="false">
      <c r="A40" s="0" t="n">
        <v>38</v>
      </c>
      <c r="B40" s="0" t="s">
        <v>145</v>
      </c>
      <c r="C40" s="1" t="s">
        <v>146</v>
      </c>
      <c r="D40" s="0" t="s">
        <v>14</v>
      </c>
      <c r="E40" s="0" t="s">
        <v>14</v>
      </c>
      <c r="F40" s="0" t="s">
        <v>14</v>
      </c>
      <c r="G40" s="0" t="s">
        <v>147</v>
      </c>
      <c r="H40" s="2" t="b">
        <f aca="false">TRUE()</f>
        <v>1</v>
      </c>
      <c r="I40" s="0" t="n">
        <v>1</v>
      </c>
      <c r="J40" s="0" t="n">
        <v>1</v>
      </c>
      <c r="K40" s="0" t="n">
        <v>1</v>
      </c>
    </row>
    <row r="41" customFormat="false" ht="45.1" hidden="false" customHeight="false" outlineLevel="0" collapsed="false">
      <c r="A41" s="0" t="n">
        <v>39</v>
      </c>
      <c r="B41" s="0" t="s">
        <v>148</v>
      </c>
      <c r="C41" s="1" t="s">
        <v>149</v>
      </c>
      <c r="D41" s="0" t="s">
        <v>18</v>
      </c>
      <c r="E41" s="0" t="s">
        <v>26</v>
      </c>
      <c r="F41" s="0" t="s">
        <v>26</v>
      </c>
      <c r="G41" s="0" t="s">
        <v>150</v>
      </c>
      <c r="H41" s="2" t="b">
        <f aca="false">TRUE()</f>
        <v>1</v>
      </c>
      <c r="I41" s="0" t="n">
        <v>1</v>
      </c>
      <c r="J41" s="0" t="n">
        <v>1</v>
      </c>
      <c r="K41" s="0" t="n">
        <v>1</v>
      </c>
    </row>
    <row r="42" customFormat="false" ht="34.2" hidden="false" customHeight="false" outlineLevel="0" collapsed="false">
      <c r="A42" s="0" t="n">
        <v>40</v>
      </c>
      <c r="B42" s="0" t="s">
        <v>151</v>
      </c>
      <c r="C42" s="1" t="s">
        <v>152</v>
      </c>
      <c r="D42" s="0" t="s">
        <v>54</v>
      </c>
      <c r="E42" s="0" t="s">
        <v>35</v>
      </c>
      <c r="F42" s="0" t="s">
        <v>35</v>
      </c>
      <c r="G42" s="0" t="s">
        <v>153</v>
      </c>
      <c r="H42" s="4" t="b">
        <f aca="false">FALSE()</f>
        <v>0</v>
      </c>
      <c r="I42" s="0" t="n">
        <v>1</v>
      </c>
      <c r="J42" s="0" t="n">
        <v>0.5</v>
      </c>
      <c r="K42" s="0" t="n">
        <v>0.5</v>
      </c>
      <c r="L42" s="0" t="s">
        <v>51</v>
      </c>
    </row>
    <row r="43" customFormat="false" ht="66.9" hidden="false" customHeight="false" outlineLevel="0" collapsed="false">
      <c r="A43" s="0" t="n">
        <v>41</v>
      </c>
      <c r="B43" s="0" t="s">
        <v>154</v>
      </c>
      <c r="C43" s="1" t="s">
        <v>155</v>
      </c>
      <c r="D43" s="0" t="s">
        <v>18</v>
      </c>
      <c r="E43" s="0" t="s">
        <v>14</v>
      </c>
      <c r="F43" s="0" t="s">
        <v>14</v>
      </c>
      <c r="G43" s="0" t="s">
        <v>156</v>
      </c>
      <c r="H43" s="3" t="b">
        <f aca="false">FALSE()</f>
        <v>0</v>
      </c>
      <c r="I43" s="0" t="n">
        <v>1</v>
      </c>
      <c r="J43" s="0" t="n">
        <v>0.5</v>
      </c>
      <c r="K43" s="0" t="n">
        <v>0.5</v>
      </c>
      <c r="L43" s="0" t="s">
        <v>20</v>
      </c>
    </row>
    <row r="44" customFormat="false" ht="143.2" hidden="false" customHeight="false" outlineLevel="0" collapsed="false">
      <c r="A44" s="0" t="n">
        <v>42</v>
      </c>
      <c r="B44" s="0" t="s">
        <v>157</v>
      </c>
      <c r="C44" s="1" t="s">
        <v>158</v>
      </c>
      <c r="D44" s="0" t="s">
        <v>48</v>
      </c>
      <c r="E44" s="0" t="s">
        <v>159</v>
      </c>
      <c r="F44" s="0" t="s">
        <v>159</v>
      </c>
      <c r="G44" s="0" t="s">
        <v>160</v>
      </c>
      <c r="H44" s="4" t="b">
        <f aca="false">FALSE()</f>
        <v>0</v>
      </c>
      <c r="I44" s="0" t="n">
        <v>0.5</v>
      </c>
      <c r="J44" s="0" t="n">
        <v>1</v>
      </c>
      <c r="K44" s="0" t="n">
        <v>0.5</v>
      </c>
      <c r="L44" s="0" t="s">
        <v>51</v>
      </c>
    </row>
    <row r="45" customFormat="false" ht="34.2" hidden="false" customHeight="false" outlineLevel="0" collapsed="false">
      <c r="A45" s="0" t="n">
        <v>43</v>
      </c>
      <c r="B45" s="0" t="s">
        <v>161</v>
      </c>
      <c r="C45" s="1" t="s">
        <v>162</v>
      </c>
      <c r="D45" s="0" t="s">
        <v>54</v>
      </c>
      <c r="E45" s="0" t="s">
        <v>55</v>
      </c>
      <c r="F45" s="0" t="s">
        <v>55</v>
      </c>
      <c r="G45" s="0" t="s">
        <v>163</v>
      </c>
      <c r="H45" s="2" t="b">
        <f aca="false">TRUE()</f>
        <v>1</v>
      </c>
      <c r="I45" s="0" t="n">
        <v>1</v>
      </c>
      <c r="J45" s="0" t="n">
        <v>1</v>
      </c>
      <c r="K45" s="0" t="n">
        <v>1</v>
      </c>
    </row>
    <row r="46" customFormat="false" ht="15" hidden="false" customHeight="false" outlineLevel="0" collapsed="false">
      <c r="A46" s="0" t="n">
        <v>44</v>
      </c>
      <c r="B46" s="0" t="s">
        <v>164</v>
      </c>
      <c r="C46" s="0" t="s">
        <v>165</v>
      </c>
      <c r="D46" s="0" t="s">
        <v>14</v>
      </c>
      <c r="E46" s="0" t="s">
        <v>14</v>
      </c>
      <c r="F46" s="0" t="s">
        <v>14</v>
      </c>
      <c r="G46" s="0" t="s">
        <v>166</v>
      </c>
      <c r="H46" s="2" t="b">
        <f aca="false">TRUE()</f>
        <v>1</v>
      </c>
      <c r="I46" s="0" t="n">
        <v>1</v>
      </c>
      <c r="J46" s="0" t="n">
        <v>1</v>
      </c>
      <c r="K46" s="0" t="n">
        <v>1</v>
      </c>
    </row>
    <row r="47" customFormat="false" ht="15" hidden="false" customHeight="false" outlineLevel="0" collapsed="false">
      <c r="A47" s="0" t="n">
        <v>45</v>
      </c>
      <c r="B47" s="0" t="s">
        <v>167</v>
      </c>
      <c r="C47" s="0" t="s">
        <v>168</v>
      </c>
      <c r="D47" s="0" t="s">
        <v>54</v>
      </c>
      <c r="E47" s="0" t="s">
        <v>55</v>
      </c>
      <c r="F47" s="0" t="s">
        <v>55</v>
      </c>
      <c r="G47" s="0" t="s">
        <v>169</v>
      </c>
      <c r="H47" s="2" t="b">
        <f aca="false">TRUE()</f>
        <v>1</v>
      </c>
      <c r="I47" s="0" t="n">
        <v>1</v>
      </c>
      <c r="J47" s="0" t="n">
        <v>1</v>
      </c>
      <c r="K47" s="0" t="n">
        <v>1</v>
      </c>
    </row>
    <row r="48" customFormat="false" ht="88.7" hidden="false" customHeight="false" outlineLevel="0" collapsed="false">
      <c r="A48" s="0" t="n">
        <v>46</v>
      </c>
      <c r="B48" s="0" t="s">
        <v>170</v>
      </c>
      <c r="C48" s="1" t="s">
        <v>171</v>
      </c>
      <c r="D48" s="0" t="s">
        <v>48</v>
      </c>
      <c r="E48" s="0" t="s">
        <v>48</v>
      </c>
      <c r="F48" s="0" t="s">
        <v>48</v>
      </c>
      <c r="G48" s="0" t="s">
        <v>172</v>
      </c>
      <c r="H48" s="2" t="b">
        <f aca="false">TRUE()</f>
        <v>1</v>
      </c>
      <c r="I48" s="0" t="n">
        <v>1</v>
      </c>
      <c r="J48" s="0" t="n">
        <v>1</v>
      </c>
      <c r="K48" s="0" t="n">
        <v>1</v>
      </c>
    </row>
    <row r="49" customFormat="false" ht="15" hidden="false" customHeight="false" outlineLevel="0" collapsed="false">
      <c r="A49" s="0" t="n">
        <v>47</v>
      </c>
      <c r="B49" s="0" t="s">
        <v>173</v>
      </c>
      <c r="C49" s="0" t="s">
        <v>174</v>
      </c>
      <c r="D49" s="0" t="s">
        <v>175</v>
      </c>
      <c r="E49" s="0" t="s">
        <v>49</v>
      </c>
      <c r="F49" s="0" t="s">
        <v>49</v>
      </c>
      <c r="G49" s="0" t="s">
        <v>176</v>
      </c>
      <c r="H49" s="2" t="b">
        <f aca="false">TRUE()</f>
        <v>1</v>
      </c>
      <c r="I49" s="0" t="n">
        <v>1</v>
      </c>
      <c r="J49" s="0" t="n">
        <v>1</v>
      </c>
      <c r="K49" s="0" t="n">
        <v>1</v>
      </c>
    </row>
    <row r="50" customFormat="false" ht="23.3" hidden="false" customHeight="false" outlineLevel="0" collapsed="false">
      <c r="A50" s="0" t="n">
        <v>48</v>
      </c>
      <c r="B50" s="0" t="s">
        <v>177</v>
      </c>
      <c r="C50" s="1" t="s">
        <v>178</v>
      </c>
      <c r="D50" s="0" t="s">
        <v>14</v>
      </c>
      <c r="E50" s="0" t="s">
        <v>14</v>
      </c>
      <c r="F50" s="0" t="s">
        <v>14</v>
      </c>
      <c r="G50" s="0" t="s">
        <v>179</v>
      </c>
      <c r="H50" s="2" t="b">
        <f aca="false">TRUE()</f>
        <v>1</v>
      </c>
      <c r="I50" s="0" t="n">
        <v>1</v>
      </c>
      <c r="J50" s="0" t="n">
        <v>1</v>
      </c>
      <c r="K50" s="0" t="n">
        <v>1</v>
      </c>
    </row>
    <row r="51" customFormat="false" ht="15" hidden="false" customHeight="false" outlineLevel="0" collapsed="false">
      <c r="A51" s="0" t="n">
        <v>49</v>
      </c>
      <c r="B51" s="0" t="s">
        <v>180</v>
      </c>
      <c r="C51" s="0" t="s">
        <v>181</v>
      </c>
      <c r="D51" s="0" t="s">
        <v>14</v>
      </c>
      <c r="E51" s="0" t="s">
        <v>14</v>
      </c>
      <c r="F51" s="0" t="s">
        <v>14</v>
      </c>
      <c r="G51" s="0" t="s">
        <v>182</v>
      </c>
      <c r="H51" s="2" t="b">
        <f aca="false">TRUE()</f>
        <v>1</v>
      </c>
      <c r="I51" s="0" t="n">
        <v>1</v>
      </c>
      <c r="J51" s="0" t="n">
        <v>1</v>
      </c>
      <c r="K51" s="0" t="n">
        <v>1</v>
      </c>
    </row>
    <row r="52" customFormat="false" ht="15" hidden="false" customHeight="false" outlineLevel="0" collapsed="false">
      <c r="A52" s="0" t="n">
        <v>50</v>
      </c>
      <c r="B52" s="0" t="s">
        <v>183</v>
      </c>
      <c r="C52" s="0" t="s">
        <v>184</v>
      </c>
      <c r="D52" s="0" t="s">
        <v>14</v>
      </c>
      <c r="E52" s="0" t="s">
        <v>14</v>
      </c>
      <c r="F52" s="0" t="s">
        <v>14</v>
      </c>
      <c r="G52" s="0" t="s">
        <v>185</v>
      </c>
      <c r="H52" s="2" t="b">
        <f aca="false">TRUE()</f>
        <v>1</v>
      </c>
      <c r="I52" s="0" t="n">
        <v>1</v>
      </c>
      <c r="J52" s="0" t="n">
        <v>1</v>
      </c>
      <c r="K52" s="0" t="n">
        <v>1</v>
      </c>
    </row>
    <row r="53" customFormat="false" ht="165" hidden="false" customHeight="false" outlineLevel="0" collapsed="false">
      <c r="A53" s="0" t="n">
        <v>51</v>
      </c>
      <c r="B53" s="0" t="s">
        <v>186</v>
      </c>
      <c r="C53" s="1" t="s">
        <v>187</v>
      </c>
      <c r="D53" s="0" t="s">
        <v>14</v>
      </c>
      <c r="E53" s="0" t="s">
        <v>49</v>
      </c>
      <c r="F53" s="0" t="s">
        <v>49</v>
      </c>
      <c r="G53" s="0" t="s">
        <v>188</v>
      </c>
      <c r="H53" s="4" t="b">
        <f aca="false">FALSE()</f>
        <v>0</v>
      </c>
      <c r="I53" s="0" t="n">
        <v>0.5</v>
      </c>
      <c r="J53" s="0" t="n">
        <v>1</v>
      </c>
      <c r="K53" s="0" t="n">
        <v>0.5</v>
      </c>
      <c r="L53" s="0" t="s">
        <v>51</v>
      </c>
    </row>
    <row r="54" customFormat="false" ht="99.6" hidden="false" customHeight="false" outlineLevel="0" collapsed="false">
      <c r="A54" s="0" t="n">
        <v>52</v>
      </c>
      <c r="B54" s="0" t="s">
        <v>189</v>
      </c>
      <c r="C54" s="1" t="s">
        <v>190</v>
      </c>
      <c r="D54" s="0" t="s">
        <v>18</v>
      </c>
      <c r="E54" s="0" t="s">
        <v>14</v>
      </c>
      <c r="F54" s="0" t="s">
        <v>14</v>
      </c>
      <c r="G54" s="0" t="s">
        <v>191</v>
      </c>
      <c r="H54" s="3" t="b">
        <f aca="false">FALSE()</f>
        <v>0</v>
      </c>
      <c r="I54" s="0" t="n">
        <v>1</v>
      </c>
      <c r="J54" s="0" t="n">
        <v>0.5</v>
      </c>
      <c r="K54" s="0" t="n">
        <v>0.5</v>
      </c>
      <c r="L54" s="0" t="s">
        <v>20</v>
      </c>
    </row>
    <row r="55" customFormat="false" ht="15" hidden="false" customHeight="false" outlineLevel="0" collapsed="false">
      <c r="A55" s="0" t="n">
        <v>53</v>
      </c>
      <c r="B55" s="0" t="s">
        <v>192</v>
      </c>
      <c r="C55" s="0" t="s">
        <v>193</v>
      </c>
      <c r="D55" s="0" t="s">
        <v>91</v>
      </c>
      <c r="E55" s="0" t="s">
        <v>92</v>
      </c>
      <c r="F55" s="0" t="s">
        <v>92</v>
      </c>
      <c r="G55" s="0" t="s">
        <v>194</v>
      </c>
      <c r="H55" s="4" t="b">
        <f aca="false">FALSE()</f>
        <v>0</v>
      </c>
      <c r="I55" s="0" t="n">
        <v>0.333333333333333</v>
      </c>
      <c r="J55" s="0" t="n">
        <v>1</v>
      </c>
      <c r="K55" s="0" t="n">
        <v>0.333333333333333</v>
      </c>
      <c r="L55" s="0" t="s">
        <v>51</v>
      </c>
    </row>
    <row r="56" customFormat="false" ht="34.2" hidden="false" customHeight="false" outlineLevel="0" collapsed="false">
      <c r="A56" s="0" t="n">
        <v>54</v>
      </c>
      <c r="B56" s="0" t="s">
        <v>195</v>
      </c>
      <c r="C56" s="1" t="s">
        <v>196</v>
      </c>
      <c r="D56" s="0" t="s">
        <v>35</v>
      </c>
      <c r="E56" s="0" t="s">
        <v>35</v>
      </c>
      <c r="F56" s="0" t="s">
        <v>35</v>
      </c>
      <c r="G56" s="0" t="s">
        <v>197</v>
      </c>
      <c r="H56" s="2" t="b">
        <f aca="false">TRUE()</f>
        <v>1</v>
      </c>
      <c r="I56" s="0" t="n">
        <v>1</v>
      </c>
      <c r="J56" s="0" t="n">
        <v>1</v>
      </c>
      <c r="K56" s="0" t="n">
        <v>1</v>
      </c>
    </row>
    <row r="57" customFormat="false" ht="15" hidden="false" customHeight="false" outlineLevel="0" collapsed="false">
      <c r="A57" s="0" t="n">
        <v>55</v>
      </c>
      <c r="B57" s="0" t="s">
        <v>198</v>
      </c>
      <c r="C57" s="0" t="s">
        <v>199</v>
      </c>
      <c r="D57" s="0" t="s">
        <v>18</v>
      </c>
      <c r="E57" s="0" t="s">
        <v>26</v>
      </c>
      <c r="F57" s="0" t="s">
        <v>26</v>
      </c>
      <c r="G57" s="0" t="s">
        <v>200</v>
      </c>
      <c r="H57" s="2" t="b">
        <f aca="false">TRUE()</f>
        <v>1</v>
      </c>
      <c r="I57" s="0" t="n">
        <v>1</v>
      </c>
      <c r="J57" s="0" t="n">
        <v>1</v>
      </c>
      <c r="K57" s="0" t="n">
        <v>1</v>
      </c>
    </row>
    <row r="58" customFormat="false" ht="459.75" hidden="false" customHeight="false" outlineLevel="0" collapsed="false">
      <c r="A58" s="0" t="n">
        <v>56</v>
      </c>
      <c r="B58" s="0" t="s">
        <v>201</v>
      </c>
      <c r="C58" s="1" t="s">
        <v>202</v>
      </c>
      <c r="D58" s="0" t="s">
        <v>18</v>
      </c>
      <c r="E58" s="0" t="s">
        <v>26</v>
      </c>
      <c r="F58" s="0" t="s">
        <v>26</v>
      </c>
      <c r="G58" s="0" t="s">
        <v>203</v>
      </c>
      <c r="H58" s="2" t="b">
        <f aca="false">TRUE()</f>
        <v>1</v>
      </c>
      <c r="I58" s="0" t="n">
        <v>1</v>
      </c>
      <c r="J58" s="0" t="n">
        <v>1</v>
      </c>
      <c r="K58" s="0" t="n">
        <v>1</v>
      </c>
    </row>
    <row r="59" customFormat="false" ht="15" hidden="false" customHeight="false" outlineLevel="0" collapsed="false">
      <c r="A59" s="0" t="n">
        <v>57</v>
      </c>
      <c r="B59" s="0" t="s">
        <v>204</v>
      </c>
      <c r="C59" s="0" t="s">
        <v>205</v>
      </c>
      <c r="D59" s="0" t="s">
        <v>18</v>
      </c>
      <c r="E59" s="0" t="s">
        <v>26</v>
      </c>
      <c r="F59" s="0" t="s">
        <v>26</v>
      </c>
      <c r="G59" s="0" t="s">
        <v>206</v>
      </c>
      <c r="H59" s="2" t="b">
        <f aca="false">TRUE()</f>
        <v>1</v>
      </c>
      <c r="I59" s="0" t="n">
        <v>1</v>
      </c>
      <c r="J59" s="0" t="n">
        <v>1</v>
      </c>
      <c r="K59" s="0" t="n">
        <v>1</v>
      </c>
    </row>
    <row r="60" customFormat="false" ht="143.2" hidden="false" customHeight="false" outlineLevel="0" collapsed="false">
      <c r="A60" s="0" t="n">
        <v>58</v>
      </c>
      <c r="B60" s="0" t="s">
        <v>207</v>
      </c>
      <c r="C60" s="1" t="s">
        <v>208</v>
      </c>
      <c r="D60" s="0" t="s">
        <v>18</v>
      </c>
      <c r="E60" s="0" t="s">
        <v>26</v>
      </c>
      <c r="F60" s="0" t="s">
        <v>26</v>
      </c>
      <c r="G60" s="0" t="s">
        <v>209</v>
      </c>
      <c r="H60" s="2" t="b">
        <f aca="false">TRUE()</f>
        <v>1</v>
      </c>
      <c r="I60" s="0" t="n">
        <v>1</v>
      </c>
      <c r="J60" s="0" t="n">
        <v>1</v>
      </c>
      <c r="K60" s="0" t="n">
        <v>1</v>
      </c>
    </row>
    <row r="61" customFormat="false" ht="15" hidden="false" customHeight="false" outlineLevel="0" collapsed="false">
      <c r="A61" s="0" t="n">
        <v>59</v>
      </c>
      <c r="B61" s="0" t="s">
        <v>210</v>
      </c>
      <c r="C61" s="0" t="s">
        <v>211</v>
      </c>
      <c r="D61" s="0" t="s">
        <v>14</v>
      </c>
      <c r="E61" s="0" t="s">
        <v>14</v>
      </c>
      <c r="F61" s="0" t="s">
        <v>14</v>
      </c>
      <c r="G61" s="0" t="s">
        <v>212</v>
      </c>
      <c r="H61" s="2" t="b">
        <f aca="false">TRUE()</f>
        <v>1</v>
      </c>
      <c r="I61" s="0" t="n">
        <v>1</v>
      </c>
      <c r="J61" s="0" t="n">
        <v>1</v>
      </c>
      <c r="K61" s="0" t="n">
        <v>1</v>
      </c>
    </row>
    <row r="62" customFormat="false" ht="15" hidden="false" customHeight="false" outlineLevel="0" collapsed="false">
      <c r="A62" s="0" t="n">
        <v>60</v>
      </c>
      <c r="B62" s="0" t="s">
        <v>213</v>
      </c>
      <c r="C62" s="0" t="s">
        <v>214</v>
      </c>
      <c r="D62" s="0" t="s">
        <v>35</v>
      </c>
      <c r="E62" s="0" t="s">
        <v>35</v>
      </c>
      <c r="F62" s="0" t="s">
        <v>35</v>
      </c>
      <c r="G62" s="0" t="s">
        <v>215</v>
      </c>
      <c r="H62" s="2" t="b">
        <f aca="false">TRUE()</f>
        <v>1</v>
      </c>
      <c r="I62" s="0" t="n">
        <v>1</v>
      </c>
      <c r="J62" s="0" t="n">
        <v>1</v>
      </c>
      <c r="K62" s="0" t="n">
        <v>1</v>
      </c>
    </row>
    <row r="63" customFormat="false" ht="45.1" hidden="false" customHeight="false" outlineLevel="0" collapsed="false">
      <c r="A63" s="0" t="n">
        <v>61</v>
      </c>
      <c r="B63" s="0" t="s">
        <v>216</v>
      </c>
      <c r="C63" s="1" t="s">
        <v>217</v>
      </c>
      <c r="D63" s="0" t="s">
        <v>14</v>
      </c>
      <c r="E63" s="0" t="s">
        <v>14</v>
      </c>
      <c r="F63" s="0" t="s">
        <v>14</v>
      </c>
      <c r="G63" s="0" t="s">
        <v>218</v>
      </c>
      <c r="H63" s="2" t="b">
        <f aca="false">TRUE()</f>
        <v>1</v>
      </c>
      <c r="I63" s="0" t="n">
        <v>1</v>
      </c>
      <c r="J63" s="0" t="n">
        <v>1</v>
      </c>
      <c r="K6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v>
      </c>
      <c r="B1" s="0" t="s">
        <v>219</v>
      </c>
      <c r="C1" s="0" t="s">
        <v>220</v>
      </c>
      <c r="D1" s="0" t="s">
        <v>221</v>
      </c>
      <c r="E1" s="0" t="s">
        <v>222</v>
      </c>
      <c r="F1" s="0" t="s">
        <v>223</v>
      </c>
      <c r="G1" s="0" t="s">
        <v>224</v>
      </c>
    </row>
    <row r="2" customFormat="false" ht="15" hidden="false" customHeight="false" outlineLevel="0" collapsed="false">
      <c r="A2" s="0" t="s">
        <v>91</v>
      </c>
      <c r="B2" s="0" t="n">
        <v>23</v>
      </c>
      <c r="C2" s="0" t="n">
        <v>13</v>
      </c>
      <c r="D2" s="0" t="n">
        <v>1</v>
      </c>
      <c r="E2" s="0" t="n">
        <v>10</v>
      </c>
      <c r="F2" s="0" t="s">
        <v>225</v>
      </c>
      <c r="G2" s="0" t="s">
        <v>226</v>
      </c>
    </row>
    <row r="3" customFormat="false" ht="15" hidden="false" customHeight="false" outlineLevel="0" collapsed="false">
      <c r="A3" s="0" t="s">
        <v>35</v>
      </c>
      <c r="B3" s="0" t="n">
        <v>11</v>
      </c>
      <c r="C3" s="0" t="n">
        <v>11</v>
      </c>
      <c r="D3" s="0" t="n">
        <v>0</v>
      </c>
      <c r="E3" s="0" t="n">
        <v>0</v>
      </c>
      <c r="F3" s="0" t="s">
        <v>227</v>
      </c>
      <c r="G3" s="0" t="s">
        <v>227</v>
      </c>
    </row>
    <row r="4" customFormat="false" ht="15" hidden="false" customHeight="false" outlineLevel="0" collapsed="false">
      <c r="A4" s="0" t="s">
        <v>48</v>
      </c>
      <c r="B4" s="0" t="n">
        <v>9</v>
      </c>
      <c r="C4" s="0" t="n">
        <v>9</v>
      </c>
      <c r="D4" s="0" t="n">
        <v>4</v>
      </c>
      <c r="E4" s="0" t="n">
        <v>0</v>
      </c>
      <c r="F4" s="0" t="s">
        <v>227</v>
      </c>
      <c r="G4" s="0" t="s">
        <v>228</v>
      </c>
    </row>
    <row r="5" customFormat="false" ht="15" hidden="false" customHeight="false" outlineLevel="0" collapsed="false">
      <c r="A5" s="0" t="s">
        <v>14</v>
      </c>
      <c r="B5" s="0" t="n">
        <v>46</v>
      </c>
      <c r="C5" s="0" t="n">
        <v>45</v>
      </c>
      <c r="D5" s="0" t="n">
        <v>6</v>
      </c>
      <c r="E5" s="0" t="n">
        <v>1</v>
      </c>
      <c r="F5" s="0" t="s">
        <v>229</v>
      </c>
      <c r="G5" s="0" t="s">
        <v>230</v>
      </c>
    </row>
    <row r="6" customFormat="false" ht="15" hidden="false" customHeight="false" outlineLevel="0" collapsed="false">
      <c r="A6" s="0" t="s">
        <v>83</v>
      </c>
      <c r="B6" s="0" t="n">
        <v>4</v>
      </c>
      <c r="C6" s="0" t="n">
        <v>3</v>
      </c>
      <c r="D6" s="0" t="n">
        <v>0</v>
      </c>
      <c r="E6" s="0" t="n">
        <v>1</v>
      </c>
      <c r="F6" s="0" t="s">
        <v>231</v>
      </c>
      <c r="G6" s="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232</v>
      </c>
      <c r="B1" s="0" t="s">
        <v>233</v>
      </c>
      <c r="C1" s="0" t="s">
        <v>234</v>
      </c>
    </row>
    <row r="2" customFormat="false" ht="15" hidden="false" customHeight="false" outlineLevel="0" collapsed="false">
      <c r="A2" s="0" t="s">
        <v>235</v>
      </c>
      <c r="B2" s="0" t="s">
        <v>228</v>
      </c>
      <c r="C2" s="0" t="n">
        <v>62</v>
      </c>
    </row>
    <row r="3" customFormat="false" ht="15" hidden="false" customHeight="false" outlineLevel="0" collapsed="false">
      <c r="A3" s="0" t="s">
        <v>236</v>
      </c>
      <c r="B3" s="0" t="s">
        <v>237</v>
      </c>
      <c r="C3" s="0" t="n">
        <v>62</v>
      </c>
    </row>
    <row r="4" customFormat="false" ht="15" hidden="false" customHeight="false" outlineLevel="0" collapsed="false">
      <c r="A4" s="0" t="s">
        <v>238</v>
      </c>
      <c r="B4" s="0" t="s">
        <v>239</v>
      </c>
      <c r="C4" s="0" t="n">
        <v>62</v>
      </c>
    </row>
    <row r="5" customFormat="false" ht="15" hidden="false" customHeight="false" outlineLevel="0" collapsed="false">
      <c r="A5" s="0" t="s">
        <v>240</v>
      </c>
      <c r="B5" s="0" t="s">
        <v>241</v>
      </c>
      <c r="C5" s="0" t="n">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2026-07-29T13:37:23Z</dcterms:created>
  <dc:creator>openpyxl</dc:creator>
  <dc:description/>
  <dc:language>en-GB</dc:language>
  <cp:lastModifiedBy/>
  <dcterms:modified xsi:type="dcterms:W3CDTF">2026-07-29T15:11:06Z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