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<sst xmlns="http://schemas.openxmlformats.org/spreadsheetml/2006/main" count="602" uniqueCount="335">
  <si>
    <t xml:space="preserve">id</t>
  </si>
  <si>
    <t xml:space="preserve">title</t>
  </si>
  <si>
    <t xml:space="preserve">abstract</t>
  </si>
  <si>
    <t xml:space="preserve">end_product_type</t>
  </si>
  <si>
    <t xml:space="preserve">sub_end_product</t>
  </si>
  <si>
    <t xml:space="preserve">raw_predicted_categories</t>
  </si>
  <si>
    <t xml:space="preserve">predicted_end_product_type</t>
  </si>
  <si>
    <t xml:space="preserve">predicted_sub_end_product</t>
  </si>
  <si>
    <t xml:space="preserve">reasoning_LLM</t>
  </si>
  <si>
    <t xml:space="preserve">exact_match</t>
  </si>
  <si>
    <t xml:space="preserve">row_precision</t>
  </si>
  <si>
    <t xml:space="preserve">row_recall</t>
  </si>
  <si>
    <t xml:space="preserve">row_jaccard</t>
  </si>
  <si>
    <t xml:space="preserve">A Revolutionary Tech for Exceptionally Efficient Natural  Muscle Tissue Growth in Cultivated Meat Applications</t>
  </si>
  <si>
    <t xml:space="preserve">Whilst meat demand is expected to double by 2050, consumption needs to drop by 50% to reduce greenhouse gases and preserve land. Cultivated meat - meat products manufactured through the harvesting and proliferation of animal cells - offers a feasible alternative, supplying animal protein at minimal environmental costs. However, the industry faces significant challenges linked to production costs, ability to scale-up, and final product quality. The main technical bottlenecks arise from the need to continuously source cells from live animals, and inefficient differentiation and maturation processes, that fail to achieve nutritional and organoleptic characteristics to satisfy consumers. Harnessing unique expertise on muscle cultivation, ProFuse has developed the first spontaneously immortalized and stable myoblast cell line (bovine) with remarkable proficiency in both muscle tissue proliferation and differentiation. Secondly, ProFuse has formulated a media supplement capable of driving the highly effective fusion and maturation into contractile muscle, successfully mimicking natural muscle development. After receiving the licensing of the patent protecting the discovery and the incorporation of our start-up for boosting development and commercialization, our team has established strong relationships with worldwide leading cultivated meat producers and suppliers, developing initial supplement formulations for different 2D and 3D applications. Through this project, we aim at optimizing our combined cell-line + supplement solution for scale-up enabling 3D production techniques up to reaching the validation in relevant environment with at least 3 potential clients while preparing the certification dossier, thus bringing our combined cell-line + supplement solution to TRL6. ProFuse will transform the scale-up potential and quality of final cultivated meat products, fast forwarding the industry to high uptake scenarios.</t>
  </si>
  <si>
    <t xml:space="preserve">Meat</t>
  </si>
  <si>
    <t xml:space="preserve">The grant explicitly targets cultivated meat applications, developing immortalized myoblast cell lines and media supplements to improve muscle tissue growth and differentiation for cultivated meat products.</t>
  </si>
  <si>
    <t xml:space="preserve">A systems biology approach to optimize EPS production by lactic acid bacteria for food applications</t>
  </si>
  <si>
    <t xml:space="preserve">In situ heteropolysaccharide (HePS)-producing lactic acid bacteria (LAB), such as Lactobacillus plantarum, have attracted the attention of the food industry, as HePS possesses structuring, viscosity-enhancing, and emulsifying properties. However, certain stress factors can either promote or reduce HePS formation, depending on the strain used, potentially limiting commercial applications. This project aims to better understand why HePS biosynthesis within the same LAB species responds differently to different carbon sources, as well as to temperature and salt (stress), and which combination best stimulates in situ HePS production (quantified by HPLC). This will be investigated by combining growth assays (e.g., high-throughput phenotyping) with various omics techniques, leading to the identification of HePS-associated genes/proteins. The results will be validated in a (plant-based) yoghurt (analogue), evaluating not only HePS formation but also acidification kinetics and structure formation, which together influence texture properties.</t>
  </si>
  <si>
    <t xml:space="preserve">Dairy</t>
  </si>
  <si>
    <t xml:space="preserve">Yoghurt and fermented dairy</t>
  </si>
  <si>
    <t xml:space="preserve">The abstract explicitly states that results will be validated in a plant-based yoghurt analogue, directly targeting fermented dairy analogues.</t>
  </si>
  <si>
    <t xml:space="preserve">Accelerating PROteins innoVAtors beyond reguLatory Sandboxes (APROVALS)</t>
  </si>
  <si>
    <t xml:space="preserve">In the coming decades, society faces the formidable challenge of providing sustenance for a global population expected to reach 10 billion by 2050. Fortunately, the burgeoning field of biotechnology holds significant promise in addressing this challenge by revolutionizing food production. The central aim of this proposal is to pave the way for the widespread adoption of an innovative technology known as cellular agriculture, which is poised to play a pivotal role in facilitating the global protein transition. Cellular agriculture, in essence, represents a breakthrough methodology for producing a spectrum of sustainable food products.
Lead by 8 organisations from 7 countries, representing the innovation ecosystem, APROVALS aims to facilitate the seamless integration of emerging cellular agriculture technologies into the global food landscape, through two main activities:
- Sandbox for Innovation: APROVALS offers a dedicated sandbox environment where innovators can test and refine their solutions. This sandbox acts as a fertile ground for experimentation, enabling startups and SMEs to develop their technologies and bring them to market.
- Interconnected Stakeholders: The project places a strong emphasis on fostering collaboration among key stakeholders involved in cellular agriculture:
1) Start-ups and Growing SMEs: These enterprises are provided with essential support to advance their technologies and successfully navigate the journey from innovation to market.
2) Innovation Support: Tailored support initiatives are crafted to mitigate risks associated with the innovation process, fostering a conducive ecosystem for cellular agriculture innovation.
3) Regulators and Policymakers: APROVALS actively engages with regulators and policymakers to establish robust protocols and a legal framework. This framework serves to safeguard the market and consumers while simultaneously preventing unwarranted regulatory hurdles that could impede progress in cellular agriculture.</t>
  </si>
  <si>
    <t xml:space="preserve">Agnostic</t>
  </si>
  <si>
    <t xml:space="preserve">The grant describes a regulatory sandbox and innovation support framework for cellular agriculture broadly, without specifying any particular food product application.</t>
  </si>
  <si>
    <t xml:space="preserve">Advanced Microchannel Structured SiC Hollow Fibre Membranes for Value-Added Oil Recovery in Precision Fermentation (PF)</t>
  </si>
  <si>
    <t xml:space="preserve">Cellular Agriculture Manufacturing involves the production of agricultural products via cell culture. This innovative method significantly diminishes the environmental impact compared to traditional farming by reducing land use, greenhouse gas emissions, and water usage. It also provides enhanced resilience to climate change and enables more distributed manufacturing processes. This approach further generates added value for UK farmers, aligning with the primary goals of the £12 million EPSRC-funded CARMAR Hub.
In addition to being assessed on sustainability, societal, and economic metrics, CARMAR's goal of transitioning "from lab to shopping basket" necessitates the development of "novel, underpinning manufacturing technologies". These technologies are designed to achieve necessary process intensities at scale in a cost-effective and sustainable manner. Considering that separation and purification processes account for approximately 15% of the world's energy demand, the innovation of bioseparation processes through the advancement of sophisticated separation technologies will be a key determinant of CARMAR's success.
Given the high energy efficiency of membrane separation, which is up to ten times more energy-efficient than conventional separation methods, expertise in polymeric membranes has been secured within the CARMAR consortium. This project aims to further mitigate potential risks associated with chemical compatibility, fouling, and water permeation of polymeric membranes when interacting with a wide range of biomaterials and systems within the CARMAR value chain. To this end, the project is focused on advancing more resilient and high-throughput ceramic membrane technology, thereby elevating the versatility of CARMAR processes by overcoming the limitations of polymeric membranes.
To achieve this, we plan to transfer the highly permeable, low fouling, and chemically robust SiC material into an advanced microchannel structured hollow fibre membrane. This membrane, with its high surface area to volume ratio and low permeation resistance, along with its scalable fabrication uniquely available through this project, aims to counteract the high fabrication cost challenge associated with such membranes. Beyond demonstrating its efficacy in bioseparation applications within CARMAR through collaborations, we will extend the benefits of this advanced material to broader research centres/hubs/institutes, such as the biological membrane and bioenergy research and development at Aston University. By providing a new powerful tool for efficient purifications at lower energy consumption, we aim to bring together membrane researchers from biological, polymeric, and ceramic membrane communities, thereby further advancing globally leading membrane innovations for both successful CARMAR and a more resilient UK society.</t>
  </si>
  <si>
    <t xml:space="preserve">Fats</t>
  </si>
  <si>
    <t xml:space="preserve">The grant describes the development of advanced SiC hollow fibre membrane technology for bioseparation and purification processes within a cellular agriculture manufacturing context, with no specific food end product application named.</t>
  </si>
  <si>
    <t xml:space="preserve">Agree with LLM</t>
  </si>
  <si>
    <t xml:space="preserve">AlgFlavor - Verbeteren van de consumentenacceptatie van algen voor de voedselmarkt</t>
  </si>
  <si>
    <t xml:space="preserve">AlgFlavor focuses on the use of seaweed and microalgae (collectively called algae) as a sustainable food source. These are rich in nutrients such as protein, minerals, and omega-3 fatty acids and can help meet the growing demand for healthy, sustainable food. There are challenges to improving algae-based foods, primarily due to their taste and aroma. To address these challenges, AlgFlavor is working to improve consumer acceptance of algae-based foods. Different types of algae have distinct flavors, ranging from bitter to savory. Some algae even have a taste similar to seafood, making them suitable for plant-based seafood alternatives. The flavor of algae can be influenced by how it is grown and processed. AlgFlavor will optimize these conditions to ensure consistent flavor and to incorporate algae into various food products (e.g., bread, sauces). Algae has promising flavor and nutritional properties but needs to become more consistent, affordable, and better for consumption. AlgFlavor will achieve this by conducting sensory evaluations and chemical analyses and developing various food prototypes. The ultimate goal is to create a market for algae-based foods, focusing on plant-based seafood alternatives, by improving consumer acceptance and understanding the needs of both producers and consumers.</t>
  </si>
  <si>
    <t xml:space="preserve">Seafood</t>
  </si>
  <si>
    <t xml:space="preserve">Fish and seafood</t>
  </si>
  <si>
    <t xml:space="preserve">The abstract explicitly states that the ultimate goal is to create a market for algae-based foods focusing on plant-based seafood alternatives, directly targeting the Fish and seafood category.</t>
  </si>
  <si>
    <t xml:space="preserve">AlgFlavor, Enhancing algal biomass consumer acceptance for food markets</t>
  </si>
  <si>
    <t xml:space="preserve">As society shifts away from animal-based diets driven by environmental, health and animal welfare
concerns, both seaweed and microalgae (collectively referred to as algae) emerge as a promising
sustainable food source. With their rich nutritional content, including protein, minerals, vitamins, fiber
and omega-3 fatty acids, these low trophic marine species offer a viable solution to meet consumer
demands for healthy and eco-friendly diets. Despite the potential of algae, the widespread adoption in
European markets faces hurdles due to limited consumer acceptance stemming from the impact of
algal biomass on taste, aroma and visual appeal in food products. AlgFlavor will tackle these
concerns as it is crucial for building consumer trust and promoting the widespread use of algae in food.</t>
  </si>
  <si>
    <t xml:space="preserve">The grant focuses on improving consumer acceptance of algal biomass (taste, aroma, visual appeal) for general food markets without specifying any particular end product application, making it Agnostic.</t>
  </si>
  <si>
    <t xml:space="preserve">AlgFlavor: Enhancing algal biomass consumer acceptance for food markets</t>
  </si>
  <si>
    <t xml:space="preserve"> As society shifts away from animal-based diets driven by environmental sustainability, health, and animal welfare concerns, both seaweeds and microalgae (referred to as algae) have emerged as promising sustainable food sources due to their carbon capture capabilities and interesting nutrient profile, including proteins, minerals and omega-3 fatty acids. Despite their potential, the widespread adoption of algal biomass in food faces significant hurdles on the European markets, primarily stemming from consumer acceptance regarding their impact on taste, aroma, and visual appeal in food products. AlgFlavor addresses several knowledge gaps and challenges hindering the integration of algae into European diets. Recent research shows the broad diversity of flavor profiles among different algae, which also depend on cultivation and processing conditions. The potential of specific marine algae was highlighted for developingseafood alternatives due to their intrinsic seafood flavor. AlgFlavor will identify the optimal cultivation and processing conditions to improve the seafood flavor of the algae. Production conditions with desired flavor qualities will then be scaled while maintaining consistency. Through in-depth flavor analysis and consumer acceptance tests, AlgFlavor seeks to enable efficient formulation of food containing algae, focusing on seafood alternatives. Furthermore, the behavior of algal flavor within different food matrices (e.g. lipids, protein or carbohydrates), in presence of flavor enhancers as well as after different types of processing or storage will be investigated; both as model systems and food products. AlgFlavor prioritizes consumer engagement to increase awareness and acceptance of algal-containing food products, thereby promoting healthier and more sustainable dietary choices. Furthermore, environmental, social, and economic impacts of algal production and the algalcontaining food will be integrated in AlgFlavor. A risk-benefit study will be carried out to evaluate the effects of consuming algalcontaining food products. This assessment will focus on the nutritional impacts and claims of incorporating these food formulations into the regular diets of different population groups within the studied areas. AlgFlavor adopts a multidisciplinary approach encompassing cultivation science, food technology, food chemistry, sensory evaluation, consumer behavior research, and sustainability and risk-benefit assessment. This approach will bridge the gap between algal producers and the food industry, creating a resilient blue economy. By supporting the growth of the seafood alternatives sector using low trophic species, the project has a positive environmental impact through reducing the pressure on marine animal stocks. As a result, AlgFlavor aligns with the EU’s Blue Bioresources priority area by promoting sustainable food production and reducing pressure on marine ecosystems. </t>
  </si>
  <si>
    <t xml:space="preserve">The abstract explicitly states that AlgFlavor focuses on developing seafood alternatives using algal biomass with seafood flavor profiles, directly targeting fish and seafood analogue products.</t>
  </si>
  <si>
    <t xml:space="preserve">Bovine embryonic stem cell development and myoblast maturation
  approaches as prospective key technological advancements for cultured meat
  development.</t>
  </si>
  <si>
    <t xml:space="preserve">The project addresses cultured meat development challenges by pursuing two main goals: 1) investigating the myogenic differentiation potential of bovine embryonic stem cell (bESC) lines and 2) assessing the cell differentiation processes of bovine myoblasts via three stimulation approaches to enhance myotube hypertrophy, aiming to advance the development of mature myofibers.</t>
  </si>
  <si>
    <t xml:space="preserve">The grant explicitly targets cultured meat development by investigating bovine embryonic stem cell myogenic differentiation and myoblast maturation to produce mature myofibers, directly supporting a meat end product.</t>
  </si>
  <si>
    <t xml:space="preserve">Cell-cultured octopus production through sustainable marine biomass valorization</t>
  </si>
  <si>
    <t xml:space="preserve">SEANERGIES aims to develop the scientific and technological foundation for producing cultivated octopus—meat grown from cells without killing animals. As global demand for protein rises, traditional fishing and aquaculture face major challenges, including overfishing, pollution, and animal welfare concerns. Octopuses are especially vulnerable, yet they are also highly valued for their nutrition and cultural significance.
The project uses an interdisciplinary approach combining marine biology, bioengineering, and social sciences. It will explore the octopus’s natural ability to regenerate muscle tissue to create the first stable octopus muscle cell line for use in cellular agriculture. To make this process sustainable and animal-free, SEANERGIES will develop innovative culture media based on microalgae and natural scaffolds from seaweed (Saccharina latissima, NORWEGIAN Partner's Role), providing the structure needed for muscle growth.
Key R&amp;D challenges include isolating and growing octopus cells long-term, replacing animal-derived nutrients in cell culture, and ensuring that marine-based materials can support cell attachment and development. The project will also assess the environmental and social impacts of cultivated seafood in Portugal, Italy, and Brazil.
SEANERGIES contributes to global food security and ocean health by offering a sustainable alternative to traditional seafood, aligned with EU Green Deal goals and the UN Sustainable Development Goals.</t>
  </si>
  <si>
    <t xml:space="preserve">The grant explicitly targets cultivated octopus as a seafood analogue, placing it squarely in the Fish and seafood category.</t>
  </si>
  <si>
    <t xml:space="preserve">Data-driven engineering of microalgal
  biofactories for safe and efficient omega-3 production</t>
  </si>
  <si>
    <t xml:space="preserve">Omega-3 are essential nutrients for human health, but requirements are greater than the supply. Photosynthetic microalgae is emerging as a promising omega-3 source that is cultivated on non-arable land with minimal nutrients and offers a solution for mitigating climate change by sequestering carbon emissions. Enhancing omega-3 production through manipulation of conditions and breeding have shown limited success. Genetic engineering can unblock the barriers of low efficiency for a full future adoption of microalgae technology with minimal environmental impacts. 
An engineering approach enables precise design of microalgae cell factories to produce a range of bio-based products, including pharmaceuticals, cosmetics, and feed additives, as well as nutritious supplements, and alternative protein sources. However, barriers to adopting gene-modified microalgae persist, including safety aspects, prevailing regulations, and socio-economic and environmental concerns. While taking a proactive multiactor approach to scan and address such concerns, SafePhaeO3 prioritizes risk mitigation strategies to circumvent antibiotics, avoid transgene integration, reduce off-target effects, introduce preventive strategies for unintentional leakage, and work on detection methods for traceability.
While optimizing methods for safer genetic delivery, SafePhaeO3 seeks to uncover novel target genes and regulatory networks crucial for omega-3 metabolism using a pioneering approach based on AI and comprehensive omics data analysis. Following precise engineering to enhance omega-3 production, SafePheo3 will assess the phenotypic stability of new strains during lab-to-pilot scaling, as well as the quality of the lipid products. With the omega-3 market pull as a technology driver, SafePheo3 will establish a versatile platform that will unlock the full potential of microalgae for advanced cost-effective and safer bioproduction and value creation, while also promoting environment-friendly solutions.</t>
  </si>
  <si>
    <t xml:space="preserve">The grant focuses on engineering microalgal biofactories for omega-3 production as a bioproduction platform (pharmaceuticals, cosmetics, feed additives, supplements, alternative protein sources) without targeting any specific food end product category.</t>
  </si>
  <si>
    <t xml:space="preserve">Design of techno-functional cereal protein fibrils</t>
  </si>
  <si>
    <t xml:space="preserve">Proteins are essential components of the human diet. In addition, they have important properties in food production and products (e.g. gelling and foaming properties, visco-elasticity, etc.). In a food context, proteins are often categorized as either of animal or plant origin. Egg white (EW) and wheat gluten (WG) proteins are relevant examples of each of the two main groups, respectively. EW is highly nutritious and recognized for its excellent foaming and gelling properties. WG is the most important cereal protein consumed and an essential structural component of many baked products.The functionality of proteins is intrinsically related to their structure. However, developing protein structures with specific functionality is still a major challenge. Amyloid fibrils (AFs) are protein structures composed of highly ordered β-sheet structures which hold potential to deliver specific functionality in food products. Unfortunately, EW and WG protein fibrillation has mainly been studied at conditions which are not relevant for food processing (e.g. very acidic pH or extended incubation times).Against the above background, the AIM of this doctoral dissertation was to study EW and WG protein fibrillation under food system relevant processing conditions by providing answers to the following research questions: what is the impact of drying on EW and WG protein fibrillation,to what extent, hydrothermal treatments promote EW and WG protein fibrillation,what is the potential of enzymatic hydrolysis to enhance WG protein fibrillation, andto what extent does adding limited amounts of chaotropic or enzymatic agents contribute to the extraction of protein fibrils from heated EW and WG.In a FIRST PART, the impact of heating conditions resembling slow cooking (78 °C, 22 h) or boiling on EW protein fibrillation was studied. Both types of conditions promoted the formation of aqueous soluble ovalbumin (OVA; the main protein in EW) protein fibrils, albeit to a larger extent under the former conditions. Sodium dodecyl sulfate (SDS) and dithiothreitol (DTT) containing media (either in combination or separately) were not suitable for extracting protein fibrils from gels obtained by boiling EW for 15 min. An enzyme-assisted extraction with proteinase K of protein fibrils from boiled EW was developed. Proteinase treatment (37 °C, 48 h, 150 rpm) on boiled EW solubilized mainly amorphous aggregates. Following centrifugation, a dense network of worm-like protein structures was solubilized from the pellets with 0.01 M HCl (room temperature, 1 h, 150 rpm) as observed with transmission electron microscopy (TEM). Fourier transform infrared spectroscopy (FTIR), X-ray diffraction analysis and green birefringence upon staining with Congo red confirmed the presence of AFs in such pellets. Approximately 1.5−3.0% of the protein in EW assembled into AFs during boiling. In addition, treating heated OVA (78 °C, 22 h) with trypsin (37 °C, 48 h, 150 rpm) allowed to demonstrate that it contained AFs. The developed enzyme-assisted extraction method and the analytical techniques mentioned above were used to further investigate AF formation under other food relevant processing conditions.EW powders are commonly used in the food industry. In a SECOND PART, the influence of drying modes and hydrothermal treatment conditions on protein fibrillation in solutions of dried EW was investigated. Drying influenced EW protein fibrillation and spray-drying promoted this process to a larger extent than freeze-drying. Nonetheless, specific dry heating conditions [i.e. storage for one week either at 50 °C and 50% relative humidity (RH) (EWSD 50°C/50%) or at 60 °C and 80% RH (EWSD 60°C/80%)] had limited impact on spray-dried EW protein (EWSD) fibrillation. A response surface design allowed determining optimal fibrillation conditions for solutions of freeze-dried OVA and EW (OVAFD and EWFD). These were found to be 2.0% (wprotein/v), pH 7.0, 23 h, 76 °C and 0.5% (wprotein/v), pH 7.0, 24 h, 85 °C, respectively. Under such conditions, OVAFD solutions contained a higher level of β-sheet structures and larger worm-like aggregates than EWFD solutions. A higher extent of fibrillation was found in EWSD 60°C/80% dispersions heated [0.5% (wprotein/v), pH 7.0, 24 h, 85 °C] than in those of EWSD 50°C/50%, illustrating the impact of different dry heating conditions.In a THIRD PART, the fibrillation of WG protein under heating conditions that were successful to induce EW protein fibrillation was studied. Unheated and heated WG samples were treated with proteinase K and trypsin (37 °C, 48 h, 150 rpm) to solubilize the non-fibrillated proteins, while protein fibrils were extracted with 0.05 M sodium phosphate buffer (pH 7.0) from the undissolved fraction obtained by the same enzymatic treatment. Unheated WG dispersions already contain some protein fibrils presumably as a result of the industrial drying process during their isolation. Heating caused the level of protein fibrils to increase. Heated WG dispersions (78 °C, 22 h) induced the formation of straight fibrils (ca. 700 nm in length), whereas boiling WG for at least 15 min resulted in longer (ca. 1 to 2 μm) and straight fibrils. The latter showed the typical green birefringence of AFs when stained with Congo red and its X-ray fiber diffraction pattern showed the typical reflection (4.7 Å) for inter β-strand spacing. Two weaker additional reflections were observed at 7.8 Å and 12.1 Å. The latter most probably indicated the distance between packed b-sheets (i.e. 10 Å). These results combined with those of FTIR validated the identification of β-rich amyloid-like fibrils (ALFs) in dispersions of boiled WG. Approximately 0.1% to 0.5% of WG proteins assembled into ALFs during boiling.In a FOURTH PART, the formation of ALFs from wheat gluten peptides (WGPs) was investigated under different hydrothermal conditions. Firstly, tryptic WGP [degrees of hydrolysis 2.0% (DH 2) or 6.0% (DH 6)] fibrillation was optimized under hydrothermal conditions using a response surface design. DH 6 WGPs had a higher propensity to fibrillate than did DH 2 WGPs. Heating DH 6 WGPs at 2.0% (w/v) for 38 h at 85 °C and pH 7.0 resulted in optimal fibrillation. Secondly, trypsin, chymotrypsin, thermolysin, papain and proteinase K were individually used to produce different DH 6 WGP samples. After enzyme inactivation and subsequent heating at optimal fibrillation conditions, chymotrypsin and proteinase K DH 6 WGPs produced small worm-like fibrils whereas fibrils prepared from trypsin DH 6 WGPs were long (ca. 500 nm to 1.3 μm) and straight. The average peptide size and surface hydrophobicity of the peptides were key for fibrillation, as heat-induced fibrillation occurred to a larger extent in tryptic WGPs containing an average larger peptide size with increased hydrophobicity than in other enzyme-prepared peptides. Thirdly, tryptic peptides from the WG components gliadin and glutenin fractions separately formed mainly worm-like protein structures. As the morphology and the size of these fibrils did not resemble those of tryptic WGPs protein fibrils, it is believed that both WG protein fractions jointly contribute to fibrillation.In conclusion, this dissertation demonstrates that food relevant processing conditions induced the formation of ALFs or even AFs in EW and WG proteins, suggesting their presence in the human diet. In addition, the enzyme-assisted extraction protocol developed in this doctoral research can be of value to study AFs in complex food matrices. Based on previous reports, it is hoped that ALFs or even AFs prepared under food relevant processing conditions have specific techno-functional properties that can be beneficial for the quality of food products</t>
  </si>
  <si>
    <t xml:space="preserve">The grant studies the formation of amyloid fibrils from egg white and wheat gluten proteins under food-relevant processing conditions, focusing on structural characterization and extraction methods without targeting any specific food product application.</t>
  </si>
  <si>
    <t xml:space="preserve">Designed fermentation for off-flavor
  elimination in plant-based foods</t>
  </si>
  <si>
    <t xml:space="preserve">Plant-based foods like those made from faba beans and peas are packed with potential but often struggle with unpleasant flavors that turn people away. Instead of relying on artificial additives, this project takes a natural approach, using fermentation to transform the flavor experience. Through extensive screening and detailed analysis, we will identify microbes that can remove unpleasant flavors. By combining insights from metabolomics, genomics, and biochemistry with machine learning, we will optimize microbial blends to work in harmony, much like a team of chefs perfecting a recipe. These blends will be applied to create plant-based dairy alternatives, ensuring they are free of undesirable flavors. Hundreds of volunteers will then try these foods, helping to prove that improved flavor profiles lead to more enjoyment and greater demand for sustainable, plant-based options. This work could revolutionize how we eat, making healthy, planet-friendly foods irresistible for everyone.</t>
  </si>
  <si>
    <t xml:space="preserve">The abstract explicitly targets 'plant-based dairy alternatives' using fermentation for off-flavor elimination, but does not specify which dairy subcategory (milk, yoghurt, cheese, cream) applies, so the general Dairy fallback is appropriate.</t>
  </si>
  <si>
    <t xml:space="preserve">Develop good and healthy HMMA textured plant proteins for the food industry</t>
  </si>
  <si>
    <t xml:space="preserve">Purpose and goal: 
  Peter o Bolinder AB together with Peas of Heaven AB, Swedish University of
 Agricultural Sciences (SLU) and Örebro University (ORU) will carry out an
 innovation project to develop plant-based foods that have equivalent or
 better nutritional values than animal products. The project has three areas
 of innovation: to identify the most suitable crops, to improve the
 nutritional values, and develop two good and healthy plant-based foods.
  Expected results and effects: 
  The project has three areas of innovation: to identify the most suitable
 crops, to improve the nutritional values and finally to develop two good and
 useful plant-based foods. With the results from the innovation project, we
 will design and build a facility to develop and produce HMMA (High Moisture
 Meat Analogs) textured plant proteins for Swedish and international customers
 for better health, a sustainable climate and contribute to increased speed in
 the food transition. 
  Approach and implementation: 
  The project is divided into the following work packages:
  1 Knowledge gathering
  2 Develop protein blends and HMMA (High Moisture Meat Analogs) textured
 material
  3 Nutrition and bioavailability analyses
  4 Develop foods, plant-based meat and chicken alternatives.</t>
  </si>
  <si>
    <t xml:space="preserve">The grant explicitly targets High Moisture Meat Analogs (HMMA) and plant-based meat and chicken alternatives, clearly placing it in the Meat category.</t>
  </si>
  <si>
    <t xml:space="preserve">Development of functional fava bean food ingredients</t>
  </si>
  <si>
    <t xml:space="preserve">Food companies are seeking to replace egg white in their products for many reasons: cost and supply chain concerns, transitioning to plant based/vegan ingredients for improved sustainability, as well as consumer demand for 'free from' foods. Whilst there are ingredients already available to provide some of the functionality of egg white, they often have associated issues such as odour, or simply aren't sufficiently functional and/or cost effective. For many food producers a genuine alternative to egg white is still a 'holy grail'.
This project seeks to further improve the functionality of a fava bean based egg white replacer already developed by Nandi Proteins. As well as looking to access new applications, the work will also further improve production economics and seek to identify a route to a complete UK-based supply chain from 'seed to food'.</t>
  </si>
  <si>
    <t xml:space="preserve">Eggs</t>
  </si>
  <si>
    <t xml:space="preserve">Eggs and egg proteins</t>
  </si>
  <si>
    <t xml:space="preserve">The grant explicitly targets the development of a fava bean-based egg white replacer, which is a functional egg-substituting ingredient, directly mapping to the Eggs and egg proteins category.</t>
  </si>
  <si>
    <t xml:space="preserve">Edible Scaffolds for Cultivated Meat Produced from Waste Derived from the Brewing Industry</t>
  </si>
  <si>
    <t xml:space="preserve">Livestock farming is a major contributor to global warming and depletes water and
land resources. There is demand for alternative approaches to meat production, such
as cultivated meat that involves culturing animal cells to produce meat-like products.
New, game-changing materials are required for large-scale cultivation of cells that are
abundant, affordable, and food-safe. Ideally, these materials should be edible and
produced using environmentally sustainable materials and processes. This project will
investigate the valorisation of waste materials derived from the brewing industry to
produce scaffold materials suitable for the cultivation of cells that can ultimately be
used in the food industry.</t>
  </si>
  <si>
    <t xml:space="preserve">The grant explicitly targets edible scaffolds for cultivated meat production, placing it squarely in the Meat category.</t>
  </si>
  <si>
    <t xml:space="preserve">Engineering polysaccharides in plants</t>
  </si>
  <si>
    <t xml:space="preserve">Both historically and contemporarily, plant cell walls have contributed a wealth of natural resources to humankind, and, largely speaking, this utility is indebted to their complement of diverse carbohydrate polymers, the polysaccharides. Our research is concerned with a particularly interesting and abundant polysaccharide called xylan that is thought to have roles in wall strength and digestibility in plants, as well as in human health following consumption of vegetable foods. Xylan possesses a linear backbone of polymerised xylose monomers, but its properties are influenced by length and augmented by an assortment of short branches that 'decorate' the backbone and differ in structure and spacing. We are therefore interested in engineering the backbone length and the nature of this decoration as a means to producing novel materials and products from cell wall material. However, we currently have very little understanding of how the backbone polymer of xylan is made. This represents an obstacle to xylan engineering because we cannot currently explain how the backbone comes to be decorated in a precise pattern, which may require co-ordination between backbone synthesis and decoration. It is currently thought that three enzymes (putatively forming a 'xylan synthase complex'), rather than one, are needed for backbone synthesis alone, and understanding why such co-operation is necessary will help us determine whether it is linked to regulation of decoration. We would also like to know why separate sets of enzymes have evolved for backbone synthesis of xylan in the growing primary and the thickened secondary plant cell walls, and whether this is significant in determining xylan properties. In this project, we aim to determine the structure and mechanism of the xylan synthase protein complex. Using synthetic biology tools, we will employ systematic gene cloning and protein expression approaches in producing the enzymes of interest. Use of this engineering approach will facilitate screening of activities of enzymes and enzyme mutants. Ultimately we aim to resolve the atomic structure of the xylan synthase complex by cryo-electron microscopy. The information will conceivably permit modulation of xylan decoration and backbone length and thus allow directed engineering of the plant cell wall.</t>
  </si>
  <si>
    <t xml:space="preserve">The grant focuses on understanding and engineering xylan polysaccharide biosynthesis in plant cell walls at a biochemical/structural level, with no specific food product application stated.</t>
  </si>
  <si>
    <t xml:space="preserve">Engineering safe faba beans by targeting the anti-nutrients vicine and convicine (CleanBean)</t>
  </si>
  <si>
    <t xml:space="preserve">Faba bean is a high-yielding protein crop well adapted to cold climates. Its seeds contain large amounts of protein, antioxidants, and micronutrients, making it an ideal crop to support the transition toward a plant-based diet. However, faba bean seeds also accumulate high levels of the anti-nutritional alkaloids vicine and convicine. These alkaloids cause hemolytic anemia (favism) in individuals with a genetic deficiency (G6PD deficiency) occurring in ~5% of the world population. Faba bean varieties with reduced levels of vicine and convicine exist, but the residual levels are variable, causing concern for the food industry. The development of varieties devoid of vicine and convicine has been hampered by a lack of genomic resources and insufficient knowledge about their biosynthesis. 
In the CleanBean project, I will team up with Prof. Fernando Geu-Flores from the Department of Plant and Environmental Sciences of the University of Copenhagen. I will use recently generated resources to uncover the full vicine and convicine pathway and create faba bean lines devoid of these anti-nutrients. The proposed work involves gene selection through co-regulation &amp; association strategies, pathway elucidation using in vitro and in vivo assays, and pathway inactivation in faba bean using the recently published FIND-IT technology (non-GMO). The impact of CleanBean will be multifaceted, spanning both fundamental and applied research. On the basic science side, the project will uncover the complete pathway of a nucleotide-derived specialized metabolite from plants for the first time. On the applied side, the project will lead to the creation of a vicine- and convicine-free faba bean, thus enabling the safe consumption of faba beans by all individuals and helping transform the landscape of sustainable food production.</t>
  </si>
  <si>
    <t xml:space="preserve">The grant focuses on engineering faba bean varieties to eliminate anti-nutritional compounds (vicine and convicine) through pathway elucidation and gene inactivation, with no specific food product application stated beyond enabling safe consumption of faba beans generally, making it agnostic to any particular end product category.</t>
  </si>
  <si>
    <t xml:space="preserve">Enhanced Production of Heterologous Proteins Following Translational Fine-Tuning by Optimized Post-Transcriptional RNA Modification (ProteRNA)</t>
  </si>
  <si>
    <t xml:space="preserve">Cells have evolved over time to efficiently produce their own proteins. This is due to a seamless interplay between all nucleic acid and protein components of the synthesis machinery, where the demands posed by the messenger code (mRNA) are matched by the supply of adapter molecules (tRNAs) that carry the amino acid building blocks to the protein chain that is being formed in the ribosome. This balance is often lacking in bioproduction systems since the proteins of interest are frequently from other organisms and have inherently different synthesis requirements. To solve this problem, the ProteRNA project aims to establish a proof-of-concept where protein production is boosted by tweaking the small chemical groups that are naturally present on all nucleic acids, changing their abundance and identity to achieve higher rates of production and better yields of functional protein products. If successful, this approach can be readily implemented in large-scale bioproduction applications.</t>
  </si>
  <si>
    <t xml:space="preserve">The grant describes a bioproduction method for enhancing heterologous protein yields via RNA modification, with no specific food product application mentioned.</t>
  </si>
  <si>
    <t xml:space="preserve">Enzymatic engineering and digestion of fibrillar plant protein
  texturizers for the protein shift.</t>
  </si>
  <si>
    <t xml:space="preserve">Transformation of our food system will be a key aspect of the transition towards a sustainable society. New ways of processing proteins to achieve attractive structural and functional properties are needed for the development of food products that can facilitate the ‘protein shift’ from animal to plant resources. The use of protein nanofibrils is a very promising approach to improve the structural and functional properties of proteins. It is known that such fibrils can be produced from a variety of plant proteins but the yield and energy efficiency of the processes are often low. The proposed project will explore enzymatic pre-processing of the protein resources as a way to increase the efficiency of the process. The approach also opens for better control of the techno-functional properties of the fibrils, choosing appropriate combinations of proteases and protein raw materials. We will evaluate the produced PNFs as building blocks for model food systems (hydrogels, aerogels, oleogels and microfibers). Based on the results, we will establish a structure-function relationship for plant PNFs and develop prototypes that demonstrate the potential of the technology. The project will deliver fundamental knowledge that will facilitate the protein shift. Hence, the outcomes of the project will be of high value for the transformation of the food industry and have impact on ecological as well as economical and social sustainability.</t>
  </si>
  <si>
    <t xml:space="preserve">The grant focuses on enzymatic engineering of plant protein nanofibrils and their evaluation as building blocks for model food systems (hydrogels, aerogels, oleogels, microfibers) without targeting any specific food product application.</t>
  </si>
  <si>
    <t xml:space="preserve">FBR_OC1_27 - Impact
  of the extrusion process on health-related properties of a pea and oat snack</t>
  </si>
  <si>
    <t xml:space="preserve">The project aims to investigate the health properties of novel plant-based snacks, produced by extrusion technology using pea starch, pea protein and oat fiber.</t>
  </si>
  <si>
    <t xml:space="preserve">Snacks</t>
  </si>
  <si>
    <t xml:space="preserve">The grant investigates extrusion processing of pea and oat ingredients to produce plant-based snacks; snacks are not among the defined end product categories, so Agnostic is the appropriate classification.</t>
  </si>
  <si>
    <t xml:space="preserve">Snacks isn’t a category and shouldn’t even be in scope.</t>
  </si>
  <si>
    <t xml:space="preserve">Fermentation of Swedish faba beans for foods with improved texture, flavour and nutritional properties</t>
  </si>
  <si>
    <t xml:space="preserve">A growing body of evidence is pointing at the
 need for more sustainable diets and methods of food production. Plant based
 milk analogues, which generally represents more sustainable alternatives to
 their dairy counterparts, is one such alternative. However, plant based dairy
 substitutes often suffer from comparably poor nutritional and organoleptic
 quality. These issues we will solve or reduce through processing, e.g. heat
 treatment, homogenization and fermentation.The project aims to establish a
 relationship between processing, fermentation and the nutritional and
 organoleptic quality of a yoghurt-like food, based on a Swedish legume such
 as faba bean.To achieve this we will combine different types of
 pre-treatments such as milling, soaking, homogenization, pulsed electric
 fields, heating and enzymatic treatment to reduce off-flavors and
 anti-nutritional factors, improve texture and produce a faba bean milk
 analogue suitable for fermentation. We will utilize existing microbial
 consortia from traditional fermented foods and feed such as kefir, sourdough
 and silage to identify and design suitable mixed starter cultures. An
 investigation of consumer preferences will guide the development of prototype
 foods which will be evaluated with regard to physico-chemical and sensory
 characteristics.</t>
  </si>
  <si>
    <t xml:space="preserve">Yoghurt</t>
  </si>
  <si>
    <t xml:space="preserve">Milk and milk proteins; Yoghurt and fermented dairy</t>
  </si>
  <si>
    <t xml:space="preserve">The grant explicitly targets both a faba bean milk analogue and a yoghurt-like fermented product, warranting both Milk and milk proteins and Yoghurt and fermented dairy classifications.</t>
  </si>
  <si>
    <t xml:space="preserve">FermiPro: Replacing Additives with Plants— A New Era of Plant-Based Foods Delivering Real Taste, Texture, and Nutrition Without Ultra-Processed Additives</t>
  </si>
  <si>
    <t xml:space="preserve">The project will replace ultra-processed additives with a fermented, multifunctional plant ingredient “FermiPro”, which is a miso plant protein powder, rich in umami flavor, proteins and B12, and which has good functionalities in terms of texture.
FermiPro will be used in alternative, plant-based products such as cheese, cream and plant-based patties. All products will be validated culinary, by consumers as well as for market potential.
</t>
  </si>
  <si>
    <t xml:space="preserve">Meat, Dairy</t>
  </si>
  <si>
    <t xml:space="preserve">Cheese, cream</t>
  </si>
  <si>
    <t xml:space="preserve">Meat; Cheese; Cream and ice cream</t>
  </si>
  <si>
    <t xml:space="preserve">Meat; Dairy</t>
  </si>
  <si>
    <t xml:space="preserve">Cheese; Cream and ice cream</t>
  </si>
  <si>
    <t xml:space="preserve">The abstract explicitly names three end product applications for FermiPro: plant-based cheese, plant-based cream, and plant-based patties (meat analogue), so Meat, Cheese, and Cream and ice cream are all flagged true.</t>
  </si>
  <si>
    <t xml:space="preserve">FINEST - Food Innovation Enabling Sustainable Transition, phase 2</t>
  </si>
  <si>
    <t xml:space="preserve">FINEST – Food Innovation Enabling Sustainable Transitions – is based on the work carried out over the past four years contributing to the sustainable transition of the Swedish food system through the development, scaling, and implementation of new solutions.  The centre will support the transformation of the food system by providing platforms for researchers and stakeholders to create new knowledge, innovate, and accelerate change in the system. Focus in the second phase of FINEST will be on three areas: 1) value chains related to forest foods, 2) next generation of plant-based foods as complements or alternatives to meat, and 3) foods that do not need arable land for production.The centre is multidisciplinary and includes the competence areas: sustainability transitions, business model innovation, raw materials and ingredients production, product design, food safety, consumer behaviour, as well as systems thinking and foresight.The goal of FINEST phase two is to contribute towards a sustainable transition of the food system through co-creation and collaboration with stakeholders. FINEST will create value together with actors in the system who are responsible for making the change happen.The impact of FINEST lies in the multi/transdisciplinary work facilitated by the centre structure with three interconnected arenas (research, innovation, and network), where stakeholder driven processes will be at the core to ensure relevant output and successful implementation</t>
  </si>
  <si>
    <t xml:space="preserve">The abstract explicitly identifies 'next generation of plant-based foods as complements or alternatives to meat' as one of three focus areas, directly targeting meat analogue products.</t>
  </si>
  <si>
    <t xml:space="preserve">Flavour, odour and texture improvements of plant-based dairy products using microbial fermentation products (DELICIOUS)</t>
  </si>
  <si>
    <t xml:space="preserve">DELICIOUS proposes a novel production technology to create affordable, tasty and safe plant-based dairy analogues (cheese and kefir) with high nutritional value, by combining microbial products with plant-based raw materials. The project has the ambition to accelerate the dietary shift, acting like a paradigm for the whole plant-based food sector. DELICIOUS contributes to a better nutrition for everybody by developing products with high protein content, rich in vitamins, fibres and probiotics. The project aims also to decrease the environmental footprint of food industry not only by replacing conventional dairy products in peoples’ diets but also by introducing microbial products which acquire less fresh water, less land use and inexpensive residual raw materials. Having as starting point the perceptions of culinary experts (chefs), the project will improve the sensory characteristics of the current, commercial plant-based products in order to improve their placement in the market. To that end, we will use tailor-made microbial fat, produced via precision fermentation, yeast biomass and fibre-producing microbial strains to achieve the desired organoleptic properties without additives, artificial flavours and avoiding ultra-processing methodologies. To accelerate the commercialisation of the developed products, DELICIOUS will perform various analyses and evaluations: Safety assessments, nutrition simulations, consumers testing and technoeconomic evaluation of the processes combined with behavioural economics to define the profit and price margins for such products. Capitalising on the great capacity and experience of the consortium on High Throughput methodologies, the project has also the great ambition to empower fermentation industry with a bioinformatic tool to predict flavour, odour, and texture of a product, based on the initial raw materials and the microorganisms used in fermentation, significantly decreasing the costs of product development.</t>
  </si>
  <si>
    <t xml:space="preserve">Cheese, Kefir</t>
  </si>
  <si>
    <t xml:space="preserve">Yoghurt and fermented dairy; Cheese</t>
  </si>
  <si>
    <t xml:space="preserve">The grant explicitly targets two plant-based dairy analogue products — cheese and kefir (a fermented dairy product) — so both Cheese and Yoghurt and fermented dairy are flagged true.</t>
  </si>
  <si>
    <t xml:space="preserve">Food workers of the world unite! A qualitative investigation of labour relations in alternative food system transitions</t>
  </si>
  <si>
    <t xml:space="preserve">Our contemporary food system is failing us: it is widely recognised we must transition to alternative forms of food production and consumption built on principles of sustainability and justice. Missing in this debate about transition, however, is the position of agricultural and food workers, who are often the most marginalised actors in food systems. This project will investigate what happens to labour in alternative food systems through in-depth case studies of agroecological farms and plant-based protein companies in the Netherlands and Ireland. The insights generated by the project will help support positive outcomes for labour in alternative food system transitions.</t>
  </si>
  <si>
    <t xml:space="preserve">This grant is a qualitative social science study about labour relations in alternative food systems and does not target any specific food product application.</t>
  </si>
  <si>
    <t xml:space="preserve">Fostering European cellular Agriculture for Sustainable Transition Solutions (FEASTS)</t>
  </si>
  <si>
    <t xml:space="preserve">The current food system is insufficient and unsustainable, generating 17% of the total GHG emissions for animal farming while only supplying 18% of the global calories and 37% of the global proteins. The cultured meat (CM) and cultured seafood (CSF) industry is emerging to meet the growing demand of protein with promises of lower environmental footprint. However, the current knowledge on the impact of this sector is limited, based on developments that have not happened yet and lacking important considerations such as its social impact or its adaptability to current and future demand. Current race-to-market pressures, fueled by recent market approvals overseas, highlight the need to define a roadmap that can develop the sector in an ethical, sustainable and cost-competitive way. This is a unique opportunity for an effective reorganisation of the food system to establish resilient value chains in the EU. Gathering a large set of independent food system actors, FEASTS will provide an unprecedented, unbiased and robust knowledge base for the assessment of the sustainability aspects of the CM/CSF sector by actively promoting multistakeholder engagement and co-creation activities grounded on transparent dialogue and open science practices. It will explore different production methods, product types, supply and value chains as well as business models to provide balanced solutions that are not only sustainable by design and cost-efficient, but also ethically responsible, safe and nutritious, fair and inclusive. FEASTS, designed as a think-tank, adopts a Food Systems Thinking approach and a multidimensional impact assessment including not only LCA, TEA and SLCA of CM/CSF products and their comparison to conventional counterparts but also systems dynamic modelling and integrated scenario analysis that will provide a decision support tool for informed policy- and decision-making in the EU.</t>
  </si>
  <si>
    <t xml:space="preserve">Meat, Seafood</t>
  </si>
  <si>
    <t xml:space="preserve">Meat; Fish and seafood</t>
  </si>
  <si>
    <t xml:space="preserve">Meat; Seafood</t>
  </si>
  <si>
    <t xml:space="preserve">The grant explicitly targets cultured meat (CM) and cultured seafood (CSF) as its end product categories, warranting both Meat and Fish and seafood classifications.</t>
  </si>
  <si>
    <t xml:space="preserve">Functionalization of vegetable proteins as ingredients for the production of heat-fixable food foams</t>
  </si>
  <si>
    <t xml:space="preserve">Chicken whole egg or egg protein and egg yolk products are mainly used in the food sector as conventional protein-based whipping agents. Vegetable protein preparations previously on the market only partially have the functionality of hen's egg proteins. A major deficiency of these products is above all the lack of heat-fixability or the ability to bake in the system with other ingredients and the resilience during foaming due to a high sugar concentration and due to high sugar concentration and high temperatures. The aim of the project is therefore the development of herbal whipping agents based on protein isolates or fractions obtained therefrom from industrially available vegetable protein sources, which meet the technological requirements and are stable against influences from recipe components and manufacturing technology. As part of the project, it is planned to investigate the interactions of the proteins with recipe components (sugar, fats) and the influence of the thermal loads (baking process) due to the production process on the stability of the foams and their heat-fixability. The results will make it possible to open up vegetable raw materials as an alternative to chicken products for the production of baked goods and pastries. The desired broader use of vegetable protein products harbors considerable advantages for the industry, which is predominantly structured as a medium-sized company in the baking and confectionery industry, thanks to cheaper and more stable raw materials, the use of microbiologically uncritical products, the gaining of nutritional benefits and the storage potential. The implementation takes place through offers of laboratory samples and the presentation of finished products in seminars or workshops. In addition, application recommendations for bakery product manufacturers and end customers are drawn up and targeted interested parties are communicated via the industrial associations involved.</t>
  </si>
  <si>
    <t xml:space="preserve">The grant explicitly targets the development of plant-based whipping agents as alternatives to egg proteins (whole egg, egg yolk) for heat-fixable food foams used in baked goods and confectionery, directly placing it in the Eggs and egg proteins category.</t>
  </si>
  <si>
    <t xml:space="preserve">Glycomics of Residues from Plant-Based Beverages for Microbiota</t>
  </si>
  <si>
    <t xml:space="preserve">The growing concern over the environmental impact caused by food industry waste, particularly residues from the production of plant-based beverages, has emphasized the need for more sustainable approaches. Despite the rapid expansion of the plant-based beverage market, most of the production residues are not adequately valorized, leading to a significant loss of fiber-rich carbohydrates that could have important health benefits. Additionally, the unique characteristics of the ileum microbiota and its interaction with these carbohydrates have not been fully investigated, primarily due to the technical challenges of sampling from this region.The GLYCO-RESBIOTA project aims to explore how fiber-rich residues from the production of plant-based beverages (soy, pea, and oat) can be digested in the ileum and exert prebiotic effects by modulating the ileal microbiota. The main objective is to apply advanced glycomics profiling techniques to characterize these carbohydrates and study their impact on ileal digestion using dynamic simulation models.Over three years, this project will be carried out in two phases: an initial phase at the University of California, Davis (USA), where the researcher will receive training in advanced glycomics techniques, and a second phase at the Spanish National Research Council (CSIC), where simulated digestion and metatranscriptomic studies will be implemented. The results of the project will contribute to understanding the interactions between carbohydrates and microbiota and offer sustainable solutions to reduce the environmental impact of industrial residues while improving gut health.This project has the potential to create an innovative glycomics platform in Europe, facilitating the study of carbohydrates in food and their relationship with gut health, aligning with the EU’s 2030 sustainability goals.</t>
  </si>
  <si>
    <t xml:space="preserve">Milk</t>
  </si>
  <si>
    <t xml:space="preserve">The grant focuses on glycomics characterization of fiber-rich residues from plant-based beverage production (soy, pea, oat) and their prebiotic effects on ileal microbiota — no specific food end product application is targeted, making this Agnostic.</t>
  </si>
  <si>
    <t xml:space="preserve">Harnessing the immense potential of
  precision fermentation to produce animal fats for the next generation ofmeat
  and dairy alternatives</t>
  </si>
  <si>
    <t xml:space="preserve">Melt&amp;Marble (M&amp;M) is a Sweden-based company that specializes in developing exceptional fats for plant-based foods. The origins of our company trace back to Jens Nielsen's Systems and Synthetic Biology group at Chalmers University of Technology in Gothenburg, Sweden. Currently, more than 60% of dietary proteins are supplied by animals whose farming takes up ~77% of all agricultural land despite supplying only 17% of the world’s calories. Dependence on animal proteins leads to ecosystem destruction, biodiversity loss, and &gt;15% of GHG emissions. Though there are alternate meat and dairy options available, the plant-based oils and fats used in plant-based meat and dairy analogues simply cannot compete with the functionality and flavour of animal fats. We have created for the first time, a scalable, precision-fermentation-based proprietary technology platform using engineered yeasts that produce animal-like fats with superior functionality and flavour that customers are demanding. The fats have lower saturated fats levels (40-60% vs. 90% of coconut oil) and better functionality than coconut oil to impart a better taste to meat and dairy analogues. The entire technology platform is scalable due to the existing and outsourced fermentation infrastructure.
The fats are customizable to various food and non-food applications and will benefit the alternative meat producers within the EU and globally. Our technology is protected by a robust IP strategy and patents. We have 10 granted patents and 2 pending patents across 5 patent families and the innovation stems from 2 crucial components protected by these IPs that allow us to efficiently produce highly tailored fats.
We have already scaled up our first product to pilot scale (TRL 5). Within this project, we will improve our production process, scale up further to demo scale, and conduct extensive application tests. This will allow us to advance to TRL 8 and significantly de-risk our investment case.</t>
  </si>
  <si>
    <t xml:space="preserve">The grant explicitly targets precision fermentation-derived animal-like fats for use in both meat analogues and dairy analogues, warranting Meat and Dairy (general fallback, as no specific dairy subcategory is named).</t>
  </si>
  <si>
    <t xml:space="preserve">Literally says for meat and dairy in the title</t>
  </si>
  <si>
    <t xml:space="preserve">Harnessing the immense potential of precision fermentation to produce animal fats for the next generation of meat and dairy alternatives (Melt and Marble)</t>
  </si>
  <si>
    <t xml:space="preserve">The grant explicitly targets animal-like fats for use in meat analogues and dairy analogues, so both Meat and Dairy (general fallback, as no specific dairy subcategory is named) are flagged true.</t>
  </si>
  <si>
    <t xml:space="preserve">Human Milk Lactoferrin by Precision
  Fermentation</t>
  </si>
  <si>
    <t xml:space="preserve">Precision fermentation presents a transformative solution for today's food system by reducing reliance on animal proteins, offering a sustainable and scalable method for producing specialty proteins. PFx Biotech leverages this innovative technology to produce human milk proteins (HMPs) structurally and functionally identical to those found in human breast milk. This method addresses environmental concerns and ensures higher purity and cost-effectiveness. Proteins like lactoferrin, α-lactalbumin, osteopontin, and immunoglobulins are found in low quantities in cow milk, necessitating the processing of large volumes (e.g., 50 L of milk for 1 g of lactoferrin) and leading to high costs and carbon emissions (50 kg CO2eq). These cow milk-derived proteins also differ by up to 40% in amino acid sequence from their human counterparts, impacting their bioactivity, digestibility, health benefits, and allergenic potential. The infant formula industry is increasingly driven to replicate the composition and bioactivity of human breast milk, but traditional formulas, which use cow milk proteins, fall short due to these structural and functional differences. There is a growing demand for more accurate mimics of human milk to improve infant health outcomes and reduce risks associated with obesity and allergies. The HuMiLAF project aims to scale up the production of human milk lactoferrin (hLF) to a pre-industrial scale, validating its properties and testing its applications. This includes using hLF alone and in micro-and co-encapsulated forms with human milk oligosaccharides (HMOs) and specific probiotic strains in two key products: infant formula and immunity shots. Business objectives include securing regulatory approvals, signing agreements with major customers, and advancing the project to commercialization. This project not only addresses a critical gap in infant nutrition but also positions PFx at the forefront of sustainable and innovative protein production.</t>
  </si>
  <si>
    <t xml:space="preserve">Infant formula</t>
  </si>
  <si>
    <t xml:space="preserve">The grant explicitly targets infant formula as the primary end product application, using precision fermentation-derived human milk lactoferrin to improve infant nutrition outcomes.</t>
  </si>
  <si>
    <t xml:space="preserve">Implementing a unique commercial-scale mycelium manufacturing process to launch ultra-realistic whole-cut meat alternatives</t>
  </si>
  <si>
    <t xml:space="preserve">We aim to decrease UK meat consumption, causing climate change(14.5% GHGs) and diet-related disease(WHO), by launching the **UK's first ultra-realistic steak alternative**.
With growing sustainability/health concerns around meat, meat-alternatives are fast-growing. Whole-cuts (steaks/fillets/etc) represent 85% of real meat, but are near-absent from meat-alternatives; a huge untapped opportunity.
Plant-proteins have short fibres, with which it is difficult to replicate the fibrous texture of meat whole-cuts, and most products mimic processed meats (burgers/mince/sausages). To continue reducing meat consumption **we need better quality, more innovative whole cuts alternatives**.
Mycoprotein has huge potential for meat whole-cuts alternatives, with long fibres (hyphae), exceptional protein quality, fibre and micronutrients (**highly nutritious**), and **sustainability benefits** (**our products emit 93% lower GHGs than beef**).
Adamo Foods has developed an **ultra-realistic, clean-label mycelium steak**, with a uniquely fibrous muscle-texture. In this project, Adamo will implement a scaled-up production process and establish a pilot production line ready for commercialisation; a technically complex process, involving late-stage R&amp;D. We will launch a pilot at a well-known steakhouse chain, supplying product from our new production facility.</t>
  </si>
  <si>
    <t xml:space="preserve">The grant explicitly targets whole-cut meat alternatives (steak) using mycoprotein/mycelium, clearly falling under the Meat category.</t>
  </si>
  <si>
    <t xml:space="preserve">Implications of carbon policies on the quality of UK diets</t>
  </si>
  <si>
    <t xml:space="preserve">There is increasing support to the idea of regulating food markets to reduce the current environmental impact of diets. For instance, food prices could be increased by a carbon tax that incorporates the greenhouse gas (GHG) emission associated to its production. However, environmental impact and nutrition are not perfect substitutes: while fresh fruits and vegetables are low in fats, sugar, and GHG compared to red meat, they can be low in other essential nutrients (e.g. proteins). This project seeks to extend our present understanding of food policies by exploring the link between environmental regulation of food markets and the nutritional quality of the resulting diets.</t>
  </si>
  <si>
    <t xml:space="preserve">This grant is about food policy and carbon taxation effects on diet quality, with no specific alternative protein end product application mentioned.</t>
  </si>
  <si>
    <t xml:space="preserve">Ingredient valorization of reOat – the fiber-rich residue from oat beverage production</t>
  </si>
  <si>
    <t xml:space="preserve">Purpose and goal: 
The project aims to take plant-based food production to the next level by developing ingredients based on extrusion, fermentation, physical and chemical processing. Our goal is to recycle residual side streams from plant-based beverage production into high-value food ingredients with optimized nutritional profile and sensory quality and subsequently commercialize new and circular high-value food ingredients to the global market and create a brighter and more sustainable future. 
Expected results and effects: 
Oat drink producers needs to pay to get rid of their waste streams, turning them into valuable food ingredients and products can increase both climate sustainability and profitability. As the global market for plant-based dairy products is growing rapidly, the project also aim to develop a scalable infrastructure. By developing these ingredients that can be easily formulated into competitive products and reaching the market, consumers will be able to access a more nutritionally optimized vegetarian range of products. 
Approach and implementation: 
The project begins by characterizing the physical, functional, and nutritional properties of the reOat sidestream before and after processing, across batches, and relating them to health aspects and regulations. It will explore improvements in taste, technical properties, microbiological status, and nutrition through various processing techniques. The ingredient(s) will be tested in bakery, extrusion, formulation, and fermentation. Conditions for industrialization and commercialization will also be reviewed to assess the market potential of reOat as a food ingredient.</t>
  </si>
  <si>
    <t xml:space="preserve">The grant focuses on processing and valorizing oat beverage production residues into food ingredients tested in bakery, extrusion, formulation, and fermentation contexts, without explicitly targeting any specific end product category.</t>
  </si>
  <si>
    <t xml:space="preserve">Question remains whether oat drinks are dairy or not. I think yes? That is the reason it is in scope in the first place (otherwise it wouldn’t be replacing a specific animal product)</t>
  </si>
  <si>
    <t xml:space="preserve">Inktelligent Foods – enabling cultivated seafood products</t>
  </si>
  <si>
    <t xml:space="preserve">Cultivated meat and seafood are a sustainable and animal-friendly method to produce food using cell culture and offers an alternative to the currently intensive farming and fishing practices. A crucial step in cultivated meat/seafood is the development of cell lines with robust proliferation and differentiation capability. In nature, octopuses display an innate capacity for muscle growth and regeneration. By leveraging their muscle regeneration capacity, I will establish octopus-derived muscle cell lines aiming at producing cultivated octopus meat. The generated knowledge and methodologies could be applied to other species, ultimately enabling, and fostering the cultivated meat and seafood industries.</t>
  </si>
  <si>
    <t xml:space="preserve">The grant explicitly targets cultivated octopus meat as a seafood product, with the methodology described as applicable to the broader cultivated meat and seafood industries, warranting both Meat and Fish and seafood classifications.</t>
  </si>
  <si>
    <t xml:space="preserve">Innovative patented dry fermentation technology for cost-effective and highly nutritious production of hybrid mycelium-plant meat analogues</t>
  </si>
  <si>
    <t xml:space="preserve">In a public enquiry made by the European
 Commission, 80% of respondents were willing to reduce their meat intake to
 help reduce the emission of greenhouse gases (GHG), and 74% intended to
 change their diet to improve their health. However, current meat analogues in
 the market are not a healthy alternative, since they are ultra-processed,
 full of binders and additives, and among their ingredients, we can find high
 amounts of sugars and sodium, maltodextrins or soy isolate, that are not
 indicated for a healthy diet. In addition, these products are nor ecological,
 since they are highly resource-demanding, mainly in terms of water
 consumption, wastewater generation and energy use, and also cause important
 GHG emissions. On top of that, the existing meat analogues are rejected by
 consumers due to their off-taste &amp; bad texture that does not resemble to
 meat.
  In response to this situation, Millow has developed to TRL6 a novel solid
 state dry fermentation production technology for mycelium-plant meat
 analogues. This highly scalable and cost-effective innovative process
 accelerates mycelium growth from most typical 3-7 days periods to &lt;24h,
 reducing required water input by 97%, energy use requirements by 67%, and CO2
 footprint by 95% compared to benchmark methods based on liquid fermentation.
 The resulting products have neutral taste, pleasant texture that mimics meat
 attributes without the use of artificial binders, is minimally processed,
 healthy, nutritional and eco-friendly.
  In the MEATLOW project, we aim to optimise and automate its innovative
 technology to reach TRL8 and commercial status, and introduce our disruptive
 plant-fungi products in the EU meat substitute market by 2026. To do that,
 our highly skilled team of scientific, management and marketing professionals
 is determined to lead this project to success.</t>
  </si>
  <si>
    <t xml:space="preserve">The grant explicitly targets mycelium-plant meat analogues designed to replicate meat attributes (texture, taste) for the EU meat substitute market.</t>
  </si>
  <si>
    <t xml:space="preserve">Interdisciplinary Future Food Network (IFFN)</t>
  </si>
  <si>
    <t xml:space="preserve">Projektet vil opbygge et tværfagligt netværk for både at kortlægge og foreslå løsninger på fremtidige nøgleudfordringer i vores fødevaresystem. Projektet vil forene akademikere fra forskellige discipliner med nøgleinteressenter fra hele værdikæden og derigennem transformere viden fra forskning til håndgribelige handlinger og innovationer.
Projektet er bygget op omkring fire kritiske udfordringer, som det danske fødevaresystem står over for: 1) Sikring af essentielle næringsstoffer; 2) Balancering af biodiversitet og ønsker om en skaleret fødevareproduktion; 3) Udnyttelse af fødevareindustriens sidestrømme; 4) Innovation og EU´s Novel Food system.
Projektet bidrager til at udvikle fremtidens proteiner og fødevareingredienser ved at gøre viden om handling og innovation i forhold til fremtidige fødevarer – herunder novel food – mere lettilgængelig for aktører i branchen.
Hertil fokuserer projektet også på potentialer i sidestrømme ved at foreslå nye tilgange til at reducere eller værdiforøge fødevarespild, og bidrager dermed til øget cirkulært ressourceforbrug og begrænset madspild.</t>
  </si>
  <si>
    <t xml:space="preserve">This grant establishes an interdisciplinary network to address broad food system challenges (nutrient security, biodiversity, side-stream valorisation, novel food regulation) without targeting any specific food product category.</t>
  </si>
  <si>
    <t xml:space="preserve">Investigating social and educational interventions to reduce the disgust response to ingestion of insects and cultured meat</t>
  </si>
  <si>
    <t xml:space="preserve">Food-related emotions are understudied in psychology, especially the emotion of disgust which underpins food rejection. This project aims to introduce novel measures of food-related disgust and use them to investigate the effectiveness of social and educational interventions to increase consumption of novel insect-containing food and cultured meat. The context for this is the need to reduce demand for 'conventional meat' due to its contribution to climate change.
The studies included in this project will be based on a research design with certain common aspects. First, there will be conditions in which participants are invited to taste and consume food they believe contains insects or cultured meat.
Second, the disgust response will be measured in anticipation of, and during, food consumption. These measures will include liking and desire to eat judgements, amount of food consumed and implicit measures such as tactile sensitivity. Previous research has almost exclusively measured self-reported attitudes or acceptance of food which do not always reflect actual behaviour.
Third, studies will investigate the effectiveness of both educational and social interventions in overcoming disgust. Arguably, as disgust is a 'basic emotion' which leads to deep-rooted, visceral responses, top-down approaches based on rationality can be expected to have limited impact. Social interventions that appeal on an innate, deep-rooted level may, however, be more effective.
Unilever are developing insect-containing food products and have conducted preliminary research into this topic. They have extended an invitation for a 3-6 month placement within their R&amp;D centre in the Netherlands under the supervision of Professor Lisbeth Zandstra. Zandstra and her colleagues have recently used EEG to investigate neurophysiological responses during cooking of insect-containing dishes. As well as collaboration on specific methods this placement will offer the opportunity to gain an understanding of the objectives, impact and constraints of research conducted in a commercial setting.
An academic collaboration has been arranged with the LEAP project at the University of Oxford. There is an opportunity to use their simulated online supermarket to test the effect of messages (interventions) on decision making in a close to real-life context, rather than lab setting.
Food and disgust research interests and excites people. At least one public engagement event a year is planned. For example, Cargo Cantina, a local Bristol restaurant, are enthusiastic to work on public engagement and potentially extend the collaboration to use their facilities to implement studies.
Based on the research design and these collaborations the study plan is:
Studies 1&amp;2 (months 0-8). Explore the usefulness of the five novel implicit measures of disgust (listed previously).
Studies 3&amp;4 (months 8-17). Study 3 will make use of LEAP's online supermarket to test the effect of educational labels on food purchasing choices.
Study 5 (months 17-20/23). Unilever placement. Here the aim will be to develop and implement interventions based on Unilever's knowledge and current understanding of consumer attitudes and behaviour towards meat alternatives replacing conventional products.
Study 6 (months 20/23-31). Based on the findings accumulated over the research degree this study will assess the longevity of the disgust reduction resulting from interventions by including follow-up assessments.
Write-up (months 31-36).
Academic impact will lie in insight for emotion researchers to understand food-related emotions, specifically disgust, and how to reliably measure it. Societal impact will come from the creation of evidence-based interventions to increase acceptance of novel, more sustainable protein sources.</t>
  </si>
  <si>
    <t xml:space="preserve">The grant explicitly targets insect-containing food products and cultured meat as the end product applications, both of which fall under the Meat category (cultured meat is a meat analogue; insect-based foods are framed as alternatives to conventional meat).</t>
  </si>
  <si>
    <t xml:space="preserve">Investigating the synergistic bioactive effects of fruit, vegetable and protein combinations in a market-ready food product for children and adolescents.</t>
  </si>
  <si>
    <t xml:space="preserve">No abstract</t>
  </si>
  <si>
    <t xml:space="preserve">With no abstract available and a title that only references a generic 'market-ready food product for children and adolescents' without specifying any particular product type, no specific end product category can be determined, so Agnostic is assigned.</t>
  </si>
  <si>
    <t xml:space="preserve">Jampa's next generation plant-based
  proteins</t>
  </si>
  <si>
    <t xml:space="preserve">Jampa's, the University of Nottingham's and Canadian food manufacturer,Tartistes, will embark on a project that will see them launch a range of game-changing, plant-based products. Jampa's has already launched a range of products focused on delivering amazing taste and texture, often missing from PBMA's, with a focus on clean, 100% natural ingredient, (artificial additive-free), since their launch in June 2023\.
With classically trained chef at the helm along with an experienced commercial team these products will continue to evolve on a flavour and texture basis, but now with a uniquely improved nutritional profile that will match or better that found in animal-based and current PBMA's.
The western diet is short in many essential nutrients, vitamins and minerals including; fibre, zinc, potassium, iron, calcium, iodine, Vitamin B12, Vitamin D, Vitamin A, Vitamin C, and Magnesium. The Jampa's range will contain a complete protein structure, usually reserved for meat products as well as a full range of essential nutrients, vitamins and minerals along with extra fibre.
This carefully crafted micro and macro nutrient balance, developed through a partnership with The UoN Food Science Department, will undergo rigorous research and testing to also ensure human absorption - a crucial factor often overlooked in nutrient enhanced food.
This nutrient dense range of products, unique to Jampa's, will also offer a significant fibre boost. A national diet and nutrition survey conducted by Public Health England, (2022), found 90% of adults do not eat enough fibre. Given the fact that eating fibre can reduce your risk of heart disease, type 2 diabetes, bowel cancer and stroke, as well as improving blood pressure and cholesterol levels, this is no mean health feat. And all this while offering a taste and texture eating experience at least equal to their meat-based alternatives.
As a further part off the project, the Jampa's led consortium will also be developing dehydrated versions of their plant-based beef. This will offer the opportunity for food service to buy completely ambient products without any need for refrigeration or freezing, either through transport or storage. At a time where food waste is both exceedingly expensive and environmentally damaging, creating truly tasty, nutrient rich, clean (artificial additive-free) ambient products will be a huge boost to the hospitality industry.
Through working with Tartistes, Jampa's Canadian production partner, Jampas will launch in Canada and the USA - a market five and a half times larger than the UK market</t>
  </si>
  <si>
    <t xml:space="preserve">The grant explicitly describes plant-based meat analogue products (PBMAs), including a dehydrated plant-based beef product, targeting meat-format applications with taste and texture matching meat-based alternatives.</t>
  </si>
  <si>
    <t xml:space="preserve">Joint project: Matured cheese alternatives based on recombinant milk proteins and vegetable fats (REALKAE) - Subproject A</t>
  </si>
  <si>
    <t xml:space="preserve">Matured cheese alternatives based on recombinant milk proteins and vegetable fats (REALKAE)</t>
  </si>
  <si>
    <t xml:space="preserve">Cheese</t>
  </si>
  <si>
    <t xml:space="preserve">The grant explicitly targets matured cheese alternatives made from recombinant milk proteins and vegetable fats, placing it squarely in the Cheese category.</t>
  </si>
  <si>
    <t xml:space="preserve">Joint project: Matured cheese alternatives based on recombinant milk proteins and vegetable fats (REALKAE) - Subproject B</t>
  </si>
  <si>
    <t xml:space="preserve">LinkingOat</t>
  </si>
  <si>
    <t xml:space="preserve">Projektet vil fremme bæredygtig dyrkning af havre og produktion af højkvalitets, havrebaserede fødevarer. Projektet fokuserer på at udvælge robuste havrevarianter, som har overlegen proteinfunktionalitet, god smag og som er modstandsdygtige over for miljømæssige belastninger. Solid miljømodstandskraft vil potentielt reducere brugen af pesticider og gødning og dermed mindske miljøpåvirkningen.
På kort sigt vil projektet anvende den viden til at forbedre kvaliteten af plantebaserede produkter og reducere videnskløften mellem dyrkning og forarbejdning af havre. Ved at evaluere op til 200 havrevarianter, vil projektet identificere optimale sorter til specifikke fødevareanvendelser, såsom drikkevarer, yoghurter og is.
Projektet bidrager til at udvikle fremtidens fødevarer og fødevareingredienser ved at udvide og forbedre havres potentiale som fødevareingrediens. Hertil bidrager projektet til at reducere fødevaretabet, da det potentielt kan bidrage med højere havreudbytter, der kan bruges som fødevarer.
Indirekte kan det bidrage til at reducere udledningen af klimagasser, hvis eksempelvis havrebaserede drikkevarer erstatter animalsk baserede drikkevarer.
Projektet forventer at de respektive projektpartnere vil have en økonomisk effekt af projektet, idet projektets resultater vil blive anvendt til udvikling, produktion og afsætning af nye produkter eller produktkategorier.</t>
  </si>
  <si>
    <t xml:space="preserve">Milk and milk proteins; Yoghurt and fermented dairy; Cream and ice cream</t>
  </si>
  <si>
    <t xml:space="preserve">The abstract explicitly names oat-based beverages (drikkevarer), yoghurts, and ice cream as target food applications, mapping to Milk and milk proteins, Yoghurt and fermented dairy, and Cream and ice cream respectively.</t>
  </si>
  <si>
    <t xml:space="preserve">MadeSweetly - precision fermentation process for sweet protein production</t>
  </si>
  <si>
    <t xml:space="preserve">Excessive sugar consumption has led to serious health issues. In the UK, 17 million people are obese and 5 million live with diabetes, of which 24,000 die prematurely every year. This has led health experts to advocate for reduced sugar intake, resulting in heightened public awareness and government policies to combat excessive sugar consumption. Consequently, there is a growing demand for healthy sugar alternatives that align with both consumer and governmental requirements for healthier living. 
While various sugar alternatives exist, they often come with significant limitations. However, sweet-tasting proteins have emerged as a promising solution. Derived from West African berries and processed like other healthy food proteins, they show a remarkable sweetness profile up to 3000x higher than sugar. Furthermore, they are suited for the industry thanks to the stability under different conditions and pleasing taste profiles. Despite their great potential, they are yet to become mainstream. The main obstacle is their commercially unfeasible cost and scale, resulting from farming complexities, low yields, and intricate extraction processes. 
To solve this, we're tapping into the transformative potential of engineering biology to create biological production systems. By leveraging cutting-edge genetic tools to engineer microorganisms, we are designing an optimal protein production platform. Our solution capitalises on our expertise with a high potential and safe non-model organism poised to disrupt current industry standards. In our engineered 'cell factories' we can produce these proteins cost-effectively and ecologically, to pave the way for the successful introduction of sweet proteins to the market at scale. This project presents a holistic solution to address the issues associated with sugar and sweetener consumption with a bio-based solution. By effectively tackling these challenges, it not only helps overcome the current problems but also drives the advancement of the bioindustry within the country, establishing a competitive edge on the global stage.</t>
  </si>
  <si>
    <t xml:space="preserve">Sugar</t>
  </si>
  <si>
    <t xml:space="preserve">The grant describes a precision fermentation process to produce sweet proteins as sugar alternatives, with no specific food product application stated — it is a bioproduction/ingredient platform grant with no named end product category.</t>
  </si>
  <si>
    <t xml:space="preserve">Material and process engineering of vegan sausages</t>
  </si>
  <si>
    <t xml:space="preserve">The demand for vegan sausages has increased significantly in recent years and is likely to continue to grow. The extent to which vegetarian and especially vegan products can gain relevant market share depends to a large extent on whether they are accepted as an equivalent alternative to meat products. This is due to the quality (especially the texture) of the moment. doubtful vegan sausages on the market. The aim of the project is to systematically combine material approaches of vegetable proteins with classic meat technology processes and thus create the basis for new, sensory preferred vegan sausage products. By developing vegan products on classic production lines, relevant SMEs can expand their product portfolio and achieve competitive advantages. The know-how for the production of vegan sausages is currently only in the hands of a few companies. SMEs in the meat products industry in particular have so far had only a few opportunities to promote their own developments. The present research project has great economic potential, especially since preliminary work has already shown that appropriate fibers can be produced from vegetable proteins / fats. The project also has great innovation potential. It can also have a positive impact on healthy eating and minimizing nutritional disorders. The impact on the environment should also not be underestimated if more plant-based foods (or plant-based foods) are consumed at the place of animal products.</t>
  </si>
  <si>
    <t xml:space="preserve">The grant explicitly targets vegan sausage products as meat analogues, focusing on texture and sensory properties to replicate conventional sausages using plant-based proteins.</t>
  </si>
  <si>
    <t xml:space="preserve">Meala EIT Grant March 2025
</t>
  </si>
  <si>
    <t xml:space="preserve">Meala’s innovative functional proteins serve as clean-label alternatives to hydrocolloids, enhancing gelling, binding, and emulsification in various food applications. With superior water retention, stability at high and low temperatures, and cost-effectiveness, Meala’s proteins enable food manufacturers to simplify ingredient lists while improving texture, juiciness, and nutritional value. Targeting the B2B market, Meala’s initial focus is on plant-based meat, with expansion into bakery and other categories.
</t>
  </si>
  <si>
    <t xml:space="preserve">Meat, Eggs</t>
  </si>
  <si>
    <t xml:space="preserve">The abstract explicitly states that Meala's initial focus is on plant-based meat, making Meat the primary applicable category, despite the ingredient being a functional protein with broader potential applications.</t>
  </si>
  <si>
    <t xml:space="preserve">Meat replacement and systems of edibility in Asia and beyond</t>
  </si>
  <si>
    <t xml:space="preserve">Alternative proteins can replace meat. Given that meat-intensive diets have significant health, environmental, climate and animal welfare impacts, this idea is generating hype, optimism and substantial investment. Whether involving insects, plants, lab-grown meat or other ingredients, alternative proteins come with high expectations. However, it has become increasingly evident that much has been taken for granted in this field: just because something can be eaten, this does not mean that it will qualify as desirable and culturally appropriate food. Hence, while alternative proteins can replace meat, it is still unclear how and to what extent this replacement will in fact take place. Understanding how this does (not) happen is of crucial importance to achieving the dietary changes required for global food system sustainability. Extensive research on alternative protein consumption shows that replacing meat is challenging and that there is considerable scepticism among consumers towards replacement products. We know this scepticism is shaped by a range of factors, such as taste and health concerns, the habitual nature of food practices, and a general fear of new food types. But we do not know how and why things become accepted as edible, desirable food or not. We do not even know quite how to study this. Such knowledge is necessary and urgent. To address this knowledge gap, REPLACE sets out to answer a deceptively simple question: how does food become food? To do so, it develops a new theoretical and methodological approach and empirically explores meat replacement in Eastern Asia, a key but understudied region in the ‘protein transition’. Focusing on a range of meat replacers, such as plant-based meat analogues, insects and lab-grown meat, the project zooms in on two key but highly different case countries in Southeast Asia representing a main innovation hub and important market (Singapore) and a late industry entry and emerging market (Vietnam).</t>
  </si>
  <si>
    <t xml:space="preserve">The grant explicitly focuses on meat replacement and meat analogues (plant-based meat, insects, lab-grown meat) as the primary end product category being studied.</t>
  </si>
  <si>
    <t xml:space="preserve">MeatPrint - Exploring the mechanophysical
  and biochemical interplay of hydrogel additive formulations and bovine muscle
  and fat cells of different differentiation stages in high-scale 3D
  bioprinting processes</t>
  </si>
  <si>
    <t xml:space="preserve">The project MeatPrint explores the mechanophysical and biochemical interplay of hydrogel additive formulations and bovine muscle and fat cells of different differentiation stages in high-scale 3D bioprinting processes. To mimic the complex morphology and hierarchical structuring of living tissues, 3D bioprinting techniques that enable precise positioning of cells and ECM materials have been investigated in the field of tissue engineering for several years. To date, these techniques have been used primarily as batch processes. The limited scalability of such processes, is of secondary importance for the field of regenerative medicine. However, for the production of in vitro tissue models for pharmaceutical research or for applications in the field of cellular agriculture (e.g. cultured meat), which will require larger production volumes in the future, continuous printing processes that allow scalable biofabrication are required. This is where the present research project comes in, in which screen printing is investigated as a high-scale biofabrication tool. Depending on the printing modality, in 3D-bioprinting different interactions occur between the nozzle or application system used, the printing material and the cells contained therein. These can have a lasting effect on both the texture of the tissue and cell fate. The aim of this research project is to investigate the aforementioned interactions and their effects on survival rate, morphology and gene expression of two cell types relevant for cellular agriculture (primary bovine muscle and fat cells) in different differentiation levels. To this end, screen printing will be explored as a scalable bioprinting technology and compared to microextrusion printing. The interactions will be explored as a function of relevant printing parameters (speed, printing volume, dispensing related shear stresses) during and after printing. A particularly intriguing question here will be how the two cell types, which differ markedly in morphology (round fat cells vs. fused muscle fibers) and biomechanics (fatty acid-rich vesicles vs. actin- and myosin-rich cytoskeleton) depending on the degree of differentiation, respond to the external stimuli. The empirical data collected will be used to build interaction models that will allow conclusions to be drawn about the influence of printing-dependent shear forces on primary animal cells. Finally, it will be explored whether the printing-related stimuli also lead to a modulation of cell-cell interactions in co-cultures of both cell types. The knowledge gained in the project will provide an important contribution to the future scaling up of bioprinting methods and thus to the exploration of diverse translational possibilities in the fields of medicine, pharmaceutical research and cellular agriculture.</t>
  </si>
  <si>
    <t xml:space="preserve">The grant explicitly targets cultured meat (cellular agriculture) using bovine muscle and fat cells in 3D bioprinting processes, directly placing it in the Meat category.</t>
  </si>
  <si>
    <t xml:space="preserve">Microparticulation of whey proteins using hot extrusion</t>
  </si>
  <si>
    <t xml:space="preserve">Whey products are used to improve product quality due to their excellent technological and nutritional functionality. Whey proteins make up about 20% of the total milk protein, they remain in the whey during cheese production and are therefore produced in large quantities. Additional food technology applications are possible through additional functionalization of the whey proteins. A suitable option for this is microparticulation, i.e. particle formation through aggregation of the proteins. In addition to dairy products, the microparticulated whey proteins are already widely used in the meat, fish, confectionery, bakery and pharmaceutical industries. The aim of the project is to produce whey protein particles with different aggregate sizes and properties with high protein and dry matter contents and at the same time high product yield. For this purpose, an average particle size of &lt;5 µm and a maximum particle size distribution span of three should be achieved, which also corresponds to the target size of conventional processes. At the end of the project, it should be possible to make statements about the influence of the respective process and material parameters, with which different aggregate sizes and structures can be generated. The results are useful for a large number of companies in the food industry that use microparticulated whey proteins. These companies benefit from the knowledge to improve the functional properties of the products through the use of microparticulated proteins, e.g. in sauces, mayonnaises, dressings, meat products, baked goods, ice cream or chocolate. The results are also relevant for machine and plant engineering companies, since they can use the results for the construction of extrusion or process plants for the new use of microparticulated proteins.</t>
  </si>
  <si>
    <t xml:space="preserve">Meat; Cream and ice cream; Chocolate, desserts, and confectionery; Spreads, sauces, and condiments</t>
  </si>
  <si>
    <t xml:space="preserve">Meat; Chocolate, desserts, and confectionery; Spreads, sauces, and condiments; Dairy</t>
  </si>
  <si>
    <t xml:space="preserve">Cream and ice cream</t>
  </si>
  <si>
    <t xml:space="preserve">The abstract explicitly names multiple end product applications for the microparticulated whey proteins: sauces, mayonnaises, and dressings (Spreads/sauces/condiments), meat products (Meat), ice cream (Cream and ice cream), and chocolate (Chocolate/desserts/confectionery), so all four categories are flagged true.</t>
  </si>
  <si>
    <t xml:space="preserve">Microreactor-assisted Maillard reaction to valorise rapeseed cake protein for the production of plant protein emulsion beverages</t>
  </si>
  <si>
    <t xml:space="preserve">The substantial amount of agro-industrial by-products, such as rapeseed cake, poses an environmental concern in the EU. MiMaPro is a multidisciplinary project that aims to valorise rapeseed cake by modifying the structure of rapeseed cake protein (RCP) and enhancing its value as a plant protein beverage, both in the laboratory and pilot-scales. This strategy aligns with the EU's Circular Economy Action Plan and meets consumer demand for plant-based diets. Novel approaches will address techno-functional challenges, including low solubility and emulsification of RCP:a) Microreactor-Assisted Maillard: MiMaPro's originality lies in improving the techno-functional properties of RCP by employing a microreactor-assisted Maillard reaction to create conjugated RCP. A microreactor will be used to accelerate the reaction while managing the progression to advanced glycation, finally improving solubility and emulsification.b) Spray Drying: MiMaPro will employ optimised spray drying (as a scalable process) to produce Maillard conjugated RCP powders with minimal variation from freeze-dried powder.c) Emulsion Creation: Conjugated RCP will be partially blended with pea protein to create a hybrid protein with a balanced amino acid profile. An emulsion stabilised by this blended conjugated RCP-pea protein will be prepared, followed by kinetic stability determination and bioavailability assessment of emulsion-loaded vitamin D3.d) Upscaling and Prototype Generation: MiMaPro will scale up the microreactor and spray drying based on the knowledge gained from steps a-c to produce a plant protein emulsion beverage prototype.The majority of MiMaPro will be conducted at UL (host). The fellow will participate in a secondment at Ulster University to study vitamin D3 bioavailability and undertake an industry placement at CPI to upscale the process and develop a prototype. The fellow will also receive a comprehensive training plan that includes both scientific and transferrable skills.</t>
  </si>
  <si>
    <t xml:space="preserve">Milk and milk proteins</t>
  </si>
  <si>
    <t xml:space="preserve">The grant explicitly targets the development of a plant protein emulsion beverage prototype using rapeseed cake protein, which falls under liquid plant-based milk/beverage alternatives (Milk and milk proteins).</t>
  </si>
  <si>
    <t xml:space="preserve">MuD Proteine leguminosenfreier Anbaualternativen nicht tierischer Erzeugung in Nahrungsmitteln - Technische Hochschule Ostwestfalen-Lippe (PLANTEIN)</t>
  </si>
  <si>
    <t xml:space="preserve">egenstand des Projektes Plantein ist es, landwirtschaftlichen Betrieben das Know-how, im An-bau, in der Verarbeitung und in der Vermarktung von Lebensmitteln aus pflanzlichen Proteinen, zu demonstrieren. Die Proteine von Nicht-Leguminosen wie Sonnenblume (Helianthus annuus), Amarant (Amaranthus sp.), Quinoa (Chenopodium sp.) sowie Körnerhanf (Cannabis sativa), Leinsamen (Linum usitatissimum), Chia (Sativa sp.) und Raps (Brassica napus) sollen aus den Rohprodukten extrahiert bzw. aufkonzentriert werden und den landwirtschaftlichen Betrieben eine maximale Partizipation an der Wertschöpfungskette ermöglichen. Die Interdependenz zwi-schen landwirtschaftlicher Produktion und technischer Verarbeitung steht im Mittelpunkt der Demonstrationen. Darüber hinaus soll die Wissenslücke zwischen den Disziplinen der landwirt-schaftlichen Produktion und der Lebensmittelwirtschaft geschlossen und damit die Marktein-trittsbarriere für die Betriebe gesenkt werden.</t>
  </si>
  <si>
    <t xml:space="preserve">The grant focuses on extraction and concentration of plant proteins from non-legume crops (sunflower, amaranth, quinoa, hemp, linseed, chia, rapeseed) for agricultural and food industry value chains, without specifying any particular end product application.</t>
  </si>
  <si>
    <t xml:space="preserve">Multifunctional microgel networks and ice-structuring proteins to increase and maintain ice cream quality</t>
  </si>
  <si>
    <t xml:space="preserve">Industrially manufactured ice cream places high demands on the maintenance of product properties during transport and storage. The quality is largely determined by the size of the ice crystals in the disperse multiphase system. In addition to the lowering of the freezing point due to the saccharide spectrum, there are two ways of influencing the growth of ice crystals in ice cream after hardening: on the one hand by stabilizer networks and on the other hand by ice-structuring proteins (ESP), of vegetable or animal origin. Stabilizer networks influence the diffusion of water in the continuous liquid phase of ice cream through viscosity barriers, while ESP prevent the storage of water molecules in the crystal lattice on the crystal surface. The aim of the project is to largely limit the growth of ice crystals in hardened ice cream under the conditions of temperature fluctuations during storage through microgel networks and / or ESP and thus to maintain essential quality features. Here, recipe-technical solutions are sought in order to prevent loss of quality in ice cream during transport and storage. A particular focus is on ensuring long-term stability, even with less than ideal storage conditions and long storage periods (e.g. when exporting products outside of Central Europe). As a result of the rapid market and economic policy developments in recent years, a number of companies and companies in the additive and ice cream industry have been consolidated at home and abroad in order to gain advantages over their competitors. The project opens up numerous opportunities for advantages that improve the competitive position in the long term.</t>
  </si>
  <si>
    <t xml:space="preserve">Icecream</t>
  </si>
  <si>
    <t xml:space="preserve">The grant explicitly targets ice cream quality maintenance through microgel networks and ice-structuring proteins, directly placing it in the Cream and ice cream category.</t>
  </si>
  <si>
    <t xml:space="preserve">Multimateriaal 3D-printen van plantaardig vlees | Multimaterial 3D printing of plant-based meat</t>
  </si>
  <si>
    <t xml:space="preserve">Activiteiten: (i) het formuleren van nieuwe plantaardige inkten met instelbare eigenschappen voor 3Dvoedselprinten, (ii) het karakteriseren van de eigenschappen van de inkt, (iii) het uitvoeren van 3DFPexperimenten met plantaardig vlees, (iv) het evalueren van de printkwaliteit aan de hand van kwaliteitscontroleparameters. De experimenten waren bedoeld om operationele vensters voor de eigenschappen van de inkt en de bijbehorende parameters te onthullen.</t>
  </si>
  <si>
    <t xml:space="preserve">The grant explicitly focuses on 3D printing of plant-based meat (plantaardig vlees), developing inks and printing parameters specifically for meat analogues.</t>
  </si>
  <si>
    <t xml:space="preserve">Next Generation Plant-Based Meats: Optimising Nutritional Value and Sustainability through Ingredient Selection and Processing</t>
  </si>
  <si>
    <t xml:space="preserve">THIS has a range of plant-based products
 already on the market which have a realistic taste and texture compared to
 meat from animals. Whilst THIS has data to show that CO2 emissions from its
 range are significantly less than meat, and the protein content is similar to
 meat, there is still research to be done around the nutritional comparison to
 meat in terms of protein digestibility and bioavailability of other
 nutritional components. The project will aim to address those gaps by a
 combination of ingredient selection and processing. Developments will be
 assessed against the baseline nutritional parameters and also in terms of
 sustainability measures, taste, and cost in order to ensure that the increase
 in nutritional profile is not at the expense of sustainability, product
 quality or greater cost, limiting its accessibility to consumers.</t>
  </si>
  <si>
    <t xml:space="preserve">The grant explicitly targets plant-based meat products, focusing on optimising nutritional value and sustainability for meat analogues already on the market.</t>
  </si>
  <si>
    <t xml:space="preserve">Novel precision fermentation process to produce animal-free bioidentical ovalbumin (Bioalbumin)</t>
  </si>
  <si>
    <t xml:space="preserve">Eggs are critically important in the global food system due to functional and nutritional properties; yet the egg market and supply chains are in crisis due to cage-free requirements and avian flu. Onego Bio will make it possible to manufacture egg protein entirely animal-free. We developed a highly-scalable precision fermentation process using the patented Trichoderma reesei cellular-based production to produce animal-free ovalbumin. We produce bioidentical egg protein with cost parity and 87% lower CO2 emissions compared to traditional animal-derived eggs.
Ovalbumin is the most important egg protein, responsible for the essential ingredient performance. This single protein ovalbumin can solve all current challenges in the egg market and supply chain.
Our product, Bioalbumen provides the nutritional and functional upsides of egg protein, without the environmental, ethical and safety-related drawbacks. Our manufacturing method stabilises the food supply chain and increases food security.</t>
  </si>
  <si>
    <t xml:space="preserve">The grant explicitly describes a precision fermentation process to produce bioidentical ovalbumin as an animal-free egg protein ingredient designed to replace eggs in the food system, directly targeting egg protein applications.</t>
  </si>
  <si>
    <t xml:space="preserve">NUTRItious, sensory and texture optimized plant-based SEAfood (NUTRI-SEA)</t>
  </si>
  <si>
    <t xml:space="preserve">PROTEIN DIVERSIFICATION PRIORITY CHALLENGE: There is an urgent need for alternative, affordable protein sources that reduce ecosystem and climate impacts, are scalable, and contribute to food security while meeting nutritional and consumer requirements. Seafood is rich in essential omega-3 fatty acids and bioavailable micronutrients, reducing the risk of non-communicable diseases. However, rising demand has led to overfishing, ecosystem damage, emissions from trawling and transport, and contamination with microplastics and toxins. Alternatives are crucial, especially in the EU, where seafood consumption exceeds the global average. Soy, the most used plant-based protein, is linked to large-scale deforestation and high resource demands. Diversifying plant-based protein sources for seafood can lower environmental impact while maintaining high nutritional value. Sensory characteristics, cost, and nutritional value are key drivers in the plant-based market. Unlike meat alternatives, seafood alternatives must address diverse textures, flavours, and forms. Innovations in these areas are essential to increase consumer uptake. THE SOLUTION: To incentivize consumers to transition to plant-based seafood, HOF will use proteins with a lower climate burden than soy, creating affordable, sustainable alternatives with authentic flavour, texture, and superior nutritional profiles. HOF will expand its product line, introducing clean label plant-based Happy Tyuna, Happy Whitefysh, and Happy Salmyn (hereafter Tyuna, Salmyn, Whitefysh). Whitefysh and Salmyn will advance from TRL 4&amp;5 to TRL 9, while Tyuna will build on improvements from the v1.0 product. Our solutions include: Optimizing High Moisture Extrusion (HME) and post-processing for each product to achieve the desired shapes, milder flavour, and tender, lamellar texture of fish. Enhancing Protein Sources beyond soy, incorporating mycelial, algal, and diverse pulses to ensure high protein and omega-3 content, with added fiber to reduce NCD risks. Sensory Screening and Consumer Studies to align products with consumer preferences, raise awareness of plant-based alternatives, and disseminate knowledge within the seafood sector. OUTCOMES: Nutritionally optimized, protein-diversified Tyuna, and Salmyn, and Whitefysh (whole fillet and chunks), which look, taste, and feel like traditional seafood. Within 3 years from market entry (Q3 28) 48K customers reached and 623K kg product sold in Germany and Austria. Expansion to Switzerland (Q1 26) and the Netherlands (Q3 26) € 10.6 Mn in revenue. IMPACT TARGETS: By 2030, Improved supply chain with 100% increase in # of commercial partners Improved profitability by 100% Production capacity of 1.500 Tons PRIMARY BENEFICIARIES: Flexitarians, vegetarians, vegans, LOHAS consumers, and people with seafood allergies will benefit from sustainable, affordable, and nutritious plant-based seafood that mimics traditional seafood in flavour and texture.</t>
  </si>
  <si>
    <t xml:space="preserve">The grant explicitly targets plant-based seafood analogues — tuna (Tyuna), white fish (Whitefysh), and salmon (Salmyn) — making Fish and seafood the sole applicable category.</t>
  </si>
  <si>
    <t xml:space="preserve">Optimizing production of clean meat using stem cell technology and proteins extracted from animal waste (CleanMeat).</t>
  </si>
  <si>
    <t xml:space="preserve">Den globale kødproduktion fortsætter med at stige, og den menneskelige befolkning står over for fremtidige udfordringer med at klare den stigende fødevareefterspørgsel. Alternative fødevareproduktionskæder er nødvendige for at hjælpe med at klare en stigende befolkning. In vitro-dyrket kød, også kendt som clean meat, er en alternativ fødekæde, der tjener til at reducere animalsk produktion og bidrager til fødevarebæredygtighed. Omkostningerne ved produktion af rent kød forbliver dog høje, og der er en fortsat afhængighed af dyrebiopsier for at få clean meat celler. Dette projekt har til formål at løse disse problemer. Vi vil bruge embryonale stamceller fra kvæg til at skabe et ubegrænset udbud af kødceller og producere rene kødceller ved hjælp af omkostningsreducerende løsninger. Kødceller vil blive produceret ved hjælp af et 3D-dyrket system, der inkorporerer spiselige stilladser, der er egnede til skalering til store mængder. Der vil blive udviklet billigere vækstmedier ved at bruge proteiner udvundet af animalske affaldsprodukter såsom gødning og hår og vækstfaktorer produceret fra dyrkede celler.</t>
  </si>
  <si>
    <t xml:space="preserve">The grant explicitly targets cultivated (clean) meat production using stem cell technology, 3D culture systems, and edible scaffolds, making Meat the clear and sole applicable category.</t>
  </si>
  <si>
    <t xml:space="preserve">Oxidation and glycation during gastro-intestinal digestion of
  meat (analogues): influence on nutrition and health</t>
  </si>
  <si>
    <t xml:space="preserve">In this project, the impact of meat processing on glycation and oxidative reactions during gastrointestinal digestion is investigated. These processes may lead to reduced protein digestibility, increased protein fermentation, and microbial changes in the colon, potentially resulting in inflammation and oxidative stress. Within the context of the protein transition, the research also focuses on alternative protein sources, such as plant-based proteins (peas, soy) and insects, which are often processed into ultra-processed meat analogues. These products undergo intensive processing with additives to mimic the properties of meat and are similarly susceptible to glycation and oxidative changes. The mechanisms will be studied through in vitro digestion experiments and in vivo rat studies.</t>
  </si>
  <si>
    <t xml:space="preserve">The grant explicitly investigates meat and meat analogues (plant-based and insect-based products processed to mimic meat) as the primary end product context, making Meat the applicable category.</t>
  </si>
  <si>
    <t xml:space="preserve">Pioneering Revolutionary Sustainable Oil Production using Precision Fermentation (PRECISE)</t>
  </si>
  <si>
    <t xml:space="preserve">The project will further develop a sustainable technology to produce high-value oil products using precision fermentation. The synthesized oil is considered an alternative to palm oil, which is associated with deforestation and environmental and social problems.
We are developing a sustainable and scalable technology to produce high-value products using precision fermentation. Our innovative technology has a unique scaling potential that can use different feedstocks (i.e. starchy wheat and corn) to produce high-value oil. In the GUDP project, we will further develop a process for the production of a new sustainable, scalable and cost-effective alternative to palm oil. This fermentation-based oil aims to replace palm oil in margarine and other food/feed applications. As we use fermentation, our oil is exempt from the EU Deforestation Regulation (EUDR), ensuring unique sustainability and commercial value. 
With the project, we are delivering a sustainable and scalable alternative to traditional palm oil production, which is associated with deforestation and other environmental and social problems. We will make Denmark and the EU less dependent on palm oil imports and contribute to economic growth. This project will also improve the competitiveness and circularity of the food industry, and pave the way for a new segment in the production of sustainable palm oil.</t>
  </si>
  <si>
    <t xml:space="preserve">Spreads, sauces, and condiments</t>
  </si>
  <si>
    <t xml:space="preserve">The abstract explicitly states the fermentation-derived oil aims to replace palm oil in margarine and other food applications, and margarine is a fat-phase spread, placing this squarely in Spreads, sauces, and condiments.</t>
  </si>
  <si>
    <t xml:space="preserve">Pioneering vegan whole cuts through
  mycelium solid state fermentation</t>
  </si>
  <si>
    <t xml:space="preserve">Esencia Foods is the first company in Europe to exploit the unique properties of mycelium combined with the advantages of an enhanced solid-state fermentation for whole cuts of any kind, starting with fish and seafood.
We stand as the pioneering company in Europe, employing solid state fermentation with mycelium to achieve natural textures with minimal processing, two ingredients and a lower price point than animal-based counterparts.
Solid state fermentation utilising tray bioreactors allows novel texturizing technologies to mimic the texture of whole cuts when exploiting the natural fibrous texture of mycelial fibres and mycelium’s gelation properties. This is a key step for re-producing complex textures; it also significantly reduces the need for expensive additives and intensive post-processing for texturization. By harnessing solid-state fermentation, we can cultivate mycelium (filamentous fungi) in controlled conditions that surpass natural growth and do so quickly and on a scalable level. Additionally, this process can be carried out locally, close to where (otherwise unused) side streams arise, and it requires minimal water compared to Liquid State Fermentation (most used technology today for the production of mycelium-based alternative products)
We anticipate operating within a serviceable obtainable market (SOM) of approximately €5.3 billion by 2028. We project that we can realistically capture approximately €18 million of this market share by 2029. We have received LOIs from 9 restaurants based in Barcelona, Spain, 1 Canteen and 1 business caterer in Germany, 2 Catering companies based in Barcelona, Spain, 2 Chefs based in Germany and Spain, 4 Food Producers from Germany and The Netherlands, and 3 Food retailers/Grocers from Switzerland, The Netherlands and Germany. Potential customers who have provided LOIs have expressed a strong demand for our products which translates into a  market opportunity of €20M+ per year.</t>
  </si>
  <si>
    <t xml:space="preserve">The grant explicitly targets mycelium-based whole cuts starting with fish and seafood analogues, and also references whole cuts of 'any kind,' which encompasses meat analogues, so both Meat and Fish and seafood are flagged true.</t>
  </si>
  <si>
    <t xml:space="preserve">Plant-Based Proteins and Antioxidants in
  Hybrid Meat for Dysphagia</t>
  </si>
  <si>
    <t xml:space="preserve">Dysphagia is a common condition among the elderly, characterized by swallowing difficulties, that leads to malnutrition and increased mortality. Addressing dysphagia is becoming increasingly critical, especially as the global aging population is expected to reach 1.5 billion by 2050. The HyPAD project addresses this issue by developing innovative hybrid meat products tailored for dysphagia patients. These products will integrate plant-based proteins and bioactive compounds with advanced 3D food printing technology to offer improved nutritional value, safer textures, and appealing sensory qualities, significantly enhancing the quality of life for those affected. Currently, dysphagia-friendly foods often lack nutritional balance and are unappealing, leading to poor patient acceptance.
HyPAD aims to overcome these limitations by exploring sustainable sources of plant proteins and bioactive compounds, optimizing hybrid meat formulations, and employing 3D printing to achieve desired textural properties. Specific aims include developing and rigorously testing these formulations, with planned short visits to industry partners for refining the products. The comprehensive plan integrates various disciplines, including phytochemistry, nutrition, and food sciences. This interdisciplinary approach ensures that the products developed are not only effective but also environmentally sustainable, aligning with global efforts to reduce the environmental footprint of food production.
Through this project, the fellow will gain expertise in cutting-edge food technology and sustainable practices, enhancing his career prospects in both academia and industry.
HyPAD not only advances scientific knowledge in dysphagia management but also sets new standards for sustainability in food production, creating new market opportunities in geriatric nutrition and functional foods.</t>
  </si>
  <si>
    <t xml:space="preserve">The grant explicitly targets hybrid meat products incorporating plant-based proteins for dysphagia patients, placing it squarely in the Meat category.</t>
  </si>
  <si>
    <t xml:space="preserve">Producing the Next Generation of Hybrid Animal-Free Cheeses</t>
  </si>
  <si>
    <t xml:space="preserve">Nutropy is a French startup that develops the
 next generation of dairy and cheese alternatives. We produce bioidentical
 milk ingredients (proteins and fatty acids) to develop premium cheese
 alternatives that taste as good as conventional cheese but are more
 sustainable, healthier and better for the animals. This project is dedicated
 to the development of a new line of hybrid animal-free cheese alternatives
 containing pulses.</t>
  </si>
  <si>
    <t xml:space="preserve">The grant explicitly targets the development of animal-free cheese alternatives using bioidentical milk proteins and fatty acids, clearly placing it in the Cheese category.</t>
  </si>
  <si>
    <t xml:space="preserve">Production of superior meat analogues by bridging the benefits of plant proteins and mycelium protein biomass produced from circular substrates (PLANTOMYC)</t>
  </si>
  <si>
    <t xml:space="preserve">PLANTOMYC is a transformative initiative aiming to reshape the landscape of the alternative protein sector. It aims to bridge the versatile benefits of plant-based proteins with the functional and organoleptic (taste, aroma, texture) advantages of mycelial protein biomass (MPB) and develop innovative minimally processed hybrid meat analogues that are both healthy, and tasty. The project promotes sustainability by upcycling underutilized circular substrates such as starch rich pea protein by-product, and brewers spent grains to produce MPB by submerged fermentation (SmF) and solid-state fermentation (SSF), respectively. Envisioning a near-zero waste process design, PLANTOMYC proposes converting the broth from SmF into a Gamma-aminobutyric acid (GABA) enriched beverage and / or a flavorful bouillon. Adopting a multi-actor approach, the project addresses challenges related to consumer preferences, technological scaling, and regulatory requirements. Notably, the impact of PLANTOMYC’s product prototypes on nutritional, functional (gut health &amp; metabolic syndrome), techno-functional, and sensory properties will be assessed thoroughly. Moreover, to advance PLANTOMYC’s TRL, we perform a comprehensive impact assessment for the adoption of these products, utilizing our consortium’s industrial end-users. PLANTOMYC will significantly increase the competitiveness of European alternative protein initiatives. It will accelerate the sector by offering an open-access knowledge platform, introducing new production concepts for hybrid meat analogues, increasing resource independence and efficiency, providing new market opportunities for industrial partners like Millow, BRØL, and Lantmännen, increasing the affordability of alternative proteins, and reducing the environmental footprint of protein production</t>
  </si>
  <si>
    <t xml:space="preserve">The grant explicitly targets the development of hybrid meat analogues combining plant proteins and mycelial protein biomass, making Meat the clear and sole applicable end product category.</t>
  </si>
  <si>
    <t xml:space="preserve">Scaling sustainable cocoa butter production using cellular agriculture</t>
  </si>
  <si>
    <t xml:space="preserve">For the third year running, cocoa demand has outstripped supply, with a 2023/24 deficit of 462,000 tons predicted by the International Cocoa Organization. Consequently, in April 2024, cocoa prices reached an historic high of USD12,261/ton, compared to around USD3,000/ton in April 2023\.
Cocoa yields, which are expected to fall by 11.7% in 2023/24, are already significantly affected by both the climate crisis and prevailing climate patterns (El Nino), which have led to more extreme weather conditions in key cocoa-producing regions. Seasonally wetter conditions have driven devastating fungal disease outbreaks (black pod disease causes 20-30% yield losses globally and up to 100% locally). Seasonally warmer and drier conditions have also driven mealybug outbreaks, exacerbating the spread of endemic viral diseases (cocoa swollen shoot virus disease can cause local yield losses of 15-50%). By 2050, it is estimated that 89.5% of cocoa-producing areas will be less suitable for production.
Alongside climate and disease challenges, the rising price of agricultural inputs (including fertiliser and pesticides) has forced farmers to reduce application rates, further reducing yield and profits. With smallholder farmers having limited investment opportunities, cocoa trees are also ageing and less productive. Coupling these production challenges with low farm-gate prices and small farm sizes, the majority of farmers in the two main cocoa-producing countries (Côte d'Ivoire and Ghana) are unable to earn a living income. Consequently, younger generations are increasingly seeking more rewarding employment opportunities.
Cocoa continues to be a major driver of deforestation, biodiversity loss, and serious labour issues including child labour and forced labour. With cocoa demand continuing to rise, alternatives to traditional cocoa that can future-proof supplies and offer improved social and environmental impacts are receiving increasing attention.
First-generation cocoa alternatives substitute cocoa for natural alternatives (e.g., carob), but they cannot recreate the authentic organoleptic properties of cocoa.
Second-generation cocoa alternatives use precision fermentation to recreate key components of cocoa, but because they do not generate the full range of natural compounds in cocoa, they cannot recreate the full organoleptic properties of cocoa. Precision fermentation techniques also rely on energy-intensive genetically modified microbial production processes, which are challenging to scale.
Recently, plant cell culture processes have been developed that uniquely offer the opportunity to recreate nature-identical cocoa, without requiring the development or use of genetically modified microbes, and with an energy-efficient and theoretically scalable production process.
Here, Extracellular (UK) and Celleste Bio (Israel) will scale plant cell cultured cocoa production.</t>
  </si>
  <si>
    <t xml:space="preserve">Chocolate, desserts, and confectionery</t>
  </si>
  <si>
    <t xml:space="preserve">The grant explicitly targets scaling plant cell culture production of cocoa butter and cocoa solids, which are primary ingredients for chocolate and confectionery products, directly falling under the Chocolate, desserts, and confectionery category.</t>
  </si>
  <si>
    <t xml:space="preserve">Scaling-up Sustainable Production And
  bio-Refining of Key nutritionaL ProteINs from Alternative sources for Green
  food systems.</t>
  </si>
  <si>
    <t xml:space="preserve">The world faces urgent challenges in food security and sustainability, particularly with the projected population growth to 9.7 billion by 2050. To meet the nutritional needs of this larger population, food production must increase by 60%. While agriculture supplies 95% of human food, it also contributes to 21% of global greenhouse gas emissions and suffers from soil degradation, with cropland losing up to 60% of its organic carbon. Alternative proteins such as microalgae and single-protein present promising solutions to sustainability challenge that could help address these issues by promoting sustainable nutrition and improving food system resilience. The proposal SPARKLING will be adressing research and innovation that are necessary to scale production, reduce costs, and improve circularity to meet these needs effectively.</t>
  </si>
  <si>
    <t xml:space="preserve">The grant focuses on scaling production and bio-refining of alternative proteins (microalgae, single-cell protein) without specifying any particular food product application, making it Agnostic.</t>
  </si>
  <si>
    <t xml:space="preserve">SEACUTERIE: Crafting cultivated seafood from ocean leftovers</t>
  </si>
  <si>
    <t xml:space="preserve">The global population is expected to exceed nine billion by 2050, posing significant challenges to food production. Current livestock and fishing practices are unsustainable due to greenhouse gas emissions, pollution, and threats to biodiversity. Cultivated meat and seafood, grown from animal cells, offer a sustainable alternative with reduced environmental impact. Developing biocompatible scaffolds is crucial for large-scale production of cultivated meat and seafood. Here we hypothesize seaweed is a suitable and cost-effective scaffold for cultivated seafood production. Seaweed's biocompatibility, ease of cultivation and harvesting, and established human consumption safety make it a promising candidate for this application.</t>
  </si>
  <si>
    <t xml:space="preserve">The grant explicitly targets cultivated seafood production using seaweed-based scaffolds, placing it squarely in the Fish and seafood category.</t>
  </si>
  <si>
    <t xml:space="preserve">Seafood analogues without a catch</t>
  </si>
  <si>
    <t xml:space="preserve">Incumbent capture and culture fishery
 practices largely contradict environmental protection strategies and fail to
 satisfy the current demand for seafood in an ecologically sustainable way.
 Paired with a global rise in demand for seafood and a market white space in
 Switzerland, this presents an enormous incentive to produce sustainable
 seafood analogues without a catch. The project utilizes a novel texturization
 platform to develop, scale, and implement authentic seafood analogues that
 match taste, texture, appearance, and nutritional quality of actual seafood.
 State-of-the-art plant-based seafood provide neither the structural hierarchy
 nor the nutritional profile consumers strive for. They rely on pure
 hydrocolloid-driven cold gelatinization or high moisture extrusion cooking
 techniques. None of these approaches permit to combine the nutritional
 profile, succulent texture, and geometric freedom required for creating
 authentic seafood analogues. The conceived innovative texturization platform
 overcomes these shortcomings to create authentic seafood alternatives.</t>
  </si>
  <si>
    <t xml:space="preserve">The grant explicitly targets the development of plant-based seafood analogues matching the taste, texture, appearance, and nutritional quality of actual seafood products.</t>
  </si>
  <si>
    <t xml:space="preserve">SEANERGIES: Cell-cultured octopus production through sustainable marine biomass valorization</t>
  </si>
  <si>
    <t xml:space="preserve">The world’s population is projected to surpass nine billion by 2050, posing significant challenges for global food production and security. Current livestock farming and fishing practices are unsustainable owing to their greenhouse gas emissions and pollution. Fisheries and aquacultures are major causes of marine litter, ocean damage, and habitat destruction. In addition, factory farming or aquaculture practices, often characterized by overcrowded and unsanitary conditions, have been linked to an increased risk of zoonotic diseases, posing a serious threat to human health and animal welfare. As a result, there is a need for more sustainable and ethical food alternatives. Cultivated meat is an emerging technology where meat is produced using animal cell culture and is seen as a viable alternative, as it mitigates the impacts of conventional livestock and fishing practices. Nevertheless, major technological challenges still need to be addressed to achieve large-scale and cost-efficient cultivatedmeat bioprocesses. These include the development of i) immortalized cell lines, ii) costefficient animal-free media, and iii) biocompatible scaffolds for cell culture. While this technology has primarily focused on terrestrial species, there is increasing interest in cultivated seafood. The octopus, known for its remarkable tissue regeneration capabilities, is a culturally significant food source globally. The increasing demand for octopus has led to the overexploitation of wild populations. SEANERGIES hypothesizes that octopus cells involved in muscle regeneration could be utilized to create cell lines with enhanced growth and differentiation for cultivated octopus production. To tackle the challenges of media and scaffolds, micro- and macroalgae will be investigated for formulating animal-free, cost-effective culture media and developing biocompatible scaffolds. WP2 will identify and characterize cell populations involved in octopus muscle regeneration. WP3 aims to establish culture protocols and continuous cell lines for octopus muscle cells. WP4 will develop animal-free culture media using microalgae, assessing various formulations for optimal cell growth. In, WP5 we will develop biocompatible scaffolds for octopus cell culture using decellularized seaweed. WP6 involves designing a preliminary bioprocess for cultivated octopus production and conducting technoeconomic analyses. WP7 will focus on studying the social impact cultivated octopus may bring to different stakeholders. Finally, WP8 will be focused on dissemination, communication, and engagement with relevant stakeholders to maximize impact. By integrating the establishment of high-performing octopus muscle cell lines, with the development of animal-free microalgae-derived culture media and seaweed-based scaffolds, SEANERGIES aims at advancing the state-of-the-art in cultivated seafood alternatives by laying the foundation for cultivated octopus production.</t>
  </si>
  <si>
    <t xml:space="preserve">The grant explicitly targets cultivated octopus as a seafood alternative, developing cell lines, culture media, and scaffolds specifically for cultivated octopus production, which falls under Fish and seafood.</t>
  </si>
  <si>
    <t xml:space="preserve">Sterolife, a new plant-based food ingredient for saturated fat reduction while retaining functional properties</t>
  </si>
  <si>
    <t xml:space="preserve">Sterolife is an unsaturated edible fat that is solid at room temperature. The scientific goals of this mandate are to fine-tune the manufacturing process and gain insights into the Sterolife properties and its applications. The commercial goal of this mandate is to create a spin-off that produces and sells Sterolife to food companies. Those food companies will use Sterolife as an ingredient in cholesterol-lowering food products, such as spreadable margarines and bakery products.</t>
  </si>
  <si>
    <t xml:space="preserve">The abstract explicitly describes Sterolife as an ingredient for spreadable margarines (a fat-phase spread), which falls under Spreads, sauces, and condiments; bakery products are mentioned as a secondary application but do not map to a defined category.</t>
  </si>
  <si>
    <t xml:space="preserve">successful protein shift in schools–Prototyping a norm change tool kit towards alternative proteins</t>
  </si>
  <si>
    <t xml:space="preserve">Purpose and goal:
The project´s objective is to create and test a prototype of a toolbox to promote the transition to alternative proteins in school meals. The aim is to engage students, parents, educators, principals and meal staff in this protein shift through activities and materials that increase knowledge and commitment around sustainable protein choices. Through inclusive working methods, the toolbox should enable measurable change and be able to be used by other municipalities and actors to accelerate the protein shift and contribute to sustainable development
Expected results and effects:
The project is expected to lead to increased knowledge and acceptance of alternative proteins among students and school staff, which should result in a reduced environmental impact from school meals. By implementing and testing the toolbox in schools, the project will provide insights into how best to implement the protein shift in school environments. This should lead to practical recommendations and a tool that can be spread to other municipalities, which accelerates the protein shift and contributes to sustainable development and the fulfillment of climate goals
Approach and implementation:
The project is divided into several work packages. First, knowledge and experiences about protein shift in schools are collected via questionnaire surveys and interviews to identify obstacles and enabling factors. Afterwards, co-creative activities are held with students, parents and school staff to design the contents of the toolbox. In the next step, a concept and draft proposal for the toolbox is developed, based on behavioral techniques that facilitate dialogue and goal setting for a successful protein shift in schools.</t>
  </si>
  <si>
    <t xml:space="preserve">The grant focuses on developing a behavioral/educational toolbox to promote alternative proteins in school meals, with no specific food product application mentioned — it is a social/behavioral intervention with no targeted end product type.</t>
  </si>
  <si>
    <t xml:space="preserve">Synergizing chemistry and data science to enhance plant-based food development</t>
  </si>
  <si>
    <t xml:space="preserve">Plant-based meat analogues are an important part of the solution to the climate crisis. These meat analogues are produced by extrusion, which creates a fibrous structure similar to that of animal meat. However, existing meat analogues do not always meet consumer expectations for texture and taste. This project aims to improve the quality of plant-based meat analogues by using local protein sources such as peas and oats, which are more sustainable than imported soybeans. By combining protein chemistry, spectroscopy, quality assessment and advanced data analysis, we will investigate how different proteins behave during extrusion and how we can optimize the process to create better products. Our goal is to create a deeper understanding of how plant proteins can be converted into meat-like structures. This will make it possible to produce delicious plant-based foods that both satisfy consumer demands and promote a greener transition. This research will also benefit the food industry by providing new tools and methods to improve product development and production efficiency. Overall, the project will support the green transition by providing sustainable and attractive alternatives to animal-based foods.
</t>
  </si>
  <si>
    <t xml:space="preserve">The grant explicitly targets plant-based meat analogues produced by extrusion, aiming to improve texture and taste to replicate animal meat.</t>
  </si>
  <si>
    <t xml:space="preserve">Tackling the Astringency Enigma innMouthfeel via Mechanosensation: a Biophysical Approach.</t>
  </si>
  <si>
    <t xml:space="preserve">An unhealthy diet is a major contributor to chronic disease and mortality worldwide. A shift toward healthier food choices is therefore essential to reduce the burden of diet-related diseases. A critical factor driving food choices and ultimately dietary habits, is flavour, which is a complex combination of sensory properties, including taste, aroma, and mouthfeel. Astringent mouthfeel is a tactile sensation characterised by a puckering, rough, or drying feeling in the mouth, often associated with foods and beverages with significant health benefits, including plant-based products. While plant-based diets are generally considered healthier and more sustainable than animal-based diets, their astringent properties frequently lead to consumer rejection. Overcoming these sensory barriers is key to promoting plant-based foods for both health and environmental sustainability. Previous studies show that astringency is triggered by the interaction between phenolic compounds in plant products and salivary proteins or oral epithelial cells. However, the exact mechanosensory pathway for astringency perception remains unclear. This project aims to uncover the fundamental mechanisms behind astringency perception, focusing on mechanosensation, through an interdisciplinary approach that combines molecular, biophysical, and physiological strategies. The study will identify specific mechanoreceptors on oral cells and investigate how phenolic compounds interact with components of the oral cavity. Atomic force microscopy will be the core technique to investigate mechanoreceptor activation, while sensory studies will explore ingredient replacements or additives to improve mouthfeel without compromising health benefits. As such, this project aligns with the Sustainable Development Goal number 3 – “Good health and well-being” – set out by the United Nations, by providing valuable insight into the development of more sustainable dietary patterns, while promoting long-term health benefits.</t>
  </si>
  <si>
    <t xml:space="preserve">The grant investigates the fundamental biophysical and mechanosensory mechanisms underlying astringency perception in plant-based foods generally, without targeting any specific food product category.</t>
  </si>
  <si>
    <t xml:space="preserve">The Root of Understanding Mycelia (RUMy)</t>
  </si>
  <si>
    <t xml:space="preserve">The project will investigate 32 different edible mushrooms for their ability to form a tempeh-like product when grown on Nordic plant substrate.
The project analyzes the potential of fungi for the production of mycotoxins, their nutritional content and flavor profiles. In addition, how they are digested and affect gut bacteria. With the knowledge of the project, it will be possible to create better mycelium-based products and thereby increase the demand for this type of plant-based diet.
</t>
  </si>
  <si>
    <t xml:space="preserve">The grant investigates fungi/mycelium for tempeh-like products but does not explicitly target any specific end product category (meat analogue, dairy, etc.), focusing instead on characterizing mushroom strains for nutritional content, flavor, safety, and gut effects — making it agnostic.</t>
  </si>
  <si>
    <t xml:space="preserve">Thermal Reaction Products of Ochratoxin A: Metabolism and Bioavailability</t>
  </si>
  <si>
    <t xml:space="preserve">Various chemical reactions are responsible for the degradation of the mycotoxin Ochratoxin A (OTA) during thermal food processing, e.g. during roasting of coffee or extrusion cooking of grain. In the first funding period we could show for the first time that besides the isomerization of OTA to 14R-ochratoxin A (14R-OTA) a covalent matrix-binding of OTA to polysaccharides occurs. Furthermore we could show that these matrix-bound forms are cleaved either during the brewing of coffee or during the intestinal metabolism leading to the release of OTA. In addition to the first funding period we analyzed blood samples of coffee and non-coffee drinkers for the occurrence of OTA and 14R-OTA. We could show that 14R-OTA is detectable in relatively high levels in blood samples in some cases with even higher levels compared to OTA. In the following proposal the reasons for these high levels will be studied. For this in vitro studies for mechanistic evaluations as well as in vivo studies with humans are planned. During the in vitro experiments the binding to plasma proteins, the metabolism in liver and kidney microsomes as well as the intestinal metabolism using the pig-cecum-model will be studied in comparison of OTA and 14R-OTA. In vivo the plasma concentration of 14R-OTA will be screened depending on the consumption of 14R-OTA-containing food samples, especially coffee. In order to detect further sources for 14R-OTA exposure, relevant food groups will be analyzed with the main focus on thermal processed samples.With the obtained data concerning occurrence, metabolism and bioavailability of 14R-OTA the toxicological relevance for the consumer will be evaluated.</t>
  </si>
  <si>
    <t xml:space="preserve">This grant investigates the metabolism and bioavailability of a mycotoxin (Ochratoxin A) formed during thermal food processing, with no specific alternative protein end product application mentioned.</t>
  </si>
  <si>
    <t xml:space="preserve">Tobacco as sustainable production platform of the natural biopolymer cyanophycin as co-product to oil and protein (sustainable co-production)</t>
  </si>
  <si>
    <t xml:space="preserve">To reduce carbon footprint, the production of polymers as co-products to plant components already used as plant-based renewable resources can be a sustainable strategy. The seeds of the commercial tobacco varieties can be a source of feed and oil meanwhile the leaves express biodegradable polymer cyanophycin (CGP). To clarify whether CGP can be a sustainable alternative, we conducted field trials using independent transgenic events from the tobacco cultivar BG in Argentina and analyzed socioeconomic aspects and consumer acceptance. We concluded that CGP production in plants can be economically feasible depending on the cultivation and extraction costs.</t>
  </si>
  <si>
    <t xml:space="preserve">The grant focuses on producing cyanophycin biopolymer in transgenic tobacco plants as a co-product to oil and protein, with no specific food product application stated for the biopolymer or the plant-derived ingredients.</t>
  </si>
  <si>
    <t xml:space="preserve">Up-cycling of whey streams via microalgae
  into innovative fortified dairy and dairy-alternative products - Whey2blue</t>
  </si>
  <si>
    <t xml:space="preserve">Whey2blue, through the upcycling of dairy side streams into microalgae biomass, develops a sustainable, circular and affordable technology for production of alternative protein and other functional ingredients. Whey2blue opens the way to a blue economy cascade for healthier food products.</t>
  </si>
  <si>
    <t xml:space="preserve">The abstract describes a process for upcycling dairy side streams via microalgae into alternative protein and functional ingredients, but does not explicitly name any specific end food product application, making this Agnostic.</t>
  </si>
  <si>
    <t xml:space="preserve">Upcycling water from legume processing to meet high demand for plant-based food ingredients: Creating new opportunities for UK legumes</t>
  </si>
  <si>
    <t xml:space="preserve">Wet processing of legume seeds such as beans, peas, chickpeas, and lentils, is used commercially to make pre-cooked food products including hummus and canned beans. The cooking water from this process is considered a liquid waste product, but was recently discovered to have useful techno-functional properties like foaming, emulsification and gelling, and given the name 'aquafaba'. With the plant-based market growing rapidly and expected to reach US$160 billion globally within the next decade, the demand for ingredients to replace egg or dairy protein functionality in a variety of foods, including mayonnaise, cakes and bakery, is higher than ever. Upcycling waste-water from commercial legume processing into aquafaba represents a significant opportunity for sustainable and cost-effective production of vegan alternatives to animal protein.
Despite its potential, the lack of understanding surrounding aquafaba functionality has hindered its widespread adoption by food producers. So far, aquafaba production has mainly been limited to imported chickpeas, while the potential to obtain aquafaba from underutilised UK-grown legumes have been overlooked. Furthermore, factors such as legume variety and processing conditions, which have a big impact on ingredient performance, are still poorly understood. Thus, although new aquafaba ingredients are emerging, their unpredictable and highly variable performance is a major technical barrier to successful commercial use.
This translational project will address this issue by using recent mechanistic insights to improve the extraction of functionally active components from UK grown legumes into aquafaba, thus delivering more consistent and standardised end-product quality.
Our approach uses infrastructure and mechanistic understanding established in previous work, where we set-up a wet-process to make innovative cellular flours (PulseON®) from a range of different legumes, generating aquafaba as a waste-stream. Here we will use the existing PulseON® wet-processing plants and recent scientific insights to improve the quality and types of aquafaba that can be made from the waste-water generated during manufacture of PulseON® or indeed other cooked legume products.</t>
  </si>
  <si>
    <t xml:space="preserve">Eggs and egg proteins; Spreads, sauces, and condiments</t>
  </si>
  <si>
    <t xml:space="preserve">Eggs; Spreads, sauces, and condiments</t>
  </si>
  <si>
    <t xml:space="preserve">The abstract explicitly describes aquafaba as a vegan alternative to egg or dairy protein functionality, with specific applications in mayonnaise (→ Spreads, sauces, and condiments) and cakes/bakery (→ Eggs and egg proteins as an egg replacer in baking), justifying both categories.</t>
  </si>
  <si>
    <t xml:space="preserve">Using Fermentation of Sugar Side-Streams to Produce a Palm Oil Alternative</t>
  </si>
  <si>
    <t xml:space="preserve">Palm oil is in 50% of our supermarket products. It is unique in the vegetable oil market; it melts in your mouth, is great for cooking and is a high-yielding crop. However, palm oil is one of the biggest carbon emitters due to tropical rainforest and peatland loss to make way for plantations - it contributes over 500 million tonnes CO2e, over 1% global emissions, from 19 million hectares of tropical land. It has caused significant habitat loss, including for the Sun Bear.
The UK Government has committed to reaching Net Zero by 2050; 20% of UK emissions stem from agriculture and food, and these emissions must be tackled. There is no existing alternative to palm oil with performance similarity.
Sun Bear Biofuture (SBB) uses yeast and synthetic biology to produce an oil similar in composition to palm oil and cocoa butter, saving 90% of emissions and land. SBB's alternative acts as a drop-in substitute, providing the functional benefits without the environmental or consumer concerns. SBB will sell their oil into food markets, proving our process at scale and transitioning to a licensing model.
Feedstock is the largest fermentation cost driver. British Sugar is the only sugar producer from British sugar beet, working with 2,300 British beet growers, predominantly in Eastern England (British Sugar, 2023). Their production process results in a range of large-scale sugar products and lower value side-streams, such as low green extract and molasses.
In this project SBB will optimise their bioprocess, targeting utilisation of British Sugar's side-streams at lab-scale and validating the upcycling process at pilot-scale (250L fermentation). This is key for making their process the most commercially viable, and for adding value to British Sugar's production process.
British Sugar and SBB are exploring future collaboration opportunities. The project output will be a proven fermentation process utilising sugar-derived side-stream feedstocks, derisking SBB's technical suitability with British Sugar and enabling scale-up in Eastern England, alongside existing sugar production capacity.
SBB brings expertise in modifying their oil-producing patent-pending yeast strain, and will use synthetic biology and lab-scale fermentations to improve the yield of their oil substitute. This project builds on a successful SMART award (10062619) that allowed Sun Bear Biofuture to develop their optimised strain at lab-scale.
British Sugar brings many decades of experience in processing and refining consistent sugar-derived products, and scaling fermentation processes in their bioethanol plants, which will inform scale-up design decisions in this project.</t>
  </si>
  <si>
    <t xml:space="preserve">The grant describes a fermentation bioprocess to produce a palm oil/cocoa butter alternative using yeast and sugar side-streams, but does not explicitly name any specific end food product application — it refers only to selling into 'food markets' generically, making this a process/ingredient grant with no specific product category stated.</t>
  </si>
  <si>
    <t xml:space="preserve">Utilization of exopolysaccharides produced in situ to improve the structure of fermented plant-based alternatives to yoghurt based on lupine</t>
  </si>
  <si>
    <t xml:space="preserve">The aim of this research project is to utilize lactic acid bacteria that form exopolysaccharide (EPS) for the design of vegetable alternatives to yogurt based on lupine protein. FS1 characterizes EPS-forming strains and macromolecular structures of the EPS they form using AF4 MALS UV / IR. The structural effectiveness of EPS in vegetable yogurt products based on lupine proteins is correlated with their chemical and macromolecular structure. FS2 produces lupine protein fractions and yogurt-like products from them on a laboratory scale and tests them for textural and sensory properties. In addition, plant protein gels from protein isolates of different varieties of lupine (L. albus, L. angustifolius) and from protein sub-fractions (11S and 7S globulins) previously purified using extractive and chromatographic methods are characterized. The correlation of the molecular structure of the EPS with its respective structure-forming properties as well as the knowledge gained about the gel-forming ability of the proteins and protein fractions of lupine enables the knowledge-based influencing of the structure of plant-based yoghurt products. The combination of lupine protein isolates with selected EPS formers forms the basis for the development of herbal alternatives to yoghurt with different, attractive structures and sensors. The economic relevance of the research proposal is out of the question and is supported by the ongoing trend towards vegetarian / vegan foods. An industrial trend towards the search for alternative, sustainable protein sources is also clearly recognizable due to the known disadvantages of soy-based products in terms of sensors and texture formation. As a result, a new range of sustainable alternatives to plant-based yogurt can be designed. This contributes significantly to the competitiveness of SMEs that want to serve the rapidly growing market for vegan and lactose-free foods.</t>
  </si>
  <si>
    <t xml:space="preserve">The grant explicitly targets the development of plant-based yoghurt alternatives using lupine protein and EPS-forming lactic acid bacteria, making Yoghurt and fermented dairy the clear and sole applicable category.</t>
  </si>
  <si>
    <t xml:space="preserve">Valorization of a starch-rich side-stream
  from peas for Swiss-based functionalized protein concentrates and starch
  derivatives</t>
  </si>
  <si>
    <t xml:space="preserve">This research project aims to develop customized functional protein concentrates from side-streams of plant-based raw material processing. It comprises the targeted functionalization of by-products for plant-based dairy and meat alternatives.</t>
  </si>
  <si>
    <t xml:space="preserve">The abstract explicitly targets both plant-based dairy alternatives (flagged as Dairy since no specific subcategory is named) and meat alternatives, so both Meat and Dairy are flagged true.</t>
  </si>
  <si>
    <t xml:space="preserve">Valorization of Agro-Industrial Waste through Fungi Fermentation supported by Digital Modeling (Zest)</t>
  </si>
  <si>
    <t xml:space="preserve">The world's ever-growing population demands an increasing amount of protein, which cannot be sustainably met through traditional sources. Innovative approaches are key to procure high-quality protein both efficiently and sustainably. ZEST plans to harness technologies that can exert a global impact, by producing close to user, thus minimizing the carbon footprint associated with logistics from farm to table. Fungi-based protein presents a promising solution to this challenge, given its versatility in utilizing a variety of raw materials and its potential for global production. ZEST's strategy focuses on devising an enhanced fermentation production system capable of generating a diverse array of bio-based protein products. Our primary objectives include: 1) Developing an efficient, zero-waste automatic production system. 2) Designing a multipurpose bioreactor adaptable to substrates with varying viscosities and dry matter content. 3)Assessing the entire value chains to ascertain their economic viability, market potential, environmental impact, and sustainability of fungal-based products.
With the advent of advanced technologies such as Artificial Intelligence (AI), we can embed process knowledge into control systems. This ensures accessibility across both geographical and educational barriers, thus equipping these solutions to deliver maximal impact on the climate crisis through their truly global applications. Our strategy incorporates an efficient, zero-waste automatic production system that integrates feedstock screening, fermentation condition monitoring and control, along with downstream processing control. We will employ a variety of agricultural waste streams as feedstock. Also, ZEST aims to assess a range of compounds for their potential applications across various industries. ZEST's approach is geared towards driving the state-of-art in protein production efficiency, yield, and quality, with broad applications in the burgeoning biobased industry worldwide.</t>
  </si>
  <si>
    <t xml:space="preserve">The grant describes a fungi-based fermentation production system and bioreactor development for generating protein products from agricultural waste streams, with no specific food product application named — it targets broad biobased industry applications, making it Agnostic.</t>
  </si>
  <si>
    <t xml:space="preserve">Vegetable Proteins in foods as an alternative to dairy desserts</t>
  </si>
  <si>
    <t xml:space="preserve">Dessert</t>
  </si>
  <si>
    <t xml:space="preserve">The title explicitly references vegetable proteins as an alternative in dairy desserts, pointing to a dessert/confectionery product application rather than a specific dairy subcategory.</t>
  </si>
  <si>
    <t xml:space="preserve">WomeninTech 2024</t>
  </si>
  <si>
    <t xml:space="preserve">Our project revolves around leveraging the
 untapped potential of seaweed as a sustainable source for mycoprotein
 extraction and cultivation. We plan to employ cutting-edge biotechnological
 methods to extract, purify, and cultivate mycoprotein from seaweed biomass
 efficiently and at scale.
  By focusing on optimising cultivation techniques, refining extraction
 processes, and developing novel bioreactor systems, we aim to streamline the
 production pipeline. Additionally, we intend to establish strategic
 partnerships with seaweed suppliers to ensure a consistent and reliable
 source of raw material.
  Through these efforts, our goal is to introduce a highly scalable and
 environmentally friendly solution to meet the growing demand for plant-based protein
 alternatives. Ultimately, we envision our project contributing to the
 advancement of sustainable food systems and promoting the widespread adoption
 of seaweed-derived mycoprotein in various food and feed applications.</t>
  </si>
  <si>
    <t xml:space="preserve">The grant describes extraction, cultivation, and bioreactor development for seaweed-derived mycoprotein with no specific food product application named beyond generic 'food and feed applications,' making it Agnostic.</t>
  </si>
  <si>
    <t xml:space="preserve">n_true</t>
  </si>
  <si>
    <t xml:space="preserve">tp</t>
  </si>
  <si>
    <t xml:space="preserve">fp</t>
  </si>
  <si>
    <t xml:space="preserve">fn</t>
  </si>
  <si>
    <t xml:space="preserve">recall</t>
  </si>
  <si>
    <t xml:space="preserve">precision</t>
  </si>
  <si>
    <t xml:space="preserve">95%</t>
  </si>
  <si>
    <t xml:space="preserve">68%</t>
  </si>
  <si>
    <t xml:space="preserve">0%</t>
  </si>
  <si>
    <t xml:space="preserve">80%</t>
  </si>
  <si>
    <t xml:space="preserve">94%</t>
  </si>
  <si>
    <t xml:space="preserve">75%</t>
  </si>
  <si>
    <t xml:space="preserve">-</t>
  </si>
  <si>
    <t xml:space="preserve">81%</t>
  </si>
  <si>
    <t xml:space="preserve">89%</t>
  </si>
  <si>
    <t xml:space="preserve">91%</t>
  </si>
  <si>
    <t xml:space="preserve">100%</t>
  </si>
  <si>
    <t xml:space="preserve">metric</t>
  </si>
  <si>
    <t xml:space="preserve">value</t>
  </si>
  <si>
    <t xml:space="preserve">n</t>
  </si>
  <si>
    <t xml:space="preserve">end_product_type_exact_match_accuracy</t>
  </si>
  <si>
    <t xml:space="preserve">76%</t>
  </si>
  <si>
    <t xml:space="preserve">end_product_type_mean_precision</t>
  </si>
  <si>
    <t xml:space="preserve">end_product_type_mean_recall</t>
  </si>
  <si>
    <t xml:space="preserve">83%</t>
  </si>
  <si>
    <t xml:space="preserve">end_product_type_mean_jaccard</t>
  </si>
  <si>
    <t xml:space="preserve">79%</t>
  </si>
  <si>
    <t xml:space="preserve">sub_end_product_exact_match_accuracy (Dairy rows only)</t>
  </si>
  <si>
    <t xml:space="preserve">30%</t>
  </si>
  <si>
    <t xml:space="preserve">sub_end_product_mean_precision (Dairy rows only)</t>
  </si>
  <si>
    <t xml:space="preserve">44%</t>
  </si>
  <si>
    <t xml:space="preserve">sub_end_product_mean_recall (Dairy rows only)</t>
  </si>
  <si>
    <t xml:space="preserve">41%</t>
  </si>
  <si>
    <t xml:space="preserve">sub_end_product_mean_jaccard (Dairy rows only)</t>
  </si>
  <si>
    <t xml:space="preserve">33%</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</si>
</sst>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5">
    <fill>
      <patternFill patternType="none"/>
    </fill>
    <fill>
      <patternFill patternType="gray125"/>
    </fill>
    <fill>
      <patternFill patternType="solid">
        <fgColor rgb="FF81D41A"/>
        <bgColor rgb="FFBBE33D"/>
      </patternFill>
    </fill>
    <fill>
      <patternFill patternType="solid">
        <fgColor rgb="FFBBE33D"/>
        <bgColor rgb="FF81D41A"/>
      </patternFill>
    </fill>
    <fill>
      <patternFill patternType="solid">
        <fgColor rgb="FFFF8000"/>
        <bgColor rgb="FFFF66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bgColor rgb="FF000000"/>
        </patternFill>
      </fill>
    </dxf>
    <dxf>
      <fill>
        <patternFill patternType="solid">
          <fgColor rgb="FF000000"/>
          <bgColor rgb="FF000000"/>
        </patternFill>
      </fill>
    </dxf>
    <dxf>
      <fill>
        <patternFill patternType="solid">
          <fgColor rgb="FF81D41A"/>
          <bgColor rgb="FF000000"/>
        </patternFill>
      </fill>
    </dxf>
    <dxf>
      <fill>
        <patternFill patternType="solid">
          <fgColor rgb="FFBBE33D"/>
          <bgColor rgb="FF000000"/>
        </patternFill>
      </fill>
    </dxf>
    <dxf>
      <fill>
        <patternFill patternType="solid">
          <fgColor rgb="FFFF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BBE33D"/>
      <rgbColor rgb="FFFF80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B35" activeCellId="0" sqref="B35"/>
    </sheetView>
  </sheetViews>
  <sheetFormatPr defaultColWidth="8.34375" defaultRowHeight="15" customHeight="false" zeroHeight="false" outlineLevelRow="0" outlineLevelCol="0"/>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c r="L1" s="0" t="s">
        <v>11</v>
      </c>
      <c r="M1" s="0" t="s">
        <v>12</v>
      </c>
    </row>
    <row r="2" customFormat="false" ht="15" hidden="false" customHeight="false" outlineLevel="0" collapsed="false">
      <c r="A2" s="0" t="n">
        <v>43</v>
      </c>
      <c r="B2" s="0" t="s">
        <v>13</v>
      </c>
      <c r="C2" s="0" t="s">
        <v>14</v>
      </c>
      <c r="D2" s="0" t="s">
        <v>15</v>
      </c>
      <c r="F2" s="0" t="s">
        <v>15</v>
      </c>
      <c r="G2" s="0" t="s">
        <v>15</v>
      </c>
      <c r="I2" s="0" t="s">
        <v>16</v>
      </c>
      <c r="J2" s="1" t="b">
        <f aca="false">TRUE()</f>
        <v>1</v>
      </c>
      <c r="K2" s="0" t="n">
        <v>1</v>
      </c>
      <c r="L2" s="0" t="n">
        <v>1</v>
      </c>
      <c r="M2" s="0" t="n">
        <v>1</v>
      </c>
    </row>
    <row r="3" customFormat="false" ht="15" hidden="false" customHeight="false" outlineLevel="0" collapsed="false">
      <c r="A3" s="0" t="n">
        <v>4</v>
      </c>
      <c r="B3" s="0" t="s">
        <v>17</v>
      </c>
      <c r="C3" s="0" t="s">
        <v>18</v>
      </c>
      <c r="D3" s="0" t="s">
        <v>19</v>
      </c>
      <c r="F3" s="0" t="s">
        <v>20</v>
      </c>
      <c r="G3" s="0" t="s">
        <v>19</v>
      </c>
      <c r="H3" s="0" t="s">
        <v>20</v>
      </c>
      <c r="I3" s="0" t="s">
        <v>21</v>
      </c>
      <c r="J3" s="1" t="b">
        <f aca="false">TRUE()</f>
        <v>1</v>
      </c>
      <c r="K3" s="0" t="n">
        <v>1</v>
      </c>
      <c r="L3" s="0" t="n">
        <v>1</v>
      </c>
      <c r="M3" s="0" t="n">
        <v>1</v>
      </c>
    </row>
    <row r="4" customFormat="false" ht="99.6" hidden="false" customHeight="false" outlineLevel="0" collapsed="false">
      <c r="A4" s="0" t="n">
        <v>73</v>
      </c>
      <c r="B4" s="0" t="s">
        <v>22</v>
      </c>
      <c r="C4" s="2" t="s">
        <v>23</v>
      </c>
      <c r="D4" s="0" t="s">
        <v>24</v>
      </c>
      <c r="F4" s="0" t="s">
        <v>24</v>
      </c>
      <c r="G4" s="0" t="s">
        <v>24</v>
      </c>
      <c r="I4" s="0" t="s">
        <v>25</v>
      </c>
      <c r="J4" s="1" t="b">
        <f aca="false">TRUE()</f>
        <v>1</v>
      </c>
      <c r="K4" s="0" t="n">
        <v>1</v>
      </c>
      <c r="L4" s="0" t="n">
        <v>1</v>
      </c>
      <c r="M4" s="0" t="n">
        <v>1</v>
      </c>
    </row>
    <row r="5" customFormat="false" ht="45.1" hidden="false" customHeight="false" outlineLevel="0" collapsed="false">
      <c r="A5" s="0" t="n">
        <v>36</v>
      </c>
      <c r="B5" s="0" t="s">
        <v>26</v>
      </c>
      <c r="C5" s="2" t="s">
        <v>27</v>
      </c>
      <c r="D5" s="0" t="s">
        <v>28</v>
      </c>
      <c r="F5" s="0" t="s">
        <v>24</v>
      </c>
      <c r="G5" s="0" t="s">
        <v>24</v>
      </c>
      <c r="I5" s="0" t="s">
        <v>29</v>
      </c>
      <c r="J5" s="3" t="b">
        <f aca="false">FALSE()</f>
        <v>0</v>
      </c>
      <c r="K5" s="0" t="n">
        <v>0</v>
      </c>
      <c r="L5" s="0" t="n">
        <v>0</v>
      </c>
      <c r="M5" s="0" t="n">
        <v>0</v>
      </c>
      <c r="O5" s="0" t="s">
        <v>30</v>
      </c>
    </row>
    <row r="6" customFormat="false" ht="15" hidden="false" customHeight="false" outlineLevel="0" collapsed="false">
      <c r="A6" s="0" t="n">
        <v>75</v>
      </c>
      <c r="B6" s="0" t="s">
        <v>31</v>
      </c>
      <c r="C6" s="0" t="s">
        <v>32</v>
      </c>
      <c r="D6" s="0" t="s">
        <v>33</v>
      </c>
      <c r="F6" s="0" t="s">
        <v>34</v>
      </c>
      <c r="G6" s="0" t="s">
        <v>33</v>
      </c>
      <c r="I6" s="0" t="s">
        <v>35</v>
      </c>
      <c r="J6" s="1" t="b">
        <f aca="false">TRUE()</f>
        <v>1</v>
      </c>
      <c r="K6" s="0" t="n">
        <v>1</v>
      </c>
      <c r="L6" s="0" t="n">
        <v>1</v>
      </c>
      <c r="M6" s="0" t="n">
        <v>1</v>
      </c>
    </row>
    <row r="7" customFormat="false" ht="88.7" hidden="false" customHeight="false" outlineLevel="0" collapsed="false">
      <c r="A7" s="0" t="n">
        <v>44</v>
      </c>
      <c r="B7" s="0" t="s">
        <v>36</v>
      </c>
      <c r="C7" s="2" t="s">
        <v>37</v>
      </c>
      <c r="D7" s="0" t="s">
        <v>33</v>
      </c>
      <c r="F7" s="0" t="s">
        <v>24</v>
      </c>
      <c r="G7" s="0" t="s">
        <v>24</v>
      </c>
      <c r="I7" s="0" t="s">
        <v>38</v>
      </c>
      <c r="J7" s="3" t="b">
        <f aca="false">FALSE()</f>
        <v>0</v>
      </c>
      <c r="K7" s="0" t="n">
        <v>0</v>
      </c>
      <c r="L7" s="0" t="n">
        <v>0</v>
      </c>
      <c r="M7" s="0" t="n">
        <v>0</v>
      </c>
      <c r="O7" s="0" t="s">
        <v>30</v>
      </c>
    </row>
    <row r="8" customFormat="false" ht="15" hidden="false" customHeight="false" outlineLevel="0" collapsed="false">
      <c r="A8" s="0" t="n">
        <v>46</v>
      </c>
      <c r="B8" s="0" t="s">
        <v>39</v>
      </c>
      <c r="C8" s="0" t="s">
        <v>40</v>
      </c>
      <c r="D8" s="0" t="s">
        <v>33</v>
      </c>
      <c r="F8" s="0" t="s">
        <v>34</v>
      </c>
      <c r="G8" s="0" t="s">
        <v>33</v>
      </c>
      <c r="I8" s="0" t="s">
        <v>41</v>
      </c>
      <c r="J8" s="1" t="b">
        <f aca="false">TRUE()</f>
        <v>1</v>
      </c>
      <c r="K8" s="0" t="n">
        <v>1</v>
      </c>
      <c r="L8" s="0" t="n">
        <v>1</v>
      </c>
      <c r="M8" s="0" t="n">
        <v>1</v>
      </c>
    </row>
    <row r="9" customFormat="false" ht="34.2" hidden="false" customHeight="false" outlineLevel="0" collapsed="false">
      <c r="A9" s="0" t="n">
        <v>27</v>
      </c>
      <c r="B9" s="2" t="s">
        <v>42</v>
      </c>
      <c r="C9" s="0" t="s">
        <v>43</v>
      </c>
      <c r="D9" s="0" t="s">
        <v>15</v>
      </c>
      <c r="F9" s="0" t="s">
        <v>15</v>
      </c>
      <c r="G9" s="0" t="s">
        <v>15</v>
      </c>
      <c r="I9" s="0" t="s">
        <v>44</v>
      </c>
      <c r="J9" s="1" t="b">
        <f aca="false">TRUE()</f>
        <v>1</v>
      </c>
      <c r="K9" s="0" t="n">
        <v>1</v>
      </c>
      <c r="L9" s="0" t="n">
        <v>1</v>
      </c>
      <c r="M9" s="0" t="n">
        <v>1</v>
      </c>
    </row>
    <row r="10" customFormat="false" ht="77.8" hidden="false" customHeight="false" outlineLevel="0" collapsed="false">
      <c r="A10" s="0" t="n">
        <v>5</v>
      </c>
      <c r="B10" s="0" t="s">
        <v>45</v>
      </c>
      <c r="C10" s="2" t="s">
        <v>46</v>
      </c>
      <c r="D10" s="0" t="s">
        <v>33</v>
      </c>
      <c r="F10" s="0" t="s">
        <v>34</v>
      </c>
      <c r="G10" s="0" t="s">
        <v>33</v>
      </c>
      <c r="I10" s="0" t="s">
        <v>47</v>
      </c>
      <c r="J10" s="1" t="b">
        <f aca="false">TRUE()</f>
        <v>1</v>
      </c>
      <c r="K10" s="0" t="n">
        <v>1</v>
      </c>
      <c r="L10" s="0" t="n">
        <v>1</v>
      </c>
      <c r="M10" s="0" t="n">
        <v>1</v>
      </c>
    </row>
    <row r="11" customFormat="false" ht="34.2" hidden="false" customHeight="false" outlineLevel="0" collapsed="false">
      <c r="A11" s="0" t="n">
        <v>31</v>
      </c>
      <c r="B11" s="2" t="s">
        <v>48</v>
      </c>
      <c r="C11" s="2" t="s">
        <v>49</v>
      </c>
      <c r="D11" s="0" t="s">
        <v>24</v>
      </c>
      <c r="F11" s="0" t="s">
        <v>24</v>
      </c>
      <c r="G11" s="0" t="s">
        <v>24</v>
      </c>
      <c r="I11" s="0" t="s">
        <v>50</v>
      </c>
      <c r="J11" s="1" t="b">
        <f aca="false">TRUE()</f>
        <v>1</v>
      </c>
      <c r="K11" s="0" t="n">
        <v>1</v>
      </c>
      <c r="L11" s="0" t="n">
        <v>1</v>
      </c>
      <c r="M11" s="0" t="n">
        <v>1</v>
      </c>
    </row>
    <row r="12" customFormat="false" ht="15" hidden="false" customHeight="false" outlineLevel="0" collapsed="false">
      <c r="A12" s="0" t="n">
        <v>48</v>
      </c>
      <c r="B12" s="0" t="s">
        <v>51</v>
      </c>
      <c r="C12" s="0" t="s">
        <v>52</v>
      </c>
      <c r="D12" s="0" t="s">
        <v>24</v>
      </c>
      <c r="F12" s="0" t="s">
        <v>24</v>
      </c>
      <c r="G12" s="0" t="s">
        <v>24</v>
      </c>
      <c r="I12" s="0" t="s">
        <v>53</v>
      </c>
      <c r="J12" s="1" t="b">
        <f aca="false">TRUE()</f>
        <v>1</v>
      </c>
      <c r="K12" s="0" t="n">
        <v>1</v>
      </c>
      <c r="L12" s="0" t="n">
        <v>1</v>
      </c>
      <c r="M12" s="0" t="n">
        <v>1</v>
      </c>
    </row>
    <row r="13" customFormat="false" ht="23.3" hidden="false" customHeight="false" outlineLevel="0" collapsed="false">
      <c r="A13" s="0" t="n">
        <v>30</v>
      </c>
      <c r="B13" s="2" t="s">
        <v>54</v>
      </c>
      <c r="C13" s="0" t="s">
        <v>55</v>
      </c>
      <c r="D13" s="0" t="s">
        <v>19</v>
      </c>
      <c r="F13" s="0" t="s">
        <v>19</v>
      </c>
      <c r="G13" s="0" t="s">
        <v>19</v>
      </c>
      <c r="I13" s="0" t="s">
        <v>56</v>
      </c>
      <c r="J13" s="1" t="b">
        <f aca="false">TRUE()</f>
        <v>1</v>
      </c>
      <c r="K13" s="0" t="n">
        <v>1</v>
      </c>
      <c r="L13" s="0" t="n">
        <v>1</v>
      </c>
      <c r="M13" s="0" t="n">
        <v>1</v>
      </c>
    </row>
    <row r="14" customFormat="false" ht="274.4" hidden="false" customHeight="false" outlineLevel="0" collapsed="false">
      <c r="A14" s="0" t="n">
        <v>0</v>
      </c>
      <c r="B14" s="0" t="s">
        <v>57</v>
      </c>
      <c r="C14" s="2" t="s">
        <v>58</v>
      </c>
      <c r="D14" s="0" t="s">
        <v>15</v>
      </c>
      <c r="F14" s="0" t="s">
        <v>15</v>
      </c>
      <c r="G14" s="0" t="s">
        <v>15</v>
      </c>
      <c r="I14" s="0" t="s">
        <v>59</v>
      </c>
      <c r="J14" s="1" t="b">
        <f aca="false">TRUE()</f>
        <v>1</v>
      </c>
      <c r="K14" s="0" t="n">
        <v>1</v>
      </c>
      <c r="L14" s="0" t="n">
        <v>1</v>
      </c>
      <c r="M14" s="0" t="n">
        <v>1</v>
      </c>
    </row>
    <row r="15" customFormat="false" ht="34.2" hidden="false" customHeight="false" outlineLevel="0" collapsed="false">
      <c r="A15" s="0" t="n">
        <v>53</v>
      </c>
      <c r="B15" s="0" t="s">
        <v>60</v>
      </c>
      <c r="C15" s="2" t="s">
        <v>61</v>
      </c>
      <c r="D15" s="0" t="s">
        <v>62</v>
      </c>
      <c r="F15" s="0" t="s">
        <v>63</v>
      </c>
      <c r="G15" s="0" t="s">
        <v>62</v>
      </c>
      <c r="I15" s="0" t="s">
        <v>64</v>
      </c>
      <c r="J15" s="1" t="b">
        <f aca="false">TRUE()</f>
        <v>1</v>
      </c>
      <c r="K15" s="0" t="n">
        <v>1</v>
      </c>
      <c r="L15" s="0" t="n">
        <v>1</v>
      </c>
      <c r="M15" s="0" t="n">
        <v>1</v>
      </c>
    </row>
    <row r="16" customFormat="false" ht="99.6" hidden="false" customHeight="false" outlineLevel="0" collapsed="false">
      <c r="A16" s="0" t="n">
        <v>23</v>
      </c>
      <c r="B16" s="0" t="s">
        <v>65</v>
      </c>
      <c r="C16" s="2" t="s">
        <v>66</v>
      </c>
      <c r="D16" s="0" t="s">
        <v>15</v>
      </c>
      <c r="F16" s="0" t="s">
        <v>15</v>
      </c>
      <c r="G16" s="0" t="s">
        <v>15</v>
      </c>
      <c r="I16" s="0" t="s">
        <v>67</v>
      </c>
      <c r="J16" s="1" t="b">
        <f aca="false">TRUE()</f>
        <v>1</v>
      </c>
      <c r="K16" s="0" t="n">
        <v>1</v>
      </c>
      <c r="L16" s="0" t="n">
        <v>1</v>
      </c>
      <c r="M16" s="0" t="n">
        <v>1</v>
      </c>
    </row>
    <row r="17" customFormat="false" ht="15" hidden="false" customHeight="false" outlineLevel="0" collapsed="false">
      <c r="A17" s="0" t="n">
        <v>61</v>
      </c>
      <c r="B17" s="0" t="s">
        <v>68</v>
      </c>
      <c r="C17" s="0" t="s">
        <v>69</v>
      </c>
      <c r="D17" s="0" t="s">
        <v>24</v>
      </c>
      <c r="F17" s="0" t="s">
        <v>24</v>
      </c>
      <c r="G17" s="0" t="s">
        <v>24</v>
      </c>
      <c r="I17" s="0" t="s">
        <v>70</v>
      </c>
      <c r="J17" s="1" t="b">
        <f aca="false">TRUE()</f>
        <v>1</v>
      </c>
      <c r="K17" s="0" t="n">
        <v>1</v>
      </c>
      <c r="L17" s="0" t="n">
        <v>1</v>
      </c>
      <c r="M17" s="0" t="n">
        <v>1</v>
      </c>
    </row>
    <row r="18" customFormat="false" ht="34.2" hidden="false" customHeight="false" outlineLevel="0" collapsed="false">
      <c r="A18" s="0" t="n">
        <v>9</v>
      </c>
      <c r="B18" s="0" t="s">
        <v>71</v>
      </c>
      <c r="C18" s="2" t="s">
        <v>72</v>
      </c>
      <c r="D18" s="0" t="s">
        <v>24</v>
      </c>
      <c r="F18" s="0" t="s">
        <v>24</v>
      </c>
      <c r="G18" s="0" t="s">
        <v>24</v>
      </c>
      <c r="I18" s="0" t="s">
        <v>73</v>
      </c>
      <c r="J18" s="1" t="b">
        <f aca="false">TRUE()</f>
        <v>1</v>
      </c>
      <c r="K18" s="0" t="n">
        <v>1</v>
      </c>
      <c r="L18" s="0" t="n">
        <v>1</v>
      </c>
      <c r="M18" s="0" t="n">
        <v>1</v>
      </c>
    </row>
    <row r="19" customFormat="false" ht="15" hidden="false" customHeight="false" outlineLevel="0" collapsed="false">
      <c r="A19" s="0" t="n">
        <v>76</v>
      </c>
      <c r="B19" s="0" t="s">
        <v>74</v>
      </c>
      <c r="C19" s="0" t="s">
        <v>75</v>
      </c>
      <c r="D19" s="0" t="s">
        <v>24</v>
      </c>
      <c r="F19" s="0" t="s">
        <v>24</v>
      </c>
      <c r="G19" s="0" t="s">
        <v>24</v>
      </c>
      <c r="I19" s="0" t="s">
        <v>76</v>
      </c>
      <c r="J19" s="1" t="b">
        <f aca="false">TRUE()</f>
        <v>1</v>
      </c>
      <c r="K19" s="0" t="n">
        <v>1</v>
      </c>
      <c r="L19" s="0" t="n">
        <v>1</v>
      </c>
      <c r="M19" s="0" t="n">
        <v>1</v>
      </c>
    </row>
    <row r="20" customFormat="false" ht="23.3" hidden="false" customHeight="false" outlineLevel="0" collapsed="false">
      <c r="A20" s="0" t="n">
        <v>78</v>
      </c>
      <c r="B20" s="2" t="s">
        <v>77</v>
      </c>
      <c r="C20" s="0" t="s">
        <v>78</v>
      </c>
      <c r="D20" s="0" t="s">
        <v>24</v>
      </c>
      <c r="F20" s="0" t="s">
        <v>24</v>
      </c>
      <c r="G20" s="0" t="s">
        <v>24</v>
      </c>
      <c r="I20" s="0" t="s">
        <v>79</v>
      </c>
      <c r="J20" s="1" t="b">
        <f aca="false">TRUE()</f>
        <v>1</v>
      </c>
      <c r="K20" s="0" t="n">
        <v>1</v>
      </c>
      <c r="L20" s="0" t="n">
        <v>1</v>
      </c>
      <c r="M20" s="0" t="n">
        <v>1</v>
      </c>
    </row>
    <row r="21" customFormat="false" ht="23.3" hidden="false" customHeight="false" outlineLevel="0" collapsed="false">
      <c r="A21" s="0" t="n">
        <v>6</v>
      </c>
      <c r="B21" s="2" t="s">
        <v>80</v>
      </c>
      <c r="C21" s="0" t="s">
        <v>81</v>
      </c>
      <c r="D21" s="0" t="s">
        <v>82</v>
      </c>
      <c r="F21" s="0" t="s">
        <v>24</v>
      </c>
      <c r="G21" s="0" t="s">
        <v>24</v>
      </c>
      <c r="I21" s="0" t="s">
        <v>83</v>
      </c>
      <c r="J21" s="4" t="b">
        <f aca="false">FALSE()</f>
        <v>0</v>
      </c>
      <c r="K21" s="0" t="n">
        <v>0</v>
      </c>
      <c r="L21" s="0" t="n">
        <v>0</v>
      </c>
      <c r="M21" s="0" t="n">
        <v>0</v>
      </c>
      <c r="O21" s="0" t="s">
        <v>84</v>
      </c>
    </row>
    <row r="22" customFormat="false" ht="209" hidden="false" customHeight="false" outlineLevel="0" collapsed="false">
      <c r="A22" s="0" t="n">
        <v>15</v>
      </c>
      <c r="B22" s="0" t="s">
        <v>85</v>
      </c>
      <c r="C22" s="2" t="s">
        <v>86</v>
      </c>
      <c r="D22" s="0" t="s">
        <v>19</v>
      </c>
      <c r="E22" s="0" t="s">
        <v>87</v>
      </c>
      <c r="F22" s="0" t="s">
        <v>88</v>
      </c>
      <c r="G22" s="0" t="s">
        <v>19</v>
      </c>
      <c r="H22" s="0" t="s">
        <v>88</v>
      </c>
      <c r="I22" s="0" t="s">
        <v>89</v>
      </c>
      <c r="J22" s="1" t="b">
        <f aca="false">TRUE()</f>
        <v>1</v>
      </c>
      <c r="K22" s="0" t="n">
        <v>1</v>
      </c>
      <c r="L22" s="0" t="n">
        <v>1</v>
      </c>
      <c r="M22" s="0" t="n">
        <v>1</v>
      </c>
    </row>
    <row r="23" customFormat="false" ht="56" hidden="false" customHeight="false" outlineLevel="0" collapsed="false">
      <c r="A23" s="0" t="n">
        <v>77</v>
      </c>
      <c r="B23" s="0" t="s">
        <v>90</v>
      </c>
      <c r="C23" s="2" t="s">
        <v>91</v>
      </c>
      <c r="D23" s="0" t="s">
        <v>92</v>
      </c>
      <c r="E23" s="0" t="s">
        <v>93</v>
      </c>
      <c r="F23" s="0" t="s">
        <v>94</v>
      </c>
      <c r="G23" s="0" t="s">
        <v>95</v>
      </c>
      <c r="H23" s="0" t="s">
        <v>96</v>
      </c>
      <c r="I23" s="0" t="s">
        <v>97</v>
      </c>
      <c r="J23" s="1" t="b">
        <f aca="false">TRUE()</f>
        <v>1</v>
      </c>
      <c r="K23" s="0" t="n">
        <v>1</v>
      </c>
      <c r="L23" s="0" t="n">
        <v>1</v>
      </c>
      <c r="M23" s="0" t="n">
        <v>1</v>
      </c>
    </row>
    <row r="24" customFormat="false" ht="15" hidden="false" customHeight="false" outlineLevel="0" collapsed="false">
      <c r="A24" s="0" t="n">
        <v>63</v>
      </c>
      <c r="B24" s="0" t="s">
        <v>98</v>
      </c>
      <c r="C24" s="0" t="s">
        <v>99</v>
      </c>
      <c r="D24" s="0" t="s">
        <v>15</v>
      </c>
      <c r="F24" s="0" t="s">
        <v>15</v>
      </c>
      <c r="G24" s="0" t="s">
        <v>15</v>
      </c>
      <c r="I24" s="0" t="s">
        <v>100</v>
      </c>
      <c r="J24" s="1" t="b">
        <f aca="false">TRUE()</f>
        <v>1</v>
      </c>
      <c r="K24" s="0" t="n">
        <v>1</v>
      </c>
      <c r="L24" s="0" t="n">
        <v>1</v>
      </c>
      <c r="M24" s="0" t="n">
        <v>1</v>
      </c>
    </row>
    <row r="25" customFormat="false" ht="15" hidden="false" customHeight="false" outlineLevel="0" collapsed="false">
      <c r="A25" s="0" t="n">
        <v>55</v>
      </c>
      <c r="B25" s="0" t="s">
        <v>101</v>
      </c>
      <c r="C25" s="0" t="s">
        <v>102</v>
      </c>
      <c r="D25" s="0" t="s">
        <v>19</v>
      </c>
      <c r="E25" s="0" t="s">
        <v>103</v>
      </c>
      <c r="F25" s="0" t="s">
        <v>104</v>
      </c>
      <c r="G25" s="0" t="s">
        <v>19</v>
      </c>
      <c r="H25" s="0" t="s">
        <v>104</v>
      </c>
      <c r="I25" s="0" t="s">
        <v>105</v>
      </c>
      <c r="J25" s="1" t="b">
        <f aca="false">TRUE()</f>
        <v>1</v>
      </c>
      <c r="K25" s="0" t="n">
        <v>1</v>
      </c>
      <c r="L25" s="0" t="n">
        <v>1</v>
      </c>
      <c r="M25" s="0" t="n">
        <v>1</v>
      </c>
    </row>
    <row r="26" customFormat="false" ht="15" hidden="false" customHeight="false" outlineLevel="0" collapsed="false">
      <c r="A26" s="0" t="n">
        <v>25</v>
      </c>
      <c r="B26" s="0" t="s">
        <v>106</v>
      </c>
      <c r="C26" s="0" t="s">
        <v>107</v>
      </c>
      <c r="D26" s="0" t="s">
        <v>24</v>
      </c>
      <c r="F26" s="0" t="s">
        <v>24</v>
      </c>
      <c r="G26" s="0" t="s">
        <v>24</v>
      </c>
      <c r="I26" s="0" t="s">
        <v>108</v>
      </c>
      <c r="J26" s="1" t="b">
        <f aca="false">TRUE()</f>
        <v>1</v>
      </c>
      <c r="K26" s="0" t="n">
        <v>1</v>
      </c>
      <c r="L26" s="0" t="n">
        <v>1</v>
      </c>
      <c r="M26" s="0" t="n">
        <v>1</v>
      </c>
    </row>
    <row r="27" customFormat="false" ht="15" hidden="false" customHeight="false" outlineLevel="0" collapsed="false">
      <c r="A27" s="0" t="n">
        <v>72</v>
      </c>
      <c r="B27" s="0" t="s">
        <v>109</v>
      </c>
      <c r="C27" s="0" t="s">
        <v>110</v>
      </c>
      <c r="D27" s="0" t="s">
        <v>111</v>
      </c>
      <c r="F27" s="0" t="s">
        <v>112</v>
      </c>
      <c r="G27" s="0" t="s">
        <v>113</v>
      </c>
      <c r="I27" s="0" t="s">
        <v>114</v>
      </c>
      <c r="J27" s="1" t="b">
        <f aca="false">TRUE()</f>
        <v>1</v>
      </c>
      <c r="K27" s="0" t="n">
        <v>1</v>
      </c>
      <c r="L27" s="0" t="n">
        <v>1</v>
      </c>
      <c r="M27" s="0" t="n">
        <v>1</v>
      </c>
    </row>
    <row r="28" customFormat="false" ht="15" hidden="false" customHeight="false" outlineLevel="0" collapsed="false">
      <c r="A28" s="0" t="n">
        <v>22</v>
      </c>
      <c r="B28" s="0" t="s">
        <v>115</v>
      </c>
      <c r="C28" s="0" t="s">
        <v>116</v>
      </c>
      <c r="D28" s="0" t="s">
        <v>24</v>
      </c>
      <c r="F28" s="0" t="s">
        <v>63</v>
      </c>
      <c r="G28" s="0" t="s">
        <v>62</v>
      </c>
      <c r="I28" s="0" t="s">
        <v>117</v>
      </c>
      <c r="J28" s="3" t="b">
        <f aca="false">FALSE()</f>
        <v>0</v>
      </c>
      <c r="K28" s="0" t="n">
        <v>0</v>
      </c>
      <c r="L28" s="0" t="n">
        <v>0</v>
      </c>
      <c r="M28" s="0" t="n">
        <v>0</v>
      </c>
      <c r="O28" s="0" t="s">
        <v>30</v>
      </c>
    </row>
    <row r="29" customFormat="false" ht="15" hidden="false" customHeight="false" outlineLevel="0" collapsed="false">
      <c r="A29" s="0" t="n">
        <v>54</v>
      </c>
      <c r="B29" s="0" t="s">
        <v>118</v>
      </c>
      <c r="C29" s="0" t="s">
        <v>119</v>
      </c>
      <c r="D29" s="0" t="s">
        <v>19</v>
      </c>
      <c r="E29" s="0" t="s">
        <v>120</v>
      </c>
      <c r="F29" s="0" t="s">
        <v>24</v>
      </c>
      <c r="G29" s="0" t="s">
        <v>24</v>
      </c>
      <c r="I29" s="0" t="s">
        <v>121</v>
      </c>
      <c r="J29" s="3" t="b">
        <f aca="false">FALSE()</f>
        <v>0</v>
      </c>
      <c r="K29" s="0" t="n">
        <v>0</v>
      </c>
      <c r="L29" s="0" t="n">
        <v>0</v>
      </c>
      <c r="M29" s="0" t="n">
        <v>0</v>
      </c>
      <c r="O29" s="0" t="s">
        <v>30</v>
      </c>
    </row>
    <row r="30" customFormat="false" ht="56" hidden="false" customHeight="false" outlineLevel="0" collapsed="false">
      <c r="A30" s="0" t="n">
        <v>38</v>
      </c>
      <c r="B30" s="2" t="s">
        <v>122</v>
      </c>
      <c r="C30" s="2" t="s">
        <v>123</v>
      </c>
      <c r="D30" s="0" t="s">
        <v>28</v>
      </c>
      <c r="F30" s="0" t="s">
        <v>95</v>
      </c>
      <c r="G30" s="0" t="s">
        <v>95</v>
      </c>
      <c r="I30" s="0" t="s">
        <v>124</v>
      </c>
      <c r="J30" s="3" t="b">
        <f aca="false">FALSE()</f>
        <v>0</v>
      </c>
      <c r="K30" s="0" t="n">
        <v>0.5</v>
      </c>
      <c r="L30" s="0" t="n">
        <v>1</v>
      </c>
      <c r="M30" s="0" t="n">
        <v>0.5</v>
      </c>
      <c r="O30" s="0" t="s">
        <v>30</v>
      </c>
      <c r="P30" s="5" t="s">
        <v>125</v>
      </c>
    </row>
    <row r="31" customFormat="false" ht="56" hidden="false" customHeight="false" outlineLevel="0" collapsed="false">
      <c r="A31" s="0" t="n">
        <v>71</v>
      </c>
      <c r="B31" s="0" t="s">
        <v>126</v>
      </c>
      <c r="C31" s="2" t="s">
        <v>123</v>
      </c>
      <c r="D31" s="0" t="s">
        <v>92</v>
      </c>
      <c r="F31" s="0" t="s">
        <v>95</v>
      </c>
      <c r="G31" s="0" t="s">
        <v>95</v>
      </c>
      <c r="I31" s="0" t="s">
        <v>127</v>
      </c>
      <c r="J31" s="1" t="b">
        <f aca="false">TRUE()</f>
        <v>1</v>
      </c>
      <c r="K31" s="0" t="n">
        <v>1</v>
      </c>
      <c r="L31" s="0" t="n">
        <v>1</v>
      </c>
      <c r="M31" s="0" t="n">
        <v>1</v>
      </c>
    </row>
    <row r="32" customFormat="false" ht="23.3" hidden="false" customHeight="false" outlineLevel="0" collapsed="false">
      <c r="A32" s="0" t="n">
        <v>11</v>
      </c>
      <c r="B32" s="2" t="s">
        <v>128</v>
      </c>
      <c r="C32" s="0" t="s">
        <v>129</v>
      </c>
      <c r="D32" s="0" t="s">
        <v>19</v>
      </c>
      <c r="E32" s="0" t="s">
        <v>120</v>
      </c>
      <c r="F32" s="0" t="s">
        <v>130</v>
      </c>
      <c r="G32" s="0" t="s">
        <v>19</v>
      </c>
      <c r="H32" s="0" t="s">
        <v>130</v>
      </c>
      <c r="I32" s="0" t="s">
        <v>131</v>
      </c>
      <c r="J32" s="1" t="b">
        <f aca="false">TRUE()</f>
        <v>1</v>
      </c>
      <c r="K32" s="0" t="n">
        <v>1</v>
      </c>
      <c r="L32" s="0" t="n">
        <v>1</v>
      </c>
      <c r="M32" s="0" t="n">
        <v>1</v>
      </c>
    </row>
    <row r="33" customFormat="false" ht="99.6" hidden="false" customHeight="false" outlineLevel="0" collapsed="false">
      <c r="A33" s="0" t="n">
        <v>3</v>
      </c>
      <c r="B33" s="0" t="s">
        <v>132</v>
      </c>
      <c r="C33" s="2" t="s">
        <v>133</v>
      </c>
      <c r="D33" s="0" t="s">
        <v>15</v>
      </c>
      <c r="F33" s="0" t="s">
        <v>15</v>
      </c>
      <c r="G33" s="0" t="s">
        <v>15</v>
      </c>
      <c r="I33" s="0" t="s">
        <v>134</v>
      </c>
      <c r="J33" s="1" t="b">
        <f aca="false">TRUE()</f>
        <v>1</v>
      </c>
      <c r="K33" s="0" t="n">
        <v>1</v>
      </c>
      <c r="L33" s="0" t="n">
        <v>1</v>
      </c>
      <c r="M33" s="0" t="n">
        <v>1</v>
      </c>
    </row>
    <row r="34" customFormat="false" ht="15" hidden="false" customHeight="false" outlineLevel="0" collapsed="false">
      <c r="A34" s="0" t="n">
        <v>16</v>
      </c>
      <c r="B34" s="0" t="s">
        <v>135</v>
      </c>
      <c r="C34" s="0" t="s">
        <v>136</v>
      </c>
      <c r="D34" s="0" t="s">
        <v>24</v>
      </c>
      <c r="F34" s="0" t="s">
        <v>24</v>
      </c>
      <c r="G34" s="0" t="s">
        <v>24</v>
      </c>
      <c r="I34" s="0" t="s">
        <v>137</v>
      </c>
      <c r="J34" s="1" t="b">
        <f aca="false">TRUE()</f>
        <v>1</v>
      </c>
      <c r="K34" s="0" t="n">
        <v>1</v>
      </c>
      <c r="L34" s="0" t="n">
        <v>1</v>
      </c>
      <c r="M34" s="0" t="n">
        <v>1</v>
      </c>
    </row>
    <row r="35" customFormat="false" ht="88.7" hidden="false" customHeight="false" outlineLevel="0" collapsed="false">
      <c r="A35" s="0" t="n">
        <v>45</v>
      </c>
      <c r="B35" s="0" t="s">
        <v>138</v>
      </c>
      <c r="C35" s="2" t="s">
        <v>139</v>
      </c>
      <c r="D35" s="0" t="s">
        <v>19</v>
      </c>
      <c r="E35" s="0" t="s">
        <v>120</v>
      </c>
      <c r="F35" s="0" t="s">
        <v>24</v>
      </c>
      <c r="G35" s="0" t="s">
        <v>24</v>
      </c>
      <c r="I35" s="0" t="s">
        <v>140</v>
      </c>
      <c r="J35" s="6" t="b">
        <f aca="false">FALSE()</f>
        <v>0</v>
      </c>
      <c r="K35" s="0" t="n">
        <v>0</v>
      </c>
      <c r="L35" s="0" t="n">
        <v>0</v>
      </c>
      <c r="M35" s="0" t="n">
        <v>0</v>
      </c>
      <c r="O35" s="0" t="s">
        <v>141</v>
      </c>
    </row>
    <row r="36" customFormat="false" ht="15" hidden="false" customHeight="false" outlineLevel="0" collapsed="false">
      <c r="A36" s="0" t="n">
        <v>79</v>
      </c>
      <c r="B36" s="0" t="s">
        <v>142</v>
      </c>
      <c r="C36" s="0" t="s">
        <v>143</v>
      </c>
      <c r="D36" s="0" t="s">
        <v>33</v>
      </c>
      <c r="F36" s="0" t="s">
        <v>112</v>
      </c>
      <c r="G36" s="0" t="s">
        <v>113</v>
      </c>
      <c r="I36" s="0" t="s">
        <v>144</v>
      </c>
      <c r="J36" s="1" t="b">
        <f aca="false">FALSE()</f>
        <v>0</v>
      </c>
      <c r="K36" s="0" t="n">
        <v>0.5</v>
      </c>
      <c r="L36" s="0" t="n">
        <v>1</v>
      </c>
      <c r="M36" s="0" t="n">
        <v>0.5</v>
      </c>
    </row>
    <row r="37" customFormat="false" ht="296.2" hidden="false" customHeight="false" outlineLevel="0" collapsed="false">
      <c r="A37" s="0" t="n">
        <v>49</v>
      </c>
      <c r="B37" s="0" t="s">
        <v>145</v>
      </c>
      <c r="C37" s="2" t="s">
        <v>146</v>
      </c>
      <c r="D37" s="0" t="s">
        <v>15</v>
      </c>
      <c r="F37" s="0" t="s">
        <v>15</v>
      </c>
      <c r="G37" s="0" t="s">
        <v>15</v>
      </c>
      <c r="I37" s="0" t="s">
        <v>147</v>
      </c>
      <c r="J37" s="1" t="b">
        <f aca="false">TRUE()</f>
        <v>1</v>
      </c>
      <c r="K37" s="0" t="n">
        <v>1</v>
      </c>
      <c r="L37" s="0" t="n">
        <v>1</v>
      </c>
      <c r="M37" s="0" t="n">
        <v>1</v>
      </c>
    </row>
    <row r="38" customFormat="false" ht="77.8" hidden="false" customHeight="false" outlineLevel="0" collapsed="false">
      <c r="A38" s="0" t="n">
        <v>13</v>
      </c>
      <c r="B38" s="0" t="s">
        <v>148</v>
      </c>
      <c r="C38" s="2" t="s">
        <v>149</v>
      </c>
      <c r="D38" s="0" t="s">
        <v>24</v>
      </c>
      <c r="F38" s="0" t="s">
        <v>24</v>
      </c>
      <c r="G38" s="0" t="s">
        <v>24</v>
      </c>
      <c r="I38" s="0" t="s">
        <v>150</v>
      </c>
      <c r="J38" s="1" t="b">
        <f aca="false">TRUE()</f>
        <v>1</v>
      </c>
      <c r="K38" s="0" t="n">
        <v>1</v>
      </c>
      <c r="L38" s="0" t="n">
        <v>1</v>
      </c>
      <c r="M38" s="0" t="n">
        <v>1</v>
      </c>
    </row>
    <row r="39" customFormat="false" ht="230.8" hidden="false" customHeight="false" outlineLevel="0" collapsed="false">
      <c r="A39" s="0" t="n">
        <v>59</v>
      </c>
      <c r="B39" s="0" t="s">
        <v>151</v>
      </c>
      <c r="C39" s="2" t="s">
        <v>152</v>
      </c>
      <c r="D39" s="0" t="s">
        <v>15</v>
      </c>
      <c r="F39" s="0" t="s">
        <v>15</v>
      </c>
      <c r="G39" s="0" t="s">
        <v>15</v>
      </c>
      <c r="I39" s="0" t="s">
        <v>153</v>
      </c>
      <c r="J39" s="1" t="b">
        <f aca="false">TRUE()</f>
        <v>1</v>
      </c>
      <c r="K39" s="0" t="n">
        <v>1</v>
      </c>
      <c r="L39" s="0" t="n">
        <v>1</v>
      </c>
      <c r="M39" s="0" t="n">
        <v>1</v>
      </c>
    </row>
    <row r="40" customFormat="false" ht="15" hidden="false" customHeight="false" outlineLevel="0" collapsed="false">
      <c r="A40" s="0" t="n">
        <v>81</v>
      </c>
      <c r="B40" s="0" t="s">
        <v>154</v>
      </c>
      <c r="C40" s="0" t="s">
        <v>155</v>
      </c>
      <c r="D40" s="0" t="s">
        <v>24</v>
      </c>
      <c r="F40" s="0" t="s">
        <v>24</v>
      </c>
      <c r="G40" s="0" t="s">
        <v>24</v>
      </c>
      <c r="I40" s="0" t="s">
        <v>156</v>
      </c>
      <c r="J40" s="1" t="b">
        <f aca="false">TRUE()</f>
        <v>1</v>
      </c>
      <c r="K40" s="0" t="n">
        <v>1</v>
      </c>
      <c r="L40" s="0" t="n">
        <v>1</v>
      </c>
      <c r="M40" s="0" t="n">
        <v>1</v>
      </c>
    </row>
    <row r="41" customFormat="false" ht="143.2" hidden="false" customHeight="false" outlineLevel="0" collapsed="false">
      <c r="A41" s="0" t="n">
        <v>34</v>
      </c>
      <c r="B41" s="2" t="s">
        <v>157</v>
      </c>
      <c r="C41" s="2" t="s">
        <v>158</v>
      </c>
      <c r="D41" s="0" t="s">
        <v>15</v>
      </c>
      <c r="F41" s="0" t="s">
        <v>15</v>
      </c>
      <c r="G41" s="0" t="s">
        <v>15</v>
      </c>
      <c r="I41" s="0" t="s">
        <v>159</v>
      </c>
      <c r="J41" s="1" t="b">
        <f aca="false">TRUE()</f>
        <v>1</v>
      </c>
      <c r="K41" s="0" t="n">
        <v>1</v>
      </c>
      <c r="L41" s="0" t="n">
        <v>1</v>
      </c>
      <c r="M41" s="0" t="n">
        <v>1</v>
      </c>
    </row>
    <row r="42" customFormat="false" ht="15" hidden="false" customHeight="false" outlineLevel="0" collapsed="false">
      <c r="A42" s="0" t="n">
        <v>42</v>
      </c>
      <c r="B42" s="0" t="s">
        <v>160</v>
      </c>
      <c r="C42" s="0" t="s">
        <v>161</v>
      </c>
      <c r="D42" s="0" t="s">
        <v>19</v>
      </c>
      <c r="E42" s="0" t="s">
        <v>162</v>
      </c>
      <c r="F42" s="0" t="s">
        <v>162</v>
      </c>
      <c r="G42" s="0" t="s">
        <v>19</v>
      </c>
      <c r="H42" s="0" t="s">
        <v>162</v>
      </c>
      <c r="I42" s="0" t="s">
        <v>163</v>
      </c>
      <c r="J42" s="1" t="b">
        <f aca="false">TRUE()</f>
        <v>1</v>
      </c>
      <c r="K42" s="0" t="n">
        <v>1</v>
      </c>
      <c r="L42" s="0" t="n">
        <v>1</v>
      </c>
      <c r="M42" s="0" t="n">
        <v>1</v>
      </c>
    </row>
    <row r="43" customFormat="false" ht="15" hidden="false" customHeight="false" outlineLevel="0" collapsed="false">
      <c r="A43" s="0" t="n">
        <v>68</v>
      </c>
      <c r="B43" s="0" t="s">
        <v>164</v>
      </c>
      <c r="C43" s="0" t="s">
        <v>161</v>
      </c>
      <c r="D43" s="0" t="s">
        <v>19</v>
      </c>
      <c r="E43" s="0" t="s">
        <v>162</v>
      </c>
      <c r="F43" s="0" t="s">
        <v>162</v>
      </c>
      <c r="G43" s="0" t="s">
        <v>19</v>
      </c>
      <c r="H43" s="0" t="s">
        <v>162</v>
      </c>
      <c r="I43" s="0" t="s">
        <v>163</v>
      </c>
      <c r="J43" s="1" t="b">
        <f aca="false">TRUE()</f>
        <v>1</v>
      </c>
      <c r="K43" s="0" t="n">
        <v>1</v>
      </c>
      <c r="L43" s="0" t="n">
        <v>1</v>
      </c>
      <c r="M43" s="0" t="n">
        <v>1</v>
      </c>
    </row>
    <row r="44" customFormat="false" ht="88.7" hidden="false" customHeight="false" outlineLevel="0" collapsed="false">
      <c r="A44" s="0" t="n">
        <v>32</v>
      </c>
      <c r="B44" s="0" t="s">
        <v>165</v>
      </c>
      <c r="C44" s="2" t="s">
        <v>166</v>
      </c>
      <c r="D44" s="0" t="s">
        <v>19</v>
      </c>
      <c r="F44" s="0" t="s">
        <v>167</v>
      </c>
      <c r="G44" s="0" t="s">
        <v>19</v>
      </c>
      <c r="H44" s="0" t="s">
        <v>167</v>
      </c>
      <c r="I44" s="0" t="s">
        <v>168</v>
      </c>
      <c r="J44" s="1" t="b">
        <f aca="false">TRUE()</f>
        <v>1</v>
      </c>
      <c r="K44" s="0" t="n">
        <v>1</v>
      </c>
      <c r="L44" s="0" t="n">
        <v>1</v>
      </c>
      <c r="M44" s="0" t="n">
        <v>1</v>
      </c>
    </row>
    <row r="45" customFormat="false" ht="56" hidden="false" customHeight="false" outlineLevel="0" collapsed="false">
      <c r="A45" s="0" t="n">
        <v>52</v>
      </c>
      <c r="B45" s="0" t="s">
        <v>169</v>
      </c>
      <c r="C45" s="2" t="s">
        <v>170</v>
      </c>
      <c r="D45" s="0" t="s">
        <v>171</v>
      </c>
      <c r="F45" s="0" t="s">
        <v>24</v>
      </c>
      <c r="G45" s="0" t="s">
        <v>24</v>
      </c>
      <c r="I45" s="0" t="s">
        <v>172</v>
      </c>
      <c r="J45" s="1" t="b">
        <f aca="false">FALSE()</f>
        <v>0</v>
      </c>
      <c r="K45" s="0" t="n">
        <v>0</v>
      </c>
      <c r="L45" s="0" t="n">
        <v>0</v>
      </c>
      <c r="M45" s="0" t="n">
        <v>0</v>
      </c>
    </row>
    <row r="46" customFormat="false" ht="15" hidden="false" customHeight="false" outlineLevel="0" collapsed="false">
      <c r="A46" s="0" t="n">
        <v>37</v>
      </c>
      <c r="B46" s="0" t="s">
        <v>173</v>
      </c>
      <c r="C46" s="0" t="s">
        <v>174</v>
      </c>
      <c r="D46" s="0" t="s">
        <v>15</v>
      </c>
      <c r="F46" s="0" t="s">
        <v>15</v>
      </c>
      <c r="G46" s="0" t="s">
        <v>15</v>
      </c>
      <c r="I46" s="0" t="s">
        <v>175</v>
      </c>
      <c r="J46" s="1" t="b">
        <f aca="false">TRUE()</f>
        <v>1</v>
      </c>
      <c r="K46" s="0" t="n">
        <v>1</v>
      </c>
      <c r="L46" s="0" t="n">
        <v>1</v>
      </c>
      <c r="M46" s="0" t="n">
        <v>1</v>
      </c>
    </row>
    <row r="47" customFormat="false" ht="34.2" hidden="false" customHeight="false" outlineLevel="0" collapsed="false">
      <c r="A47" s="0" t="n">
        <v>57</v>
      </c>
      <c r="B47" s="2" t="s">
        <v>176</v>
      </c>
      <c r="C47" s="2" t="s">
        <v>177</v>
      </c>
      <c r="D47" s="0" t="s">
        <v>178</v>
      </c>
      <c r="F47" s="0" t="s">
        <v>15</v>
      </c>
      <c r="G47" s="0" t="s">
        <v>15</v>
      </c>
      <c r="I47" s="0" t="s">
        <v>179</v>
      </c>
      <c r="J47" s="1" t="b">
        <f aca="false">FALSE()</f>
        <v>0</v>
      </c>
      <c r="K47" s="0" t="n">
        <v>1</v>
      </c>
      <c r="L47" s="0" t="n">
        <v>0.5</v>
      </c>
      <c r="M47" s="0" t="n">
        <v>0.5</v>
      </c>
    </row>
    <row r="48" customFormat="false" ht="15" hidden="false" customHeight="false" outlineLevel="0" collapsed="false">
      <c r="A48" s="0" t="n">
        <v>20</v>
      </c>
      <c r="B48" s="0" t="s">
        <v>180</v>
      </c>
      <c r="C48" s="0" t="s">
        <v>181</v>
      </c>
      <c r="D48" s="0" t="s">
        <v>15</v>
      </c>
      <c r="F48" s="0" t="s">
        <v>15</v>
      </c>
      <c r="G48" s="0" t="s">
        <v>15</v>
      </c>
      <c r="I48" s="0" t="s">
        <v>182</v>
      </c>
      <c r="J48" s="1" t="b">
        <f aca="false">TRUE()</f>
        <v>1</v>
      </c>
      <c r="K48" s="0" t="n">
        <v>1</v>
      </c>
      <c r="L48" s="0" t="n">
        <v>1</v>
      </c>
      <c r="M48" s="0" t="n">
        <v>1</v>
      </c>
    </row>
    <row r="49" customFormat="false" ht="45.1" hidden="false" customHeight="false" outlineLevel="0" collapsed="false">
      <c r="A49" s="0" t="n">
        <v>80</v>
      </c>
      <c r="B49" s="2" t="s">
        <v>183</v>
      </c>
      <c r="C49" s="0" t="s">
        <v>184</v>
      </c>
      <c r="D49" s="0" t="s">
        <v>15</v>
      </c>
      <c r="F49" s="0" t="s">
        <v>15</v>
      </c>
      <c r="G49" s="0" t="s">
        <v>15</v>
      </c>
      <c r="I49" s="0" t="s">
        <v>185</v>
      </c>
      <c r="J49" s="1" t="b">
        <f aca="false">TRUE()</f>
        <v>1</v>
      </c>
      <c r="K49" s="0" t="n">
        <v>1</v>
      </c>
      <c r="L49" s="0" t="n">
        <v>1</v>
      </c>
      <c r="M49" s="0" t="n">
        <v>1</v>
      </c>
    </row>
    <row r="50" customFormat="false" ht="15" hidden="false" customHeight="false" outlineLevel="0" collapsed="false">
      <c r="A50" s="0" t="n">
        <v>82</v>
      </c>
      <c r="B50" s="0" t="s">
        <v>186</v>
      </c>
      <c r="C50" s="0" t="s">
        <v>187</v>
      </c>
      <c r="D50" s="0" t="s">
        <v>19</v>
      </c>
      <c r="E50" s="0" t="s">
        <v>120</v>
      </c>
      <c r="F50" s="0" t="s">
        <v>188</v>
      </c>
      <c r="G50" s="0" t="s">
        <v>189</v>
      </c>
      <c r="H50" s="0" t="s">
        <v>190</v>
      </c>
      <c r="I50" s="0" t="s">
        <v>191</v>
      </c>
      <c r="J50" s="1" t="b">
        <f aca="false">FALSE()</f>
        <v>0</v>
      </c>
      <c r="K50" s="0" t="n">
        <v>0.25</v>
      </c>
      <c r="L50" s="0" t="n">
        <v>1</v>
      </c>
      <c r="M50" s="0" t="n">
        <v>0.25</v>
      </c>
    </row>
    <row r="51" customFormat="false" ht="15" hidden="false" customHeight="false" outlineLevel="0" collapsed="false">
      <c r="A51" s="0" t="n">
        <v>26</v>
      </c>
      <c r="B51" s="0" t="s">
        <v>192</v>
      </c>
      <c r="C51" s="0" t="s">
        <v>193</v>
      </c>
      <c r="D51" s="0" t="s">
        <v>19</v>
      </c>
      <c r="F51" s="0" t="s">
        <v>194</v>
      </c>
      <c r="G51" s="0" t="s">
        <v>19</v>
      </c>
      <c r="H51" s="0" t="s">
        <v>194</v>
      </c>
      <c r="I51" s="0" t="s">
        <v>195</v>
      </c>
      <c r="J51" s="1" t="b">
        <f aca="false">TRUE()</f>
        <v>1</v>
      </c>
      <c r="K51" s="0" t="n">
        <v>1</v>
      </c>
      <c r="L51" s="0" t="n">
        <v>1</v>
      </c>
      <c r="M51" s="0" t="n">
        <v>1</v>
      </c>
    </row>
    <row r="52" customFormat="false" ht="15" hidden="false" customHeight="false" outlineLevel="0" collapsed="false">
      <c r="A52" s="0" t="n">
        <v>2</v>
      </c>
      <c r="B52" s="0" t="s">
        <v>196</v>
      </c>
      <c r="C52" s="0" t="s">
        <v>197</v>
      </c>
      <c r="D52" s="0" t="s">
        <v>24</v>
      </c>
      <c r="F52" s="0" t="s">
        <v>24</v>
      </c>
      <c r="G52" s="0" t="s">
        <v>24</v>
      </c>
      <c r="I52" s="0" t="s">
        <v>198</v>
      </c>
      <c r="J52" s="1" t="b">
        <f aca="false">TRUE()</f>
        <v>1</v>
      </c>
      <c r="K52" s="0" t="n">
        <v>1</v>
      </c>
      <c r="L52" s="0" t="n">
        <v>1</v>
      </c>
      <c r="M52" s="0" t="n">
        <v>1</v>
      </c>
    </row>
    <row r="53" customFormat="false" ht="15" hidden="false" customHeight="false" outlineLevel="0" collapsed="false">
      <c r="A53" s="0" t="n">
        <v>66</v>
      </c>
      <c r="B53" s="0" t="s">
        <v>199</v>
      </c>
      <c r="C53" s="0" t="s">
        <v>200</v>
      </c>
      <c r="D53" s="0" t="s">
        <v>19</v>
      </c>
      <c r="E53" s="0" t="s">
        <v>201</v>
      </c>
      <c r="F53" s="0" t="s">
        <v>190</v>
      </c>
      <c r="G53" s="0" t="s">
        <v>19</v>
      </c>
      <c r="H53" s="0" t="s">
        <v>190</v>
      </c>
      <c r="I53" s="0" t="s">
        <v>202</v>
      </c>
      <c r="J53" s="1" t="b">
        <f aca="false">TRUE()</f>
        <v>1</v>
      </c>
      <c r="K53" s="0" t="n">
        <v>1</v>
      </c>
      <c r="L53" s="0" t="n">
        <v>1</v>
      </c>
      <c r="M53" s="0" t="n">
        <v>1</v>
      </c>
    </row>
    <row r="54" customFormat="false" ht="15" hidden="false" customHeight="false" outlineLevel="0" collapsed="false">
      <c r="A54" s="0" t="n">
        <v>12</v>
      </c>
      <c r="B54" s="0" t="s">
        <v>203</v>
      </c>
      <c r="C54" s="0" t="s">
        <v>204</v>
      </c>
      <c r="D54" s="0" t="s">
        <v>15</v>
      </c>
      <c r="F54" s="0" t="s">
        <v>15</v>
      </c>
      <c r="G54" s="0" t="s">
        <v>15</v>
      </c>
      <c r="I54" s="0" t="s">
        <v>205</v>
      </c>
      <c r="J54" s="1" t="b">
        <f aca="false">TRUE()</f>
        <v>1</v>
      </c>
      <c r="K54" s="0" t="n">
        <v>1</v>
      </c>
      <c r="L54" s="0" t="n">
        <v>1</v>
      </c>
      <c r="M54" s="0" t="n">
        <v>1</v>
      </c>
    </row>
    <row r="55" customFormat="false" ht="132.3" hidden="false" customHeight="false" outlineLevel="0" collapsed="false">
      <c r="A55" s="0" t="n">
        <v>29</v>
      </c>
      <c r="B55" s="0" t="s">
        <v>206</v>
      </c>
      <c r="C55" s="2" t="s">
        <v>207</v>
      </c>
      <c r="D55" s="0" t="s">
        <v>15</v>
      </c>
      <c r="F55" s="0" t="s">
        <v>15</v>
      </c>
      <c r="G55" s="0" t="s">
        <v>15</v>
      </c>
      <c r="I55" s="0" t="s">
        <v>208</v>
      </c>
      <c r="J55" s="1" t="b">
        <f aca="false">TRUE()</f>
        <v>1</v>
      </c>
      <c r="K55" s="0" t="n">
        <v>1</v>
      </c>
      <c r="L55" s="0" t="n">
        <v>1</v>
      </c>
      <c r="M55" s="0" t="n">
        <v>1</v>
      </c>
    </row>
    <row r="56" customFormat="false" ht="34.2" hidden="false" customHeight="false" outlineLevel="0" collapsed="false">
      <c r="A56" s="0" t="n">
        <v>50</v>
      </c>
      <c r="B56" s="0" t="s">
        <v>209</v>
      </c>
      <c r="C56" s="2" t="s">
        <v>210</v>
      </c>
      <c r="D56" s="0" t="s">
        <v>62</v>
      </c>
      <c r="F56" s="0" t="s">
        <v>63</v>
      </c>
      <c r="G56" s="0" t="s">
        <v>62</v>
      </c>
      <c r="I56" s="0" t="s">
        <v>211</v>
      </c>
      <c r="J56" s="1" t="b">
        <f aca="false">TRUE()</f>
        <v>1</v>
      </c>
      <c r="K56" s="0" t="n">
        <v>1</v>
      </c>
      <c r="L56" s="0" t="n">
        <v>1</v>
      </c>
      <c r="M56" s="0" t="n">
        <v>1</v>
      </c>
    </row>
    <row r="57" customFormat="false" ht="15" hidden="false" customHeight="false" outlineLevel="0" collapsed="false">
      <c r="A57" s="0" t="n">
        <v>7</v>
      </c>
      <c r="B57" s="0" t="s">
        <v>212</v>
      </c>
      <c r="C57" s="0" t="s">
        <v>213</v>
      </c>
      <c r="D57" s="0" t="s">
        <v>33</v>
      </c>
      <c r="F57" s="0" t="s">
        <v>34</v>
      </c>
      <c r="G57" s="0" t="s">
        <v>33</v>
      </c>
      <c r="I57" s="0" t="s">
        <v>214</v>
      </c>
      <c r="J57" s="1" t="b">
        <f aca="false">TRUE()</f>
        <v>1</v>
      </c>
      <c r="K57" s="0" t="n">
        <v>1</v>
      </c>
      <c r="L57" s="0" t="n">
        <v>1</v>
      </c>
      <c r="M57" s="0" t="n">
        <v>1</v>
      </c>
    </row>
    <row r="58" customFormat="false" ht="15" hidden="false" customHeight="false" outlineLevel="0" collapsed="false">
      <c r="A58" s="0" t="n">
        <v>60</v>
      </c>
      <c r="B58" s="0" t="s">
        <v>215</v>
      </c>
      <c r="C58" s="0" t="s">
        <v>216</v>
      </c>
      <c r="D58" s="0" t="s">
        <v>15</v>
      </c>
      <c r="F58" s="0" t="s">
        <v>15</v>
      </c>
      <c r="G58" s="0" t="s">
        <v>15</v>
      </c>
      <c r="I58" s="0" t="s">
        <v>217</v>
      </c>
      <c r="J58" s="1" t="b">
        <f aca="false">TRUE()</f>
        <v>1</v>
      </c>
      <c r="K58" s="0" t="n">
        <v>1</v>
      </c>
      <c r="L58" s="0" t="n">
        <v>1</v>
      </c>
      <c r="M58" s="0" t="n">
        <v>1</v>
      </c>
    </row>
    <row r="59" customFormat="false" ht="23.3" hidden="false" customHeight="false" outlineLevel="0" collapsed="false">
      <c r="A59" s="0" t="n">
        <v>17</v>
      </c>
      <c r="B59" s="2" t="s">
        <v>218</v>
      </c>
      <c r="C59" s="0" t="s">
        <v>219</v>
      </c>
      <c r="D59" s="0" t="s">
        <v>15</v>
      </c>
      <c r="F59" s="0" t="s">
        <v>15</v>
      </c>
      <c r="G59" s="0" t="s">
        <v>15</v>
      </c>
      <c r="I59" s="0" t="s">
        <v>220</v>
      </c>
      <c r="J59" s="1" t="b">
        <f aca="false">TRUE()</f>
        <v>1</v>
      </c>
      <c r="K59" s="0" t="n">
        <v>1</v>
      </c>
      <c r="L59" s="0" t="n">
        <v>1</v>
      </c>
      <c r="M59" s="0" t="n">
        <v>1</v>
      </c>
    </row>
    <row r="60" customFormat="false" ht="56" hidden="false" customHeight="false" outlineLevel="0" collapsed="false">
      <c r="A60" s="0" t="n">
        <v>28</v>
      </c>
      <c r="B60" s="0" t="s">
        <v>221</v>
      </c>
      <c r="C60" s="2" t="s">
        <v>222</v>
      </c>
      <c r="D60" s="0" t="s">
        <v>28</v>
      </c>
      <c r="F60" s="0" t="s">
        <v>223</v>
      </c>
      <c r="G60" s="0" t="s">
        <v>223</v>
      </c>
      <c r="I60" s="0" t="s">
        <v>224</v>
      </c>
      <c r="J60" s="1" t="b">
        <f aca="false">FALSE()</f>
        <v>0</v>
      </c>
      <c r="K60" s="0" t="n">
        <v>0</v>
      </c>
      <c r="L60" s="0" t="n">
        <v>0</v>
      </c>
      <c r="M60" s="0" t="n">
        <v>0</v>
      </c>
    </row>
    <row r="61" customFormat="false" ht="45.1" hidden="false" customHeight="false" outlineLevel="0" collapsed="false">
      <c r="A61" s="0" t="n">
        <v>1</v>
      </c>
      <c r="B61" s="2" t="s">
        <v>225</v>
      </c>
      <c r="C61" s="2" t="s">
        <v>226</v>
      </c>
      <c r="D61" s="0" t="s">
        <v>33</v>
      </c>
      <c r="F61" s="0" t="s">
        <v>112</v>
      </c>
      <c r="G61" s="0" t="s">
        <v>113</v>
      </c>
      <c r="I61" s="0" t="s">
        <v>227</v>
      </c>
      <c r="J61" s="1" t="b">
        <f aca="false">FALSE()</f>
        <v>0</v>
      </c>
      <c r="K61" s="0" t="n">
        <v>0.5</v>
      </c>
      <c r="L61" s="0" t="n">
        <v>1</v>
      </c>
      <c r="M61" s="0" t="n">
        <v>0.5</v>
      </c>
    </row>
    <row r="62" customFormat="false" ht="45.1" hidden="false" customHeight="false" outlineLevel="0" collapsed="false">
      <c r="A62" s="0" t="n">
        <v>62</v>
      </c>
      <c r="B62" s="2" t="s">
        <v>228</v>
      </c>
      <c r="C62" s="2" t="s">
        <v>229</v>
      </c>
      <c r="D62" s="0" t="s">
        <v>15</v>
      </c>
      <c r="F62" s="0" t="s">
        <v>15</v>
      </c>
      <c r="G62" s="0" t="s">
        <v>15</v>
      </c>
      <c r="I62" s="0" t="s">
        <v>230</v>
      </c>
      <c r="J62" s="1" t="b">
        <f aca="false">TRUE()</f>
        <v>1</v>
      </c>
      <c r="K62" s="0" t="n">
        <v>1</v>
      </c>
      <c r="L62" s="0" t="n">
        <v>1</v>
      </c>
      <c r="M62" s="0" t="n">
        <v>1</v>
      </c>
    </row>
    <row r="63" customFormat="false" ht="77.8" hidden="false" customHeight="false" outlineLevel="0" collapsed="false">
      <c r="A63" s="0" t="n">
        <v>70</v>
      </c>
      <c r="B63" s="0" t="s">
        <v>231</v>
      </c>
      <c r="C63" s="2" t="s">
        <v>232</v>
      </c>
      <c r="D63" s="0" t="s">
        <v>19</v>
      </c>
      <c r="E63" s="0" t="s">
        <v>162</v>
      </c>
      <c r="F63" s="0" t="s">
        <v>162</v>
      </c>
      <c r="G63" s="0" t="s">
        <v>19</v>
      </c>
      <c r="H63" s="0" t="s">
        <v>162</v>
      </c>
      <c r="I63" s="0" t="s">
        <v>233</v>
      </c>
      <c r="J63" s="1" t="b">
        <f aca="false">TRUE()</f>
        <v>1</v>
      </c>
      <c r="K63" s="0" t="n">
        <v>1</v>
      </c>
      <c r="L63" s="0" t="n">
        <v>1</v>
      </c>
      <c r="M63" s="0" t="n">
        <v>1</v>
      </c>
    </row>
    <row r="64" customFormat="false" ht="15" hidden="false" customHeight="false" outlineLevel="0" collapsed="false">
      <c r="A64" s="0" t="n">
        <v>35</v>
      </c>
      <c r="B64" s="0" t="s">
        <v>234</v>
      </c>
      <c r="C64" s="0" t="s">
        <v>235</v>
      </c>
      <c r="D64" s="0" t="s">
        <v>15</v>
      </c>
      <c r="F64" s="0" t="s">
        <v>15</v>
      </c>
      <c r="G64" s="0" t="s">
        <v>15</v>
      </c>
      <c r="I64" s="0" t="s">
        <v>236</v>
      </c>
      <c r="J64" s="1" t="b">
        <f aca="false">TRUE()</f>
        <v>1</v>
      </c>
      <c r="K64" s="0" t="n">
        <v>1</v>
      </c>
      <c r="L64" s="0" t="n">
        <v>1</v>
      </c>
      <c r="M64" s="0" t="n">
        <v>1</v>
      </c>
    </row>
    <row r="65" customFormat="false" ht="165" hidden="false" customHeight="false" outlineLevel="0" collapsed="false">
      <c r="A65" s="0" t="n">
        <v>69</v>
      </c>
      <c r="B65" s="0" t="s">
        <v>237</v>
      </c>
      <c r="C65" s="2" t="s">
        <v>238</v>
      </c>
      <c r="D65" s="0" t="s">
        <v>28</v>
      </c>
      <c r="F65" s="0" t="s">
        <v>239</v>
      </c>
      <c r="G65" s="0" t="s">
        <v>239</v>
      </c>
      <c r="I65" s="0" t="s">
        <v>240</v>
      </c>
      <c r="J65" s="1" t="b">
        <f aca="false">FALSE()</f>
        <v>0</v>
      </c>
      <c r="K65" s="0" t="n">
        <v>0</v>
      </c>
      <c r="L65" s="0" t="n">
        <v>0</v>
      </c>
      <c r="M65" s="0" t="n">
        <v>0</v>
      </c>
    </row>
    <row r="66" customFormat="false" ht="34.2" hidden="false" customHeight="false" outlineLevel="0" collapsed="false">
      <c r="A66" s="0" t="n">
        <v>64</v>
      </c>
      <c r="B66" s="2" t="s">
        <v>241</v>
      </c>
      <c r="C66" s="0" t="s">
        <v>242</v>
      </c>
      <c r="D66" s="0" t="s">
        <v>24</v>
      </c>
      <c r="F66" s="0" t="s">
        <v>24</v>
      </c>
      <c r="G66" s="0" t="s">
        <v>24</v>
      </c>
      <c r="I66" s="0" t="s">
        <v>243</v>
      </c>
      <c r="J66" s="1" t="b">
        <f aca="false">TRUE()</f>
        <v>1</v>
      </c>
      <c r="K66" s="0" t="n">
        <v>1</v>
      </c>
      <c r="L66" s="0" t="n">
        <v>1</v>
      </c>
      <c r="M66" s="0" t="n">
        <v>1</v>
      </c>
    </row>
    <row r="67" customFormat="false" ht="15" hidden="false" customHeight="false" outlineLevel="0" collapsed="false">
      <c r="A67" s="0" t="n">
        <v>41</v>
      </c>
      <c r="B67" s="0" t="s">
        <v>244</v>
      </c>
      <c r="C67" s="0" t="s">
        <v>245</v>
      </c>
      <c r="D67" s="0" t="s">
        <v>33</v>
      </c>
      <c r="F67" s="0" t="s">
        <v>34</v>
      </c>
      <c r="G67" s="0" t="s">
        <v>33</v>
      </c>
      <c r="I67" s="0" t="s">
        <v>246</v>
      </c>
      <c r="J67" s="1" t="b">
        <f aca="false">TRUE()</f>
        <v>1</v>
      </c>
      <c r="K67" s="0" t="n">
        <v>1</v>
      </c>
      <c r="L67" s="0" t="n">
        <v>1</v>
      </c>
      <c r="M67" s="0" t="n">
        <v>1</v>
      </c>
    </row>
    <row r="68" customFormat="false" ht="165" hidden="false" customHeight="false" outlineLevel="0" collapsed="false">
      <c r="A68" s="0" t="n">
        <v>33</v>
      </c>
      <c r="B68" s="0" t="s">
        <v>247</v>
      </c>
      <c r="C68" s="2" t="s">
        <v>248</v>
      </c>
      <c r="D68" s="0" t="s">
        <v>33</v>
      </c>
      <c r="F68" s="0" t="s">
        <v>34</v>
      </c>
      <c r="G68" s="0" t="s">
        <v>33</v>
      </c>
      <c r="I68" s="0" t="s">
        <v>249</v>
      </c>
      <c r="J68" s="1" t="b">
        <f aca="false">TRUE()</f>
        <v>1</v>
      </c>
      <c r="K68" s="0" t="n">
        <v>1</v>
      </c>
      <c r="L68" s="0" t="n">
        <v>1</v>
      </c>
      <c r="M68" s="0" t="n">
        <v>1</v>
      </c>
    </row>
    <row r="69" customFormat="false" ht="15" hidden="false" customHeight="false" outlineLevel="0" collapsed="false">
      <c r="A69" s="0" t="n">
        <v>40</v>
      </c>
      <c r="B69" s="0" t="s">
        <v>250</v>
      </c>
      <c r="C69" s="0" t="s">
        <v>251</v>
      </c>
      <c r="D69" s="0" t="s">
        <v>33</v>
      </c>
      <c r="F69" s="0" t="s">
        <v>34</v>
      </c>
      <c r="G69" s="0" t="s">
        <v>33</v>
      </c>
      <c r="I69" s="0" t="s">
        <v>252</v>
      </c>
      <c r="J69" s="1" t="b">
        <f aca="false">TRUE()</f>
        <v>1</v>
      </c>
      <c r="K69" s="0" t="n">
        <v>1</v>
      </c>
      <c r="L69" s="0" t="n">
        <v>1</v>
      </c>
      <c r="M69" s="0" t="n">
        <v>1</v>
      </c>
    </row>
    <row r="70" customFormat="false" ht="15" hidden="false" customHeight="false" outlineLevel="0" collapsed="false">
      <c r="A70" s="0" t="n">
        <v>10</v>
      </c>
      <c r="B70" s="0" t="s">
        <v>253</v>
      </c>
      <c r="C70" s="0" t="s">
        <v>254</v>
      </c>
      <c r="D70" s="0" t="s">
        <v>28</v>
      </c>
      <c r="F70" s="0" t="s">
        <v>223</v>
      </c>
      <c r="G70" s="0" t="s">
        <v>223</v>
      </c>
      <c r="I70" s="0" t="s">
        <v>255</v>
      </c>
      <c r="J70" s="1" t="b">
        <f aca="false">FALSE()</f>
        <v>0</v>
      </c>
      <c r="K70" s="0" t="n">
        <v>0</v>
      </c>
      <c r="L70" s="0" t="n">
        <v>0</v>
      </c>
      <c r="M70" s="0" t="n">
        <v>0</v>
      </c>
    </row>
    <row r="71" customFormat="false" ht="165" hidden="false" customHeight="false" outlineLevel="0" collapsed="false">
      <c r="A71" s="0" t="n">
        <v>18</v>
      </c>
      <c r="B71" s="0" t="s">
        <v>256</v>
      </c>
      <c r="C71" s="2" t="s">
        <v>257</v>
      </c>
      <c r="D71" s="0" t="s">
        <v>24</v>
      </c>
      <c r="F71" s="0" t="s">
        <v>24</v>
      </c>
      <c r="G71" s="0" t="s">
        <v>24</v>
      </c>
      <c r="I71" s="0" t="s">
        <v>258</v>
      </c>
      <c r="J71" s="1" t="b">
        <f aca="false">TRUE()</f>
        <v>1</v>
      </c>
      <c r="K71" s="0" t="n">
        <v>1</v>
      </c>
      <c r="L71" s="0" t="n">
        <v>1</v>
      </c>
      <c r="M71" s="0" t="n">
        <v>1</v>
      </c>
    </row>
    <row r="72" customFormat="false" ht="23.3" hidden="false" customHeight="false" outlineLevel="0" collapsed="false">
      <c r="A72" s="0" t="n">
        <v>8</v>
      </c>
      <c r="B72" s="0" t="s">
        <v>259</v>
      </c>
      <c r="C72" s="2" t="s">
        <v>260</v>
      </c>
      <c r="D72" s="0" t="s">
        <v>15</v>
      </c>
      <c r="F72" s="0" t="s">
        <v>15</v>
      </c>
      <c r="G72" s="0" t="s">
        <v>15</v>
      </c>
      <c r="I72" s="0" t="s">
        <v>261</v>
      </c>
      <c r="J72" s="1" t="b">
        <f aca="false">TRUE()</f>
        <v>1</v>
      </c>
      <c r="K72" s="0" t="n">
        <v>1</v>
      </c>
      <c r="L72" s="0" t="n">
        <v>1</v>
      </c>
      <c r="M72" s="0" t="n">
        <v>1</v>
      </c>
    </row>
    <row r="73" customFormat="false" ht="15" hidden="false" customHeight="false" outlineLevel="0" collapsed="false">
      <c r="A73" s="0" t="n">
        <v>58</v>
      </c>
      <c r="B73" s="0" t="s">
        <v>262</v>
      </c>
      <c r="C73" s="0" t="s">
        <v>263</v>
      </c>
      <c r="D73" s="0" t="s">
        <v>24</v>
      </c>
      <c r="F73" s="0" t="s">
        <v>24</v>
      </c>
      <c r="G73" s="0" t="s">
        <v>24</v>
      </c>
      <c r="I73" s="0" t="s">
        <v>264</v>
      </c>
      <c r="J73" s="1" t="b">
        <f aca="false">TRUE()</f>
        <v>1</v>
      </c>
      <c r="K73" s="0" t="n">
        <v>1</v>
      </c>
      <c r="L73" s="0" t="n">
        <v>1</v>
      </c>
      <c r="M73" s="0" t="n">
        <v>1</v>
      </c>
    </row>
    <row r="74" customFormat="false" ht="56" hidden="false" customHeight="false" outlineLevel="0" collapsed="false">
      <c r="A74" s="0" t="n">
        <v>21</v>
      </c>
      <c r="B74" s="0" t="s">
        <v>265</v>
      </c>
      <c r="C74" s="2" t="s">
        <v>266</v>
      </c>
      <c r="D74" s="0" t="s">
        <v>15</v>
      </c>
      <c r="F74" s="0" t="s">
        <v>24</v>
      </c>
      <c r="G74" s="0" t="s">
        <v>24</v>
      </c>
      <c r="I74" s="0" t="s">
        <v>267</v>
      </c>
      <c r="J74" s="1" t="b">
        <f aca="false">FALSE()</f>
        <v>0</v>
      </c>
      <c r="K74" s="0" t="n">
        <v>0</v>
      </c>
      <c r="L74" s="0" t="n">
        <v>0</v>
      </c>
      <c r="M74" s="0" t="n">
        <v>0</v>
      </c>
    </row>
    <row r="75" customFormat="false" ht="15" hidden="false" customHeight="false" outlineLevel="0" collapsed="false">
      <c r="A75" s="0" t="n">
        <v>51</v>
      </c>
      <c r="B75" s="0" t="s">
        <v>268</v>
      </c>
      <c r="C75" s="0" t="s">
        <v>269</v>
      </c>
      <c r="D75" s="0" t="s">
        <v>24</v>
      </c>
      <c r="F75" s="0" t="s">
        <v>24</v>
      </c>
      <c r="G75" s="0" t="s">
        <v>24</v>
      </c>
      <c r="I75" s="0" t="s">
        <v>270</v>
      </c>
      <c r="J75" s="1" t="b">
        <f aca="false">TRUE()</f>
        <v>1</v>
      </c>
      <c r="K75" s="0" t="n">
        <v>1</v>
      </c>
      <c r="L75" s="0" t="n">
        <v>1</v>
      </c>
      <c r="M75" s="0" t="n">
        <v>1</v>
      </c>
    </row>
    <row r="76" customFormat="false" ht="15" hidden="false" customHeight="false" outlineLevel="0" collapsed="false">
      <c r="A76" s="0" t="n">
        <v>67</v>
      </c>
      <c r="B76" s="0" t="s">
        <v>271</v>
      </c>
      <c r="C76" s="0" t="s">
        <v>272</v>
      </c>
      <c r="D76" s="0" t="s">
        <v>24</v>
      </c>
      <c r="F76" s="0" t="s">
        <v>24</v>
      </c>
      <c r="G76" s="0" t="s">
        <v>24</v>
      </c>
      <c r="I76" s="0" t="s">
        <v>273</v>
      </c>
      <c r="J76" s="1" t="b">
        <f aca="false">TRUE()</f>
        <v>1</v>
      </c>
      <c r="K76" s="0" t="n">
        <v>1</v>
      </c>
      <c r="L76" s="0" t="n">
        <v>1</v>
      </c>
      <c r="M76" s="0" t="n">
        <v>1</v>
      </c>
    </row>
    <row r="77" customFormat="false" ht="23.3" hidden="false" customHeight="false" outlineLevel="0" collapsed="false">
      <c r="A77" s="0" t="n">
        <v>65</v>
      </c>
      <c r="B77" s="2" t="s">
        <v>274</v>
      </c>
      <c r="C77" s="0" t="s">
        <v>275</v>
      </c>
      <c r="D77" s="0" t="s">
        <v>19</v>
      </c>
      <c r="E77" s="0" t="s">
        <v>120</v>
      </c>
      <c r="F77" s="0" t="s">
        <v>24</v>
      </c>
      <c r="G77" s="0" t="s">
        <v>24</v>
      </c>
      <c r="I77" s="0" t="s">
        <v>276</v>
      </c>
      <c r="J77" s="1" t="b">
        <f aca="false">FALSE()</f>
        <v>0</v>
      </c>
      <c r="K77" s="0" t="n">
        <v>0</v>
      </c>
      <c r="L77" s="0" t="n">
        <v>0</v>
      </c>
      <c r="M77" s="0" t="n">
        <v>0</v>
      </c>
    </row>
    <row r="78" customFormat="false" ht="77.8" hidden="false" customHeight="false" outlineLevel="0" collapsed="false">
      <c r="A78" s="0" t="n">
        <v>74</v>
      </c>
      <c r="B78" s="0" t="s">
        <v>277</v>
      </c>
      <c r="C78" s="2" t="s">
        <v>278</v>
      </c>
      <c r="D78" s="0" t="s">
        <v>62</v>
      </c>
      <c r="F78" s="0" t="s">
        <v>279</v>
      </c>
      <c r="G78" s="0" t="s">
        <v>280</v>
      </c>
      <c r="I78" s="0" t="s">
        <v>281</v>
      </c>
      <c r="J78" s="1" t="b">
        <f aca="false">FALSE()</f>
        <v>0</v>
      </c>
      <c r="K78" s="0" t="n">
        <v>0.5</v>
      </c>
      <c r="L78" s="0" t="n">
        <v>1</v>
      </c>
      <c r="M78" s="0" t="n">
        <v>0.5</v>
      </c>
    </row>
    <row r="79" customFormat="false" ht="165" hidden="false" customHeight="false" outlineLevel="0" collapsed="false">
      <c r="A79" s="0" t="n">
        <v>56</v>
      </c>
      <c r="B79" s="0" t="s">
        <v>282</v>
      </c>
      <c r="C79" s="2" t="s">
        <v>283</v>
      </c>
      <c r="D79" s="0" t="s">
        <v>28</v>
      </c>
      <c r="F79" s="0" t="s">
        <v>24</v>
      </c>
      <c r="G79" s="0" t="s">
        <v>24</v>
      </c>
      <c r="I79" s="0" t="s">
        <v>284</v>
      </c>
      <c r="J79" s="1" t="b">
        <f aca="false">FALSE()</f>
        <v>0</v>
      </c>
      <c r="K79" s="0" t="n">
        <v>0</v>
      </c>
      <c r="L79" s="0" t="n">
        <v>0</v>
      </c>
      <c r="M79" s="0" t="n">
        <v>0</v>
      </c>
    </row>
    <row r="80" customFormat="false" ht="15" hidden="false" customHeight="false" outlineLevel="0" collapsed="false">
      <c r="A80" s="0" t="n">
        <v>19</v>
      </c>
      <c r="B80" s="0" t="s">
        <v>285</v>
      </c>
      <c r="C80" s="0" t="s">
        <v>286</v>
      </c>
      <c r="D80" s="0" t="s">
        <v>19</v>
      </c>
      <c r="E80" s="0" t="s">
        <v>87</v>
      </c>
      <c r="F80" s="0" t="s">
        <v>20</v>
      </c>
      <c r="G80" s="0" t="s">
        <v>19</v>
      </c>
      <c r="H80" s="0" t="s">
        <v>20</v>
      </c>
      <c r="I80" s="0" t="s">
        <v>287</v>
      </c>
      <c r="J80" s="1" t="b">
        <f aca="false">TRUE()</f>
        <v>1</v>
      </c>
      <c r="K80" s="0" t="n">
        <v>1</v>
      </c>
      <c r="L80" s="0" t="n">
        <v>1</v>
      </c>
      <c r="M80" s="0" t="n">
        <v>1</v>
      </c>
    </row>
    <row r="81" customFormat="false" ht="34.2" hidden="false" customHeight="false" outlineLevel="0" collapsed="false">
      <c r="A81" s="0" t="n">
        <v>24</v>
      </c>
      <c r="B81" s="2" t="s">
        <v>288</v>
      </c>
      <c r="C81" s="0" t="s">
        <v>289</v>
      </c>
      <c r="D81" s="0" t="s">
        <v>92</v>
      </c>
      <c r="F81" s="0" t="s">
        <v>95</v>
      </c>
      <c r="G81" s="0" t="s">
        <v>95</v>
      </c>
      <c r="I81" s="0" t="s">
        <v>290</v>
      </c>
      <c r="J81" s="1" t="b">
        <f aca="false">TRUE()</f>
        <v>1</v>
      </c>
      <c r="K81" s="0" t="n">
        <v>1</v>
      </c>
      <c r="L81" s="0" t="n">
        <v>1</v>
      </c>
      <c r="M81" s="0" t="n">
        <v>1</v>
      </c>
    </row>
    <row r="82" customFormat="false" ht="23.3" hidden="false" customHeight="false" outlineLevel="0" collapsed="false">
      <c r="A82" s="0" t="n">
        <v>39</v>
      </c>
      <c r="B82" s="0" t="s">
        <v>291</v>
      </c>
      <c r="C82" s="2" t="s">
        <v>292</v>
      </c>
      <c r="D82" s="0" t="s">
        <v>24</v>
      </c>
      <c r="F82" s="0" t="s">
        <v>24</v>
      </c>
      <c r="G82" s="0" t="s">
        <v>24</v>
      </c>
      <c r="I82" s="0" t="s">
        <v>293</v>
      </c>
      <c r="J82" s="1" t="b">
        <f aca="false">TRUE()</f>
        <v>1</v>
      </c>
      <c r="K82" s="0" t="n">
        <v>1</v>
      </c>
      <c r="L82" s="0" t="n">
        <v>1</v>
      </c>
      <c r="M82" s="0" t="n">
        <v>1</v>
      </c>
    </row>
    <row r="83" customFormat="false" ht="15" hidden="false" customHeight="false" outlineLevel="0" collapsed="false">
      <c r="A83" s="0" t="n">
        <v>47</v>
      </c>
      <c r="B83" s="0" t="s">
        <v>294</v>
      </c>
      <c r="C83" s="0" t="s">
        <v>155</v>
      </c>
      <c r="D83" s="0" t="s">
        <v>19</v>
      </c>
      <c r="E83" s="0" t="s">
        <v>295</v>
      </c>
      <c r="F83" s="0" t="s">
        <v>239</v>
      </c>
      <c r="G83" s="0" t="s">
        <v>239</v>
      </c>
      <c r="I83" s="0" t="s">
        <v>296</v>
      </c>
      <c r="J83" s="1" t="b">
        <f aca="false">FALSE()</f>
        <v>0</v>
      </c>
      <c r="K83" s="0" t="n">
        <v>0</v>
      </c>
      <c r="L83" s="0" t="n">
        <v>0</v>
      </c>
      <c r="M83" s="0" t="n">
        <v>0</v>
      </c>
    </row>
    <row r="84" customFormat="false" ht="165" hidden="false" customHeight="false" outlineLevel="0" collapsed="false">
      <c r="A84" s="0" t="n">
        <v>14</v>
      </c>
      <c r="B84" s="0" t="s">
        <v>297</v>
      </c>
      <c r="C84" s="2" t="s">
        <v>298</v>
      </c>
      <c r="D84" s="0" t="s">
        <v>24</v>
      </c>
      <c r="F84" s="0" t="s">
        <v>24</v>
      </c>
      <c r="G84" s="0" t="s">
        <v>24</v>
      </c>
      <c r="I84" s="0" t="s">
        <v>299</v>
      </c>
      <c r="J84" s="1" t="b">
        <f aca="false">TRUE()</f>
        <v>1</v>
      </c>
      <c r="K84" s="0" t="n">
        <v>1</v>
      </c>
      <c r="L84" s="0" t="n">
        <v>1</v>
      </c>
      <c r="M84" s="0"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3</v>
      </c>
      <c r="B1" s="0" t="s">
        <v>300</v>
      </c>
      <c r="C1" s="0" t="s">
        <v>301</v>
      </c>
      <c r="D1" s="0" t="s">
        <v>302</v>
      </c>
      <c r="E1" s="0" t="s">
        <v>303</v>
      </c>
      <c r="F1" s="0" t="s">
        <v>304</v>
      </c>
      <c r="G1" s="0" t="s">
        <v>305</v>
      </c>
    </row>
    <row r="2" customFormat="false" ht="15" hidden="false" customHeight="false" outlineLevel="0" collapsed="false">
      <c r="A2" s="0" t="s">
        <v>24</v>
      </c>
      <c r="B2" s="0" t="n">
        <v>20</v>
      </c>
      <c r="C2" s="0" t="n">
        <v>19</v>
      </c>
      <c r="D2" s="0" t="n">
        <v>9</v>
      </c>
      <c r="E2" s="0" t="n">
        <v>1</v>
      </c>
      <c r="F2" s="0" t="s">
        <v>306</v>
      </c>
      <c r="G2" s="0" t="s">
        <v>307</v>
      </c>
    </row>
    <row r="3" customFormat="false" ht="15" hidden="false" customHeight="false" outlineLevel="0" collapsed="false">
      <c r="A3" s="0" t="s">
        <v>239</v>
      </c>
      <c r="B3" s="0" t="n">
        <v>2</v>
      </c>
      <c r="C3" s="0" t="n">
        <v>0</v>
      </c>
      <c r="D3" s="0" t="n">
        <v>3</v>
      </c>
      <c r="E3" s="0" t="n">
        <v>2</v>
      </c>
      <c r="F3" s="0" t="s">
        <v>308</v>
      </c>
      <c r="G3" s="0" t="s">
        <v>308</v>
      </c>
    </row>
    <row r="4" customFormat="false" ht="15" hidden="false" customHeight="false" outlineLevel="0" collapsed="false">
      <c r="A4" s="0" t="s">
        <v>19</v>
      </c>
      <c r="B4" s="0" t="n">
        <v>20</v>
      </c>
      <c r="C4" s="0" t="n">
        <v>16</v>
      </c>
      <c r="D4" s="0" t="n">
        <v>1</v>
      </c>
      <c r="E4" s="0" t="n">
        <v>4</v>
      </c>
      <c r="F4" s="0" t="s">
        <v>309</v>
      </c>
      <c r="G4" s="0" t="s">
        <v>310</v>
      </c>
    </row>
    <row r="5" customFormat="false" ht="15" hidden="false" customHeight="false" outlineLevel="0" collapsed="false">
      <c r="A5" s="0" t="s">
        <v>62</v>
      </c>
      <c r="B5" s="0" t="n">
        <v>4</v>
      </c>
      <c r="C5" s="0" t="n">
        <v>3</v>
      </c>
      <c r="D5" s="0" t="n">
        <v>1</v>
      </c>
      <c r="E5" s="0" t="n">
        <v>1</v>
      </c>
      <c r="F5" s="0" t="s">
        <v>311</v>
      </c>
      <c r="G5" s="0" t="s">
        <v>311</v>
      </c>
    </row>
    <row r="6" customFormat="false" ht="15" hidden="false" customHeight="false" outlineLevel="0" collapsed="false">
      <c r="A6" s="0" t="s">
        <v>28</v>
      </c>
      <c r="B6" s="0" t="n">
        <v>0</v>
      </c>
      <c r="C6" s="0" t="n">
        <v>0</v>
      </c>
      <c r="D6" s="0" t="n">
        <v>0</v>
      </c>
      <c r="E6" s="0" t="n">
        <v>0</v>
      </c>
      <c r="F6" s="0" t="s">
        <v>312</v>
      </c>
      <c r="G6" s="0" t="s">
        <v>312</v>
      </c>
    </row>
    <row r="7" customFormat="false" ht="15" hidden="false" customHeight="false" outlineLevel="0" collapsed="false">
      <c r="A7" s="0" t="s">
        <v>15</v>
      </c>
      <c r="B7" s="0" t="n">
        <v>31</v>
      </c>
      <c r="C7" s="0" t="n">
        <v>25</v>
      </c>
      <c r="D7" s="0" t="n">
        <v>3</v>
      </c>
      <c r="E7" s="0" t="n">
        <v>6</v>
      </c>
      <c r="F7" s="0" t="s">
        <v>313</v>
      </c>
      <c r="G7" s="0" t="s">
        <v>314</v>
      </c>
    </row>
    <row r="8" customFormat="false" ht="15" hidden="false" customHeight="false" outlineLevel="0" collapsed="false">
      <c r="A8" s="0" t="s">
        <v>33</v>
      </c>
      <c r="B8" s="0" t="n">
        <v>11</v>
      </c>
      <c r="C8" s="0" t="n">
        <v>10</v>
      </c>
      <c r="D8" s="0" t="n">
        <v>0</v>
      </c>
      <c r="E8" s="0" t="n">
        <v>1</v>
      </c>
      <c r="F8" s="0" t="s">
        <v>315</v>
      </c>
      <c r="G8" s="0" t="s">
        <v>316</v>
      </c>
    </row>
    <row r="9" customFormat="false" ht="15" hidden="false" customHeight="false" outlineLevel="0" collapsed="false">
      <c r="A9" s="0" t="s">
        <v>82</v>
      </c>
      <c r="B9" s="0" t="n">
        <v>0</v>
      </c>
      <c r="C9" s="0" t="n">
        <v>0</v>
      </c>
      <c r="D9" s="0" t="n">
        <v>0</v>
      </c>
      <c r="E9" s="0" t="n">
        <v>0</v>
      </c>
      <c r="F9" s="0" t="s">
        <v>312</v>
      </c>
      <c r="G9" s="0" t="s">
        <v>312</v>
      </c>
    </row>
    <row r="10" customFormat="false" ht="15" hidden="false" customHeight="false" outlineLevel="0" collapsed="false">
      <c r="A10" s="0" t="s">
        <v>223</v>
      </c>
      <c r="B10" s="0" t="n">
        <v>0</v>
      </c>
      <c r="C10" s="0" t="n">
        <v>0</v>
      </c>
      <c r="D10" s="0" t="n">
        <v>4</v>
      </c>
      <c r="E10" s="0" t="n">
        <v>0</v>
      </c>
      <c r="F10" s="0" t="s">
        <v>312</v>
      </c>
      <c r="G10" s="0" t="s">
        <v>308</v>
      </c>
    </row>
    <row r="11" customFormat="false" ht="15" hidden="false" customHeight="false" outlineLevel="0" collapsed="false">
      <c r="A11" s="0" t="s">
        <v>171</v>
      </c>
      <c r="B11" s="0" t="n">
        <v>0</v>
      </c>
      <c r="C11" s="0" t="n">
        <v>0</v>
      </c>
      <c r="D11" s="0" t="n">
        <v>0</v>
      </c>
      <c r="E11" s="0" t="n">
        <v>0</v>
      </c>
      <c r="F11" s="0" t="s">
        <v>312</v>
      </c>
      <c r="G11" s="0"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317</v>
      </c>
      <c r="B1" s="0" t="s">
        <v>318</v>
      </c>
      <c r="C1" s="0" t="s">
        <v>319</v>
      </c>
    </row>
    <row r="2" customFormat="false" ht="15" hidden="false" customHeight="false" outlineLevel="0" collapsed="false">
      <c r="A2" s="0" t="s">
        <v>320</v>
      </c>
      <c r="B2" s="0" t="s">
        <v>321</v>
      </c>
      <c r="C2" s="0" t="n">
        <v>83</v>
      </c>
    </row>
    <row r="3" customFormat="false" ht="15" hidden="false" customHeight="false" outlineLevel="0" collapsed="false">
      <c r="A3" s="0" t="s">
        <v>322</v>
      </c>
      <c r="B3" s="0" t="s">
        <v>309</v>
      </c>
      <c r="C3" s="0" t="n">
        <v>83</v>
      </c>
    </row>
    <row r="4" customFormat="false" ht="15" hidden="false" customHeight="false" outlineLevel="0" collapsed="false">
      <c r="A4" s="0" t="s">
        <v>323</v>
      </c>
      <c r="B4" s="0" t="s">
        <v>324</v>
      </c>
      <c r="C4" s="0" t="n">
        <v>83</v>
      </c>
    </row>
    <row r="5" customFormat="false" ht="15" hidden="false" customHeight="false" outlineLevel="0" collapsed="false">
      <c r="A5" s="0" t="s">
        <v>325</v>
      </c>
      <c r="B5" s="0" t="s">
        <v>326</v>
      </c>
      <c r="C5" s="0" t="n">
        <v>83</v>
      </c>
    </row>
    <row r="6" customFormat="false" ht="15" hidden="false" customHeight="false" outlineLevel="0" collapsed="false">
      <c r="A6" s="0" t="s">
        <v>327</v>
      </c>
      <c r="B6" s="0" t="s">
        <v>328</v>
      </c>
      <c r="C6" s="0" t="n">
        <v>20</v>
      </c>
    </row>
    <row r="7" customFormat="false" ht="15" hidden="false" customHeight="false" outlineLevel="0" collapsed="false">
      <c r="A7" s="0" t="s">
        <v>329</v>
      </c>
      <c r="B7" s="0" t="s">
        <v>330</v>
      </c>
      <c r="C7" s="0" t="n">
        <v>20</v>
      </c>
    </row>
    <row r="8" customFormat="false" ht="15" hidden="false" customHeight="false" outlineLevel="0" collapsed="false">
      <c r="A8" s="0" t="s">
        <v>331</v>
      </c>
      <c r="B8" s="0" t="s">
        <v>332</v>
      </c>
      <c r="C8" s="0" t="n">
        <v>20</v>
      </c>
    </row>
    <row r="9" customFormat="false" ht="15" hidden="false" customHeight="false" outlineLevel="0" collapsed="false">
      <c r="A9" s="0" t="s">
        <v>333</v>
      </c>
      <c r="B9" s="0" t="s">
        <v>334</v>
      </c>
      <c r="C9" s="0" t="n">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2026-07-29T07:04:14Z</dcterms:created>
  <dc:creator>openpyxl</dc:creator>
  <dc:description/>
  <dc:language>en-GB</dc:language>
  <cp:lastModifiedBy/>
  <dcterms:modified xsi:type="dcterms:W3CDTF">2026-07-29T08:13:02Z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