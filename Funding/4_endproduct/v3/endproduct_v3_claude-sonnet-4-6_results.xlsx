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<sst xmlns="http://schemas.openxmlformats.org/spreadsheetml/2006/main" count="666" uniqueCount="341">
  <si>
    <t xml:space="preserve">id</t>
  </si>
  <si>
    <t xml:space="preserve">title</t>
  </si>
  <si>
    <t xml:space="preserve">abstract</t>
  </si>
  <si>
    <t xml:space="preserve">end_product_type</t>
  </si>
  <si>
    <t xml:space="preserve">sub_end_product</t>
  </si>
  <si>
    <t xml:space="preserve">raw_predicted_categories</t>
  </si>
  <si>
    <t xml:space="preserve">predicted_end_product_type</t>
  </si>
  <si>
    <t xml:space="preserve">predicted_sub_end_product</t>
  </si>
  <si>
    <t xml:space="preserve">reasoning_LLM</t>
  </si>
  <si>
    <t xml:space="preserve">exact_match</t>
  </si>
  <si>
    <t xml:space="preserve">row_precision</t>
  </si>
  <si>
    <t xml:space="preserve">row_recall</t>
  </si>
  <si>
    <t xml:space="preserve">row_jaccard</t>
  </si>
  <si>
    <t xml:space="preserve">Notes</t>
  </si>
  <si>
    <t xml:space="preserve">A Revolutionary Tech for Exceptionally Efficient Natural  Muscle Tissue Growth in Cultivated Meat Applications</t>
  </si>
  <si>
    <t xml:space="preserve">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</si>
  <si>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 xml:space="preserve">Meat</t>
  </si>
  <si>
    <t xml:space="preserve">The grant explicitly targets cultivated meat applications, developing immortalized myoblast cell lines and media supplements to improve muscle tissue growth and differentiation for cultivated meat products.</t>
  </si>
  <si>
    <t xml:space="preserve">A systems biology approach to optimize EPS production by lactic acid bacteria for food applications</t>
  </si>
  <si>
    <t xml:space="preserve">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</si>
  <si>
    <t xml:space="preserve">Dairy</t>
  </si>
  <si>
    <t xml:space="preserve">Yoghurt and fermented dairy</t>
  </si>
  <si>
    <t xml:space="preserve">The abstract explicitly states that results will be validated in a plant-based yoghurt analogue, directly targeting fermented dairy analogues.</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</si>
  <si>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</si>
  <si>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</si>
  <si>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Agnostic</t>
  </si>
  <si>
    <t xml:space="preserve">The grant describes a regulatory sandbox and innovation support framework for cellular agriculture broadly, without specifying any particular food product application.</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</si>
  <si>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</si>
  <si>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</si>
  <si>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Fats</t>
  </si>
  <si>
    <t xml:space="preserve">The grant describes the development of advanced SiC hollow fibre membrane technology for bioseparation and purification processes within a cellular agriculture manufacturing context, with no specific food end product application named.</t>
  </si>
  <si>
    <t xml:space="preserve">Agree with LLM</t>
  </si>
  <si>
    <t xml:space="preserve">AlgFlavor - Verbeteren van de consumentenacceptatie van algen voor de voedselmarkt</t>
  </si>
  <si>
    <t xml:space="preserve">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</si>
  <si>
    <t xml:space="preserve">Seafood</t>
  </si>
  <si>
    <t xml:space="preserve">Fish and seafood</t>
  </si>
  <si>
    <t xml:space="preserve">The abstract explicitly states that the ultimate goal is to create a market for algae-based foods focusing on plant-based seafood alternatives, directly targeting the Fish and seafood category.</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</si>
  <si>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</si>
  <si>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</si>
  <si>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The grant focuses on improving consumer acceptance of algal biomass (taste, aroma, visual appeal) for general food markets without specifying any particular end product application, making it Agnostic.</t>
  </si>
  <si>
    <t xml:space="preserve">AlgFlavor: Enhancing algal biomass consumer acceptance for food markets</t>
  </si>
  <si>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</si>
  <si>
    <t xml:space="preserve">The abstract explicitly states that AlgFlavor focuses on developing seafood alternatives using algal biomass with seafood flavor profiles, directly targeting fish and seafood analogue products.</t>
  </si>
  <si>
    <t xml:space="preserve">Bovine embryonic stem cell development and myoblast maturation
  approaches as prospective key technological advancements for cultured meat
  development.</t>
  </si>
  <si>
    <t xml:space="preserve">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</si>
  <si>
    <t xml:space="preserve">The grant explicitly targets cultured meat development by investigating bovine embryonic stem cell myogenic differentiation and myoblast maturation to produce mature myofibers, directly supporting a meat end product.</t>
  </si>
  <si>
    <t xml:space="preserve">Cell-cultured octopus production through sustainable marine biomass valorization</t>
  </si>
  <si>
    <t xml:space="preserve">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</si>
  <si>
    <t xml:space="preserve">The grant explicitly targets cultivated octopus as a seafood analogue, placing it squarely in the Fish and seafood category.</t>
  </si>
  <si>
    <t xml:space="preserve">Data-driven engineering of microalgal
  biofactories for safe and efficient omega-3 production</t>
  </si>
  <si>
    <t xml:space="preserve">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</si>
  <si>
    <t xml:space="preserve">The grant focuses on engineering microalgal biofactories for omega-3 production as a bioproduction platform (pharmaceuticals, cosmetics, feed additives, supplements, alternative protein sources) without targeting any specific food end product category.</t>
  </si>
  <si>
    <t xml:space="preserve">Design of techno-functional cereal protein fibrils</t>
  </si>
  <si>
    <t xml:space="preserve">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</si>
  <si>
    <t xml:space="preserve">The grant studies the formation of amyloid fibrils from egg white and wheat gluten proteins under food-relevant processing conditions, focusing on structural characterization and extraction methods without targeting any specific food product application.</t>
  </si>
  <si>
    <t xml:space="preserve">Designed fermentation for off-flavor
  elimination in plant-based foods</t>
  </si>
  <si>
    <t xml:space="preserve">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</si>
  <si>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 xml:space="preserve">The abstract explicitly targets 'plant-based dairy alternatives' using fermentation for off-flavor elimination, but does not specify which dairy subcategory (milk, yoghurt, cheese, cream) applies, so the general Dairy fallback is appropriate.</t>
  </si>
  <si>
    <t xml:space="preserve">Develop good and healthy HMMA textured plant proteins for the food industry</t>
  </si>
  <si>
    <t xml:space="preserve">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</si>
  <si>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 xml:space="preserve">The grant explicitly targets High Moisture Meat Analogs (HMMA) and plant-based meat and chicken alternatives, clearly placing it in the Meat category.</t>
  </si>
  <si>
    <t xml:space="preserve">Development of functional fava bean food ingredients</t>
  </si>
  <si>
    <t xml:space="preserve">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</si>
  <si>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 xml:space="preserve">Eggs</t>
  </si>
  <si>
    <t xml:space="preserve">Eggs and egg proteins</t>
  </si>
  <si>
    <t xml:space="preserve">The grant explicitly targets the development of a fava bean-based egg white replacer, which is a functional egg-substituting ingredient, directly mapping to the Eggs and egg proteins category.</t>
  </si>
  <si>
    <t xml:space="preserve">Edible Scaffolds for Cultivated Meat Produced from Waste Derived from the Brewing Industry</t>
  </si>
  <si>
    <t xml:space="preserve">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</si>
  <si>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 xml:space="preserve">The grant explicitly targets edible scaffolds for cultivated meat production, placing it squarely in the Meat category.</t>
  </si>
  <si>
    <t xml:space="preserve">Engineering polysaccharides in plants</t>
  </si>
  <si>
    <t xml:space="preserve">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</si>
  <si>
    <t xml:space="preserve">The grant focuses on understanding and engineering xylan polysaccharide biosynthesis in plant cell walls at a biochemical/structural level, with no specific food product application stated.</t>
  </si>
  <si>
    <t xml:space="preserve">Engineering safe faba beans by targeting the anti-nutrients vicine and convicine (CleanBean)</t>
  </si>
  <si>
    <t xml:space="preserve">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</si>
  <si>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 xml:space="preserve">The grant focuses on engineering faba bean varieties to eliminate anti-nutritional compounds (vicine and convicine) through pathway elucidation and gene inactivation, with no specific food product application stated beyond enabling safe consumption of faba beans generally, making it agnostic to any particular end product category.</t>
  </si>
  <si>
    <t xml:space="preserve">Enhanced Production of Heterologous Proteins Following Translational Fine-Tuning by Optimized Post-Transcriptional RNA Modification (ProteRNA)</t>
  </si>
  <si>
    <t xml:space="preserve">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</si>
  <si>
    <t xml:space="preserve">The grant describes a bioproduction method for enhancing heterologous protein yields via RNA modification, with no specific food product application mentioned.</t>
  </si>
  <si>
    <t xml:space="preserve">Enzymatic engineering and digestion of fibrillar plant protein
  texturizers for the protein shift.</t>
  </si>
  <si>
    <t xml:space="preserve">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</si>
  <si>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 xml:space="preserve">The grant focuses on enzymatic engineering of plant protein nanofibrils and their evaluation as building blocks for model food systems (hydrogels, aerogels, oleogels, microfibers) without targeting any specific food product application.</t>
  </si>
  <si>
    <t xml:space="preserve">FBR_OC1_27 - Impact
  of the extrusion process on health-related properties of a pea and oat snack</t>
  </si>
  <si>
    <t xml:space="preserve">The project aims to investigate the health properties of novel plant-based snacks, produced by extrusion technology using pea starch, pea protein and oat fiber.</t>
  </si>
  <si>
    <t xml:space="preserve">Snacks</t>
  </si>
  <si>
    <t xml:space="preserve">The grant investigates extrusion processing of pea and oat ingredients to produce plant-based snacks; snacks are not among the defined end product categories, so Agnostic is the appropriate classification.</t>
  </si>
  <si>
    <t xml:space="preserve">Snacks isn’t a category and shouldn’t even be in scope.</t>
  </si>
  <si>
    <t xml:space="preserve">Fermentation of Swedish faba beans for foods with improved texture, flavour and nutritional properties</t>
  </si>
  <si>
    <t xml:space="preserve">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</si>
  <si>
    <t xml:space="preserve">Yoghurt</t>
  </si>
  <si>
    <t xml:space="preserve">Milk and milk proteins; Yoghurt and fermented dairy</t>
  </si>
  <si>
    <t xml:space="preserve">The grant explicitly targets both a faba bean milk analogue and a yoghurt-like fermented product, warranting both Milk and milk proteins and Yoghurt and fermented dairy classifications.</t>
  </si>
  <si>
    <t xml:space="preserve">FermiPro: Replacing Additives with Plants— A New Era of Plant-Based Foods Delivering Real Taste, Texture, and Nutrition Without Ultra-Processed Additives</t>
  </si>
  <si>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
</t>
  </si>
  <si>
    <t xml:space="preserve">Meat, Dairy</t>
  </si>
  <si>
    <t xml:space="preserve">Cheese, cream</t>
  </si>
  <si>
    <t xml:space="preserve">Meat; Cheese; Cream and ice cream</t>
  </si>
  <si>
    <t xml:space="preserve">Meat; Dairy</t>
  </si>
  <si>
    <t xml:space="preserve">Cheese; Cream and ice cream</t>
  </si>
  <si>
    <t xml:space="preserve">The abstract explicitly names three end product applications for FermiPro: plant-based cheese, plant-based cream, and plant-based patties (meat analogue), so Meat, Cheese, and Cream and ice cream are all flagged true.</t>
  </si>
  <si>
    <t xml:space="preserve">FINEST - Food Innovation Enabling Sustainable Transition, phase 2</t>
  </si>
  <si>
    <t xml:space="preserve">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</si>
  <si>
    <t xml:space="preserve">The abstract explicitly identifies 'next generation of plant-based foods as complements or alternatives to meat' as one of three focus areas, directly targeting meat analogue products.</t>
  </si>
  <si>
    <t xml:space="preserve">Flavour, odour and texture improvements of plant-based dairy products using microbial fermentation products (DELICIOUS)</t>
  </si>
  <si>
    <t xml:space="preserve">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</si>
  <si>
    <t xml:space="preserve">Cheese, Kefir</t>
  </si>
  <si>
    <t xml:space="preserve">Yoghurt and fermented dairy; Cheese</t>
  </si>
  <si>
    <t xml:space="preserve">The grant explicitly targets two plant-based dairy analogue products — cheese and kefir (a fermented dairy product) — so both Cheese and Yoghurt and fermented dairy are flagged true.</t>
  </si>
  <si>
    <t xml:space="preserve">Food workers of the world unite! A qualitative investigation of labour relations in alternative food system transitions</t>
  </si>
  <si>
    <t xml:space="preserve">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</si>
  <si>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 xml:space="preserve">This grant is a qualitative social science study about labour relations in alternative food systems and does not target any specific food product application.</t>
  </si>
  <si>
    <t xml:space="preserve">Fostering European cellular Agriculture for Sustainable Transition Solutions (FEASTS)</t>
  </si>
  <si>
    <t xml:space="preserve">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</si>
  <si>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 xml:space="preserve">Meat, Seafood</t>
  </si>
  <si>
    <t xml:space="preserve">Meat; Fish and seafood</t>
  </si>
  <si>
    <t xml:space="preserve">Meat; Seafood</t>
  </si>
  <si>
    <t xml:space="preserve">The grant explicitly targets cultured meat (CM) and cultured seafood (CSF) as its end product categories, warranting both Meat and Fish and seafood classifications.</t>
  </si>
  <si>
    <t xml:space="preserve">Functionalization of vegetable proteins as ingredients for the production of heat-fixable food foams</t>
  </si>
  <si>
    <t xml:space="preserve">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</si>
  <si>
    <t xml:space="preserve">The grant explicitly targets the development of plant-based whipping agents as alternatives to egg proteins (whole egg, egg yolk) for heat-fixable food foams used in baked goods and confectionery, directly placing it in the Eggs and egg proteins category.</t>
  </si>
  <si>
    <t xml:space="preserve">Glycomics of Residues from Plant-Based Beverages for Microbiota</t>
  </si>
  <si>
    <t xml:space="preserve">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</si>
  <si>
    <t xml:space="preserve">Milk</t>
  </si>
  <si>
    <t xml:space="preserve">The grant focuses on glycomics characterization of fiber-rich residues from plant-based beverage production (soy, pea, oat) and their prebiotic effects on ileal microbiota — no specific food end product application is targeted, making this Agnostic.</t>
  </si>
  <si>
    <t xml:space="preserve">Harnessing the immense potential of
  precision fermentation to produce animal fats for the next generation ofmeat
  and dairy alternatives</t>
  </si>
  <si>
    <t xml:space="preserve">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</si>
  <si>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 xml:space="preserve">The grant explicitly targets precision fermentation-derived animal-like fats for use in both meat analogues and dairy analogues, warranting Meat and Dairy (general fallback, as no specific dairy subcategory is named).</t>
  </si>
  <si>
    <t xml:space="preserve">Literally says for meat and dairy in the title</t>
  </si>
  <si>
    <t xml:space="preserve">Harnessing the immense potential of precision fermentation to produce animal fats for the next generation of meat and dairy alternatives (Melt and Marble)</t>
  </si>
  <si>
    <t xml:space="preserve">The grant explicitly targets animal-like fats for use in meat analogues and dairy analogues, so both Meat and Dairy (general fallback, as no specific dairy subcategory is named) are flagged true.</t>
  </si>
  <si>
    <t xml:space="preserve">Human Milk Lactoferrin by Precision
  Fermentation</t>
  </si>
  <si>
    <t xml:space="preserve">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</si>
  <si>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 xml:space="preserve">Infant formula</t>
  </si>
  <si>
    <t xml:space="preserve">The grant explicitly targets infant formula as the primary end product application, using precision fermentation-derived human milk lactoferrin to improve infant nutrition outcomes.</t>
  </si>
  <si>
    <t xml:space="preserve">Implementing a unique commercial-scale mycelium manufacturing process to launch ultra-realistic whole-cut meat alternatives</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</si>
  <si>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</si>
  <si>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The grant explicitly targets whole-cut meat alternatives (steak) using mycoprotein/mycelium, clearly falling under the Meat category.</t>
  </si>
  <si>
    <t xml:space="preserve">Implications of carbon policies on the quality of UK diets</t>
  </si>
  <si>
    <t xml:space="preserve">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</si>
  <si>
    <t xml:space="preserve">This grant is about food policy and carbon taxation effects on diet quality, with no specific alternative protein end product application mentioned.</t>
  </si>
  <si>
    <t xml:space="preserve">Ingredient valorization of reOat – the fiber-rich residue from oat beverage production</t>
  </si>
  <si>
    <t xml:space="preserve">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</si>
  <si>
    <t xml:space="preserve">The grant focuses on processing and valorizing oat beverage production residues into food ingredients tested in bakery, extrusion, formulation, and fermentation contexts, without explicitly targeting any specific end product category.</t>
  </si>
  <si>
    <t xml:space="preserve">Question remains whether oat drinks are dairy or not. I think yes? That is the reason it is in scope in the first place (otherwise it wouldn’t be replacing a specific animal product)</t>
  </si>
  <si>
    <t xml:space="preserve">Inktelligent Foods – enabling cultivated seafood products</t>
  </si>
  <si>
    <t xml:space="preserve">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</si>
  <si>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 xml:space="preserve">The grant explicitly targets cultivated octopus meat as a seafood product, with the methodology described as applicable to the broader cultivated meat and seafood industries, warranting both Meat and Fish and seafood classifications.</t>
  </si>
  <si>
    <t xml:space="preserve">Disagree. The product is octopus so it should be seafood only.</t>
  </si>
  <si>
    <t xml:space="preserve">Innovative patented dry fermentation technology for cost-effective and highly nutritious production of hybrid mycelium-plant meat analogues</t>
  </si>
  <si>
    <t xml:space="preserve">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</si>
  <si>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 xml:space="preserve">The grant explicitly targets mycelium-plant meat analogues designed to replicate meat attributes (texture, taste) for the EU meat substitute market.</t>
  </si>
  <si>
    <t xml:space="preserve">Interdisciplinary Future Food Network (IFFN)</t>
  </si>
  <si>
    <t xml:space="preserve">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</si>
  <si>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 xml:space="preserve">This grant establishes an interdisciplinary network to address broad food system challenges (nutrient security, biodiversity, side-stream valorisation, novel food regulation) without targeting any specific food product category.</t>
  </si>
  <si>
    <t xml:space="preserve">Investigating social and educational interventions to reduce the disgust response to ingestion of insects and cultured meat</t>
  </si>
  <si>
    <t xml:space="preserve">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</si>
  <si>
    <t xml:space="preserve">The grant explicitly targets insect-containing food products and cultured meat as the end product applications, both of which fall under the Meat category (cultured meat is a meat analogue; insect-based foods are framed as alternatives to conventional meat).</t>
  </si>
  <si>
    <t xml:space="preserve">Investigating the synergistic bioactive effects of fruit, vegetable and protein combinations in a market-ready food product for children and adolescents.</t>
  </si>
  <si>
    <t xml:space="preserve">No abstract</t>
  </si>
  <si>
    <t xml:space="preserve">With no abstract available and a title that only references a generic 'market-ready food product for children and adolescents' without specifying any particular product type, no specific end product category can be determined, so Agnostic is assigned.</t>
  </si>
  <si>
    <t xml:space="preserve">Jampa's next generation plant-based
  proteins</t>
  </si>
  <si>
    <t xml:space="preserve">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</si>
  <si>
    <t xml:space="preserve">The grant explicitly describes plant-based meat analogue products (PBMAs), including a dehydrated plant-based beef product, targeting meat-format applications with taste and texture matching meat-based alternatives.</t>
  </si>
  <si>
    <t xml:space="preserve">Joint project: Matured cheese alternatives based on recombinant milk proteins and vegetable fats (REALKAE) - Subproject A</t>
  </si>
  <si>
    <t xml:space="preserve">Matured cheese alternatives based on recombinant milk proteins and vegetable fats (REALKAE)</t>
  </si>
  <si>
    <t xml:space="preserve">Cheese</t>
  </si>
  <si>
    <t xml:space="preserve">The grant explicitly targets matured cheese alternatives made from recombinant milk proteins and vegetable fats, placing it squarely in the Cheese category.</t>
  </si>
  <si>
    <t xml:space="preserve">Joint project: Matured cheese alternatives based on recombinant milk proteins and vegetable fats (REALKAE) - Subproject B</t>
  </si>
  <si>
    <t xml:space="preserve">LinkingOat</t>
  </si>
  <si>
    <t xml:space="preserve">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</si>
  <si>
    <t xml:space="preserve">Milk and milk proteins; Yoghurt and fermented dairy; Cream and ice cream</t>
  </si>
  <si>
    <t xml:space="preserve">The abstract explicitly names oat-based beverages (drikkevarer), yoghurts, and ice cream as target food applications, mapping to Milk and milk proteins, Yoghurt and fermented dairy, and Cream and ice cream respectively.</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</si>
  <si>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</si>
  <si>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</si>
  <si>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Sugar</t>
  </si>
  <si>
    <t xml:space="preserve">The grant describes a precision fermentation process to produce sweet proteins as sugar alternatives, with no specific food product application stated — it is a bioproduction/ingredient platform grant with no named end product category.</t>
  </si>
  <si>
    <t xml:space="preserve">Material and process engineering of vegan sausages</t>
  </si>
  <si>
    <t xml:space="preserve">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</si>
  <si>
    <t xml:space="preserve">The grant explicitly targets vegan sausage products as meat analogues, focusing on texture and sensory properties to replicate conventional sausages using plant-based proteins.</t>
  </si>
  <si>
    <t xml:space="preserve">Meala EIT Grant March 2025
</t>
  </si>
  <si>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
</t>
  </si>
  <si>
    <t xml:space="preserve">Meat, Eggs</t>
  </si>
  <si>
    <t xml:space="preserve">The abstract explicitly states that Meala's initial focus is on plant-based meat, making Meat the primary applicable category, despite the ingredient being a functional protein with broader potential applications.</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</si>
  <si>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</si>
  <si>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</si>
  <si>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The grant explicitly focuses on meat replacement and meat analogues (plant-based meat, insects, lab-grown meat) as the primary end product category being studied.</t>
  </si>
  <si>
    <t xml:space="preserve">MeatPrint - Exploring the mechanophysical
  and biochemical interplay of hydrogel additive formulations and bovine muscle
  and fat cells of different differentiation stages in high-scale 3D
  bioprinting processes</t>
  </si>
  <si>
    <t xml:space="preserve">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</si>
  <si>
    <t xml:space="preserve">The grant explicitly targets cultured meat (cellular agriculture) using bovine muscle and fat cells in 3D bioprinting processes, directly placing it in the Meat category.</t>
  </si>
  <si>
    <t xml:space="preserve">Microparticulation of whey proteins using hot extrusion</t>
  </si>
  <si>
    <t xml:space="preserve">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</si>
  <si>
    <t xml:space="preserve">Meat; Cream and ice cream; Chocolate, desserts, and confectionery; Spreads, sauces, and condiments</t>
  </si>
  <si>
    <t xml:space="preserve">Meat; Chocolate, desserts, and confectionery; Spreads, sauces, and condiments; Dairy</t>
  </si>
  <si>
    <t xml:space="preserve">Cream and ice cream</t>
  </si>
  <si>
    <t xml:space="preserve">The abstract explicitly names multiple end product applications for the microparticulated whey proteins: sauces, mayonnaises, and dressings (Spreads/sauces/condiments), meat products (Meat), ice cream (Cream and ice cream), and chocolate (Chocolate/desserts/confectionery), so all four categories are flagged true.</t>
  </si>
  <si>
    <t xml:space="preserve">Microreactor-assisted Maillard reaction to valorise rapeseed cake protein for the production of plant protein emulsion beverages</t>
  </si>
  <si>
    <t xml:space="preserve">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</si>
  <si>
    <t xml:space="preserve">Milk and milk proteins</t>
  </si>
  <si>
    <t xml:space="preserve">The grant explicitly targets the development of a plant protein emulsion beverage prototype using rapeseed cake protein, which falls under liquid plant-based milk/beverage alternatives (Milk and milk proteins).</t>
  </si>
  <si>
    <t xml:space="preserve">MuD Proteine leguminosenfreier Anbaualternativen nicht tierischer Erzeugung in Nahrungsmitteln - Technische Hochschule Ostwestfalen-Lippe (PLANTEIN)</t>
  </si>
  <si>
    <t xml:space="preserve">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</si>
  <si>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 xml:space="preserve">The grant focuses on extraction and concentration of plant proteins from non-legume crops (sunflower, amaranth, quinoa, hemp, linseed, chia, rapeseed) for agricultural and food industry value chains, without specifying any particular end product application.</t>
  </si>
  <si>
    <t xml:space="preserve">Multifunctional microgel networks and ice-structuring proteins to increase and maintain ice cream quality</t>
  </si>
  <si>
    <t xml:space="preserve">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</si>
  <si>
    <t xml:space="preserve">Icecream</t>
  </si>
  <si>
    <t xml:space="preserve">The grant explicitly targets ice cream quality maintenance through microgel networks and ice-structuring proteins, directly placing it in the Cream and ice cream category.</t>
  </si>
  <si>
    <t xml:space="preserve">Multimateriaal 3D-printen van plantaardig vlees | Multimaterial 3D printing of plant-based meat</t>
  </si>
  <si>
    <t xml:space="preserve">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</si>
  <si>
    <t xml:space="preserve">The grant explicitly focuses on 3D printing of plant-based meat (plantaardig vlees), developing inks and printing parameters specifically for meat analogues.</t>
  </si>
  <si>
    <t xml:space="preserve">Next Generation Plant-Based Meats: Optimising Nutritional Value and Sustainability through Ingredient Selection and Processing</t>
  </si>
  <si>
    <t xml:space="preserve">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</si>
  <si>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 xml:space="preserve">The grant explicitly targets plant-based meat products, focusing on optimising nutritional value and sustainability for meat analogues already on the market.</t>
  </si>
  <si>
    <t xml:space="preserve">Novel precision fermentation process to produce animal-free bioidentical ovalbumin (Bioalbumin)</t>
  </si>
  <si>
    <t xml:space="preserve">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</si>
  <si>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 xml:space="preserve">The grant explicitly describes a precision fermentation process to produce bioidentical ovalbumin as an animal-free egg protein ingredient designed to replace eggs in the food system, directly targeting egg protein applications.</t>
  </si>
  <si>
    <t xml:space="preserve">NUTRItious, sensory and texture optimized plant-based SEAfood (NUTRI-SEA)</t>
  </si>
  <si>
    <t xml:space="preserve">PROTEIN DIVERSIFICATION PRIORITY CHALLENGE: There is an urgent need for alternative, affordable protein sources that reduce ecosystem and climate impacts, are scalable, and contribute to food security while meeting nutritional and consumer requirements. Seafood is rich in essential omega-3 fatty acids and bioavailable micronutrients, reducing the risk of non-communicable diseases. However, rising demand has led to overfishing, ecosystem damage, emissions from trawling and transport, and contamination with microplastics and toxins. Alternatives are crucial, especially in the EU, where seafood consumption exceeds the global average. Soy, the most used plant-based protein, is linked to large-scale deforestation and high resource demands. Diversifying plant-based protein sources for seafood can lower environmental impact while maintaining high nutritional value. Sensory characteristics, cost, and nutritional value are key drivers in the plant-based market. Unlike meat alternatives, seafood alternatives must address diverse textures, flavours, and forms. Innovations in these areas are essential to increase consumer uptake. THE SOLUTION: To incentivize consumers to transition to plant-based seafood, HOF will use proteins with a lower climate burden than soy, creating affordable, sustainable alternatives with authentic flavour, texture, and superior nutritional profiles. HOF will expand its product line, introducing clean label plant-based Happy Tyuna, Happy Whitefysh, and Happy Salmyn (hereafter Tyuna, Salmyn, Whitefysh). Whitefysh and Salmyn will advance from TRL 4&amp;5 to TRL 9, while Tyuna will build on improvements from the v1.0 product. Our solutions include: Optimizing High Moisture Extrusion (HME) and post-processing for each product to achieve the desired shapes, milder flavour, and tender, lamellar texture of fish. Enhancing Protein Sources beyond soy, incorporating mycelial, algal, and diverse pulses to ensure high protein and omega-3 content, with added fiber to reduce NCD risks. Sensory Screening and Consumer Studies to align products with consumer preferences, raise awareness of plant-based alternatives, and disseminate knowledge within the seafood sector. OUTCOMES: Nutritionally optimized, protein-diversified Tyuna, and Salmyn, and Whitefysh (whole fillet and chunks), which look, taste, and feel like traditional seafood. Within 3 years from market entry (Q3 28) 48K customers reached and 623K kg product sold in Germany and Austria. Expansion to Switzerland (Q1 26) and the Netherlands (Q3 26) € 10.6 Mn in revenue. IMPACT TARGETS: By 2030, Improved supply chain with 100% increase in # of commercial partners Improved profitability by 100% Production capacity of 1.500 Tons PRIMARY BENEFICIARIES: Flexitarians, vegetarians, vegans, LOHAS consumers, and people with seafood allergies will benefit from sustainable, affordable, and nutritious plant-based seafood that mimics traditional seafood in flavour and texture.</t>
  </si>
  <si>
    <t xml:space="preserve">The grant explicitly targets plant-based seafood analogues — tuna (Tyuna), white fish (Whitefysh), and salmon (Salmyn) — making Fish and seafood the sole applicable category.</t>
  </si>
  <si>
    <t xml:space="preserve">Optimizing production of clean meat using stem cell technology and proteins extracted from animal waste (CleanMeat).</t>
  </si>
  <si>
    <t xml:space="preserve">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</si>
  <si>
    <t xml:space="preserve">The grant explicitly targets cultivated (clean) meat production using stem cell technology, 3D culture systems, and edible scaffolds, making Meat the clear and sole applicable category.</t>
  </si>
  <si>
    <t xml:space="preserve">Oxidation and glycation during gastro-intestinal digestion of
  meat (analogues): influence on nutrition and health</t>
  </si>
  <si>
    <t xml:space="preserve">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</si>
  <si>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 xml:space="preserve">The grant explicitly investigates meat and meat analogues (plant-based and insect-based products processed to mimic meat) as the primary end product context, making Meat the applicable category.</t>
  </si>
  <si>
    <t xml:space="preserve">Pioneering Revolutionary Sustainable Oil Production using Precision Fermentation (PRECISE)</t>
  </si>
  <si>
    <t xml:space="preserve">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</si>
  <si>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 xml:space="preserve">Spreads, sauces, and condiments</t>
  </si>
  <si>
    <t xml:space="preserve">The abstract explicitly states the fermentation-derived oil aims to replace palm oil in margarine and other food applications, and margarine is a fat-phase spread, placing this squarely in Spreads, sauces, and condiments.</t>
  </si>
  <si>
    <t xml:space="preserve">Pioneering vegan whole cuts through
  mycelium solid state fermentation</t>
  </si>
  <si>
    <t xml:space="preserve">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</si>
  <si>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 xml:space="preserve">The grant explicitly targets mycelium-based whole cuts starting with fish and seafood analogues, and also references whole cuts of 'any kind,' which encompasses meat analogues, so both Meat and Fish and seafood are flagged true.</t>
  </si>
  <si>
    <t xml:space="preserve">Stick with the specific product in the grant – should be seafood only.</t>
  </si>
  <si>
    <t xml:space="preserve">Plant-Based Proteins and Antioxidants in
  Hybrid Meat for Dysphagia</t>
  </si>
  <si>
    <t xml:space="preserve">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</si>
  <si>
    <t xml:space="preserve">The grant explicitly targets hybrid meat products incorporating plant-based proteins for dysphagia patients, placing it squarely in the Meat category.</t>
  </si>
  <si>
    <t xml:space="preserve">Producing the Next Generation of Hybrid Animal-Free Cheeses</t>
  </si>
  <si>
    <t xml:space="preserve">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</si>
  <si>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 xml:space="preserve">The grant explicitly targets the development of animal-free cheese alternatives using bioidentical milk proteins and fatty acids, clearly placing it in the Cheese category.</t>
  </si>
  <si>
    <t xml:space="preserve">Production of superior meat analogues by bridging the benefits of plant proteins and mycelium protein biomass produced from circular substrates (PLANTOMYC)</t>
  </si>
  <si>
    <t xml:space="preserve">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</si>
  <si>
    <t xml:space="preserve">The grant explicitly targets the development of hybrid meat analogues combining plant proteins and mycelial protein biomass, making Meat the clear and sole applicable end product category.</t>
  </si>
  <si>
    <t xml:space="preserve">Scaling sustainable cocoa butter production using cellular agriculture</t>
  </si>
  <si>
    <t xml:space="preserve">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</si>
  <si>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 xml:space="preserve">Chocolate, desserts, and confectionery</t>
  </si>
  <si>
    <t xml:space="preserve">The grant explicitly targets scaling plant cell culture production of cocoa butter and cocoa solids, which are primary ingredients for chocolate and confectionery products, directly falling under the Chocolate, desserts, and confectionery category.</t>
  </si>
  <si>
    <t xml:space="preserve">Scaling-up Sustainable Production And
  bio-Refining of Key nutritionaL ProteINs from Alternative sources for Green
  food systems.</t>
  </si>
  <si>
    <t xml:space="preserve">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</si>
  <si>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 xml:space="preserve">The grant focuses on scaling production and bio-refining of alternative proteins (microalgae, single-cell protein) without specifying any particular food product application, making it Agnostic.</t>
  </si>
  <si>
    <t xml:space="preserve">SEACUTERIE: Crafting cultivated seafood from ocean leftovers</t>
  </si>
  <si>
    <t xml:space="preserve">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</si>
  <si>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 xml:space="preserve">The grant explicitly targets cultivated seafood production using seaweed-based scaffolds, placing it squarely in the Fish and seafood category.</t>
  </si>
  <si>
    <t xml:space="preserve">Seafood analogues without a catch</t>
  </si>
  <si>
    <t xml:space="preserve">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</si>
  <si>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 xml:space="preserve">The grant explicitly targets the development of plant-based seafood analogues matching the taste, texture, appearance, and nutritional quality of actual seafood products.</t>
  </si>
  <si>
    <t xml:space="preserve">SEANERGIES: Cell-cultured octopus production through sustainable marine biomass valorization</t>
  </si>
  <si>
    <t xml:space="preserve">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</si>
  <si>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 xml:space="preserve">The grant explicitly targets cultivated octopus as a seafood alternative, developing cell lines, culture media, and scaffolds specifically for cultivated octopus production, which falls under Fish and seafood.</t>
  </si>
  <si>
    <t xml:space="preserve">Sterolife, a new plant-based food ingredient for saturated fat reduction while retaining functional properties</t>
  </si>
  <si>
    <t xml:space="preserve">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</si>
  <si>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 xml:space="preserve">The abstract explicitly describes Sterolife as an ingredient for spreadable margarines (a fat-phase spread), which falls under Spreads, sauces, and condiments; bakery products are mentioned as a secondary application but do not map to a defined category.</t>
  </si>
  <si>
    <t xml:space="preserve">successful protein shift in schools–Prototyping a norm change tool kit towards alternative proteins</t>
  </si>
  <si>
    <t xml:space="preserve">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</si>
  <si>
    <t xml:space="preserve">The grant focuses on developing a behavioral/educational toolbox to promote alternative proteins in school meals, with no specific food product application mentioned — it is a social/behavioral intervention with no targeted end product type.</t>
  </si>
  <si>
    <t xml:space="preserve">Synergizing chemistry and data science to enhance plant-based food development</t>
  </si>
  <si>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</si>
  <si>
    <t xml:space="preserve">The grant explicitly targets plant-based meat analogues produced by extrusion, aiming to improve texture and taste to replicate animal meat.</t>
  </si>
  <si>
    <t xml:space="preserve">Tackling the Astringency Enigma innMouthfeel via Mechanosensation: a Biophysical Approach.</t>
  </si>
  <si>
    <t xml:space="preserve">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</si>
  <si>
    <t xml:space="preserve">The grant investigates the fundamental biophysical and mechanosensory mechanisms underlying astringency perception in plant-based foods generally, without targeting any specific food product category.</t>
  </si>
  <si>
    <t xml:space="preserve">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</si>
  <si>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</si>
  <si>
    <t xml:space="preserve">The grant investigates fungi/mycelium for tempeh-like products but does not explicitly target any specific end product category (meat analogue, dairy, etc.), focusing instead on characterizing mushroom strains for nutritional content, flavor, safety, and gut effects — making it agnostic.</t>
  </si>
  <si>
    <t xml:space="preserve">If an alternative protein aims to replicate an existing plant-based alternative like tempeh, should it be Meat given that it was tempeh is typically seen to replace?</t>
  </si>
  <si>
    <t xml:space="preserve">Thermal Reaction Products of Ochratoxin A: Metabolism and Bioavailability</t>
  </si>
  <si>
    <t xml:space="preserve">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</si>
  <si>
    <t xml:space="preserve">This grant investigates the metabolism and bioavailability of a mycotoxin (Ochratoxin A) formed during thermal food processing, with no specific alternative protein end product application mentioned.</t>
  </si>
  <si>
    <t xml:space="preserve">Tobacco as sustainable production platform of the natural biopolymer cyanophycin as co-product to oil and protein (sustainable co-production)</t>
  </si>
  <si>
    <t xml:space="preserve">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</si>
  <si>
    <t xml:space="preserve">The grant focuses on producing cyanophycin biopolymer in transgenic tobacco plants as a co-product to oil and protein, with no specific food product application stated for the biopolymer or the plant-derived ingredients.</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</si>
  <si>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</si>
  <si>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</si>
  <si>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The abstract describes a process for upcycling dairy side streams via microalgae into alternative protein and functional ingredients, but does not explicitly name any specific end food product application, making this Agnostic.</t>
  </si>
  <si>
    <t xml:space="preserve">Title literally says dairy-alternative products, so it should be Dairy.</t>
  </si>
  <si>
    <t xml:space="preserve">Upcycling water from legume processing to meet high demand for plant-based food ingredients: Creating new opportunities for UK legumes</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</si>
  <si>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</si>
  <si>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Eggs and egg proteins; Spreads, sauces, and condiments</t>
  </si>
  <si>
    <t xml:space="preserve">Eggs; Spreads, sauces, and condiments</t>
  </si>
  <si>
    <t xml:space="preserve">The abstract explicitly describes aquafaba as a vegan alternative to egg or dairy protein functionality, with specific applications in mayonnaise (→ Spreads, sauces, and condiments) and cakes/bakery (→ Eggs and egg proteins as an egg replacer in baking), justifying both categories.</t>
  </si>
  <si>
    <t xml:space="preserve">Using Fermentation of Sugar Side-Streams to Produce a Palm Oil Alternative</t>
  </si>
  <si>
    <t xml:space="preserve">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</si>
  <si>
    <t xml:space="preserve">The grant describes a fermentation bioprocess to produce a palm oil/cocoa butter alternative using yeast and sugar side-streams, but does not explicitly name any specific end food product application — it refers only to selling into 'food markets' generically, making this a process/ingredient grant with no specific product category stated.</t>
  </si>
  <si>
    <t xml:space="preserve">Utilization of exopolysaccharides produced in situ to improve the structure of fermented plant-based alternatives to yoghurt based on lupine</t>
  </si>
  <si>
    <t xml:space="preserve">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</si>
  <si>
    <t xml:space="preserve">The grant explicitly targets the development of plant-based yoghurt alternatives using lupine protein and EPS-forming lactic acid bacteria, making Yoghurt and fermented dairy the clear and sole applicable category.</t>
  </si>
  <si>
    <t xml:space="preserve">Valorization of a starch-rich side-stream
  from peas for Swiss-based functionalized protein concentrates and starch
  derivatives</t>
  </si>
  <si>
    <t xml:space="preserve">This research project aims to develop customized functional protein concentrates from side-streams of plant-based raw material processing. It comprises the targeted functionalization of by-products for plant-based dairy and meat alternatives.</t>
  </si>
  <si>
    <t xml:space="preserve">The abstract explicitly targets both plant-based dairy alternatives (flagged as Dairy since no specific subcategory is named) and meat alternatives, so both Meat and Dairy are flagged true.</t>
  </si>
  <si>
    <t xml:space="preserve">Valorization of Agro-Industrial Waste through Fungi Fermentation supported by Digital Modeling (Zest)</t>
  </si>
  <si>
    <t xml:space="preserve">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</si>
  <si>
    <t xml:space="preserve">The grant describes a fungi-based fermentation production system and bioreactor development for generating protein products from agricultural waste streams, with no specific food product application named — it targets broad biobased industry applications, making it Agnostic.</t>
  </si>
  <si>
    <t xml:space="preserve">Vegetable Proteins in foods as an alternative to dairy desserts</t>
  </si>
  <si>
    <t xml:space="preserve">Dessert</t>
  </si>
  <si>
    <t xml:space="preserve">The title explicitly references vegetable proteins as an alternative in dairy desserts, pointing to a dessert/confectionery product application rather than a specific dairy subcategory.</t>
  </si>
  <si>
    <t xml:space="preserve">WomeninTech 2024</t>
  </si>
  <si>
    <t xml:space="preserve">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</si>
  <si>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 xml:space="preserve">The grant describes extraction, cultivation, and bioreactor development for seaweed-derived mycoprotein with no specific food product application named beyond generic 'food and feed applications,' making it Agnostic.</t>
  </si>
  <si>
    <t xml:space="preserve">Up-cycling of whey streams via microalgae into innovative fortified dairy and dairy-alternative products - Whey2blue</t>
  </si>
  <si>
    <t xml:space="preserve">n_true</t>
  </si>
  <si>
    <t xml:space="preserve">tp</t>
  </si>
  <si>
    <t xml:space="preserve">fp</t>
  </si>
  <si>
    <t xml:space="preserve">fn</t>
  </si>
  <si>
    <t xml:space="preserve">recall</t>
  </si>
  <si>
    <t xml:space="preserve">precision</t>
  </si>
  <si>
    <t xml:space="preserve">95%</t>
  </si>
  <si>
    <t xml:space="preserve">68%</t>
  </si>
  <si>
    <t xml:space="preserve">0%</t>
  </si>
  <si>
    <t xml:space="preserve">80%</t>
  </si>
  <si>
    <t xml:space="preserve">94%</t>
  </si>
  <si>
    <t xml:space="preserve">75%</t>
  </si>
  <si>
    <t xml:space="preserve">-</t>
  </si>
  <si>
    <t xml:space="preserve">81%</t>
  </si>
  <si>
    <t xml:space="preserve">89%</t>
  </si>
  <si>
    <t xml:space="preserve">91%</t>
  </si>
  <si>
    <t xml:space="preserve">100%</t>
  </si>
  <si>
    <t xml:space="preserve">metric</t>
  </si>
  <si>
    <t xml:space="preserve">value</t>
  </si>
  <si>
    <t xml:space="preserve">n</t>
  </si>
  <si>
    <t xml:space="preserve">end_product_type_exact_match_accuracy</t>
  </si>
  <si>
    <t xml:space="preserve">76%</t>
  </si>
  <si>
    <t xml:space="preserve">end_product_type_mean_precision</t>
  </si>
  <si>
    <t xml:space="preserve">end_product_type_mean_recall</t>
  </si>
  <si>
    <t xml:space="preserve">83%</t>
  </si>
  <si>
    <t xml:space="preserve">end_product_type_mean_jaccard</t>
  </si>
  <si>
    <t xml:space="preserve">79%</t>
  </si>
  <si>
    <t xml:space="preserve">sub_end_product_exact_match_accuracy (Dairy rows only)</t>
  </si>
  <si>
    <t xml:space="preserve">30%</t>
  </si>
  <si>
    <t xml:space="preserve">sub_end_product_mean_precision (Dairy rows only)</t>
  </si>
  <si>
    <t xml:space="preserve">44%</t>
  </si>
  <si>
    <t xml:space="preserve">sub_end_product_mean_recall (Dairy rows only)</t>
  </si>
  <si>
    <t xml:space="preserve">41%</t>
  </si>
  <si>
    <t xml:space="preserve">sub_end_product_mean_jaccard (Dairy rows only)</t>
  </si>
  <si>
    <t xml:space="preserve">33%</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</si>
</sst>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7">
    <fill>
      <patternFill patternType="none"/>
    </fill>
    <fill>
      <patternFill patternType="gray125"/>
    </fill>
    <fill>
      <patternFill patternType="solid">
        <fgColor rgb="FF81D41A"/>
        <bgColor rgb="FFBBE33D"/>
      </patternFill>
    </fill>
    <fill>
      <patternFill patternType="solid">
        <fgColor rgb="FFBBE33D"/>
        <bgColor rgb="FF81D41A"/>
      </patternFill>
    </fill>
    <fill>
      <patternFill patternType="solid">
        <fgColor rgb="FFFF8000"/>
        <bgColor rgb="FFFF6600"/>
      </patternFill>
    </fill>
    <fill>
      <patternFill patternType="solid">
        <fgColor rgb="FFFF0000"/>
        <bgColor rgb="FF99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000000"/>
          <bgColor rgb="FF000000"/>
        </patternFill>
      </fill>
    </dxf>
    <dxf>
      <fill>
        <patternFill patternType="solid">
          <fgColor rgb="FF81D41A"/>
          <bgColor rgb="FF000000"/>
        </patternFill>
      </fill>
    </dxf>
    <dxf>
      <fill>
        <patternFill patternType="solid">
          <fgColor rgb="FFBBE33D"/>
          <bgColor rgb="FF000000"/>
        </patternFill>
      </fill>
    </dxf>
    <dxf>
      <fill>
        <patternFill patternType="solid">
          <fgColor rgb="FFFF0000"/>
          <bgColor rgb="FF000000"/>
        </patternFill>
      </fill>
    </dxf>
    <dxf>
      <fill>
        <patternFill patternType="solid">
          <fgColor rgb="FFFF8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4"/>
  <sheetViews>
    <sheetView showFormulas="false" showGridLines="true" showRowColHeaders="true" showZeros="true" rightToLeft="false" tabSelected="true" showOutlineSymbols="true" defaultGridColor="true" view="normal" topLeftCell="A89" colorId="64" zoomScale="100" zoomScaleNormal="100" zoomScalePageLayoutView="100" workbookViewId="0">
      <selection pane="topLeft" activeCell="B92" activeCellId="0" sqref="B92"/>
    </sheetView>
  </sheetViews>
  <sheetFormatPr defaultColWidth="8.34375" defaultRowHeight="15" customHeight="false" zeroHeight="false" outlineLevelRow="0" outlineLevelCol="0"/>
  <cols>
    <col collapsed="false" customWidth="true" hidden="false" outlineLevel="0" max="16384" min="16384" style="0" width="11.53"/>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15" hidden="false" customHeight="false" outlineLevel="0" collapsed="false">
      <c r="A2" s="0" t="n">
        <v>43</v>
      </c>
      <c r="B2" s="0" t="s">
        <v>14</v>
      </c>
      <c r="C2" s="0" t="s">
        <v>15</v>
      </c>
      <c r="D2" s="0" t="s">
        <v>16</v>
      </c>
      <c r="F2" s="0" t="s">
        <v>16</v>
      </c>
      <c r="G2" s="0" t="s">
        <v>16</v>
      </c>
      <c r="I2" s="0" t="s">
        <v>17</v>
      </c>
      <c r="J2" s="1" t="b">
        <f aca="false">TRUE()</f>
        <v>1</v>
      </c>
      <c r="K2" s="0" t="n">
        <v>1</v>
      </c>
      <c r="L2" s="0" t="n">
        <v>1</v>
      </c>
      <c r="M2" s="0" t="n">
        <v>1</v>
      </c>
    </row>
    <row r="3" customFormat="false" ht="15" hidden="false" customHeight="false" outlineLevel="0" collapsed="false">
      <c r="A3" s="0" t="n">
        <v>4</v>
      </c>
      <c r="B3" s="0" t="s">
        <v>18</v>
      </c>
      <c r="C3" s="0" t="s">
        <v>19</v>
      </c>
      <c r="D3" s="0" t="s">
        <v>20</v>
      </c>
      <c r="F3" s="0" t="s">
        <v>21</v>
      </c>
      <c r="G3" s="0" t="s">
        <v>20</v>
      </c>
      <c r="H3" s="0" t="s">
        <v>21</v>
      </c>
      <c r="I3" s="0" t="s">
        <v>22</v>
      </c>
      <c r="J3" s="1" t="b">
        <f aca="false">TRUE()</f>
        <v>1</v>
      </c>
      <c r="K3" s="0" t="n">
        <v>1</v>
      </c>
      <c r="L3" s="0" t="n">
        <v>1</v>
      </c>
      <c r="M3" s="0" t="n">
        <v>1</v>
      </c>
    </row>
    <row r="4" customFormat="false" ht="99.6" hidden="false" customHeight="false" outlineLevel="0" collapsed="false">
      <c r="A4" s="0" t="n">
        <v>73</v>
      </c>
      <c r="B4" s="0" t="s">
        <v>23</v>
      </c>
      <c r="C4" s="2" t="s">
        <v>24</v>
      </c>
      <c r="D4" s="0" t="s">
        <v>25</v>
      </c>
      <c r="F4" s="0" t="s">
        <v>25</v>
      </c>
      <c r="G4" s="0" t="s">
        <v>25</v>
      </c>
      <c r="I4" s="0" t="s">
        <v>26</v>
      </c>
      <c r="J4" s="1" t="b">
        <f aca="false">TRUE()</f>
        <v>1</v>
      </c>
      <c r="K4" s="0" t="n">
        <v>1</v>
      </c>
      <c r="L4" s="0" t="n">
        <v>1</v>
      </c>
      <c r="M4" s="0" t="n">
        <v>1</v>
      </c>
    </row>
    <row r="5" customFormat="false" ht="45.1" hidden="false" customHeight="false" outlineLevel="0" collapsed="false">
      <c r="A5" s="0" t="n">
        <v>36</v>
      </c>
      <c r="B5" s="0" t="s">
        <v>27</v>
      </c>
      <c r="C5" s="2" t="s">
        <v>28</v>
      </c>
      <c r="D5" s="0" t="s">
        <v>29</v>
      </c>
      <c r="F5" s="0" t="s">
        <v>25</v>
      </c>
      <c r="G5" s="0" t="s">
        <v>25</v>
      </c>
      <c r="I5" s="0" t="s">
        <v>30</v>
      </c>
      <c r="J5" s="3" t="b">
        <f aca="false">FALSE()</f>
        <v>0</v>
      </c>
      <c r="K5" s="0" t="n">
        <v>0</v>
      </c>
      <c r="L5" s="0" t="n">
        <v>0</v>
      </c>
      <c r="M5" s="0" t="n">
        <v>0</v>
      </c>
      <c r="N5" s="0" t="s">
        <v>31</v>
      </c>
    </row>
    <row r="6" customFormat="false" ht="15" hidden="false" customHeight="false" outlineLevel="0" collapsed="false">
      <c r="A6" s="0" t="n">
        <v>75</v>
      </c>
      <c r="B6" s="0" t="s">
        <v>32</v>
      </c>
      <c r="C6" s="0" t="s">
        <v>33</v>
      </c>
      <c r="D6" s="0" t="s">
        <v>34</v>
      </c>
      <c r="F6" s="0" t="s">
        <v>35</v>
      </c>
      <c r="G6" s="0" t="s">
        <v>34</v>
      </c>
      <c r="I6" s="0" t="s">
        <v>36</v>
      </c>
      <c r="J6" s="1" t="b">
        <f aca="false">TRUE()</f>
        <v>1</v>
      </c>
      <c r="K6" s="0" t="n">
        <v>1</v>
      </c>
      <c r="L6" s="0" t="n">
        <v>1</v>
      </c>
      <c r="M6" s="0" t="n">
        <v>1</v>
      </c>
    </row>
    <row r="7" customFormat="false" ht="88.7" hidden="false" customHeight="false" outlineLevel="0" collapsed="false">
      <c r="A7" s="0" t="n">
        <v>44</v>
      </c>
      <c r="B7" s="0" t="s">
        <v>37</v>
      </c>
      <c r="C7" s="2" t="s">
        <v>38</v>
      </c>
      <c r="D7" s="0" t="s">
        <v>34</v>
      </c>
      <c r="F7" s="0" t="s">
        <v>25</v>
      </c>
      <c r="G7" s="0" t="s">
        <v>25</v>
      </c>
      <c r="I7" s="0" t="s">
        <v>39</v>
      </c>
      <c r="J7" s="3" t="b">
        <f aca="false">FALSE()</f>
        <v>0</v>
      </c>
      <c r="K7" s="0" t="n">
        <v>0</v>
      </c>
      <c r="L7" s="0" t="n">
        <v>0</v>
      </c>
      <c r="M7" s="0" t="n">
        <v>0</v>
      </c>
      <c r="N7" s="0" t="s">
        <v>31</v>
      </c>
    </row>
    <row r="8" customFormat="false" ht="15" hidden="false" customHeight="false" outlineLevel="0" collapsed="false">
      <c r="A8" s="0" t="n">
        <v>46</v>
      </c>
      <c r="B8" s="0" t="s">
        <v>40</v>
      </c>
      <c r="C8" s="0" t="s">
        <v>41</v>
      </c>
      <c r="D8" s="0" t="s">
        <v>34</v>
      </c>
      <c r="F8" s="0" t="s">
        <v>35</v>
      </c>
      <c r="G8" s="0" t="s">
        <v>34</v>
      </c>
      <c r="I8" s="0" t="s">
        <v>42</v>
      </c>
      <c r="J8" s="1" t="b">
        <f aca="false">TRUE()</f>
        <v>1</v>
      </c>
      <c r="K8" s="0" t="n">
        <v>1</v>
      </c>
      <c r="L8" s="0" t="n">
        <v>1</v>
      </c>
      <c r="M8" s="0" t="n">
        <v>1</v>
      </c>
    </row>
    <row r="9" customFormat="false" ht="34.2" hidden="false" customHeight="false" outlineLevel="0" collapsed="false">
      <c r="A9" s="0" t="n">
        <v>27</v>
      </c>
      <c r="B9" s="2" t="s">
        <v>43</v>
      </c>
      <c r="C9" s="0" t="s">
        <v>44</v>
      </c>
      <c r="D9" s="0" t="s">
        <v>16</v>
      </c>
      <c r="F9" s="0" t="s">
        <v>16</v>
      </c>
      <c r="G9" s="0" t="s">
        <v>16</v>
      </c>
      <c r="I9" s="0" t="s">
        <v>45</v>
      </c>
      <c r="J9" s="1" t="b">
        <f aca="false">TRUE()</f>
        <v>1</v>
      </c>
      <c r="K9" s="0" t="n">
        <v>1</v>
      </c>
      <c r="L9" s="0" t="n">
        <v>1</v>
      </c>
      <c r="M9" s="0" t="n">
        <v>1</v>
      </c>
    </row>
    <row r="10" customFormat="false" ht="77.8" hidden="false" customHeight="false" outlineLevel="0" collapsed="false">
      <c r="A10" s="0" t="n">
        <v>5</v>
      </c>
      <c r="B10" s="0" t="s">
        <v>46</v>
      </c>
      <c r="C10" s="2" t="s">
        <v>47</v>
      </c>
      <c r="D10" s="0" t="s">
        <v>34</v>
      </c>
      <c r="F10" s="0" t="s">
        <v>35</v>
      </c>
      <c r="G10" s="0" t="s">
        <v>34</v>
      </c>
      <c r="I10" s="0" t="s">
        <v>48</v>
      </c>
      <c r="J10" s="1" t="b">
        <f aca="false">TRUE()</f>
        <v>1</v>
      </c>
      <c r="K10" s="0" t="n">
        <v>1</v>
      </c>
      <c r="L10" s="0" t="n">
        <v>1</v>
      </c>
      <c r="M10" s="0" t="n">
        <v>1</v>
      </c>
    </row>
    <row r="11" customFormat="false" ht="34.2" hidden="false" customHeight="false" outlineLevel="0" collapsed="false">
      <c r="A11" s="0" t="n">
        <v>31</v>
      </c>
      <c r="B11" s="2" t="s">
        <v>49</v>
      </c>
      <c r="C11" s="2" t="s">
        <v>50</v>
      </c>
      <c r="D11" s="0" t="s">
        <v>25</v>
      </c>
      <c r="F11" s="0" t="s">
        <v>25</v>
      </c>
      <c r="G11" s="0" t="s">
        <v>25</v>
      </c>
      <c r="I11" s="0" t="s">
        <v>51</v>
      </c>
      <c r="J11" s="1" t="b">
        <f aca="false">TRUE()</f>
        <v>1</v>
      </c>
      <c r="K11" s="0" t="n">
        <v>1</v>
      </c>
      <c r="L11" s="0" t="n">
        <v>1</v>
      </c>
      <c r="M11" s="0" t="n">
        <v>1</v>
      </c>
    </row>
    <row r="12" customFormat="false" ht="15" hidden="false" customHeight="false" outlineLevel="0" collapsed="false">
      <c r="A12" s="0" t="n">
        <v>48</v>
      </c>
      <c r="B12" s="0" t="s">
        <v>52</v>
      </c>
      <c r="C12" s="0" t="s">
        <v>53</v>
      </c>
      <c r="D12" s="0" t="s">
        <v>25</v>
      </c>
      <c r="F12" s="0" t="s">
        <v>25</v>
      </c>
      <c r="G12" s="0" t="s">
        <v>25</v>
      </c>
      <c r="I12" s="0" t="s">
        <v>54</v>
      </c>
      <c r="J12" s="1" t="b">
        <f aca="false">TRUE()</f>
        <v>1</v>
      </c>
      <c r="K12" s="0" t="n">
        <v>1</v>
      </c>
      <c r="L12" s="0" t="n">
        <v>1</v>
      </c>
      <c r="M12" s="0" t="n">
        <v>1</v>
      </c>
    </row>
    <row r="13" customFormat="false" ht="23.3" hidden="false" customHeight="false" outlineLevel="0" collapsed="false">
      <c r="A13" s="0" t="n">
        <v>30</v>
      </c>
      <c r="B13" s="2" t="s">
        <v>55</v>
      </c>
      <c r="C13" s="0" t="s">
        <v>56</v>
      </c>
      <c r="D13" s="0" t="s">
        <v>20</v>
      </c>
      <c r="F13" s="0" t="s">
        <v>20</v>
      </c>
      <c r="G13" s="0" t="s">
        <v>20</v>
      </c>
      <c r="I13" s="0" t="s">
        <v>57</v>
      </c>
      <c r="J13" s="1" t="b">
        <f aca="false">TRUE()</f>
        <v>1</v>
      </c>
      <c r="K13" s="0" t="n">
        <v>1</v>
      </c>
      <c r="L13" s="0" t="n">
        <v>1</v>
      </c>
      <c r="M13" s="0" t="n">
        <v>1</v>
      </c>
    </row>
    <row r="14" customFormat="false" ht="274.4" hidden="false" customHeight="false" outlineLevel="0" collapsed="false">
      <c r="A14" s="0" t="n">
        <v>0</v>
      </c>
      <c r="B14" s="0" t="s">
        <v>58</v>
      </c>
      <c r="C14" s="2" t="s">
        <v>59</v>
      </c>
      <c r="D14" s="0" t="s">
        <v>16</v>
      </c>
      <c r="F14" s="0" t="s">
        <v>16</v>
      </c>
      <c r="G14" s="0" t="s">
        <v>16</v>
      </c>
      <c r="I14" s="0" t="s">
        <v>60</v>
      </c>
      <c r="J14" s="1" t="b">
        <f aca="false">TRUE()</f>
        <v>1</v>
      </c>
      <c r="K14" s="0" t="n">
        <v>1</v>
      </c>
      <c r="L14" s="0" t="n">
        <v>1</v>
      </c>
      <c r="M14" s="0" t="n">
        <v>1</v>
      </c>
    </row>
    <row r="15" customFormat="false" ht="34.2" hidden="false" customHeight="false" outlineLevel="0" collapsed="false">
      <c r="A15" s="0" t="n">
        <v>53</v>
      </c>
      <c r="B15" s="0" t="s">
        <v>61</v>
      </c>
      <c r="C15" s="2" t="s">
        <v>62</v>
      </c>
      <c r="D15" s="0" t="s">
        <v>63</v>
      </c>
      <c r="F15" s="0" t="s">
        <v>64</v>
      </c>
      <c r="G15" s="0" t="s">
        <v>63</v>
      </c>
      <c r="I15" s="0" t="s">
        <v>65</v>
      </c>
      <c r="J15" s="1" t="b">
        <f aca="false">TRUE()</f>
        <v>1</v>
      </c>
      <c r="K15" s="0" t="n">
        <v>1</v>
      </c>
      <c r="L15" s="0" t="n">
        <v>1</v>
      </c>
      <c r="M15" s="0" t="n">
        <v>1</v>
      </c>
    </row>
    <row r="16" customFormat="false" ht="99.6" hidden="false" customHeight="false" outlineLevel="0" collapsed="false">
      <c r="A16" s="0" t="n">
        <v>23</v>
      </c>
      <c r="B16" s="0" t="s">
        <v>66</v>
      </c>
      <c r="C16" s="2" t="s">
        <v>67</v>
      </c>
      <c r="D16" s="0" t="s">
        <v>16</v>
      </c>
      <c r="F16" s="0" t="s">
        <v>16</v>
      </c>
      <c r="G16" s="0" t="s">
        <v>16</v>
      </c>
      <c r="I16" s="0" t="s">
        <v>68</v>
      </c>
      <c r="J16" s="1" t="b">
        <f aca="false">TRUE()</f>
        <v>1</v>
      </c>
      <c r="K16" s="0" t="n">
        <v>1</v>
      </c>
      <c r="L16" s="0" t="n">
        <v>1</v>
      </c>
      <c r="M16" s="0" t="n">
        <v>1</v>
      </c>
    </row>
    <row r="17" customFormat="false" ht="15" hidden="false" customHeight="false" outlineLevel="0" collapsed="false">
      <c r="A17" s="0" t="n">
        <v>61</v>
      </c>
      <c r="B17" s="0" t="s">
        <v>69</v>
      </c>
      <c r="C17" s="0" t="s">
        <v>70</v>
      </c>
      <c r="D17" s="0" t="s">
        <v>25</v>
      </c>
      <c r="F17" s="0" t="s">
        <v>25</v>
      </c>
      <c r="G17" s="0" t="s">
        <v>25</v>
      </c>
      <c r="I17" s="0" t="s">
        <v>71</v>
      </c>
      <c r="J17" s="1" t="b">
        <f aca="false">TRUE()</f>
        <v>1</v>
      </c>
      <c r="K17" s="0" t="n">
        <v>1</v>
      </c>
      <c r="L17" s="0" t="n">
        <v>1</v>
      </c>
      <c r="M17" s="0" t="n">
        <v>1</v>
      </c>
    </row>
    <row r="18" customFormat="false" ht="34.2" hidden="false" customHeight="false" outlineLevel="0" collapsed="false">
      <c r="A18" s="0" t="n">
        <v>9</v>
      </c>
      <c r="B18" s="0" t="s">
        <v>72</v>
      </c>
      <c r="C18" s="2" t="s">
        <v>73</v>
      </c>
      <c r="D18" s="0" t="s">
        <v>25</v>
      </c>
      <c r="F18" s="0" t="s">
        <v>25</v>
      </c>
      <c r="G18" s="0" t="s">
        <v>25</v>
      </c>
      <c r="I18" s="0" t="s">
        <v>74</v>
      </c>
      <c r="J18" s="1" t="b">
        <f aca="false">TRUE()</f>
        <v>1</v>
      </c>
      <c r="K18" s="0" t="n">
        <v>1</v>
      </c>
      <c r="L18" s="0" t="n">
        <v>1</v>
      </c>
      <c r="M18" s="0" t="n">
        <v>1</v>
      </c>
    </row>
    <row r="19" customFormat="false" ht="15" hidden="false" customHeight="false" outlineLevel="0" collapsed="false">
      <c r="A19" s="0" t="n">
        <v>76</v>
      </c>
      <c r="B19" s="0" t="s">
        <v>75</v>
      </c>
      <c r="C19" s="0" t="s">
        <v>76</v>
      </c>
      <c r="D19" s="0" t="s">
        <v>25</v>
      </c>
      <c r="F19" s="0" t="s">
        <v>25</v>
      </c>
      <c r="G19" s="0" t="s">
        <v>25</v>
      </c>
      <c r="I19" s="0" t="s">
        <v>77</v>
      </c>
      <c r="J19" s="1" t="b">
        <f aca="false">TRUE()</f>
        <v>1</v>
      </c>
      <c r="K19" s="0" t="n">
        <v>1</v>
      </c>
      <c r="L19" s="0" t="n">
        <v>1</v>
      </c>
      <c r="M19" s="0" t="n">
        <v>1</v>
      </c>
    </row>
    <row r="20" customFormat="false" ht="23.3" hidden="false" customHeight="false" outlineLevel="0" collapsed="false">
      <c r="A20" s="0" t="n">
        <v>78</v>
      </c>
      <c r="B20" s="2" t="s">
        <v>78</v>
      </c>
      <c r="C20" s="0" t="s">
        <v>79</v>
      </c>
      <c r="D20" s="0" t="s">
        <v>25</v>
      </c>
      <c r="F20" s="0" t="s">
        <v>25</v>
      </c>
      <c r="G20" s="0" t="s">
        <v>25</v>
      </c>
      <c r="I20" s="0" t="s">
        <v>80</v>
      </c>
      <c r="J20" s="1" t="b">
        <f aca="false">TRUE()</f>
        <v>1</v>
      </c>
      <c r="K20" s="0" t="n">
        <v>1</v>
      </c>
      <c r="L20" s="0" t="n">
        <v>1</v>
      </c>
      <c r="M20" s="0" t="n">
        <v>1</v>
      </c>
    </row>
    <row r="21" customFormat="false" ht="23.3" hidden="false" customHeight="false" outlineLevel="0" collapsed="false">
      <c r="A21" s="0" t="n">
        <v>6</v>
      </c>
      <c r="B21" s="2" t="s">
        <v>81</v>
      </c>
      <c r="C21" s="0" t="s">
        <v>82</v>
      </c>
      <c r="D21" s="0" t="s">
        <v>83</v>
      </c>
      <c r="F21" s="0" t="s">
        <v>25</v>
      </c>
      <c r="G21" s="0" t="s">
        <v>25</v>
      </c>
      <c r="I21" s="0" t="s">
        <v>84</v>
      </c>
      <c r="J21" s="4" t="b">
        <f aca="false">FALSE()</f>
        <v>0</v>
      </c>
      <c r="K21" s="0" t="n">
        <v>0</v>
      </c>
      <c r="L21" s="0" t="n">
        <v>0</v>
      </c>
      <c r="M21" s="0" t="n">
        <v>0</v>
      </c>
      <c r="N21" s="0" t="s">
        <v>85</v>
      </c>
    </row>
    <row r="22" customFormat="false" ht="209" hidden="false" customHeight="false" outlineLevel="0" collapsed="false">
      <c r="A22" s="0" t="n">
        <v>15</v>
      </c>
      <c r="B22" s="0" t="s">
        <v>86</v>
      </c>
      <c r="C22" s="2" t="s">
        <v>87</v>
      </c>
      <c r="D22" s="0" t="s">
        <v>20</v>
      </c>
      <c r="E22" s="0" t="s">
        <v>88</v>
      </c>
      <c r="F22" s="0" t="s">
        <v>89</v>
      </c>
      <c r="G22" s="0" t="s">
        <v>20</v>
      </c>
      <c r="H22" s="0" t="s">
        <v>89</v>
      </c>
      <c r="I22" s="0" t="s">
        <v>90</v>
      </c>
      <c r="J22" s="1" t="b">
        <f aca="false">TRUE()</f>
        <v>1</v>
      </c>
      <c r="K22" s="0" t="n">
        <v>1</v>
      </c>
      <c r="L22" s="0" t="n">
        <v>1</v>
      </c>
      <c r="M22" s="0" t="n">
        <v>1</v>
      </c>
    </row>
    <row r="23" customFormat="false" ht="56" hidden="false" customHeight="false" outlineLevel="0" collapsed="false">
      <c r="A23" s="0" t="n">
        <v>77</v>
      </c>
      <c r="B23" s="0" t="s">
        <v>91</v>
      </c>
      <c r="C23" s="2" t="s">
        <v>92</v>
      </c>
      <c r="D23" s="0" t="s">
        <v>93</v>
      </c>
      <c r="E23" s="0" t="s">
        <v>94</v>
      </c>
      <c r="F23" s="0" t="s">
        <v>95</v>
      </c>
      <c r="G23" s="0" t="s">
        <v>96</v>
      </c>
      <c r="H23" s="0" t="s">
        <v>97</v>
      </c>
      <c r="I23" s="0" t="s">
        <v>98</v>
      </c>
      <c r="J23" s="1" t="b">
        <f aca="false">TRUE()</f>
        <v>1</v>
      </c>
      <c r="K23" s="0" t="n">
        <v>1</v>
      </c>
      <c r="L23" s="0" t="n">
        <v>1</v>
      </c>
      <c r="M23" s="0" t="n">
        <v>1</v>
      </c>
    </row>
    <row r="24" customFormat="false" ht="15" hidden="false" customHeight="false" outlineLevel="0" collapsed="false">
      <c r="A24" s="0" t="n">
        <v>63</v>
      </c>
      <c r="B24" s="0" t="s">
        <v>99</v>
      </c>
      <c r="C24" s="0" t="s">
        <v>100</v>
      </c>
      <c r="D24" s="0" t="s">
        <v>16</v>
      </c>
      <c r="F24" s="0" t="s">
        <v>16</v>
      </c>
      <c r="G24" s="0" t="s">
        <v>16</v>
      </c>
      <c r="I24" s="0" t="s">
        <v>101</v>
      </c>
      <c r="J24" s="1" t="b">
        <f aca="false">TRUE()</f>
        <v>1</v>
      </c>
      <c r="K24" s="0" t="n">
        <v>1</v>
      </c>
      <c r="L24" s="0" t="n">
        <v>1</v>
      </c>
      <c r="M24" s="0" t="n">
        <v>1</v>
      </c>
    </row>
    <row r="25" customFormat="false" ht="15" hidden="false" customHeight="false" outlineLevel="0" collapsed="false">
      <c r="A25" s="0" t="n">
        <v>55</v>
      </c>
      <c r="B25" s="0" t="s">
        <v>102</v>
      </c>
      <c r="C25" s="0" t="s">
        <v>103</v>
      </c>
      <c r="D25" s="0" t="s">
        <v>20</v>
      </c>
      <c r="E25" s="0" t="s">
        <v>104</v>
      </c>
      <c r="F25" s="0" t="s">
        <v>105</v>
      </c>
      <c r="G25" s="0" t="s">
        <v>20</v>
      </c>
      <c r="H25" s="0" t="s">
        <v>105</v>
      </c>
      <c r="I25" s="0" t="s">
        <v>106</v>
      </c>
      <c r="J25" s="1" t="b">
        <f aca="false">TRUE()</f>
        <v>1</v>
      </c>
      <c r="K25" s="0" t="n">
        <v>1</v>
      </c>
      <c r="L25" s="0" t="n">
        <v>1</v>
      </c>
      <c r="M25" s="0" t="n">
        <v>1</v>
      </c>
    </row>
    <row r="26" customFormat="false" ht="15" hidden="false" customHeight="false" outlineLevel="0" collapsed="false">
      <c r="A26" s="0" t="n">
        <v>25</v>
      </c>
      <c r="B26" s="0" t="s">
        <v>107</v>
      </c>
      <c r="C26" s="0" t="s">
        <v>108</v>
      </c>
      <c r="D26" s="0" t="s">
        <v>25</v>
      </c>
      <c r="F26" s="0" t="s">
        <v>25</v>
      </c>
      <c r="G26" s="0" t="s">
        <v>25</v>
      </c>
      <c r="I26" s="0" t="s">
        <v>109</v>
      </c>
      <c r="J26" s="1" t="b">
        <f aca="false">TRUE()</f>
        <v>1</v>
      </c>
      <c r="K26" s="0" t="n">
        <v>1</v>
      </c>
      <c r="L26" s="0" t="n">
        <v>1</v>
      </c>
      <c r="M26" s="0" t="n">
        <v>1</v>
      </c>
    </row>
    <row r="27" customFormat="false" ht="15" hidden="false" customHeight="false" outlineLevel="0" collapsed="false">
      <c r="A27" s="0" t="n">
        <v>72</v>
      </c>
      <c r="B27" s="0" t="s">
        <v>110</v>
      </c>
      <c r="C27" s="0" t="s">
        <v>111</v>
      </c>
      <c r="D27" s="0" t="s">
        <v>112</v>
      </c>
      <c r="F27" s="0" t="s">
        <v>113</v>
      </c>
      <c r="G27" s="0" t="s">
        <v>114</v>
      </c>
      <c r="I27" s="0" t="s">
        <v>115</v>
      </c>
      <c r="J27" s="1" t="b">
        <f aca="false">TRUE()</f>
        <v>1</v>
      </c>
      <c r="K27" s="0" t="n">
        <v>1</v>
      </c>
      <c r="L27" s="0" t="n">
        <v>1</v>
      </c>
      <c r="M27" s="0" t="n">
        <v>1</v>
      </c>
    </row>
    <row r="28" customFormat="false" ht="15" hidden="false" customHeight="false" outlineLevel="0" collapsed="false">
      <c r="A28" s="0" t="n">
        <v>22</v>
      </c>
      <c r="B28" s="0" t="s">
        <v>116</v>
      </c>
      <c r="C28" s="0" t="s">
        <v>117</v>
      </c>
      <c r="D28" s="0" t="s">
        <v>25</v>
      </c>
      <c r="F28" s="0" t="s">
        <v>64</v>
      </c>
      <c r="G28" s="0" t="s">
        <v>63</v>
      </c>
      <c r="I28" s="0" t="s">
        <v>118</v>
      </c>
      <c r="J28" s="3" t="b">
        <f aca="false">FALSE()</f>
        <v>0</v>
      </c>
      <c r="K28" s="0" t="n">
        <v>0</v>
      </c>
      <c r="L28" s="0" t="n">
        <v>0</v>
      </c>
      <c r="M28" s="0" t="n">
        <v>0</v>
      </c>
      <c r="N28" s="0" t="s">
        <v>31</v>
      </c>
    </row>
    <row r="29" customFormat="false" ht="15" hidden="false" customHeight="false" outlineLevel="0" collapsed="false">
      <c r="A29" s="0" t="n">
        <v>54</v>
      </c>
      <c r="B29" s="0" t="s">
        <v>119</v>
      </c>
      <c r="C29" s="0" t="s">
        <v>120</v>
      </c>
      <c r="D29" s="0" t="s">
        <v>20</v>
      </c>
      <c r="E29" s="0" t="s">
        <v>121</v>
      </c>
      <c r="F29" s="0" t="s">
        <v>25</v>
      </c>
      <c r="G29" s="0" t="s">
        <v>25</v>
      </c>
      <c r="I29" s="0" t="s">
        <v>122</v>
      </c>
      <c r="J29" s="3" t="b">
        <f aca="false">FALSE()</f>
        <v>0</v>
      </c>
      <c r="K29" s="0" t="n">
        <v>0</v>
      </c>
      <c r="L29" s="0" t="n">
        <v>0</v>
      </c>
      <c r="M29" s="0" t="n">
        <v>0</v>
      </c>
      <c r="N29" s="0" t="s">
        <v>31</v>
      </c>
    </row>
    <row r="30" customFormat="false" ht="56" hidden="false" customHeight="false" outlineLevel="0" collapsed="false">
      <c r="A30" s="0" t="n">
        <v>38</v>
      </c>
      <c r="B30" s="2" t="s">
        <v>123</v>
      </c>
      <c r="C30" s="2" t="s">
        <v>124</v>
      </c>
      <c r="D30" s="0" t="s">
        <v>29</v>
      </c>
      <c r="F30" s="0" t="s">
        <v>96</v>
      </c>
      <c r="G30" s="0" t="s">
        <v>96</v>
      </c>
      <c r="I30" s="0" t="s">
        <v>125</v>
      </c>
      <c r="J30" s="3" t="b">
        <f aca="false">FALSE()</f>
        <v>0</v>
      </c>
      <c r="K30" s="0" t="n">
        <v>0.5</v>
      </c>
      <c r="L30" s="0" t="n">
        <v>1</v>
      </c>
      <c r="M30" s="0" t="n">
        <v>0.5</v>
      </c>
      <c r="N30" s="0" t="s">
        <v>31</v>
      </c>
      <c r="O30" s="5" t="s">
        <v>126</v>
      </c>
    </row>
    <row r="31" customFormat="false" ht="56" hidden="false" customHeight="false" outlineLevel="0" collapsed="false">
      <c r="A31" s="0" t="n">
        <v>71</v>
      </c>
      <c r="B31" s="0" t="s">
        <v>127</v>
      </c>
      <c r="C31" s="2" t="s">
        <v>124</v>
      </c>
      <c r="D31" s="0" t="s">
        <v>93</v>
      </c>
      <c r="F31" s="0" t="s">
        <v>96</v>
      </c>
      <c r="G31" s="0" t="s">
        <v>96</v>
      </c>
      <c r="I31" s="0" t="s">
        <v>128</v>
      </c>
      <c r="J31" s="1" t="b">
        <f aca="false">TRUE()</f>
        <v>1</v>
      </c>
      <c r="K31" s="0" t="n">
        <v>1</v>
      </c>
      <c r="L31" s="0" t="n">
        <v>1</v>
      </c>
      <c r="M31" s="0" t="n">
        <v>1</v>
      </c>
    </row>
    <row r="32" customFormat="false" ht="23.3" hidden="false" customHeight="false" outlineLevel="0" collapsed="false">
      <c r="A32" s="0" t="n">
        <v>11</v>
      </c>
      <c r="B32" s="2" t="s">
        <v>129</v>
      </c>
      <c r="C32" s="0" t="s">
        <v>130</v>
      </c>
      <c r="D32" s="0" t="s">
        <v>20</v>
      </c>
      <c r="E32" s="0" t="s">
        <v>121</v>
      </c>
      <c r="F32" s="0" t="s">
        <v>131</v>
      </c>
      <c r="G32" s="0" t="s">
        <v>20</v>
      </c>
      <c r="H32" s="0" t="s">
        <v>131</v>
      </c>
      <c r="I32" s="0" t="s">
        <v>132</v>
      </c>
      <c r="J32" s="1" t="b">
        <f aca="false">TRUE()</f>
        <v>1</v>
      </c>
      <c r="K32" s="0" t="n">
        <v>1</v>
      </c>
      <c r="L32" s="0" t="n">
        <v>1</v>
      </c>
      <c r="M32" s="0" t="n">
        <v>1</v>
      </c>
    </row>
    <row r="33" customFormat="false" ht="99.6" hidden="false" customHeight="false" outlineLevel="0" collapsed="false">
      <c r="A33" s="0" t="n">
        <v>3</v>
      </c>
      <c r="B33" s="0" t="s">
        <v>133</v>
      </c>
      <c r="C33" s="2" t="s">
        <v>134</v>
      </c>
      <c r="D33" s="0" t="s">
        <v>16</v>
      </c>
      <c r="F33" s="0" t="s">
        <v>16</v>
      </c>
      <c r="G33" s="0" t="s">
        <v>16</v>
      </c>
      <c r="I33" s="0" t="s">
        <v>135</v>
      </c>
      <c r="J33" s="1" t="b">
        <f aca="false">TRUE()</f>
        <v>1</v>
      </c>
      <c r="K33" s="0" t="n">
        <v>1</v>
      </c>
      <c r="L33" s="0" t="n">
        <v>1</v>
      </c>
      <c r="M33" s="0" t="n">
        <v>1</v>
      </c>
    </row>
    <row r="34" customFormat="false" ht="15" hidden="false" customHeight="false" outlineLevel="0" collapsed="false">
      <c r="A34" s="0" t="n">
        <v>16</v>
      </c>
      <c r="B34" s="0" t="s">
        <v>136</v>
      </c>
      <c r="C34" s="0" t="s">
        <v>137</v>
      </c>
      <c r="D34" s="0" t="s">
        <v>25</v>
      </c>
      <c r="F34" s="0" t="s">
        <v>25</v>
      </c>
      <c r="G34" s="0" t="s">
        <v>25</v>
      </c>
      <c r="I34" s="0" t="s">
        <v>138</v>
      </c>
      <c r="J34" s="1" t="b">
        <f aca="false">TRUE()</f>
        <v>1</v>
      </c>
      <c r="K34" s="0" t="n">
        <v>1</v>
      </c>
      <c r="L34" s="0" t="n">
        <v>1</v>
      </c>
      <c r="M34" s="0" t="n">
        <v>1</v>
      </c>
    </row>
    <row r="35" customFormat="false" ht="88.7" hidden="false" customHeight="false" outlineLevel="0" collapsed="false">
      <c r="A35" s="0" t="n">
        <v>45</v>
      </c>
      <c r="B35" s="0" t="s">
        <v>139</v>
      </c>
      <c r="C35" s="2" t="s">
        <v>140</v>
      </c>
      <c r="D35" s="0" t="s">
        <v>20</v>
      </c>
      <c r="E35" s="0" t="s">
        <v>121</v>
      </c>
      <c r="F35" s="0" t="s">
        <v>25</v>
      </c>
      <c r="G35" s="0" t="s">
        <v>25</v>
      </c>
      <c r="I35" s="0" t="s">
        <v>141</v>
      </c>
      <c r="J35" s="6" t="b">
        <f aca="false">FALSE()</f>
        <v>0</v>
      </c>
      <c r="K35" s="0" t="n">
        <v>0</v>
      </c>
      <c r="L35" s="0" t="n">
        <v>0</v>
      </c>
      <c r="M35" s="0" t="n">
        <v>0</v>
      </c>
      <c r="N35" s="0" t="s">
        <v>142</v>
      </c>
    </row>
    <row r="36" customFormat="false" ht="15" hidden="false" customHeight="false" outlineLevel="0" collapsed="false">
      <c r="A36" s="0" t="n">
        <v>79</v>
      </c>
      <c r="B36" s="0" t="s">
        <v>143</v>
      </c>
      <c r="C36" s="0" t="s">
        <v>144</v>
      </c>
      <c r="D36" s="0" t="s">
        <v>34</v>
      </c>
      <c r="F36" s="0" t="s">
        <v>113</v>
      </c>
      <c r="G36" s="0" t="s">
        <v>114</v>
      </c>
      <c r="I36" s="0" t="s">
        <v>145</v>
      </c>
      <c r="J36" s="7" t="b">
        <f aca="false">FALSE()</f>
        <v>0</v>
      </c>
      <c r="K36" s="0" t="n">
        <v>0.5</v>
      </c>
      <c r="L36" s="0" t="n">
        <v>1</v>
      </c>
      <c r="M36" s="0" t="n">
        <v>0.5</v>
      </c>
      <c r="N36" s="0" t="s">
        <v>146</v>
      </c>
    </row>
    <row r="37" customFormat="false" ht="296.2" hidden="false" customHeight="false" outlineLevel="0" collapsed="false">
      <c r="A37" s="0" t="n">
        <v>49</v>
      </c>
      <c r="B37" s="0" t="s">
        <v>147</v>
      </c>
      <c r="C37" s="2" t="s">
        <v>148</v>
      </c>
      <c r="D37" s="0" t="s">
        <v>16</v>
      </c>
      <c r="F37" s="0" t="s">
        <v>16</v>
      </c>
      <c r="G37" s="0" t="s">
        <v>16</v>
      </c>
      <c r="I37" s="0" t="s">
        <v>149</v>
      </c>
      <c r="J37" s="1" t="b">
        <f aca="false">TRUE()</f>
        <v>1</v>
      </c>
      <c r="K37" s="0" t="n">
        <v>1</v>
      </c>
      <c r="L37" s="0" t="n">
        <v>1</v>
      </c>
      <c r="M37" s="0" t="n">
        <v>1</v>
      </c>
    </row>
    <row r="38" customFormat="false" ht="77.8" hidden="false" customHeight="false" outlineLevel="0" collapsed="false">
      <c r="A38" s="0" t="n">
        <v>13</v>
      </c>
      <c r="B38" s="0" t="s">
        <v>150</v>
      </c>
      <c r="C38" s="2" t="s">
        <v>151</v>
      </c>
      <c r="D38" s="0" t="s">
        <v>25</v>
      </c>
      <c r="F38" s="0" t="s">
        <v>25</v>
      </c>
      <c r="G38" s="0" t="s">
        <v>25</v>
      </c>
      <c r="I38" s="0" t="s">
        <v>152</v>
      </c>
      <c r="J38" s="1" t="b">
        <f aca="false">TRUE()</f>
        <v>1</v>
      </c>
      <c r="K38" s="0" t="n">
        <v>1</v>
      </c>
      <c r="L38" s="0" t="n">
        <v>1</v>
      </c>
      <c r="M38" s="0" t="n">
        <v>1</v>
      </c>
    </row>
    <row r="39" customFormat="false" ht="230.8" hidden="false" customHeight="false" outlineLevel="0" collapsed="false">
      <c r="A39" s="0" t="n">
        <v>59</v>
      </c>
      <c r="B39" s="0" t="s">
        <v>153</v>
      </c>
      <c r="C39" s="2" t="s">
        <v>154</v>
      </c>
      <c r="D39" s="0" t="s">
        <v>16</v>
      </c>
      <c r="F39" s="0" t="s">
        <v>16</v>
      </c>
      <c r="G39" s="0" t="s">
        <v>16</v>
      </c>
      <c r="I39" s="0" t="s">
        <v>155</v>
      </c>
      <c r="J39" s="1" t="b">
        <f aca="false">TRUE()</f>
        <v>1</v>
      </c>
      <c r="K39" s="0" t="n">
        <v>1</v>
      </c>
      <c r="L39" s="0" t="n">
        <v>1</v>
      </c>
      <c r="M39" s="0" t="n">
        <v>1</v>
      </c>
    </row>
    <row r="40" customFormat="false" ht="15" hidden="false" customHeight="false" outlineLevel="0" collapsed="false">
      <c r="A40" s="0" t="n">
        <v>81</v>
      </c>
      <c r="B40" s="0" t="s">
        <v>156</v>
      </c>
      <c r="C40" s="0" t="s">
        <v>157</v>
      </c>
      <c r="D40" s="0" t="s">
        <v>25</v>
      </c>
      <c r="F40" s="0" t="s">
        <v>25</v>
      </c>
      <c r="G40" s="0" t="s">
        <v>25</v>
      </c>
      <c r="I40" s="0" t="s">
        <v>158</v>
      </c>
      <c r="J40" s="1" t="b">
        <f aca="false">TRUE()</f>
        <v>1</v>
      </c>
      <c r="K40" s="0" t="n">
        <v>1</v>
      </c>
      <c r="L40" s="0" t="n">
        <v>1</v>
      </c>
      <c r="M40" s="0" t="n">
        <v>1</v>
      </c>
    </row>
    <row r="41" customFormat="false" ht="143.2" hidden="false" customHeight="false" outlineLevel="0" collapsed="false">
      <c r="A41" s="0" t="n">
        <v>34</v>
      </c>
      <c r="B41" s="2" t="s">
        <v>159</v>
      </c>
      <c r="C41" s="2" t="s">
        <v>160</v>
      </c>
      <c r="D41" s="0" t="s">
        <v>16</v>
      </c>
      <c r="F41" s="0" t="s">
        <v>16</v>
      </c>
      <c r="G41" s="0" t="s">
        <v>16</v>
      </c>
      <c r="I41" s="0" t="s">
        <v>161</v>
      </c>
      <c r="J41" s="1" t="b">
        <f aca="false">TRUE()</f>
        <v>1</v>
      </c>
      <c r="K41" s="0" t="n">
        <v>1</v>
      </c>
      <c r="L41" s="0" t="n">
        <v>1</v>
      </c>
      <c r="M41" s="0" t="n">
        <v>1</v>
      </c>
    </row>
    <row r="42" customFormat="false" ht="15" hidden="false" customHeight="false" outlineLevel="0" collapsed="false">
      <c r="A42" s="0" t="n">
        <v>42</v>
      </c>
      <c r="B42" s="0" t="s">
        <v>162</v>
      </c>
      <c r="C42" s="0" t="s">
        <v>163</v>
      </c>
      <c r="D42" s="0" t="s">
        <v>20</v>
      </c>
      <c r="E42" s="0" t="s">
        <v>164</v>
      </c>
      <c r="F42" s="0" t="s">
        <v>164</v>
      </c>
      <c r="G42" s="0" t="s">
        <v>20</v>
      </c>
      <c r="H42" s="0" t="s">
        <v>164</v>
      </c>
      <c r="I42" s="0" t="s">
        <v>165</v>
      </c>
      <c r="J42" s="1" t="b">
        <f aca="false">TRUE()</f>
        <v>1</v>
      </c>
      <c r="K42" s="0" t="n">
        <v>1</v>
      </c>
      <c r="L42" s="0" t="n">
        <v>1</v>
      </c>
      <c r="M42" s="0" t="n">
        <v>1</v>
      </c>
    </row>
    <row r="43" customFormat="false" ht="15" hidden="false" customHeight="false" outlineLevel="0" collapsed="false">
      <c r="A43" s="0" t="n">
        <v>68</v>
      </c>
      <c r="B43" s="0" t="s">
        <v>166</v>
      </c>
      <c r="C43" s="0" t="s">
        <v>163</v>
      </c>
      <c r="D43" s="0" t="s">
        <v>20</v>
      </c>
      <c r="E43" s="0" t="s">
        <v>164</v>
      </c>
      <c r="F43" s="0" t="s">
        <v>164</v>
      </c>
      <c r="G43" s="0" t="s">
        <v>20</v>
      </c>
      <c r="H43" s="0" t="s">
        <v>164</v>
      </c>
      <c r="I43" s="0" t="s">
        <v>165</v>
      </c>
      <c r="J43" s="1" t="b">
        <f aca="false">TRUE()</f>
        <v>1</v>
      </c>
      <c r="K43" s="0" t="n">
        <v>1</v>
      </c>
      <c r="L43" s="0" t="n">
        <v>1</v>
      </c>
      <c r="M43" s="0" t="n">
        <v>1</v>
      </c>
    </row>
    <row r="44" customFormat="false" ht="88.7" hidden="false" customHeight="false" outlineLevel="0" collapsed="false">
      <c r="A44" s="0" t="n">
        <v>32</v>
      </c>
      <c r="B44" s="0" t="s">
        <v>167</v>
      </c>
      <c r="C44" s="2" t="s">
        <v>168</v>
      </c>
      <c r="D44" s="0" t="s">
        <v>20</v>
      </c>
      <c r="F44" s="0" t="s">
        <v>169</v>
      </c>
      <c r="G44" s="0" t="s">
        <v>20</v>
      </c>
      <c r="H44" s="0" t="s">
        <v>169</v>
      </c>
      <c r="I44" s="0" t="s">
        <v>170</v>
      </c>
      <c r="J44" s="1" t="b">
        <f aca="false">TRUE()</f>
        <v>1</v>
      </c>
      <c r="K44" s="0" t="n">
        <v>1</v>
      </c>
      <c r="L44" s="0" t="n">
        <v>1</v>
      </c>
      <c r="M44" s="0" t="n">
        <v>1</v>
      </c>
    </row>
    <row r="45" customFormat="false" ht="56" hidden="false" customHeight="false" outlineLevel="0" collapsed="false">
      <c r="A45" s="0" t="n">
        <v>52</v>
      </c>
      <c r="B45" s="0" t="s">
        <v>171</v>
      </c>
      <c r="C45" s="2" t="s">
        <v>172</v>
      </c>
      <c r="D45" s="0" t="s">
        <v>173</v>
      </c>
      <c r="F45" s="0" t="s">
        <v>25</v>
      </c>
      <c r="G45" s="0" t="s">
        <v>25</v>
      </c>
      <c r="I45" s="0" t="s">
        <v>174</v>
      </c>
      <c r="J45" s="3" t="b">
        <f aca="false">FALSE()</f>
        <v>0</v>
      </c>
      <c r="K45" s="0" t="n">
        <v>0</v>
      </c>
      <c r="L45" s="0" t="n">
        <v>0</v>
      </c>
      <c r="M45" s="0" t="n">
        <v>0</v>
      </c>
      <c r="N45" s="0" t="s">
        <v>31</v>
      </c>
    </row>
    <row r="46" customFormat="false" ht="15" hidden="false" customHeight="false" outlineLevel="0" collapsed="false">
      <c r="A46" s="0" t="n">
        <v>37</v>
      </c>
      <c r="B46" s="0" t="s">
        <v>175</v>
      </c>
      <c r="C46" s="0" t="s">
        <v>176</v>
      </c>
      <c r="D46" s="0" t="s">
        <v>16</v>
      </c>
      <c r="F46" s="0" t="s">
        <v>16</v>
      </c>
      <c r="G46" s="0" t="s">
        <v>16</v>
      </c>
      <c r="I46" s="0" t="s">
        <v>177</v>
      </c>
      <c r="J46" s="1" t="b">
        <f aca="false">TRUE()</f>
        <v>1</v>
      </c>
      <c r="K46" s="0" t="n">
        <v>1</v>
      </c>
      <c r="L46" s="0" t="n">
        <v>1</v>
      </c>
      <c r="M46" s="0" t="n">
        <v>1</v>
      </c>
    </row>
    <row r="47" customFormat="false" ht="34.2" hidden="false" customHeight="false" outlineLevel="0" collapsed="false">
      <c r="A47" s="0" t="n">
        <v>57</v>
      </c>
      <c r="B47" s="2" t="s">
        <v>178</v>
      </c>
      <c r="C47" s="2" t="s">
        <v>179</v>
      </c>
      <c r="D47" s="0" t="s">
        <v>180</v>
      </c>
      <c r="F47" s="0" t="s">
        <v>16</v>
      </c>
      <c r="G47" s="0" t="s">
        <v>16</v>
      </c>
      <c r="I47" s="0" t="s">
        <v>181</v>
      </c>
      <c r="J47" s="3" t="b">
        <f aca="false">FALSE()</f>
        <v>0</v>
      </c>
      <c r="K47" s="0" t="n">
        <v>1</v>
      </c>
      <c r="L47" s="0" t="n">
        <v>0.5</v>
      </c>
      <c r="M47" s="0" t="n">
        <v>0.5</v>
      </c>
      <c r="N47" s="0" t="s">
        <v>31</v>
      </c>
    </row>
    <row r="48" customFormat="false" ht="15" hidden="false" customHeight="false" outlineLevel="0" collapsed="false">
      <c r="A48" s="0" t="n">
        <v>20</v>
      </c>
      <c r="B48" s="0" t="s">
        <v>182</v>
      </c>
      <c r="C48" s="0" t="s">
        <v>183</v>
      </c>
      <c r="D48" s="0" t="s">
        <v>16</v>
      </c>
      <c r="F48" s="0" t="s">
        <v>16</v>
      </c>
      <c r="G48" s="0" t="s">
        <v>16</v>
      </c>
      <c r="I48" s="0" t="s">
        <v>184</v>
      </c>
      <c r="J48" s="1" t="b">
        <f aca="false">TRUE()</f>
        <v>1</v>
      </c>
      <c r="K48" s="0" t="n">
        <v>1</v>
      </c>
      <c r="L48" s="0" t="n">
        <v>1</v>
      </c>
      <c r="M48" s="0" t="n">
        <v>1</v>
      </c>
    </row>
    <row r="49" customFormat="false" ht="45.1" hidden="false" customHeight="false" outlineLevel="0" collapsed="false">
      <c r="A49" s="0" t="n">
        <v>80</v>
      </c>
      <c r="B49" s="2" t="s">
        <v>185</v>
      </c>
      <c r="C49" s="0" t="s">
        <v>186</v>
      </c>
      <c r="D49" s="0" t="s">
        <v>16</v>
      </c>
      <c r="F49" s="0" t="s">
        <v>16</v>
      </c>
      <c r="G49" s="0" t="s">
        <v>16</v>
      </c>
      <c r="I49" s="0" t="s">
        <v>187</v>
      </c>
      <c r="J49" s="1" t="b">
        <f aca="false">TRUE()</f>
        <v>1</v>
      </c>
      <c r="K49" s="0" t="n">
        <v>1</v>
      </c>
      <c r="L49" s="0" t="n">
        <v>1</v>
      </c>
      <c r="M49" s="0" t="n">
        <v>1</v>
      </c>
    </row>
    <row r="50" customFormat="false" ht="15" hidden="false" customHeight="false" outlineLevel="0" collapsed="false">
      <c r="A50" s="0" t="n">
        <v>82</v>
      </c>
      <c r="B50" s="0" t="s">
        <v>188</v>
      </c>
      <c r="C50" s="0" t="s">
        <v>189</v>
      </c>
      <c r="D50" s="0" t="s">
        <v>20</v>
      </c>
      <c r="E50" s="0" t="s">
        <v>121</v>
      </c>
      <c r="F50" s="0" t="s">
        <v>190</v>
      </c>
      <c r="G50" s="0" t="s">
        <v>191</v>
      </c>
      <c r="H50" s="0" t="s">
        <v>192</v>
      </c>
      <c r="I50" s="0" t="s">
        <v>193</v>
      </c>
      <c r="J50" s="3" t="b">
        <f aca="false">FALSE()</f>
        <v>0</v>
      </c>
      <c r="K50" s="0" t="n">
        <v>0.25</v>
      </c>
      <c r="L50" s="0" t="n">
        <v>1</v>
      </c>
      <c r="M50" s="0" t="n">
        <v>0.25</v>
      </c>
      <c r="N50" s="0" t="s">
        <v>31</v>
      </c>
    </row>
    <row r="51" customFormat="false" ht="15" hidden="false" customHeight="false" outlineLevel="0" collapsed="false">
      <c r="A51" s="0" t="n">
        <v>26</v>
      </c>
      <c r="B51" s="0" t="s">
        <v>194</v>
      </c>
      <c r="C51" s="0" t="s">
        <v>195</v>
      </c>
      <c r="D51" s="0" t="s">
        <v>20</v>
      </c>
      <c r="F51" s="0" t="s">
        <v>196</v>
      </c>
      <c r="G51" s="0" t="s">
        <v>20</v>
      </c>
      <c r="H51" s="0" t="s">
        <v>196</v>
      </c>
      <c r="I51" s="0" t="s">
        <v>197</v>
      </c>
      <c r="J51" s="1" t="b">
        <f aca="false">TRUE()</f>
        <v>1</v>
      </c>
      <c r="K51" s="0" t="n">
        <v>1</v>
      </c>
      <c r="L51" s="0" t="n">
        <v>1</v>
      </c>
      <c r="M51" s="0" t="n">
        <v>1</v>
      </c>
    </row>
    <row r="52" customFormat="false" ht="15" hidden="false" customHeight="false" outlineLevel="0" collapsed="false">
      <c r="A52" s="0" t="n">
        <v>2</v>
      </c>
      <c r="B52" s="0" t="s">
        <v>198</v>
      </c>
      <c r="C52" s="0" t="s">
        <v>199</v>
      </c>
      <c r="D52" s="0" t="s">
        <v>25</v>
      </c>
      <c r="F52" s="0" t="s">
        <v>25</v>
      </c>
      <c r="G52" s="0" t="s">
        <v>25</v>
      </c>
      <c r="I52" s="0" t="s">
        <v>200</v>
      </c>
      <c r="J52" s="1" t="b">
        <f aca="false">TRUE()</f>
        <v>1</v>
      </c>
      <c r="K52" s="0" t="n">
        <v>1</v>
      </c>
      <c r="L52" s="0" t="n">
        <v>1</v>
      </c>
      <c r="M52" s="0" t="n">
        <v>1</v>
      </c>
    </row>
    <row r="53" customFormat="false" ht="15" hidden="false" customHeight="false" outlineLevel="0" collapsed="false">
      <c r="A53" s="0" t="n">
        <v>66</v>
      </c>
      <c r="B53" s="0" t="s">
        <v>201</v>
      </c>
      <c r="C53" s="0" t="s">
        <v>202</v>
      </c>
      <c r="D53" s="0" t="s">
        <v>20</v>
      </c>
      <c r="E53" s="0" t="s">
        <v>203</v>
      </c>
      <c r="F53" s="0" t="s">
        <v>192</v>
      </c>
      <c r="G53" s="0" t="s">
        <v>20</v>
      </c>
      <c r="H53" s="0" t="s">
        <v>192</v>
      </c>
      <c r="I53" s="0" t="s">
        <v>204</v>
      </c>
      <c r="J53" s="1" t="b">
        <f aca="false">TRUE()</f>
        <v>1</v>
      </c>
      <c r="K53" s="0" t="n">
        <v>1</v>
      </c>
      <c r="L53" s="0" t="n">
        <v>1</v>
      </c>
      <c r="M53" s="0" t="n">
        <v>1</v>
      </c>
    </row>
    <row r="54" customFormat="false" ht="15" hidden="false" customHeight="false" outlineLevel="0" collapsed="false">
      <c r="A54" s="0" t="n">
        <v>12</v>
      </c>
      <c r="B54" s="0" t="s">
        <v>205</v>
      </c>
      <c r="C54" s="0" t="s">
        <v>206</v>
      </c>
      <c r="D54" s="0" t="s">
        <v>16</v>
      </c>
      <c r="F54" s="0" t="s">
        <v>16</v>
      </c>
      <c r="G54" s="0" t="s">
        <v>16</v>
      </c>
      <c r="I54" s="0" t="s">
        <v>207</v>
      </c>
      <c r="J54" s="1" t="b">
        <f aca="false">TRUE()</f>
        <v>1</v>
      </c>
      <c r="K54" s="0" t="n">
        <v>1</v>
      </c>
      <c r="L54" s="0" t="n">
        <v>1</v>
      </c>
      <c r="M54" s="0" t="n">
        <v>1</v>
      </c>
    </row>
    <row r="55" customFormat="false" ht="132.3" hidden="false" customHeight="false" outlineLevel="0" collapsed="false">
      <c r="A55" s="0" t="n">
        <v>29</v>
      </c>
      <c r="B55" s="0" t="s">
        <v>208</v>
      </c>
      <c r="C55" s="2" t="s">
        <v>209</v>
      </c>
      <c r="D55" s="0" t="s">
        <v>16</v>
      </c>
      <c r="F55" s="0" t="s">
        <v>16</v>
      </c>
      <c r="G55" s="0" t="s">
        <v>16</v>
      </c>
      <c r="I55" s="0" t="s">
        <v>210</v>
      </c>
      <c r="J55" s="1" t="b">
        <f aca="false">TRUE()</f>
        <v>1</v>
      </c>
      <c r="K55" s="0" t="n">
        <v>1</v>
      </c>
      <c r="L55" s="0" t="n">
        <v>1</v>
      </c>
      <c r="M55" s="0" t="n">
        <v>1</v>
      </c>
    </row>
    <row r="56" customFormat="false" ht="34.2" hidden="false" customHeight="false" outlineLevel="0" collapsed="false">
      <c r="A56" s="0" t="n">
        <v>50</v>
      </c>
      <c r="B56" s="0" t="s">
        <v>211</v>
      </c>
      <c r="C56" s="2" t="s">
        <v>212</v>
      </c>
      <c r="D56" s="0" t="s">
        <v>63</v>
      </c>
      <c r="F56" s="0" t="s">
        <v>64</v>
      </c>
      <c r="G56" s="0" t="s">
        <v>63</v>
      </c>
      <c r="I56" s="0" t="s">
        <v>213</v>
      </c>
      <c r="J56" s="1" t="b">
        <f aca="false">TRUE()</f>
        <v>1</v>
      </c>
      <c r="K56" s="0" t="n">
        <v>1</v>
      </c>
      <c r="L56" s="0" t="n">
        <v>1</v>
      </c>
      <c r="M56" s="0" t="n">
        <v>1</v>
      </c>
    </row>
    <row r="57" customFormat="false" ht="15" hidden="false" customHeight="false" outlineLevel="0" collapsed="false">
      <c r="A57" s="0" t="n">
        <v>7</v>
      </c>
      <c r="B57" s="0" t="s">
        <v>214</v>
      </c>
      <c r="C57" s="0" t="s">
        <v>215</v>
      </c>
      <c r="D57" s="0" t="s">
        <v>34</v>
      </c>
      <c r="F57" s="0" t="s">
        <v>35</v>
      </c>
      <c r="G57" s="0" t="s">
        <v>34</v>
      </c>
      <c r="I57" s="0" t="s">
        <v>216</v>
      </c>
      <c r="J57" s="1" t="b">
        <f aca="false">TRUE()</f>
        <v>1</v>
      </c>
      <c r="K57" s="0" t="n">
        <v>1</v>
      </c>
      <c r="L57" s="0" t="n">
        <v>1</v>
      </c>
      <c r="M57" s="0" t="n">
        <v>1</v>
      </c>
    </row>
    <row r="58" customFormat="false" ht="15" hidden="false" customHeight="false" outlineLevel="0" collapsed="false">
      <c r="A58" s="0" t="n">
        <v>60</v>
      </c>
      <c r="B58" s="0" t="s">
        <v>217</v>
      </c>
      <c r="C58" s="0" t="s">
        <v>218</v>
      </c>
      <c r="D58" s="0" t="s">
        <v>16</v>
      </c>
      <c r="F58" s="0" t="s">
        <v>16</v>
      </c>
      <c r="G58" s="0" t="s">
        <v>16</v>
      </c>
      <c r="I58" s="0" t="s">
        <v>219</v>
      </c>
      <c r="J58" s="1" t="b">
        <f aca="false">TRUE()</f>
        <v>1</v>
      </c>
      <c r="K58" s="0" t="n">
        <v>1</v>
      </c>
      <c r="L58" s="0" t="n">
        <v>1</v>
      </c>
      <c r="M58" s="0" t="n">
        <v>1</v>
      </c>
    </row>
    <row r="59" customFormat="false" ht="23.3" hidden="false" customHeight="false" outlineLevel="0" collapsed="false">
      <c r="A59" s="0" t="n">
        <v>17</v>
      </c>
      <c r="B59" s="2" t="s">
        <v>220</v>
      </c>
      <c r="C59" s="0" t="s">
        <v>221</v>
      </c>
      <c r="D59" s="0" t="s">
        <v>16</v>
      </c>
      <c r="F59" s="0" t="s">
        <v>16</v>
      </c>
      <c r="G59" s="0" t="s">
        <v>16</v>
      </c>
      <c r="I59" s="0" t="s">
        <v>222</v>
      </c>
      <c r="J59" s="1" t="b">
        <f aca="false">TRUE()</f>
        <v>1</v>
      </c>
      <c r="K59" s="0" t="n">
        <v>1</v>
      </c>
      <c r="L59" s="0" t="n">
        <v>1</v>
      </c>
      <c r="M59" s="0" t="n">
        <v>1</v>
      </c>
    </row>
    <row r="60" customFormat="false" ht="56" hidden="false" customHeight="false" outlineLevel="0" collapsed="false">
      <c r="A60" s="0" t="n">
        <v>28</v>
      </c>
      <c r="B60" s="0" t="s">
        <v>223</v>
      </c>
      <c r="C60" s="2" t="s">
        <v>224</v>
      </c>
      <c r="D60" s="0" t="s">
        <v>29</v>
      </c>
      <c r="F60" s="0" t="s">
        <v>225</v>
      </c>
      <c r="G60" s="0" t="s">
        <v>225</v>
      </c>
      <c r="I60" s="0" t="s">
        <v>226</v>
      </c>
      <c r="J60" s="3" t="b">
        <f aca="false">FALSE()</f>
        <v>0</v>
      </c>
      <c r="K60" s="0" t="n">
        <v>0</v>
      </c>
      <c r="L60" s="0" t="n">
        <v>0</v>
      </c>
      <c r="M60" s="0" t="n">
        <v>0</v>
      </c>
      <c r="N60" s="0" t="s">
        <v>31</v>
      </c>
    </row>
    <row r="61" customFormat="false" ht="45.1" hidden="false" customHeight="false" outlineLevel="0" collapsed="false">
      <c r="A61" s="0" t="n">
        <v>1</v>
      </c>
      <c r="B61" s="2" t="s">
        <v>227</v>
      </c>
      <c r="C61" s="2" t="s">
        <v>228</v>
      </c>
      <c r="D61" s="0" t="s">
        <v>34</v>
      </c>
      <c r="F61" s="0" t="s">
        <v>113</v>
      </c>
      <c r="G61" s="0" t="s">
        <v>114</v>
      </c>
      <c r="I61" s="0" t="s">
        <v>229</v>
      </c>
      <c r="J61" s="7" t="b">
        <f aca="false">FALSE()</f>
        <v>0</v>
      </c>
      <c r="K61" s="0" t="n">
        <v>0.5</v>
      </c>
      <c r="L61" s="0" t="n">
        <v>1</v>
      </c>
      <c r="M61" s="0" t="n">
        <v>0.5</v>
      </c>
      <c r="N61" s="0" t="s">
        <v>230</v>
      </c>
    </row>
    <row r="62" customFormat="false" ht="45.1" hidden="false" customHeight="false" outlineLevel="0" collapsed="false">
      <c r="A62" s="0" t="n">
        <v>62</v>
      </c>
      <c r="B62" s="2" t="s">
        <v>231</v>
      </c>
      <c r="C62" s="2" t="s">
        <v>232</v>
      </c>
      <c r="D62" s="0" t="s">
        <v>16</v>
      </c>
      <c r="F62" s="0" t="s">
        <v>16</v>
      </c>
      <c r="G62" s="0" t="s">
        <v>16</v>
      </c>
      <c r="I62" s="0" t="s">
        <v>233</v>
      </c>
      <c r="J62" s="1" t="b">
        <f aca="false">TRUE()</f>
        <v>1</v>
      </c>
      <c r="K62" s="0" t="n">
        <v>1</v>
      </c>
      <c r="L62" s="0" t="n">
        <v>1</v>
      </c>
      <c r="M62" s="0" t="n">
        <v>1</v>
      </c>
    </row>
    <row r="63" customFormat="false" ht="77.8" hidden="false" customHeight="false" outlineLevel="0" collapsed="false">
      <c r="A63" s="0" t="n">
        <v>70</v>
      </c>
      <c r="B63" s="0" t="s">
        <v>234</v>
      </c>
      <c r="C63" s="2" t="s">
        <v>235</v>
      </c>
      <c r="D63" s="0" t="s">
        <v>20</v>
      </c>
      <c r="E63" s="0" t="s">
        <v>164</v>
      </c>
      <c r="F63" s="0" t="s">
        <v>164</v>
      </c>
      <c r="G63" s="0" t="s">
        <v>20</v>
      </c>
      <c r="H63" s="0" t="s">
        <v>164</v>
      </c>
      <c r="I63" s="0" t="s">
        <v>236</v>
      </c>
      <c r="J63" s="1" t="b">
        <f aca="false">TRUE()</f>
        <v>1</v>
      </c>
      <c r="K63" s="0" t="n">
        <v>1</v>
      </c>
      <c r="L63" s="0" t="n">
        <v>1</v>
      </c>
      <c r="M63" s="0" t="n">
        <v>1</v>
      </c>
    </row>
    <row r="64" customFormat="false" ht="15" hidden="false" customHeight="false" outlineLevel="0" collapsed="false">
      <c r="A64" s="0" t="n">
        <v>35</v>
      </c>
      <c r="B64" s="0" t="s">
        <v>237</v>
      </c>
      <c r="C64" s="0" t="s">
        <v>238</v>
      </c>
      <c r="D64" s="0" t="s">
        <v>16</v>
      </c>
      <c r="F64" s="0" t="s">
        <v>16</v>
      </c>
      <c r="G64" s="0" t="s">
        <v>16</v>
      </c>
      <c r="I64" s="0" t="s">
        <v>239</v>
      </c>
      <c r="J64" s="1" t="b">
        <f aca="false">TRUE()</f>
        <v>1</v>
      </c>
      <c r="K64" s="0" t="n">
        <v>1</v>
      </c>
      <c r="L64" s="0" t="n">
        <v>1</v>
      </c>
      <c r="M64" s="0" t="n">
        <v>1</v>
      </c>
    </row>
    <row r="65" customFormat="false" ht="165" hidden="false" customHeight="false" outlineLevel="0" collapsed="false">
      <c r="A65" s="0" t="n">
        <v>69</v>
      </c>
      <c r="B65" s="0" t="s">
        <v>240</v>
      </c>
      <c r="C65" s="2" t="s">
        <v>241</v>
      </c>
      <c r="D65" s="0" t="s">
        <v>29</v>
      </c>
      <c r="F65" s="0" t="s">
        <v>242</v>
      </c>
      <c r="G65" s="0" t="s">
        <v>242</v>
      </c>
      <c r="I65" s="0" t="s">
        <v>243</v>
      </c>
      <c r="J65" s="3" t="b">
        <f aca="false">FALSE()</f>
        <v>0</v>
      </c>
      <c r="K65" s="0" t="n">
        <v>0</v>
      </c>
      <c r="L65" s="0" t="n">
        <v>0</v>
      </c>
      <c r="M65" s="0" t="n">
        <v>0</v>
      </c>
      <c r="N65" s="0" t="s">
        <v>31</v>
      </c>
    </row>
    <row r="66" customFormat="false" ht="34.2" hidden="false" customHeight="false" outlineLevel="0" collapsed="false">
      <c r="A66" s="0" t="n">
        <v>64</v>
      </c>
      <c r="B66" s="2" t="s">
        <v>244</v>
      </c>
      <c r="C66" s="0" t="s">
        <v>245</v>
      </c>
      <c r="D66" s="0" t="s">
        <v>25</v>
      </c>
      <c r="F66" s="0" t="s">
        <v>25</v>
      </c>
      <c r="G66" s="0" t="s">
        <v>25</v>
      </c>
      <c r="I66" s="0" t="s">
        <v>246</v>
      </c>
      <c r="J66" s="1" t="b">
        <f aca="false">TRUE()</f>
        <v>1</v>
      </c>
      <c r="K66" s="0" t="n">
        <v>1</v>
      </c>
      <c r="L66" s="0" t="n">
        <v>1</v>
      </c>
      <c r="M66" s="0" t="n">
        <v>1</v>
      </c>
    </row>
    <row r="67" customFormat="false" ht="15" hidden="false" customHeight="false" outlineLevel="0" collapsed="false">
      <c r="A67" s="0" t="n">
        <v>41</v>
      </c>
      <c r="B67" s="0" t="s">
        <v>247</v>
      </c>
      <c r="C67" s="0" t="s">
        <v>248</v>
      </c>
      <c r="D67" s="0" t="s">
        <v>34</v>
      </c>
      <c r="F67" s="0" t="s">
        <v>35</v>
      </c>
      <c r="G67" s="0" t="s">
        <v>34</v>
      </c>
      <c r="I67" s="0" t="s">
        <v>249</v>
      </c>
      <c r="J67" s="1" t="b">
        <f aca="false">TRUE()</f>
        <v>1</v>
      </c>
      <c r="K67" s="0" t="n">
        <v>1</v>
      </c>
      <c r="L67" s="0" t="n">
        <v>1</v>
      </c>
      <c r="M67" s="0" t="n">
        <v>1</v>
      </c>
    </row>
    <row r="68" customFormat="false" ht="165" hidden="false" customHeight="false" outlineLevel="0" collapsed="false">
      <c r="A68" s="0" t="n">
        <v>33</v>
      </c>
      <c r="B68" s="0" t="s">
        <v>250</v>
      </c>
      <c r="C68" s="2" t="s">
        <v>251</v>
      </c>
      <c r="D68" s="0" t="s">
        <v>34</v>
      </c>
      <c r="F68" s="0" t="s">
        <v>35</v>
      </c>
      <c r="G68" s="0" t="s">
        <v>34</v>
      </c>
      <c r="I68" s="0" t="s">
        <v>252</v>
      </c>
      <c r="J68" s="1" t="b">
        <f aca="false">TRUE()</f>
        <v>1</v>
      </c>
      <c r="K68" s="0" t="n">
        <v>1</v>
      </c>
      <c r="L68" s="0" t="n">
        <v>1</v>
      </c>
      <c r="M68" s="0" t="n">
        <v>1</v>
      </c>
    </row>
    <row r="69" customFormat="false" ht="15" hidden="false" customHeight="false" outlineLevel="0" collapsed="false">
      <c r="A69" s="0" t="n">
        <v>40</v>
      </c>
      <c r="B69" s="0" t="s">
        <v>253</v>
      </c>
      <c r="C69" s="0" t="s">
        <v>254</v>
      </c>
      <c r="D69" s="0" t="s">
        <v>34</v>
      </c>
      <c r="F69" s="0" t="s">
        <v>35</v>
      </c>
      <c r="G69" s="0" t="s">
        <v>34</v>
      </c>
      <c r="I69" s="0" t="s">
        <v>255</v>
      </c>
      <c r="J69" s="1" t="b">
        <f aca="false">TRUE()</f>
        <v>1</v>
      </c>
      <c r="K69" s="0" t="n">
        <v>1</v>
      </c>
      <c r="L69" s="0" t="n">
        <v>1</v>
      </c>
      <c r="M69" s="0" t="n">
        <v>1</v>
      </c>
    </row>
    <row r="70" customFormat="false" ht="15" hidden="false" customHeight="false" outlineLevel="0" collapsed="false">
      <c r="A70" s="0" t="n">
        <v>10</v>
      </c>
      <c r="B70" s="0" t="s">
        <v>256</v>
      </c>
      <c r="C70" s="0" t="s">
        <v>257</v>
      </c>
      <c r="D70" s="0" t="s">
        <v>29</v>
      </c>
      <c r="F70" s="0" t="s">
        <v>225</v>
      </c>
      <c r="G70" s="0" t="s">
        <v>225</v>
      </c>
      <c r="I70" s="0" t="s">
        <v>258</v>
      </c>
      <c r="J70" s="3" t="b">
        <f aca="false">FALSE()</f>
        <v>0</v>
      </c>
      <c r="K70" s="0" t="n">
        <v>0</v>
      </c>
      <c r="L70" s="0" t="n">
        <v>0</v>
      </c>
      <c r="M70" s="0" t="n">
        <v>0</v>
      </c>
    </row>
    <row r="71" customFormat="false" ht="165" hidden="false" customHeight="false" outlineLevel="0" collapsed="false">
      <c r="A71" s="0" t="n">
        <v>18</v>
      </c>
      <c r="B71" s="0" t="s">
        <v>259</v>
      </c>
      <c r="C71" s="2" t="s">
        <v>260</v>
      </c>
      <c r="D71" s="0" t="s">
        <v>25</v>
      </c>
      <c r="F71" s="0" t="s">
        <v>25</v>
      </c>
      <c r="G71" s="0" t="s">
        <v>25</v>
      </c>
      <c r="I71" s="0" t="s">
        <v>261</v>
      </c>
      <c r="J71" s="1" t="b">
        <f aca="false">TRUE()</f>
        <v>1</v>
      </c>
      <c r="K71" s="0" t="n">
        <v>1</v>
      </c>
      <c r="L71" s="0" t="n">
        <v>1</v>
      </c>
      <c r="M71" s="0" t="n">
        <v>1</v>
      </c>
    </row>
    <row r="72" customFormat="false" ht="23.3" hidden="false" customHeight="false" outlineLevel="0" collapsed="false">
      <c r="A72" s="0" t="n">
        <v>8</v>
      </c>
      <c r="B72" s="0" t="s">
        <v>262</v>
      </c>
      <c r="C72" s="2" t="s">
        <v>263</v>
      </c>
      <c r="D72" s="0" t="s">
        <v>16</v>
      </c>
      <c r="F72" s="0" t="s">
        <v>16</v>
      </c>
      <c r="G72" s="0" t="s">
        <v>16</v>
      </c>
      <c r="I72" s="0" t="s">
        <v>264</v>
      </c>
      <c r="J72" s="1" t="b">
        <f aca="false">TRUE()</f>
        <v>1</v>
      </c>
      <c r="K72" s="0" t="n">
        <v>1</v>
      </c>
      <c r="L72" s="0" t="n">
        <v>1</v>
      </c>
      <c r="M72" s="0" t="n">
        <v>1</v>
      </c>
    </row>
    <row r="73" customFormat="false" ht="15" hidden="false" customHeight="false" outlineLevel="0" collapsed="false">
      <c r="A73" s="0" t="n">
        <v>58</v>
      </c>
      <c r="B73" s="0" t="s">
        <v>265</v>
      </c>
      <c r="C73" s="0" t="s">
        <v>266</v>
      </c>
      <c r="D73" s="0" t="s">
        <v>25</v>
      </c>
      <c r="F73" s="0" t="s">
        <v>25</v>
      </c>
      <c r="G73" s="0" t="s">
        <v>25</v>
      </c>
      <c r="I73" s="0" t="s">
        <v>267</v>
      </c>
      <c r="J73" s="1" t="b">
        <f aca="false">TRUE()</f>
        <v>1</v>
      </c>
      <c r="K73" s="0" t="n">
        <v>1</v>
      </c>
      <c r="L73" s="0" t="n">
        <v>1</v>
      </c>
      <c r="M73" s="0" t="n">
        <v>1</v>
      </c>
    </row>
    <row r="74" customFormat="false" ht="56" hidden="false" customHeight="false" outlineLevel="0" collapsed="false">
      <c r="A74" s="0" t="n">
        <v>21</v>
      </c>
      <c r="B74" s="0" t="s">
        <v>268</v>
      </c>
      <c r="C74" s="2" t="s">
        <v>269</v>
      </c>
      <c r="D74" s="0" t="s">
        <v>16</v>
      </c>
      <c r="F74" s="0" t="s">
        <v>25</v>
      </c>
      <c r="G74" s="0" t="s">
        <v>25</v>
      </c>
      <c r="I74" s="0" t="s">
        <v>270</v>
      </c>
      <c r="J74" s="8" t="b">
        <f aca="false">FALSE()</f>
        <v>0</v>
      </c>
      <c r="K74" s="0" t="n">
        <v>0</v>
      </c>
      <c r="L74" s="0" t="n">
        <v>0</v>
      </c>
      <c r="M74" s="0" t="n">
        <v>0</v>
      </c>
      <c r="N74" s="5" t="s">
        <v>271</v>
      </c>
    </row>
    <row r="75" customFormat="false" ht="15" hidden="false" customHeight="false" outlineLevel="0" collapsed="false">
      <c r="A75" s="0" t="n">
        <v>51</v>
      </c>
      <c r="B75" s="0" t="s">
        <v>272</v>
      </c>
      <c r="C75" s="0" t="s">
        <v>273</v>
      </c>
      <c r="D75" s="0" t="s">
        <v>25</v>
      </c>
      <c r="F75" s="0" t="s">
        <v>25</v>
      </c>
      <c r="G75" s="0" t="s">
        <v>25</v>
      </c>
      <c r="I75" s="0" t="s">
        <v>274</v>
      </c>
      <c r="J75" s="1" t="b">
        <f aca="false">TRUE()</f>
        <v>1</v>
      </c>
      <c r="K75" s="0" t="n">
        <v>1</v>
      </c>
      <c r="L75" s="0" t="n">
        <v>1</v>
      </c>
      <c r="M75" s="0" t="n">
        <v>1</v>
      </c>
    </row>
    <row r="76" customFormat="false" ht="15" hidden="false" customHeight="false" outlineLevel="0" collapsed="false">
      <c r="A76" s="0" t="n">
        <v>67</v>
      </c>
      <c r="B76" s="0" t="s">
        <v>275</v>
      </c>
      <c r="C76" s="0" t="s">
        <v>276</v>
      </c>
      <c r="D76" s="0" t="s">
        <v>25</v>
      </c>
      <c r="F76" s="0" t="s">
        <v>25</v>
      </c>
      <c r="G76" s="0" t="s">
        <v>25</v>
      </c>
      <c r="I76" s="0" t="s">
        <v>277</v>
      </c>
      <c r="J76" s="1" t="b">
        <f aca="false">TRUE()</f>
        <v>1</v>
      </c>
      <c r="K76" s="0" t="n">
        <v>1</v>
      </c>
      <c r="L76" s="0" t="n">
        <v>1</v>
      </c>
      <c r="M76" s="0" t="n">
        <v>1</v>
      </c>
    </row>
    <row r="77" customFormat="false" ht="23.3" hidden="false" customHeight="false" outlineLevel="0" collapsed="false">
      <c r="A77" s="0" t="n">
        <v>65</v>
      </c>
      <c r="B77" s="2" t="s">
        <v>278</v>
      </c>
      <c r="C77" s="0" t="s">
        <v>279</v>
      </c>
      <c r="D77" s="0" t="s">
        <v>20</v>
      </c>
      <c r="E77" s="0" t="s">
        <v>121</v>
      </c>
      <c r="F77" s="0" t="s">
        <v>25</v>
      </c>
      <c r="G77" s="0" t="s">
        <v>25</v>
      </c>
      <c r="I77" s="0" t="s">
        <v>280</v>
      </c>
      <c r="J77" s="7" t="b">
        <f aca="false">FALSE()</f>
        <v>0</v>
      </c>
      <c r="K77" s="0" t="n">
        <v>0</v>
      </c>
      <c r="L77" s="0" t="n">
        <v>0</v>
      </c>
      <c r="M77" s="0" t="n">
        <v>0</v>
      </c>
      <c r="N77" s="0" t="s">
        <v>281</v>
      </c>
    </row>
    <row r="78" customFormat="false" ht="77.8" hidden="false" customHeight="false" outlineLevel="0" collapsed="false">
      <c r="A78" s="0" t="n">
        <v>74</v>
      </c>
      <c r="B78" s="0" t="s">
        <v>282</v>
      </c>
      <c r="C78" s="2" t="s">
        <v>283</v>
      </c>
      <c r="D78" s="0" t="s">
        <v>63</v>
      </c>
      <c r="F78" s="0" t="s">
        <v>284</v>
      </c>
      <c r="G78" s="0" t="s">
        <v>285</v>
      </c>
      <c r="I78" s="0" t="s">
        <v>286</v>
      </c>
      <c r="J78" s="3" t="b">
        <f aca="false">FALSE()</f>
        <v>0</v>
      </c>
      <c r="K78" s="0" t="n">
        <v>0.5</v>
      </c>
      <c r="L78" s="0" t="n">
        <v>1</v>
      </c>
      <c r="M78" s="0" t="n">
        <v>0.5</v>
      </c>
      <c r="N78" s="0" t="s">
        <v>31</v>
      </c>
    </row>
    <row r="79" customFormat="false" ht="165" hidden="false" customHeight="false" outlineLevel="0" collapsed="false">
      <c r="A79" s="0" t="n">
        <v>56</v>
      </c>
      <c r="B79" s="0" t="s">
        <v>287</v>
      </c>
      <c r="C79" s="2" t="s">
        <v>288</v>
      </c>
      <c r="D79" s="0" t="s">
        <v>29</v>
      </c>
      <c r="F79" s="0" t="s">
        <v>25</v>
      </c>
      <c r="G79" s="0" t="s">
        <v>25</v>
      </c>
      <c r="I79" s="0" t="s">
        <v>289</v>
      </c>
      <c r="J79" s="3" t="b">
        <f aca="false">FALSE()</f>
        <v>0</v>
      </c>
      <c r="K79" s="0" t="n">
        <v>0</v>
      </c>
      <c r="L79" s="0" t="n">
        <v>0</v>
      </c>
      <c r="M79" s="0" t="n">
        <v>0</v>
      </c>
      <c r="N79" s="0" t="s">
        <v>31</v>
      </c>
    </row>
    <row r="80" customFormat="false" ht="15" hidden="false" customHeight="false" outlineLevel="0" collapsed="false">
      <c r="A80" s="0" t="n">
        <v>19</v>
      </c>
      <c r="B80" s="0" t="s">
        <v>290</v>
      </c>
      <c r="C80" s="0" t="s">
        <v>291</v>
      </c>
      <c r="D80" s="0" t="s">
        <v>20</v>
      </c>
      <c r="E80" s="0" t="s">
        <v>88</v>
      </c>
      <c r="F80" s="0" t="s">
        <v>21</v>
      </c>
      <c r="G80" s="0" t="s">
        <v>20</v>
      </c>
      <c r="H80" s="0" t="s">
        <v>21</v>
      </c>
      <c r="I80" s="0" t="s">
        <v>292</v>
      </c>
      <c r="J80" s="1" t="b">
        <f aca="false">TRUE()</f>
        <v>1</v>
      </c>
      <c r="K80" s="0" t="n">
        <v>1</v>
      </c>
      <c r="L80" s="0" t="n">
        <v>1</v>
      </c>
      <c r="M80" s="0" t="n">
        <v>1</v>
      </c>
    </row>
    <row r="81" customFormat="false" ht="34.2" hidden="false" customHeight="false" outlineLevel="0" collapsed="false">
      <c r="A81" s="0" t="n">
        <v>24</v>
      </c>
      <c r="B81" s="2" t="s">
        <v>293</v>
      </c>
      <c r="C81" s="0" t="s">
        <v>294</v>
      </c>
      <c r="D81" s="0" t="s">
        <v>93</v>
      </c>
      <c r="F81" s="0" t="s">
        <v>96</v>
      </c>
      <c r="G81" s="0" t="s">
        <v>96</v>
      </c>
      <c r="I81" s="0" t="s">
        <v>295</v>
      </c>
      <c r="J81" s="1" t="b">
        <f aca="false">TRUE()</f>
        <v>1</v>
      </c>
      <c r="K81" s="0" t="n">
        <v>1</v>
      </c>
      <c r="L81" s="0" t="n">
        <v>1</v>
      </c>
      <c r="M81" s="0" t="n">
        <v>1</v>
      </c>
    </row>
    <row r="82" customFormat="false" ht="23.3" hidden="false" customHeight="false" outlineLevel="0" collapsed="false">
      <c r="A82" s="0" t="n">
        <v>39</v>
      </c>
      <c r="B82" s="0" t="s">
        <v>296</v>
      </c>
      <c r="C82" s="2" t="s">
        <v>297</v>
      </c>
      <c r="D82" s="0" t="s">
        <v>25</v>
      </c>
      <c r="F82" s="0" t="s">
        <v>25</v>
      </c>
      <c r="G82" s="0" t="s">
        <v>25</v>
      </c>
      <c r="I82" s="0" t="s">
        <v>298</v>
      </c>
      <c r="J82" s="1" t="b">
        <f aca="false">TRUE()</f>
        <v>1</v>
      </c>
      <c r="K82" s="0" t="n">
        <v>1</v>
      </c>
      <c r="L82" s="0" t="n">
        <v>1</v>
      </c>
      <c r="M82" s="0" t="n">
        <v>1</v>
      </c>
    </row>
    <row r="83" customFormat="false" ht="15" hidden="false" customHeight="false" outlineLevel="0" collapsed="false">
      <c r="A83" s="0" t="n">
        <v>47</v>
      </c>
      <c r="B83" s="0" t="s">
        <v>299</v>
      </c>
      <c r="C83" s="0" t="s">
        <v>157</v>
      </c>
      <c r="D83" s="0" t="s">
        <v>20</v>
      </c>
      <c r="E83" s="0" t="s">
        <v>300</v>
      </c>
      <c r="F83" s="0" t="s">
        <v>242</v>
      </c>
      <c r="G83" s="0" t="s">
        <v>242</v>
      </c>
      <c r="I83" s="0" t="s">
        <v>301</v>
      </c>
      <c r="J83" s="3" t="b">
        <f aca="false">FALSE()</f>
        <v>0</v>
      </c>
      <c r="K83" s="0" t="n">
        <v>0</v>
      </c>
      <c r="L83" s="0" t="n">
        <v>0</v>
      </c>
      <c r="M83" s="0" t="n">
        <v>0</v>
      </c>
      <c r="N83" s="0" t="s">
        <v>31</v>
      </c>
    </row>
    <row r="84" customFormat="false" ht="165" hidden="false" customHeight="false" outlineLevel="0" collapsed="false">
      <c r="A84" s="0" t="n">
        <v>14</v>
      </c>
      <c r="B84" s="0" t="s">
        <v>302</v>
      </c>
      <c r="C84" s="2" t="s">
        <v>303</v>
      </c>
      <c r="D84" s="0" t="s">
        <v>25</v>
      </c>
      <c r="F84" s="0" t="s">
        <v>25</v>
      </c>
      <c r="G84" s="0" t="s">
        <v>25</v>
      </c>
      <c r="I84" s="0" t="s">
        <v>304</v>
      </c>
      <c r="J84" s="1" t="b">
        <f aca="false">TRUE()</f>
        <v>1</v>
      </c>
      <c r="K84" s="0" t="n">
        <v>1</v>
      </c>
      <c r="L84" s="0" t="n">
        <v>1</v>
      </c>
      <c r="M84" s="0" t="n">
        <v>1</v>
      </c>
    </row>
    <row r="89" customFormat="false" ht="15" hidden="false" customHeight="false" outlineLevel="0" collapsed="false">
      <c r="A89" s="0" t="s">
        <v>0</v>
      </c>
      <c r="B89" s="0" t="s">
        <v>1</v>
      </c>
      <c r="C89" s="0" t="s">
        <v>2</v>
      </c>
      <c r="D89" s="0" t="s">
        <v>3</v>
      </c>
      <c r="E89" s="0" t="s">
        <v>4</v>
      </c>
      <c r="F89" s="0" t="s">
        <v>5</v>
      </c>
      <c r="G89" s="0" t="s">
        <v>6</v>
      </c>
      <c r="H89" s="0" t="s">
        <v>7</v>
      </c>
      <c r="I89" s="0" t="s">
        <v>8</v>
      </c>
      <c r="J89" s="0" t="s">
        <v>9</v>
      </c>
      <c r="K89" s="0" t="s">
        <v>10</v>
      </c>
      <c r="L89" s="0" t="s">
        <v>11</v>
      </c>
      <c r="M89" s="0" t="s">
        <v>12</v>
      </c>
      <c r="N89" s="0" t="s">
        <v>13</v>
      </c>
    </row>
    <row r="90" customFormat="false" ht="88.7" hidden="false" customHeight="false" outlineLevel="0" collapsed="false">
      <c r="A90" s="0" t="n">
        <v>45</v>
      </c>
      <c r="B90" s="0" t="s">
        <v>139</v>
      </c>
      <c r="C90" s="2" t="s">
        <v>140</v>
      </c>
      <c r="D90" s="0" t="s">
        <v>20</v>
      </c>
      <c r="E90" s="0" t="s">
        <v>121</v>
      </c>
      <c r="F90" s="0" t="s">
        <v>25</v>
      </c>
      <c r="G90" s="0" t="s">
        <v>25</v>
      </c>
      <c r="I90" s="0" t="s">
        <v>141</v>
      </c>
      <c r="J90" s="6" t="b">
        <v>0</v>
      </c>
      <c r="K90" s="0" t="n">
        <v>0</v>
      </c>
      <c r="L90" s="0" t="n">
        <v>0</v>
      </c>
      <c r="M90" s="0" t="n">
        <v>0</v>
      </c>
      <c r="N90" s="0" t="s">
        <v>142</v>
      </c>
    </row>
    <row r="91" customFormat="false" ht="15" hidden="false" customHeight="false" outlineLevel="0" collapsed="false">
      <c r="A91" s="0" t="n">
        <v>79</v>
      </c>
      <c r="B91" s="0" t="s">
        <v>143</v>
      </c>
      <c r="C91" s="0" t="s">
        <v>144</v>
      </c>
      <c r="D91" s="0" t="s">
        <v>34</v>
      </c>
      <c r="F91" s="0" t="s">
        <v>113</v>
      </c>
      <c r="G91" s="0" t="s">
        <v>114</v>
      </c>
      <c r="I91" s="0" t="s">
        <v>145</v>
      </c>
      <c r="J91" s="7" t="b">
        <v>0</v>
      </c>
      <c r="K91" s="0" t="n">
        <v>0.5</v>
      </c>
      <c r="L91" s="0" t="n">
        <v>1</v>
      </c>
      <c r="M91" s="0" t="n">
        <v>0.5</v>
      </c>
      <c r="N91" s="0" t="s">
        <v>146</v>
      </c>
    </row>
    <row r="92" customFormat="false" ht="45.1" hidden="false" customHeight="false" outlineLevel="0" collapsed="false">
      <c r="A92" s="0" t="n">
        <v>1</v>
      </c>
      <c r="B92" s="2" t="s">
        <v>227</v>
      </c>
      <c r="C92" s="2" t="s">
        <v>228</v>
      </c>
      <c r="D92" s="0" t="s">
        <v>34</v>
      </c>
      <c r="F92" s="0" t="s">
        <v>113</v>
      </c>
      <c r="G92" s="0" t="s">
        <v>114</v>
      </c>
      <c r="I92" s="0" t="s">
        <v>229</v>
      </c>
      <c r="J92" s="7" t="b">
        <v>0</v>
      </c>
      <c r="K92" s="0" t="n">
        <v>0.5</v>
      </c>
      <c r="L92" s="0" t="n">
        <v>1</v>
      </c>
      <c r="M92" s="0" t="n">
        <v>0.5</v>
      </c>
      <c r="N92" s="0" t="s">
        <v>230</v>
      </c>
    </row>
    <row r="93" customFormat="false" ht="56" hidden="false" customHeight="false" outlineLevel="0" collapsed="false">
      <c r="A93" s="0" t="n">
        <v>21</v>
      </c>
      <c r="B93" s="0" t="s">
        <v>268</v>
      </c>
      <c r="C93" s="2" t="s">
        <v>269</v>
      </c>
      <c r="D93" s="0" t="s">
        <v>16</v>
      </c>
      <c r="F93" s="0" t="s">
        <v>25</v>
      </c>
      <c r="G93" s="0" t="s">
        <v>25</v>
      </c>
      <c r="I93" s="0" t="s">
        <v>270</v>
      </c>
      <c r="J93" s="8" t="b">
        <v>0</v>
      </c>
      <c r="K93" s="0" t="n">
        <v>0</v>
      </c>
      <c r="L93" s="0" t="n">
        <v>0</v>
      </c>
      <c r="M93" s="0" t="n">
        <v>0</v>
      </c>
      <c r="N93" s="5" t="s">
        <v>271</v>
      </c>
    </row>
    <row r="94" customFormat="false" ht="23.3" hidden="false" customHeight="false" outlineLevel="0" collapsed="false">
      <c r="A94" s="0" t="n">
        <v>65</v>
      </c>
      <c r="B94" s="0" t="s">
        <v>305</v>
      </c>
      <c r="C94" s="0" t="s">
        <v>279</v>
      </c>
      <c r="D94" s="0" t="s">
        <v>20</v>
      </c>
      <c r="E94" s="0" t="s">
        <v>121</v>
      </c>
      <c r="F94" s="0" t="s">
        <v>25</v>
      </c>
      <c r="G94" s="0" t="s">
        <v>25</v>
      </c>
      <c r="I94" s="0" t="s">
        <v>280</v>
      </c>
      <c r="J94" s="7" t="b">
        <v>0</v>
      </c>
      <c r="K94" s="0" t="n">
        <v>0</v>
      </c>
      <c r="L94" s="0" t="n">
        <v>0</v>
      </c>
      <c r="M94" s="0" t="n">
        <v>0</v>
      </c>
      <c r="N94" s="0"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306</v>
      </c>
      <c r="C1" s="0" t="s">
        <v>307</v>
      </c>
      <c r="D1" s="0" t="s">
        <v>308</v>
      </c>
      <c r="E1" s="0" t="s">
        <v>309</v>
      </c>
      <c r="F1" s="0" t="s">
        <v>310</v>
      </c>
      <c r="G1" s="0" t="s">
        <v>311</v>
      </c>
    </row>
    <row r="2" customFormat="false" ht="15" hidden="false" customHeight="false" outlineLevel="0" collapsed="false">
      <c r="A2" s="0" t="s">
        <v>25</v>
      </c>
      <c r="B2" s="0" t="n">
        <v>20</v>
      </c>
      <c r="C2" s="0" t="n">
        <v>19</v>
      </c>
      <c r="D2" s="0" t="n">
        <v>9</v>
      </c>
      <c r="E2" s="0" t="n">
        <v>1</v>
      </c>
      <c r="F2" s="0" t="s">
        <v>312</v>
      </c>
      <c r="G2" s="0" t="s">
        <v>313</v>
      </c>
    </row>
    <row r="3" customFormat="false" ht="15" hidden="false" customHeight="false" outlineLevel="0" collapsed="false">
      <c r="A3" s="0" t="s">
        <v>242</v>
      </c>
      <c r="B3" s="0" t="n">
        <v>2</v>
      </c>
      <c r="C3" s="0" t="n">
        <v>0</v>
      </c>
      <c r="D3" s="0" t="n">
        <v>3</v>
      </c>
      <c r="E3" s="0" t="n">
        <v>2</v>
      </c>
      <c r="F3" s="0" t="s">
        <v>314</v>
      </c>
      <c r="G3" s="0" t="s">
        <v>314</v>
      </c>
    </row>
    <row r="4" customFormat="false" ht="15" hidden="false" customHeight="false" outlineLevel="0" collapsed="false">
      <c r="A4" s="0" t="s">
        <v>20</v>
      </c>
      <c r="B4" s="0" t="n">
        <v>20</v>
      </c>
      <c r="C4" s="0" t="n">
        <v>16</v>
      </c>
      <c r="D4" s="0" t="n">
        <v>1</v>
      </c>
      <c r="E4" s="0" t="n">
        <v>4</v>
      </c>
      <c r="F4" s="0" t="s">
        <v>315</v>
      </c>
      <c r="G4" s="0" t="s">
        <v>316</v>
      </c>
    </row>
    <row r="5" customFormat="false" ht="15" hidden="false" customHeight="false" outlineLevel="0" collapsed="false">
      <c r="A5" s="0" t="s">
        <v>63</v>
      </c>
      <c r="B5" s="0" t="n">
        <v>4</v>
      </c>
      <c r="C5" s="0" t="n">
        <v>3</v>
      </c>
      <c r="D5" s="0" t="n">
        <v>1</v>
      </c>
      <c r="E5" s="0" t="n">
        <v>1</v>
      </c>
      <c r="F5" s="0" t="s">
        <v>317</v>
      </c>
      <c r="G5" s="0" t="s">
        <v>317</v>
      </c>
    </row>
    <row r="6" customFormat="false" ht="15" hidden="false" customHeight="false" outlineLevel="0" collapsed="false">
      <c r="A6" s="0" t="s">
        <v>29</v>
      </c>
      <c r="B6" s="0" t="n">
        <v>0</v>
      </c>
      <c r="C6" s="0" t="n">
        <v>0</v>
      </c>
      <c r="D6" s="0" t="n">
        <v>0</v>
      </c>
      <c r="E6" s="0" t="n">
        <v>0</v>
      </c>
      <c r="F6" s="0" t="s">
        <v>318</v>
      </c>
      <c r="G6" s="0" t="s">
        <v>318</v>
      </c>
    </row>
    <row r="7" customFormat="false" ht="15" hidden="false" customHeight="false" outlineLevel="0" collapsed="false">
      <c r="A7" s="0" t="s">
        <v>16</v>
      </c>
      <c r="B7" s="0" t="n">
        <v>31</v>
      </c>
      <c r="C7" s="0" t="n">
        <v>25</v>
      </c>
      <c r="D7" s="0" t="n">
        <v>3</v>
      </c>
      <c r="E7" s="0" t="n">
        <v>6</v>
      </c>
      <c r="F7" s="0" t="s">
        <v>319</v>
      </c>
      <c r="G7" s="0" t="s">
        <v>320</v>
      </c>
    </row>
    <row r="8" customFormat="false" ht="15" hidden="false" customHeight="false" outlineLevel="0" collapsed="false">
      <c r="A8" s="0" t="s">
        <v>34</v>
      </c>
      <c r="B8" s="0" t="n">
        <v>11</v>
      </c>
      <c r="C8" s="0" t="n">
        <v>10</v>
      </c>
      <c r="D8" s="0" t="n">
        <v>0</v>
      </c>
      <c r="E8" s="0" t="n">
        <v>1</v>
      </c>
      <c r="F8" s="0" t="s">
        <v>321</v>
      </c>
      <c r="G8" s="0" t="s">
        <v>322</v>
      </c>
    </row>
    <row r="9" customFormat="false" ht="15" hidden="false" customHeight="false" outlineLevel="0" collapsed="false">
      <c r="A9" s="0" t="s">
        <v>83</v>
      </c>
      <c r="B9" s="0" t="n">
        <v>0</v>
      </c>
      <c r="C9" s="0" t="n">
        <v>0</v>
      </c>
      <c r="D9" s="0" t="n">
        <v>0</v>
      </c>
      <c r="E9" s="0" t="n">
        <v>0</v>
      </c>
      <c r="F9" s="0" t="s">
        <v>318</v>
      </c>
      <c r="G9" s="0" t="s">
        <v>318</v>
      </c>
    </row>
    <row r="10" customFormat="false" ht="15" hidden="false" customHeight="false" outlineLevel="0" collapsed="false">
      <c r="A10" s="0" t="s">
        <v>225</v>
      </c>
      <c r="B10" s="0" t="n">
        <v>0</v>
      </c>
      <c r="C10" s="0" t="n">
        <v>0</v>
      </c>
      <c r="D10" s="0" t="n">
        <v>4</v>
      </c>
      <c r="E10" s="0" t="n">
        <v>0</v>
      </c>
      <c r="F10" s="0" t="s">
        <v>318</v>
      </c>
      <c r="G10" s="0" t="s">
        <v>314</v>
      </c>
    </row>
    <row r="11" customFormat="false" ht="15" hidden="false" customHeight="false" outlineLevel="0" collapsed="false">
      <c r="A11" s="0" t="s">
        <v>173</v>
      </c>
      <c r="B11" s="0" t="n">
        <v>0</v>
      </c>
      <c r="C11" s="0" t="n">
        <v>0</v>
      </c>
      <c r="D11" s="0" t="n">
        <v>0</v>
      </c>
      <c r="E11" s="0" t="n">
        <v>0</v>
      </c>
      <c r="F11" s="0" t="s">
        <v>318</v>
      </c>
      <c r="G11" s="0"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323</v>
      </c>
      <c r="B1" s="0" t="s">
        <v>324</v>
      </c>
      <c r="C1" s="0" t="s">
        <v>325</v>
      </c>
    </row>
    <row r="2" customFormat="false" ht="15" hidden="false" customHeight="false" outlineLevel="0" collapsed="false">
      <c r="A2" s="0" t="s">
        <v>326</v>
      </c>
      <c r="B2" s="0" t="s">
        <v>327</v>
      </c>
      <c r="C2" s="0" t="n">
        <v>83</v>
      </c>
    </row>
    <row r="3" customFormat="false" ht="15" hidden="false" customHeight="false" outlineLevel="0" collapsed="false">
      <c r="A3" s="0" t="s">
        <v>328</v>
      </c>
      <c r="B3" s="0" t="s">
        <v>315</v>
      </c>
      <c r="C3" s="0" t="n">
        <v>83</v>
      </c>
    </row>
    <row r="4" customFormat="false" ht="15" hidden="false" customHeight="false" outlineLevel="0" collapsed="false">
      <c r="A4" s="0" t="s">
        <v>329</v>
      </c>
      <c r="B4" s="0" t="s">
        <v>330</v>
      </c>
      <c r="C4" s="0" t="n">
        <v>83</v>
      </c>
    </row>
    <row r="5" customFormat="false" ht="15" hidden="false" customHeight="false" outlineLevel="0" collapsed="false">
      <c r="A5" s="0" t="s">
        <v>331</v>
      </c>
      <c r="B5" s="0" t="s">
        <v>332</v>
      </c>
      <c r="C5" s="0" t="n">
        <v>83</v>
      </c>
    </row>
    <row r="6" customFormat="false" ht="15" hidden="false" customHeight="false" outlineLevel="0" collapsed="false">
      <c r="A6" s="0" t="s">
        <v>333</v>
      </c>
      <c r="B6" s="0" t="s">
        <v>334</v>
      </c>
      <c r="C6" s="0" t="n">
        <v>20</v>
      </c>
    </row>
    <row r="7" customFormat="false" ht="15" hidden="false" customHeight="false" outlineLevel="0" collapsed="false">
      <c r="A7" s="0" t="s">
        <v>335</v>
      </c>
      <c r="B7" s="0" t="s">
        <v>336</v>
      </c>
      <c r="C7" s="0" t="n">
        <v>20</v>
      </c>
    </row>
    <row r="8" customFormat="false" ht="15" hidden="false" customHeight="false" outlineLevel="0" collapsed="false">
      <c r="A8" s="0" t="s">
        <v>337</v>
      </c>
      <c r="B8" s="0" t="s">
        <v>338</v>
      </c>
      <c r="C8" s="0" t="n">
        <v>20</v>
      </c>
    </row>
    <row r="9" customFormat="false" ht="15" hidden="false" customHeight="false" outlineLevel="0" collapsed="false">
      <c r="A9" s="0" t="s">
        <v>339</v>
      </c>
      <c r="B9" s="0" t="s">
        <v>340</v>
      </c>
      <c r="C9" s="0"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2026-07-29T07:04:14Z</dcterms:created>
  <dc:creator>openpyxl</dc:creator>
  <dc:description/>
  <dc:language>en-GB</dc:language>
  <cp:lastModifiedBy/>
  <dcterms:modified xsi:type="dcterms:W3CDTF">2026-07-29T11:00:50Z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