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<sst xmlns="http://schemas.openxmlformats.org/spreadsheetml/2006/main" count="407" uniqueCount="244">
  <si>
    <t xml:space="preserve">Title</t>
  </si>
  <si>
    <t xml:space="preserve">Abstract</t>
  </si>
  <si>
    <t xml:space="preserve">end_product_type</t>
  </si>
  <si>
    <t xml:space="preserve">sub_end_product</t>
  </si>
  <si>
    <t xml:space="preserve">gt_conflict</t>
  </si>
  <si>
    <t xml:space="preserve">raw_predicted_categories</t>
  </si>
  <si>
    <t xml:space="preserve">predicted_end_product_type</t>
  </si>
  <si>
    <t xml:space="preserve">predicted_sub_end_product</t>
  </si>
  <si>
    <t xml:space="preserve">Reasoning</t>
  </si>
  <si>
    <t xml:space="preserve">exact_match</t>
  </si>
  <si>
    <t xml:space="preserve">row_precision</t>
  </si>
  <si>
    <t xml:space="preserve">row_recall</t>
  </si>
  <si>
    <t xml:space="preserve">row_jaccard</t>
  </si>
  <si>
    <t xml:space="preserve">Up-cycling of whey streams via microalgae
into innovative fortified dairy and dairy-alternative products - Whey2blue</t>
  </si>
  <si>
    <t xml:space="preserve">Whey2blue, through the upcycling of dairy side streams into microalgae biomass, develops a sustainable, circular and affordable technology for production of alternative protein and other functional ingredients. Whey2blue opens the way to a blue economy cascade for healthier food products.</t>
  </si>
  <si>
    <t xml:space="preserve">Dairy</t>
  </si>
  <si>
    <t xml:space="preserve">Milk</t>
  </si>
  <si>
    <t xml:space="preserve">Upcycles whey/dairy side streams into fortified dairy and dairy-alternative products without naming a specific dairy subtype.</t>
  </si>
  <si>
    <t xml:space="preserve">AlgFlavor: Enhancing algal biomass consumer acceptance for food markets</t>
  </si>
  <si>
    <t xml:space="preserve">As society shifts away from animal-based diets driven by environmental sustainability, health, and animal welfare concerns, both seaweeds and microalgae (referred to as algae) have emerged as promising sustainable food sources due to their carbon capture capabilities and interesting nutrient profile, including proteins, minerals and omega-3 fatty acids. Despite their potential, the widespread adoption of algal biomass in food faces significant hurdles on the European markets, primarily stemming from consumer acceptance regarding their impact on taste, aroma, and visual appeal in food products. AlgFlavor addresses several knowledge gaps and challenges hindering the integration of algae into European diets. Recent research shows the broad diversity of flavor profiles among different algae, which also depend on cultivation and processing conditions. The potential of specific marine algae was highlighted for developingseafood alternatives due to their intrinsic seafood flavor. AlgFlavor will identify the optimal cultivation and processing conditions to improve the seafood flavor of the algae. Production conditions with desired flavor qualities will then be scaled while maintaining consistency. Through in-depth flavor analysis and consumer acceptance tests, AlgFlavor seeks to enable efficient formulation of food containing algae, focusing on seafood alternatives. Furthermore, the behavior of algal flavor within different food matrices (e.g. lipids, protein or carbohydrates), in presence of flavor enhancers as well as after different types of processing or storage will be investigated; both as model systems and food products. AlgFlavor prioritizes consumer engagement to increase awareness and acceptance of algal-containing food products, thereby promoting healthier and more sustainable dietary choices. Furthermore, environmental, social, and economic impacts of algal production and the algalcontaining food will be integrated in AlgFlavor. A risk-benefit study will be carried out to evaluate the effects of consuming algalcontaining food products. This assessment will focus on the nutritional impacts and claims of incorporating these food formulations into the regular diets of different population groups within the studied areas. AlgFlavor adopts a multidisciplinary approach encompassing cultivation science, food technology, food chemistry, sensory evaluation, consumer behavior research, and sustainability and risk-benefit assessment. This approach will bridge the gap between algal producers and the food industry, creating a resilient blue economy. By supporting the growth of the seafood alternatives sector using low trophic species, the project has a positive environmental impact through reducing the pressure on marine animal stocks. As a result, AlgFlavor aligns with the EU’s Blue Bioresources priority area by promoting sustainable food production and reducing pressure on marine ecosystems.</t>
  </si>
  <si>
    <t xml:space="preserve">Seafood</t>
  </si>
  <si>
    <t xml:space="preserve">Fish and seafood</t>
  </si>
  <si>
    <t xml:space="preserve">Algae cultivation/processing explicitly optimized for seafood-flavored plant-based seafood alternatives.</t>
  </si>
  <si>
    <t xml:space="preserve">MuD Proteine leguminosenfreier Anbaualternativen nicht tierischer Erzeugung in Nahrungsmitteln - Technische Hochschule Ostwestfalen-Lippe (PLANTEIN)</t>
  </si>
  <si>
    <t xml:space="preserve">egenstand des Projektes Plantein ist es, landwirtschaftlichen Betrieben das Know-how, im An-bau, in der Verarbeitung und in der Vermarktung von Lebensmitteln aus pflanzlichen Proteinen, zu demonstrieren. Die Proteine von Nicht-Leguminosen wie Sonnenblume (Helianthus annuus), Amarant (Amaranthus sp.), Quinoa (Chenopodium sp.) sowie Körnerhanf (Cannabis sativa), Leinsamen (Linum usitatissimum), Chia (Sativa sp.) und Raps (Brassica napus) sollen aus den Rohprodukten extrahiert bzw. aufkonzentriert werden und den landwirtschaftlichen Betrieben eine maximale Partizipation an der Wertschöpfungskette ermöglichen. Die Interdependenz zwi-schen landwirtschaftlicher Produktion und technischer Verarbeitung steht im Mittelpunkt der Demonstrationen. Darüber hinaus soll die Wissenslücke zwischen den Disziplinen der landwirt-schaftlichen Produktion und der Lebensmittelwirtschaft geschlossen und damit die Marktein-trittsbarriere für die Betriebe gesenkt werden.</t>
  </si>
  <si>
    <t xml:space="preserve">Agnostic</t>
  </si>
  <si>
    <t xml:space="preserve">Demonstrates plant-protein cultivation/processing know-how with no specific end product named.</t>
  </si>
  <si>
    <t xml:space="preserve">AlgFlavor, Enhancing algal biomass consumer acceptance for food markets</t>
  </si>
  <si>
    <t xml:space="preserve">As society shifts away from animal-based diets driven by environmental, health and animal welfare
concerns, both seaweed and microalgae (collectively referred to as algae) emerge as a promising
sustainable food source. With their rich nutritional content, including protein, minerals, vitamins, fiber
and omega-3 fatty acids, these low trophic marine species offer a viable solution to meet consumer
demands for healthy and eco-friendly diets. Despite the potential of algae, the widespread adoption in
European markets faces hurdles due to limited consumer acceptance stemming from the impact of
algal biomass on taste, aroma and visual appeal in food products. AlgFlavor will tackle these
concerns as it is crucial for building consumer trust and promoting the widespread use of algae in food.</t>
  </si>
  <si>
    <t xml:space="preserve">Discusses algae as a general sustainable food source with no specific product application stated.</t>
  </si>
  <si>
    <t xml:space="preserve">Develop good and healthy HMMA textured plant proteins for the food industry</t>
  </si>
  <si>
    <t xml:space="preserve">Purpose and goal: 
Peter o Bolinder AB together with Peas of Heaven AB, Swedish University of
Agricultural Sciences (SLU) and Örebro University (ORU) will carry out an
innovation project to develop plant-based foods that have equivalent or
better nutritional values than animal products. The project has three areas
of innovation: to identify the most suitable crops, to improve the
nutritional values, and develop two good and healthy plant-based foods.
Expected results and effects: 
The project has three areas of innovation: to identify the most suitable
crops, to improve the nutritional values and finally to develop two good and
useful plant-based foods. With the results from the innovation project, we
will design and build a facility to develop and produce HMMA (High Moisture
Meat Analogs) textured plant proteins for Swedish and international customers
for better health, a sustainable climate and contribute to increased speed in
the food transition. 
Approach and implementation: 
The project is divided into the following work packages:
1 Knowledge gathering
2 Develop protein blends and HMMA (High Moisture Meat Analogs) textured
material
3 Nutrition and bioavailability analyses
4 Develop foods, plant-based meat and chicken alternatives.</t>
  </si>
  <si>
    <t xml:space="preserve">Meat</t>
  </si>
  <si>
    <t xml:space="preserve">Explicitly develops textured plant proteins into plant-based meat and chicken alternatives.</t>
  </si>
  <si>
    <t xml:space="preserve">MeatPrint - Exploring the mechanophysical
and biochemical interplay of hydrogel additive formulations and bovine muscle
and fat cells of different differentiation stages in high-scale 3D
bioprinting processes</t>
  </si>
  <si>
    <t xml:space="preserve">The project MeatPrint explores the mechanophysical and biochemical interplay of hydrogel additive formulations and bovine muscle and fat cells of different differentiation stages in high-scale 3D bioprinting processes. To mimic the complex morphology and hierarchical structuring of living tissues, 3D bioprinting techniques that enable precise positioning of cells and ECM materials have been investigated in the field of tissue engineering for several years. To date, these techniques have been used primarily as batch processes. The limited scalability of such processes, is of secondary importance for the field of regenerative medicine. However, for the production of in vitro tissue models for pharmaceutical research or for applications in the field of cellular agriculture (e.g. cultured meat), which will require larger production volumes in the future, continuous printing processes that allow scalable biofabrication are required. This is where the present research project comes in, in which screen printing is investigated as a high-scale biofabrication tool. Depending on the printing modality, in 3D-bioprinting different interactions occur between the nozzle or application system used, the printing material and the cells contained therein. These can have a lasting effect on both the texture of the tissue and cell fate. The aim of this research project is to investigate the aforementioned interactions and their effects on survival rate, morphology and gene expression of two cell types relevant for cellular agriculture (primary bovine muscle and fat cells) in different differentiation levels. To this end, screen printing will be explored as a scalable bioprinting technology and compared to microextrusion printing. The interactions will be explored as a function of relevant printing parameters (speed, printing volume, dispensing related shear stresses) during and after printing. A particularly intriguing question here will be how the two cell types, which differ markedly in morphology (round fat cells vs. fused muscle fibers) and biomechanics (fatty acid-rich vesicles vs. actin- and myosin-rich cytoskeleton) depending on the degree of differentiation, respond to the external stimuli. The empirical data collected will be used to build interaction models that will allow conclusions to be drawn about the influence of printing-dependent shear forces on primary animal cells. Finally, it will be explored whether the printing-related stimuli also lead to a modulation of cell-cell interactions in co-cultures of both cell types. The knowledge gained in the project will provide an important contribution to the future scaling up of bioprinting methods and thus to the exploration of diverse translational possibilities in the fields of medicine, pharmaceutical research and cellular agriculture.</t>
  </si>
  <si>
    <t xml:space="preserve">Bioprints bovine muscle and fat cells explicitly for cultivated meat/cellular agriculture applications.</t>
  </si>
  <si>
    <t xml:space="preserve">Valorization of a starch-rich side-stream
from peas for Swiss-based functionalized protein concentrates and starch
derivatives</t>
  </si>
  <si>
    <t xml:space="preserve">This research project aims to develop customized functional protein concentrates from side-streams of plant-based raw material processing. It comprises the targeted functionalization of by-products for plant-based dairy and meat alternatives.</t>
  </si>
  <si>
    <t xml:space="preserve">Dairy, Meat</t>
  </si>
  <si>
    <t xml:space="preserve">Meat; Dairy</t>
  </si>
  <si>
    <t xml:space="preserve">Functionalized protein by-products explicitly targeted at plant-based dairy and meat alternatives, without a specific dairy subtype.</t>
  </si>
  <si>
    <t xml:space="preserve">FBR_OC1_27 - Impact
of the extrusion process on health-related properties of a pea and oat snack</t>
  </si>
  <si>
    <t xml:space="preserve">The project aims to investigate the health properties of novel plant-based snacks, produced by extrusion technology using pea starch, pea protein and oat fiber.</t>
  </si>
  <si>
    <t xml:space="preserve">Snacks</t>
  </si>
  <si>
    <t xml:space="preserve">Generic pea/oat extruded snack with no end product category among the twelve defined.</t>
  </si>
  <si>
    <t xml:space="preserve">This should not be in scope. General plant-based snacks do not substitute an animal product so are not an alternative protein.</t>
  </si>
  <si>
    <t xml:space="preserve">Fostering European cellular Agriculture for Sustainable Transition Solutions (FEASTS)</t>
  </si>
  <si>
    <t xml:space="preserve">The current food system is insufficient and unsustainable, generating 17% of the total GHG emissions for animal farming while only supplying 18% of the global calories and 37% of the global proteins. The cultured meat (CM) and cultured seafood (CSF) industry is emerging to meet the growing demand of protein with promises of lower environmental footprint. However, the current knowledge on the impact of this sector is limited, based on developments that have not happened yet and lacking important considerations such as its social impact or its adaptability to current and future demand. Current race-to-market pressures, fueled by recent market approvals overseas, highlight the need to define a roadmap that can develop the sector in an ethical, sustainable and cost-competitive way. This is a unique opportunity for an effective reorganisation of the food system to establish resilient value chains in the EU. Gathering a large set of independent food system actors, FEASTS will provide an unprecedented, unbiased and robust knowledge base for the assessment of the sustainability aspects of the CM/CSF sector by actively promoting multistakeholder engagement and co-creation activities grounded on transparent dialogue and open science practices. It will explore different production methods, product types, supply and value chains as well as business models to provide balanced solutions that are not only sustainable by design and cost-efficient, but also ethically responsible, safe and nutritious, fair and inclusive. FEASTS, designed as a think-tank, adopts a Food Systems Thinking approach and a multidimensional impact assessment including not only LCA, TEA and SLCA of CM/CSF products and their comparison to conventional counterparts but also systems dynamic modelling and integrated scenario analysis that will provide a decision support tool for informed policy- and decision-making in the EU.</t>
  </si>
  <si>
    <t xml:space="preserve">Meat, Seafood</t>
  </si>
  <si>
    <t xml:space="preserve">Meat; Fish and seafood</t>
  </si>
  <si>
    <t xml:space="preserve">Meat; Seafood</t>
  </si>
  <si>
    <t xml:space="preserve">Roadmap/think-tank explicitly assessing the cultivated meat (CM) and cultivated seafood (CSF) sector.</t>
  </si>
  <si>
    <t xml:space="preserve">Engineering safe faba beans by targeting the anti-nutrients vicine and convicine (CleanBean)</t>
  </si>
  <si>
    <t xml:space="preserve">Faba bean is a high-yielding protein crop well adapted to cold climates. Its seeds contain large amounts of protein, antioxidants, and micronutrients, making it an ideal crop to support the transition toward a plant-based diet. However, faba bean seeds also accumulate high levels of the anti-nutritional alkaloids vicine and convicine. These alkaloids cause hemolytic anemia (favism) in individuals with a genetic deficiency (G6PD deficiency) occurring in ~5% of the world population. Faba bean varieties with reduced levels of vicine and convicine exist, but the residual levels are variable, causing concern for the food industry. The development of varieties devoid of vicine and convicine has been hampered by a lack of genomic resources and insufficient knowledge about their biosynthesis. 
In the CleanBean project, I will team up with Prof. Fernando Geu-Flores from the Department of Plant and Environmental Sciences of the University of Copenhagen. I will use recently generated resources to uncover the full vicine and convicine pathway and create faba bean lines devoid of these anti-nutrients. The proposed work involves gene selection through co-regulation &amp; association strategies, pathway elucidation using in vitro and in vivo assays, and pathway inactivation in faba bean using the recently published FIND-IT technology (non-GMO). The impact of CleanBean will be multifaceted, spanning both fundamental and applied research. On the basic science side, the project will uncover the complete pathway of a nucleotide-derived specialized metabolite from plants for the first time. On the applied side, the project will lead to the creation of a vicine- and convicine-free faba bean, thus enabling the safe consumption of faba beans by all individuals and helping transform the landscape of sustainable food production.</t>
  </si>
  <si>
    <t xml:space="preserve">Faba bean anti-nutrient gene engineering with no specific food product application stated.</t>
  </si>
  <si>
    <t xml:space="preserve">Next Generation Plant-Based Meats: Optimising Nutritional Value and Sustainability through Ingredient Selection and Processing</t>
  </si>
  <si>
    <t xml:space="preserve">THIS has a range of plant-based products
already on the market which have a realistic taste and texture compared to
meat from animals. Whilst THIS has data to show that CO2 emissions from its
range are significantly less than meat, and the protein content is similar to
meat, there is still research to be done around the nutritional comparison to
meat in terms of protein digestibility and bioavailability of other
nutritional components. The project will aim to address those gaps by a
combination of ingredient selection and processing. Developments will be
assessed against the baseline nutritional parameters and also in terms of
sustainability measures, taste, and cost in order to ensure that the increase
in nutritional profile is not at the expense of sustainability, product
quality or greater cost, limiting its accessibility to consumers.</t>
  </si>
  <si>
    <t xml:space="preserve">Optimizes nutrition/sustainability of an existing plant-based meat product range.</t>
  </si>
  <si>
    <t xml:space="preserve">Novel precision fermentation process to produce animal-free bioidentical ovalbumin (Bioalbumin)</t>
  </si>
  <si>
    <t xml:space="preserve">Eggs are critically important in the global food system due to functional and nutritional properties; yet the egg market and supply chains are in crisis due to cage-free requirements and avian flu. Onego Bio will make it possible to manufacture egg protein entirely animal-free. We developed a highly-scalable precision fermentation process using the patented Trichoderma reesei cellular-based production to produce animal-free ovalbumin. We produce bioidentical egg protein with cost parity and 87% lower CO2 emissions compared to traditional animal-derived eggs.
Ovalbumin is the most important egg protein, responsible for the essential ingredient performance. This single protein ovalbumin can solve all current challenges in the egg market and supply chain.
Our product, Bioalbumen provides the nutritional and functional upsides of egg protein, without the environmental, ethical and safety-related drawbacks. Our manufacturing method stabilises the food supply chain and increases food security.</t>
  </si>
  <si>
    <t xml:space="preserve">Eggs</t>
  </si>
  <si>
    <t xml:space="preserve">Eggs and egg proteins</t>
  </si>
  <si>
    <t xml:space="preserve">Precision fermentation production of animal-free bioidentical ovalbumin, an egg protein.</t>
  </si>
  <si>
    <t xml:space="preserve">Meat replacement and systems of edibility in Asia and beyond</t>
  </si>
  <si>
    <t xml:space="preserve">Alternative proteins can replace meat. Given that meat-intensive diets have significant health, environmental, climate and animal welfare impacts, this idea is generating hype, optimism and substantial investment. Whether involving insects, plants, lab-grown meat or other ingredients, alternative proteins come with high expectations. However, it has become increasingly evident that much has been taken for granted in this field: just because something can be eaten, this does not mean that it will qualify as desirable and culturally appropriate food. Hence, while alternative proteins can replace meat, it is still unclear how and to what extent this replacement will in fact take place. Understanding how this does (not) happen is of crucial importance to achieving the dietary changes required for global food system sustainability. Extensive research on alternative protein consumption shows that replacing meat is challenging and that there is considerable scepticism among consumers towards replacement products. We know this scepticism is shaped by a range of factors, such as taste and health concerns, the habitual nature of food practices, and a general fear of new food types. But we do not know how and why things become accepted as edible, desirable food or not. We do not even know quite how to study this. Such knowledge is necessary and urgent. To address this knowledge gap, REPLACE sets out to answer a deceptively simple question: how does food become food? To do so, it develops a new theoretical and methodological approach and empirically explores meat replacement in Eastern Asia, a key but understudied region in the ‘protein transition’. Focusing on a range of meat replacers, such as plant-based meat analogues, insects and lab-grown meat, the project zooms in on two key but highly different case countries in Southeast Asia representing a main innovation hub and important market (Singapore) and a late industry entry and emerging market (Vietnam).</t>
  </si>
  <si>
    <t xml:space="preserve">Social-science study of meat replacement via plant-based, insect, and lab-grown meat analogues.</t>
  </si>
  <si>
    <t xml:space="preserve">Joint project: Matured cheese alternatives based on recombinant milk proteins and vegetable fats (REALKAE) - Subproject A</t>
  </si>
  <si>
    <t xml:space="preserve">Matured cheese alternatives based on recombinant milk proteins and vegetable fats (REALKAE)</t>
  </si>
  <si>
    <t xml:space="preserve">Cheese</t>
  </si>
  <si>
    <t xml:space="preserve">Matured cheese alternatives developed from recombinant milk proteins and vegetable fats.</t>
  </si>
  <si>
    <t xml:space="preserve">Implications of carbon policies on the quality of UK diets</t>
  </si>
  <si>
    <t xml:space="preserve">There is increasing support to the idea of regulating food markets to reduce the current environmental impact of diets. For instance, food prices could be increased by a carbon tax that incorporates the greenhouse gas (GHG) emission associated to its production. However, environmental impact and nutrition are not perfect substitutes: while fresh fruits and vegetables are low in fats, sugar, and GHG compared to red meat, they can be low in other essential nutrients (e.g. proteins). This project seeks to extend our present understanding of food policies by exploring the link between environmental regulation of food markets and the nutritional quality of the resulting diets.</t>
  </si>
  <si>
    <t xml:space="preserve">Policy study on diet quality/carbon taxes with no specific alternative-protein product.</t>
  </si>
  <si>
    <t xml:space="preserve">Pioneering Revolutionary Sustainable Oil Production using Precision Fermentation (PRECISE)</t>
  </si>
  <si>
    <t xml:space="preserve">The project will further develop a sustainable technology to produce high-value oil products using precision fermentation. The synthesized oil is considered an alternative to palm oil, which is associated with deforestation and environmental and social problems.
We are developing a sustainable and scalable technology to produce high-value products using precision fermentation. Our innovative technology has a unique scaling potential that can use different feedstocks (i.e. starchy wheat and corn) to produce high-value oil. In the GUDP project, we will further develop a process for the production of a new sustainable, scalable and cost-effective alternative to palm oil. This fermentation-based oil aims to replace palm oil in margarine and other food/feed applications. As we use fermentation, our oil is exempt from the EU Deforestation Regulation (EUDR), ensuring unique sustainability and commercial value. 
With the project, we are delivering a sustainable and scalable alternative to traditional palm oil production, which is associated with deforestation and other environmental and social problems. We will make Denmark and the EU less dependent on palm oil imports and contribute to economic growth. This project will also improve the competitiveness and circularity of the food industry, and pave the way for a new segment in the production of sustainable palm oil.</t>
  </si>
  <si>
    <t xml:space="preserve">Fats</t>
  </si>
  <si>
    <t xml:space="preserve">Spreads, sauces, and condiments</t>
  </si>
  <si>
    <t xml:space="preserve">Fermentation-derived oil explicitly aimed at replacing palm oil in margarine, a fat-phase spread.</t>
  </si>
  <si>
    <t xml:space="preserve">Correct to be spreads,</t>
  </si>
  <si>
    <t xml:space="preserve">Multifunctional microgel networks and ice-structuring proteins to increase and maintain ice cream quality</t>
  </si>
  <si>
    <t xml:space="preserve">Industrially manufactured ice cream places high demands on the maintenance of product properties during transport and storage. The quality is largely determined by the size of the ice crystals in the disperse multiphase system. In addition to the lowering of the freezing point due to the saccharide spectrum, there are two ways of influencing the growth of ice crystals in ice cream after hardening: on the one hand by stabilizer networks and on the other hand by ice-structuring proteins (ESP), of vegetable or animal origin. Stabilizer networks influence the diffusion of water in the continuous liquid phase of ice cream through viscosity barriers, while ESP prevent the storage of water molecules in the crystal lattice on the crystal surface. The aim of the project is to largely limit the growth of ice crystals in hardened ice cream under the conditions of temperature fluctuations during storage through microgel networks and / or ESP and thus to maintain essential quality features. Here, recipe-technical solutions are sought in order to prevent loss of quality in ice cream during transport and storage. A particular focus is on ensuring long-term stability, even with less than ideal storage conditions and long storage periods (e.g. when exporting products outside of Central Europe). As a result of the rapid market and economic policy developments in recent years, a number of companies and companies in the additive and ice cream industry have been consolidated at home and abroad in order to gain advantages over their competitors. The project opens up numerous opportunities for advantages that improve the competitive position in the long term.</t>
  </si>
  <si>
    <t xml:space="preserve">Icecream</t>
  </si>
  <si>
    <t xml:space="preserve">Cream and ice cream</t>
  </si>
  <si>
    <t xml:space="preserve">Microgel networks and ice-structuring proteins explicitly developed to maintain ice cream quality.</t>
  </si>
  <si>
    <t xml:space="preserve">Human Milk Lactoferrin by Precision
Fermentation</t>
  </si>
  <si>
    <t xml:space="preserve">Precision fermentation presents a transformative solution for today's food system by reducing reliance on animal proteins, offering a sustainable and scalable method for producing specialty proteins. PFx Biotech leverages this innovative technology to produce human milk proteins (HMPs) structurally and functionally identical to those found in human breast milk. This method addresses environmental concerns and ensures higher purity and cost-effectiveness. Proteins like lactoferrin, α-lactalbumin, osteopontin, and immunoglobulins are found in low quantities in cow milk, necessitating the processing of large volumes (e.g., 50 L of milk for 1 g of lactoferrin) and leading to high costs and carbon emissions (50 kg CO2eq). These cow milk-derived proteins also differ by up to 40% in amino acid sequence from their human counterparts, impacting their bioactivity, digestibility, health benefits, and allergenic potential. The infant formula industry is increasingly driven to replicate the composition and bioactivity of human breast milk, but traditional formulas, which use cow milk proteins, fall short due to these structural and functional differences. There is a growing demand for more accurate mimics of human milk to improve infant health outcomes and reduce risks associated with obesity and allergies. The HuMiLAF project aims to scale up the production of human milk lactoferrin (hLF) to a pre-industrial scale, validating its properties and testing its applications. This includes using hLF alone and in micro-and co-encapsulated forms with human milk oligosaccharides (HMOs) and specific probiotic strains in two key products: infant formula and immunity shots. Business objectives include securing regulatory approvals, signing agreements with major customers, and advancing the project to commercialization. This project not only addresses a critical gap in infant nutrition but also positions PFx at the forefront of sustainable and innovative protein production.</t>
  </si>
  <si>
    <t xml:space="preserve">Infant formula</t>
  </si>
  <si>
    <t xml:space="preserve">Human milk lactoferrin produced by precision fermentation explicitly for infant formula application.</t>
  </si>
  <si>
    <t xml:space="preserve">Optimizing production of clean meat using stem cell technology and proteins extracted from animal waste (CleanMeat).</t>
  </si>
  <si>
    <t xml:space="preserve">Den globale kødproduktion fortsætter med at stige, og den menneskelige befolkning står over for fremtidige udfordringer med at klare den stigende fødevareefterspørgsel. Alternative fødevareproduktionskæder er nødvendige for at hjælpe med at klare en stigende befolkning. In vitro-dyrket kød, også kendt som clean meat, er en alternativ fødekæde, der tjener til at reducere animalsk produktion og bidrager til fødevarebæredygtighed. Omkostningerne ved produktion af rent kød forbliver dog høje, og der er en fortsat afhængighed af dyrebiopsier for at få clean meat celler. Dette projekt har til formål at løse disse problemer. Vi vil bruge embryonale stamceller fra kvæg til at skabe et ubegrænset udbud af kødceller og producere rene kødceller ved hjælp af omkostningsreducerende løsninger. Kødceller vil blive produceret ved hjælp af et 3D-dyrket system, der inkorporerer spiselige stilladser, der er egnede til skalering til store mængder. Der vil blive udviklet billigere vækstmedier ved at bruge proteiner udvundet af animalske affaldsprodukter såsom gødning og hår og vækstfaktorer produceret fra dyrkede celler.</t>
  </si>
  <si>
    <t xml:space="preserve">Stem-cell-based technology explicitly for producing clean/cultivated meat cells.</t>
  </si>
  <si>
    <t xml:space="preserve">FermiPro: Replacing Additives with Plants— A New Era of Plant-Based Foods Delivering Real Taste, Texture, and Nutrition Without Ultra-Processed Additives</t>
  </si>
  <si>
    <t xml:space="preserve">The project will replace ultra-processed additives with a fermented, multifunctional plant ingredient “FermiPro”, which is a miso plant protein powder, rich in umami flavor, proteins and B12, and which has good functionalities in terms of texture.
FermiPro will be used in alternative, plant-based products such as cheese, cream and plant-based patties. All products will be validated culinary, by consumers as well as for market potential.</t>
  </si>
  <si>
    <t xml:space="preserve">Cheese, cream</t>
  </si>
  <si>
    <t xml:space="preserve">Meat; Cheese; Cream and ice cream</t>
  </si>
  <si>
    <t xml:space="preserve">Cheese; Cream and ice cream</t>
  </si>
  <si>
    <t xml:space="preserve">FermiPro plant protein ingredient explicitly validated in cheese, cream and plant-based patties.</t>
  </si>
  <si>
    <t xml:space="preserve">Thermal Reaction Products of Ochratoxin A: Metabolism and Bioavailability</t>
  </si>
  <si>
    <t xml:space="preserve">Various chemical reactions are responsible for the degradation of the mycotoxin Ochratoxin A (OTA) during thermal food processing, e.g. during roasting of coffee or extrusion cooking of grain. In the first funding period we could show for the first time that besides the isomerization of OTA to 14R-ochratoxin A (14R-OTA) a covalent matrix-binding of OTA to polysaccharides occurs. Furthermore we could show that these matrix-bound forms are cleaved either during the brewing of coffee or during the intestinal metabolism leading to the release of OTA. In addition to the first funding period we analyzed blood samples of coffee and non-coffee drinkers for the occurrence of OTA and 14R-OTA. We could show that 14R-OTA is detectable in relatively high levels in blood samples in some cases with even higher levels compared to OTA. In the following proposal the reasons for these high levels will be studied. For this in vitro studies for mechanistic evaluations as well as in vivo studies with humans are planned. During the in vitro experiments the binding to plasma proteins, the metabolism in liver and kidney microsomes as well as the intestinal metabolism using the pig-cecum-model will be studied in comparison of OTA and 14R-OTA. In vivo the plasma concentration of 14R-OTA will be screened depending on the consumption of 14R-OTA-containing food samples, especially coffee. In order to detect further sources for 14R-OTA exposure, relevant food groups will be analyzed with the main focus on thermal processed samples.With the obtained data concerning occurrence, metabolism and bioavailability of 14R-OTA the toxicological relevance for the consumer will be evaluated.</t>
  </si>
  <si>
    <t xml:space="preserve">Mycotoxin metabolism/bioavailability study unrelated to any alternative-protein end product.</t>
  </si>
  <si>
    <t xml:space="preserve">MadeSweetly - precision fermentation process for sweet protein production</t>
  </si>
  <si>
    <t xml:space="preserve">Excessive sugar consumption has led to serious health issues. In the UK, 17 million people are obese and 5 million live with diabetes, of which 24,000 die prematurely every year. This has led health experts to advocate for reduced sugar intake, resulting in heightened public awareness and government policies to combat excessive sugar consumption. Consequently, there is a growing demand for healthy sugar alternatives that align with both consumer and governmental requirements for healthier living. 
While various sugar alternatives exist, they often come with significant limitations. However, sweet-tasting proteins have emerged as a promising solution. Derived from West African berries and processed like other healthy food proteins, they show a remarkable sweetness profile up to 3000x higher than sugar. Furthermore, they are suited for the industry thanks to the stability under different conditions and pleasing taste profiles. Despite their great potential, they are yet to become mainstream. The main obstacle is their commercially unfeasible cost and scale, resulting from farming complexities, low yields, and intricate extraction processes. 
To solve this, we're tapping into the transformative potential of engineering biology to create biological production systems. By leveraging cutting-edge genetic tools to engineer microorganisms, we are designing an optimal protein production platform. Our solution capitalises on our expertise with a high potential and safe non-model organism poised to disrupt current industry standards. In our engineered 'cell factories' we can produce these proteins cost-effectively and ecologically, to pave the way for the successful introduction of sweet proteins to the market at scale. This project presents a holistic solution to address the issues associated with sugar and sweetener consumption with a bio-based solution. By effectively tackling these challenges, it not only helps overcome the current problems but also drives the advancement of the bioindustry within the country, establishing a competitive edge on the global stage.</t>
  </si>
  <si>
    <t xml:space="preserve">Agnostic, Sugar</t>
  </si>
  <si>
    <t xml:space="preserve">Engineered microbial production of sweet-tasting proteins with no specific food product named.</t>
  </si>
  <si>
    <t xml:space="preserve">Harnessing the immense potential of
precision fermentation to produce animal fats for the next generation ofmeat
and dairy alternatives</t>
  </si>
  <si>
    <t xml:space="preserve">Melt&amp;Marble (M&amp;M) is a Sweden-based company that specializes in developing exceptional fats for plant-based foods. The origins of our company trace back to Jens Nielsen's Systems and Synthetic Biology group at Chalmers University of Technology in Gothenburg, Sweden. Currently, more than 60% of dietary proteins are supplied by animals whose farming takes up ~77% of all agricultural land despite supplying only 17% of the world’s calories. Dependence on animal proteins leads to ecosystem destruction, biodiversity loss, and &gt;15% of GHG emissions. Though there are alternate meat and dairy options available, the plant-based oils and fats used in plant-based meat and dairy analogues simply cannot compete with the functionality and flavour of animal fats. We have created for the first time, a scalable, precision-fermentation-based proprietary technology platform using engineered yeasts that produce animal-like fats with superior functionality and flavour that customers are demanding. The fats have lower saturated fats levels (40-60% vs. 90% of coconut oil) and better functionality than coconut oil to impart a better taste to meat and dairy analogues. The entire technology platform is scalable due to the existing and outsourced fermentation infrastructure.
The fats are customizable to various food and non-food applications and will benefit the alternative meat producers within the EU and globally. Our technology is protected by a robust IP strategy and patents. We have 10 granted patents and 2 pending patents across 5 patent families and the innovation stems from 2 crucial components protected by these IPs that allow us to efficiently produce highly tailored fats.
We have already scaled up our first product to pilot scale (TRL 5). Within this project, we will improve our production process, scale up further to demo scale, and conduct extensive application tests. This will allow us to advance to TRL 8 and significantly de-risk our investment case.</t>
  </si>
  <si>
    <t xml:space="preserve">Precision-fermentation animal-like fats explicitly intended for meat and dairy analogues generally, without a specific dairy subtype.</t>
  </si>
  <si>
    <t xml:space="preserve">Literally says for meat and dairy in the title</t>
  </si>
  <si>
    <t xml:space="preserve">Innovative patented dry fermentation technology for cost-effective and highly nutritious production of hybrid mycelium-plant meat analogues</t>
  </si>
  <si>
    <t xml:space="preserve">In a public enquiry made by the European
Commission, 80% of respondents were willing to reduce their meat intake to
help reduce the emission of greenhouse gases (GHG), and 74% intended to
change their diet to improve their health. However, current meat analogues in
the market are not a healthy alternative, since they are ultra-processed,
full of binders and additives, and among their ingredients, we can find high
amounts of sugars and sodium, maltodextrins or soy isolate, that are not
indicated for a healthy diet. In addition, these products are nor ecological,
since they are highly resource-demanding, mainly in terms of water
consumption, wastewater generation and energy use, and also cause important
GHG emissions. On top of that, the existing meat analogues are rejected by
consumers due to their off-taste &amp; bad texture that does not resemble to
meat.
In response to this situation, Millow has developed to TRL6 a novel solid
state dry fermentation production technology for mycelium-plant meat
analogues. This highly scalable and cost-effective innovative process
accelerates mycelium growth from most typical 3-7 days periods to &lt;24h,
reducing required water input by 97%, energy use requirements by 67%, and CO2
footprint by 95% compared to benchmark methods based on liquid fermentation.
The resulting products have neutral taste, pleasant texture that mimics meat
attributes without the use of artificial binders, is minimally processed,
healthy, nutritional and eco-friendly.
In the MEATLOW project, we aim to optimise and automate its innovative
technology to reach TRL8 and commercial status, and introduce our disruptive
plant-fungi products in the EU meat substitute market by 2026. To do that,
our highly skilled team of scientific, management and marketing professionals
is determined to lead this project to success.</t>
  </si>
  <si>
    <t xml:space="preserve">Dry fermentation technology producing hybrid mycelium-plant meat analogues.</t>
  </si>
  <si>
    <t xml:space="preserve">SEACUTERIE: Crafting cultivated seafood from ocean leftovers</t>
  </si>
  <si>
    <t xml:space="preserve">The global population is expected to exceed nine billion by 2050, posing significant challenges to food production. Current livestock and fishing practices are unsustainable due to greenhouse gas emissions, pollution, and threats to biodiversity. Cultivated meat and seafood, grown from animal cells, offer a sustainable alternative with reduced environmental impact. Developing biocompatible scaffolds is crucial for large-scale production of cultivated meat and seafood. Here we hypothesize seaweed is a suitable and cost-effective scaffold for cultivated seafood production. Seaweed's biocompatibility, ease of cultivation and harvesting, and established human consumption safety make it a promising candidate for this application.</t>
  </si>
  <si>
    <t xml:space="preserve">Seaweed-derived scaffold explicitly developed for cultivated seafood production.</t>
  </si>
  <si>
    <t xml:space="preserve">Tackling the Astringency Enigma innMouthfeel via Mechanosensation: a Biophysical Approach.</t>
  </si>
  <si>
    <t xml:space="preserve">An unhealthy diet is a major contributor to chronic disease and mortality worldwide. A shift toward healthier food choices is therefore essential to reduce the burden of diet-related diseases. A critical factor driving food choices and ultimately dietary habits, is flavour, which is a complex combination of sensory properties, including taste, aroma, and mouthfeel. Astringent mouthfeel is a tactile sensation characterised by a puckering, rough, or drying feeling in the mouth, often associated with foods and beverages with significant health benefits, including plant-based products. While plant-based diets are generally considered healthier and more sustainable than animal-based diets, their astringent properties frequently lead to consumer rejection. Overcoming these sensory barriers is key to promoting plant-based foods for both health and environmental sustainability. Previous studies show that astringency is triggered by the interaction between phenolic compounds in plant products and salivary proteins or oral epithelial cells. However, the exact mechanosensory pathway for astringency perception remains unclear. This project aims to uncover the fundamental mechanisms behind astringency perception, focusing on mechanosensation, through an interdisciplinary approach that combines molecular, biophysical, and physiological strategies. The study will identify specific mechanoreceptors on oral cells and investigate how phenolic compounds interact with components of the oral cavity. Atomic force microscopy will be the core technique to investigate mechanoreceptor activation, while sensory studies will explore ingredient replacements or additives to improve mouthfeel without compromising health benefits. As such, this project aligns with the Sustainable Development Goal number 3 – “Good health and well-being” – set out by the United Nations, by providing valuable insight into the development of more sustainable dietary patterns, while promoting long-term health benefits.</t>
  </si>
  <si>
    <t xml:space="preserve">Mechanistic astringency/mouthfeel research with no specific product application stated.</t>
  </si>
  <si>
    <t xml:space="preserve">SEANERGIES: Cell-cultured octopus production through sustainable marine biomass valorization</t>
  </si>
  <si>
    <t xml:space="preserve">The world’s population is projected to surpass nine billion by 2050, posing significant challenges for global food production and security. Current livestock farming and fishing practices are unsustainable owing to their greenhouse gas emissions and pollution. Fisheries and aquacultures are major causes of marine litter, ocean damage, and habitat destruction. In addition, factory farming or aquaculture practices, often characterized by overcrowded and unsanitary conditions, have been linked to an increased risk of zoonotic diseases, posing a serious threat to human health and animal welfare. As a result, there is a need for more sustainable and ethical food alternatives. Cultivated meat is an emerging technology where meat is produced using animal cell culture and is seen as a viable alternative, as it mitigates the impacts of conventional livestock and fishing practices. Nevertheless, major technological challenges still need to be addressed to achieve large-scale and cost-efficient cultivatedmeat bioprocesses. These include the development of i) immortalized cell lines, ii) costefficient animal-free media, and iii) biocompatible scaffolds for cell culture. While this technology has primarily focused on terrestrial species, there is increasing interest in cultivated seafood. The octopus, known for its remarkable tissue regeneration capabilities, is a culturally significant food source globally. The increasing demand for octopus has led to the overexploitation of wild populations. SEANERGIES hypothesizes that octopus cells involved in muscle regeneration could be utilized to create cell lines with enhanced growth and differentiation for cultivated octopus production. To tackle the challenges of media and scaffolds, micro- and macroalgae will be investigated for formulating animal-free, cost-effective culture media and developing biocompatible scaffolds. WP2 will identify and characterize cell populations involved in octopus muscle regeneration. WP3 aims to establish culture protocols and continuous cell lines for octopus muscle cells. WP4 will develop animal-free culture media using microalgae, assessing various formulations for optimal cell growth. In, WP5 we will develop biocompatible scaffolds for octopus cell culture using decellularized seaweed. WP6 involves designing a preliminary bioprocess for cultivated octopus production and conducting technoeconomic analyses. WP7 will focus on studying the social impact cultivated octopus may bring to different stakeholders. Finally, WP8 will be focused on dissemination, communication, and engagement with relevant stakeholders to maximize impact. By integrating the establishment of high-performing octopus muscle cell lines, with the development of animal-free microalgae-derived culture media and seaweed-based scaffolds, SEANERGIES aims at advancing the state-of-the-art in cultivated seafood alternatives by laying the foundation for cultivated octopus production.</t>
  </si>
  <si>
    <t xml:space="preserve">Develops cultivated octopus (seafood) cell lines, culture media and scaffolds.</t>
  </si>
  <si>
    <t xml:space="preserve">Engineering polysaccharides in plants</t>
  </si>
  <si>
    <t xml:space="preserve">Both historically and contemporarily, plant cell walls have contributed a wealth of natural resources to humankind, and, largely speaking, this utility is indebted to their complement of diverse carbohydrate polymers, the polysaccharides. Our research is concerned with a particularly interesting and abundant polysaccharide called xylan that is thought to have roles in wall strength and digestibility in plants, as well as in human health following consumption of vegetable foods. Xylan possesses a linear backbone of polymerised xylose monomers, but its properties are influenced by length and augmented by an assortment of short branches that 'decorate' the backbone and differ in structure and spacing. We are therefore interested in engineering the backbone length and the nature of this decoration as a means to producing novel materials and products from cell wall material. However, we currently have very little understanding of how the backbone polymer of xylan is made. This represents an obstacle to xylan engineering because we cannot currently explain how the backbone comes to be decorated in a precise pattern, which may require co-ordination between backbone synthesis and decoration. It is currently thought that three enzymes (putatively forming a 'xylan synthase complex'), rather than one, are needed for backbone synthesis alone, and understanding why such co-operation is necessary will help us determine whether it is linked to regulation of decoration. We would also like to know why separate sets of enzymes have evolved for backbone synthesis of xylan in the growing primary and the thickened secondary plant cell walls, and whether this is significant in determining xylan properties. In this project, we aim to determine the structure and mechanism of the xylan synthase protein complex. Using synthetic biology tools, we will employ systematic gene cloning and protein expression approaches in producing the enzymes of interest. Use of this engineering approach will facilitate screening of activities of enzymes and enzyme mutants. Ultimately we aim to resolve the atomic structure of the xylan synthase complex by cryo-electron microscopy. The information will conceivably permit modulation of xylan decoration and backbone length and thus allow directed engineering of the plant cell wall.</t>
  </si>
  <si>
    <t xml:space="preserve">Fundamental xylan polysaccharide biosynthesis research with no food product application.</t>
  </si>
  <si>
    <t xml:space="preserve">Sterolife, a new plant-based food ingredient for saturated fat reduction while retaining functional properties</t>
  </si>
  <si>
    <t xml:space="preserve">Sterolife is an unsaturated edible fat that is solid at room temperature. The scientific goals of this mandate are to fine-tune the manufacturing process and gain insights into the Sterolife properties and its applications. The commercial goal of this mandate is to create a spin-off that produces and sells Sterolife to food companies. Those food companies will use Sterolife as an ingredient in cholesterol-lowering food products, such as spreadable margarines and bakery products.</t>
  </si>
  <si>
    <t xml:space="preserve">Solid unsaturated fat ingredient explicitly intended for spreadable margarines and bakery use.</t>
  </si>
  <si>
    <t xml:space="preserve">Implementing a unique commercial-scale mycelium manufacturing process to launch ultra-realistic whole-cut meat alternatives</t>
  </si>
  <si>
    <t xml:space="preserve">We aim to decrease UK meat consumption, causing climate change(14.5% GHGs) and diet-related disease(WHO), by launching the **UK's first ultra-realistic steak alternative**.
With growing sustainability/health concerns around meat, meat-alternatives are fast-growing. Whole-cuts (steaks/fillets/etc) represent 85% of real meat, but are near-absent from meat-alternatives; a huge untapped opportunity.
Plant-proteins have short fibres, with which it is difficult to replicate the fibrous texture of meat whole-cuts, and most products mimic processed meats (burgers/mince/sausages). To continue reducing meat consumption **we need better quality, more innovative whole cuts alternatives**.
Mycoprotein has huge potential for meat whole-cuts alternatives, with long fibres (hyphae), exceptional protein quality, fibre and micronutrients (**highly nutritious**), and **sustainability benefits** (**our products emit 93% lower GHGs than beef**).
Adamo Foods has developed an **ultra-realistic, clean-label mycelium steak**, with a uniquely fibrous muscle-texture. In this project, Adamo will implement a scaled-up production process and establish a pilot production line ready for commercialisation; a technically complex process, involving late-stage R&amp;D. We will launch a pilot at a well-known steakhouse chain, supplying product from our new production facility.</t>
  </si>
  <si>
    <t xml:space="preserve">Mycelium manufacturing process explicitly producing whole-cut (steak) meat alternatives.</t>
  </si>
  <si>
    <t xml:space="preserve">Scaling-up Sustainable Production And
bio-Refining of Key nutritionaL ProteINs from Alternative sources for Green
food systems.</t>
  </si>
  <si>
    <t xml:space="preserve">The world faces urgent challenges in food security and sustainability, particularly with the projected population growth to 9.7 billion by 2050. To meet the nutritional needs of this larger population, food production must increase by 60%. While agriculture supplies 95% of human food, it also contributes to 21% of global greenhouse gas emissions and suffers from soil degradation, with cropland losing up to 60% of its organic carbon. Alternative proteins such as microalgae and single-protein present promising solutions to sustainability challenge that could help address these issues by promoting sustainable nutrition and improving food system resilience. The proposal SPARKLING will be adressing research and innovation that are necessary to scale production, reduce costs, and improve circularity to meet these needs effectively.</t>
  </si>
  <si>
    <t xml:space="preserve">Scale-up/biorefining of alternative proteins (microalgae, single-cell protein) with no specific end product stated.</t>
  </si>
  <si>
    <t xml:space="preserve">Development of functional fava bean food ingredients</t>
  </si>
  <si>
    <t xml:space="preserve">Food companies are seeking to replace egg white in their products for many reasons: cost and supply chain concerns, transitioning to plant based/vegan ingredients for improved sustainability, as well as consumer demand for 'free from' foods. Whilst there are ingredients already available to provide some of the functionality of egg white, they often have associated issues such as odour, or simply aren't sufficiently functional and/or cost effective. For many food producers a genuine alternative to egg white is still a 'holy grail'.
This project seeks to further improve the functionality of a fava bean based egg white replacer already developed by Nandi Proteins. As well as looking to access new applications, the work will also further improve production economics and seek to identify a route to a complete UK-based supply chain from 'seed to food'.</t>
  </si>
  <si>
    <t xml:space="preserve">Fava bean-based ingredient explicitly developed as an egg white replacer.</t>
  </si>
  <si>
    <t xml:space="preserve">Edible Scaffolds for Cultivated Meat Produced from Waste Derived from the Brewing Industry</t>
  </si>
  <si>
    <t xml:space="preserve">Livestock farming is a major contributor to global warming and depletes water and
land resources. There is demand for alternative approaches to meat production, such
as cultivated meat that involves culturing animal cells to produce meat-like products.
New, game-changing materials are required for large-scale cultivation of cells that are
abundant, affordable, and food-safe. Ideally, these materials should be edible and
produced using environmentally sustainable materials and processes. This project will
investigate the valorisation of waste materials derived from the brewing industry to
produce scaffold materials suitable for the cultivation of cells that can ultimately be
used in the food industry.</t>
  </si>
  <si>
    <t xml:space="preserve">Edible scaffold material explicitly developed for cultivated meat production.</t>
  </si>
  <si>
    <t xml:space="preserve">LinkingOat</t>
  </si>
  <si>
    <t xml:space="preserve">Projektet vil fremme bæredygtig dyrkning af havre og produktion af højkvalitets, havrebaserede fødevarer. Projektet fokuserer på at udvælge robuste havrevarianter, som har overlegen proteinfunktionalitet, god smag og som er modstandsdygtige over for miljømæssige belastninger. Solid miljømodstandskraft vil potentielt reducere brugen af pesticider og gødning og dermed mindske miljøpåvirkningen.
På kort sigt vil projektet anvende den viden til at forbedre kvaliteten af plantebaserede produkter og reducere videnskløften mellem dyrkning og forarbejdning af havre. Ved at evaluere op til 200 havrevarianter, vil projektet identificere optimale sorter til specifikke fødevareanvendelser, såsom drikkevarer, yoghurter og is.
Projektet bidrager til at udvikle fremtidens fødevarer og fødevareingredienser ved at udvide og forbedre havres potentiale som fødevareingrediens. Hertil bidrager projektet til at reducere fødevaretabet, da det potentielt kan bidrage med højere havreudbytter, der kan bruges som fødevarer.
Indirekte kan det bidrage til at reducere udledningen af klimagasser, hvis eksempelvis havrebaserede drikkevarer erstatter animalsk baserede drikkevarer.
Projektet forventer at de respektive projektpartnere vil have en økonomisk effekt af projektet, idet projektets resultater vil blive anvendt til udvikling, produktion og afsætning af nye produkter eller produktkategorier.</t>
  </si>
  <si>
    <t xml:space="preserve">Milk and milk proteins; Yoghurt and fermented dairy; Cream and ice cream</t>
  </si>
  <si>
    <t xml:space="preserve">Oat variety selection explicitly targeted at beverages, yoghurts, and ice cream applications.</t>
  </si>
  <si>
    <t xml:space="preserve">Using Fermentation of Sugar Side-Streams to Produce a Palm Oil Alternative</t>
  </si>
  <si>
    <t xml:space="preserve">Palm oil is in 50% of our supermarket products. It is unique in the vegetable oil market; it melts in your mouth, is great for cooking and is a high-yielding crop. However, palm oil is one of the biggest carbon emitters due to tropical rainforest and peatland loss to make way for plantations - it contributes over 500 million tonnes CO2e, over 1% global emissions, from 19 million hectares of tropical land. It has caused significant habitat loss, including for the Sun Bear.
The UK Government has committed to reaching Net Zero by 2050; 20% of UK emissions stem from agriculture and food, and these emissions must be tackled. There is no existing alternative to palm oil with performance similarity.
Sun Bear Biofuture (SBB) uses yeast and synthetic biology to produce an oil similar in composition to palm oil and cocoa butter, saving 90% of emissions and land. SBB's alternative acts as a drop-in substitute, providing the functional benefits without the environmental or consumer concerns. SBB will sell their oil into food markets, proving our process at scale and transitioning to a licensing model.
Feedstock is the largest fermentation cost driver. British Sugar is the only sugar producer from British sugar beet, working with 2,300 British beet growers, predominantly in Eastern England (British Sugar, 2023). Their production process results in a range of large-scale sugar products and lower value side-streams, such as low green extract and molasses.
In this project SBB will optimise their bioprocess, targeting utilisation of British Sugar's side-streams at lab-scale and validating the upcycling process at pilot-scale (250L fermentation). This is key for making their process the most commercially viable, and for adding value to British Sugar's production process.
British Sugar and SBB are exploring future collaboration opportunities. The project output will be a proven fermentation process utilising sugar-derived side-stream feedstocks, derisking SBB's technical suitability with British Sugar and enabling scale-up in Eastern England, alongside existing sugar production capacity.
SBB brings expertise in modifying their oil-producing patent-pending yeast strain, and will use synthetic biology and lab-scale fermentations to improve the yield of their oil substitute. This project builds on a successful SMART award (10062619) that allowed Sun Bear Biofuture to develop their optimised strain at lab-scale.
British Sugar brings many decades of experience in processing and refining consistent sugar-derived products, and scaling fermentation processes in their bioethanol plants, which will inform scale-up design decisions in this project.</t>
  </si>
  <si>
    <t xml:space="preserve">Fermentation-derived oil positioned as a generic palm oil/cocoa butter substitute without a specific stated food product.</t>
  </si>
  <si>
    <t xml:space="preserve">Correct label</t>
  </si>
  <si>
    <t xml:space="preserve">Microparticulation of whey proteins using hot extrusion</t>
  </si>
  <si>
    <t xml:space="preserve">Whey products are used to improve product quality due to their excellent technological and nutritional functionality. Whey proteins make up about 20% of the total milk protein, they remain in the whey during cheese production and are therefore produced in large quantities. Additional food technology applications are possible through additional functionalization of the whey proteins. A suitable option for this is microparticulation, i.e. particle formation through aggregation of the proteins. In addition to dairy products, the microparticulated whey proteins are already widely used in the meat, fish, confectionery, bakery and pharmaceutical industries. The aim of the project is to produce whey protein particles with different aggregate sizes and properties with high protein and dry matter contents and at the same time high product yield. For this purpose, an average particle size of &lt;5 µm and a maximum particle size distribution span of three should be achieved, which also corresponds to the target size of conventional processes. At the end of the project, it should be possible to make statements about the influence of the respective process and material parameters, with which different aggregate sizes and structures can be generated. The results are useful for a large number of companies in the food industry that use microparticulated whey proteins. These companies benefit from the knowledge to improve the functional properties of the products through the use of microparticulated proteins, e.g. in sauces, mayonnaises, dressings, meat products, baked goods, ice cream or chocolate. The results are also relevant for machine and plant engineering companies, since they can use the results for the construction of extrusion or process plants for the new use of microparticulated proteins.</t>
  </si>
  <si>
    <t xml:space="preserve">Meat; Cream and ice cream; Chocolate, desserts, and confectionery; Spreads, sauces, and condiments</t>
  </si>
  <si>
    <t xml:space="preserve">Meat; Chocolate, desserts, and confectionery; Spreads, sauces, and condiments; Dairy</t>
  </si>
  <si>
    <t xml:space="preserve">Microparticulated whey proteins explicitly named for meat products, ice cream, chocolate, and sauces/mayonnaises/dressings.</t>
  </si>
  <si>
    <t xml:space="preserve">Agree with LLM</t>
  </si>
  <si>
    <t xml:space="preserve">Advanced Microchannel Structured SiC Hollow Fibre Membranes for Value-Added Oil Recovery in Precision Fermentation (PF)</t>
  </si>
  <si>
    <t xml:space="preserve">Cellular Agriculture Manufacturing involves the production of agricultural products via cell culture. This innovative method significantly diminishes the environmental impact compared to traditional farming by reducing land use, greenhouse gas emissions, and water usage. It also provides enhanced resilience to climate change and enables more distributed manufacturing processes. This approach further generates added value for UK farmers, aligning with the primary goals of the £12 million EPSRC-funded CARMAR Hub.
In addition to being assessed on sustainability, societal, and economic metrics, CARMAR's goal of transitioning "from lab to shopping basket" necessitates the development of "novel, underpinning manufacturing technologies". These technologies are designed to achieve necessary process intensities at scale in a cost-effective and sustainable manner. Considering that separation and purification processes account for approximately 15% of the world's energy demand, the innovation of bioseparation processes through the advancement of sophisticated separation technologies will be a key determinant of CARMAR's success.
Given the high energy efficiency of membrane separation, which is up to ten times more energy-efficient than conventional separation methods, expertise in polymeric membranes has been secured within the CARMAR consortium. This project aims to further mitigate potential risks associated with chemical compatibility, fouling, and water permeation of polymeric membranes when interacting with a wide range of biomaterials and systems within the CARMAR value chain. To this end, the project is focused on advancing more resilient and high-throughput ceramic membrane technology, thereby elevating the versatility of CARMAR processes by overcoming the limitations of polymeric membranes.
To achieve this, we plan to transfer the highly permeable, low fouling, and chemically robust SiC material into an advanced microchannel structured hollow fibre membrane. This membrane, with its high surface area to volume ratio and low permeation resistance, along with its scalable fabrication uniquely available through this project, aims to counteract the high fabrication cost challenge associated with such membranes. Beyond demonstrating its efficacy in bioseparation applications within CARMAR through collaborations, we will extend the benefits of this advanced material to broader research centres/hubs/institutes, such as the biological membrane and bioenergy research and development at Aston University. By providing a new powerful tool for efficient purifications at lower energy consumption, we aim to bring together membrane researchers from biological, polymeric, and ceramic membrane communities, thereby further advancing globally leading membrane innovations for both successful CARMAR and a more resilient UK society.</t>
  </si>
  <si>
    <t xml:space="preserve">Membrane separation technology for bioprocessing with no specific food product application.</t>
  </si>
  <si>
    <t xml:space="preserve">Meala EIT Grant March 2025</t>
  </si>
  <si>
    <t xml:space="preserve">Meala’s innovative functional proteins serve as clean-label alternatives to hydrocolloids, enhancing gelling, binding, and emulsification in various food applications. With superior water retention, stability at high and low temperatures, and cost-effectiveness, Meala’s proteins enable food manufacturers to simplify ingredient lists while improving texture, juiciness, and nutritional value. Targeting the B2B market, Meala’s initial focus is on plant-based meat, with expansion into bakery and other categories.</t>
  </si>
  <si>
    <t xml:space="preserve">Eggs, Meat</t>
  </si>
  <si>
    <t xml:space="preserve">Clean-label functional protein initially targeted at plant-based meat applications.</t>
  </si>
  <si>
    <t xml:space="preserve">Multimateriaal 3D-printen van plantaardig vlees | Multimaterial 3D printing of plant-based meat</t>
  </si>
  <si>
    <t xml:space="preserve">Activiteiten: (i) het formuleren van nieuwe plantaardige inkten met instelbare eigenschappen voor 3Dvoedselprinten, (ii) het karakteriseren van de eigenschappen van de inkt, (iii) het uitvoeren van 3DFPexperimenten met plantaardig vlees, (iv) het evalueren van de printkwaliteit aan de hand van kwaliteitscontroleparameters. De experimenten waren bedoeld om operationele vensters voor de eigenschappen van de inkt en de bijbehorende parameters te onthullen.</t>
  </si>
  <si>
    <t xml:space="preserve">Multimaterial 3D printing explicitly of plant-based meat.</t>
  </si>
  <si>
    <t xml:space="preserve">The Root of Understanding Mycelia (RUMy)</t>
  </si>
  <si>
    <t xml:space="preserve">The project will investigate 32 different edible mushrooms for their ability to form a tempeh-like product when grown on Nordic plant substrate.
The project analyzes the potential of fungi for the production of mycotoxins, their nutritional content and flavor profiles. In addition, how they are digested and affect gut bacteria. With the knowledge of the project, it will be possible to create better mycelium-based products and thereby increase the demand for this type of plant-based diet.</t>
  </si>
  <si>
    <t xml:space="preserve">Explores mushrooms forming a tempeh-like product; not a category among the twelve defined.</t>
  </si>
  <si>
    <t xml:space="preserve">If an alternative protein aims to replicate an existing plant-based alternative like tempeh, should it be Meat given that it was tempeh is typically seen to replace?</t>
  </si>
  <si>
    <t xml:space="preserve">Cell-cultured octopus production through sustainable marine biomass valorization</t>
  </si>
  <si>
    <t xml:space="preserve">SEANERGIES aims to develop the scientific and technological foundation for producing cultivated octopus—meat grown from cells without killing animals. As global demand for protein rises, traditional fishing and aquaculture face major challenges, including overfishing, pollution, and animal welfare concerns. Octopuses are especially vulnerable, yet they are also highly valued for their nutrition and cultural significance.
The project uses an interdisciplinary approach combining marine biology, bioengineering, and social sciences. It will explore the octopus’s natural ability to regenerate muscle tissue to create the first stable octopus muscle cell line for use in cellular agriculture. To make this process sustainable and animal-free, SEANERGIES will develop innovative culture media based on microalgae and natural scaffolds from seaweed (Saccharina latissima, NORWEGIAN Partner's Role), providing the structure needed for muscle growth.
Key R&amp;D challenges include isolating and growing octopus cells long-term, replacing animal-derived nutrients in cell culture, and ensuring that marine-based materials can support cell attachment and development. The project will also assess the environmental and social impacts of cultivated seafood in Portugal, Italy, and Brazil.
SEANERGIES contributes to global food security and ocean health by offering a sustainable alternative to traditional seafood, aligned with EU Green Deal goals and the UN Sustainable Development Goals.</t>
  </si>
  <si>
    <t xml:space="preserve">Develops a cultivated octopus (seafood) muscle cell line for cellular agriculture.</t>
  </si>
  <si>
    <t xml:space="preserve">AlgFlavor - Verbeteren van de consumentenacceptatie van algen voor de voedselmarkt</t>
  </si>
  <si>
    <t xml:space="preserve">AlgFlavor focuses on the use of seaweed and microalgae (collectively called algae) as a sustainable food source. These are rich in nutrients such as protein, minerals, and omega-3 fatty acids and can help meet the growing demand for healthy, sustainable food. There are challenges to improving algae-based foods, primarily due to their taste and aroma. To address these challenges, AlgFlavor is working to improve consumer acceptance of algae-based foods. Different types of algae have distinct flavors, ranging from bitter to savory. Some algae even have a taste similar to seafood, making them suitable for plant-based seafood alternatives. The flavor of algae can be influenced by how it is grown and processed. AlgFlavor will optimize these conditions to ensure consistent flavor and to incorporate algae into various food products (e.g., bread, sauces). Algae has promising flavor and nutritional properties but needs to become more consistent, affordable, and better for consumption. AlgFlavor will achieve this by conducting sensory evaluations and chemical analyses and developing various food prototypes. The ultimate goal is to create a market for algae-based foods, focusing on plant-based seafood alternatives, by improving consumer acceptance and understanding the needs of both producers and consumers.</t>
  </si>
  <si>
    <t xml:space="preserve">Algae flavor optimization explicitly targeting plant-based seafood alternatives.</t>
  </si>
  <si>
    <t xml:space="preserve">Pioneering vegan whole cuts through
mycelium solid state fermentation</t>
  </si>
  <si>
    <t xml:space="preserve">Esencia Foods is the first company in Europe to exploit the unique properties of mycelium combined with the advantages of an enhanced solid-state fermentation for whole cuts of any kind, starting with fish and seafood.
We stand as the pioneering company in Europe, employing solid state fermentation with mycelium to achieve natural textures with minimal processing, two ingredients and a lower price point than animal-based counterparts.
Solid state fermentation utilising tray bioreactors allows novel texturizing technologies to mimic the texture of whole cuts when exploiting the natural fibrous texture of mycelial fibres and mycelium’s gelation properties. This is a key step for re-producing complex textures; it also significantly reduces the need for expensive additives and intensive post-processing for texturization. By harnessing solid-state fermentation, we can cultivate mycelium (filamentous fungi) in controlled conditions that surpass natural growth and do so quickly and on a scalable level. Additionally, this process can be carried out locally, close to where (otherwise unused) side streams arise, and it requires minimal water compared to Liquid State Fermentation (most used technology today for the production of mycelium-based alternative products)
We anticipate operating within a serviceable obtainable market (SOM) of approximately €5.3 billion by 2028. We project that we can realistically capture approximately €18 million of this market share by 2029. We have received LOIs from 9 restaurants based in Barcelona, Spain, 1 Canteen and 1 business caterer in Germany, 2 Catering companies based in Barcelona, Spain, 2 Chefs based in Germany and Spain, 4 Food Producers from Germany and The Netherlands, and 3 Food retailers/Grocers from Switzerland, The Netherlands and Germany. Potential customers who have provided LOIs have expressed a strong demand for our products which translates into a market opportunity of €20M+ per year.</t>
  </si>
  <si>
    <t xml:space="preserve">Mycelium solid-state fermentation whole cuts explicitly starting with fish and seafood.</t>
  </si>
  <si>
    <t xml:space="preserve">Seafood analogues without a catch</t>
  </si>
  <si>
    <t xml:space="preserve">Incumbent capture and culture fishery
practices largely contradict environmental protection strategies and fail to
satisfy the current demand for seafood in an ecologically sustainable way.
Paired with a global rise in demand for seafood and a market white space in
Switzerland, this presents an enormous incentive to produce sustainable
seafood analogues without a catch. The project utilizes a novel texturization
platform to develop, scale, and implement authentic seafood analogues that
match taste, texture, appearance, and nutritional quality of actual seafood.
State-of-the-art plant-based seafood provide neither the structural hierarchy
nor the nutritional profile consumers strive for. They rely on pure
hydrocolloid-driven cold gelatinization or high moisture extrusion cooking
techniques. None of these approaches permit to combine the nutritional
profile, succulent texture, and geometric freedom required for creating
authentic seafood analogues. The conceived innovative texturization platform
overcomes these shortcomings to create authentic seafood alternatives.</t>
  </si>
  <si>
    <t xml:space="preserve">Novel texturization platform explicitly developing seafood analogues.</t>
  </si>
  <si>
    <t xml:space="preserve">Producing the Next Generation of Hybrid Animal-Free Cheeses</t>
  </si>
  <si>
    <t xml:space="preserve">Nutropy is a French startup that develops the
next generation of dairy and cheese alternatives. We produce bioidentical
milk ingredients (proteins and fatty acids) to develop premium cheese
alternatives that taste as good as conventional cheese but are more
sustainable, healthier and better for the animals. This project is dedicated
to the development of a new line of hybrid animal-free cheese alternatives
containing pulses.</t>
  </si>
  <si>
    <t xml:space="preserve">Bioidentical milk ingredients developed into animal-free hybrid cheese alternatives.</t>
  </si>
  <si>
    <t xml:space="preserve">Glycomics of Residues from Plant-Based Beverages for Microbiota</t>
  </si>
  <si>
    <t xml:space="preserve">The growing concern over the environmental impact caused by food industry waste, particularly residues from the production of plant-based beverages, has emphasized the need for more sustainable approaches. Despite the rapid expansion of the plant-based beverage market, most of the production residues are not adequately valorized, leading to a significant loss of fiber-rich carbohydrates that could have important health benefits. Additionally, the unique characteristics of the ileum microbiota and its interaction with these carbohydrates have not been fully investigated, primarily due to the technical challenges of sampling from this region.The GLYCO-RESBIOTA project aims to explore how fiber-rich residues from the production of plant-based beverages (soy, pea, and oat) can be digested in the ileum and exert prebiotic effects by modulating the ileal microbiota. The main objective is to apply advanced glycomics profiling techniques to characterize these carbohydrates and study their impact on ileal digestion using dynamic simulation models.Over three years, this project will be carried out in two phases: an initial phase at the University of California, Davis (USA), where the researcher will receive training in advanced glycomics techniques, and a second phase at the Spanish National Research Council (CSIC), where simulated digestion and metatranscriptomic studies will be implemented. The results of the project will contribute to understanding the interactions between carbohydrates and microbiota and offer sustainable solutions to reduce the environmental impact of industrial residues while improving gut health.This project has the potential to create an innovative glycomics platform in Europe, facilitating the study of carbohydrates in food and their relationship with gut health, aligning with the EU’s 2030 sustainability goals.</t>
  </si>
  <si>
    <t xml:space="preserve">Glycomics/microbiota study of plant-based beverage production residues, not a beverage product itself.</t>
  </si>
  <si>
    <t xml:space="preserve">Lean agree with LLM. I don’t think all plant-based beverages are just automatically Dairy/Milk alternatives.</t>
  </si>
  <si>
    <t xml:space="preserve">Upcycling water from legume processing to meet high demand for plant-based food ingredients: Creating new opportunities for UK legumes</t>
  </si>
  <si>
    <t xml:space="preserve">Wet processing of legume seeds such as beans, peas, chickpeas, and lentils, is used commercially to make pre-cooked food products including hummus and canned beans. The cooking water from this process is considered a liquid waste product, but was recently discovered to have useful techno-functional properties like foaming, emulsification and gelling, and given the name 'aquafaba'. With the plant-based market growing rapidly and expected to reach US$160 billion globally within the next decade, the demand for ingredients to replace egg or dairy protein functionality in a variety of foods, including mayonnaise, cakes and bakery, is higher than ever. Upcycling waste-water from commercial legume processing into aquafaba represents a significant opportunity for sustainable and cost-effective production of vegan alternatives to animal protein.
Despite its potential, the lack of understanding surrounding aquafaba functionality has hindered its widespread adoption by food producers. So far, aquafaba production has mainly been limited to imported chickpeas, while the potential to obtain aquafaba from underutilised UK-grown legumes have been overlooked. Furthermore, factors such as legume variety and processing conditions, which have a big impact on ingredient performance, are still poorly understood. Thus, although new aquafaba ingredients are emerging, their unpredictable and highly variable performance is a major technical barrier to successful commercial use.
This translational project will address this issue by using recent mechanistic insights to improve the extraction of functionally active components from UK grown legumes into aquafaba, thus delivering more consistent and standardised end-product quality.
Our approach uses infrastructure and mechanistic understanding established in previous work, where we set-up a wet-process to make innovative cellular flours (PulseON®) from a range of different legumes, generating aquafaba as a waste-stream. Here we will use the existing PulseON® wet-processing plants and recent scientific insights to improve the quality and types of aquafaba that can be made from the waste-water generated during manufacture of PulseON® or indeed other cooked legume products.</t>
  </si>
  <si>
    <t xml:space="preserve">Chocolate, desserts, and confectionery; Eggs and egg proteins; Spreads, sauces, and condiments</t>
  </si>
  <si>
    <t xml:space="preserve">Chocolate, desserts, and confectionery; Eggs; Spreads, sauces, and condiments</t>
  </si>
  <si>
    <t xml:space="preserve">Aquafaba explicitly positioned as an egg/dairy functionality replacer for mayonnaise, cakes and bakery.</t>
  </si>
  <si>
    <t xml:space="preserve">Agree with LLM. Could add Dairy but not so clear.</t>
  </si>
  <si>
    <t xml:space="preserve">Enzymatic engineering and digestion of fibrillar plant protein
texturizers for the protein shift.</t>
  </si>
  <si>
    <t xml:space="preserve">Transformation of our food system will be a key aspect of the transition towards a sustainable society. New ways of processing proteins to achieve attractive structural and functional properties are needed for the development of food products that can facilitate the ‘protein shift’ from animal to plant resources. The use of protein nanofibrils is a very promising approach to improve the structural and functional properties of proteins. It is known that such fibrils can be produced from a variety of plant proteins but the yield and energy efficiency of the processes are often low. The proposed project will explore enzymatic pre-processing of the protein resources as a way to increase the efficiency of the process. The approach also opens for better control of the techno-functional properties of the fibrils, choosing appropriate combinations of proteases and protein raw materials. We will evaluate the produced PNFs as building blocks for model food systems (hydrogels, aerogels, oleogels and microfibers). Based on the results, we will establish a structure-function relationship for plant PNFs and develop prototypes that demonstrate the potential of the technology. The project will deliver fundamental knowledge that will facilitate the protein shift. Hence, the outcomes of the project will be of high value for the transformation of the food industry and have impact on ecological as well as economical and social sustainability.</t>
  </si>
  <si>
    <t xml:space="preserve">Agnostic, Meat</t>
  </si>
  <si>
    <t xml:space="preserve">Enzymatic processing of plant protein nanofibrils for model food systems, with no specific product stated.</t>
  </si>
  <si>
    <t xml:space="preserve">WomeninTech 2024</t>
  </si>
  <si>
    <t xml:space="preserve">Our project revolves around leveraging the
untapped potential of seaweed as a sustainable source for mycoprotein
extraction and cultivation. We plan to employ cutting-edge biotechnological
methods to extract, purify, and cultivate mycoprotein from seaweed biomass
efficiently and at scale.
By focusing on optimising cultivation techniques, refining extraction
processes, and developing novel bioreactor systems, we aim to streamline the
production pipeline. Additionally, we intend to establish strategic
partnerships with seaweed suppliers to ensure a consistent and reliable
source of raw material.
Through these efforts, our goal is to introduce a highly scalable and
environmentally friendly solution to meet the growing demand for plant-based protein
alternatives. Ultimately, we envision our project contributing to the
advancement of sustainable food systems and promoting the widespread adoption
of seaweed-derived mycoprotein in various food and feed applications.</t>
  </si>
  <si>
    <t xml:space="preserve">Mycoprotein extraction from seaweed for generic food and feed applications, no specific product named.</t>
  </si>
  <si>
    <t xml:space="preserve">Investigating the synergistic bioactive effects of fruit, vegetable and protein combinations in a market-ready food product for children and adolescents.</t>
  </si>
  <si>
    <t xml:space="preserve">No abstract</t>
  </si>
  <si>
    <t xml:space="preserve">No abstract provided; title cites only a generic market-ready food product.</t>
  </si>
  <si>
    <t xml:space="preserve">Scaling sustainable cocoa butter production using cellular agriculture</t>
  </si>
  <si>
    <t xml:space="preserve">For the third year running, cocoa demand has outstripped supply, with a 2023/24 deficit of 462,000 tons predicted by the International Cocoa Organization. Consequently, in April 2024, cocoa prices reached an historic high of USD12,261/ton, compared to around USD3,000/ton in April 2023\.
Cocoa yields, which are expected to fall by 11.7% in 2023/24, are already significantly affected by both the climate crisis and prevailing climate patterns (El Nino), which have led to more extreme weather conditions in key cocoa-producing regions. Seasonally wetter conditions have driven devastating fungal disease outbreaks (black pod disease causes 20-30% yield losses globally and up to 100% locally). Seasonally warmer and drier conditions have also driven mealybug outbreaks, exacerbating the spread of endemic viral diseases (cocoa swollen shoot virus disease can cause local yield losses of 15-50%). By 2050, it is estimated that 89.5% of cocoa-producing areas will be less suitable for production.
Alongside climate and disease challenges, the rising price of agricultural inputs (including fertiliser and pesticides) has forced farmers to reduce application rates, further reducing yield and profits. With smallholder farmers having limited investment opportunities, cocoa trees are also ageing and less productive. Coupling these production challenges with low farm-gate prices and small farm sizes, the majority of farmers in the two main cocoa-producing countries (Côte d'Ivoire and Ghana) are unable to earn a living income. Consequently, younger generations are increasingly seeking more rewarding employment opportunities.
Cocoa continues to be a major driver of deforestation, biodiversity loss, and serious labour issues including child labour and forced labour. With cocoa demand continuing to rise, alternatives to traditional cocoa that can future-proof supplies and offer improved social and environmental impacts are receiving increasing attention.
First-generation cocoa alternatives substitute cocoa for natural alternatives (e.g., carob), but they cannot recreate the authentic organoleptic properties of cocoa.
Second-generation cocoa alternatives use precision fermentation to recreate key components of cocoa, but because they do not generate the full range of natural compounds in cocoa, they cannot recreate the full organoleptic properties of cocoa. Precision fermentation techniques also rely on energy-intensive genetically modified microbial production processes, which are challenging to scale.
Recently, plant cell culture processes have been developed that uniquely offer the opportunity to recreate nature-identical cocoa, without requiring the development or use of genetically modified microbes, and with an energy-efficient and theoretically scalable production process.
Here, Extracellular (UK) and Celleste Bio (Israel) will scale plant cell cultured cocoa production.</t>
  </si>
  <si>
    <t xml:space="preserve">Cellular-agriculture cocoa butter production; abstract discusses cocoa/cocoa butter market only, without stating a specific end product application.</t>
  </si>
  <si>
    <t xml:space="preserve">Inktelligent Foods – enabling cultivated seafood products</t>
  </si>
  <si>
    <t xml:space="preserve">Cultivated meat and seafood are a sustainable and animal-friendly method to produce food using cell culture and offers an alternative to the currently intensive farming and fishing practices. A crucial step in cultivated meat/seafood is the development of cell lines with robust proliferation and differentiation capability. In nature, octopuses display an innate capacity for muscle growth and regeneration. By leveraging their muscle regeneration capacity, I will establish octopus-derived muscle cell lines aiming at producing cultivated octopus meat. The generated knowledge and methodologies could be applied to other species, ultimately enabling, and fostering the cultivated meat and seafood industries.</t>
  </si>
  <si>
    <t xml:space="preserve">Cultivated octopus meat explicitly developed to enable cultivated seafood products.</t>
  </si>
  <si>
    <t xml:space="preserve">n_true</t>
  </si>
  <si>
    <t xml:space="preserve">tp</t>
  </si>
  <si>
    <t xml:space="preserve">fp</t>
  </si>
  <si>
    <t xml:space="preserve">fn</t>
  </si>
  <si>
    <t xml:space="preserve">recall</t>
  </si>
  <si>
    <t xml:space="preserve">precision</t>
  </si>
  <si>
    <t xml:space="preserve">100%</t>
  </si>
  <si>
    <t xml:space="preserve">61%</t>
  </si>
  <si>
    <t xml:space="preserve">Chocolate, desserts, and confectionery</t>
  </si>
  <si>
    <t xml:space="preserve">0%</t>
  </si>
  <si>
    <t xml:space="preserve">90%</t>
  </si>
  <si>
    <t xml:space="preserve">75%</t>
  </si>
  <si>
    <t xml:space="preserve">-</t>
  </si>
  <si>
    <t xml:space="preserve">67%</t>
  </si>
  <si>
    <t xml:space="preserve">93%</t>
  </si>
  <si>
    <t xml:space="preserve">Sugar</t>
  </si>
  <si>
    <t xml:space="preserve">metric</t>
  </si>
  <si>
    <t xml:space="preserve">value</t>
  </si>
  <si>
    <t xml:space="preserve">n</t>
  </si>
  <si>
    <t xml:space="preserve">end_product_type_exact_match_accuracy</t>
  </si>
  <si>
    <t xml:space="preserve">71%</t>
  </si>
  <si>
    <t xml:space="preserve">end_product_type_mean_precision</t>
  </si>
  <si>
    <t xml:space="preserve">79%</t>
  </si>
  <si>
    <t xml:space="preserve">end_product_type_mean_recall</t>
  </si>
  <si>
    <t xml:space="preserve">80%</t>
  </si>
  <si>
    <t xml:space="preserve">end_product_type_mean_jaccard</t>
  </si>
  <si>
    <t xml:space="preserve">76%</t>
  </si>
  <si>
    <t xml:space="preserve">sub_end_product_exact_match_accuracy (Dairy rows only)</t>
  </si>
  <si>
    <t xml:space="preserve">30%</t>
  </si>
  <si>
    <t xml:space="preserve">sub_end_product_mean_precision (Dairy rows only)</t>
  </si>
  <si>
    <t xml:space="preserve">44%</t>
  </si>
  <si>
    <t xml:space="preserve">sub_end_product_mean_recall (Dairy rows only)</t>
  </si>
  <si>
    <t xml:space="preserve">39%</t>
  </si>
  <si>
    <t xml:space="preserve">sub_end_product_mean_jaccard (Dairy rows only)</t>
  </si>
  <si>
    <t xml:space="preserve">33%</t>
  </si>
  <si>
    <t xml:space="preserve">rows_with_conflicting_ground_truth_duplicates</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</si>
</sst>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5">
    <fill>
      <patternFill patternType="none"/>
    </fill>
    <fill>
      <patternFill patternType="gray125"/>
    </fill>
    <fill>
      <patternFill patternType="solid">
        <fgColor rgb="FF81D41A"/>
        <bgColor rgb="FFBBE33D"/>
      </patternFill>
    </fill>
    <fill>
      <patternFill patternType="solid">
        <fgColor rgb="FFBBE33D"/>
        <bgColor rgb="FF81D41A"/>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BBE33D"/>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3"/>
  <sheetViews>
    <sheetView showFormulas="false" showGridLines="true" showRowColHeaders="true" showZeros="true" rightToLeft="false" tabSelected="true" showOutlineSymbols="true" defaultGridColor="true" view="normal" topLeftCell="A35" colorId="64" zoomScale="100" zoomScaleNormal="100" zoomScalePageLayoutView="100" workbookViewId="0">
      <selection pane="topLeft" activeCell="L35" activeCellId="0" sqref="L35"/>
    </sheetView>
  </sheetViews>
  <sheetFormatPr defaultColWidth="8.34375" defaultRowHeight="15" customHeight="false"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row>
    <row r="2" customFormat="false" ht="23.3" hidden="false" customHeight="false" outlineLevel="0" collapsed="false">
      <c r="A2" s="1" t="s">
        <v>13</v>
      </c>
      <c r="B2" s="0" t="s">
        <v>14</v>
      </c>
      <c r="C2" s="0" t="s">
        <v>15</v>
      </c>
      <c r="D2" s="0" t="s">
        <v>16</v>
      </c>
      <c r="E2" s="2" t="b">
        <f aca="false">FALSE()</f>
        <v>0</v>
      </c>
      <c r="F2" s="0" t="s">
        <v>15</v>
      </c>
      <c r="G2" s="0" t="s">
        <v>15</v>
      </c>
      <c r="I2" s="0" t="s">
        <v>17</v>
      </c>
      <c r="J2" s="2" t="b">
        <f aca="false">TRUE()</f>
        <v>1</v>
      </c>
      <c r="K2" s="0" t="n">
        <v>1</v>
      </c>
      <c r="L2" s="0" t="n">
        <v>1</v>
      </c>
      <c r="M2" s="0" t="n">
        <v>1</v>
      </c>
    </row>
    <row r="3" customFormat="false" ht="15" hidden="false" customHeight="false" outlineLevel="0" collapsed="false">
      <c r="A3" s="0" t="s">
        <v>18</v>
      </c>
      <c r="B3" s="0" t="s">
        <v>19</v>
      </c>
      <c r="C3" s="0" t="s">
        <v>20</v>
      </c>
      <c r="E3" s="2" t="b">
        <f aca="false">FALSE()</f>
        <v>0</v>
      </c>
      <c r="F3" s="0" t="s">
        <v>21</v>
      </c>
      <c r="G3" s="0" t="s">
        <v>20</v>
      </c>
      <c r="I3" s="0" t="s">
        <v>22</v>
      </c>
      <c r="J3" s="2" t="b">
        <f aca="false">TRUE()</f>
        <v>1</v>
      </c>
      <c r="K3" s="0" t="n">
        <v>1</v>
      </c>
      <c r="L3" s="0" t="n">
        <v>1</v>
      </c>
      <c r="M3" s="0" t="n">
        <v>1</v>
      </c>
    </row>
    <row r="4" customFormat="false" ht="15" hidden="false" customHeight="false" outlineLevel="0" collapsed="false">
      <c r="A4" s="0" t="s">
        <v>23</v>
      </c>
      <c r="B4" s="0" t="s">
        <v>24</v>
      </c>
      <c r="C4" s="0" t="s">
        <v>25</v>
      </c>
      <c r="E4" s="2" t="b">
        <f aca="false">FALSE()</f>
        <v>0</v>
      </c>
      <c r="F4" s="0" t="s">
        <v>25</v>
      </c>
      <c r="G4" s="0" t="s">
        <v>25</v>
      </c>
      <c r="I4" s="0" t="s">
        <v>26</v>
      </c>
      <c r="J4" s="2" t="b">
        <f aca="false">TRUE()</f>
        <v>1</v>
      </c>
      <c r="K4" s="0" t="n">
        <v>1</v>
      </c>
      <c r="L4" s="0" t="n">
        <v>1</v>
      </c>
      <c r="M4" s="0" t="n">
        <v>1</v>
      </c>
    </row>
    <row r="5" customFormat="false" ht="88.7" hidden="false" customHeight="false" outlineLevel="0" collapsed="false">
      <c r="A5" s="0" t="s">
        <v>27</v>
      </c>
      <c r="B5" s="1" t="s">
        <v>28</v>
      </c>
      <c r="C5" s="0" t="s">
        <v>20</v>
      </c>
      <c r="E5" s="2" t="b">
        <f aca="false">FALSE()</f>
        <v>0</v>
      </c>
      <c r="F5" s="0" t="s">
        <v>25</v>
      </c>
      <c r="G5" s="0" t="s">
        <v>25</v>
      </c>
      <c r="I5" s="0" t="s">
        <v>29</v>
      </c>
      <c r="J5" s="3" t="b">
        <f aca="false">FALSE()</f>
        <v>0</v>
      </c>
      <c r="K5" s="0" t="n">
        <v>0</v>
      </c>
      <c r="L5" s="0" t="n">
        <v>0</v>
      </c>
      <c r="M5" s="0" t="n">
        <v>0</v>
      </c>
    </row>
    <row r="6" customFormat="false" ht="274.4" hidden="false" customHeight="false" outlineLevel="0" collapsed="false">
      <c r="A6" s="0" t="s">
        <v>30</v>
      </c>
      <c r="B6" s="1" t="s">
        <v>31</v>
      </c>
      <c r="C6" s="0" t="s">
        <v>32</v>
      </c>
      <c r="E6" s="2" t="b">
        <f aca="false">FALSE()</f>
        <v>0</v>
      </c>
      <c r="F6" s="0" t="s">
        <v>32</v>
      </c>
      <c r="G6" s="0" t="s">
        <v>32</v>
      </c>
      <c r="I6" s="0" t="s">
        <v>33</v>
      </c>
      <c r="J6" s="2" t="b">
        <f aca="false">TRUE()</f>
        <v>1</v>
      </c>
      <c r="K6" s="0" t="n">
        <v>1</v>
      </c>
      <c r="L6" s="0" t="n">
        <v>1</v>
      </c>
      <c r="M6" s="0" t="n">
        <v>1</v>
      </c>
    </row>
    <row r="7" customFormat="false" ht="45.1" hidden="false" customHeight="false" outlineLevel="0" collapsed="false">
      <c r="A7" s="1" t="s">
        <v>34</v>
      </c>
      <c r="B7" s="0" t="s">
        <v>35</v>
      </c>
      <c r="C7" s="0" t="s">
        <v>32</v>
      </c>
      <c r="E7" s="2" t="b">
        <f aca="false">FALSE()</f>
        <v>0</v>
      </c>
      <c r="F7" s="0" t="s">
        <v>32</v>
      </c>
      <c r="G7" s="0" t="s">
        <v>32</v>
      </c>
      <c r="I7" s="0" t="s">
        <v>36</v>
      </c>
      <c r="J7" s="2" t="b">
        <f aca="false">TRUE()</f>
        <v>1</v>
      </c>
      <c r="K7" s="0" t="n">
        <v>1</v>
      </c>
      <c r="L7" s="0" t="n">
        <v>1</v>
      </c>
      <c r="M7" s="0" t="n">
        <v>1</v>
      </c>
    </row>
    <row r="8" customFormat="false" ht="34.2" hidden="false" customHeight="false" outlineLevel="0" collapsed="false">
      <c r="A8" s="1" t="s">
        <v>37</v>
      </c>
      <c r="B8" s="0" t="s">
        <v>38</v>
      </c>
      <c r="C8" s="0" t="s">
        <v>39</v>
      </c>
      <c r="E8" s="2" t="b">
        <f aca="false">FALSE()</f>
        <v>0</v>
      </c>
      <c r="F8" s="0" t="s">
        <v>40</v>
      </c>
      <c r="G8" s="0" t="s">
        <v>40</v>
      </c>
      <c r="I8" s="0" t="s">
        <v>41</v>
      </c>
      <c r="J8" s="2" t="b">
        <f aca="false">TRUE()</f>
        <v>1</v>
      </c>
      <c r="K8" s="0" t="n">
        <v>1</v>
      </c>
      <c r="L8" s="0" t="n">
        <v>1</v>
      </c>
      <c r="M8" s="0" t="n">
        <v>1</v>
      </c>
    </row>
    <row r="9" customFormat="false" ht="23.3" hidden="false" customHeight="false" outlineLevel="0" collapsed="false">
      <c r="A9" s="1" t="s">
        <v>42</v>
      </c>
      <c r="B9" s="0" t="s">
        <v>43</v>
      </c>
      <c r="C9" s="0" t="s">
        <v>44</v>
      </c>
      <c r="E9" s="2" t="b">
        <f aca="false">FALSE()</f>
        <v>0</v>
      </c>
      <c r="F9" s="0" t="s">
        <v>25</v>
      </c>
      <c r="G9" s="0" t="s">
        <v>25</v>
      </c>
      <c r="I9" s="0" t="s">
        <v>45</v>
      </c>
      <c r="J9" s="4" t="b">
        <f aca="false">FALSE()</f>
        <v>0</v>
      </c>
      <c r="K9" s="0" t="n">
        <v>0</v>
      </c>
      <c r="L9" s="0" t="n">
        <v>0</v>
      </c>
      <c r="M9" s="0" t="n">
        <v>0</v>
      </c>
      <c r="O9" s="0" t="s">
        <v>46</v>
      </c>
    </row>
    <row r="10" customFormat="false" ht="15" hidden="false" customHeight="false" outlineLevel="0" collapsed="false">
      <c r="A10" s="0" t="s">
        <v>47</v>
      </c>
      <c r="B10" s="0" t="s">
        <v>48</v>
      </c>
      <c r="C10" s="0" t="s">
        <v>49</v>
      </c>
      <c r="E10" s="2" t="b">
        <f aca="false">FALSE()</f>
        <v>0</v>
      </c>
      <c r="F10" s="0" t="s">
        <v>50</v>
      </c>
      <c r="G10" s="0" t="s">
        <v>51</v>
      </c>
      <c r="I10" s="0" t="s">
        <v>52</v>
      </c>
      <c r="J10" s="2" t="b">
        <f aca="false">TRUE()</f>
        <v>1</v>
      </c>
      <c r="K10" s="0" t="n">
        <v>1</v>
      </c>
      <c r="L10" s="0" t="n">
        <v>1</v>
      </c>
      <c r="M10" s="0" t="n">
        <v>1</v>
      </c>
    </row>
    <row r="11" customFormat="false" ht="34.2" hidden="false" customHeight="false" outlineLevel="0" collapsed="false">
      <c r="A11" s="0" t="s">
        <v>53</v>
      </c>
      <c r="B11" s="1" t="s">
        <v>54</v>
      </c>
      <c r="C11" s="0" t="s">
        <v>25</v>
      </c>
      <c r="E11" s="2" t="b">
        <f aca="false">FALSE()</f>
        <v>0</v>
      </c>
      <c r="F11" s="0" t="s">
        <v>25</v>
      </c>
      <c r="G11" s="0" t="s">
        <v>25</v>
      </c>
      <c r="I11" s="0" t="s">
        <v>55</v>
      </c>
      <c r="J11" s="2" t="b">
        <f aca="false">TRUE()</f>
        <v>1</v>
      </c>
      <c r="K11" s="0" t="n">
        <v>1</v>
      </c>
      <c r="L11" s="0" t="n">
        <v>1</v>
      </c>
      <c r="M11" s="0" t="n">
        <v>1</v>
      </c>
    </row>
    <row r="12" customFormat="false" ht="132.3" hidden="false" customHeight="false" outlineLevel="0" collapsed="false">
      <c r="A12" s="0" t="s">
        <v>56</v>
      </c>
      <c r="B12" s="1" t="s">
        <v>57</v>
      </c>
      <c r="C12" s="0" t="s">
        <v>32</v>
      </c>
      <c r="E12" s="2" t="b">
        <f aca="false">FALSE()</f>
        <v>0</v>
      </c>
      <c r="F12" s="0" t="s">
        <v>32</v>
      </c>
      <c r="G12" s="0" t="s">
        <v>32</v>
      </c>
      <c r="I12" s="0" t="s">
        <v>58</v>
      </c>
      <c r="J12" s="2" t="b">
        <f aca="false">TRUE()</f>
        <v>1</v>
      </c>
      <c r="K12" s="0" t="n">
        <v>1</v>
      </c>
      <c r="L12" s="0" t="n">
        <v>1</v>
      </c>
      <c r="M12" s="0" t="n">
        <v>1</v>
      </c>
    </row>
    <row r="13" customFormat="false" ht="34.2" hidden="false" customHeight="false" outlineLevel="0" collapsed="false">
      <c r="A13" s="0" t="s">
        <v>59</v>
      </c>
      <c r="B13" s="1" t="s">
        <v>60</v>
      </c>
      <c r="C13" s="0" t="s">
        <v>61</v>
      </c>
      <c r="E13" s="2" t="b">
        <f aca="false">FALSE()</f>
        <v>0</v>
      </c>
      <c r="F13" s="0" t="s">
        <v>62</v>
      </c>
      <c r="G13" s="0" t="s">
        <v>61</v>
      </c>
      <c r="I13" s="0" t="s">
        <v>63</v>
      </c>
      <c r="J13" s="2" t="b">
        <f aca="false">TRUE()</f>
        <v>1</v>
      </c>
      <c r="K13" s="0" t="n">
        <v>1</v>
      </c>
      <c r="L13" s="0" t="n">
        <v>1</v>
      </c>
      <c r="M13" s="0" t="n">
        <v>1</v>
      </c>
    </row>
    <row r="14" customFormat="false" ht="15" hidden="false" customHeight="false" outlineLevel="0" collapsed="false">
      <c r="A14" s="0" t="s">
        <v>64</v>
      </c>
      <c r="B14" s="0" t="s">
        <v>65</v>
      </c>
      <c r="C14" s="0" t="s">
        <v>32</v>
      </c>
      <c r="E14" s="2" t="b">
        <f aca="false">FALSE()</f>
        <v>0</v>
      </c>
      <c r="F14" s="0" t="s">
        <v>32</v>
      </c>
      <c r="G14" s="0" t="s">
        <v>32</v>
      </c>
      <c r="I14" s="0" t="s">
        <v>66</v>
      </c>
      <c r="J14" s="2" t="b">
        <f aca="false">TRUE()</f>
        <v>1</v>
      </c>
      <c r="K14" s="0" t="n">
        <v>1</v>
      </c>
      <c r="L14" s="0" t="n">
        <v>1</v>
      </c>
      <c r="M14" s="0" t="n">
        <v>1</v>
      </c>
    </row>
    <row r="15" customFormat="false" ht="15" hidden="false" customHeight="false" outlineLevel="0" collapsed="false">
      <c r="A15" s="0" t="s">
        <v>67</v>
      </c>
      <c r="B15" s="0" t="s">
        <v>68</v>
      </c>
      <c r="C15" s="0" t="s">
        <v>15</v>
      </c>
      <c r="D15" s="0" t="s">
        <v>69</v>
      </c>
      <c r="E15" s="2" t="b">
        <f aca="false">FALSE()</f>
        <v>0</v>
      </c>
      <c r="F15" s="0" t="s">
        <v>69</v>
      </c>
      <c r="G15" s="0" t="s">
        <v>15</v>
      </c>
      <c r="H15" s="0" t="s">
        <v>69</v>
      </c>
      <c r="I15" s="0" t="s">
        <v>70</v>
      </c>
      <c r="J15" s="2" t="b">
        <f aca="false">TRUE()</f>
        <v>1</v>
      </c>
      <c r="K15" s="0" t="n">
        <v>1</v>
      </c>
      <c r="L15" s="0" t="n">
        <v>1</v>
      </c>
      <c r="M15" s="0" t="n">
        <v>1</v>
      </c>
    </row>
    <row r="16" customFormat="false" ht="15" hidden="false" customHeight="false" outlineLevel="0" collapsed="false">
      <c r="A16" s="0" t="s">
        <v>71</v>
      </c>
      <c r="B16" s="0" t="s">
        <v>72</v>
      </c>
      <c r="C16" s="0" t="s">
        <v>25</v>
      </c>
      <c r="E16" s="2" t="b">
        <f aca="false">FALSE()</f>
        <v>0</v>
      </c>
      <c r="F16" s="0" t="s">
        <v>25</v>
      </c>
      <c r="G16" s="0" t="s">
        <v>25</v>
      </c>
      <c r="I16" s="0" t="s">
        <v>73</v>
      </c>
      <c r="J16" s="2" t="b">
        <f aca="false">TRUE()</f>
        <v>1</v>
      </c>
      <c r="K16" s="0" t="n">
        <v>1</v>
      </c>
      <c r="L16" s="0" t="n">
        <v>1</v>
      </c>
      <c r="M16" s="0" t="n">
        <v>1</v>
      </c>
    </row>
    <row r="17" customFormat="false" ht="56" hidden="false" customHeight="false" outlineLevel="0" collapsed="false">
      <c r="A17" s="0" t="s">
        <v>74</v>
      </c>
      <c r="B17" s="1" t="s">
        <v>75</v>
      </c>
      <c r="C17" s="0" t="s">
        <v>76</v>
      </c>
      <c r="E17" s="2" t="b">
        <f aca="false">FALSE()</f>
        <v>0</v>
      </c>
      <c r="F17" s="0" t="s">
        <v>77</v>
      </c>
      <c r="G17" s="0" t="s">
        <v>77</v>
      </c>
      <c r="I17" s="0" t="s">
        <v>78</v>
      </c>
      <c r="J17" s="3" t="b">
        <f aca="false">FALSE()</f>
        <v>0</v>
      </c>
      <c r="K17" s="0" t="n">
        <v>0</v>
      </c>
      <c r="L17" s="0" t="n">
        <v>0</v>
      </c>
      <c r="M17" s="0" t="n">
        <v>0</v>
      </c>
      <c r="O17" s="0" t="s">
        <v>79</v>
      </c>
    </row>
    <row r="18" customFormat="false" ht="15" hidden="false" customHeight="false" outlineLevel="0" collapsed="false">
      <c r="A18" s="0" t="s">
        <v>80</v>
      </c>
      <c r="B18" s="0" t="s">
        <v>81</v>
      </c>
      <c r="C18" s="0" t="s">
        <v>15</v>
      </c>
      <c r="D18" s="0" t="s">
        <v>82</v>
      </c>
      <c r="E18" s="2" t="b">
        <f aca="false">FALSE()</f>
        <v>0</v>
      </c>
      <c r="F18" s="0" t="s">
        <v>83</v>
      </c>
      <c r="G18" s="0" t="s">
        <v>15</v>
      </c>
      <c r="H18" s="0" t="s">
        <v>83</v>
      </c>
      <c r="I18" s="0" t="s">
        <v>84</v>
      </c>
      <c r="J18" s="2" t="b">
        <f aca="false">TRUE()</f>
        <v>1</v>
      </c>
      <c r="K18" s="0" t="n">
        <v>1</v>
      </c>
      <c r="L18" s="0" t="n">
        <v>1</v>
      </c>
      <c r="M18" s="0" t="n">
        <v>1</v>
      </c>
    </row>
    <row r="19" customFormat="false" ht="23.3" hidden="false" customHeight="false" outlineLevel="0" collapsed="false">
      <c r="A19" s="1" t="s">
        <v>85</v>
      </c>
      <c r="B19" s="0" t="s">
        <v>86</v>
      </c>
      <c r="C19" s="0" t="s">
        <v>15</v>
      </c>
      <c r="D19" s="0" t="s">
        <v>16</v>
      </c>
      <c r="E19" s="2" t="b">
        <f aca="false">FALSE()</f>
        <v>0</v>
      </c>
      <c r="F19" s="0" t="s">
        <v>87</v>
      </c>
      <c r="G19" s="0" t="s">
        <v>15</v>
      </c>
      <c r="H19" s="5" t="s">
        <v>87</v>
      </c>
      <c r="I19" s="0" t="s">
        <v>88</v>
      </c>
      <c r="J19" s="2" t="b">
        <f aca="false">TRUE()</f>
        <v>1</v>
      </c>
      <c r="K19" s="0" t="n">
        <v>1</v>
      </c>
      <c r="L19" s="0" t="n">
        <v>1</v>
      </c>
      <c r="M19" s="0" t="n">
        <v>1</v>
      </c>
    </row>
    <row r="20" customFormat="false" ht="15" hidden="false" customHeight="false" outlineLevel="0" collapsed="false">
      <c r="A20" s="0" t="s">
        <v>89</v>
      </c>
      <c r="B20" s="0" t="s">
        <v>90</v>
      </c>
      <c r="C20" s="0" t="s">
        <v>32</v>
      </c>
      <c r="E20" s="2" t="b">
        <f aca="false">FALSE()</f>
        <v>0</v>
      </c>
      <c r="F20" s="0" t="s">
        <v>32</v>
      </c>
      <c r="G20" s="0" t="s">
        <v>32</v>
      </c>
      <c r="I20" s="0" t="s">
        <v>91</v>
      </c>
      <c r="J20" s="2" t="b">
        <f aca="false">TRUE()</f>
        <v>1</v>
      </c>
      <c r="K20" s="0" t="n">
        <v>1</v>
      </c>
      <c r="L20" s="0" t="n">
        <v>1</v>
      </c>
      <c r="M20" s="0" t="n">
        <v>1</v>
      </c>
    </row>
    <row r="21" customFormat="false" ht="34.2" hidden="false" customHeight="false" outlineLevel="0" collapsed="false">
      <c r="A21" s="0" t="s">
        <v>92</v>
      </c>
      <c r="B21" s="1" t="s">
        <v>93</v>
      </c>
      <c r="C21" s="0" t="s">
        <v>39</v>
      </c>
      <c r="D21" s="0" t="s">
        <v>94</v>
      </c>
      <c r="E21" s="2" t="b">
        <f aca="false">FALSE()</f>
        <v>0</v>
      </c>
      <c r="F21" s="0" t="s">
        <v>95</v>
      </c>
      <c r="G21" s="0" t="s">
        <v>40</v>
      </c>
      <c r="H21" s="5" t="s">
        <v>96</v>
      </c>
      <c r="I21" s="0" t="s">
        <v>97</v>
      </c>
      <c r="J21" s="2" t="b">
        <f aca="false">TRUE()</f>
        <v>1</v>
      </c>
      <c r="K21" s="0" t="n">
        <v>1</v>
      </c>
      <c r="L21" s="0" t="n">
        <v>1</v>
      </c>
      <c r="M21" s="0" t="n">
        <v>1</v>
      </c>
    </row>
    <row r="22" customFormat="false" ht="15" hidden="false" customHeight="false" outlineLevel="0" collapsed="false">
      <c r="A22" s="0" t="s">
        <v>98</v>
      </c>
      <c r="B22" s="0" t="s">
        <v>99</v>
      </c>
      <c r="C22" s="0" t="s">
        <v>25</v>
      </c>
      <c r="E22" s="2" t="b">
        <f aca="false">FALSE()</f>
        <v>0</v>
      </c>
      <c r="F22" s="0" t="s">
        <v>25</v>
      </c>
      <c r="G22" s="0" t="s">
        <v>25</v>
      </c>
      <c r="I22" s="0" t="s">
        <v>100</v>
      </c>
      <c r="J22" s="2" t="b">
        <f aca="false">TRUE()</f>
        <v>1</v>
      </c>
      <c r="K22" s="0" t="n">
        <v>1</v>
      </c>
      <c r="L22" s="0" t="n">
        <v>1</v>
      </c>
      <c r="M22" s="0" t="n">
        <v>1</v>
      </c>
    </row>
    <row r="23" customFormat="false" ht="56" hidden="false" customHeight="false" outlineLevel="0" collapsed="false">
      <c r="A23" s="0" t="s">
        <v>101</v>
      </c>
      <c r="B23" s="1" t="s">
        <v>102</v>
      </c>
      <c r="C23" s="0" t="s">
        <v>103</v>
      </c>
      <c r="E23" s="2" t="b">
        <f aca="false">TRUE()</f>
        <v>1</v>
      </c>
      <c r="F23" s="0" t="s">
        <v>25</v>
      </c>
      <c r="G23" s="0" t="s">
        <v>25</v>
      </c>
      <c r="I23" s="0" t="s">
        <v>104</v>
      </c>
      <c r="J23" s="3" t="b">
        <f aca="false">FALSE()</f>
        <v>0</v>
      </c>
      <c r="K23" s="0" t="n">
        <v>1</v>
      </c>
      <c r="L23" s="0" t="n">
        <v>0.5</v>
      </c>
      <c r="M23" s="0" t="n">
        <v>0.5</v>
      </c>
    </row>
    <row r="24" customFormat="false" ht="56" hidden="false" customHeight="false" outlineLevel="0" collapsed="false">
      <c r="A24" s="1" t="s">
        <v>105</v>
      </c>
      <c r="B24" s="1" t="s">
        <v>106</v>
      </c>
      <c r="C24" s="0" t="s">
        <v>76</v>
      </c>
      <c r="E24" s="2" t="b">
        <f aca="false">FALSE()</f>
        <v>0</v>
      </c>
      <c r="F24" s="0" t="s">
        <v>40</v>
      </c>
      <c r="G24" s="0" t="s">
        <v>40</v>
      </c>
      <c r="I24" s="0" t="s">
        <v>107</v>
      </c>
      <c r="J24" s="3" t="b">
        <f aca="false">FALSE()</f>
        <v>0</v>
      </c>
      <c r="K24" s="0" t="n">
        <v>0.5</v>
      </c>
      <c r="L24" s="0" t="n">
        <v>1</v>
      </c>
      <c r="M24" s="0" t="n">
        <v>0.5</v>
      </c>
      <c r="O24" s="0" t="s">
        <v>108</v>
      </c>
    </row>
    <row r="25" customFormat="false" ht="296.2" hidden="false" customHeight="false" outlineLevel="0" collapsed="false">
      <c r="A25" s="0" t="s">
        <v>109</v>
      </c>
      <c r="B25" s="1" t="s">
        <v>110</v>
      </c>
      <c r="C25" s="0" t="s">
        <v>32</v>
      </c>
      <c r="E25" s="2" t="b">
        <f aca="false">FALSE()</f>
        <v>0</v>
      </c>
      <c r="F25" s="0" t="s">
        <v>32</v>
      </c>
      <c r="G25" s="0" t="s">
        <v>32</v>
      </c>
      <c r="I25" s="0" t="s">
        <v>111</v>
      </c>
      <c r="J25" s="2" t="b">
        <f aca="false">TRUE()</f>
        <v>1</v>
      </c>
      <c r="K25" s="0" t="n">
        <v>1</v>
      </c>
      <c r="L25" s="0" t="n">
        <v>1</v>
      </c>
      <c r="M25" s="0" t="n">
        <v>1</v>
      </c>
    </row>
    <row r="26" customFormat="false" ht="15" hidden="false" customHeight="false" outlineLevel="0" collapsed="false">
      <c r="A26" s="0" t="s">
        <v>112</v>
      </c>
      <c r="B26" s="0" t="s">
        <v>113</v>
      </c>
      <c r="C26" s="0" t="s">
        <v>20</v>
      </c>
      <c r="E26" s="2" t="b">
        <f aca="false">FALSE()</f>
        <v>0</v>
      </c>
      <c r="F26" s="0" t="s">
        <v>21</v>
      </c>
      <c r="G26" s="0" t="s">
        <v>20</v>
      </c>
      <c r="I26" s="0" t="s">
        <v>114</v>
      </c>
      <c r="J26" s="2" t="b">
        <f aca="false">TRUE()</f>
        <v>1</v>
      </c>
      <c r="K26" s="0" t="n">
        <v>1</v>
      </c>
      <c r="L26" s="0" t="n">
        <v>1</v>
      </c>
      <c r="M26" s="0" t="n">
        <v>1</v>
      </c>
    </row>
    <row r="27" customFormat="false" ht="15" hidden="false" customHeight="false" outlineLevel="0" collapsed="false">
      <c r="A27" s="0" t="s">
        <v>115</v>
      </c>
      <c r="B27" s="0" t="s">
        <v>116</v>
      </c>
      <c r="C27" s="0" t="s">
        <v>25</v>
      </c>
      <c r="E27" s="2" t="b">
        <f aca="false">FALSE()</f>
        <v>0</v>
      </c>
      <c r="F27" s="0" t="s">
        <v>25</v>
      </c>
      <c r="G27" s="0" t="s">
        <v>25</v>
      </c>
      <c r="I27" s="0" t="s">
        <v>117</v>
      </c>
      <c r="J27" s="2" t="b">
        <f aca="false">TRUE()</f>
        <v>1</v>
      </c>
      <c r="K27" s="0" t="n">
        <v>1</v>
      </c>
      <c r="L27" s="0" t="n">
        <v>1</v>
      </c>
      <c r="M27" s="0" t="n">
        <v>1</v>
      </c>
    </row>
    <row r="28" customFormat="false" ht="15" hidden="false" customHeight="false" outlineLevel="0" collapsed="false">
      <c r="A28" s="0" t="s">
        <v>118</v>
      </c>
      <c r="B28" s="0" t="s">
        <v>119</v>
      </c>
      <c r="C28" s="0" t="s">
        <v>20</v>
      </c>
      <c r="E28" s="2" t="b">
        <f aca="false">FALSE()</f>
        <v>0</v>
      </c>
      <c r="F28" s="0" t="s">
        <v>21</v>
      </c>
      <c r="G28" s="0" t="s">
        <v>20</v>
      </c>
      <c r="I28" s="0" t="s">
        <v>120</v>
      </c>
      <c r="J28" s="2" t="b">
        <f aca="false">TRUE()</f>
        <v>1</v>
      </c>
      <c r="K28" s="0" t="n">
        <v>1</v>
      </c>
      <c r="L28" s="0" t="n">
        <v>1</v>
      </c>
      <c r="M28" s="0" t="n">
        <v>1</v>
      </c>
    </row>
    <row r="29" customFormat="false" ht="15" hidden="false" customHeight="false" outlineLevel="0" collapsed="false">
      <c r="A29" s="0" t="s">
        <v>121</v>
      </c>
      <c r="B29" s="0" t="s">
        <v>122</v>
      </c>
      <c r="C29" s="0" t="s">
        <v>25</v>
      </c>
      <c r="E29" s="2" t="b">
        <f aca="false">FALSE()</f>
        <v>0</v>
      </c>
      <c r="F29" s="0" t="s">
        <v>25</v>
      </c>
      <c r="G29" s="0" t="s">
        <v>25</v>
      </c>
      <c r="I29" s="0" t="s">
        <v>123</v>
      </c>
      <c r="J29" s="2" t="b">
        <f aca="false">TRUE()</f>
        <v>1</v>
      </c>
      <c r="K29" s="0" t="n">
        <v>1</v>
      </c>
      <c r="L29" s="0" t="n">
        <v>1</v>
      </c>
      <c r="M29" s="0" t="n">
        <v>1</v>
      </c>
    </row>
    <row r="30" customFormat="false" ht="15" hidden="false" customHeight="false" outlineLevel="0" collapsed="false">
      <c r="A30" s="0" t="s">
        <v>124</v>
      </c>
      <c r="B30" s="0" t="s">
        <v>125</v>
      </c>
      <c r="C30" s="0" t="s">
        <v>76</v>
      </c>
      <c r="E30" s="2" t="b">
        <f aca="false">FALSE()</f>
        <v>0</v>
      </c>
      <c r="F30" s="0" t="s">
        <v>77</v>
      </c>
      <c r="G30" s="0" t="s">
        <v>77</v>
      </c>
      <c r="I30" s="0" t="s">
        <v>126</v>
      </c>
      <c r="J30" s="3" t="b">
        <f aca="false">FALSE()</f>
        <v>0</v>
      </c>
      <c r="K30" s="0" t="n">
        <v>0</v>
      </c>
      <c r="L30" s="0" t="n">
        <v>0</v>
      </c>
      <c r="M30" s="0" t="n">
        <v>0</v>
      </c>
    </row>
    <row r="31" customFormat="false" ht="99.6" hidden="false" customHeight="false" outlineLevel="0" collapsed="false">
      <c r="A31" s="0" t="s">
        <v>127</v>
      </c>
      <c r="B31" s="1" t="s">
        <v>128</v>
      </c>
      <c r="C31" s="0" t="s">
        <v>32</v>
      </c>
      <c r="E31" s="2" t="b">
        <f aca="false">FALSE()</f>
        <v>0</v>
      </c>
      <c r="F31" s="0" t="s">
        <v>32</v>
      </c>
      <c r="G31" s="0" t="s">
        <v>32</v>
      </c>
      <c r="I31" s="0" t="s">
        <v>129</v>
      </c>
      <c r="J31" s="2" t="b">
        <f aca="false">TRUE()</f>
        <v>1</v>
      </c>
      <c r="K31" s="0" t="n">
        <v>1</v>
      </c>
      <c r="L31" s="0" t="n">
        <v>1</v>
      </c>
      <c r="M31" s="0" t="n">
        <v>1</v>
      </c>
    </row>
    <row r="32" customFormat="false" ht="34.2" hidden="false" customHeight="false" outlineLevel="0" collapsed="false">
      <c r="A32" s="1" t="s">
        <v>130</v>
      </c>
      <c r="B32" s="0" t="s">
        <v>131</v>
      </c>
      <c r="C32" s="0" t="s">
        <v>25</v>
      </c>
      <c r="E32" s="2" t="b">
        <f aca="false">FALSE()</f>
        <v>0</v>
      </c>
      <c r="F32" s="0" t="s">
        <v>25</v>
      </c>
      <c r="G32" s="0" t="s">
        <v>25</v>
      </c>
      <c r="I32" s="0" t="s">
        <v>132</v>
      </c>
      <c r="J32" s="2" t="b">
        <f aca="false">TRUE()</f>
        <v>1</v>
      </c>
      <c r="K32" s="0" t="n">
        <v>1</v>
      </c>
      <c r="L32" s="0" t="n">
        <v>1</v>
      </c>
      <c r="M32" s="0" t="n">
        <v>1</v>
      </c>
    </row>
    <row r="33" customFormat="false" ht="34.2" hidden="false" customHeight="false" outlineLevel="0" collapsed="false">
      <c r="A33" s="0" t="s">
        <v>133</v>
      </c>
      <c r="B33" s="1" t="s">
        <v>134</v>
      </c>
      <c r="C33" s="0" t="s">
        <v>61</v>
      </c>
      <c r="E33" s="2" t="b">
        <f aca="false">FALSE()</f>
        <v>0</v>
      </c>
      <c r="F33" s="0" t="s">
        <v>62</v>
      </c>
      <c r="G33" s="0" t="s">
        <v>61</v>
      </c>
      <c r="I33" s="0" t="s">
        <v>135</v>
      </c>
      <c r="J33" s="2" t="b">
        <f aca="false">TRUE()</f>
        <v>1</v>
      </c>
      <c r="K33" s="0" t="n">
        <v>1</v>
      </c>
      <c r="L33" s="0" t="n">
        <v>1</v>
      </c>
      <c r="M33" s="0" t="n">
        <v>1</v>
      </c>
    </row>
    <row r="34" customFormat="false" ht="99.6" hidden="false" customHeight="false" outlineLevel="0" collapsed="false">
      <c r="A34" s="0" t="s">
        <v>136</v>
      </c>
      <c r="B34" s="1" t="s">
        <v>137</v>
      </c>
      <c r="C34" s="0" t="s">
        <v>32</v>
      </c>
      <c r="E34" s="2" t="b">
        <f aca="false">FALSE()</f>
        <v>0</v>
      </c>
      <c r="F34" s="0" t="s">
        <v>32</v>
      </c>
      <c r="G34" s="0" t="s">
        <v>32</v>
      </c>
      <c r="I34" s="0" t="s">
        <v>138</v>
      </c>
      <c r="J34" s="2" t="b">
        <f aca="false">TRUE()</f>
        <v>1</v>
      </c>
      <c r="K34" s="0" t="n">
        <v>1</v>
      </c>
      <c r="L34" s="0" t="n">
        <v>1</v>
      </c>
      <c r="M34" s="0" t="n">
        <v>1</v>
      </c>
    </row>
    <row r="35" customFormat="false" ht="88.7" hidden="false" customHeight="false" outlineLevel="0" collapsed="false">
      <c r="A35" s="0" t="s">
        <v>139</v>
      </c>
      <c r="B35" s="1" t="s">
        <v>140</v>
      </c>
      <c r="C35" s="0" t="s">
        <v>15</v>
      </c>
      <c r="E35" s="2" t="b">
        <f aca="false">FALSE()</f>
        <v>0</v>
      </c>
      <c r="F35" s="0" t="s">
        <v>141</v>
      </c>
      <c r="G35" s="5" t="s">
        <v>15</v>
      </c>
      <c r="H35" s="5" t="s">
        <v>141</v>
      </c>
      <c r="I35" s="0" t="s">
        <v>142</v>
      </c>
      <c r="J35" s="2" t="b">
        <f aca="false">TRUE()</f>
        <v>1</v>
      </c>
      <c r="K35" s="0" t="n">
        <v>1</v>
      </c>
      <c r="L35" s="0" t="n">
        <v>1</v>
      </c>
      <c r="M35" s="0" t="n">
        <v>1</v>
      </c>
    </row>
    <row r="36" customFormat="false" ht="165" hidden="false" customHeight="false" outlineLevel="0" collapsed="false">
      <c r="A36" s="0" t="s">
        <v>143</v>
      </c>
      <c r="B36" s="1" t="s">
        <v>144</v>
      </c>
      <c r="C36" s="0" t="s">
        <v>76</v>
      </c>
      <c r="E36" s="2" t="b">
        <f aca="false">FALSE()</f>
        <v>0</v>
      </c>
      <c r="F36" s="0" t="s">
        <v>25</v>
      </c>
      <c r="G36" s="0" t="s">
        <v>25</v>
      </c>
      <c r="I36" s="0" t="s">
        <v>145</v>
      </c>
      <c r="J36" s="3" t="b">
        <f aca="false">FALSE()</f>
        <v>0</v>
      </c>
      <c r="K36" s="0" t="n">
        <v>0</v>
      </c>
      <c r="L36" s="0" t="n">
        <v>0</v>
      </c>
      <c r="M36" s="0" t="n">
        <v>0</v>
      </c>
      <c r="O36" s="0" t="s">
        <v>146</v>
      </c>
    </row>
    <row r="37" customFormat="false" ht="15" hidden="false" customHeight="false" outlineLevel="0" collapsed="false">
      <c r="A37" s="0" t="s">
        <v>147</v>
      </c>
      <c r="B37" s="0" t="s">
        <v>148</v>
      </c>
      <c r="C37" s="0" t="s">
        <v>15</v>
      </c>
      <c r="D37" s="0" t="s">
        <v>16</v>
      </c>
      <c r="E37" s="2" t="b">
        <f aca="false">FALSE()</f>
        <v>0</v>
      </c>
      <c r="F37" s="0" t="s">
        <v>149</v>
      </c>
      <c r="G37" s="0" t="s">
        <v>150</v>
      </c>
      <c r="H37" s="0" t="s">
        <v>83</v>
      </c>
      <c r="I37" s="0" t="s">
        <v>151</v>
      </c>
      <c r="J37" s="3" t="b">
        <f aca="false">FALSE()</f>
        <v>0</v>
      </c>
      <c r="K37" s="0" t="n">
        <v>0.25</v>
      </c>
      <c r="L37" s="0" t="n">
        <v>1</v>
      </c>
      <c r="M37" s="0" t="n">
        <v>0.25</v>
      </c>
      <c r="O37" s="0" t="s">
        <v>152</v>
      </c>
    </row>
    <row r="38" customFormat="false" ht="45.1" hidden="false" customHeight="false" outlineLevel="0" collapsed="false">
      <c r="A38" s="0" t="s">
        <v>153</v>
      </c>
      <c r="B38" s="1" t="s">
        <v>154</v>
      </c>
      <c r="C38" s="0" t="s">
        <v>76</v>
      </c>
      <c r="E38" s="2" t="b">
        <f aca="false">FALSE()</f>
        <v>0</v>
      </c>
      <c r="F38" s="0" t="s">
        <v>25</v>
      </c>
      <c r="G38" s="0" t="s">
        <v>25</v>
      </c>
      <c r="I38" s="0" t="s">
        <v>155</v>
      </c>
      <c r="J38" s="3" t="b">
        <f aca="false">FALSE()</f>
        <v>0</v>
      </c>
      <c r="K38" s="0" t="n">
        <v>0</v>
      </c>
      <c r="L38" s="0" t="n">
        <v>0</v>
      </c>
      <c r="M38" s="0" t="n">
        <v>0</v>
      </c>
      <c r="O38" s="0" t="s">
        <v>152</v>
      </c>
    </row>
    <row r="39" customFormat="false" ht="15" hidden="false" customHeight="false" outlineLevel="0" collapsed="false">
      <c r="A39" s="0" t="s">
        <v>156</v>
      </c>
      <c r="B39" s="0" t="s">
        <v>157</v>
      </c>
      <c r="C39" s="0" t="s">
        <v>158</v>
      </c>
      <c r="E39" s="2" t="b">
        <f aca="false">FALSE()</f>
        <v>0</v>
      </c>
      <c r="F39" s="0" t="s">
        <v>32</v>
      </c>
      <c r="G39" s="0" t="s">
        <v>32</v>
      </c>
      <c r="I39" s="0" t="s">
        <v>159</v>
      </c>
      <c r="J39" s="3" t="b">
        <f aca="false">FALSE()</f>
        <v>0</v>
      </c>
      <c r="K39" s="0" t="n">
        <v>1</v>
      </c>
      <c r="L39" s="0" t="n">
        <v>0.5</v>
      </c>
      <c r="M39" s="0" t="n">
        <v>0.5</v>
      </c>
      <c r="O39" s="0" t="s">
        <v>152</v>
      </c>
    </row>
    <row r="40" customFormat="false" ht="15" hidden="false" customHeight="false" outlineLevel="0" collapsed="false">
      <c r="A40" s="0" t="s">
        <v>160</v>
      </c>
      <c r="B40" s="0" t="s">
        <v>161</v>
      </c>
      <c r="C40" s="0" t="s">
        <v>32</v>
      </c>
      <c r="E40" s="2" t="b">
        <f aca="false">FALSE()</f>
        <v>0</v>
      </c>
      <c r="F40" s="0" t="s">
        <v>32</v>
      </c>
      <c r="G40" s="0" t="s">
        <v>32</v>
      </c>
      <c r="I40" s="0" t="s">
        <v>162</v>
      </c>
      <c r="J40" s="2" t="b">
        <f aca="false">TRUE()</f>
        <v>1</v>
      </c>
      <c r="K40" s="0" t="n">
        <v>1</v>
      </c>
      <c r="L40" s="0" t="n">
        <v>1</v>
      </c>
      <c r="M40" s="0" t="n">
        <v>1</v>
      </c>
    </row>
    <row r="41" customFormat="false" ht="34.2" hidden="false" customHeight="false" outlineLevel="0" collapsed="false">
      <c r="A41" s="0" t="s">
        <v>163</v>
      </c>
      <c r="B41" s="1" t="s">
        <v>164</v>
      </c>
      <c r="C41" s="0" t="s">
        <v>32</v>
      </c>
      <c r="E41" s="2" t="b">
        <f aca="false">FALSE()</f>
        <v>0</v>
      </c>
      <c r="F41" s="6" t="s">
        <v>25</v>
      </c>
      <c r="G41" s="6" t="s">
        <v>25</v>
      </c>
      <c r="H41" s="6"/>
      <c r="I41" s="6" t="s">
        <v>165</v>
      </c>
      <c r="J41" s="7" t="b">
        <f aca="false">FALSE()</f>
        <v>0</v>
      </c>
      <c r="K41" s="0" t="n">
        <v>0</v>
      </c>
      <c r="L41" s="0" t="n">
        <v>0</v>
      </c>
      <c r="M41" s="0" t="n">
        <v>0</v>
      </c>
      <c r="O41" s="0" t="s">
        <v>166</v>
      </c>
    </row>
    <row r="42" customFormat="false" ht="77.8" hidden="false" customHeight="false" outlineLevel="0" collapsed="false">
      <c r="A42" s="0" t="s">
        <v>167</v>
      </c>
      <c r="B42" s="1" t="s">
        <v>168</v>
      </c>
      <c r="C42" s="0" t="s">
        <v>20</v>
      </c>
      <c r="E42" s="2" t="b">
        <f aca="false">FALSE()</f>
        <v>0</v>
      </c>
      <c r="F42" s="0" t="s">
        <v>21</v>
      </c>
      <c r="G42" s="0" t="s">
        <v>20</v>
      </c>
      <c r="I42" s="0" t="s">
        <v>169</v>
      </c>
      <c r="J42" s="2" t="b">
        <f aca="false">TRUE()</f>
        <v>1</v>
      </c>
      <c r="K42" s="0" t="n">
        <v>1</v>
      </c>
      <c r="L42" s="0" t="n">
        <v>1</v>
      </c>
      <c r="M42" s="0" t="n">
        <v>1</v>
      </c>
    </row>
    <row r="43" customFormat="false" ht="15" hidden="false" customHeight="false" outlineLevel="0" collapsed="false">
      <c r="A43" s="0" t="s">
        <v>170</v>
      </c>
      <c r="B43" s="0" t="s">
        <v>171</v>
      </c>
      <c r="C43" s="0" t="s">
        <v>20</v>
      </c>
      <c r="E43" s="2" t="b">
        <f aca="false">FALSE()</f>
        <v>0</v>
      </c>
      <c r="F43" s="0" t="s">
        <v>21</v>
      </c>
      <c r="G43" s="0" t="s">
        <v>20</v>
      </c>
      <c r="I43" s="0" t="s">
        <v>172</v>
      </c>
      <c r="J43" s="2" t="b">
        <f aca="false">TRUE()</f>
        <v>1</v>
      </c>
      <c r="K43" s="0" t="n">
        <v>1</v>
      </c>
      <c r="L43" s="0" t="n">
        <v>1</v>
      </c>
      <c r="M43" s="0" t="n">
        <v>1</v>
      </c>
    </row>
    <row r="44" customFormat="false" ht="45.1" hidden="false" customHeight="false" outlineLevel="0" collapsed="false">
      <c r="A44" s="1" t="s">
        <v>173</v>
      </c>
      <c r="B44" s="1" t="s">
        <v>174</v>
      </c>
      <c r="C44" s="0" t="s">
        <v>20</v>
      </c>
      <c r="E44" s="2" t="b">
        <f aca="false">FALSE()</f>
        <v>0</v>
      </c>
      <c r="F44" s="0" t="s">
        <v>21</v>
      </c>
      <c r="G44" s="0" t="s">
        <v>20</v>
      </c>
      <c r="I44" s="0" t="s">
        <v>175</v>
      </c>
      <c r="J44" s="2" t="b">
        <f aca="false">TRUE()</f>
        <v>1</v>
      </c>
      <c r="K44" s="0" t="n">
        <v>1</v>
      </c>
      <c r="L44" s="0" t="n">
        <v>1</v>
      </c>
      <c r="M44" s="0" t="n">
        <v>1</v>
      </c>
    </row>
    <row r="45" customFormat="false" ht="165" hidden="false" customHeight="false" outlineLevel="0" collapsed="false">
      <c r="A45" s="0" t="s">
        <v>176</v>
      </c>
      <c r="B45" s="1" t="s">
        <v>177</v>
      </c>
      <c r="C45" s="0" t="s">
        <v>20</v>
      </c>
      <c r="E45" s="2" t="b">
        <f aca="false">FALSE()</f>
        <v>0</v>
      </c>
      <c r="F45" s="0" t="s">
        <v>21</v>
      </c>
      <c r="G45" s="0" t="s">
        <v>20</v>
      </c>
      <c r="I45" s="0" t="s">
        <v>178</v>
      </c>
      <c r="J45" s="2" t="b">
        <f aca="false">TRUE()</f>
        <v>1</v>
      </c>
      <c r="K45" s="0" t="n">
        <v>1</v>
      </c>
      <c r="L45" s="0" t="n">
        <v>1</v>
      </c>
      <c r="M45" s="0" t="n">
        <v>1</v>
      </c>
    </row>
    <row r="46" customFormat="false" ht="77.8" hidden="false" customHeight="false" outlineLevel="0" collapsed="false">
      <c r="A46" s="0" t="s">
        <v>179</v>
      </c>
      <c r="B46" s="1" t="s">
        <v>180</v>
      </c>
      <c r="C46" s="0" t="s">
        <v>15</v>
      </c>
      <c r="D46" s="0" t="s">
        <v>69</v>
      </c>
      <c r="E46" s="2" t="b">
        <f aca="false">FALSE()</f>
        <v>0</v>
      </c>
      <c r="F46" s="0" t="s">
        <v>69</v>
      </c>
      <c r="G46" s="0" t="s">
        <v>15</v>
      </c>
      <c r="H46" s="0" t="s">
        <v>69</v>
      </c>
      <c r="I46" s="0" t="s">
        <v>181</v>
      </c>
      <c r="J46" s="2" t="b">
        <f aca="false">TRUE()</f>
        <v>1</v>
      </c>
      <c r="K46" s="0" t="n">
        <v>1</v>
      </c>
      <c r="L46" s="0" t="n">
        <v>1</v>
      </c>
      <c r="M46" s="0" t="n">
        <v>1</v>
      </c>
    </row>
    <row r="47" customFormat="false" ht="15" hidden="false" customHeight="false" outlineLevel="0" collapsed="false">
      <c r="A47" s="0" t="s">
        <v>182</v>
      </c>
      <c r="B47" s="0" t="s">
        <v>183</v>
      </c>
      <c r="C47" s="0" t="s">
        <v>15</v>
      </c>
      <c r="D47" s="0" t="s">
        <v>16</v>
      </c>
      <c r="E47" s="2" t="b">
        <f aca="false">FALSE()</f>
        <v>0</v>
      </c>
      <c r="F47" s="0" t="s">
        <v>25</v>
      </c>
      <c r="G47" s="0" t="s">
        <v>25</v>
      </c>
      <c r="I47" s="0" t="s">
        <v>184</v>
      </c>
      <c r="J47" s="3" t="b">
        <f aca="false">FALSE()</f>
        <v>0</v>
      </c>
      <c r="K47" s="0" t="n">
        <v>0</v>
      </c>
      <c r="L47" s="0" t="n">
        <v>0</v>
      </c>
      <c r="M47" s="0" t="n">
        <v>0</v>
      </c>
      <c r="O47" s="0" t="s">
        <v>185</v>
      </c>
    </row>
    <row r="48" customFormat="false" ht="77.8" hidden="false" customHeight="false" outlineLevel="0" collapsed="false">
      <c r="A48" s="0" t="s">
        <v>186</v>
      </c>
      <c r="B48" s="1" t="s">
        <v>187</v>
      </c>
      <c r="C48" s="0" t="s">
        <v>61</v>
      </c>
      <c r="E48" s="2" t="b">
        <f aca="false">FALSE()</f>
        <v>0</v>
      </c>
      <c r="F48" s="0" t="s">
        <v>188</v>
      </c>
      <c r="G48" s="0" t="s">
        <v>189</v>
      </c>
      <c r="I48" s="0" t="s">
        <v>190</v>
      </c>
      <c r="J48" s="4" t="b">
        <f aca="false">FALSE()</f>
        <v>0</v>
      </c>
      <c r="K48" s="0" t="n">
        <v>0.333333333333333</v>
      </c>
      <c r="L48" s="0" t="n">
        <v>1</v>
      </c>
      <c r="M48" s="0" t="n">
        <v>0.333333333333333</v>
      </c>
      <c r="O48" s="0" t="s">
        <v>191</v>
      </c>
    </row>
    <row r="49" customFormat="false" ht="23.3" hidden="false" customHeight="false" outlineLevel="0" collapsed="false">
      <c r="A49" s="1" t="s">
        <v>192</v>
      </c>
      <c r="B49" s="0" t="s">
        <v>193</v>
      </c>
      <c r="C49" s="0" t="s">
        <v>194</v>
      </c>
      <c r="E49" s="2" t="b">
        <f aca="false">TRUE()</f>
        <v>1</v>
      </c>
      <c r="F49" s="0" t="s">
        <v>25</v>
      </c>
      <c r="G49" s="0" t="s">
        <v>25</v>
      </c>
      <c r="I49" s="0" t="s">
        <v>195</v>
      </c>
      <c r="J49" s="3" t="b">
        <f aca="false">FALSE()</f>
        <v>0</v>
      </c>
      <c r="K49" s="0" t="n">
        <v>1</v>
      </c>
      <c r="L49" s="0" t="n">
        <v>0.5</v>
      </c>
      <c r="M49" s="0" t="n">
        <v>0.5</v>
      </c>
    </row>
    <row r="50" customFormat="false" ht="165" hidden="false" customHeight="false" outlineLevel="0" collapsed="false">
      <c r="A50" s="0" t="s">
        <v>196</v>
      </c>
      <c r="B50" s="1" t="s">
        <v>197</v>
      </c>
      <c r="C50" s="0" t="s">
        <v>25</v>
      </c>
      <c r="E50" s="2" t="b">
        <f aca="false">FALSE()</f>
        <v>0</v>
      </c>
      <c r="F50" s="0" t="s">
        <v>25</v>
      </c>
      <c r="G50" s="0" t="s">
        <v>25</v>
      </c>
      <c r="I50" s="0" t="s">
        <v>198</v>
      </c>
      <c r="J50" s="2" t="b">
        <f aca="false">TRUE()</f>
        <v>1</v>
      </c>
      <c r="K50" s="0" t="n">
        <v>1</v>
      </c>
      <c r="L50" s="0" t="n">
        <v>1</v>
      </c>
      <c r="M50" s="0" t="n">
        <v>1</v>
      </c>
    </row>
    <row r="51" customFormat="false" ht="15" hidden="false" customHeight="false" outlineLevel="0" collapsed="false">
      <c r="A51" s="0" t="s">
        <v>199</v>
      </c>
      <c r="B51" s="0" t="s">
        <v>200</v>
      </c>
      <c r="C51" s="0" t="s">
        <v>25</v>
      </c>
      <c r="E51" s="2" t="b">
        <f aca="false">FALSE()</f>
        <v>0</v>
      </c>
      <c r="F51" s="0" t="s">
        <v>25</v>
      </c>
      <c r="G51" s="0" t="s">
        <v>25</v>
      </c>
      <c r="I51" s="0" t="s">
        <v>201</v>
      </c>
      <c r="J51" s="2" t="b">
        <f aca="false">TRUE()</f>
        <v>1</v>
      </c>
      <c r="K51" s="0" t="n">
        <v>1</v>
      </c>
      <c r="L51" s="0" t="n">
        <v>1</v>
      </c>
      <c r="M51" s="0" t="n">
        <v>1</v>
      </c>
    </row>
    <row r="52" customFormat="false" ht="165" hidden="false" customHeight="false" outlineLevel="0" collapsed="false">
      <c r="A52" s="0" t="s">
        <v>202</v>
      </c>
      <c r="B52" s="1" t="s">
        <v>203</v>
      </c>
      <c r="C52" s="0" t="s">
        <v>76</v>
      </c>
      <c r="E52" s="2" t="b">
        <f aca="false">FALSE()</f>
        <v>0</v>
      </c>
      <c r="F52" s="0" t="s">
        <v>25</v>
      </c>
      <c r="G52" s="0" t="s">
        <v>25</v>
      </c>
      <c r="I52" s="0" t="s">
        <v>204</v>
      </c>
      <c r="J52" s="2" t="b">
        <f aca="false">FALSE()</f>
        <v>0</v>
      </c>
      <c r="K52" s="0" t="n">
        <v>0</v>
      </c>
      <c r="L52" s="0" t="n">
        <v>0</v>
      </c>
      <c r="M52" s="0" t="n">
        <v>0</v>
      </c>
    </row>
    <row r="53" customFormat="false" ht="15" hidden="false" customHeight="false" outlineLevel="0" collapsed="false">
      <c r="A53" s="0" t="s">
        <v>205</v>
      </c>
      <c r="B53" s="0" t="s">
        <v>206</v>
      </c>
      <c r="C53" s="0" t="s">
        <v>20</v>
      </c>
      <c r="E53" s="2" t="b">
        <f aca="false">FALSE()</f>
        <v>0</v>
      </c>
      <c r="F53" s="0" t="s">
        <v>21</v>
      </c>
      <c r="G53" s="0" t="s">
        <v>20</v>
      </c>
      <c r="I53" s="0" t="s">
        <v>207</v>
      </c>
      <c r="J53" s="2" t="b">
        <f aca="false">TRUE()</f>
        <v>1</v>
      </c>
      <c r="K53" s="0" t="n">
        <v>1</v>
      </c>
      <c r="L53" s="0" t="n">
        <v>1</v>
      </c>
      <c r="M53" s="0"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2</v>
      </c>
      <c r="B1" s="0" t="s">
        <v>208</v>
      </c>
      <c r="C1" s="0" t="s">
        <v>209</v>
      </c>
      <c r="D1" s="0" t="s">
        <v>210</v>
      </c>
      <c r="E1" s="0" t="s">
        <v>211</v>
      </c>
      <c r="F1" s="0" t="s">
        <v>212</v>
      </c>
      <c r="G1" s="0" t="s">
        <v>213</v>
      </c>
    </row>
    <row r="2" customFormat="false" ht="15" hidden="false" customHeight="false" outlineLevel="0" collapsed="false">
      <c r="A2" s="0" t="s">
        <v>25</v>
      </c>
      <c r="B2" s="0" t="n">
        <v>11</v>
      </c>
      <c r="C2" s="0" t="n">
        <v>11</v>
      </c>
      <c r="D2" s="0" t="n">
        <v>7</v>
      </c>
      <c r="E2" s="0" t="n">
        <v>0</v>
      </c>
      <c r="F2" s="0" t="s">
        <v>214</v>
      </c>
      <c r="G2" s="0" t="s">
        <v>215</v>
      </c>
    </row>
    <row r="3" customFormat="false" ht="15" hidden="false" customHeight="false" outlineLevel="0" collapsed="false">
      <c r="A3" s="0" t="s">
        <v>216</v>
      </c>
      <c r="B3" s="0" t="n">
        <v>2</v>
      </c>
      <c r="C3" s="0" t="n">
        <v>0</v>
      </c>
      <c r="D3" s="0" t="n">
        <v>2</v>
      </c>
      <c r="E3" s="0" t="n">
        <v>2</v>
      </c>
      <c r="F3" s="0" t="s">
        <v>217</v>
      </c>
      <c r="G3" s="0" t="s">
        <v>217</v>
      </c>
    </row>
    <row r="4" customFormat="false" ht="15" hidden="false" customHeight="false" outlineLevel="0" collapsed="false">
      <c r="A4" s="0" t="s">
        <v>15</v>
      </c>
      <c r="B4" s="0" t="n">
        <v>10</v>
      </c>
      <c r="C4" s="0" t="n">
        <v>9</v>
      </c>
      <c r="D4" s="0" t="n">
        <v>1</v>
      </c>
      <c r="E4" s="0" t="n">
        <v>1</v>
      </c>
      <c r="F4" s="0" t="s">
        <v>218</v>
      </c>
      <c r="G4" s="0" t="s">
        <v>218</v>
      </c>
    </row>
    <row r="5" customFormat="false" ht="15" hidden="false" customHeight="false" outlineLevel="0" collapsed="false">
      <c r="A5" s="0" t="s">
        <v>61</v>
      </c>
      <c r="B5" s="0" t="n">
        <v>4</v>
      </c>
      <c r="C5" s="0" t="n">
        <v>3</v>
      </c>
      <c r="D5" s="0" t="n">
        <v>0</v>
      </c>
      <c r="E5" s="0" t="n">
        <v>1</v>
      </c>
      <c r="F5" s="0" t="s">
        <v>219</v>
      </c>
      <c r="G5" s="0" t="s">
        <v>214</v>
      </c>
    </row>
    <row r="6" customFormat="false" ht="15" hidden="false" customHeight="false" outlineLevel="0" collapsed="false">
      <c r="A6" s="0" t="s">
        <v>76</v>
      </c>
      <c r="B6" s="0" t="n">
        <v>0</v>
      </c>
      <c r="C6" s="0" t="n">
        <v>0</v>
      </c>
      <c r="D6" s="0" t="n">
        <v>0</v>
      </c>
      <c r="E6" s="0" t="n">
        <v>0</v>
      </c>
      <c r="F6" s="0" t="s">
        <v>220</v>
      </c>
      <c r="G6" s="0" t="s">
        <v>220</v>
      </c>
    </row>
    <row r="7" customFormat="false" ht="15" hidden="false" customHeight="false" outlineLevel="0" collapsed="false">
      <c r="A7" s="0" t="s">
        <v>32</v>
      </c>
      <c r="B7" s="0" t="n">
        <v>21</v>
      </c>
      <c r="C7" s="0" t="n">
        <v>14</v>
      </c>
      <c r="D7" s="0" t="n">
        <v>1</v>
      </c>
      <c r="E7" s="0" t="n">
        <v>7</v>
      </c>
      <c r="F7" s="0" t="s">
        <v>221</v>
      </c>
      <c r="G7" s="0" t="s">
        <v>222</v>
      </c>
    </row>
    <row r="8" customFormat="false" ht="15" hidden="false" customHeight="false" outlineLevel="0" collapsed="false">
      <c r="A8" s="0" t="s">
        <v>20</v>
      </c>
      <c r="B8" s="0" t="n">
        <v>10</v>
      </c>
      <c r="C8" s="0" t="n">
        <v>9</v>
      </c>
      <c r="D8" s="0" t="n">
        <v>0</v>
      </c>
      <c r="E8" s="0" t="n">
        <v>1</v>
      </c>
      <c r="F8" s="0" t="s">
        <v>218</v>
      </c>
      <c r="G8" s="0" t="s">
        <v>214</v>
      </c>
    </row>
    <row r="9" customFormat="false" ht="15" hidden="false" customHeight="false" outlineLevel="0" collapsed="false">
      <c r="A9" s="0" t="s">
        <v>44</v>
      </c>
      <c r="B9" s="0" t="n">
        <v>0</v>
      </c>
      <c r="C9" s="0" t="n">
        <v>0</v>
      </c>
      <c r="D9" s="0" t="n">
        <v>0</v>
      </c>
      <c r="E9" s="0" t="n">
        <v>0</v>
      </c>
      <c r="F9" s="0" t="s">
        <v>220</v>
      </c>
      <c r="G9" s="0" t="s">
        <v>220</v>
      </c>
    </row>
    <row r="10" customFormat="false" ht="15" hidden="false" customHeight="false" outlineLevel="0" collapsed="false">
      <c r="A10" s="0" t="s">
        <v>77</v>
      </c>
      <c r="B10" s="0" t="n">
        <v>0</v>
      </c>
      <c r="C10" s="0" t="n">
        <v>0</v>
      </c>
      <c r="D10" s="0" t="n">
        <v>4</v>
      </c>
      <c r="E10" s="0" t="n">
        <v>0</v>
      </c>
      <c r="F10" s="0" t="s">
        <v>220</v>
      </c>
      <c r="G10" s="0" t="s">
        <v>217</v>
      </c>
    </row>
    <row r="11" customFormat="false" ht="15" hidden="false" customHeight="false" outlineLevel="0" collapsed="false">
      <c r="A11" s="0" t="s">
        <v>223</v>
      </c>
      <c r="B11" s="0" t="n">
        <v>0</v>
      </c>
      <c r="C11" s="0" t="n">
        <v>0</v>
      </c>
      <c r="D11" s="0" t="n">
        <v>0</v>
      </c>
      <c r="E11" s="0" t="n">
        <v>0</v>
      </c>
      <c r="F11" s="0" t="s">
        <v>220</v>
      </c>
      <c r="G11" s="0" t="s">
        <v>220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224</v>
      </c>
      <c r="B1" s="0" t="s">
        <v>225</v>
      </c>
      <c r="C1" s="0" t="s">
        <v>226</v>
      </c>
    </row>
    <row r="2" customFormat="false" ht="15" hidden="false" customHeight="false" outlineLevel="0" collapsed="false">
      <c r="A2" s="0" t="s">
        <v>227</v>
      </c>
      <c r="B2" s="0" t="s">
        <v>228</v>
      </c>
      <c r="C2" s="0" t="n">
        <v>52</v>
      </c>
    </row>
    <row r="3" customFormat="false" ht="15" hidden="false" customHeight="false" outlineLevel="0" collapsed="false">
      <c r="A3" s="0" t="s">
        <v>229</v>
      </c>
      <c r="B3" s="0" t="s">
        <v>230</v>
      </c>
      <c r="C3" s="0" t="n">
        <v>52</v>
      </c>
    </row>
    <row r="4" customFormat="false" ht="15" hidden="false" customHeight="false" outlineLevel="0" collapsed="false">
      <c r="A4" s="0" t="s">
        <v>231</v>
      </c>
      <c r="B4" s="0" t="s">
        <v>232</v>
      </c>
      <c r="C4" s="0" t="n">
        <v>52</v>
      </c>
    </row>
    <row r="5" customFormat="false" ht="15" hidden="false" customHeight="false" outlineLevel="0" collapsed="false">
      <c r="A5" s="0" t="s">
        <v>233</v>
      </c>
      <c r="B5" s="0" t="s">
        <v>234</v>
      </c>
      <c r="C5" s="0" t="n">
        <v>52</v>
      </c>
    </row>
    <row r="6" customFormat="false" ht="15" hidden="false" customHeight="false" outlineLevel="0" collapsed="false">
      <c r="A6" s="0" t="s">
        <v>235</v>
      </c>
      <c r="B6" s="0" t="s">
        <v>236</v>
      </c>
      <c r="C6" s="0" t="n">
        <v>10</v>
      </c>
    </row>
    <row r="7" customFormat="false" ht="15" hidden="false" customHeight="false" outlineLevel="0" collapsed="false">
      <c r="A7" s="0" t="s">
        <v>237</v>
      </c>
      <c r="B7" s="0" t="s">
        <v>238</v>
      </c>
      <c r="C7" s="0" t="n">
        <v>10</v>
      </c>
    </row>
    <row r="8" customFormat="false" ht="15" hidden="false" customHeight="false" outlineLevel="0" collapsed="false">
      <c r="A8" s="0" t="s">
        <v>239</v>
      </c>
      <c r="B8" s="0" t="s">
        <v>240</v>
      </c>
      <c r="C8" s="0" t="n">
        <v>10</v>
      </c>
    </row>
    <row r="9" customFormat="false" ht="15" hidden="false" customHeight="false" outlineLevel="0" collapsed="false">
      <c r="A9" s="0" t="s">
        <v>241</v>
      </c>
      <c r="B9" s="0" t="s">
        <v>242</v>
      </c>
      <c r="C9" s="0" t="n">
        <v>10</v>
      </c>
    </row>
    <row r="10" customFormat="false" ht="15" hidden="false" customHeight="false" outlineLevel="0" collapsed="false">
      <c r="A10" s="0" t="s">
        <v>243</v>
      </c>
      <c r="B10" s="0" t="n">
        <v>2</v>
      </c>
      <c r="C10" s="0" t="n">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2026-07-28T16:02:30Z</dcterms:created>
  <dc:creator>openpyxl</dc:creator>
  <dc:description/>
  <dc:language>en-GB</dc:language>
  <cp:lastModifiedBy/>
  <dcterms:modified xsi:type="dcterms:W3CDTF">2026-07-28T17:57:36Z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