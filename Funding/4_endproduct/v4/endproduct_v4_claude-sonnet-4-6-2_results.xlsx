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<sst xmlns="http://schemas.openxmlformats.org/spreadsheetml/2006/main" count="83" uniqueCount="61">
  <si>
    <t xml:space="preserve">id</t>
  </si>
  <si>
    <t xml:space="preserve">title</t>
  </si>
  <si>
    <t xml:space="preserve">abstract</t>
  </si>
  <si>
    <t xml:space="preserve">end_product_type</t>
  </si>
  <si>
    <t xml:space="preserve">sub_end_product</t>
  </si>
  <si>
    <t xml:space="preserve">raw_predicted_categories</t>
  </si>
  <si>
    <t xml:space="preserve">predicted_end_product_type</t>
  </si>
  <si>
    <t xml:space="preserve">predicted_sub_end_product</t>
  </si>
  <si>
    <t xml:space="preserve">reasoning_LLM</t>
  </si>
  <si>
    <t xml:space="preserve">exact_match</t>
  </si>
  <si>
    <t xml:space="preserve">row_precision</t>
  </si>
  <si>
    <t xml:space="preserve">row_recall</t>
  </si>
  <si>
    <t xml:space="preserve">row_jaccard</t>
  </si>
  <si>
    <t xml:space="preserve">Pioneering vegan whole cuts through
  mycelium solid state fermentation</t>
  </si>
  <si>
    <t xml:space="preserve">Esencia Foods is the first company in Europe to exploit the unique properties of mycelium combined with the advantages of an enhanced solid-state fermentation for whole cuts of any kind, starting with fish and seafood.
We stand as the pioneering company in Europe, employing solid state fermentation with mycelium to achieve natural textures with minimal processing, two ingredients and a lower price point than animal-based counterparts.
Solid state fermentation utilising tray bioreactors allows novel texturizing technologies to mimic the texture of whole cuts when exploiting the natural fibrous texture of mycelial fibres and mycelium’s gelation properties. This is a key step for re-producing complex textures; it also significantly reduces the need for expensive additives and intensive post-processing for texturization. By harnessing solid-state fermentation, we can cultivate mycelium (filamentous fungi) in controlled conditions that surpass natural growth and do so quickly and on a scalable level. Additionally, this process can be carried out locally, close to where (otherwise unused) side streams arise, and it requires minimal water compared to Liquid State Fermentation (most used technology today for the production of mycelium-based alternative products)
We anticipate operating within a serviceable obtainable market (SOM) of approximately €5.3 billion by 2028. We project that we can realistically capture approximately €18 million of this market share by 2029. We have received LOIs from 9 restaurants based in Barcelona, Spain, 1 Canteen and 1 business caterer in Germany, 2 Catering companies based in Barcelona, Spain, 2 Chefs based in Germany and Spain, 4 Food Producers from Germany and The Netherlands, and 3 Food retailers/Grocers from Switzerland, The Netherlands and Germany. Potential customers who have provided LOIs have expressed a strong demand for our products which translates into a  market opportunity of €20M+ per year.</t>
  </si>
  <si>
    <t xml:space="preserve">Seafood</t>
  </si>
  <si>
    <t xml:space="preserve">Meat; Fish and seafood</t>
  </si>
  <si>
    <t xml:space="preserve">Meat; Seafood</t>
  </si>
  <si>
    <t xml:space="preserve">The grant explicitly targets mycelium-based whole cuts starting with fish and seafood analogues, and also mentions whole cuts of 'any kind,' indicating meat analogues are also in scope — both Fish and seafood and Meat are flagged true.</t>
  </si>
  <si>
    <t xml:space="preserve">The Root of Understanding Mycelia (RUMy)</t>
  </si>
  <si>
    <t xml:space="preserve">The project will investigate 32 different edible mushrooms for their ability to form a tempeh-like product when grown on Nordic plant substrate.
The project analyzes the potential of fungi for the production of mycotoxins, their nutritional content and flavor profiles. In addition, how they are digested and affect gut bacteria. With the knowledge of the project, it will be possible to create better mycelium-based products and thereby increase the demand for this type of plant-based diet.
</t>
  </si>
  <si>
    <t xml:space="preserve">Meat</t>
  </si>
  <si>
    <t xml:space="preserve">The grant explicitly targets tempeh-like mycelium-based products, and tempeh is a traditional fermented soy-based meat substitute, placing this in the Meat category.</t>
  </si>
  <si>
    <t xml:space="preserve">Ingredient valorization of reOat – the fiber-rich residue from oat beverage production</t>
  </si>
  <si>
    <t xml:space="preserve">Purpose and goal: 
The project aims to take plant-based food production to the next level by developing ingredients based on extrusion, fermentation, physical and chemical processing. Our goal is to recycle residual side streams from plant-based beverage production into high-value food ingredients with optimized nutritional profile and sensory quality and subsequently commercialize new and circular high-value food ingredients to the global market and create a brighter and more sustainable future. 
Expected results and effects: 
Oat drink producers needs to pay to get rid of their waste streams, turning them into valuable food ingredients and products can increase both climate sustainability and profitability. As the global market for plant-based dairy products is growing rapidly, the project also aim to develop a scalable infrastructure. By developing these ingredients that can be easily formulated into competitive products and reaching the market, consumers will be able to access a more nutritionally optimized vegetarian range of products. 
Approach and implementation: 
The project begins by characterizing the physical, functional, and nutritional properties of the reOat sidestream before and after processing, across batches, and relating them to health aspects and regulations. It will explore improvements in taste, technical properties, microbiological status, and nutrition through various processing techniques. The ingredient(s) will be tested in bakery, extrusion, formulation, and fermentation. Conditions for industrialization and commercialization will also be reviewed to assess the market potential of reOat as a food ingredient.</t>
  </si>
  <si>
    <t xml:space="preserve">Dairy</t>
  </si>
  <si>
    <t xml:space="preserve">Milk</t>
  </si>
  <si>
    <t xml:space="preserve">Agnostic</t>
  </si>
  <si>
    <t xml:space="preserve">The grant focuses on valorizing oat beverage production residues into high-value food ingredients through various processing techniques, with no specific end product application explicitly named — testing in 'bakery, extrusion, formulation, and fermentation' describes generic ingredient development without targeting any specific product category.</t>
  </si>
  <si>
    <t xml:space="preserve">Up-cycling of whey streams via microalgae
  into innovative fortified dairy and dairy-alternative products - Whey2blue</t>
  </si>
  <si>
    <t xml:space="preserve">Whey2blue, through the upcycling of dairy side streams into microalgae biomass, develops a sustainable, circular and affordable technology for production of alternative protein and other functional ingredients. Whey2blue opens the way to a blue economy cascade for healthier food products.</t>
  </si>
  <si>
    <t xml:space="preserve">The grant explicitly targets fortified dairy and dairy-alternative products, but does not specify which subcategory (milk, yoghurt, cheese, cream, etc.), so the general Dairy fallback applies.</t>
  </si>
  <si>
    <t xml:space="preserve">Inktelligent Foods – enabling cultivated seafood products</t>
  </si>
  <si>
    <t xml:space="preserve">Cultivated meat and seafood are a sustainable and animal-friendly method to produce food using cell culture and offers an alternative to the currently intensive farming and fishing practices. A crucial step in cultivated meat/seafood is the development of cell lines with robust proliferation and differentiation capability. In nature, octopuses display an innate capacity for muscle growth and regeneration. By leveraging their muscle regeneration capacity, I will establish octopus-derived muscle cell lines aiming at producing cultivated octopus meat. The generated knowledge and methodologies could be applied to other species, ultimately enabling, and fostering the cultivated meat and seafood industries.</t>
  </si>
  <si>
    <t xml:space="preserve">The grant explicitly targets cultivated octopus meat (seafood) and states the methodologies could be applied to other species to enable the cultivated meat and seafood industries, warranting both Meat and Fish and seafood classifications.</t>
  </si>
  <si>
    <t xml:space="preserve">n_true</t>
  </si>
  <si>
    <t xml:space="preserve">tp</t>
  </si>
  <si>
    <t xml:space="preserve">fp</t>
  </si>
  <si>
    <t xml:space="preserve">fn</t>
  </si>
  <si>
    <t xml:space="preserve">recall</t>
  </si>
  <si>
    <t xml:space="preserve">precision</t>
  </si>
  <si>
    <t xml:space="preserve">-</t>
  </si>
  <si>
    <t xml:space="preserve">0%</t>
  </si>
  <si>
    <t xml:space="preserve">50%</t>
  </si>
  <si>
    <t xml:space="preserve">100%</t>
  </si>
  <si>
    <t xml:space="preserve">33%</t>
  </si>
  <si>
    <t xml:space="preserve">metric</t>
  </si>
  <si>
    <t xml:space="preserve">value</t>
  </si>
  <si>
    <t xml:space="preserve">n</t>
  </si>
  <si>
    <t xml:space="preserve">end_product_type_exact_match_accuracy</t>
  </si>
  <si>
    <t xml:space="preserve">40%</t>
  </si>
  <si>
    <t xml:space="preserve">end_product_type_mean_precision</t>
  </si>
  <si>
    <t xml:space="preserve">60%</t>
  </si>
  <si>
    <t xml:space="preserve">end_product_type_mean_recall</t>
  </si>
  <si>
    <t xml:space="preserve">80%</t>
  </si>
  <si>
    <t xml:space="preserve">end_product_type_mean_jaccard</t>
  </si>
  <si>
    <t xml:space="preserve">sub_end_product_exact_match_accuracy (Dairy rows only)</t>
  </si>
  <si>
    <t xml:space="preserve">sub_end_product_mean_precision (Dairy rows only)</t>
  </si>
  <si>
    <t xml:space="preserve">nan%</t>
  </si>
  <si>
    <t xml:space="preserve">sub_end_product_mean_recall (Dairy rows only)</t>
  </si>
  <si>
    <t xml:space="preserve">sub_end_product_mean_jaccard (Dairy rows only)</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</si>
</sst>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81D41A"/>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8" activeCellId="0" sqref="E8"/>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row>
    <row r="2" customFormat="false" ht="45.1" hidden="false" customHeight="false" outlineLevel="0" collapsed="false">
      <c r="A2" s="0" t="n">
        <v>0</v>
      </c>
      <c r="B2" s="1" t="s">
        <v>13</v>
      </c>
      <c r="C2" s="1" t="s">
        <v>14</v>
      </c>
      <c r="D2" s="0" t="s">
        <v>15</v>
      </c>
      <c r="F2" s="0" t="s">
        <v>16</v>
      </c>
      <c r="G2" s="0" t="s">
        <v>17</v>
      </c>
      <c r="I2" s="0" t="s">
        <v>18</v>
      </c>
      <c r="J2" s="2" t="b">
        <f aca="false">FALSE()</f>
        <v>0</v>
      </c>
      <c r="K2" s="0" t="n">
        <v>0.5</v>
      </c>
      <c r="L2" s="0" t="n">
        <v>1</v>
      </c>
      <c r="M2" s="0" t="n">
        <v>0.5</v>
      </c>
    </row>
    <row r="3" customFormat="false" ht="56" hidden="false" customHeight="false" outlineLevel="0" collapsed="false">
      <c r="A3" s="0" t="n">
        <v>1</v>
      </c>
      <c r="B3" s="0" t="s">
        <v>19</v>
      </c>
      <c r="C3" s="1" t="s">
        <v>20</v>
      </c>
      <c r="D3" s="0" t="s">
        <v>21</v>
      </c>
      <c r="F3" s="0" t="s">
        <v>21</v>
      </c>
      <c r="G3" s="0" t="s">
        <v>21</v>
      </c>
      <c r="I3" s="0" t="s">
        <v>22</v>
      </c>
      <c r="J3" s="3" t="b">
        <f aca="false">TRUE()</f>
        <v>1</v>
      </c>
      <c r="K3" s="0" t="n">
        <v>1</v>
      </c>
      <c r="L3" s="0" t="n">
        <v>1</v>
      </c>
      <c r="M3" s="0" t="n">
        <v>1</v>
      </c>
    </row>
    <row r="4" customFormat="false" ht="88.7" hidden="false" customHeight="false" outlineLevel="0" collapsed="false">
      <c r="A4" s="0" t="n">
        <v>2</v>
      </c>
      <c r="B4" s="0" t="s">
        <v>23</v>
      </c>
      <c r="C4" s="1" t="s">
        <v>24</v>
      </c>
      <c r="D4" s="0" t="s">
        <v>25</v>
      </c>
      <c r="E4" s="0" t="s">
        <v>26</v>
      </c>
      <c r="F4" s="0" t="s">
        <v>27</v>
      </c>
      <c r="G4" s="0" t="s">
        <v>27</v>
      </c>
      <c r="I4" s="0" t="s">
        <v>28</v>
      </c>
      <c r="J4" s="3" t="b">
        <f aca="false">FALSE()</f>
        <v>0</v>
      </c>
      <c r="K4" s="0" t="n">
        <v>0</v>
      </c>
      <c r="L4" s="0" t="n">
        <v>0</v>
      </c>
      <c r="M4" s="0" t="n">
        <v>0</v>
      </c>
    </row>
    <row r="5" customFormat="false" ht="23.3" hidden="false" customHeight="false" outlineLevel="0" collapsed="false">
      <c r="A5" s="0" t="n">
        <v>3</v>
      </c>
      <c r="B5" s="1" t="s">
        <v>29</v>
      </c>
      <c r="C5" s="0" t="s">
        <v>30</v>
      </c>
      <c r="D5" s="0" t="s">
        <v>25</v>
      </c>
      <c r="E5" s="0" t="s">
        <v>26</v>
      </c>
      <c r="F5" s="0" t="s">
        <v>25</v>
      </c>
      <c r="G5" s="0" t="s">
        <v>25</v>
      </c>
      <c r="I5" s="0" t="s">
        <v>31</v>
      </c>
      <c r="J5" s="3" t="b">
        <f aca="false">TRUE()</f>
        <v>1</v>
      </c>
      <c r="K5" s="0" t="n">
        <v>1</v>
      </c>
      <c r="L5" s="0" t="n">
        <v>1</v>
      </c>
      <c r="M5" s="0" t="n">
        <v>1</v>
      </c>
    </row>
    <row r="6" customFormat="false" ht="15" hidden="false" customHeight="false" outlineLevel="0" collapsed="false">
      <c r="A6" s="0" t="n">
        <v>4</v>
      </c>
      <c r="B6" s="0" t="s">
        <v>32</v>
      </c>
      <c r="C6" s="0" t="s">
        <v>33</v>
      </c>
      <c r="D6" s="0" t="s">
        <v>15</v>
      </c>
      <c r="F6" s="0" t="s">
        <v>16</v>
      </c>
      <c r="G6" s="0" t="s">
        <v>17</v>
      </c>
      <c r="I6" s="0" t="s">
        <v>34</v>
      </c>
      <c r="J6" s="2" t="b">
        <f aca="false">FALSE()</f>
        <v>0</v>
      </c>
      <c r="K6" s="0" t="n">
        <v>0.5</v>
      </c>
      <c r="L6" s="0" t="n">
        <v>1</v>
      </c>
      <c r="M6" s="0" t="n">
        <v>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3</v>
      </c>
      <c r="B1" s="0" t="s">
        <v>35</v>
      </c>
      <c r="C1" s="0" t="s">
        <v>36</v>
      </c>
      <c r="D1" s="0" t="s">
        <v>37</v>
      </c>
      <c r="E1" s="0" t="s">
        <v>38</v>
      </c>
      <c r="F1" s="0" t="s">
        <v>39</v>
      </c>
      <c r="G1" s="0" t="s">
        <v>40</v>
      </c>
    </row>
    <row r="2" customFormat="false" ht="15" hidden="false" customHeight="false" outlineLevel="0" collapsed="false">
      <c r="A2" s="0" t="s">
        <v>27</v>
      </c>
      <c r="B2" s="0" t="n">
        <v>0</v>
      </c>
      <c r="C2" s="0" t="n">
        <v>0</v>
      </c>
      <c r="D2" s="0" t="n">
        <v>1</v>
      </c>
      <c r="E2" s="0" t="n">
        <v>0</v>
      </c>
      <c r="F2" s="0" t="s">
        <v>41</v>
      </c>
      <c r="G2" s="0" t="s">
        <v>42</v>
      </c>
    </row>
    <row r="3" customFormat="false" ht="15" hidden="false" customHeight="false" outlineLevel="0" collapsed="false">
      <c r="A3" s="0" t="s">
        <v>25</v>
      </c>
      <c r="B3" s="0" t="n">
        <v>2</v>
      </c>
      <c r="C3" s="0" t="n">
        <v>1</v>
      </c>
      <c r="D3" s="0" t="n">
        <v>0</v>
      </c>
      <c r="E3" s="0" t="n">
        <v>1</v>
      </c>
      <c r="F3" s="0" t="s">
        <v>43</v>
      </c>
      <c r="G3" s="0" t="s">
        <v>44</v>
      </c>
    </row>
    <row r="4" customFormat="false" ht="15" hidden="false" customHeight="false" outlineLevel="0" collapsed="false">
      <c r="A4" s="0" t="s">
        <v>21</v>
      </c>
      <c r="B4" s="0" t="n">
        <v>1</v>
      </c>
      <c r="C4" s="0" t="n">
        <v>1</v>
      </c>
      <c r="D4" s="0" t="n">
        <v>2</v>
      </c>
      <c r="E4" s="0" t="n">
        <v>0</v>
      </c>
      <c r="F4" s="0" t="s">
        <v>44</v>
      </c>
      <c r="G4" s="0" t="s">
        <v>45</v>
      </c>
    </row>
    <row r="5" customFormat="false" ht="15" hidden="false" customHeight="false" outlineLevel="0" collapsed="false">
      <c r="A5" s="0" t="s">
        <v>15</v>
      </c>
      <c r="B5" s="0" t="n">
        <v>2</v>
      </c>
      <c r="C5" s="0" t="n">
        <v>2</v>
      </c>
      <c r="D5" s="0" t="n">
        <v>0</v>
      </c>
      <c r="E5" s="0" t="n">
        <v>0</v>
      </c>
      <c r="F5" s="0" t="s">
        <v>44</v>
      </c>
      <c r="G5" s="0" t="s">
        <v>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46</v>
      </c>
      <c r="B1" s="0" t="s">
        <v>47</v>
      </c>
      <c r="C1" s="0" t="s">
        <v>48</v>
      </c>
    </row>
    <row r="2" customFormat="false" ht="15" hidden="false" customHeight="false" outlineLevel="0" collapsed="false">
      <c r="A2" s="0" t="s">
        <v>49</v>
      </c>
      <c r="B2" s="0" t="s">
        <v>50</v>
      </c>
      <c r="C2" s="0" t="n">
        <v>5</v>
      </c>
    </row>
    <row r="3" customFormat="false" ht="15" hidden="false" customHeight="false" outlineLevel="0" collapsed="false">
      <c r="A3" s="0" t="s">
        <v>51</v>
      </c>
      <c r="B3" s="0" t="s">
        <v>52</v>
      </c>
      <c r="C3" s="0" t="n">
        <v>5</v>
      </c>
    </row>
    <row r="4" customFormat="false" ht="15" hidden="false" customHeight="false" outlineLevel="0" collapsed="false">
      <c r="A4" s="0" t="s">
        <v>53</v>
      </c>
      <c r="B4" s="0" t="s">
        <v>54</v>
      </c>
      <c r="C4" s="0" t="n">
        <v>5</v>
      </c>
    </row>
    <row r="5" customFormat="false" ht="15" hidden="false" customHeight="false" outlineLevel="0" collapsed="false">
      <c r="A5" s="0" t="s">
        <v>55</v>
      </c>
      <c r="B5" s="0" t="s">
        <v>52</v>
      </c>
      <c r="C5" s="0" t="n">
        <v>5</v>
      </c>
    </row>
    <row r="6" customFormat="false" ht="15" hidden="false" customHeight="false" outlineLevel="0" collapsed="false">
      <c r="A6" s="0" t="s">
        <v>56</v>
      </c>
      <c r="B6" s="0" t="s">
        <v>42</v>
      </c>
      <c r="C6" s="0" t="n">
        <v>2</v>
      </c>
    </row>
    <row r="7" customFormat="false" ht="15" hidden="false" customHeight="false" outlineLevel="0" collapsed="false">
      <c r="A7" s="0" t="s">
        <v>57</v>
      </c>
      <c r="B7" s="0" t="s">
        <v>58</v>
      </c>
      <c r="C7" s="0" t="n">
        <v>2</v>
      </c>
    </row>
    <row r="8" customFormat="false" ht="15" hidden="false" customHeight="false" outlineLevel="0" collapsed="false">
      <c r="A8" s="0" t="s">
        <v>59</v>
      </c>
      <c r="B8" s="0" t="s">
        <v>42</v>
      </c>
      <c r="C8" s="0" t="n">
        <v>2</v>
      </c>
    </row>
    <row r="9" customFormat="false" ht="15" hidden="false" customHeight="false" outlineLevel="0" collapsed="false">
      <c r="A9" s="0" t="s">
        <v>60</v>
      </c>
      <c r="B9" s="0" t="s">
        <v>42</v>
      </c>
      <c r="C9" s="0"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2026-07-29T08:43:58Z</dcterms:created>
  <dc:creator>openpyxl</dc:creator>
  <dc:description/>
  <dc:language>en-GB</dc:language>
  <cp:lastModifiedBy/>
  <dcterms:modified xsi:type="dcterms:W3CDTF">2026-07-29T09:46:12Z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